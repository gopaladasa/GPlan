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SingleCells1.xml" ContentType="application/vnd.openxmlformats-officedocument.spreadsheetml.tableSingleCell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6.xml" ContentType="application/vnd.openxmlformats-officedocument.drawing+xml"/>
  <Override PartName="/xl/ctrlProps/ctrlProp4.xml" ContentType="application/vnd.ms-excel.controlproperties+xml"/>
  <Override PartName="/xl/drawings/drawing7.xml" ContentType="application/vnd.openxmlformats-officedocument.drawing+xml"/>
  <Override PartName="/xl/ctrlProps/ctrlProp5.xml" ContentType="application/vnd.ms-excel.controlproperties+xml"/>
  <Override PartName="/xl/drawings/drawing8.xml" ContentType="application/vnd.openxmlformats-officedocument.drawing+xml"/>
  <Override PartName="/xl/ctrlProps/ctrlProp6.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430" codeName="{2109D909-C6D8-E34B-4C66-09127ED2DC46}"/>
  <workbookPr codeName="EstaPasta_de_trabalho" defaultThemeVersion="124226"/>
  <mc:AlternateContent xmlns:mc="http://schemas.openxmlformats.org/markup-compatibility/2006">
    <mc:Choice Requires="x15">
      <x15ac:absPath xmlns:x15ac="http://schemas.microsoft.com/office/spreadsheetml/2010/11/ac" url="C:\Users\Sergio\Documents\GPlan2020Testes\GPlan2020R2C\"/>
    </mc:Choice>
  </mc:AlternateContent>
  <xr:revisionPtr revIDLastSave="0" documentId="13_ncr:1_{5135FE77-E93D-4D72-828C-C5CACBD5B02D}" xr6:coauthVersionLast="45" xr6:coauthVersionMax="45" xr10:uidLastSave="{00000000-0000-0000-0000-000000000000}"/>
  <bookViews>
    <workbookView xWindow="-120" yWindow="-120" windowWidth="20730" windowHeight="11160" tabRatio="829" xr2:uid="{00000000-000D-0000-FFFF-FFFF00000000}"/>
  </bookViews>
  <sheets>
    <sheet name="Options" sheetId="4" r:id="rId1"/>
    <sheet name="Personal Data" sheetId="10" r:id="rId2"/>
    <sheet name="Holidays" sheetId="11" r:id="rId3"/>
    <sheet name="Calendar" sheetId="12" state="hidden" r:id="rId4"/>
    <sheet name="Weekly-Left" sheetId="979" state="hidden" r:id="rId5"/>
    <sheet name="Weekly-Right" sheetId="978" state="hidden" r:id="rId6"/>
    <sheet name="Monthly-Left" sheetId="23" state="hidden" r:id="rId7"/>
    <sheet name="Monthly-Right" sheetId="24" state="hidden" r:id="rId8"/>
    <sheet name="GCal-XML" sheetId="975" state="hidden" r:id="rId9"/>
    <sheet name="GPlan-Translations" sheetId="7" state="hidden" r:id="rId10"/>
    <sheet name="Cities" sheetId="8" state="hidden" r:id="rId11"/>
    <sheet name="Moon Calendar" sheetId="19" state="hidden" r:id="rId12"/>
  </sheets>
  <functionGroups builtInGroupCount="19"/>
  <definedNames>
    <definedName name="_xlnm.Print_Area" localSheetId="3">Calendar!$A$1:$AB$54</definedName>
    <definedName name="_xlnm.Print_Area" localSheetId="2">Holidays!$D$1:$G$53</definedName>
    <definedName name="_xlnm.Print_Area" localSheetId="6">'Monthly-Left'!$E$1:$L$49</definedName>
    <definedName name="_xlnm.Print_Area" localSheetId="7">'Monthly-Right'!$A$1:$L$49</definedName>
    <definedName name="_xlnm.Print_Area" localSheetId="1">'Personal Data'!$A$1:$AF$38</definedName>
    <definedName name="_xlnm.Print_Area" localSheetId="4">'Weekly-Left'!$A$1:$V$53</definedName>
    <definedName name="_xlnm.Print_Area" localSheetId="5">'Weekly-Right'!$A$1:$X$53</definedName>
    <definedName name="CitiesList2">Cities!$B$2:$B$2388</definedName>
    <definedName name="CityCustomName">Options!$S$8</definedName>
    <definedName name="CitySelected">Options!$S$7</definedName>
    <definedName name="DreamsPrintArea">Options!$X$8</definedName>
    <definedName name="EventsPrintArea">Options!$X$6</definedName>
    <definedName name="Files1CheckList">Options!$J$8:$K$17</definedName>
    <definedName name="Files2CheckList">Options!$N$8:$O$17</definedName>
    <definedName name="GCalFolder">Options!$X$28</definedName>
    <definedName name="GPlanFolderPath">Options!$AC$7</definedName>
    <definedName name="GPlanPdfFileName">Options!$X$10</definedName>
    <definedName name="HoursList">Options!$S$12:$S$17</definedName>
    <definedName name="LanguageFile">Options!$X$27</definedName>
    <definedName name="LanguagesFormList">TRANSPOSE(OFFSET('GPlan-Translations'!$D$2,0,0,1,COUNTA('GPlan-Translations'!$2:$2)-3))</definedName>
    <definedName name="LanguagesList">OFFSET('GPlan-Translations'!$D$2,0,0,1,COUNTA('GPlan-Translations'!$2:$2)-3)</definedName>
    <definedName name="LifePurposePrintArea">Options!$X$7</definedName>
    <definedName name="MapsGoogle">Options!$AC$18</definedName>
    <definedName name="MonthCurrent">Options!$X$31</definedName>
    <definedName name="monthName" localSheetId="6">'Monthly-Left'!$X$12</definedName>
    <definedName name="monthName" localSheetId="7">'Monthly-Right'!$X$12</definedName>
    <definedName name="MonthNumber">Options!$W$31</definedName>
    <definedName name="MonthPrevious">Options!$X$32</definedName>
    <definedName name="MonthPrint">Options!$X$30</definedName>
    <definedName name="NumPages">Options!$S$19</definedName>
    <definedName name="OptionsListGCal">Options!$AC$6</definedName>
    <definedName name="OptionsListMoon">Options!$AC$35</definedName>
    <definedName name="PersonalitiesPrintArea">Options!$X$5</definedName>
    <definedName name="selectedContact">Options!$W$23</definedName>
    <definedName name="selectedDreams">Options!$W$8</definedName>
    <definedName name="selectedLanguage">Options!$S$3</definedName>
    <definedName name="selectedLifePurpose">Options!$W$7</definedName>
    <definedName name="selectedLocation">Options!$S$4</definedName>
    <definedName name="selectedMonth">Options!$W$3</definedName>
    <definedName name="selectedMonthly">Options!$S$10</definedName>
    <definedName name="selectedPersonalities">Options!$W$5</definedName>
    <definedName name="selectedReunions">Options!$W$6</definedName>
    <definedName name="selectedSquared">Options!$S$6</definedName>
    <definedName name="selectedWeek">Options!$W$4</definedName>
    <definedName name="selectedYear">Options!$W$2</definedName>
    <definedName name="ShellCommandLine">Options!$AC$28:$AC$35</definedName>
    <definedName name="XMLConnectionName">Options!$AC$5</definedName>
    <definedName name="XMLFolder">Options!$X$29</definedName>
    <definedName name="XmlMapName">Options!$AC$4</definedName>
    <definedName name="Year">Options!$S$5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S25" i="4" l="1"/>
  <c r="S26" i="4" l="1"/>
  <c r="S24" i="4"/>
  <c r="S23" i="4"/>
  <c r="S22" i="4"/>
  <c r="S21" i="4" l="1"/>
  <c r="S19" i="4" s="1"/>
  <c r="S2" i="4" l="1"/>
  <c r="Z8" i="4" l="1"/>
  <c r="Y8" i="4" l="1"/>
  <c r="X8" i="4" s="1"/>
  <c r="Z7" i="4"/>
  <c r="Y7" i="4" s="1"/>
  <c r="X7" i="4" s="1"/>
  <c r="AB77" i="978" l="1"/>
  <c r="AB11" i="979" l="1"/>
  <c r="AB10" i="979" l="1"/>
  <c r="T23" i="11" l="1"/>
  <c r="T22" i="11"/>
  <c r="T21" i="11"/>
  <c r="T20" i="11"/>
  <c r="T19" i="11"/>
  <c r="T18" i="11"/>
  <c r="T17" i="11"/>
  <c r="T16" i="11"/>
  <c r="T15" i="11"/>
  <c r="T14" i="11"/>
  <c r="T13" i="11"/>
  <c r="T12" i="11"/>
  <c r="T11" i="11"/>
  <c r="U8" i="4" l="1"/>
  <c r="U3" i="4"/>
  <c r="U12" i="4" l="1"/>
  <c r="U11" i="4"/>
  <c r="U9" i="4"/>
  <c r="U4" i="4"/>
  <c r="W9" i="4"/>
  <c r="X9" i="4"/>
  <c r="X10" i="4" l="1"/>
  <c r="AC23" i="4"/>
  <c r="J11" i="979" l="1"/>
  <c r="Y5" i="979" l="1"/>
  <c r="A11" i="978" l="1"/>
  <c r="AB11" i="978" s="1"/>
  <c r="AB10" i="978" s="1"/>
  <c r="AU11" i="979" l="1"/>
  <c r="AB12" i="979" l="1"/>
  <c r="AB13" i="979" s="1"/>
  <c r="AB14" i="979" l="1"/>
  <c r="J13" i="979"/>
  <c r="J15" i="979" s="1"/>
  <c r="J17" i="979" s="1"/>
  <c r="J19" i="979" s="1"/>
  <c r="J21" i="979" s="1"/>
  <c r="J23" i="979" s="1"/>
  <c r="J25" i="979" s="1"/>
  <c r="J27" i="979" s="1"/>
  <c r="J29" i="979" s="1"/>
  <c r="J31" i="979" s="1"/>
  <c r="J35" i="979" s="1"/>
  <c r="J39" i="979" s="1"/>
  <c r="J43" i="979" s="1"/>
  <c r="J47" i="979" s="1"/>
  <c r="J50" i="979" s="1"/>
  <c r="J52" i="979" s="1"/>
  <c r="AB15" i="979" l="1"/>
  <c r="AB16" i="979" l="1"/>
  <c r="AB17" i="979" l="1"/>
  <c r="AB18" i="979" l="1"/>
  <c r="AB19" i="979" l="1"/>
  <c r="AB20" i="979" l="1"/>
  <c r="AB21" i="979" l="1"/>
  <c r="AB22" i="979" l="1"/>
  <c r="AB23" i="979" l="1"/>
  <c r="AB24" i="979" l="1"/>
  <c r="AB25" i="979" l="1"/>
  <c r="AB26" i="979" l="1"/>
  <c r="AB27" i="979" l="1"/>
  <c r="AB28" i="979" l="1"/>
  <c r="AB29" i="979" l="1"/>
  <c r="AB30" i="979" l="1"/>
  <c r="AB31" i="979" l="1"/>
  <c r="AB33" i="979" l="1"/>
  <c r="AB35" i="979" l="1"/>
  <c r="AB37" i="979" l="1"/>
  <c r="AB39" i="979" l="1"/>
  <c r="AB41" i="979" l="1"/>
  <c r="AB43" i="979" l="1"/>
  <c r="AB45" i="979" l="1"/>
  <c r="AB47" i="979" l="1"/>
  <c r="AB49" i="979" l="1"/>
  <c r="AB50" i="979" l="1"/>
  <c r="AB51" i="979" l="1"/>
  <c r="AB52" i="979" l="1"/>
  <c r="AP43" i="978" l="1"/>
  <c r="A13" i="978" l="1"/>
  <c r="A15" i="978" s="1"/>
  <c r="A17" i="978" s="1"/>
  <c r="A19" i="978" s="1"/>
  <c r="A21" i="978" s="1"/>
  <c r="A23" i="978" s="1"/>
  <c r="A25" i="978" s="1"/>
  <c r="A27" i="978" s="1"/>
  <c r="A29" i="978" s="1"/>
  <c r="A31" i="978" s="1"/>
  <c r="A35" i="978" s="1"/>
  <c r="A39" i="978" s="1"/>
  <c r="A43" i="978" s="1"/>
  <c r="A47" i="978" s="1"/>
  <c r="A50" i="978" s="1"/>
  <c r="A52" i="978" s="1"/>
  <c r="AB12" i="978"/>
  <c r="AB13" i="978" l="1"/>
  <c r="BG30" i="12"/>
  <c r="AB14" i="978" l="1"/>
  <c r="AB15" i="978" l="1"/>
  <c r="D3" i="19"/>
  <c r="J3" i="19" s="1"/>
  <c r="J2" i="19"/>
  <c r="F14" i="7"/>
  <c r="F16" i="7" s="1"/>
  <c r="E14" i="7"/>
  <c r="E16" i="7" s="1"/>
  <c r="A4" i="7"/>
  <c r="A5" i="7" s="1"/>
  <c r="A6" i="7" s="1"/>
  <c r="A7" i="7" s="1"/>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2" i="7" s="1"/>
  <c r="A33" i="7" s="1"/>
  <c r="A34" i="7" s="1"/>
  <c r="A35" i="7" s="1"/>
  <c r="A36" i="7" s="1"/>
  <c r="A37" i="7" s="1"/>
  <c r="A38" i="7" s="1"/>
  <c r="A39" i="7" s="1"/>
  <c r="A40" i="7" s="1"/>
  <c r="A41" i="7" s="1"/>
  <c r="A42" i="7" s="1"/>
  <c r="A43" i="7" s="1"/>
  <c r="A44" i="7" s="1"/>
  <c r="A45" i="7" s="1"/>
  <c r="A46" i="7" s="1"/>
  <c r="A47" i="7" s="1"/>
  <c r="A48" i="7" s="1"/>
  <c r="A49" i="7" s="1"/>
  <c r="A50" i="7" s="1"/>
  <c r="A51" i="7" s="1"/>
  <c r="A52" i="7" s="1"/>
  <c r="A53" i="7" s="1"/>
  <c r="A54" i="7" s="1"/>
  <c r="A55" i="7" s="1"/>
  <c r="A56" i="7" s="1"/>
  <c r="A57" i="7" s="1"/>
  <c r="A58" i="7" s="1"/>
  <c r="A59" i="7" s="1"/>
  <c r="A60" i="7" s="1"/>
  <c r="A61" i="7" s="1"/>
  <c r="A62" i="7" s="1"/>
  <c r="A63" i="7" s="1"/>
  <c r="A64" i="7" s="1"/>
  <c r="A65" i="7" s="1"/>
  <c r="A66" i="7" s="1"/>
  <c r="A67" i="7" s="1"/>
  <c r="A68" i="7" s="1"/>
  <c r="A69" i="7" s="1"/>
  <c r="A70" i="7" s="1"/>
  <c r="A71" i="7" s="1"/>
  <c r="A72" i="7" s="1"/>
  <c r="A73" i="7" s="1"/>
  <c r="A74" i="7" s="1"/>
  <c r="A75" i="7" s="1"/>
  <c r="A76" i="7" s="1"/>
  <c r="A77" i="7" s="1"/>
  <c r="A78" i="7" s="1"/>
  <c r="A79" i="7" s="1"/>
  <c r="A80" i="7" s="1"/>
  <c r="A81" i="7" s="1"/>
  <c r="A82" i="7" s="1"/>
  <c r="A83" i="7" s="1"/>
  <c r="A84" i="7" s="1"/>
  <c r="A85" i="7" s="1"/>
  <c r="A86" i="7" s="1"/>
  <c r="A87" i="7" s="1"/>
  <c r="A88" i="7" s="1"/>
  <c r="A89" i="7" s="1"/>
  <c r="A90" i="7" s="1"/>
  <c r="A91" i="7" s="1"/>
  <c r="A92" i="7" s="1"/>
  <c r="A93" i="7" s="1"/>
  <c r="A94" i="7" s="1"/>
  <c r="A95" i="7" s="1"/>
  <c r="A96" i="7" s="1"/>
  <c r="A97" i="7" s="1"/>
  <c r="A98" i="7" s="1"/>
  <c r="A99" i="7" s="1"/>
  <c r="A100" i="7" s="1"/>
  <c r="A101" i="7" s="1"/>
  <c r="A102" i="7" s="1"/>
  <c r="A103" i="7" s="1"/>
  <c r="A104" i="7" s="1"/>
  <c r="A105" i="7" s="1"/>
  <c r="A106" i="7" s="1"/>
  <c r="A107" i="7" s="1"/>
  <c r="A108" i="7" s="1"/>
  <c r="A109" i="7" s="1"/>
  <c r="A110" i="7" s="1"/>
  <c r="A111" i="7" s="1"/>
  <c r="A112" i="7" s="1"/>
  <c r="A113" i="7" s="1"/>
  <c r="A114" i="7" s="1"/>
  <c r="A115" i="7" s="1"/>
  <c r="A116" i="7" s="1"/>
  <c r="A117" i="7" s="1"/>
  <c r="A118" i="7" s="1"/>
  <c r="A119" i="7" s="1"/>
  <c r="A120" i="7" s="1"/>
  <c r="A121" i="7" s="1"/>
  <c r="A122" i="7" s="1"/>
  <c r="A123" i="7" s="1"/>
  <c r="A124" i="7" s="1"/>
  <c r="A125" i="7" s="1"/>
  <c r="A126" i="7" s="1"/>
  <c r="A127" i="7" s="1"/>
  <c r="A128" i="7" s="1"/>
  <c r="A129" i="7" s="1"/>
  <c r="A130" i="7" s="1"/>
  <c r="A131" i="7" s="1"/>
  <c r="A132" i="7" s="1"/>
  <c r="A133" i="7" s="1"/>
  <c r="A134" i="7" s="1"/>
  <c r="A135" i="7" s="1"/>
  <c r="A136" i="7" s="1"/>
  <c r="A137" i="7" s="1"/>
  <c r="A138" i="7" s="1"/>
  <c r="A139" i="7" s="1"/>
  <c r="A140" i="7" s="1"/>
  <c r="A141" i="7" s="1"/>
  <c r="A142" i="7" s="1"/>
  <c r="A143" i="7" s="1"/>
  <c r="A144" i="7" s="1"/>
  <c r="A145" i="7" s="1"/>
  <c r="A146" i="7" s="1"/>
  <c r="A147" i="7" s="1"/>
  <c r="A148" i="7" s="1"/>
  <c r="A149" i="7" s="1"/>
  <c r="A150" i="7" s="1"/>
  <c r="A151" i="7" s="1"/>
  <c r="A152" i="7" s="1"/>
  <c r="A153" i="7" s="1"/>
  <c r="A154" i="7" s="1"/>
  <c r="A155" i="7" s="1"/>
  <c r="A156" i="7" s="1"/>
  <c r="A157" i="7" s="1"/>
  <c r="A158" i="7" s="1"/>
  <c r="A159" i="7" s="1"/>
  <c r="A160" i="7" s="1"/>
  <c r="A161" i="7" s="1"/>
  <c r="A162" i="7" s="1"/>
  <c r="A163" i="7" s="1"/>
  <c r="A164" i="7" s="1"/>
  <c r="A165" i="7" s="1"/>
  <c r="A166" i="7" s="1"/>
  <c r="A167" i="7" s="1"/>
  <c r="A168" i="7" s="1"/>
  <c r="A169" i="7" s="1"/>
  <c r="A170" i="7" s="1"/>
  <c r="A171" i="7" s="1"/>
  <c r="A172" i="7" s="1"/>
  <c r="A173" i="7" s="1"/>
  <c r="A174" i="7" s="1"/>
  <c r="A175" i="7" s="1"/>
  <c r="A176" i="7" s="1"/>
  <c r="A177" i="7" s="1"/>
  <c r="A178" i="7" s="1"/>
  <c r="A179" i="7" s="1"/>
  <c r="A180" i="7" s="1"/>
  <c r="A181" i="7" s="1"/>
  <c r="A182" i="7" s="1"/>
  <c r="A183" i="7" s="1"/>
  <c r="A184" i="7" s="1"/>
  <c r="A185" i="7" s="1"/>
  <c r="A186" i="7" s="1"/>
  <c r="A187" i="7" s="1"/>
  <c r="A188" i="7" s="1"/>
  <c r="A189" i="7" s="1"/>
  <c r="A190" i="7" s="1"/>
  <c r="A191" i="7" s="1"/>
  <c r="A192" i="7" s="1"/>
  <c r="A193" i="7" s="1"/>
  <c r="A194" i="7" s="1"/>
  <c r="A195" i="7" s="1"/>
  <c r="A196" i="7" s="1"/>
  <c r="A197" i="7" s="1"/>
  <c r="A198" i="7" s="1"/>
  <c r="A199" i="7" s="1"/>
  <c r="A200" i="7" s="1"/>
  <c r="A201" i="7" s="1"/>
  <c r="A202" i="7" s="1"/>
  <c r="A203" i="7" s="1"/>
  <c r="A204" i="7" s="1"/>
  <c r="A205" i="7" s="1"/>
  <c r="A206" i="7" s="1"/>
  <c r="A207" i="7" s="1"/>
  <c r="A208" i="7" s="1"/>
  <c r="A209" i="7" s="1"/>
  <c r="A210" i="7" s="1"/>
  <c r="A211" i="7" s="1"/>
  <c r="A212" i="7" s="1"/>
  <c r="A213" i="7" s="1"/>
  <c r="A214" i="7" s="1"/>
  <c r="A215" i="7" s="1"/>
  <c r="A216" i="7" s="1"/>
  <c r="A217" i="7" s="1"/>
  <c r="A218" i="7" s="1"/>
  <c r="A219" i="7" s="1"/>
  <c r="A220" i="7" s="1"/>
  <c r="A221" i="7" s="1"/>
  <c r="A222" i="7" s="1"/>
  <c r="A223" i="7" s="1"/>
  <c r="A224" i="7" s="1"/>
  <c r="A225" i="7" s="1"/>
  <c r="A226" i="7" s="1"/>
  <c r="A227" i="7" s="1"/>
  <c r="A228" i="7" s="1"/>
  <c r="A229" i="7" s="1"/>
  <c r="A230" i="7" s="1"/>
  <c r="A231" i="7" s="1"/>
  <c r="A232" i="7" s="1"/>
  <c r="A233" i="7" s="1"/>
  <c r="A234" i="7" s="1"/>
  <c r="A235" i="7" s="1"/>
  <c r="A236" i="7" s="1"/>
  <c r="A237" i="7" s="1"/>
  <c r="A238" i="7" s="1"/>
  <c r="A239" i="7" s="1"/>
  <c r="A240" i="7" s="1"/>
  <c r="A241" i="7" s="1"/>
  <c r="A242" i="7" s="1"/>
  <c r="A243" i="7" s="1"/>
  <c r="A244" i="7" s="1"/>
  <c r="A245" i="7" s="1"/>
  <c r="A246" i="7" s="1"/>
  <c r="A247" i="7" s="1"/>
  <c r="A248" i="7" s="1"/>
  <c r="A249" i="7" s="1"/>
  <c r="A250" i="7" s="1"/>
  <c r="A251" i="7" s="1"/>
  <c r="A252" i="7" s="1"/>
  <c r="A253" i="7" s="1"/>
  <c r="A254" i="7" s="1"/>
  <c r="A255" i="7" s="1"/>
  <c r="A256" i="7" s="1"/>
  <c r="A257" i="7" s="1"/>
  <c r="A258" i="7" s="1"/>
  <c r="A259" i="7" s="1"/>
  <c r="A260" i="7" s="1"/>
  <c r="A261" i="7" s="1"/>
  <c r="A262" i="7" s="1"/>
  <c r="A263" i="7" s="1"/>
  <c r="A264" i="7" s="1"/>
  <c r="A265" i="7" s="1"/>
  <c r="A266" i="7" s="1"/>
  <c r="A267" i="7" s="1"/>
  <c r="A268" i="7" s="1"/>
  <c r="A269" i="7" s="1"/>
  <c r="A270" i="7" s="1"/>
  <c r="A271" i="7" s="1"/>
  <c r="A272" i="7" s="1"/>
  <c r="A273" i="7" s="1"/>
  <c r="A274" i="7" s="1"/>
  <c r="A275" i="7" s="1"/>
  <c r="A276" i="7" s="1"/>
  <c r="A277" i="7" s="1"/>
  <c r="A278" i="7" s="1"/>
  <c r="A279" i="7" s="1"/>
  <c r="A280" i="7" s="1"/>
  <c r="A281" i="7" s="1"/>
  <c r="A282" i="7" s="1"/>
  <c r="A283" i="7" s="1"/>
  <c r="A284" i="7" s="1"/>
  <c r="A285" i="7" s="1"/>
  <c r="A286" i="7" s="1"/>
  <c r="A287" i="7" s="1"/>
  <c r="A288" i="7" s="1"/>
  <c r="A289" i="7" s="1"/>
  <c r="A290" i="7" s="1"/>
  <c r="A291" i="7" s="1"/>
  <c r="A292" i="7" s="1"/>
  <c r="A293" i="7" s="1"/>
  <c r="A294" i="7" s="1"/>
  <c r="A295" i="7" s="1"/>
  <c r="A296" i="7" s="1"/>
  <c r="A297" i="7" s="1"/>
  <c r="A298" i="7" s="1"/>
  <c r="A299" i="7" s="1"/>
  <c r="A300" i="7" s="1"/>
  <c r="A301" i="7" s="1"/>
  <c r="A302" i="7" s="1"/>
  <c r="A303" i="7" s="1"/>
  <c r="A304" i="7" s="1"/>
  <c r="A305" i="7" s="1"/>
  <c r="A306" i="7" s="1"/>
  <c r="A307" i="7" s="1"/>
  <c r="A308" i="7" s="1"/>
  <c r="A309" i="7" s="1"/>
  <c r="A310" i="7" s="1"/>
  <c r="A311" i="7" s="1"/>
  <c r="A312" i="7" s="1"/>
  <c r="A313" i="7" s="1"/>
  <c r="A314" i="7" s="1"/>
  <c r="A315" i="7" s="1"/>
  <c r="A316" i="7" s="1"/>
  <c r="A317" i="7" s="1"/>
  <c r="A318" i="7" s="1"/>
  <c r="A319" i="7" s="1"/>
  <c r="A320" i="7" s="1"/>
  <c r="A321" i="7" s="1"/>
  <c r="A322" i="7" s="1"/>
  <c r="A323" i="7" s="1"/>
  <c r="A324" i="7" s="1"/>
  <c r="A325" i="7" s="1"/>
  <c r="A326" i="7" s="1"/>
  <c r="A327" i="7" s="1"/>
  <c r="A328" i="7" s="1"/>
  <c r="A329" i="7" s="1"/>
  <c r="A330" i="7" s="1"/>
  <c r="A331" i="7" s="1"/>
  <c r="A332" i="7" s="1"/>
  <c r="A333" i="7" s="1"/>
  <c r="A334" i="7" s="1"/>
  <c r="A335" i="7" s="1"/>
  <c r="A336" i="7" s="1"/>
  <c r="A337" i="7" s="1"/>
  <c r="A338" i="7" s="1"/>
  <c r="A339" i="7" s="1"/>
  <c r="A340" i="7" s="1"/>
  <c r="A341" i="7" s="1"/>
  <c r="A342" i="7" s="1"/>
  <c r="A343" i="7" s="1"/>
  <c r="A344" i="7" s="1"/>
  <c r="A345" i="7" s="1"/>
  <c r="A346" i="7" s="1"/>
  <c r="A347" i="7" s="1"/>
  <c r="A348" i="7" s="1"/>
  <c r="A349" i="7" s="1"/>
  <c r="A350" i="7" s="1"/>
  <c r="A351" i="7" s="1"/>
  <c r="A352" i="7" s="1"/>
  <c r="A353" i="7" s="1"/>
  <c r="A354" i="7" s="1"/>
  <c r="A355" i="7" s="1"/>
  <c r="A356" i="7" s="1"/>
  <c r="A357" i="7" s="1"/>
  <c r="A358" i="7" s="1"/>
  <c r="A359" i="7" s="1"/>
  <c r="A360" i="7" s="1"/>
  <c r="A361" i="7" s="1"/>
  <c r="F1" i="7"/>
  <c r="X9" i="24"/>
  <c r="W3" i="24" s="1"/>
  <c r="X9" i="23"/>
  <c r="W3" i="23" s="1"/>
  <c r="AN30" i="12"/>
  <c r="AD30" i="12"/>
  <c r="AD36" i="12" s="1"/>
  <c r="AN21" i="12"/>
  <c r="AD21" i="12"/>
  <c r="AD25" i="12" s="1"/>
  <c r="AN12" i="12"/>
  <c r="AD12" i="12"/>
  <c r="AD15" i="12" s="1"/>
  <c r="AL11" i="12"/>
  <c r="BD11" i="12" s="1"/>
  <c r="AN3" i="12"/>
  <c r="AM3" i="12" s="1"/>
  <c r="AD3" i="12"/>
  <c r="AD5" i="12" s="1"/>
  <c r="D48" i="11"/>
  <c r="L48" i="11" s="1"/>
  <c r="D47" i="11"/>
  <c r="L47" i="11" s="1"/>
  <c r="D46" i="11"/>
  <c r="L46" i="11" s="1"/>
  <c r="D45" i="11"/>
  <c r="K45" i="11" s="1"/>
  <c r="S35" i="11"/>
  <c r="S34" i="11"/>
  <c r="S33" i="11"/>
  <c r="S32" i="11"/>
  <c r="S31" i="11"/>
  <c r="S30" i="11"/>
  <c r="S29" i="11"/>
  <c r="S28" i="11"/>
  <c r="S27" i="11"/>
  <c r="D27" i="11"/>
  <c r="F27" i="11" s="1"/>
  <c r="S20" i="11"/>
  <c r="P10" i="11"/>
  <c r="P33" i="11" s="1"/>
  <c r="T5" i="11"/>
  <c r="T6" i="11" s="1"/>
  <c r="T4" i="11"/>
  <c r="T3" i="11"/>
  <c r="T2" i="11"/>
  <c r="U48" i="4"/>
  <c r="U47" i="4"/>
  <c r="U46" i="4"/>
  <c r="U45" i="4"/>
  <c r="U44" i="4"/>
  <c r="U43" i="4"/>
  <c r="U42" i="4"/>
  <c r="U41" i="4"/>
  <c r="U40" i="4"/>
  <c r="AB34" i="4"/>
  <c r="AA34" i="4"/>
  <c r="AB33" i="4"/>
  <c r="AA33" i="4"/>
  <c r="AB32" i="4"/>
  <c r="AA32" i="4"/>
  <c r="U36" i="4"/>
  <c r="AB31" i="4"/>
  <c r="AA31" i="4"/>
  <c r="AB30" i="4"/>
  <c r="AA30" i="4"/>
  <c r="W34" i="4"/>
  <c r="V34" i="4"/>
  <c r="U34" i="4"/>
  <c r="AB29" i="4"/>
  <c r="AA29" i="4"/>
  <c r="AB28" i="4"/>
  <c r="AB23" i="4"/>
  <c r="AC22" i="4"/>
  <c r="W24" i="4"/>
  <c r="X24" i="4" s="1"/>
  <c r="X23" i="4"/>
  <c r="W22" i="4"/>
  <c r="X22" i="4" s="1"/>
  <c r="U2" i="4" s="1"/>
  <c r="AC17" i="4"/>
  <c r="AB17" i="4" s="1"/>
  <c r="X19" i="4"/>
  <c r="AB14" i="4" s="1"/>
  <c r="AC14" i="4" s="1"/>
  <c r="X18" i="4"/>
  <c r="W17" i="4"/>
  <c r="AC9" i="4"/>
  <c r="W11" i="4"/>
  <c r="W12" i="4" s="1"/>
  <c r="AB8" i="4"/>
  <c r="S7" i="4"/>
  <c r="E5" i="4"/>
  <c r="AN4" i="4"/>
  <c r="AM4" i="4"/>
  <c r="AL4" i="4"/>
  <c r="AK4" i="4"/>
  <c r="AJ4" i="4"/>
  <c r="AI4" i="4"/>
  <c r="C10" i="19" s="1"/>
  <c r="AH4" i="4"/>
  <c r="AG4" i="4"/>
  <c r="AF4" i="4"/>
  <c r="AE4" i="4"/>
  <c r="E4" i="4"/>
  <c r="E3" i="4"/>
  <c r="X2" i="4"/>
  <c r="U16" i="4" l="1"/>
  <c r="AB13" i="4"/>
  <c r="AC13" i="4" s="1"/>
  <c r="C3" i="19"/>
  <c r="X6" i="4"/>
  <c r="AB16" i="978"/>
  <c r="AM12" i="12"/>
  <c r="AM17" i="12" s="1"/>
  <c r="AW30" i="12"/>
  <c r="AV30" i="12" s="1"/>
  <c r="AV36" i="12" s="1"/>
  <c r="AM30" i="12"/>
  <c r="AM36" i="12" s="1"/>
  <c r="AW21" i="12"/>
  <c r="AM21" i="12"/>
  <c r="D4" i="19"/>
  <c r="J4" i="19" s="1"/>
  <c r="AD6" i="12"/>
  <c r="AD14" i="12"/>
  <c r="AW12" i="12"/>
  <c r="AW3" i="12"/>
  <c r="X11" i="4"/>
  <c r="U10" i="4" s="1"/>
  <c r="AD9" i="12"/>
  <c r="AD8" i="12"/>
  <c r="AD18" i="12"/>
  <c r="AD32" i="12"/>
  <c r="AD24" i="12"/>
  <c r="AD27" i="12"/>
  <c r="BI1" i="12"/>
  <c r="U1" i="12" s="1"/>
  <c r="AF1" i="10" s="1"/>
  <c r="K46" i="11"/>
  <c r="J27" i="11"/>
  <c r="X20" i="4"/>
  <c r="P2" i="11"/>
  <c r="L45" i="11"/>
  <c r="P26" i="11"/>
  <c r="R10" i="11"/>
  <c r="R34" i="11" s="1"/>
  <c r="K27" i="11"/>
  <c r="L27" i="11"/>
  <c r="J47" i="11"/>
  <c r="K47" i="11"/>
  <c r="J46" i="11"/>
  <c r="AM8" i="12"/>
  <c r="AM5" i="12"/>
  <c r="AM7" i="12"/>
  <c r="AM9" i="12"/>
  <c r="AM6" i="12"/>
  <c r="W18" i="4"/>
  <c r="W19" i="4" s="1"/>
  <c r="X4" i="4" s="1"/>
  <c r="AB22" i="4"/>
  <c r="P23" i="11"/>
  <c r="P28" i="11"/>
  <c r="P32" i="11"/>
  <c r="X5" i="4"/>
  <c r="O10" i="11"/>
  <c r="P27" i="11"/>
  <c r="J48" i="11"/>
  <c r="AD7" i="12"/>
  <c r="AD17" i="12"/>
  <c r="X3" i="4"/>
  <c r="AC7" i="4"/>
  <c r="P31" i="11"/>
  <c r="P35" i="11"/>
  <c r="J45" i="11"/>
  <c r="K48" i="11"/>
  <c r="AD16" i="12"/>
  <c r="AL20" i="12"/>
  <c r="X12" i="4"/>
  <c r="W13" i="4"/>
  <c r="X13" i="4" s="1"/>
  <c r="Q10" i="11"/>
  <c r="P30" i="11"/>
  <c r="P34" i="11"/>
  <c r="C1" i="7"/>
  <c r="X8" i="24"/>
  <c r="W2" i="24" s="1"/>
  <c r="W4" i="24" s="1"/>
  <c r="X8" i="23"/>
  <c r="W2" i="23" s="1"/>
  <c r="AU11" i="12"/>
  <c r="P17" i="11"/>
  <c r="P29" i="11"/>
  <c r="AD23" i="12"/>
  <c r="AD34" i="12"/>
  <c r="AD26" i="12"/>
  <c r="AD35" i="12"/>
  <c r="AD33" i="12"/>
  <c r="AF40" i="12"/>
  <c r="AF46" i="12"/>
  <c r="AF52" i="12"/>
  <c r="AO54" i="12"/>
  <c r="AO53" i="12"/>
  <c r="AX40" i="12"/>
  <c r="AO51" i="12"/>
  <c r="AX48" i="12"/>
  <c r="AF54" i="12"/>
  <c r="AO52" i="12"/>
  <c r="AX52" i="12"/>
  <c r="AO46" i="12"/>
  <c r="AX46" i="12"/>
  <c r="AX53" i="12"/>
  <c r="AO47" i="12"/>
  <c r="AX43" i="12"/>
  <c r="AX54" i="12"/>
  <c r="AO49" i="12"/>
  <c r="AX44" i="12"/>
  <c r="AF53" i="12"/>
  <c r="AF51" i="12"/>
  <c r="AF41" i="12"/>
  <c r="AX50" i="12"/>
  <c r="AX45" i="12"/>
  <c r="AO41" i="12"/>
  <c r="AF43" i="12"/>
  <c r="AO45" i="12"/>
  <c r="AX41" i="12"/>
  <c r="AF48" i="12"/>
  <c r="AF42" i="12"/>
  <c r="AO42" i="12"/>
  <c r="AO40" i="12"/>
  <c r="AO43" i="12"/>
  <c r="AF47" i="12"/>
  <c r="AO50" i="12"/>
  <c r="AF44" i="12"/>
  <c r="AF49" i="12"/>
  <c r="AO48" i="12"/>
  <c r="AF50" i="12"/>
  <c r="AX47" i="12"/>
  <c r="AX49" i="12"/>
  <c r="AF45" i="12"/>
  <c r="AX51" i="12"/>
  <c r="AO44" i="12"/>
  <c r="AX42" i="12"/>
  <c r="C79" i="7" l="1"/>
  <c r="C41" i="7"/>
  <c r="C42" i="7"/>
  <c r="C43" i="7"/>
  <c r="C44" i="7"/>
  <c r="C45" i="7"/>
  <c r="C46" i="7"/>
  <c r="C47" i="7"/>
  <c r="W30" i="4"/>
  <c r="X30" i="4" s="1"/>
  <c r="W31" i="4"/>
  <c r="W32" i="4" s="1"/>
  <c r="C2" i="19"/>
  <c r="C308" i="7"/>
  <c r="C307" i="7"/>
  <c r="C309" i="7"/>
  <c r="C299" i="7"/>
  <c r="C297" i="7"/>
  <c r="C298" i="7"/>
  <c r="AC65" i="978"/>
  <c r="AC66" i="978" s="1"/>
  <c r="AT5" i="979"/>
  <c r="AT12" i="979" s="1"/>
  <c r="AC65" i="979"/>
  <c r="AB17" i="978"/>
  <c r="AM18" i="12"/>
  <c r="AM15" i="12"/>
  <c r="AM14" i="12"/>
  <c r="AM16" i="12"/>
  <c r="AV32" i="12"/>
  <c r="AV34" i="12"/>
  <c r="AV33" i="12"/>
  <c r="AV35" i="12"/>
  <c r="AV3" i="12"/>
  <c r="AV7" i="12" s="1"/>
  <c r="AV12" i="12"/>
  <c r="AV17" i="12" s="1"/>
  <c r="AV21" i="12"/>
  <c r="AV23" i="12" s="1"/>
  <c r="D5" i="19"/>
  <c r="D6" i="19" s="1"/>
  <c r="AM35" i="12"/>
  <c r="AC18" i="4"/>
  <c r="AM34" i="12"/>
  <c r="AM32" i="12"/>
  <c r="AM33" i="12"/>
  <c r="AB11" i="4"/>
  <c r="AC11" i="4" s="1"/>
  <c r="R33" i="11"/>
  <c r="R31" i="11"/>
  <c r="BB21" i="12"/>
  <c r="AY21" i="12" s="1"/>
  <c r="AS3" i="12"/>
  <c r="AP3" i="12" s="1"/>
  <c r="AS21" i="12"/>
  <c r="AO21" i="12" s="1"/>
  <c r="AQ21" i="12" s="1"/>
  <c r="BB3" i="12"/>
  <c r="AX3" i="12" s="1"/>
  <c r="AZ3" i="12" s="1"/>
  <c r="AJ3" i="12"/>
  <c r="AF3" i="12" s="1"/>
  <c r="AH3" i="12" s="1"/>
  <c r="AJ30" i="12"/>
  <c r="AG30" i="12" s="1"/>
  <c r="G1" i="11"/>
  <c r="D51" i="11" s="1"/>
  <c r="AJ12" i="12"/>
  <c r="AG12" i="12" s="1"/>
  <c r="AS30" i="12"/>
  <c r="AO30" i="12" s="1"/>
  <c r="AQ30" i="12" s="1"/>
  <c r="BB12" i="12"/>
  <c r="AX12" i="12" s="1"/>
  <c r="AZ12" i="12" s="1"/>
  <c r="AJ21" i="12"/>
  <c r="AF21" i="12" s="1"/>
  <c r="AS12" i="12"/>
  <c r="AP12" i="12" s="1"/>
  <c r="BB30" i="12"/>
  <c r="AX30" i="12" s="1"/>
  <c r="AZ30" i="12" s="1"/>
  <c r="R17" i="11"/>
  <c r="R21" i="11" s="1"/>
  <c r="R32" i="11"/>
  <c r="P4" i="11"/>
  <c r="R23" i="11"/>
  <c r="R26" i="11"/>
  <c r="R29" i="11"/>
  <c r="R35" i="11"/>
  <c r="R30" i="11"/>
  <c r="R27" i="11"/>
  <c r="R28" i="11"/>
  <c r="W5" i="23"/>
  <c r="W6" i="23" s="1"/>
  <c r="X11" i="23"/>
  <c r="X13" i="23" s="1"/>
  <c r="D12" i="23"/>
  <c r="L12" i="24"/>
  <c r="X11" i="24"/>
  <c r="X13" i="24" s="1"/>
  <c r="W5" i="24"/>
  <c r="W6" i="24" s="1"/>
  <c r="Q34" i="11"/>
  <c r="Q30" i="11"/>
  <c r="Q17" i="11"/>
  <c r="Q35" i="11"/>
  <c r="Q31" i="11"/>
  <c r="Q27" i="11"/>
  <c r="P3" i="11"/>
  <c r="Q29" i="11"/>
  <c r="Q32" i="11"/>
  <c r="Q28" i="11"/>
  <c r="Q23" i="11"/>
  <c r="Q33" i="11"/>
  <c r="Q26" i="11"/>
  <c r="C4" i="19"/>
  <c r="W14" i="4"/>
  <c r="P22" i="11"/>
  <c r="P14" i="11"/>
  <c r="P19" i="11"/>
  <c r="P11" i="11"/>
  <c r="P20" i="11"/>
  <c r="P16" i="11"/>
  <c r="P21" i="11"/>
  <c r="P13" i="11"/>
  <c r="P18" i="11"/>
  <c r="P15" i="11"/>
  <c r="P12" i="11"/>
  <c r="AB7" i="4"/>
  <c r="W25" i="4" s="1"/>
  <c r="AC2" i="4"/>
  <c r="C360" i="7"/>
  <c r="C356" i="7"/>
  <c r="C352" i="7"/>
  <c r="C348" i="7"/>
  <c r="C344" i="7"/>
  <c r="C340" i="7"/>
  <c r="C331" i="7"/>
  <c r="C327" i="7"/>
  <c r="C323" i="7"/>
  <c r="C319" i="7"/>
  <c r="C315" i="7"/>
  <c r="C311" i="7"/>
  <c r="C304" i="7"/>
  <c r="C300" i="7"/>
  <c r="C293" i="7"/>
  <c r="C289" i="7"/>
  <c r="C285" i="7"/>
  <c r="C281" i="7"/>
  <c r="C277" i="7"/>
  <c r="C273" i="7"/>
  <c r="C269" i="7"/>
  <c r="C265" i="7"/>
  <c r="C261" i="7"/>
  <c r="C257" i="7"/>
  <c r="C253" i="7"/>
  <c r="C249" i="7"/>
  <c r="C245" i="7"/>
  <c r="C241" i="7"/>
  <c r="C237" i="7"/>
  <c r="C233" i="7"/>
  <c r="C229" i="7"/>
  <c r="C225" i="7"/>
  <c r="C221" i="7"/>
  <c r="C217" i="7"/>
  <c r="C359" i="7"/>
  <c r="C355" i="7"/>
  <c r="C351" i="7"/>
  <c r="C347" i="7"/>
  <c r="C343" i="7"/>
  <c r="C339" i="7"/>
  <c r="C330" i="7"/>
  <c r="C326" i="7"/>
  <c r="C322" i="7"/>
  <c r="C318" i="7"/>
  <c r="C314" i="7"/>
  <c r="C310" i="7"/>
  <c r="C303" i="7"/>
  <c r="C296" i="7"/>
  <c r="C292" i="7"/>
  <c r="C288" i="7"/>
  <c r="C284" i="7"/>
  <c r="C280" i="7"/>
  <c r="C276" i="7"/>
  <c r="C272" i="7"/>
  <c r="C268" i="7"/>
  <c r="C264" i="7"/>
  <c r="C260" i="7"/>
  <c r="C256" i="7"/>
  <c r="C252" i="7"/>
  <c r="C248" i="7"/>
  <c r="C244" i="7"/>
  <c r="C240" i="7"/>
  <c r="C236" i="7"/>
  <c r="C232" i="7"/>
  <c r="C228" i="7"/>
  <c r="C224" i="7"/>
  <c r="C220" i="7"/>
  <c r="C216" i="7"/>
  <c r="Z23" i="4" s="1"/>
  <c r="C212" i="7"/>
  <c r="Z19" i="4" s="1"/>
  <c r="C208" i="7"/>
  <c r="Z15" i="4" s="1"/>
  <c r="C204" i="7"/>
  <c r="C200" i="7"/>
  <c r="C357" i="7"/>
  <c r="C346" i="7"/>
  <c r="C341" i="7"/>
  <c r="C333" i="7"/>
  <c r="C328" i="7"/>
  <c r="C317" i="7"/>
  <c r="C312" i="7"/>
  <c r="C295" i="7"/>
  <c r="C290" i="7"/>
  <c r="C279" i="7"/>
  <c r="C274" i="7"/>
  <c r="C263" i="7"/>
  <c r="C258" i="7"/>
  <c r="C247" i="7"/>
  <c r="C242" i="7"/>
  <c r="C231" i="7"/>
  <c r="C226" i="7"/>
  <c r="C215" i="7"/>
  <c r="Z22" i="4" s="1"/>
  <c r="C206" i="7"/>
  <c r="Z13" i="4" s="1"/>
  <c r="C197" i="7"/>
  <c r="C193" i="7"/>
  <c r="S16" i="11" s="1"/>
  <c r="C189" i="7"/>
  <c r="S11" i="11" s="1"/>
  <c r="C185" i="7"/>
  <c r="C181" i="7"/>
  <c r="C177" i="7"/>
  <c r="C173" i="7"/>
  <c r="C169" i="7"/>
  <c r="C165" i="7"/>
  <c r="C161" i="7"/>
  <c r="C157" i="7"/>
  <c r="C153" i="7"/>
  <c r="C149" i="7"/>
  <c r="C145" i="7"/>
  <c r="C141" i="7"/>
  <c r="C137" i="7"/>
  <c r="C133" i="7"/>
  <c r="C129" i="7"/>
  <c r="C125" i="7"/>
  <c r="C121" i="7"/>
  <c r="C117" i="7"/>
  <c r="C113" i="7"/>
  <c r="C109" i="7"/>
  <c r="C361" i="7"/>
  <c r="C354" i="7"/>
  <c r="C349" i="7"/>
  <c r="C338" i="7"/>
  <c r="C325" i="7"/>
  <c r="C320" i="7"/>
  <c r="C306" i="7"/>
  <c r="C301" i="7"/>
  <c r="C287" i="7"/>
  <c r="C282" i="7"/>
  <c r="C271" i="7"/>
  <c r="C266" i="7"/>
  <c r="C255" i="7"/>
  <c r="C250" i="7"/>
  <c r="C239" i="7"/>
  <c r="C234" i="7"/>
  <c r="C358" i="7"/>
  <c r="C353" i="7"/>
  <c r="C342" i="7"/>
  <c r="C337" i="7"/>
  <c r="C329" i="7"/>
  <c r="C324" i="7"/>
  <c r="C313" i="7"/>
  <c r="C305" i="7"/>
  <c r="C291" i="7"/>
  <c r="C286" i="7"/>
  <c r="C275" i="7"/>
  <c r="C270" i="7"/>
  <c r="C259" i="7"/>
  <c r="C254" i="7"/>
  <c r="C243" i="7"/>
  <c r="C238" i="7"/>
  <c r="C227" i="7"/>
  <c r="C222" i="7"/>
  <c r="C207" i="7"/>
  <c r="Z14" i="4" s="1"/>
  <c r="C198" i="7"/>
  <c r="S21" i="11" s="1"/>
  <c r="C194" i="7"/>
  <c r="S17" i="11" s="1"/>
  <c r="C190" i="7"/>
  <c r="S12" i="11" s="1"/>
  <c r="C186" i="7"/>
  <c r="C182" i="7"/>
  <c r="C178" i="7"/>
  <c r="C174" i="7"/>
  <c r="C170" i="7"/>
  <c r="C166" i="7"/>
  <c r="C162" i="7"/>
  <c r="C158" i="7"/>
  <c r="C154" i="7"/>
  <c r="C150" i="7"/>
  <c r="C146" i="7"/>
  <c r="C142" i="7"/>
  <c r="C138" i="7"/>
  <c r="C134" i="7"/>
  <c r="C130" i="7"/>
  <c r="C126" i="7"/>
  <c r="C122" i="7"/>
  <c r="C118" i="7"/>
  <c r="C114" i="7"/>
  <c r="C110" i="7"/>
  <c r="C106" i="7"/>
  <c r="C102" i="7"/>
  <c r="C283" i="7"/>
  <c r="C223" i="7"/>
  <c r="C192" i="7"/>
  <c r="S15" i="11" s="1"/>
  <c r="C187" i="7"/>
  <c r="C176" i="7"/>
  <c r="C171" i="7"/>
  <c r="C160" i="7"/>
  <c r="C155" i="7"/>
  <c r="C144" i="7"/>
  <c r="C139" i="7"/>
  <c r="C128" i="7"/>
  <c r="C123" i="7"/>
  <c r="C112" i="7"/>
  <c r="C107" i="7"/>
  <c r="C98" i="7"/>
  <c r="C94" i="7"/>
  <c r="C90" i="7"/>
  <c r="C86" i="7"/>
  <c r="C82" i="7"/>
  <c r="C77" i="7"/>
  <c r="C73" i="7"/>
  <c r="C69" i="7"/>
  <c r="C65" i="7"/>
  <c r="C61" i="7"/>
  <c r="C57" i="7"/>
  <c r="C53" i="7"/>
  <c r="C49" i="7"/>
  <c r="AC6" i="4" s="1"/>
  <c r="C38" i="7"/>
  <c r="J7" i="4" s="1"/>
  <c r="C34" i="7"/>
  <c r="D10" i="4" s="1"/>
  <c r="C30" i="7"/>
  <c r="D5" i="4" s="1"/>
  <c r="C26" i="7"/>
  <c r="C2" i="4" s="1"/>
  <c r="C22" i="7"/>
  <c r="C18" i="7"/>
  <c r="C15" i="7"/>
  <c r="C12" i="7"/>
  <c r="C8" i="7"/>
  <c r="C4" i="7"/>
  <c r="X27" i="4" s="1"/>
  <c r="K10" i="4" s="1"/>
  <c r="C316" i="7"/>
  <c r="C267" i="7"/>
  <c r="C230" i="7"/>
  <c r="C209" i="7"/>
  <c r="Z16" i="4" s="1"/>
  <c r="C203" i="7"/>
  <c r="C335" i="7"/>
  <c r="C294" i="7"/>
  <c r="C246" i="7"/>
  <c r="C214" i="7"/>
  <c r="Z21" i="4" s="1"/>
  <c r="C202" i="7"/>
  <c r="C196" i="7"/>
  <c r="S19" i="11" s="1"/>
  <c r="C191" i="7"/>
  <c r="S14" i="11" s="1"/>
  <c r="C180" i="7"/>
  <c r="C175" i="7"/>
  <c r="C164" i="7"/>
  <c r="C159" i="7"/>
  <c r="C148" i="7"/>
  <c r="C143" i="7"/>
  <c r="C132" i="7"/>
  <c r="C127" i="7"/>
  <c r="C116" i="7"/>
  <c r="C111" i="7"/>
  <c r="C101" i="7"/>
  <c r="C97" i="7"/>
  <c r="C93" i="7"/>
  <c r="C89" i="7"/>
  <c r="C85" i="7"/>
  <c r="C81" i="7"/>
  <c r="C76" i="7"/>
  <c r="C72" i="7"/>
  <c r="C68" i="7"/>
  <c r="C64" i="7"/>
  <c r="C60" i="7"/>
  <c r="C56" i="7"/>
  <c r="C52" i="7"/>
  <c r="C48" i="7"/>
  <c r="C37" i="7"/>
  <c r="C33" i="7"/>
  <c r="G9" i="4" s="1"/>
  <c r="C29" i="7"/>
  <c r="D4" i="4" s="1"/>
  <c r="C25" i="7"/>
  <c r="C21" i="7"/>
  <c r="C17" i="7"/>
  <c r="C11" i="7"/>
  <c r="C7" i="7"/>
  <c r="C350" i="7"/>
  <c r="C332" i="7"/>
  <c r="C278" i="7"/>
  <c r="C201" i="7"/>
  <c r="C105" i="7"/>
  <c r="C262" i="7"/>
  <c r="C235" i="7"/>
  <c r="C219" i="7"/>
  <c r="C213" i="7"/>
  <c r="Z20" i="4" s="1"/>
  <c r="C195" i="7"/>
  <c r="S18" i="11" s="1"/>
  <c r="C184" i="7"/>
  <c r="C179" i="7"/>
  <c r="C168" i="7"/>
  <c r="C163" i="7"/>
  <c r="C152" i="7"/>
  <c r="C147" i="7"/>
  <c r="C136" i="7"/>
  <c r="C131" i="7"/>
  <c r="C120" i="7"/>
  <c r="C115" i="7"/>
  <c r="C100" i="7"/>
  <c r="C96" i="7"/>
  <c r="C92" i="7"/>
  <c r="C88" i="7"/>
  <c r="C84" i="7"/>
  <c r="C80" i="7"/>
  <c r="C75" i="7"/>
  <c r="C71" i="7"/>
  <c r="C67" i="7"/>
  <c r="C63" i="7"/>
  <c r="C59" i="7"/>
  <c r="C55" i="7"/>
  <c r="C51" i="7"/>
  <c r="C40" i="7"/>
  <c r="C36" i="7"/>
  <c r="C32" i="7"/>
  <c r="D9" i="4" s="1"/>
  <c r="C28" i="7"/>
  <c r="D3" i="4" s="1"/>
  <c r="C24" i="7"/>
  <c r="C20" i="7"/>
  <c r="C14" i="7"/>
  <c r="C10" i="7"/>
  <c r="C6" i="7"/>
  <c r="C210" i="7"/>
  <c r="Z17" i="4" s="1"/>
  <c r="C167" i="7"/>
  <c r="C156" i="7"/>
  <c r="C135" i="7"/>
  <c r="C124" i="7"/>
  <c r="C95" i="7"/>
  <c r="C87" i="7"/>
  <c r="C78" i="7"/>
  <c r="C70" i="7"/>
  <c r="C62" i="7"/>
  <c r="C54" i="7"/>
  <c r="C35" i="7"/>
  <c r="D12" i="4" s="1"/>
  <c r="C27" i="7"/>
  <c r="P2" i="4" s="1"/>
  <c r="C19" i="7"/>
  <c r="C9" i="7"/>
  <c r="C321" i="7"/>
  <c r="C205" i="7"/>
  <c r="Z12" i="4" s="1"/>
  <c r="C188" i="7"/>
  <c r="S13" i="11" s="1"/>
  <c r="C218" i="7"/>
  <c r="C13" i="7"/>
  <c r="C345" i="7"/>
  <c r="C302" i="7"/>
  <c r="C199" i="7"/>
  <c r="S22" i="11" s="1"/>
  <c r="C172" i="7"/>
  <c r="C151" i="7"/>
  <c r="C140" i="7"/>
  <c r="C119" i="7"/>
  <c r="C108" i="7"/>
  <c r="C99" i="7"/>
  <c r="C91" i="7"/>
  <c r="C83" i="7"/>
  <c r="C74" i="7"/>
  <c r="C66" i="7"/>
  <c r="C58" i="7"/>
  <c r="C50" i="7"/>
  <c r="C39" i="7"/>
  <c r="N7" i="4" s="1"/>
  <c r="C31" i="7"/>
  <c r="C7" i="4" s="1"/>
  <c r="C23" i="7"/>
  <c r="C183" i="7"/>
  <c r="S23" i="11" s="1"/>
  <c r="C16" i="7"/>
  <c r="C5" i="7"/>
  <c r="C251" i="7"/>
  <c r="C211" i="7"/>
  <c r="Z18" i="4" s="1"/>
  <c r="D1" i="7"/>
  <c r="C104" i="7"/>
  <c r="C103" i="7"/>
  <c r="AM27" i="12"/>
  <c r="AM23" i="12"/>
  <c r="AM26" i="12"/>
  <c r="AM25" i="12"/>
  <c r="AM24" i="12"/>
  <c r="W4" i="23"/>
  <c r="AL29" i="12"/>
  <c r="AU20" i="12"/>
  <c r="BD20" i="12" s="1"/>
  <c r="O26" i="11"/>
  <c r="O33" i="11"/>
  <c r="O29" i="11"/>
  <c r="O17" i="11"/>
  <c r="O34" i="11"/>
  <c r="O30" i="11"/>
  <c r="P1" i="11"/>
  <c r="O28" i="11"/>
  <c r="O35" i="11"/>
  <c r="O31" i="11"/>
  <c r="O27" i="11"/>
  <c r="O32" i="11"/>
  <c r="O23" i="11"/>
  <c r="E2" i="19"/>
  <c r="AC78" i="978"/>
  <c r="AC83" i="978"/>
  <c r="AB5" i="978" l="1"/>
  <c r="AB7" i="979"/>
  <c r="X31" i="4"/>
  <c r="X32" i="4"/>
  <c r="AC77" i="978"/>
  <c r="C4" i="978" s="1"/>
  <c r="F2" i="19"/>
  <c r="G2" i="19" s="1"/>
  <c r="M36" i="11"/>
  <c r="M39" i="11"/>
  <c r="M34" i="11"/>
  <c r="M40" i="11"/>
  <c r="M32" i="11"/>
  <c r="M31" i="11"/>
  <c r="M41" i="11"/>
  <c r="M35" i="11"/>
  <c r="M29" i="11"/>
  <c r="M33" i="11"/>
  <c r="M37" i="11"/>
  <c r="M38" i="11"/>
  <c r="M30" i="11"/>
  <c r="D1" i="978"/>
  <c r="AY5" i="978" s="1"/>
  <c r="AY6" i="978" s="1"/>
  <c r="AY8" i="978" s="1"/>
  <c r="A8" i="979"/>
  <c r="A7" i="979"/>
  <c r="A9" i="979"/>
  <c r="J3" i="979"/>
  <c r="AD65" i="978"/>
  <c r="AE65" i="978" s="1"/>
  <c r="D11" i="979"/>
  <c r="A6" i="979"/>
  <c r="A11" i="979"/>
  <c r="A10" i="979"/>
  <c r="L1" i="979"/>
  <c r="AL2" i="979" s="1"/>
  <c r="Q1" i="979"/>
  <c r="AQ2" i="979" s="1"/>
  <c r="M1" i="978"/>
  <c r="AM2" i="978" s="1"/>
  <c r="R16" i="978"/>
  <c r="AT17" i="978" s="1"/>
  <c r="R1" i="978"/>
  <c r="AT2" i="978" s="1"/>
  <c r="H1" i="978"/>
  <c r="AH2" i="978" s="1"/>
  <c r="AQ11" i="978"/>
  <c r="AN11" i="979"/>
  <c r="AQ15" i="978"/>
  <c r="AN15" i="979"/>
  <c r="AQ8" i="978"/>
  <c r="AN8" i="979"/>
  <c r="AQ13" i="978"/>
  <c r="AN13" i="979"/>
  <c r="AQ17" i="978"/>
  <c r="AN17" i="979"/>
  <c r="AQ7" i="978"/>
  <c r="AN7" i="979"/>
  <c r="AQ14" i="978"/>
  <c r="AN14" i="979"/>
  <c r="AQ16" i="978"/>
  <c r="AN16" i="979"/>
  <c r="AQ9" i="978"/>
  <c r="AN9" i="979"/>
  <c r="AQ12" i="978"/>
  <c r="AN12" i="979"/>
  <c r="AQ10" i="978"/>
  <c r="AN10" i="979"/>
  <c r="AQ6" i="978"/>
  <c r="AN6" i="979"/>
  <c r="A39" i="979"/>
  <c r="AC72" i="978"/>
  <c r="AC1" i="978" s="1"/>
  <c r="AG59" i="978"/>
  <c r="AC59" i="978"/>
  <c r="AC60" i="978" s="1"/>
  <c r="AC55" i="978" s="1"/>
  <c r="V31" i="978"/>
  <c r="V45" i="978" s="1"/>
  <c r="T31" i="978"/>
  <c r="T45" i="978" s="1"/>
  <c r="X31" i="978"/>
  <c r="X45" i="978" s="1"/>
  <c r="S31" i="978"/>
  <c r="S45" i="978" s="1"/>
  <c r="U31" i="978"/>
  <c r="U45" i="978" s="1"/>
  <c r="R31" i="978"/>
  <c r="R45" i="978" s="1"/>
  <c r="W31" i="978"/>
  <c r="W45" i="978" s="1"/>
  <c r="AC74" i="978"/>
  <c r="AD66" i="978"/>
  <c r="AC71" i="978"/>
  <c r="F3" i="978" s="1"/>
  <c r="AC75" i="978"/>
  <c r="AC69" i="978"/>
  <c r="F1" i="978" s="1"/>
  <c r="AC73" i="978"/>
  <c r="AC76" i="978"/>
  <c r="AC67" i="978"/>
  <c r="C2" i="978" s="1"/>
  <c r="AC68" i="978"/>
  <c r="C3" i="978" s="1"/>
  <c r="AC70" i="978"/>
  <c r="F2" i="978" s="1"/>
  <c r="C1" i="978"/>
  <c r="AC2" i="978" s="1"/>
  <c r="AT8" i="979"/>
  <c r="AT9" i="979"/>
  <c r="AT10" i="979"/>
  <c r="AD65" i="979"/>
  <c r="R1" i="979" s="1"/>
  <c r="M1" i="979"/>
  <c r="AC66" i="979"/>
  <c r="AU5" i="979"/>
  <c r="AT7" i="979"/>
  <c r="AT6" i="979"/>
  <c r="AB18" i="978"/>
  <c r="AV15" i="12"/>
  <c r="AV6" i="12"/>
  <c r="AV9" i="12"/>
  <c r="AV16" i="12"/>
  <c r="AV18" i="12"/>
  <c r="AV14" i="12"/>
  <c r="AV8" i="12"/>
  <c r="AV24" i="12"/>
  <c r="AV27" i="12"/>
  <c r="AV25" i="12"/>
  <c r="AV26" i="12"/>
  <c r="AV5" i="12"/>
  <c r="C3" i="12"/>
  <c r="AH21" i="12"/>
  <c r="C23" i="12" s="1"/>
  <c r="BG12" i="12"/>
  <c r="K2" i="19"/>
  <c r="K4" i="19"/>
  <c r="K3" i="19"/>
  <c r="AY30" i="12"/>
  <c r="J5" i="19"/>
  <c r="K5" i="19" s="1"/>
  <c r="E1" i="23"/>
  <c r="R14" i="11"/>
  <c r="AO12" i="12"/>
  <c r="AQ12" i="12" s="1"/>
  <c r="L14" i="12" s="1"/>
  <c r="AN14" i="12" s="1"/>
  <c r="R16" i="11"/>
  <c r="D53" i="11"/>
  <c r="AX21" i="12"/>
  <c r="AZ21" i="12" s="1"/>
  <c r="U23" i="12" s="1"/>
  <c r="R20" i="11"/>
  <c r="AO3" i="12"/>
  <c r="AQ3" i="12" s="1"/>
  <c r="L5" i="12" s="1"/>
  <c r="R19" i="11"/>
  <c r="AG21" i="12"/>
  <c r="AY3" i="12"/>
  <c r="AP21" i="12"/>
  <c r="R22" i="11"/>
  <c r="R13" i="11"/>
  <c r="D4" i="11"/>
  <c r="R11" i="11"/>
  <c r="D6" i="11"/>
  <c r="AY12" i="12"/>
  <c r="AF30" i="12"/>
  <c r="R12" i="11"/>
  <c r="D7" i="11"/>
  <c r="L1" i="11"/>
  <c r="D34" i="11"/>
  <c r="R18" i="11"/>
  <c r="AF12" i="12"/>
  <c r="D23" i="11"/>
  <c r="D8" i="11"/>
  <c r="D25" i="11"/>
  <c r="D41" i="11"/>
  <c r="F41" i="11" s="1"/>
  <c r="AG3" i="12"/>
  <c r="D39" i="11"/>
  <c r="B39" i="11" s="1"/>
  <c r="D52" i="11"/>
  <c r="D14" i="11"/>
  <c r="D3" i="11"/>
  <c r="D2" i="11"/>
  <c r="C2" i="11"/>
  <c r="AP30" i="12"/>
  <c r="Z2" i="11"/>
  <c r="Z3" i="11"/>
  <c r="AB3" i="11" s="1"/>
  <c r="O7" i="11"/>
  <c r="G2" i="11"/>
  <c r="D28" i="11"/>
  <c r="V1" i="11"/>
  <c r="B2" i="11"/>
  <c r="D49" i="11"/>
  <c r="F2" i="11"/>
  <c r="E2" i="11"/>
  <c r="D1" i="11"/>
  <c r="D42" i="11"/>
  <c r="K1" i="11"/>
  <c r="K41" i="11" s="1"/>
  <c r="D15" i="11"/>
  <c r="D38" i="11"/>
  <c r="C38" i="11" s="1"/>
  <c r="D17" i="11"/>
  <c r="J1" i="11"/>
  <c r="J38" i="11" s="1"/>
  <c r="D22" i="11"/>
  <c r="D12" i="11"/>
  <c r="D37" i="11"/>
  <c r="F37" i="11" s="1"/>
  <c r="D10" i="11"/>
  <c r="D16" i="11"/>
  <c r="D9" i="11"/>
  <c r="D20" i="11"/>
  <c r="D5" i="11"/>
  <c r="D13" i="11"/>
  <c r="D24" i="11"/>
  <c r="D11" i="11"/>
  <c r="D43" i="11"/>
  <c r="D26" i="11"/>
  <c r="D18" i="11"/>
  <c r="D21" i="11"/>
  <c r="D19" i="11"/>
  <c r="D50" i="11"/>
  <c r="D36" i="11"/>
  <c r="C36" i="11" s="1"/>
  <c r="D44" i="11"/>
  <c r="D40" i="11"/>
  <c r="B40" i="11" s="1"/>
  <c r="AS49" i="12"/>
  <c r="M49" i="12" s="1"/>
  <c r="AS53" i="12"/>
  <c r="M53" i="12" s="1"/>
  <c r="BB50" i="12"/>
  <c r="V50" i="12" s="1"/>
  <c r="AS50" i="12"/>
  <c r="M50" i="12" s="1"/>
  <c r="X19" i="12"/>
  <c r="BB54" i="12"/>
  <c r="V54" i="12" s="1"/>
  <c r="BB41" i="12"/>
  <c r="V41" i="12" s="1"/>
  <c r="AJ46" i="12"/>
  <c r="D46" i="12" s="1"/>
  <c r="AS43" i="12"/>
  <c r="M43" i="12" s="1"/>
  <c r="R15" i="11"/>
  <c r="AS47" i="12"/>
  <c r="M47" i="12" s="1"/>
  <c r="AJ42" i="12"/>
  <c r="D42" i="12" s="1"/>
  <c r="AJ52" i="12"/>
  <c r="D52" i="12" s="1"/>
  <c r="BB51" i="12"/>
  <c r="V51" i="12" s="1"/>
  <c r="AJ49" i="12"/>
  <c r="D49" i="12" s="1"/>
  <c r="AS48" i="12"/>
  <c r="M48" i="12" s="1"/>
  <c r="AS52" i="12"/>
  <c r="M52" i="12" s="1"/>
  <c r="BB52" i="12"/>
  <c r="V52" i="12" s="1"/>
  <c r="AS44" i="12"/>
  <c r="M44" i="12" s="1"/>
  <c r="AS45" i="12"/>
  <c r="M45" i="12" s="1"/>
  <c r="AJ40" i="12"/>
  <c r="D40" i="12" s="1"/>
  <c r="AS42" i="12"/>
  <c r="M42" i="12" s="1"/>
  <c r="AJ50" i="12"/>
  <c r="D50" i="12" s="1"/>
  <c r="AJ51" i="12"/>
  <c r="D51" i="12" s="1"/>
  <c r="AJ44" i="12"/>
  <c r="D44" i="12" s="1"/>
  <c r="AS54" i="12"/>
  <c r="M54" i="12" s="1"/>
  <c r="BB53" i="12"/>
  <c r="V53" i="12" s="1"/>
  <c r="BB47" i="12"/>
  <c r="V47" i="12" s="1"/>
  <c r="AJ45" i="12"/>
  <c r="D45" i="12" s="1"/>
  <c r="AJ41" i="12"/>
  <c r="D41" i="12" s="1"/>
  <c r="AS40" i="12"/>
  <c r="M40" i="12" s="1"/>
  <c r="BB49" i="12"/>
  <c r="V49" i="12" s="1"/>
  <c r="AS51" i="12"/>
  <c r="M51" i="12" s="1"/>
  <c r="C1" i="12"/>
  <c r="AJ48" i="12"/>
  <c r="D48" i="12" s="1"/>
  <c r="X37" i="12"/>
  <c r="AS41" i="12"/>
  <c r="M41" i="12" s="1"/>
  <c r="BB42" i="12"/>
  <c r="V42" i="12" s="1"/>
  <c r="AS46" i="12"/>
  <c r="M46" i="12" s="1"/>
  <c r="BB46" i="12"/>
  <c r="V46" i="12" s="1"/>
  <c r="AJ54" i="12"/>
  <c r="D54" i="12" s="1"/>
  <c r="AJ47" i="12"/>
  <c r="D47" i="12" s="1"/>
  <c r="BB44" i="12"/>
  <c r="V44" i="12" s="1"/>
  <c r="BB43" i="12"/>
  <c r="V43" i="12" s="1"/>
  <c r="X10" i="12"/>
  <c r="X28" i="12"/>
  <c r="BB40" i="12"/>
  <c r="V40" i="12" s="1"/>
  <c r="BB48" i="12"/>
  <c r="V48" i="12" s="1"/>
  <c r="AJ43" i="12"/>
  <c r="D43" i="12" s="1"/>
  <c r="AJ53" i="12"/>
  <c r="D53" i="12" s="1"/>
  <c r="BB45" i="12"/>
  <c r="V45" i="12" s="1"/>
  <c r="Q10" i="10"/>
  <c r="B33" i="10"/>
  <c r="B2" i="10"/>
  <c r="B27" i="10"/>
  <c r="B13" i="10"/>
  <c r="B9" i="10"/>
  <c r="B7" i="10"/>
  <c r="X4" i="10"/>
  <c r="Q29" i="10"/>
  <c r="B11" i="10"/>
  <c r="Q21" i="10"/>
  <c r="B1" i="10"/>
  <c r="B36" i="10"/>
  <c r="B17" i="10"/>
  <c r="X23" i="10"/>
  <c r="Q20" i="10"/>
  <c r="Q13" i="10"/>
  <c r="E35" i="10"/>
  <c r="B3" i="10"/>
  <c r="N23" i="10"/>
  <c r="B23" i="10"/>
  <c r="B18" i="10"/>
  <c r="Q37" i="10"/>
  <c r="Q19" i="10"/>
  <c r="Q32" i="10"/>
  <c r="B20" i="10"/>
  <c r="B25" i="10"/>
  <c r="Q34" i="10"/>
  <c r="Q26" i="10"/>
  <c r="Q38" i="10"/>
  <c r="Q7" i="10"/>
  <c r="W9" i="10"/>
  <c r="E34" i="10"/>
  <c r="Q28" i="10"/>
  <c r="B29" i="10"/>
  <c r="B32" i="10"/>
  <c r="B5" i="10"/>
  <c r="Q27" i="10"/>
  <c r="B16" i="10"/>
  <c r="Q4" i="10"/>
  <c r="Q8" i="10"/>
  <c r="B22" i="10"/>
  <c r="Q14" i="10"/>
  <c r="B4" i="10"/>
  <c r="B37" i="10"/>
  <c r="B6" i="10"/>
  <c r="B10" i="10"/>
  <c r="B31" i="10"/>
  <c r="B26" i="10"/>
  <c r="B12" i="10"/>
  <c r="X8" i="10"/>
  <c r="B8" i="10"/>
  <c r="B14" i="10"/>
  <c r="B30" i="10"/>
  <c r="X19" i="10"/>
  <c r="Q5" i="10"/>
  <c r="B28" i="10"/>
  <c r="Q35" i="10"/>
  <c r="X12" i="10"/>
  <c r="B21" i="10"/>
  <c r="B19" i="10"/>
  <c r="B38" i="10"/>
  <c r="Q11" i="10"/>
  <c r="AA32" i="10"/>
  <c r="U30" i="12"/>
  <c r="X26" i="23"/>
  <c r="X26" i="24"/>
  <c r="C5" i="12"/>
  <c r="O3" i="24"/>
  <c r="P3" i="24" s="1"/>
  <c r="Q3" i="24" s="1"/>
  <c r="R3" i="24" s="1"/>
  <c r="H1" i="23"/>
  <c r="AF4" i="11"/>
  <c r="V4" i="11"/>
  <c r="F1" i="24"/>
  <c r="AF7" i="11"/>
  <c r="V7" i="11"/>
  <c r="X22" i="23"/>
  <c r="X22" i="24"/>
  <c r="L21" i="12"/>
  <c r="J1" i="24"/>
  <c r="V2" i="11"/>
  <c r="AF2" i="11"/>
  <c r="X16" i="24"/>
  <c r="X16" i="23"/>
  <c r="L3" i="12"/>
  <c r="W22" i="12"/>
  <c r="AY22" i="12" s="1"/>
  <c r="N31" i="12"/>
  <c r="AP31" i="12" s="1"/>
  <c r="W31" i="12"/>
  <c r="AY31" i="12" s="1"/>
  <c r="E22" i="12"/>
  <c r="AG22" i="12" s="1"/>
  <c r="N22" i="12"/>
  <c r="AP22" i="12" s="1"/>
  <c r="E13" i="12"/>
  <c r="AG13" i="12" s="1"/>
  <c r="N13" i="12"/>
  <c r="AP13" i="12" s="1"/>
  <c r="W13" i="12"/>
  <c r="AY13" i="12" s="1"/>
  <c r="E4" i="12"/>
  <c r="N4" i="12"/>
  <c r="W4" i="12"/>
  <c r="E31" i="12"/>
  <c r="AG31" i="12" s="1"/>
  <c r="L23" i="12"/>
  <c r="AN23" i="12" s="1"/>
  <c r="O3" i="23"/>
  <c r="U5" i="12"/>
  <c r="X23" i="24"/>
  <c r="X23" i="23"/>
  <c r="U21" i="12"/>
  <c r="D1" i="24"/>
  <c r="AF6" i="11"/>
  <c r="V6" i="11"/>
  <c r="X25" i="23"/>
  <c r="L30" i="12"/>
  <c r="X25" i="24"/>
  <c r="G31" i="12"/>
  <c r="AI31" i="12" s="1"/>
  <c r="P22" i="12"/>
  <c r="AR22" i="12" s="1"/>
  <c r="Y22" i="12"/>
  <c r="BA22" i="12" s="1"/>
  <c r="P13" i="12"/>
  <c r="AR13" i="12" s="1"/>
  <c r="Y13" i="12"/>
  <c r="BA13" i="12" s="1"/>
  <c r="G4" i="12"/>
  <c r="Y31" i="12"/>
  <c r="BA31" i="12" s="1"/>
  <c r="P4" i="12"/>
  <c r="P31" i="12"/>
  <c r="AR31" i="12" s="1"/>
  <c r="Y4" i="12"/>
  <c r="G22" i="12"/>
  <c r="AI22" i="12" s="1"/>
  <c r="G13" i="12"/>
  <c r="AI13" i="12" s="1"/>
  <c r="AL38" i="12"/>
  <c r="AU38" i="12" s="1"/>
  <c r="BD38" i="12" s="1"/>
  <c r="AU29" i="12"/>
  <c r="BD29" i="12" s="1"/>
  <c r="X21" i="24"/>
  <c r="X21" i="23"/>
  <c r="C21" i="12"/>
  <c r="L31" i="12"/>
  <c r="AN31" i="12" s="1"/>
  <c r="U31" i="12"/>
  <c r="AW31" i="12" s="1"/>
  <c r="C22" i="12"/>
  <c r="AE22" i="12" s="1"/>
  <c r="L22" i="12"/>
  <c r="AN22" i="12" s="1"/>
  <c r="C31" i="12"/>
  <c r="AE31" i="12" s="1"/>
  <c r="C13" i="12"/>
  <c r="AE13" i="12" s="1"/>
  <c r="U4" i="12"/>
  <c r="L13" i="12"/>
  <c r="AN13" i="12" s="1"/>
  <c r="U13" i="12"/>
  <c r="AW13" i="12" s="1"/>
  <c r="C4" i="12"/>
  <c r="U22" i="12"/>
  <c r="AW22" i="12" s="1"/>
  <c r="L4" i="12"/>
  <c r="X19" i="24"/>
  <c r="X19" i="23"/>
  <c r="L12" i="12"/>
  <c r="H31" i="12"/>
  <c r="AJ31" i="12" s="1"/>
  <c r="Q31" i="12"/>
  <c r="AS31" i="12" s="1"/>
  <c r="Z22" i="12"/>
  <c r="BB22" i="12" s="1"/>
  <c r="Q22" i="12"/>
  <c r="AS22" i="12" s="1"/>
  <c r="Z13" i="12"/>
  <c r="BB13" i="12" s="1"/>
  <c r="H4" i="12"/>
  <c r="Z31" i="12"/>
  <c r="BB31" i="12" s="1"/>
  <c r="Q4" i="12"/>
  <c r="Z4" i="12"/>
  <c r="H22" i="12"/>
  <c r="AJ22" i="12" s="1"/>
  <c r="Q13" i="12"/>
  <c r="AS13" i="12" s="1"/>
  <c r="H13" i="12"/>
  <c r="AJ13" i="12" s="1"/>
  <c r="I31" i="12"/>
  <c r="AK31" i="12" s="1"/>
  <c r="R31" i="12"/>
  <c r="AT31" i="12" s="1"/>
  <c r="AA31" i="12"/>
  <c r="BC31" i="12" s="1"/>
  <c r="R4" i="12"/>
  <c r="AA4" i="12"/>
  <c r="I22" i="12"/>
  <c r="AK22" i="12" s="1"/>
  <c r="R22" i="12"/>
  <c r="AT22" i="12" s="1"/>
  <c r="AA13" i="12"/>
  <c r="BC13" i="12" s="1"/>
  <c r="AA22" i="12"/>
  <c r="BC22" i="12" s="1"/>
  <c r="I4" i="12"/>
  <c r="I13" i="12"/>
  <c r="AK13" i="12" s="1"/>
  <c r="R13" i="12"/>
  <c r="AT13" i="12" s="1"/>
  <c r="U32" i="12"/>
  <c r="H1" i="24"/>
  <c r="AF8" i="11"/>
  <c r="V8" i="11"/>
  <c r="V31" i="12"/>
  <c r="AX31" i="12" s="1"/>
  <c r="M22" i="12"/>
  <c r="AO22" i="12" s="1"/>
  <c r="V22" i="12"/>
  <c r="AX22" i="12" s="1"/>
  <c r="D31" i="12"/>
  <c r="AF31" i="12" s="1"/>
  <c r="M31" i="12"/>
  <c r="AO31" i="12" s="1"/>
  <c r="D13" i="12"/>
  <c r="AF13" i="12" s="1"/>
  <c r="M13" i="12"/>
  <c r="AO13" i="12" s="1"/>
  <c r="V13" i="12"/>
  <c r="AX13" i="12" s="1"/>
  <c r="D4" i="12"/>
  <c r="D22" i="12"/>
  <c r="AF22" i="12" s="1"/>
  <c r="M4" i="12"/>
  <c r="V4" i="12"/>
  <c r="X31" i="12"/>
  <c r="AZ31" i="12" s="1"/>
  <c r="F22" i="12"/>
  <c r="AH22" i="12" s="1"/>
  <c r="O22" i="12"/>
  <c r="AQ22" i="12" s="1"/>
  <c r="F13" i="12"/>
  <c r="AH13" i="12" s="1"/>
  <c r="O13" i="12"/>
  <c r="AQ13" i="12" s="1"/>
  <c r="X13" i="12"/>
  <c r="AZ13" i="12" s="1"/>
  <c r="F4" i="12"/>
  <c r="O4" i="12"/>
  <c r="O31" i="12"/>
  <c r="AQ31" i="12" s="1"/>
  <c r="X4" i="12"/>
  <c r="F31" i="12"/>
  <c r="AH31" i="12" s="1"/>
  <c r="X22" i="12"/>
  <c r="AZ22" i="12" s="1"/>
  <c r="AC8" i="4"/>
  <c r="AC16" i="4"/>
  <c r="AB25" i="4"/>
  <c r="AC24" i="4" s="1"/>
  <c r="L32" i="12"/>
  <c r="W15" i="4"/>
  <c r="X15" i="4" s="1"/>
  <c r="Q22" i="11"/>
  <c r="D35" i="11" s="1"/>
  <c r="Q14" i="11"/>
  <c r="Q19" i="11"/>
  <c r="Q11" i="11"/>
  <c r="D29" i="11" s="1"/>
  <c r="C29" i="11" s="1"/>
  <c r="Q16" i="11"/>
  <c r="D33" i="11" s="1"/>
  <c r="Q21" i="11"/>
  <c r="Q13" i="11"/>
  <c r="D31" i="11" s="1"/>
  <c r="C31" i="11" s="1"/>
  <c r="Q18" i="11"/>
  <c r="Q15" i="11"/>
  <c r="D32" i="11" s="1"/>
  <c r="B32" i="11" s="1"/>
  <c r="Q20" i="11"/>
  <c r="Q12" i="11"/>
  <c r="D30" i="11" s="1"/>
  <c r="C30" i="11" s="1"/>
  <c r="X15" i="24"/>
  <c r="X15" i="23"/>
  <c r="O20" i="11"/>
  <c r="O12" i="11"/>
  <c r="O22" i="11"/>
  <c r="O14" i="11"/>
  <c r="O19" i="11"/>
  <c r="O11" i="11"/>
  <c r="O16" i="11"/>
  <c r="O21" i="11"/>
  <c r="O13" i="11"/>
  <c r="O18" i="11"/>
  <c r="O15" i="11"/>
  <c r="J1" i="23"/>
  <c r="AF5" i="11"/>
  <c r="V5" i="11"/>
  <c r="X20" i="24"/>
  <c r="X20" i="23"/>
  <c r="U12" i="12"/>
  <c r="X24" i="24"/>
  <c r="X24" i="23"/>
  <c r="C30" i="12"/>
  <c r="F1" i="23"/>
  <c r="V3" i="11"/>
  <c r="AF3" i="11"/>
  <c r="X17" i="23"/>
  <c r="X17" i="24"/>
  <c r="U3" i="12"/>
  <c r="D26" i="23"/>
  <c r="L26" i="24"/>
  <c r="X18" i="24"/>
  <c r="X18" i="23"/>
  <c r="C12" i="12"/>
  <c r="X26" i="4"/>
  <c r="E11" i="4" s="1"/>
  <c r="X25" i="4"/>
  <c r="E10" i="4" s="1"/>
  <c r="X14" i="4"/>
  <c r="U14" i="12"/>
  <c r="J6" i="19"/>
  <c r="K6" i="19" s="1"/>
  <c r="D7" i="19"/>
  <c r="E3" i="19"/>
  <c r="AD79" i="978"/>
  <c r="AC78" i="979"/>
  <c r="AD84" i="978"/>
  <c r="AC80" i="979"/>
  <c r="L21" i="11" l="1"/>
  <c r="L20" i="11"/>
  <c r="AU12" i="979"/>
  <c r="AU10" i="979" s="1"/>
  <c r="AS10" i="979" s="1"/>
  <c r="G3" i="979" s="1"/>
  <c r="AT14" i="979"/>
  <c r="AU14" i="979" s="1"/>
  <c r="AT15" i="979"/>
  <c r="AT16" i="979" s="1"/>
  <c r="AU16" i="979" s="1"/>
  <c r="AC77" i="979"/>
  <c r="AD77" i="978"/>
  <c r="H4" i="978" s="1"/>
  <c r="L33" i="11"/>
  <c r="I23" i="11"/>
  <c r="F35" i="11"/>
  <c r="F34" i="11"/>
  <c r="F33" i="11"/>
  <c r="I1" i="978"/>
  <c r="AY7" i="978"/>
  <c r="AY9" i="978" s="1"/>
  <c r="AQ30" i="978" s="1"/>
  <c r="F53" i="978"/>
  <c r="AC63" i="978"/>
  <c r="AC58" i="978" s="1"/>
  <c r="AC61" i="978"/>
  <c r="AC56" i="978" s="1"/>
  <c r="AC62" i="978"/>
  <c r="AC57" i="978" s="1"/>
  <c r="AC72" i="979"/>
  <c r="AL1" i="979" s="1"/>
  <c r="AC59" i="979"/>
  <c r="AG59" i="979"/>
  <c r="AG63" i="978"/>
  <c r="AG58" i="978" s="1"/>
  <c r="AG62" i="978"/>
  <c r="AG57" i="978" s="1"/>
  <c r="AG61" i="978"/>
  <c r="AG56" i="978" s="1"/>
  <c r="AD72" i="978"/>
  <c r="AH1" i="978" s="1"/>
  <c r="AH59" i="978"/>
  <c r="AD59" i="978"/>
  <c r="C53" i="978"/>
  <c r="AD74" i="978"/>
  <c r="AD69" i="978"/>
  <c r="K1" i="978" s="1"/>
  <c r="AD76" i="978"/>
  <c r="AD71" i="978"/>
  <c r="K3" i="978" s="1"/>
  <c r="AD73" i="978"/>
  <c r="AD75" i="978"/>
  <c r="AE66" i="978"/>
  <c r="AD67" i="978"/>
  <c r="H2" i="978" s="1"/>
  <c r="AD68" i="978"/>
  <c r="H3" i="978" s="1"/>
  <c r="AD70" i="978"/>
  <c r="K2" i="978" s="1"/>
  <c r="AG65" i="978"/>
  <c r="N1" i="978"/>
  <c r="AU6" i="979"/>
  <c r="AT11" i="979" s="1"/>
  <c r="AS11" i="979" s="1"/>
  <c r="AU7" i="979"/>
  <c r="AC70" i="979"/>
  <c r="AC76" i="979"/>
  <c r="AC71" i="979"/>
  <c r="AC67" i="979"/>
  <c r="AC74" i="979"/>
  <c r="AC75" i="979"/>
  <c r="AC68" i="979"/>
  <c r="AD66" i="979"/>
  <c r="AC73" i="979"/>
  <c r="AC69" i="979"/>
  <c r="AB19" i="978"/>
  <c r="P3" i="23"/>
  <c r="AH12" i="12"/>
  <c r="C14" i="12" s="1"/>
  <c r="BG3" i="12"/>
  <c r="V23" i="12"/>
  <c r="AW23" i="12"/>
  <c r="M32" i="12"/>
  <c r="D23" i="12"/>
  <c r="E23" i="12" s="1"/>
  <c r="V32" i="12"/>
  <c r="W32" i="12" s="1"/>
  <c r="AW32" i="12"/>
  <c r="V5" i="12"/>
  <c r="W5" i="12" s="1"/>
  <c r="AH30" i="12"/>
  <c r="C32" i="12" s="1"/>
  <c r="BG21" i="12"/>
  <c r="V14" i="12"/>
  <c r="W14" i="12" s="1"/>
  <c r="D5" i="12"/>
  <c r="E5" i="12" s="1"/>
  <c r="BC4" i="12"/>
  <c r="AZ4" i="12"/>
  <c r="AX4" i="12"/>
  <c r="AW4" i="12"/>
  <c r="BA4" i="12"/>
  <c r="BB4" i="12"/>
  <c r="AY4" i="12"/>
  <c r="AO4" i="12"/>
  <c r="AS4" i="12"/>
  <c r="AN4" i="12"/>
  <c r="AP4" i="12"/>
  <c r="AQ4" i="12"/>
  <c r="AT4" i="12"/>
  <c r="AR4" i="12"/>
  <c r="AI4" i="12"/>
  <c r="AG4" i="12"/>
  <c r="AH4" i="12"/>
  <c r="AF4" i="12"/>
  <c r="AK4" i="12"/>
  <c r="AJ4" i="12"/>
  <c r="AE4" i="12"/>
  <c r="F3" i="19"/>
  <c r="G3" i="19" s="1"/>
  <c r="H2" i="19"/>
  <c r="I2" i="19" s="1"/>
  <c r="X12" i="24"/>
  <c r="L1" i="24" s="1"/>
  <c r="X12" i="23"/>
  <c r="D1" i="23" s="1"/>
  <c r="K16" i="11"/>
  <c r="L16" i="11"/>
  <c r="J16" i="11"/>
  <c r="L41" i="11"/>
  <c r="K31" i="11"/>
  <c r="K32" i="11"/>
  <c r="K9" i="11"/>
  <c r="J12" i="11"/>
  <c r="C41" i="11"/>
  <c r="B29" i="11"/>
  <c r="L38" i="11"/>
  <c r="C37" i="11"/>
  <c r="F38" i="11"/>
  <c r="B35" i="11"/>
  <c r="B33" i="11"/>
  <c r="F29" i="11"/>
  <c r="L37" i="11"/>
  <c r="B37" i="11"/>
  <c r="B38" i="11"/>
  <c r="K35" i="11"/>
  <c r="L31" i="11"/>
  <c r="L12" i="11"/>
  <c r="K7" i="11"/>
  <c r="K30" i="11"/>
  <c r="L29" i="11"/>
  <c r="L14" i="11"/>
  <c r="L50" i="11"/>
  <c r="L15" i="11"/>
  <c r="L11" i="11"/>
  <c r="L10" i="11"/>
  <c r="L6" i="11"/>
  <c r="L39" i="11"/>
  <c r="L23" i="11"/>
  <c r="L17" i="11"/>
  <c r="L30" i="11"/>
  <c r="L44" i="11"/>
  <c r="K40" i="11"/>
  <c r="C33" i="11"/>
  <c r="K8" i="11"/>
  <c r="K39" i="11"/>
  <c r="K23" i="11"/>
  <c r="B31" i="11"/>
  <c r="L9" i="11"/>
  <c r="K12" i="11"/>
  <c r="K38" i="11"/>
  <c r="C35" i="11"/>
  <c r="L51" i="11"/>
  <c r="K10" i="11"/>
  <c r="K33" i="11"/>
  <c r="L53" i="11"/>
  <c r="K25" i="11"/>
  <c r="B36" i="11"/>
  <c r="C39" i="11"/>
  <c r="L7" i="11"/>
  <c r="K15" i="11"/>
  <c r="K36" i="11"/>
  <c r="L40" i="11"/>
  <c r="L32" i="11"/>
  <c r="L43" i="11"/>
  <c r="L8" i="11"/>
  <c r="K24" i="11"/>
  <c r="I17" i="11"/>
  <c r="K4" i="11"/>
  <c r="J39" i="11"/>
  <c r="L52" i="11"/>
  <c r="F40" i="11"/>
  <c r="L5" i="11"/>
  <c r="L22" i="11"/>
  <c r="L18" i="11"/>
  <c r="J18" i="11"/>
  <c r="I50" i="11"/>
  <c r="F39" i="11"/>
  <c r="I18" i="11"/>
  <c r="L24" i="11"/>
  <c r="B34" i="11"/>
  <c r="K14" i="11"/>
  <c r="C34" i="11"/>
  <c r="K6" i="11"/>
  <c r="K29" i="11"/>
  <c r="L35" i="11"/>
  <c r="L36" i="11"/>
  <c r="F36" i="11"/>
  <c r="B41" i="11"/>
  <c r="L25" i="11"/>
  <c r="L19" i="11"/>
  <c r="L4" i="11"/>
  <c r="J33" i="11"/>
  <c r="K34" i="11"/>
  <c r="K37" i="11"/>
  <c r="L34" i="11"/>
  <c r="C40" i="11"/>
  <c r="J20" i="11"/>
  <c r="L26" i="11"/>
  <c r="J25" i="11"/>
  <c r="I20" i="11"/>
  <c r="I13" i="11"/>
  <c r="I8" i="11"/>
  <c r="I22" i="11"/>
  <c r="I21" i="11"/>
  <c r="I29" i="11"/>
  <c r="I34" i="11"/>
  <c r="I33" i="11"/>
  <c r="I6" i="11"/>
  <c r="I15" i="11"/>
  <c r="J9" i="11"/>
  <c r="J10" i="11"/>
  <c r="I48" i="11"/>
  <c r="I26" i="11"/>
  <c r="I27" i="11"/>
  <c r="I39" i="11"/>
  <c r="J34" i="11"/>
  <c r="J17" i="11"/>
  <c r="K43" i="11"/>
  <c r="K18" i="11"/>
  <c r="I32" i="11"/>
  <c r="I31" i="11"/>
  <c r="I16" i="11"/>
  <c r="J14" i="11"/>
  <c r="J11" i="11"/>
  <c r="K44" i="11"/>
  <c r="I51" i="11"/>
  <c r="J4" i="11"/>
  <c r="J32" i="11"/>
  <c r="AB2" i="11"/>
  <c r="I41" i="11"/>
  <c r="I35" i="11"/>
  <c r="I30" i="11"/>
  <c r="J7" i="11"/>
  <c r="J36" i="11"/>
  <c r="F32" i="11"/>
  <c r="F52" i="11"/>
  <c r="K52" i="11" s="1"/>
  <c r="J30" i="11"/>
  <c r="J37" i="11"/>
  <c r="C32" i="11"/>
  <c r="J19" i="11"/>
  <c r="J41" i="11"/>
  <c r="J31" i="11"/>
  <c r="J15" i="11"/>
  <c r="K21" i="11"/>
  <c r="J24" i="11"/>
  <c r="I4" i="11"/>
  <c r="I37" i="11"/>
  <c r="I10" i="11"/>
  <c r="J8" i="11"/>
  <c r="J6" i="11"/>
  <c r="J40" i="11"/>
  <c r="J35" i="11"/>
  <c r="J21" i="11"/>
  <c r="J13" i="11"/>
  <c r="K13" i="11"/>
  <c r="I12" i="11"/>
  <c r="I47" i="11"/>
  <c r="J23" i="11"/>
  <c r="J29" i="11"/>
  <c r="I19" i="11"/>
  <c r="I9" i="11"/>
  <c r="I38" i="11"/>
  <c r="I42" i="11"/>
  <c r="I40" i="11"/>
  <c r="F31" i="11"/>
  <c r="K19" i="11"/>
  <c r="I43" i="11"/>
  <c r="I11" i="11"/>
  <c r="I44" i="11"/>
  <c r="I49" i="11"/>
  <c r="I46" i="11"/>
  <c r="B30" i="11"/>
  <c r="K17" i="11"/>
  <c r="I14" i="11"/>
  <c r="I45" i="11"/>
  <c r="I36" i="11"/>
  <c r="I5" i="11"/>
  <c r="I7" i="11"/>
  <c r="I53" i="11"/>
  <c r="J22" i="11"/>
  <c r="F30" i="11"/>
  <c r="T1" i="11"/>
  <c r="K22" i="11"/>
  <c r="I52" i="11"/>
  <c r="I25" i="11"/>
  <c r="I24" i="11"/>
  <c r="I28" i="11"/>
  <c r="L13" i="11"/>
  <c r="K26" i="11"/>
  <c r="J43" i="11"/>
  <c r="K20" i="11"/>
  <c r="K11" i="11"/>
  <c r="K5" i="11"/>
  <c r="J5" i="11"/>
  <c r="J44" i="11"/>
  <c r="J26" i="11"/>
  <c r="F20" i="11"/>
  <c r="F24" i="11"/>
  <c r="F17" i="11"/>
  <c r="F19" i="11"/>
  <c r="F51" i="11"/>
  <c r="K51" i="11" s="1"/>
  <c r="F21" i="11"/>
  <c r="F16" i="11"/>
  <c r="F9" i="11"/>
  <c r="F23" i="11"/>
  <c r="F7" i="11"/>
  <c r="F4" i="11"/>
  <c r="F22" i="11"/>
  <c r="F12" i="11"/>
  <c r="F10" i="11"/>
  <c r="F6" i="11"/>
  <c r="F8" i="11"/>
  <c r="F14" i="11"/>
  <c r="F53" i="11"/>
  <c r="K53" i="11" s="1"/>
  <c r="F15" i="11"/>
  <c r="F18" i="11"/>
  <c r="F13" i="11"/>
  <c r="E9" i="24"/>
  <c r="S3" i="24"/>
  <c r="W16" i="4"/>
  <c r="X17" i="4" s="1"/>
  <c r="F25" i="11"/>
  <c r="F11" i="11"/>
  <c r="X21" i="4"/>
  <c r="W21" i="4"/>
  <c r="AC36" i="4"/>
  <c r="AC25" i="4"/>
  <c r="F50" i="11"/>
  <c r="K50" i="11" s="1"/>
  <c r="F26" i="11"/>
  <c r="F5" i="11"/>
  <c r="G9" i="23"/>
  <c r="D8" i="19"/>
  <c r="J7" i="19"/>
  <c r="K7" i="19" s="1"/>
  <c r="M5" i="12"/>
  <c r="AB10" i="4"/>
  <c r="AC10" i="4" s="1"/>
  <c r="M23" i="12"/>
  <c r="AO23" i="12" s="1"/>
  <c r="M14" i="12"/>
  <c r="E4" i="19"/>
  <c r="AE80" i="978"/>
  <c r="AE85" i="978"/>
  <c r="AD81" i="979"/>
  <c r="AU8" i="979" l="1"/>
  <c r="AS8" i="979" s="1"/>
  <c r="A3" i="979" s="1"/>
  <c r="AU9" i="979"/>
  <c r="AS9" i="979" s="1"/>
  <c r="G2" i="979" s="1"/>
  <c r="AU15" i="979"/>
  <c r="L4" i="979"/>
  <c r="AE77" i="978"/>
  <c r="M4" i="978" s="1"/>
  <c r="AC10" i="978"/>
  <c r="AG10" i="978"/>
  <c r="AY10" i="978"/>
  <c r="AY12" i="978" s="1"/>
  <c r="AN33" i="978" s="1"/>
  <c r="AO33" i="978" s="1"/>
  <c r="T33" i="978" s="1"/>
  <c r="AC14" i="978"/>
  <c r="AG18" i="978"/>
  <c r="AC32" i="978"/>
  <c r="AC11" i="978"/>
  <c r="AC13" i="978"/>
  <c r="AC16" i="978"/>
  <c r="AC44" i="978"/>
  <c r="AC42" i="978"/>
  <c r="AC36" i="978"/>
  <c r="AC12" i="978"/>
  <c r="AC40" i="978"/>
  <c r="AC46" i="978"/>
  <c r="AC38" i="978"/>
  <c r="AC18" i="978"/>
  <c r="AC34" i="978"/>
  <c r="AC15" i="978"/>
  <c r="AC48" i="978"/>
  <c r="AC17" i="978"/>
  <c r="H53" i="978"/>
  <c r="AE72" i="978"/>
  <c r="AM1" i="978" s="1"/>
  <c r="AE59" i="978"/>
  <c r="AI59" i="978"/>
  <c r="AD62" i="978"/>
  <c r="AD57" i="978" s="1"/>
  <c r="AD63" i="978"/>
  <c r="AD58" i="978" s="1"/>
  <c r="AD60" i="978"/>
  <c r="AD55" i="978" s="1"/>
  <c r="AD61" i="978"/>
  <c r="AD56" i="978" s="1"/>
  <c r="AH62" i="978"/>
  <c r="AH57" i="978" s="1"/>
  <c r="AH61" i="978"/>
  <c r="AH56" i="978" s="1"/>
  <c r="AH63" i="978"/>
  <c r="AH58" i="978" s="1"/>
  <c r="L53" i="979"/>
  <c r="AG46" i="978"/>
  <c r="AG38" i="978"/>
  <c r="AG11" i="978"/>
  <c r="AG42" i="978"/>
  <c r="AG44" i="978"/>
  <c r="AG36" i="978"/>
  <c r="AG32" i="978"/>
  <c r="AG40" i="978"/>
  <c r="AG48" i="978"/>
  <c r="AG34" i="978"/>
  <c r="AG12" i="978"/>
  <c r="AG13" i="978"/>
  <c r="AG14" i="978"/>
  <c r="AG15" i="978"/>
  <c r="AG16" i="978"/>
  <c r="AG17" i="978"/>
  <c r="AD72" i="979"/>
  <c r="AQ1" i="979" s="1"/>
  <c r="AH59" i="979"/>
  <c r="AD59" i="979"/>
  <c r="K53" i="978"/>
  <c r="O53" i="979"/>
  <c r="AE68" i="978"/>
  <c r="M3" i="978" s="1"/>
  <c r="AE74" i="978"/>
  <c r="AE69" i="978"/>
  <c r="P1" i="978" s="1"/>
  <c r="AE76" i="978"/>
  <c r="AE73" i="978"/>
  <c r="AG66" i="978"/>
  <c r="AG72" i="978" s="1"/>
  <c r="AT1" i="978" s="1"/>
  <c r="AE71" i="978"/>
  <c r="P3" i="978" s="1"/>
  <c r="AE75" i="978"/>
  <c r="AE67" i="978"/>
  <c r="M2" i="978" s="1"/>
  <c r="AE70" i="978"/>
  <c r="P2" i="978" s="1"/>
  <c r="AH65" i="978"/>
  <c r="U16" i="978" s="1"/>
  <c r="AZ5" i="978" s="1"/>
  <c r="U1" i="978"/>
  <c r="G1" i="979"/>
  <c r="L2" i="979"/>
  <c r="L3" i="979"/>
  <c r="O2" i="979"/>
  <c r="O1" i="979"/>
  <c r="O3" i="979"/>
  <c r="AG62" i="979"/>
  <c r="AG57" i="979" s="1"/>
  <c r="AG61" i="979"/>
  <c r="AG56" i="979" s="1"/>
  <c r="AG63" i="979"/>
  <c r="AG58" i="979" s="1"/>
  <c r="AC61" i="979"/>
  <c r="AC60" i="979"/>
  <c r="AC63" i="979"/>
  <c r="AC62" i="979"/>
  <c r="AS6" i="979"/>
  <c r="A1" i="979" s="1"/>
  <c r="AD75" i="979"/>
  <c r="AD71" i="979"/>
  <c r="AD69" i="979"/>
  <c r="AD73" i="979"/>
  <c r="AD76" i="979"/>
  <c r="AD74" i="979"/>
  <c r="AD70" i="979"/>
  <c r="AD68" i="979"/>
  <c r="AD67" i="979"/>
  <c r="AC19" i="978"/>
  <c r="AB20" i="978"/>
  <c r="AG19" i="978"/>
  <c r="I9" i="23"/>
  <c r="N32" i="12"/>
  <c r="Q3" i="23"/>
  <c r="N14" i="12"/>
  <c r="W23" i="12"/>
  <c r="D32" i="12"/>
  <c r="D14" i="12"/>
  <c r="F4" i="19"/>
  <c r="G4" i="19" s="1"/>
  <c r="H3" i="19"/>
  <c r="I3" i="19" s="1"/>
  <c r="X16" i="4"/>
  <c r="AC35" i="4" s="1"/>
  <c r="F336" i="7"/>
  <c r="E334" i="7"/>
  <c r="D336" i="7"/>
  <c r="E336" i="7"/>
  <c r="C9" i="19"/>
  <c r="F334" i="7"/>
  <c r="D334" i="7"/>
  <c r="E51" i="11"/>
  <c r="J51" i="11" s="1"/>
  <c r="E52" i="11"/>
  <c r="J52" i="11" s="1"/>
  <c r="E53" i="11"/>
  <c r="J53" i="11" s="1"/>
  <c r="E50" i="11"/>
  <c r="J50" i="11" s="1"/>
  <c r="N23" i="12"/>
  <c r="F23" i="12"/>
  <c r="X5" i="12"/>
  <c r="X14" i="12"/>
  <c r="D9" i="19"/>
  <c r="J8" i="19"/>
  <c r="K8" i="19" s="1"/>
  <c r="N5" i="12"/>
  <c r="F5" i="12"/>
  <c r="G9" i="24"/>
  <c r="T3" i="24"/>
  <c r="AC30" i="4"/>
  <c r="AC32" i="4"/>
  <c r="AC33" i="4"/>
  <c r="AC34" i="4"/>
  <c r="AC29" i="4"/>
  <c r="AC31" i="4"/>
  <c r="X32" i="12"/>
  <c r="E5" i="19"/>
  <c r="AG81" i="978"/>
  <c r="AD79" i="979"/>
  <c r="AY14" i="978" l="1"/>
  <c r="AZ14" i="978" s="1"/>
  <c r="AY15" i="978"/>
  <c r="AD77" i="979"/>
  <c r="Q4" i="979" s="1"/>
  <c r="B10" i="978"/>
  <c r="AD10" i="978"/>
  <c r="AH10" i="978"/>
  <c r="AG10" i="979"/>
  <c r="C334" i="7"/>
  <c r="C336" i="7"/>
  <c r="B14" i="978"/>
  <c r="B12" i="978"/>
  <c r="B13" i="978"/>
  <c r="B11" i="978"/>
  <c r="U13" i="4"/>
  <c r="B18" i="978"/>
  <c r="B32" i="978"/>
  <c r="B44" i="978"/>
  <c r="B38" i="978"/>
  <c r="B16" i="978"/>
  <c r="B42" i="978"/>
  <c r="B36" i="978"/>
  <c r="B46" i="978"/>
  <c r="B17" i="978"/>
  <c r="B40" i="978"/>
  <c r="M53" i="978"/>
  <c r="B34" i="978"/>
  <c r="B48" i="978"/>
  <c r="AD19" i="978"/>
  <c r="B15" i="978"/>
  <c r="AH19" i="978"/>
  <c r="AH42" i="978"/>
  <c r="AH40" i="978"/>
  <c r="AH36" i="978"/>
  <c r="AH48" i="978"/>
  <c r="AH34" i="978"/>
  <c r="AH38" i="978"/>
  <c r="AH32" i="978"/>
  <c r="AH44" i="978"/>
  <c r="AH11" i="978"/>
  <c r="AH46" i="978"/>
  <c r="AH12" i="978"/>
  <c r="AH13" i="978"/>
  <c r="AH14" i="978"/>
  <c r="AH15" i="978"/>
  <c r="AH16" i="978"/>
  <c r="AH17" i="978"/>
  <c r="AH18" i="978"/>
  <c r="AE62" i="978"/>
  <c r="AE57" i="978" s="1"/>
  <c r="AE61" i="978"/>
  <c r="AE56" i="978" s="1"/>
  <c r="AE63" i="978"/>
  <c r="AE58" i="978" s="1"/>
  <c r="AE60" i="978"/>
  <c r="AE55" i="978" s="1"/>
  <c r="AI62" i="978"/>
  <c r="AI57" i="978" s="1"/>
  <c r="AI61" i="978"/>
  <c r="AI56" i="978" s="1"/>
  <c r="AI63" i="978"/>
  <c r="AI58" i="978" s="1"/>
  <c r="Q53" i="979"/>
  <c r="AD34" i="978"/>
  <c r="AD48" i="978"/>
  <c r="AD40" i="978"/>
  <c r="AD42" i="978"/>
  <c r="AD32" i="978"/>
  <c r="AD11" i="978"/>
  <c r="AD38" i="978"/>
  <c r="AD46" i="978"/>
  <c r="AD36" i="978"/>
  <c r="AD44" i="978"/>
  <c r="AD12" i="978"/>
  <c r="AD13" i="978"/>
  <c r="AD14" i="978"/>
  <c r="AD15" i="978"/>
  <c r="AD16" i="978"/>
  <c r="AD17" i="978"/>
  <c r="AD18" i="978"/>
  <c r="B19" i="978"/>
  <c r="P53" i="978"/>
  <c r="T53" i="979"/>
  <c r="R4" i="978"/>
  <c r="U33" i="978"/>
  <c r="AG67" i="978"/>
  <c r="R2" i="978" s="1"/>
  <c r="AG71" i="978"/>
  <c r="X3" i="978" s="1"/>
  <c r="AG68" i="978"/>
  <c r="R3" i="978" s="1"/>
  <c r="AG76" i="978"/>
  <c r="AG75" i="978"/>
  <c r="AH66" i="978"/>
  <c r="AH72" i="978" s="1"/>
  <c r="AT16" i="978" s="1"/>
  <c r="AG70" i="978"/>
  <c r="X2" i="978" s="1"/>
  <c r="AG74" i="978"/>
  <c r="AG69" i="978"/>
  <c r="X1" i="978" s="1"/>
  <c r="AG73" i="978"/>
  <c r="AZ7" i="978"/>
  <c r="AZ9" i="978" s="1"/>
  <c r="AQ43" i="978" s="1"/>
  <c r="AZ6" i="978"/>
  <c r="AZ8" i="978" s="1"/>
  <c r="Q3" i="979"/>
  <c r="T3" i="979"/>
  <c r="T2" i="979"/>
  <c r="T1" i="979"/>
  <c r="Q2" i="979"/>
  <c r="AC58" i="979"/>
  <c r="I5" i="979"/>
  <c r="AH63" i="979"/>
  <c r="AH58" i="979" s="1"/>
  <c r="AH62" i="979"/>
  <c r="AH57" i="979" s="1"/>
  <c r="AH61" i="979"/>
  <c r="AH56" i="979" s="1"/>
  <c r="AC55" i="979"/>
  <c r="B5" i="979"/>
  <c r="AC56" i="979"/>
  <c r="E5" i="979"/>
  <c r="AD62" i="979"/>
  <c r="AD57" i="979" s="1"/>
  <c r="AD61" i="979"/>
  <c r="AD56" i="979" s="1"/>
  <c r="AD63" i="979"/>
  <c r="AD58" i="979" s="1"/>
  <c r="AD60" i="979"/>
  <c r="AD55" i="979" s="1"/>
  <c r="AC57" i="979"/>
  <c r="G5" i="979"/>
  <c r="AG46" i="979"/>
  <c r="AG40" i="979"/>
  <c r="AG38" i="979"/>
  <c r="AG34" i="979"/>
  <c r="AG48" i="979"/>
  <c r="AG36" i="979"/>
  <c r="AG44" i="979"/>
  <c r="AG32" i="979"/>
  <c r="AG12" i="979"/>
  <c r="AG42" i="979"/>
  <c r="AG13" i="979"/>
  <c r="AG11" i="979"/>
  <c r="AG14" i="979"/>
  <c r="AG15" i="979"/>
  <c r="AG16" i="979"/>
  <c r="AG17" i="979"/>
  <c r="AG18" i="979"/>
  <c r="AG19" i="979"/>
  <c r="AG20" i="979"/>
  <c r="AG21" i="979"/>
  <c r="AG22" i="979"/>
  <c r="AG23" i="979"/>
  <c r="AG24" i="979"/>
  <c r="AG25" i="979"/>
  <c r="AG26" i="979"/>
  <c r="AG27" i="979"/>
  <c r="AG28" i="979"/>
  <c r="AG29" i="979"/>
  <c r="AG30" i="979"/>
  <c r="AG31" i="979"/>
  <c r="AG33" i="979"/>
  <c r="AG35" i="979"/>
  <c r="AG37" i="979"/>
  <c r="AG39" i="979"/>
  <c r="AG41" i="979"/>
  <c r="AG43" i="979"/>
  <c r="AG45" i="979"/>
  <c r="AG47" i="979"/>
  <c r="AG49" i="979"/>
  <c r="AG50" i="979"/>
  <c r="AG51" i="979"/>
  <c r="AG52" i="979"/>
  <c r="AB21" i="978"/>
  <c r="AD20" i="978"/>
  <c r="AC20" i="978"/>
  <c r="AG20" i="978"/>
  <c r="AH20" i="978"/>
  <c r="R3" i="23"/>
  <c r="S3" i="23" s="1"/>
  <c r="T3" i="23" s="1"/>
  <c r="U3" i="23" s="1"/>
  <c r="U11" i="23" s="1"/>
  <c r="U12" i="23" s="1"/>
  <c r="O32" i="12"/>
  <c r="K9" i="23"/>
  <c r="O23" i="12"/>
  <c r="O14" i="12"/>
  <c r="E32" i="12"/>
  <c r="X23" i="12"/>
  <c r="Y5" i="12"/>
  <c r="E14" i="12"/>
  <c r="F5" i="19"/>
  <c r="G5" i="19" s="1"/>
  <c r="H4" i="19"/>
  <c r="I4" i="19" s="1"/>
  <c r="AB15" i="4"/>
  <c r="AC15" i="4" s="1"/>
  <c r="AB12" i="4"/>
  <c r="AC12" i="4" s="1"/>
  <c r="L8" i="19"/>
  <c r="L5" i="19"/>
  <c r="L4" i="19"/>
  <c r="L3" i="19"/>
  <c r="L6" i="19"/>
  <c r="L2" i="19"/>
  <c r="L7" i="19"/>
  <c r="G23" i="12"/>
  <c r="O5" i="12"/>
  <c r="I9" i="24"/>
  <c r="U3" i="24"/>
  <c r="G5" i="12"/>
  <c r="D10" i="19"/>
  <c r="J9" i="19"/>
  <c r="K9" i="19" s="1"/>
  <c r="Y14" i="12"/>
  <c r="Y32" i="12"/>
  <c r="E6" i="19"/>
  <c r="AH82" i="978"/>
  <c r="AY16" i="978" l="1"/>
  <c r="AZ16" i="978" s="1"/>
  <c r="AZ15" i="978"/>
  <c r="G10" i="978"/>
  <c r="AD10" i="979"/>
  <c r="AE10" i="978"/>
  <c r="AC10" i="979"/>
  <c r="K10" i="979" s="1"/>
  <c r="AH10" i="979"/>
  <c r="AI10" i="978"/>
  <c r="G11" i="978"/>
  <c r="G14" i="978"/>
  <c r="G13" i="978"/>
  <c r="G12" i="978"/>
  <c r="G19" i="978"/>
  <c r="G34" i="978"/>
  <c r="G42" i="978"/>
  <c r="G44" i="978"/>
  <c r="G18" i="978"/>
  <c r="AE20" i="978"/>
  <c r="G32" i="978"/>
  <c r="AI20" i="978"/>
  <c r="G36" i="978"/>
  <c r="G48" i="978"/>
  <c r="G17" i="978"/>
  <c r="G16" i="978"/>
  <c r="G38" i="978"/>
  <c r="G15" i="978"/>
  <c r="AI38" i="978"/>
  <c r="AI32" i="978"/>
  <c r="AI11" i="978"/>
  <c r="AI46" i="978"/>
  <c r="AI48" i="978"/>
  <c r="AI36" i="978"/>
  <c r="AI42" i="978"/>
  <c r="AI34" i="978"/>
  <c r="AI40" i="978"/>
  <c r="AI44" i="978"/>
  <c r="AI12" i="978"/>
  <c r="AI13" i="978"/>
  <c r="AI14" i="978"/>
  <c r="AI15" i="978"/>
  <c r="AI16" i="978"/>
  <c r="AI17" i="978"/>
  <c r="AI18" i="978"/>
  <c r="AI19" i="978"/>
  <c r="AE11" i="978"/>
  <c r="AE44" i="978"/>
  <c r="AE36" i="978"/>
  <c r="AE48" i="978"/>
  <c r="AE32" i="978"/>
  <c r="AE34" i="978"/>
  <c r="AE40" i="978"/>
  <c r="AE42" i="978"/>
  <c r="AE46" i="978"/>
  <c r="AE38" i="978"/>
  <c r="AE12" i="978"/>
  <c r="AE13" i="978"/>
  <c r="AE14" i="978"/>
  <c r="AE15" i="978"/>
  <c r="AE16" i="978"/>
  <c r="AE17" i="978"/>
  <c r="AE18" i="978"/>
  <c r="AE19" i="978"/>
  <c r="G40" i="978"/>
  <c r="G46" i="978"/>
  <c r="V33" i="978"/>
  <c r="X15" i="978"/>
  <c r="R15" i="978"/>
  <c r="AZ10" i="978"/>
  <c r="AZ12" i="978" s="1"/>
  <c r="R19" i="978"/>
  <c r="AH71" i="978"/>
  <c r="X18" i="978" s="1"/>
  <c r="AH76" i="978"/>
  <c r="AH68" i="978"/>
  <c r="R18" i="978" s="1"/>
  <c r="AH69" i="978"/>
  <c r="X16" i="978" s="1"/>
  <c r="AH75" i="978"/>
  <c r="AH74" i="978"/>
  <c r="AH73" i="978"/>
  <c r="AH70" i="978"/>
  <c r="X17" i="978" s="1"/>
  <c r="AH67" i="978"/>
  <c r="R17" i="978" s="1"/>
  <c r="AC46" i="979"/>
  <c r="K46" i="979" s="1"/>
  <c r="AC44" i="979"/>
  <c r="K44" i="979" s="1"/>
  <c r="AC42" i="979"/>
  <c r="K42" i="979" s="1"/>
  <c r="AC13" i="979"/>
  <c r="K13" i="979" s="1"/>
  <c r="AC36" i="979"/>
  <c r="K36" i="979" s="1"/>
  <c r="AC48" i="979"/>
  <c r="K48" i="979" s="1"/>
  <c r="AC32" i="979"/>
  <c r="K32" i="979" s="1"/>
  <c r="AC11" i="979"/>
  <c r="K11" i="979" s="1"/>
  <c r="AC34" i="979"/>
  <c r="K34" i="979" s="1"/>
  <c r="AC38" i="979"/>
  <c r="K38" i="979" s="1"/>
  <c r="AC12" i="979"/>
  <c r="K12" i="979" s="1"/>
  <c r="AC40" i="979"/>
  <c r="K40" i="979" s="1"/>
  <c r="AC14" i="979"/>
  <c r="K14" i="979" s="1"/>
  <c r="AC15" i="979"/>
  <c r="K15" i="979" s="1"/>
  <c r="AC16" i="979"/>
  <c r="K16" i="979" s="1"/>
  <c r="AC17" i="979"/>
  <c r="K17" i="979" s="1"/>
  <c r="AC18" i="979"/>
  <c r="K18" i="979" s="1"/>
  <c r="AC19" i="979"/>
  <c r="K19" i="979" s="1"/>
  <c r="AC20" i="979"/>
  <c r="K20" i="979" s="1"/>
  <c r="AC21" i="979"/>
  <c r="K21" i="979" s="1"/>
  <c r="AC22" i="979"/>
  <c r="K22" i="979" s="1"/>
  <c r="AC23" i="979"/>
  <c r="K23" i="979" s="1"/>
  <c r="AC24" i="979"/>
  <c r="K24" i="979" s="1"/>
  <c r="AC25" i="979"/>
  <c r="K25" i="979" s="1"/>
  <c r="AC26" i="979"/>
  <c r="K26" i="979" s="1"/>
  <c r="AC27" i="979"/>
  <c r="K27" i="979" s="1"/>
  <c r="AC28" i="979"/>
  <c r="K28" i="979" s="1"/>
  <c r="AC29" i="979"/>
  <c r="K29" i="979" s="1"/>
  <c r="AC30" i="979"/>
  <c r="K30" i="979" s="1"/>
  <c r="AC31" i="979"/>
  <c r="K31" i="979" s="1"/>
  <c r="AC33" i="979"/>
  <c r="K33" i="979" s="1"/>
  <c r="AC35" i="979"/>
  <c r="K35" i="979" s="1"/>
  <c r="AC37" i="979"/>
  <c r="K37" i="979" s="1"/>
  <c r="AC39" i="979"/>
  <c r="K39" i="979" s="1"/>
  <c r="AC41" i="979"/>
  <c r="K41" i="979" s="1"/>
  <c r="AC43" i="979"/>
  <c r="K43" i="979" s="1"/>
  <c r="AC45" i="979"/>
  <c r="K45" i="979" s="1"/>
  <c r="AC47" i="979"/>
  <c r="K47" i="979" s="1"/>
  <c r="AC49" i="979"/>
  <c r="K49" i="979" s="1"/>
  <c r="AC50" i="979"/>
  <c r="K50" i="979" s="1"/>
  <c r="AC51" i="979"/>
  <c r="K51" i="979" s="1"/>
  <c r="AC52" i="979"/>
  <c r="K52" i="979" s="1"/>
  <c r="AD48" i="979"/>
  <c r="AD42" i="979"/>
  <c r="AD38" i="979"/>
  <c r="AD32" i="979"/>
  <c r="AD40" i="979"/>
  <c r="AD46" i="979"/>
  <c r="AD14" i="979"/>
  <c r="AD12" i="979"/>
  <c r="AD11" i="979"/>
  <c r="AD13" i="979"/>
  <c r="AD34" i="979"/>
  <c r="AD36" i="979"/>
  <c r="AD44" i="979"/>
  <c r="AD15" i="979"/>
  <c r="AD16" i="979"/>
  <c r="AD17" i="979"/>
  <c r="AD18" i="979"/>
  <c r="AD19" i="979"/>
  <c r="AD20" i="979"/>
  <c r="AD21" i="979"/>
  <c r="AD22" i="979"/>
  <c r="AD23" i="979"/>
  <c r="AD24" i="979"/>
  <c r="AD25" i="979"/>
  <c r="AD26" i="979"/>
  <c r="AD27" i="979"/>
  <c r="AD28" i="979"/>
  <c r="AD29" i="979"/>
  <c r="AD30" i="979"/>
  <c r="AD31" i="979"/>
  <c r="AD33" i="979"/>
  <c r="AD35" i="979"/>
  <c r="AD37" i="979"/>
  <c r="AD39" i="979"/>
  <c r="AD41" i="979"/>
  <c r="AD43" i="979"/>
  <c r="AD45" i="979"/>
  <c r="AD47" i="979"/>
  <c r="AD49" i="979"/>
  <c r="AD50" i="979"/>
  <c r="AD51" i="979"/>
  <c r="AD52" i="979"/>
  <c r="AH34" i="979"/>
  <c r="AH44" i="979"/>
  <c r="AH48" i="979"/>
  <c r="AH32" i="979"/>
  <c r="AH11" i="979"/>
  <c r="AH46" i="979"/>
  <c r="AH40" i="979"/>
  <c r="AH13" i="979"/>
  <c r="AH12" i="979"/>
  <c r="AH42" i="979"/>
  <c r="AH38" i="979"/>
  <c r="AH36" i="979"/>
  <c r="AH14" i="979"/>
  <c r="AH15" i="979"/>
  <c r="AH16" i="979"/>
  <c r="AH17" i="979"/>
  <c r="AH18" i="979"/>
  <c r="AH19" i="979"/>
  <c r="AH20" i="979"/>
  <c r="AH21" i="979"/>
  <c r="AH22" i="979"/>
  <c r="AH23" i="979"/>
  <c r="AH24" i="979"/>
  <c r="AH25" i="979"/>
  <c r="AH26" i="979"/>
  <c r="AH27" i="979"/>
  <c r="AH28" i="979"/>
  <c r="AH29" i="979"/>
  <c r="AH30" i="979"/>
  <c r="AH31" i="979"/>
  <c r="AH33" i="979"/>
  <c r="AH35" i="979"/>
  <c r="AH37" i="979"/>
  <c r="AH39" i="979"/>
  <c r="AH41" i="979"/>
  <c r="AH43" i="979"/>
  <c r="AH45" i="979"/>
  <c r="AH47" i="979"/>
  <c r="AH49" i="979"/>
  <c r="AH50" i="979"/>
  <c r="AH51" i="979"/>
  <c r="AH52" i="979"/>
  <c r="B20" i="978"/>
  <c r="G20" i="978"/>
  <c r="AC21" i="978"/>
  <c r="AD21" i="978"/>
  <c r="AB22" i="978"/>
  <c r="AH21" i="978"/>
  <c r="AI21" i="978"/>
  <c r="AE21" i="978"/>
  <c r="AG21" i="978"/>
  <c r="T1" i="23"/>
  <c r="S1" i="23" s="1"/>
  <c r="R1" i="23" s="1"/>
  <c r="Q1" i="23" s="1"/>
  <c r="P1" i="23" s="1"/>
  <c r="O1" i="23" s="1"/>
  <c r="O4" i="23"/>
  <c r="T11" i="23"/>
  <c r="S11" i="23" s="1"/>
  <c r="R11" i="23" s="1"/>
  <c r="Q11" i="23" s="1"/>
  <c r="T12" i="23"/>
  <c r="S12" i="23" s="1"/>
  <c r="R12" i="23" s="1"/>
  <c r="Q12" i="23" s="1"/>
  <c r="U13" i="23"/>
  <c r="P32" i="12"/>
  <c r="Q32" i="12" s="1"/>
  <c r="Z5" i="12"/>
  <c r="P23" i="12"/>
  <c r="Y23" i="12"/>
  <c r="Z14" i="12"/>
  <c r="P5" i="12"/>
  <c r="F14" i="12"/>
  <c r="P14" i="12"/>
  <c r="U11" i="24"/>
  <c r="F32" i="12"/>
  <c r="F6" i="19"/>
  <c r="G6" i="19" s="1"/>
  <c r="H5" i="19"/>
  <c r="I5" i="19" s="1"/>
  <c r="AC28" i="4"/>
  <c r="L9" i="19"/>
  <c r="M9" i="19" s="1"/>
  <c r="H23" i="12"/>
  <c r="N2" i="19"/>
  <c r="O2" i="19" s="1"/>
  <c r="M2" i="19"/>
  <c r="M6" i="19"/>
  <c r="N6" i="19"/>
  <c r="O6" i="19" s="1"/>
  <c r="D11" i="19"/>
  <c r="J10" i="19"/>
  <c r="H5" i="12"/>
  <c r="Z32" i="12"/>
  <c r="M7" i="19"/>
  <c r="N7" i="19"/>
  <c r="O7" i="19" s="1"/>
  <c r="M3" i="19"/>
  <c r="N3" i="19"/>
  <c r="O3" i="19" s="1"/>
  <c r="N8" i="19"/>
  <c r="O8" i="19" s="1"/>
  <c r="M8" i="19"/>
  <c r="O4" i="24"/>
  <c r="P4" i="24" s="1"/>
  <c r="Q4" i="24" s="1"/>
  <c r="R4" i="24" s="1"/>
  <c r="K9" i="24"/>
  <c r="T1" i="24"/>
  <c r="S1" i="24" s="1"/>
  <c r="R1" i="24" s="1"/>
  <c r="Q1" i="24" s="1"/>
  <c r="P1" i="24" s="1"/>
  <c r="O1" i="24" s="1"/>
  <c r="N4" i="19"/>
  <c r="O4" i="19" s="1"/>
  <c r="M4" i="19"/>
  <c r="M5" i="19"/>
  <c r="N5" i="19"/>
  <c r="O5" i="19" s="1"/>
  <c r="E7" i="19"/>
  <c r="AL3" i="24"/>
  <c r="AI3" i="23"/>
  <c r="L10" i="978" l="1"/>
  <c r="P10" i="979"/>
  <c r="L11" i="978"/>
  <c r="L12" i="978"/>
  <c r="P13" i="979"/>
  <c r="P11" i="979"/>
  <c r="L14" i="978"/>
  <c r="P12" i="979"/>
  <c r="L13" i="978"/>
  <c r="P14" i="979"/>
  <c r="H6" i="19"/>
  <c r="I6" i="19" s="1"/>
  <c r="L40" i="978"/>
  <c r="L19" i="978"/>
  <c r="L44" i="978"/>
  <c r="L34" i="978"/>
  <c r="L20" i="978"/>
  <c r="R29" i="978"/>
  <c r="L38" i="978"/>
  <c r="L18" i="978"/>
  <c r="L17" i="978"/>
  <c r="L32" i="978"/>
  <c r="L48" i="978"/>
  <c r="L46" i="978"/>
  <c r="L42" i="978"/>
  <c r="L16" i="978"/>
  <c r="L36" i="978"/>
  <c r="L15" i="978"/>
  <c r="X29" i="978"/>
  <c r="W33" i="978"/>
  <c r="AZ11" i="978"/>
  <c r="AY11" i="978"/>
  <c r="AN47" i="978"/>
  <c r="AO47" i="978" s="1"/>
  <c r="G21" i="978"/>
  <c r="B21" i="978"/>
  <c r="P34" i="979"/>
  <c r="P47" i="979"/>
  <c r="P31" i="979"/>
  <c r="P23" i="979"/>
  <c r="P15" i="979"/>
  <c r="P46" i="979"/>
  <c r="P45" i="979"/>
  <c r="P30" i="979"/>
  <c r="P22" i="979"/>
  <c r="P44" i="979"/>
  <c r="P40" i="979"/>
  <c r="P43" i="979"/>
  <c r="P29" i="979"/>
  <c r="P21" i="979"/>
  <c r="P36" i="979"/>
  <c r="P32" i="979"/>
  <c r="P41" i="979"/>
  <c r="P28" i="979"/>
  <c r="P20" i="979"/>
  <c r="P38" i="979"/>
  <c r="P52" i="979"/>
  <c r="P39" i="979"/>
  <c r="P27" i="979"/>
  <c r="P19" i="979"/>
  <c r="P42" i="979"/>
  <c r="P51" i="979"/>
  <c r="P37" i="979"/>
  <c r="P26" i="979"/>
  <c r="P18" i="979"/>
  <c r="P48" i="979"/>
  <c r="P50" i="979"/>
  <c r="P35" i="979"/>
  <c r="P25" i="979"/>
  <c r="P17" i="979"/>
  <c r="P49" i="979"/>
  <c r="P33" i="979"/>
  <c r="P24" i="979"/>
  <c r="P16" i="979"/>
  <c r="L21" i="978"/>
  <c r="AC22" i="978"/>
  <c r="AG22" i="978"/>
  <c r="AE22" i="978"/>
  <c r="AB23" i="978"/>
  <c r="AI22" i="978"/>
  <c r="AD22" i="978"/>
  <c r="AH22" i="978"/>
  <c r="J2" i="24"/>
  <c r="U19" i="24"/>
  <c r="P4" i="23"/>
  <c r="J2" i="23"/>
  <c r="P12" i="23"/>
  <c r="G17" i="23"/>
  <c r="P11" i="23"/>
  <c r="Q19" i="23"/>
  <c r="T11" i="24"/>
  <c r="U12" i="24"/>
  <c r="T13" i="23"/>
  <c r="S13" i="23" s="1"/>
  <c r="R13" i="23" s="1"/>
  <c r="Q13" i="23" s="1"/>
  <c r="U14" i="23"/>
  <c r="AA14" i="12"/>
  <c r="AA5" i="12"/>
  <c r="G14" i="12"/>
  <c r="Z23" i="12"/>
  <c r="AA32" i="12"/>
  <c r="Q5" i="12"/>
  <c r="R32" i="12"/>
  <c r="Q23" i="12"/>
  <c r="G32" i="12"/>
  <c r="Q14" i="12"/>
  <c r="F7" i="19"/>
  <c r="G7" i="19" s="1"/>
  <c r="N9" i="19"/>
  <c r="O9" i="19" s="1"/>
  <c r="K10" i="19"/>
  <c r="L10" i="19"/>
  <c r="E17" i="24"/>
  <c r="S4" i="24"/>
  <c r="I23" i="12"/>
  <c r="I5" i="12"/>
  <c r="J11" i="19"/>
  <c r="D12" i="19"/>
  <c r="E8" i="19"/>
  <c r="AH3" i="23"/>
  <c r="AH4" i="23"/>
  <c r="AK3" i="24"/>
  <c r="H7" i="19" l="1"/>
  <c r="I7" i="19" s="1"/>
  <c r="L22" i="978"/>
  <c r="X33" i="978"/>
  <c r="T47" i="978"/>
  <c r="G22" i="978"/>
  <c r="AD23" i="978"/>
  <c r="AC23" i="978"/>
  <c r="AB24" i="978"/>
  <c r="AI23" i="978"/>
  <c r="AE23" i="978"/>
  <c r="AG23" i="978"/>
  <c r="AH23" i="978"/>
  <c r="B22" i="978"/>
  <c r="H2" i="24"/>
  <c r="I17" i="23"/>
  <c r="Q4" i="23"/>
  <c r="K17" i="23" s="1"/>
  <c r="P20" i="23"/>
  <c r="H2" i="23"/>
  <c r="H10" i="23"/>
  <c r="P13" i="23"/>
  <c r="O12" i="23"/>
  <c r="O11" i="23"/>
  <c r="P19" i="23"/>
  <c r="S11" i="24"/>
  <c r="T19" i="24"/>
  <c r="U13" i="24"/>
  <c r="T12" i="24"/>
  <c r="S12" i="24" s="1"/>
  <c r="U15" i="23"/>
  <c r="T14" i="23"/>
  <c r="S14" i="23" s="1"/>
  <c r="R14" i="23" s="1"/>
  <c r="Q14" i="23" s="1"/>
  <c r="H32" i="12"/>
  <c r="H14" i="12"/>
  <c r="BD3" i="12" s="1"/>
  <c r="R23" i="12"/>
  <c r="AL21" i="12" s="1"/>
  <c r="R5" i="12"/>
  <c r="AL3" i="12" s="1"/>
  <c r="BD4" i="12"/>
  <c r="U6" i="12"/>
  <c r="AV4" i="12" s="1"/>
  <c r="T6" i="12" s="1"/>
  <c r="R14" i="12"/>
  <c r="AA23" i="12"/>
  <c r="AL22" i="12"/>
  <c r="AK23" i="12" s="1"/>
  <c r="L33" i="12"/>
  <c r="AM31" i="12" s="1"/>
  <c r="K33" i="12" s="1"/>
  <c r="AU31" i="12"/>
  <c r="AU30" i="12"/>
  <c r="U33" i="12"/>
  <c r="AV31" i="12" s="1"/>
  <c r="T33" i="12" s="1"/>
  <c r="BD31" i="12"/>
  <c r="BD30" i="12"/>
  <c r="U15" i="12"/>
  <c r="AV13" i="12" s="1"/>
  <c r="T15" i="12" s="1"/>
  <c r="BD13" i="12"/>
  <c r="BD12" i="12"/>
  <c r="AL4" i="12"/>
  <c r="AE5" i="12" s="1"/>
  <c r="F8" i="19"/>
  <c r="G8" i="19" s="1"/>
  <c r="H8" i="19" s="1"/>
  <c r="I8" i="19" s="1"/>
  <c r="C6" i="12"/>
  <c r="AD4" i="12" s="1"/>
  <c r="B6" i="12" s="1"/>
  <c r="T4" i="24"/>
  <c r="G17" i="24"/>
  <c r="D13" i="19"/>
  <c r="J12" i="19"/>
  <c r="C24" i="12"/>
  <c r="AD22" i="12" s="1"/>
  <c r="B24" i="12" s="1"/>
  <c r="N10" i="19"/>
  <c r="O10" i="19" s="1"/>
  <c r="M10" i="19"/>
  <c r="K11" i="19"/>
  <c r="L11" i="19"/>
  <c r="E9" i="19"/>
  <c r="AI4" i="23"/>
  <c r="AK4" i="24"/>
  <c r="AG4" i="23"/>
  <c r="AJ4" i="24"/>
  <c r="AJ3" i="24"/>
  <c r="L23" i="978" l="1"/>
  <c r="AY33" i="978"/>
  <c r="AP33" i="978"/>
  <c r="R35" i="978"/>
  <c r="U47" i="978"/>
  <c r="AC24" i="978"/>
  <c r="AE24" i="978"/>
  <c r="AB25" i="978"/>
  <c r="AI24" i="978"/>
  <c r="AG24" i="978"/>
  <c r="AH24" i="978"/>
  <c r="AD24" i="978"/>
  <c r="B23" i="978"/>
  <c r="G23" i="978"/>
  <c r="BC5" i="12"/>
  <c r="AW5" i="12"/>
  <c r="AY5" i="12"/>
  <c r="AX5" i="12"/>
  <c r="AZ5" i="12"/>
  <c r="AN32" i="12"/>
  <c r="AO32" i="12"/>
  <c r="AP32" i="12"/>
  <c r="AQ32" i="12"/>
  <c r="R4" i="23"/>
  <c r="S4" i="23" s="1"/>
  <c r="T4" i="23" s="1"/>
  <c r="U4" i="23" s="1"/>
  <c r="O5" i="23" s="1"/>
  <c r="P5" i="23" s="1"/>
  <c r="O19" i="23"/>
  <c r="H10" i="24"/>
  <c r="F10" i="24"/>
  <c r="F2" i="24"/>
  <c r="R12" i="24"/>
  <c r="Q12" i="24" s="1"/>
  <c r="P12" i="24" s="1"/>
  <c r="O12" i="24" s="1"/>
  <c r="J10" i="23"/>
  <c r="Q20" i="23"/>
  <c r="T20" i="24"/>
  <c r="F10" i="23"/>
  <c r="P14" i="23"/>
  <c r="O20" i="23"/>
  <c r="O13" i="23"/>
  <c r="S20" i="24"/>
  <c r="R11" i="24"/>
  <c r="S19" i="24"/>
  <c r="T13" i="24"/>
  <c r="S13" i="24" s="1"/>
  <c r="R13" i="24" s="1"/>
  <c r="Q13" i="24" s="1"/>
  <c r="P13" i="24" s="1"/>
  <c r="O13" i="24" s="1"/>
  <c r="U14" i="24"/>
  <c r="U16" i="23"/>
  <c r="T16" i="23" s="1"/>
  <c r="S16" i="23" s="1"/>
  <c r="R16" i="23" s="1"/>
  <c r="Q16" i="23" s="1"/>
  <c r="T15" i="23"/>
  <c r="S15" i="23" s="1"/>
  <c r="R15" i="23" s="1"/>
  <c r="Q15" i="23" s="1"/>
  <c r="BB14" i="12"/>
  <c r="AW14" i="12"/>
  <c r="AX14" i="12"/>
  <c r="AY14" i="12"/>
  <c r="AZ14" i="12"/>
  <c r="BA14" i="12"/>
  <c r="BC32" i="12"/>
  <c r="AY32" i="12"/>
  <c r="AX32" i="12"/>
  <c r="AZ32" i="12"/>
  <c r="BA32" i="12"/>
  <c r="BB32" i="12"/>
  <c r="AE24" i="12"/>
  <c r="AW6" i="12"/>
  <c r="V6" i="12"/>
  <c r="V15" i="12"/>
  <c r="AW15" i="12"/>
  <c r="V33" i="12"/>
  <c r="AW33" i="12"/>
  <c r="AN33" i="12"/>
  <c r="M33" i="12"/>
  <c r="BA5" i="12"/>
  <c r="BB5" i="12"/>
  <c r="AU22" i="12"/>
  <c r="AU21" i="12"/>
  <c r="L24" i="12"/>
  <c r="AM22" i="12" s="1"/>
  <c r="K24" i="12" s="1"/>
  <c r="I32" i="12"/>
  <c r="AR32" i="12"/>
  <c r="AS32" i="12"/>
  <c r="AU13" i="12"/>
  <c r="AU12" i="12"/>
  <c r="L15" i="12"/>
  <c r="AM13" i="12" s="1"/>
  <c r="AE23" i="12"/>
  <c r="AG23" i="12"/>
  <c r="AF23" i="12"/>
  <c r="AH23" i="12"/>
  <c r="AI23" i="12"/>
  <c r="AJ23" i="12"/>
  <c r="U24" i="12"/>
  <c r="AV22" i="12" s="1"/>
  <c r="T24" i="12" s="1"/>
  <c r="BD22" i="12"/>
  <c r="BD21" i="12"/>
  <c r="AU4" i="12"/>
  <c r="AU3" i="12"/>
  <c r="L6" i="12"/>
  <c r="AM4" i="12" s="1"/>
  <c r="K6" i="12" s="1"/>
  <c r="I14" i="12"/>
  <c r="BC14" i="12"/>
  <c r="AT32" i="12"/>
  <c r="AE6" i="12"/>
  <c r="AF5" i="12"/>
  <c r="AG5" i="12"/>
  <c r="AH5" i="12"/>
  <c r="AI5" i="12"/>
  <c r="AJ5" i="12"/>
  <c r="AK5" i="12"/>
  <c r="F9" i="19"/>
  <c r="G9" i="19" s="1"/>
  <c r="H9" i="19" s="1"/>
  <c r="I9" i="19" s="1"/>
  <c r="D24" i="12"/>
  <c r="AF24" i="12" s="1"/>
  <c r="D6" i="12"/>
  <c r="AF6" i="12" s="1"/>
  <c r="K12" i="19"/>
  <c r="L12" i="19"/>
  <c r="J13" i="19"/>
  <c r="D14" i="19"/>
  <c r="I17" i="24"/>
  <c r="U4" i="24"/>
  <c r="N11" i="19"/>
  <c r="O11" i="19" s="1"/>
  <c r="M11" i="19"/>
  <c r="E10" i="19"/>
  <c r="AG3" i="23"/>
  <c r="AH5" i="23"/>
  <c r="AI3" i="24"/>
  <c r="AG5" i="23"/>
  <c r="AL4" i="24"/>
  <c r="AI4" i="24"/>
  <c r="AQ35" i="978" l="1"/>
  <c r="AS33" i="978"/>
  <c r="AT33" i="978"/>
  <c r="AU33" i="978"/>
  <c r="AV33" i="978"/>
  <c r="AW33" i="978"/>
  <c r="AT23" i="12"/>
  <c r="AP23" i="12"/>
  <c r="AT14" i="12"/>
  <c r="AO14" i="12"/>
  <c r="S35" i="978"/>
  <c r="AR35" i="978" s="1"/>
  <c r="V47" i="978"/>
  <c r="AB26" i="978"/>
  <c r="AC25" i="978"/>
  <c r="AG25" i="978"/>
  <c r="AE25" i="978"/>
  <c r="AH25" i="978"/>
  <c r="AD25" i="978"/>
  <c r="AI25" i="978"/>
  <c r="L24" i="978"/>
  <c r="B24" i="978"/>
  <c r="G24" i="978"/>
  <c r="AT5" i="12"/>
  <c r="AN5" i="12"/>
  <c r="AO5" i="12"/>
  <c r="AP5" i="12"/>
  <c r="AQ5" i="12"/>
  <c r="G25" i="23"/>
  <c r="R20" i="24"/>
  <c r="F2" i="23"/>
  <c r="D2" i="24"/>
  <c r="J10" i="24"/>
  <c r="D10" i="24"/>
  <c r="U20" i="24"/>
  <c r="H18" i="23"/>
  <c r="O21" i="23"/>
  <c r="P21" i="23"/>
  <c r="F18" i="23"/>
  <c r="P15" i="23"/>
  <c r="O14" i="23"/>
  <c r="P16" i="23"/>
  <c r="Q11" i="24"/>
  <c r="P11" i="24" s="1"/>
  <c r="O11" i="24" s="1"/>
  <c r="R19" i="24"/>
  <c r="T14" i="24"/>
  <c r="S14" i="24" s="1"/>
  <c r="R14" i="24" s="1"/>
  <c r="Q14" i="24" s="1"/>
  <c r="P14" i="24" s="1"/>
  <c r="O14" i="24" s="1"/>
  <c r="U15" i="24"/>
  <c r="BC23" i="12"/>
  <c r="AX23" i="12"/>
  <c r="AY23" i="12"/>
  <c r="AZ23" i="12"/>
  <c r="BA23" i="12"/>
  <c r="BB23" i="12"/>
  <c r="AL13" i="12"/>
  <c r="AK14" i="12" s="1"/>
  <c r="AL12" i="12"/>
  <c r="C15" i="12"/>
  <c r="AD13" i="12" s="1"/>
  <c r="B15" i="12" s="1"/>
  <c r="W33" i="12"/>
  <c r="AX33" i="12"/>
  <c r="AX6" i="12"/>
  <c r="W6" i="12"/>
  <c r="AP14" i="12"/>
  <c r="AQ14" i="12"/>
  <c r="AR14" i="12"/>
  <c r="AS14" i="12"/>
  <c r="AL31" i="12"/>
  <c r="AE32" i="12" s="1"/>
  <c r="AL30" i="12"/>
  <c r="C33" i="12"/>
  <c r="AD31" i="12" s="1"/>
  <c r="B33" i="12" s="1"/>
  <c r="AQ23" i="12"/>
  <c r="AR23" i="12"/>
  <c r="AS23" i="12"/>
  <c r="AO33" i="12"/>
  <c r="N33" i="12"/>
  <c r="AX15" i="12"/>
  <c r="W15" i="12"/>
  <c r="M6" i="12"/>
  <c r="AN6" i="12"/>
  <c r="AR5" i="12"/>
  <c r="AS5" i="12"/>
  <c r="V24" i="12"/>
  <c r="AW24" i="12"/>
  <c r="K15" i="12"/>
  <c r="AN15" i="12"/>
  <c r="M15" i="12"/>
  <c r="AN24" i="12"/>
  <c r="M24" i="12"/>
  <c r="F10" i="19"/>
  <c r="G10" i="19" s="1"/>
  <c r="H10" i="19" s="1"/>
  <c r="I10" i="19" s="1"/>
  <c r="K17" i="24"/>
  <c r="O5" i="24"/>
  <c r="P5" i="24" s="1"/>
  <c r="Q5" i="24" s="1"/>
  <c r="R5" i="24" s="1"/>
  <c r="K13" i="19"/>
  <c r="L13" i="19"/>
  <c r="Q5" i="23"/>
  <c r="I25" i="23"/>
  <c r="E6" i="12"/>
  <c r="AG6" i="12" s="1"/>
  <c r="M12" i="19"/>
  <c r="N12" i="19"/>
  <c r="O12" i="19" s="1"/>
  <c r="D15" i="19"/>
  <c r="J14" i="19"/>
  <c r="E24" i="12"/>
  <c r="AG24" i="12" s="1"/>
  <c r="E11" i="19"/>
  <c r="AI5" i="23"/>
  <c r="AI5" i="24"/>
  <c r="T35" i="978" l="1"/>
  <c r="AS35" i="978" s="1"/>
  <c r="G25" i="978"/>
  <c r="W47" i="978"/>
  <c r="L25" i="978"/>
  <c r="B25" i="978"/>
  <c r="AI26" i="978"/>
  <c r="AE26" i="978"/>
  <c r="AD26" i="978"/>
  <c r="AC26" i="978"/>
  <c r="AB27" i="978"/>
  <c r="AH26" i="978"/>
  <c r="AG26" i="978"/>
  <c r="D18" i="24"/>
  <c r="R21" i="24"/>
  <c r="J18" i="23"/>
  <c r="Q21" i="23"/>
  <c r="O15" i="23"/>
  <c r="O16" i="23"/>
  <c r="T15" i="24"/>
  <c r="S15" i="24" s="1"/>
  <c r="R15" i="24" s="1"/>
  <c r="Q15" i="24" s="1"/>
  <c r="P15" i="24" s="1"/>
  <c r="O15" i="24" s="1"/>
  <c r="U16" i="24"/>
  <c r="T16" i="24" s="1"/>
  <c r="S16" i="24" s="1"/>
  <c r="R16" i="24" s="1"/>
  <c r="Q16" i="24" s="1"/>
  <c r="P16" i="24" s="1"/>
  <c r="O16" i="24" s="1"/>
  <c r="AO24" i="12"/>
  <c r="N24" i="12"/>
  <c r="AX24" i="12"/>
  <c r="W24" i="12"/>
  <c r="AP33" i="12"/>
  <c r="O33" i="12"/>
  <c r="AO15" i="12"/>
  <c r="N15" i="12"/>
  <c r="AO6" i="12"/>
  <c r="N6" i="12"/>
  <c r="AE33" i="12"/>
  <c r="D33" i="12"/>
  <c r="X33" i="12"/>
  <c r="AY33" i="12"/>
  <c r="AF32" i="12"/>
  <c r="AG32" i="12"/>
  <c r="AH32" i="12"/>
  <c r="AI32" i="12"/>
  <c r="AJ32" i="12"/>
  <c r="AE14" i="12"/>
  <c r="AF14" i="12"/>
  <c r="AG14" i="12"/>
  <c r="AH14" i="12"/>
  <c r="AI14" i="12"/>
  <c r="AJ14" i="12"/>
  <c r="AY15" i="12"/>
  <c r="X15" i="12"/>
  <c r="AY6" i="12"/>
  <c r="X6" i="12"/>
  <c r="AE15" i="12"/>
  <c r="D15" i="12"/>
  <c r="AK32" i="12"/>
  <c r="F11" i="19"/>
  <c r="G11" i="19" s="1"/>
  <c r="H11" i="19" s="1"/>
  <c r="I11" i="19" s="1"/>
  <c r="N13" i="19"/>
  <c r="O13" i="19" s="1"/>
  <c r="M13" i="19"/>
  <c r="F24" i="12"/>
  <c r="AH24" i="12" s="1"/>
  <c r="S5" i="24"/>
  <c r="E25" i="24"/>
  <c r="K25" i="23"/>
  <c r="R5" i="23"/>
  <c r="S5" i="23" s="1"/>
  <c r="T5" i="23" s="1"/>
  <c r="U5" i="23" s="1"/>
  <c r="O6" i="23" s="1"/>
  <c r="F6" i="12"/>
  <c r="AH6" i="12" s="1"/>
  <c r="K14" i="19"/>
  <c r="L14" i="19"/>
  <c r="J15" i="19"/>
  <c r="D16" i="19"/>
  <c r="E12" i="19"/>
  <c r="AG6" i="23"/>
  <c r="AJ5" i="24"/>
  <c r="L26" i="978" l="1"/>
  <c r="U35" i="978"/>
  <c r="AT35" i="978" s="1"/>
  <c r="X47" i="978"/>
  <c r="AB28" i="978"/>
  <c r="AC27" i="978"/>
  <c r="AE27" i="978"/>
  <c r="AI27" i="978"/>
  <c r="AH27" i="978"/>
  <c r="AG27" i="978"/>
  <c r="AD27" i="978"/>
  <c r="B26" i="978"/>
  <c r="G26" i="978"/>
  <c r="F18" i="24"/>
  <c r="S21" i="24"/>
  <c r="F26" i="23"/>
  <c r="O22" i="23"/>
  <c r="AZ15" i="12"/>
  <c r="Y15" i="12"/>
  <c r="AF33" i="12"/>
  <c r="E33" i="12"/>
  <c r="AF15" i="12"/>
  <c r="E15" i="12"/>
  <c r="AZ33" i="12"/>
  <c r="Y33" i="12"/>
  <c r="AP6" i="12"/>
  <c r="O6" i="12"/>
  <c r="AQ33" i="12"/>
  <c r="P33" i="12"/>
  <c r="AP24" i="12"/>
  <c r="O24" i="12"/>
  <c r="AZ6" i="12"/>
  <c r="Y6" i="12"/>
  <c r="AP15" i="12"/>
  <c r="O15" i="12"/>
  <c r="AY24" i="12"/>
  <c r="X24" i="12"/>
  <c r="F12" i="19"/>
  <c r="G12" i="19" s="1"/>
  <c r="H12" i="19" s="1"/>
  <c r="I12" i="19" s="1"/>
  <c r="G24" i="12"/>
  <c r="AI24" i="12" s="1"/>
  <c r="G6" i="12"/>
  <c r="AI6" i="12" s="1"/>
  <c r="T5" i="24"/>
  <c r="G25" i="24"/>
  <c r="J16" i="19"/>
  <c r="D17" i="19"/>
  <c r="K15" i="19"/>
  <c r="L15" i="19"/>
  <c r="M14" i="19"/>
  <c r="N14" i="19"/>
  <c r="O14" i="19" s="1"/>
  <c r="P6" i="23"/>
  <c r="G33" i="23"/>
  <c r="E13" i="19"/>
  <c r="AK5" i="24"/>
  <c r="AH6" i="23"/>
  <c r="AY47" i="978" l="1"/>
  <c r="V35" i="978"/>
  <c r="AU35" i="978" s="1"/>
  <c r="AP47" i="978"/>
  <c r="R49" i="978"/>
  <c r="L27" i="978"/>
  <c r="B27" i="978"/>
  <c r="AH28" i="978"/>
  <c r="AC28" i="978"/>
  <c r="AB29" i="978"/>
  <c r="AI28" i="978"/>
  <c r="AD28" i="978"/>
  <c r="AE28" i="978"/>
  <c r="AG28" i="978"/>
  <c r="G27" i="978"/>
  <c r="H18" i="24"/>
  <c r="T21" i="24"/>
  <c r="H26" i="23"/>
  <c r="P22" i="23"/>
  <c r="AZ24" i="12"/>
  <c r="Y24" i="12"/>
  <c r="BA6" i="12"/>
  <c r="Z6" i="12"/>
  <c r="AR33" i="12"/>
  <c r="Q33" i="12"/>
  <c r="BA33" i="12"/>
  <c r="Z33" i="12"/>
  <c r="AG33" i="12"/>
  <c r="F33" i="12"/>
  <c r="AQ6" i="12"/>
  <c r="P6" i="12"/>
  <c r="BA15" i="12"/>
  <c r="Z15" i="12"/>
  <c r="AQ24" i="12"/>
  <c r="P24" i="12"/>
  <c r="AQ15" i="12"/>
  <c r="P15" i="12"/>
  <c r="AG15" i="12"/>
  <c r="F15" i="12"/>
  <c r="F13" i="19"/>
  <c r="G13" i="19" s="1"/>
  <c r="U5" i="24"/>
  <c r="I25" i="24"/>
  <c r="H6" i="12"/>
  <c r="AJ6" i="12" s="1"/>
  <c r="M15" i="19"/>
  <c r="N15" i="19"/>
  <c r="O15" i="19" s="1"/>
  <c r="H24" i="12"/>
  <c r="AJ24" i="12" s="1"/>
  <c r="D18" i="19"/>
  <c r="J17" i="19"/>
  <c r="Q6" i="23"/>
  <c r="I33" i="23"/>
  <c r="K16" i="19"/>
  <c r="L16" i="19"/>
  <c r="E14" i="19"/>
  <c r="AI6" i="23"/>
  <c r="AL5" i="24"/>
  <c r="AS47" i="978" l="1"/>
  <c r="AT47" i="978"/>
  <c r="AU47" i="978"/>
  <c r="AV47" i="978"/>
  <c r="AW47" i="978"/>
  <c r="AQ49" i="978"/>
  <c r="W35" i="978"/>
  <c r="AV35" i="978" s="1"/>
  <c r="S49" i="978"/>
  <c r="AR49" i="978" s="1"/>
  <c r="G28" i="978"/>
  <c r="B28" i="978"/>
  <c r="AB30" i="978"/>
  <c r="AC29" i="978"/>
  <c r="AG29" i="978"/>
  <c r="AD29" i="978"/>
  <c r="AH29" i="978"/>
  <c r="AE29" i="978"/>
  <c r="AI29" i="978"/>
  <c r="L28" i="978"/>
  <c r="J18" i="24"/>
  <c r="U21" i="24"/>
  <c r="J26" i="23"/>
  <c r="Q22" i="23"/>
  <c r="AR15" i="12"/>
  <c r="Q15" i="12"/>
  <c r="BB15" i="12"/>
  <c r="AA15" i="12"/>
  <c r="BB33" i="12"/>
  <c r="AA33" i="12"/>
  <c r="BB6" i="12"/>
  <c r="AA6" i="12"/>
  <c r="AH15" i="12"/>
  <c r="G15" i="12"/>
  <c r="AR24" i="12"/>
  <c r="Q24" i="12"/>
  <c r="AR6" i="12"/>
  <c r="Q6" i="12"/>
  <c r="AH33" i="12"/>
  <c r="G33" i="12"/>
  <c r="AS33" i="12"/>
  <c r="R33" i="12"/>
  <c r="BA24" i="12"/>
  <c r="Z24" i="12"/>
  <c r="F14" i="19"/>
  <c r="G14" i="19" s="1"/>
  <c r="H13" i="19"/>
  <c r="I13" i="19" s="1"/>
  <c r="K17" i="19"/>
  <c r="L17" i="19"/>
  <c r="I6" i="12"/>
  <c r="AK6" i="12" s="1"/>
  <c r="J18" i="19"/>
  <c r="D19" i="19"/>
  <c r="R6" i="23"/>
  <c r="S6" i="23" s="1"/>
  <c r="T6" i="23" s="1"/>
  <c r="U6" i="23" s="1"/>
  <c r="O7" i="23" s="1"/>
  <c r="K33" i="23"/>
  <c r="N16" i="19"/>
  <c r="O16" i="19" s="1"/>
  <c r="M16" i="19"/>
  <c r="I24" i="12"/>
  <c r="AK24" i="12" s="1"/>
  <c r="K25" i="24"/>
  <c r="O6" i="24"/>
  <c r="P6" i="24" s="1"/>
  <c r="Q6" i="24" s="1"/>
  <c r="R6" i="24" s="1"/>
  <c r="E15" i="19"/>
  <c r="AI6" i="24"/>
  <c r="AG7" i="23"/>
  <c r="X35" i="978" l="1"/>
  <c r="AW35" i="978" s="1"/>
  <c r="T49" i="978"/>
  <c r="AS49" i="978" s="1"/>
  <c r="G29" i="978"/>
  <c r="L29" i="978"/>
  <c r="B29" i="978"/>
  <c r="AB31" i="978"/>
  <c r="AC30" i="978"/>
  <c r="AI30" i="978"/>
  <c r="AE30" i="978"/>
  <c r="AD30" i="978"/>
  <c r="AH30" i="978"/>
  <c r="AG30" i="978"/>
  <c r="D26" i="24"/>
  <c r="R22" i="24"/>
  <c r="F34" i="23"/>
  <c r="O23" i="23"/>
  <c r="AT33" i="12"/>
  <c r="L34" i="12"/>
  <c r="AS6" i="12"/>
  <c r="R6" i="12"/>
  <c r="AI15" i="12"/>
  <c r="H15" i="12"/>
  <c r="BC6" i="12"/>
  <c r="U7" i="12"/>
  <c r="BC15" i="12"/>
  <c r="U16" i="12"/>
  <c r="BB24" i="12"/>
  <c r="AA24" i="12"/>
  <c r="AI33" i="12"/>
  <c r="H33" i="12"/>
  <c r="AS24" i="12"/>
  <c r="R24" i="12"/>
  <c r="BC33" i="12"/>
  <c r="U34" i="12"/>
  <c r="AS15" i="12"/>
  <c r="R15" i="12"/>
  <c r="F15" i="19"/>
  <c r="G15" i="19" s="1"/>
  <c r="H14" i="19"/>
  <c r="I14" i="19" s="1"/>
  <c r="C7" i="12"/>
  <c r="AE7" i="12" s="1"/>
  <c r="G41" i="23"/>
  <c r="P7" i="23"/>
  <c r="N17" i="19"/>
  <c r="O17" i="19" s="1"/>
  <c r="M17" i="19"/>
  <c r="C25" i="12"/>
  <c r="AE25" i="12" s="1"/>
  <c r="J19" i="19"/>
  <c r="D20" i="19"/>
  <c r="K18" i="19"/>
  <c r="L18" i="19"/>
  <c r="E33" i="24"/>
  <c r="S6" i="24"/>
  <c r="E16" i="19"/>
  <c r="AH7" i="23"/>
  <c r="AJ6" i="24"/>
  <c r="AP35" i="978" l="1"/>
  <c r="R37" i="978"/>
  <c r="AQ37" i="978" s="1"/>
  <c r="U49" i="978"/>
  <c r="AT49" i="978" s="1"/>
  <c r="B30" i="978"/>
  <c r="AE31" i="978"/>
  <c r="AD31" i="978"/>
  <c r="AB33" i="978"/>
  <c r="AC31" i="978"/>
  <c r="AI31" i="978"/>
  <c r="AH31" i="978"/>
  <c r="AG31" i="978"/>
  <c r="G30" i="978"/>
  <c r="L30" i="978"/>
  <c r="F26" i="24"/>
  <c r="S22" i="24"/>
  <c r="H34" i="23"/>
  <c r="P23" i="23"/>
  <c r="AJ33" i="12"/>
  <c r="I33" i="12"/>
  <c r="AW16" i="12"/>
  <c r="V16" i="12"/>
  <c r="AJ15" i="12"/>
  <c r="I15" i="12"/>
  <c r="AT15" i="12"/>
  <c r="L16" i="12"/>
  <c r="AT24" i="12"/>
  <c r="L25" i="12"/>
  <c r="BC24" i="12"/>
  <c r="U25" i="12"/>
  <c r="AW7" i="12"/>
  <c r="V7" i="12"/>
  <c r="AT6" i="12"/>
  <c r="L7" i="12"/>
  <c r="AW34" i="12"/>
  <c r="V34" i="12"/>
  <c r="AN34" i="12"/>
  <c r="M34" i="12"/>
  <c r="F16" i="19"/>
  <c r="G16" i="19" s="1"/>
  <c r="H15" i="19"/>
  <c r="I15" i="19" s="1"/>
  <c r="G33" i="24"/>
  <c r="T6" i="24"/>
  <c r="Q7" i="23"/>
  <c r="I41" i="23"/>
  <c r="K19" i="19"/>
  <c r="L19" i="19"/>
  <c r="D7" i="12"/>
  <c r="AF7" i="12" s="1"/>
  <c r="M18" i="19"/>
  <c r="N18" i="19"/>
  <c r="O18" i="19" s="1"/>
  <c r="D21" i="19"/>
  <c r="J20" i="19"/>
  <c r="D25" i="12"/>
  <c r="AF25" i="12" s="1"/>
  <c r="E17" i="19"/>
  <c r="AI7" i="23"/>
  <c r="AK6" i="24"/>
  <c r="S37" i="978" l="1"/>
  <c r="AR37" i="978" s="1"/>
  <c r="V49" i="978"/>
  <c r="AU49" i="978" s="1"/>
  <c r="B31" i="978"/>
  <c r="AB35" i="978"/>
  <c r="AD33" i="978"/>
  <c r="AC33" i="978"/>
  <c r="AH33" i="978"/>
  <c r="AE33" i="978"/>
  <c r="AG33" i="978"/>
  <c r="AI33" i="978"/>
  <c r="G31" i="978"/>
  <c r="L31" i="978"/>
  <c r="H26" i="24"/>
  <c r="T22" i="24"/>
  <c r="J34" i="23"/>
  <c r="Q23" i="23"/>
  <c r="AX7" i="12"/>
  <c r="W7" i="12"/>
  <c r="AN25" i="12"/>
  <c r="M25" i="12"/>
  <c r="AX16" i="12"/>
  <c r="W16" i="12"/>
  <c r="AO34" i="12"/>
  <c r="N34" i="12"/>
  <c r="AN7" i="12"/>
  <c r="M7" i="12"/>
  <c r="AW25" i="12"/>
  <c r="V25" i="12"/>
  <c r="AN16" i="12"/>
  <c r="M16" i="12"/>
  <c r="AK15" i="12"/>
  <c r="C16" i="12"/>
  <c r="AK33" i="12"/>
  <c r="C34" i="12"/>
  <c r="AX34" i="12"/>
  <c r="W34" i="12"/>
  <c r="F17" i="19"/>
  <c r="G17" i="19" s="1"/>
  <c r="H16" i="19"/>
  <c r="I16" i="19" s="1"/>
  <c r="E7" i="12"/>
  <c r="AG7" i="12" s="1"/>
  <c r="K20" i="19"/>
  <c r="L20" i="19"/>
  <c r="E25" i="12"/>
  <c r="AG25" i="12" s="1"/>
  <c r="J21" i="19"/>
  <c r="D22" i="19"/>
  <c r="N19" i="19"/>
  <c r="O19" i="19" s="1"/>
  <c r="M19" i="19"/>
  <c r="R7" i="23"/>
  <c r="S7" i="23" s="1"/>
  <c r="T7" i="23" s="1"/>
  <c r="U7" i="23" s="1"/>
  <c r="O8" i="23" s="1"/>
  <c r="K41" i="23"/>
  <c r="U6" i="24"/>
  <c r="I33" i="24"/>
  <c r="E18" i="19"/>
  <c r="AL6" i="24"/>
  <c r="L33" i="978" l="1"/>
  <c r="T37" i="978"/>
  <c r="AS37" i="978" s="1"/>
  <c r="W49" i="978"/>
  <c r="AV49" i="978" s="1"/>
  <c r="B33" i="978"/>
  <c r="G33" i="978"/>
  <c r="AC35" i="978"/>
  <c r="AB37" i="978"/>
  <c r="AD35" i="978"/>
  <c r="AG35" i="978"/>
  <c r="AE35" i="978"/>
  <c r="AH35" i="978"/>
  <c r="AI35" i="978"/>
  <c r="J26" i="24"/>
  <c r="U22" i="24"/>
  <c r="O24" i="23"/>
  <c r="AE34" i="12"/>
  <c r="D34" i="12"/>
  <c r="AO16" i="12"/>
  <c r="N16" i="12"/>
  <c r="AO7" i="12"/>
  <c r="N7" i="12"/>
  <c r="AY16" i="12"/>
  <c r="X16" i="12"/>
  <c r="AY7" i="12"/>
  <c r="X7" i="12"/>
  <c r="AY34" i="12"/>
  <c r="X34" i="12"/>
  <c r="AE16" i="12"/>
  <c r="D16" i="12"/>
  <c r="AX25" i="12"/>
  <c r="W25" i="12"/>
  <c r="AP34" i="12"/>
  <c r="O34" i="12"/>
  <c r="AO25" i="12"/>
  <c r="N25" i="12"/>
  <c r="F18" i="19"/>
  <c r="G18" i="19" s="1"/>
  <c r="H17" i="19"/>
  <c r="I17" i="19" s="1"/>
  <c r="O7" i="24"/>
  <c r="P7" i="24" s="1"/>
  <c r="Q7" i="24" s="1"/>
  <c r="R7" i="24" s="1"/>
  <c r="K33" i="24"/>
  <c r="M20" i="19"/>
  <c r="N20" i="19"/>
  <c r="O20" i="19" s="1"/>
  <c r="P8" i="23"/>
  <c r="G49" i="23"/>
  <c r="D23" i="19"/>
  <c r="J22" i="19"/>
  <c r="K21" i="19"/>
  <c r="L21" i="19"/>
  <c r="F25" i="12"/>
  <c r="AH25" i="12" s="1"/>
  <c r="F7" i="12"/>
  <c r="AH7" i="12" s="1"/>
  <c r="E19" i="19"/>
  <c r="AG8" i="23"/>
  <c r="AH8" i="23"/>
  <c r="AI7" i="24"/>
  <c r="H18" i="19" l="1"/>
  <c r="I18" i="19" s="1"/>
  <c r="U37" i="978"/>
  <c r="AT37" i="978" s="1"/>
  <c r="G35" i="978"/>
  <c r="L35" i="978"/>
  <c r="X49" i="978"/>
  <c r="AW49" i="978" s="1"/>
  <c r="AB39" i="978"/>
  <c r="AD37" i="978"/>
  <c r="AH37" i="978"/>
  <c r="AC37" i="978"/>
  <c r="AE37" i="978"/>
  <c r="AG37" i="978"/>
  <c r="AI37" i="978"/>
  <c r="B35" i="978"/>
  <c r="F42" i="23"/>
  <c r="D34" i="24"/>
  <c r="R23" i="24"/>
  <c r="H42" i="23"/>
  <c r="P24" i="23"/>
  <c r="AQ34" i="12"/>
  <c r="P34" i="12"/>
  <c r="AF16" i="12"/>
  <c r="E16" i="12"/>
  <c r="AZ7" i="12"/>
  <c r="Y7" i="12"/>
  <c r="AP7" i="12"/>
  <c r="O7" i="12"/>
  <c r="AF34" i="12"/>
  <c r="E34" i="12"/>
  <c r="AP25" i="12"/>
  <c r="O25" i="12"/>
  <c r="AY25" i="12"/>
  <c r="X25" i="12"/>
  <c r="AZ34" i="12"/>
  <c r="Y34" i="12"/>
  <c r="AZ16" i="12"/>
  <c r="Y16" i="12"/>
  <c r="AP16" i="12"/>
  <c r="O16" i="12"/>
  <c r="F19" i="19"/>
  <c r="G19" i="19" s="1"/>
  <c r="G7" i="12"/>
  <c r="AI7" i="12" s="1"/>
  <c r="Q8" i="23"/>
  <c r="I49" i="23"/>
  <c r="N21" i="19"/>
  <c r="O21" i="19" s="1"/>
  <c r="M21" i="19"/>
  <c r="K22" i="19"/>
  <c r="L22" i="19"/>
  <c r="D24" i="19"/>
  <c r="J23" i="19"/>
  <c r="E41" i="24"/>
  <c r="S7" i="24"/>
  <c r="G25" i="12"/>
  <c r="AI25" i="12" s="1"/>
  <c r="E20" i="19"/>
  <c r="AI8" i="23"/>
  <c r="AJ7" i="24"/>
  <c r="H19" i="19" l="1"/>
  <c r="I19" i="19" s="1"/>
  <c r="V37" i="978"/>
  <c r="AU37" i="978" s="1"/>
  <c r="R50" i="978"/>
  <c r="AQ50" i="978" s="1"/>
  <c r="L37" i="978"/>
  <c r="B37" i="978"/>
  <c r="G37" i="978"/>
  <c r="AC39" i="978"/>
  <c r="AD39" i="978"/>
  <c r="AB41" i="978"/>
  <c r="AH39" i="978"/>
  <c r="AG39" i="978"/>
  <c r="AE39" i="978"/>
  <c r="AI39" i="978"/>
  <c r="F34" i="24"/>
  <c r="S23" i="24"/>
  <c r="J42" i="23"/>
  <c r="Q24" i="23"/>
  <c r="BA16" i="12"/>
  <c r="Z16" i="12"/>
  <c r="AZ25" i="12"/>
  <c r="Y25" i="12"/>
  <c r="AG34" i="12"/>
  <c r="F34" i="12"/>
  <c r="BA7" i="12"/>
  <c r="Z7" i="12"/>
  <c r="AR34" i="12"/>
  <c r="Q34" i="12"/>
  <c r="AQ16" i="12"/>
  <c r="P16" i="12"/>
  <c r="BA34" i="12"/>
  <c r="Z34" i="12"/>
  <c r="AQ25" i="12"/>
  <c r="P25" i="12"/>
  <c r="AQ7" i="12"/>
  <c r="P7" i="12"/>
  <c r="AG16" i="12"/>
  <c r="F16" i="12"/>
  <c r="F20" i="19"/>
  <c r="G20" i="19" s="1"/>
  <c r="G41" i="24"/>
  <c r="T7" i="24"/>
  <c r="J24" i="19"/>
  <c r="D25" i="19"/>
  <c r="K23" i="19"/>
  <c r="L23" i="19"/>
  <c r="H25" i="12"/>
  <c r="AJ25" i="12" s="1"/>
  <c r="K49" i="23"/>
  <c r="R8" i="23"/>
  <c r="S8" i="23" s="1"/>
  <c r="T8" i="23" s="1"/>
  <c r="U8" i="23" s="1"/>
  <c r="H7" i="12"/>
  <c r="AJ7" i="12" s="1"/>
  <c r="N22" i="19"/>
  <c r="O22" i="19" s="1"/>
  <c r="M22" i="19"/>
  <c r="E21" i="19"/>
  <c r="AK7" i="24"/>
  <c r="B39" i="978" l="1"/>
  <c r="W37" i="978"/>
  <c r="AV37" i="978" s="1"/>
  <c r="S50" i="978"/>
  <c r="AR50" i="978" s="1"/>
  <c r="L39" i="978"/>
  <c r="AC41" i="978"/>
  <c r="AB43" i="978"/>
  <c r="AE41" i="978"/>
  <c r="AH41" i="978"/>
  <c r="AI41" i="978"/>
  <c r="AD41" i="978"/>
  <c r="AG41" i="978"/>
  <c r="G39" i="978"/>
  <c r="H34" i="24"/>
  <c r="T23" i="24"/>
  <c r="AR7" i="12"/>
  <c r="Q7" i="12"/>
  <c r="BB34" i="12"/>
  <c r="AA34" i="12"/>
  <c r="AS34" i="12"/>
  <c r="R34" i="12"/>
  <c r="AH34" i="12"/>
  <c r="G34" i="12"/>
  <c r="BB16" i="12"/>
  <c r="AA16" i="12"/>
  <c r="AH16" i="12"/>
  <c r="G16" i="12"/>
  <c r="AR25" i="12"/>
  <c r="Q25" i="12"/>
  <c r="AR16" i="12"/>
  <c r="Q16" i="12"/>
  <c r="BB7" i="12"/>
  <c r="AA7" i="12"/>
  <c r="BA25" i="12"/>
  <c r="Z25" i="12"/>
  <c r="F21" i="19"/>
  <c r="G21" i="19" s="1"/>
  <c r="H20" i="19"/>
  <c r="I20" i="19" s="1"/>
  <c r="D26" i="19"/>
  <c r="J25" i="19"/>
  <c r="I25" i="12"/>
  <c r="AK25" i="12" s="1"/>
  <c r="K24" i="19"/>
  <c r="L24" i="19"/>
  <c r="N23" i="19"/>
  <c r="O23" i="19" s="1"/>
  <c r="M23" i="19"/>
  <c r="U7" i="24"/>
  <c r="I41" i="24"/>
  <c r="I7" i="12"/>
  <c r="AK7" i="12" s="1"/>
  <c r="E22" i="19"/>
  <c r="AL7" i="24"/>
  <c r="L41" i="978" l="1"/>
  <c r="X37" i="978"/>
  <c r="AW37" i="978" s="1"/>
  <c r="T50" i="978"/>
  <c r="AS50" i="978" s="1"/>
  <c r="AC43" i="978"/>
  <c r="AB45" i="978"/>
  <c r="AG43" i="978"/>
  <c r="AH43" i="978"/>
  <c r="AD43" i="978"/>
  <c r="AE43" i="978"/>
  <c r="AI43" i="978"/>
  <c r="B41" i="978"/>
  <c r="G41" i="978"/>
  <c r="J34" i="24"/>
  <c r="U23" i="24"/>
  <c r="BC7" i="12"/>
  <c r="U8" i="12"/>
  <c r="AS25" i="12"/>
  <c r="R25" i="12"/>
  <c r="BC16" i="12"/>
  <c r="U17" i="12"/>
  <c r="AT34" i="12"/>
  <c r="L35" i="12"/>
  <c r="AS7" i="12"/>
  <c r="R7" i="12"/>
  <c r="BB25" i="12"/>
  <c r="AA25" i="12"/>
  <c r="AS16" i="12"/>
  <c r="R16" i="12"/>
  <c r="AI16" i="12"/>
  <c r="H16" i="12"/>
  <c r="AI34" i="12"/>
  <c r="H34" i="12"/>
  <c r="BC34" i="12"/>
  <c r="U35" i="12"/>
  <c r="F22" i="19"/>
  <c r="G22" i="19" s="1"/>
  <c r="H21" i="19"/>
  <c r="I21" i="19" s="1"/>
  <c r="C26" i="12"/>
  <c r="AE26" i="12" s="1"/>
  <c r="K25" i="19"/>
  <c r="L25" i="19"/>
  <c r="N24" i="19"/>
  <c r="O24" i="19" s="1"/>
  <c r="M24" i="19"/>
  <c r="D27" i="19"/>
  <c r="J26" i="19"/>
  <c r="C8" i="12"/>
  <c r="AE8" i="12" s="1"/>
  <c r="O8" i="24"/>
  <c r="P8" i="24" s="1"/>
  <c r="Q8" i="24" s="1"/>
  <c r="R8" i="24" s="1"/>
  <c r="K41" i="24"/>
  <c r="E23" i="19"/>
  <c r="AI8" i="24"/>
  <c r="H22" i="19" l="1"/>
  <c r="I22" i="19" s="1"/>
  <c r="R39" i="978"/>
  <c r="AQ39" i="978" s="1"/>
  <c r="AP37" i="978"/>
  <c r="G43" i="978"/>
  <c r="U50" i="978"/>
  <c r="AT50" i="978" s="1"/>
  <c r="B43" i="978"/>
  <c r="L43" i="978"/>
  <c r="AB47" i="978"/>
  <c r="AD45" i="978"/>
  <c r="AC45" i="978"/>
  <c r="AH45" i="978"/>
  <c r="AG45" i="978"/>
  <c r="AI45" i="978"/>
  <c r="AE45" i="978"/>
  <c r="D42" i="24"/>
  <c r="R24" i="24"/>
  <c r="AJ34" i="12"/>
  <c r="I34" i="12"/>
  <c r="AT16" i="12"/>
  <c r="L17" i="12"/>
  <c r="AT7" i="12"/>
  <c r="L8" i="12"/>
  <c r="AW17" i="12"/>
  <c r="V17" i="12"/>
  <c r="AW8" i="12"/>
  <c r="V8" i="12"/>
  <c r="AW35" i="12"/>
  <c r="V35" i="12"/>
  <c r="AJ16" i="12"/>
  <c r="I16" i="12"/>
  <c r="BC25" i="12"/>
  <c r="U26" i="12"/>
  <c r="AN35" i="12"/>
  <c r="M35" i="12"/>
  <c r="AT25" i="12"/>
  <c r="L26" i="12"/>
  <c r="F23" i="19"/>
  <c r="G23" i="19" s="1"/>
  <c r="N25" i="19"/>
  <c r="O25" i="19" s="1"/>
  <c r="M25" i="19"/>
  <c r="E49" i="24"/>
  <c r="S8" i="24"/>
  <c r="D8" i="12"/>
  <c r="AF8" i="12" s="1"/>
  <c r="D26" i="12"/>
  <c r="AF26" i="12" s="1"/>
  <c r="K26" i="19"/>
  <c r="L26" i="19"/>
  <c r="J27" i="19"/>
  <c r="D28" i="19"/>
  <c r="E24" i="19"/>
  <c r="AJ8" i="24"/>
  <c r="L45" i="978" l="1"/>
  <c r="S39" i="978"/>
  <c r="AR39" i="978" s="1"/>
  <c r="G45" i="978"/>
  <c r="V50" i="978"/>
  <c r="AU50" i="978" s="1"/>
  <c r="B45" i="978"/>
  <c r="AB49" i="978"/>
  <c r="AC47" i="978"/>
  <c r="AE47" i="978"/>
  <c r="AH47" i="978"/>
  <c r="AG47" i="978"/>
  <c r="AI47" i="978"/>
  <c r="AD47" i="978"/>
  <c r="F42" i="24"/>
  <c r="S24" i="24"/>
  <c r="AO35" i="12"/>
  <c r="N35" i="12"/>
  <c r="AK16" i="12"/>
  <c r="C17" i="12"/>
  <c r="AX8" i="12"/>
  <c r="W8" i="12"/>
  <c r="AN8" i="12"/>
  <c r="M8" i="12"/>
  <c r="AK34" i="12"/>
  <c r="C35" i="12"/>
  <c r="AN26" i="12"/>
  <c r="M26" i="12"/>
  <c r="AW26" i="12"/>
  <c r="V26" i="12"/>
  <c r="AX35" i="12"/>
  <c r="W35" i="12"/>
  <c r="AX17" i="12"/>
  <c r="W17" i="12"/>
  <c r="AN17" i="12"/>
  <c r="M17" i="12"/>
  <c r="F24" i="19"/>
  <c r="G24" i="19" s="1"/>
  <c r="H23" i="19"/>
  <c r="I23" i="19" s="1"/>
  <c r="M26" i="19"/>
  <c r="N26" i="19"/>
  <c r="O26" i="19" s="1"/>
  <c r="J28" i="19"/>
  <c r="D29" i="19"/>
  <c r="E8" i="12"/>
  <c r="AG8" i="12" s="1"/>
  <c r="G49" i="24"/>
  <c r="T8" i="24"/>
  <c r="K27" i="19"/>
  <c r="L27" i="19"/>
  <c r="E26" i="12"/>
  <c r="AG26" i="12" s="1"/>
  <c r="E25" i="19"/>
  <c r="AK8" i="24"/>
  <c r="T39" i="978" l="1"/>
  <c r="AS39" i="978" s="1"/>
  <c r="G47" i="978"/>
  <c r="W50" i="978"/>
  <c r="AV50" i="978" s="1"/>
  <c r="L47" i="978"/>
  <c r="B47" i="978"/>
  <c r="AI49" i="978"/>
  <c r="AE49" i="978"/>
  <c r="AD49" i="978"/>
  <c r="AC49" i="978"/>
  <c r="AB50" i="978"/>
  <c r="AG49" i="978"/>
  <c r="AH49" i="978"/>
  <c r="H42" i="24"/>
  <c r="T24" i="24"/>
  <c r="AY17" i="12"/>
  <c r="X17" i="12"/>
  <c r="AX26" i="12"/>
  <c r="W26" i="12"/>
  <c r="AE35" i="12"/>
  <c r="D35" i="12"/>
  <c r="AY8" i="12"/>
  <c r="X8" i="12"/>
  <c r="AP35" i="12"/>
  <c r="O35" i="12"/>
  <c r="AO17" i="12"/>
  <c r="N17" i="12"/>
  <c r="AY35" i="12"/>
  <c r="X35" i="12"/>
  <c r="AO26" i="12"/>
  <c r="N26" i="12"/>
  <c r="AO8" i="12"/>
  <c r="N8" i="12"/>
  <c r="AE17" i="12"/>
  <c r="D17" i="12"/>
  <c r="F25" i="19"/>
  <c r="G25" i="19" s="1"/>
  <c r="H24" i="19"/>
  <c r="I24" i="19" s="1"/>
  <c r="F8" i="12"/>
  <c r="AH8" i="12" s="1"/>
  <c r="F26" i="12"/>
  <c r="AH26" i="12" s="1"/>
  <c r="J29" i="19"/>
  <c r="D30" i="19"/>
  <c r="K28" i="19"/>
  <c r="L28" i="19"/>
  <c r="U8" i="24"/>
  <c r="I49" i="24"/>
  <c r="M27" i="19"/>
  <c r="N27" i="19"/>
  <c r="O27" i="19" s="1"/>
  <c r="E26" i="19"/>
  <c r="AL8" i="24"/>
  <c r="U39" i="978" l="1"/>
  <c r="AT39" i="978" s="1"/>
  <c r="X50" i="978"/>
  <c r="AW50" i="978" s="1"/>
  <c r="L49" i="978"/>
  <c r="AB51" i="978"/>
  <c r="AD50" i="978"/>
  <c r="AC50" i="978"/>
  <c r="AI50" i="978"/>
  <c r="AE50" i="978"/>
  <c r="AG50" i="978"/>
  <c r="AH50" i="978"/>
  <c r="B49" i="978"/>
  <c r="G49" i="978"/>
  <c r="J42" i="24"/>
  <c r="U24" i="24"/>
  <c r="AP8" i="12"/>
  <c r="O8" i="12"/>
  <c r="AZ35" i="12"/>
  <c r="Y35" i="12"/>
  <c r="AQ35" i="12"/>
  <c r="P35" i="12"/>
  <c r="AF35" i="12"/>
  <c r="E35" i="12"/>
  <c r="AZ17" i="12"/>
  <c r="Y17" i="12"/>
  <c r="AF17" i="12"/>
  <c r="E17" i="12"/>
  <c r="AP26" i="12"/>
  <c r="O26" i="12"/>
  <c r="AP17" i="12"/>
  <c r="O17" i="12"/>
  <c r="AZ8" i="12"/>
  <c r="Y8" i="12"/>
  <c r="AY26" i="12"/>
  <c r="X26" i="12"/>
  <c r="F26" i="19"/>
  <c r="G26" i="19" s="1"/>
  <c r="H25" i="19"/>
  <c r="I25" i="19" s="1"/>
  <c r="G26" i="12"/>
  <c r="AI26" i="12" s="1"/>
  <c r="G8" i="12"/>
  <c r="AI8" i="12" s="1"/>
  <c r="D31" i="19"/>
  <c r="J30" i="19"/>
  <c r="K49" i="24"/>
  <c r="M28" i="19"/>
  <c r="N28" i="19"/>
  <c r="O28" i="19" s="1"/>
  <c r="K29" i="19"/>
  <c r="L29" i="19"/>
  <c r="E27" i="19"/>
  <c r="G50" i="978" l="1"/>
  <c r="V39" i="978"/>
  <c r="AU39" i="978" s="1"/>
  <c r="B50" i="978"/>
  <c r="R51" i="978"/>
  <c r="AQ51" i="978" s="1"/>
  <c r="L50" i="978"/>
  <c r="AH51" i="978"/>
  <c r="AD51" i="978"/>
  <c r="AB52" i="978"/>
  <c r="AC51" i="978"/>
  <c r="AG51" i="978"/>
  <c r="AE51" i="978"/>
  <c r="AI51" i="978"/>
  <c r="BA8" i="12"/>
  <c r="Z8" i="12"/>
  <c r="AQ26" i="12"/>
  <c r="P26" i="12"/>
  <c r="BA17" i="12"/>
  <c r="Z17" i="12"/>
  <c r="AR35" i="12"/>
  <c r="Q35" i="12"/>
  <c r="AQ8" i="12"/>
  <c r="P8" i="12"/>
  <c r="AZ26" i="12"/>
  <c r="Y26" i="12"/>
  <c r="AQ17" i="12"/>
  <c r="P17" i="12"/>
  <c r="AG17" i="12"/>
  <c r="F17" i="12"/>
  <c r="AG35" i="12"/>
  <c r="F35" i="12"/>
  <c r="BA35" i="12"/>
  <c r="Z35" i="12"/>
  <c r="F27" i="19"/>
  <c r="G27" i="19" s="1"/>
  <c r="H26" i="19"/>
  <c r="I26" i="19" s="1"/>
  <c r="M29" i="19"/>
  <c r="N29" i="19"/>
  <c r="O29" i="19" s="1"/>
  <c r="K30" i="19"/>
  <c r="L30" i="19"/>
  <c r="J31" i="19"/>
  <c r="D32" i="19"/>
  <c r="H8" i="12"/>
  <c r="AJ8" i="12" s="1"/>
  <c r="H26" i="12"/>
  <c r="AJ26" i="12" s="1"/>
  <c r="E28" i="19"/>
  <c r="G51" i="978" l="1"/>
  <c r="W39" i="978"/>
  <c r="AV39" i="978" s="1"/>
  <c r="S51" i="978"/>
  <c r="AR51" i="978" s="1"/>
  <c r="B51" i="978"/>
  <c r="L51" i="978"/>
  <c r="AC52" i="978"/>
  <c r="AI52" i="978"/>
  <c r="AD52" i="978"/>
  <c r="AE52" i="978"/>
  <c r="AH52" i="978"/>
  <c r="AG52" i="978"/>
  <c r="AH35" i="12"/>
  <c r="G35" i="12"/>
  <c r="AR17" i="12"/>
  <c r="Q17" i="12"/>
  <c r="AR8" i="12"/>
  <c r="Q8" i="12"/>
  <c r="BB17" i="12"/>
  <c r="AA17" i="12"/>
  <c r="BB8" i="12"/>
  <c r="AA8" i="12"/>
  <c r="BB35" i="12"/>
  <c r="AA35" i="12"/>
  <c r="AH17" i="12"/>
  <c r="G17" i="12"/>
  <c r="BA26" i="12"/>
  <c r="Z26" i="12"/>
  <c r="AS35" i="12"/>
  <c r="R35" i="12"/>
  <c r="AR26" i="12"/>
  <c r="Q26" i="12"/>
  <c r="F28" i="19"/>
  <c r="G28" i="19" s="1"/>
  <c r="H27" i="19"/>
  <c r="I27" i="19" s="1"/>
  <c r="I8" i="12"/>
  <c r="AK8" i="12" s="1"/>
  <c r="J32" i="19"/>
  <c r="D33" i="19"/>
  <c r="I26" i="12"/>
  <c r="AK26" i="12" s="1"/>
  <c r="K31" i="19"/>
  <c r="L31" i="19"/>
  <c r="N30" i="19"/>
  <c r="O30" i="19" s="1"/>
  <c r="M30" i="19"/>
  <c r="E29" i="19"/>
  <c r="L52" i="978" l="1"/>
  <c r="X39" i="978"/>
  <c r="AW39" i="978" s="1"/>
  <c r="T51" i="978"/>
  <c r="AS51" i="978" s="1"/>
  <c r="G52" i="978"/>
  <c r="B52" i="978"/>
  <c r="AT35" i="12"/>
  <c r="L36" i="12"/>
  <c r="AI17" i="12"/>
  <c r="H17" i="12"/>
  <c r="BC8" i="12"/>
  <c r="U9" i="12"/>
  <c r="AS8" i="12"/>
  <c r="R8" i="12"/>
  <c r="AI35" i="12"/>
  <c r="H35" i="12"/>
  <c r="AS26" i="12"/>
  <c r="R26" i="12"/>
  <c r="BB26" i="12"/>
  <c r="AA26" i="12"/>
  <c r="BC35" i="12"/>
  <c r="U36" i="12"/>
  <c r="BC17" i="12"/>
  <c r="U18" i="12"/>
  <c r="AS17" i="12"/>
  <c r="R17" i="12"/>
  <c r="F29" i="19"/>
  <c r="G29" i="19" s="1"/>
  <c r="H28" i="19"/>
  <c r="I28" i="19" s="1"/>
  <c r="D34" i="19"/>
  <c r="J33" i="19"/>
  <c r="N31" i="19"/>
  <c r="O31" i="19" s="1"/>
  <c r="M31" i="19"/>
  <c r="K32" i="19"/>
  <c r="L32" i="19"/>
  <c r="C27" i="12"/>
  <c r="AE27" i="12" s="1"/>
  <c r="C9" i="12"/>
  <c r="AE9" i="12" s="1"/>
  <c r="E30" i="19"/>
  <c r="R41" i="978" l="1"/>
  <c r="AQ41" i="978" s="1"/>
  <c r="AP39" i="978"/>
  <c r="U51" i="978"/>
  <c r="AT51" i="978" s="1"/>
  <c r="AW18" i="12"/>
  <c r="V18" i="12"/>
  <c r="BC26" i="12"/>
  <c r="U27" i="12"/>
  <c r="AJ35" i="12"/>
  <c r="I35" i="12"/>
  <c r="AW9" i="12"/>
  <c r="V9" i="12"/>
  <c r="AN36" i="12"/>
  <c r="M36" i="12"/>
  <c r="AT17" i="12"/>
  <c r="L18" i="12"/>
  <c r="AW36" i="12"/>
  <c r="V36" i="12"/>
  <c r="AT26" i="12"/>
  <c r="L27" i="12"/>
  <c r="AT8" i="12"/>
  <c r="L9" i="12"/>
  <c r="AJ17" i="12"/>
  <c r="I17" i="12"/>
  <c r="F30" i="19"/>
  <c r="G30" i="19" s="1"/>
  <c r="H29" i="19"/>
  <c r="I29" i="19" s="1"/>
  <c r="D27" i="12"/>
  <c r="AF27" i="12" s="1"/>
  <c r="N32" i="19"/>
  <c r="O32" i="19" s="1"/>
  <c r="M32" i="19"/>
  <c r="D9" i="12"/>
  <c r="AF9" i="12" s="1"/>
  <c r="K33" i="19"/>
  <c r="L33" i="19"/>
  <c r="D35" i="19"/>
  <c r="J34" i="19"/>
  <c r="E31" i="19"/>
  <c r="H30" i="19" l="1"/>
  <c r="I30" i="19" s="1"/>
  <c r="S41" i="978"/>
  <c r="AR41" i="978" s="1"/>
  <c r="V51" i="978"/>
  <c r="AU51" i="978" s="1"/>
  <c r="AN9" i="12"/>
  <c r="M9" i="12"/>
  <c r="AX36" i="12"/>
  <c r="W36" i="12"/>
  <c r="AO36" i="12"/>
  <c r="N36" i="12"/>
  <c r="AK35" i="12"/>
  <c r="C36" i="12"/>
  <c r="AX18" i="12"/>
  <c r="W18" i="12"/>
  <c r="AK17" i="12"/>
  <c r="C18" i="12"/>
  <c r="AN27" i="12"/>
  <c r="M27" i="12"/>
  <c r="AN18" i="12"/>
  <c r="M18" i="12"/>
  <c r="AX9" i="12"/>
  <c r="W9" i="12"/>
  <c r="AW27" i="12"/>
  <c r="V27" i="12"/>
  <c r="F31" i="19"/>
  <c r="G31" i="19" s="1"/>
  <c r="E27" i="12"/>
  <c r="AG27" i="12" s="1"/>
  <c r="E9" i="12"/>
  <c r="AG9" i="12" s="1"/>
  <c r="N33" i="19"/>
  <c r="O33" i="19" s="1"/>
  <c r="M33" i="19"/>
  <c r="K34" i="19"/>
  <c r="L34" i="19"/>
  <c r="J35" i="19"/>
  <c r="D36" i="19"/>
  <c r="E32" i="19"/>
  <c r="H31" i="19" l="1"/>
  <c r="I31" i="19" s="1"/>
  <c r="T41" i="978"/>
  <c r="AS41" i="978" s="1"/>
  <c r="W51" i="978"/>
  <c r="AV51" i="978" s="1"/>
  <c r="AY9" i="12"/>
  <c r="X9" i="12"/>
  <c r="AO27" i="12"/>
  <c r="N27" i="12"/>
  <c r="AY18" i="12"/>
  <c r="X18" i="12"/>
  <c r="AP36" i="12"/>
  <c r="O36" i="12"/>
  <c r="AO9" i="12"/>
  <c r="N9" i="12"/>
  <c r="AX27" i="12"/>
  <c r="W27" i="12"/>
  <c r="AO18" i="12"/>
  <c r="N18" i="12"/>
  <c r="AE18" i="12"/>
  <c r="D18" i="12"/>
  <c r="AE36" i="12"/>
  <c r="D36" i="12"/>
  <c r="AY36" i="12"/>
  <c r="X36" i="12"/>
  <c r="F32" i="19"/>
  <c r="G32" i="19" s="1"/>
  <c r="M34" i="19"/>
  <c r="N34" i="19"/>
  <c r="O34" i="19" s="1"/>
  <c r="F27" i="12"/>
  <c r="AH27" i="12" s="1"/>
  <c r="K35" i="19"/>
  <c r="L35" i="19"/>
  <c r="F9" i="12"/>
  <c r="AH9" i="12" s="1"/>
  <c r="J36" i="19"/>
  <c r="D37" i="19"/>
  <c r="E33" i="19"/>
  <c r="H32" i="19" l="1"/>
  <c r="I32" i="19" s="1"/>
  <c r="U41" i="978"/>
  <c r="AT41" i="978" s="1"/>
  <c r="X51" i="978"/>
  <c r="AW51" i="978" s="1"/>
  <c r="AF36" i="12"/>
  <c r="E36" i="12"/>
  <c r="AP18" i="12"/>
  <c r="O18" i="12"/>
  <c r="AP9" i="12"/>
  <c r="O9" i="12"/>
  <c r="AZ18" i="12"/>
  <c r="Y18" i="12"/>
  <c r="AZ9" i="12"/>
  <c r="Y9" i="12"/>
  <c r="AZ36" i="12"/>
  <c r="Y36" i="12"/>
  <c r="AF18" i="12"/>
  <c r="E18" i="12"/>
  <c r="AY27" i="12"/>
  <c r="X27" i="12"/>
  <c r="AQ36" i="12"/>
  <c r="P36" i="12"/>
  <c r="AP27" i="12"/>
  <c r="O27" i="12"/>
  <c r="F33" i="19"/>
  <c r="G33" i="19" s="1"/>
  <c r="J37" i="19"/>
  <c r="D38" i="19"/>
  <c r="K36" i="19"/>
  <c r="L36" i="19"/>
  <c r="M35" i="19"/>
  <c r="N35" i="19"/>
  <c r="O35" i="19" s="1"/>
  <c r="G9" i="12"/>
  <c r="AI9" i="12" s="1"/>
  <c r="G27" i="12"/>
  <c r="AI27" i="12" s="1"/>
  <c r="E34" i="19"/>
  <c r="H33" i="19" l="1"/>
  <c r="I33" i="19" s="1"/>
  <c r="V41" i="978"/>
  <c r="AU41" i="978" s="1"/>
  <c r="R52" i="978"/>
  <c r="AQ52" i="978" s="1"/>
  <c r="AR36" i="12"/>
  <c r="Q36" i="12"/>
  <c r="AG18" i="12"/>
  <c r="F18" i="12"/>
  <c r="BA9" i="12"/>
  <c r="Z9" i="12"/>
  <c r="AQ9" i="12"/>
  <c r="P9" i="12"/>
  <c r="AG36" i="12"/>
  <c r="F36" i="12"/>
  <c r="AQ27" i="12"/>
  <c r="P27" i="12"/>
  <c r="AZ27" i="12"/>
  <c r="Y27" i="12"/>
  <c r="BA36" i="12"/>
  <c r="Z36" i="12"/>
  <c r="BA18" i="12"/>
  <c r="Z18" i="12"/>
  <c r="AQ18" i="12"/>
  <c r="P18" i="12"/>
  <c r="F34" i="19"/>
  <c r="G34" i="19" s="1"/>
  <c r="D39" i="19"/>
  <c r="J38" i="19"/>
  <c r="K37" i="19"/>
  <c r="L37" i="19"/>
  <c r="M36" i="19"/>
  <c r="N36" i="19"/>
  <c r="O36" i="19" s="1"/>
  <c r="H27" i="12"/>
  <c r="AJ27" i="12" s="1"/>
  <c r="H9" i="12"/>
  <c r="AJ9" i="12" s="1"/>
  <c r="E35" i="19"/>
  <c r="H34" i="19" l="1"/>
  <c r="I34" i="19" s="1"/>
  <c r="W41" i="978"/>
  <c r="AV41" i="978" s="1"/>
  <c r="S52" i="978"/>
  <c r="AR52" i="978" s="1"/>
  <c r="BB18" i="12"/>
  <c r="AA18" i="12"/>
  <c r="BA27" i="12"/>
  <c r="Z27" i="12"/>
  <c r="AH36" i="12"/>
  <c r="G36" i="12"/>
  <c r="BB9" i="12"/>
  <c r="AA9" i="12"/>
  <c r="AS36" i="12"/>
  <c r="R36" i="12"/>
  <c r="AR18" i="12"/>
  <c r="Q18" i="12"/>
  <c r="BB36" i="12"/>
  <c r="AA36" i="12"/>
  <c r="AR27" i="12"/>
  <c r="Q27" i="12"/>
  <c r="AR9" i="12"/>
  <c r="Q9" i="12"/>
  <c r="AH18" i="12"/>
  <c r="G18" i="12"/>
  <c r="F35" i="19"/>
  <c r="G35" i="19" s="1"/>
  <c r="K38" i="19"/>
  <c r="L38" i="19"/>
  <c r="I27" i="12"/>
  <c r="AK27" i="12" s="1"/>
  <c r="D40" i="19"/>
  <c r="J39" i="19"/>
  <c r="N37" i="19"/>
  <c r="O37" i="19" s="1"/>
  <c r="M37" i="19"/>
  <c r="I9" i="12"/>
  <c r="AK9" i="12" s="1"/>
  <c r="E36" i="19"/>
  <c r="H35" i="19" l="1"/>
  <c r="I35" i="19" s="1"/>
  <c r="X41" i="978"/>
  <c r="AW41" i="978" s="1"/>
  <c r="T52" i="978"/>
  <c r="AS52" i="978" s="1"/>
  <c r="AS9" i="12"/>
  <c r="R9" i="12"/>
  <c r="BC36" i="12"/>
  <c r="U37" i="12"/>
  <c r="AT36" i="12"/>
  <c r="L37" i="12"/>
  <c r="AI36" i="12"/>
  <c r="H36" i="12"/>
  <c r="BC18" i="12"/>
  <c r="U19" i="12"/>
  <c r="AI18" i="12"/>
  <c r="H18" i="12"/>
  <c r="AS27" i="12"/>
  <c r="R27" i="12"/>
  <c r="AS18" i="12"/>
  <c r="R18" i="12"/>
  <c r="BC9" i="12"/>
  <c r="U10" i="12"/>
  <c r="BB27" i="12"/>
  <c r="AA27" i="12"/>
  <c r="F36" i="19"/>
  <c r="G36" i="19" s="1"/>
  <c r="C28" i="12"/>
  <c r="K39" i="19"/>
  <c r="L39" i="19"/>
  <c r="J40" i="19"/>
  <c r="D41" i="19"/>
  <c r="M38" i="19"/>
  <c r="N38" i="19"/>
  <c r="O38" i="19" s="1"/>
  <c r="C10" i="12"/>
  <c r="E37" i="19"/>
  <c r="H36" i="19" l="1"/>
  <c r="I36" i="19" s="1"/>
  <c r="AN41" i="978"/>
  <c r="AP41" i="978"/>
  <c r="U52" i="978"/>
  <c r="AT52" i="978" s="1"/>
  <c r="AE10" i="12"/>
  <c r="B10" i="12"/>
  <c r="AW10" i="12"/>
  <c r="V10" i="12"/>
  <c r="AX10" i="12" s="1"/>
  <c r="AT27" i="12"/>
  <c r="L28" i="12"/>
  <c r="T19" i="12"/>
  <c r="AW19" i="12"/>
  <c r="V19" i="12"/>
  <c r="AX19" i="12" s="1"/>
  <c r="AN37" i="12"/>
  <c r="M37" i="12"/>
  <c r="AO37" i="12" s="1"/>
  <c r="AT9" i="12"/>
  <c r="L10" i="12"/>
  <c r="AE28" i="12"/>
  <c r="BC27" i="12"/>
  <c r="U28" i="12"/>
  <c r="AT18" i="12"/>
  <c r="L19" i="12"/>
  <c r="AJ18" i="12"/>
  <c r="I18" i="12"/>
  <c r="AJ36" i="12"/>
  <c r="I36" i="12"/>
  <c r="AW37" i="12"/>
  <c r="V37" i="12"/>
  <c r="AX37" i="12" s="1"/>
  <c r="F37" i="19"/>
  <c r="G37" i="19" s="1"/>
  <c r="K40" i="19"/>
  <c r="L40" i="19"/>
  <c r="N39" i="19"/>
  <c r="O39" i="19" s="1"/>
  <c r="M39" i="19"/>
  <c r="D10" i="12"/>
  <c r="AF10" i="12" s="1"/>
  <c r="D28" i="12"/>
  <c r="AF28" i="12" s="1"/>
  <c r="D42" i="19"/>
  <c r="J41" i="19"/>
  <c r="E38" i="19"/>
  <c r="H37" i="19" l="1"/>
  <c r="I37" i="19" s="1"/>
  <c r="AO41" i="978"/>
  <c r="S33" i="978" s="1"/>
  <c r="AR33" i="978" s="1"/>
  <c r="R33" i="978"/>
  <c r="AQ33" i="978" s="1"/>
  <c r="V52" i="978"/>
  <c r="AU52" i="978" s="1"/>
  <c r="AK36" i="12"/>
  <c r="C37" i="12"/>
  <c r="AN19" i="12"/>
  <c r="M19" i="12"/>
  <c r="AO19" i="12" s="1"/>
  <c r="AK18" i="12"/>
  <c r="C19" i="12"/>
  <c r="AW28" i="12"/>
  <c r="V28" i="12"/>
  <c r="AX28" i="12" s="1"/>
  <c r="K10" i="12"/>
  <c r="AN10" i="12"/>
  <c r="M10" i="12"/>
  <c r="AO10" i="12" s="1"/>
  <c r="AN28" i="12"/>
  <c r="M28" i="12"/>
  <c r="AO28" i="12" s="1"/>
  <c r="F38" i="19"/>
  <c r="G38" i="19" s="1"/>
  <c r="N40" i="19"/>
  <c r="O40" i="19" s="1"/>
  <c r="M40" i="19"/>
  <c r="K41" i="19"/>
  <c r="L41" i="19"/>
  <c r="D43" i="19"/>
  <c r="J42" i="19"/>
  <c r="E39" i="19"/>
  <c r="W52" i="978" l="1"/>
  <c r="AV52" i="978" s="1"/>
  <c r="B37" i="12"/>
  <c r="AE37" i="12"/>
  <c r="D37" i="12"/>
  <c r="AF37" i="12" s="1"/>
  <c r="AE19" i="12"/>
  <c r="D19" i="12"/>
  <c r="AF19" i="12" s="1"/>
  <c r="F39" i="19"/>
  <c r="G39" i="19" s="1"/>
  <c r="H38" i="19"/>
  <c r="I38" i="19" s="1"/>
  <c r="K42" i="19"/>
  <c r="L42" i="19"/>
  <c r="J43" i="19"/>
  <c r="D44" i="19"/>
  <c r="N41" i="19"/>
  <c r="O41" i="19" s="1"/>
  <c r="M41" i="19"/>
  <c r="E40" i="19"/>
  <c r="X52" i="978" l="1"/>
  <c r="AW52" i="978" s="1"/>
  <c r="F40" i="19"/>
  <c r="G40" i="19" s="1"/>
  <c r="H39" i="19"/>
  <c r="I39" i="19" s="1"/>
  <c r="M42" i="19"/>
  <c r="N42" i="19"/>
  <c r="O42" i="19" s="1"/>
  <c r="J44" i="19"/>
  <c r="D45" i="19"/>
  <c r="K43" i="19"/>
  <c r="L43" i="19"/>
  <c r="E41" i="19"/>
  <c r="AN52" i="978" l="1"/>
  <c r="F41" i="19"/>
  <c r="G41" i="19" s="1"/>
  <c r="H40" i="19"/>
  <c r="I40" i="19" s="1"/>
  <c r="N43" i="19"/>
  <c r="O43" i="19" s="1"/>
  <c r="M43" i="19"/>
  <c r="J45" i="19"/>
  <c r="D46" i="19"/>
  <c r="K44" i="19"/>
  <c r="L44" i="19"/>
  <c r="E42" i="19"/>
  <c r="AO52" i="978" l="1"/>
  <c r="S47" i="978" s="1"/>
  <c r="AR47" i="978" s="1"/>
  <c r="R47" i="978"/>
  <c r="AQ47" i="978" s="1"/>
  <c r="F42" i="19"/>
  <c r="G42" i="19" s="1"/>
  <c r="H41" i="19"/>
  <c r="I41" i="19" s="1"/>
  <c r="M44" i="19"/>
  <c r="N44" i="19"/>
  <c r="O44" i="19" s="1"/>
  <c r="K45" i="19"/>
  <c r="L45" i="19"/>
  <c r="D47" i="19"/>
  <c r="J46" i="19"/>
  <c r="E43" i="19"/>
  <c r="F43" i="19" l="1"/>
  <c r="G43" i="19" s="1"/>
  <c r="H42" i="19"/>
  <c r="I42" i="19" s="1"/>
  <c r="J47" i="19"/>
  <c r="D48" i="19"/>
  <c r="K46" i="19"/>
  <c r="L46" i="19"/>
  <c r="M45" i="19"/>
  <c r="N45" i="19"/>
  <c r="O45" i="19" s="1"/>
  <c r="E44" i="19"/>
  <c r="H43" i="19" l="1"/>
  <c r="I43" i="19" s="1"/>
  <c r="F44" i="19"/>
  <c r="G44" i="19" s="1"/>
  <c r="D49" i="19"/>
  <c r="J48" i="19"/>
  <c r="M46" i="19"/>
  <c r="N46" i="19"/>
  <c r="O46" i="19" s="1"/>
  <c r="K47" i="19"/>
  <c r="L47" i="19"/>
  <c r="E45" i="19"/>
  <c r="H44" i="19" l="1"/>
  <c r="I44" i="19" s="1"/>
  <c r="F45" i="19"/>
  <c r="G45" i="19" s="1"/>
  <c r="N47" i="19"/>
  <c r="O47" i="19" s="1"/>
  <c r="M47" i="19"/>
  <c r="D50" i="19"/>
  <c r="J49" i="19"/>
  <c r="K48" i="19"/>
  <c r="L48" i="19"/>
  <c r="E46" i="19"/>
  <c r="H45" i="19" l="1"/>
  <c r="I45" i="19" s="1"/>
  <c r="F46" i="19"/>
  <c r="G46" i="19" s="1"/>
  <c r="K49" i="19"/>
  <c r="L49" i="19"/>
  <c r="J50" i="19"/>
  <c r="D51" i="19"/>
  <c r="N48" i="19"/>
  <c r="O48" i="19" s="1"/>
  <c r="M48" i="19"/>
  <c r="E47" i="19"/>
  <c r="H46" i="19" l="1"/>
  <c r="I46" i="19" s="1"/>
  <c r="F47" i="19"/>
  <c r="G47" i="19" s="1"/>
  <c r="N49" i="19"/>
  <c r="O49" i="19" s="1"/>
  <c r="M49" i="19"/>
  <c r="D52" i="19"/>
  <c r="J51" i="19"/>
  <c r="K50" i="19"/>
  <c r="L50" i="19"/>
  <c r="E48" i="19"/>
  <c r="H47" i="19" l="1"/>
  <c r="I47" i="19" s="1"/>
  <c r="F48" i="19"/>
  <c r="G48" i="19" s="1"/>
  <c r="H48" i="19" s="1"/>
  <c r="I48" i="19" s="1"/>
  <c r="K51" i="19"/>
  <c r="L51" i="19"/>
  <c r="M50" i="19"/>
  <c r="N50" i="19"/>
  <c r="O50" i="19" s="1"/>
  <c r="J52" i="19"/>
  <c r="D53" i="19"/>
  <c r="E49" i="19"/>
  <c r="F49" i="19" l="1"/>
  <c r="G49" i="19" s="1"/>
  <c r="H49" i="19" s="1"/>
  <c r="I49" i="19" s="1"/>
  <c r="K52" i="19"/>
  <c r="L52" i="19"/>
  <c r="N51" i="19"/>
  <c r="O51" i="19" s="1"/>
  <c r="M51" i="19"/>
  <c r="J53" i="19"/>
  <c r="D54" i="19"/>
  <c r="E50" i="19"/>
  <c r="F50" i="19" l="1"/>
  <c r="G50" i="19" s="1"/>
  <c r="H50" i="19" s="1"/>
  <c r="I50" i="19" s="1"/>
  <c r="D55" i="19"/>
  <c r="J54" i="19"/>
  <c r="M52" i="19"/>
  <c r="N52" i="19"/>
  <c r="O52" i="19" s="1"/>
  <c r="K53" i="19"/>
  <c r="L53" i="19"/>
  <c r="E51" i="19"/>
  <c r="F51" i="19" l="1"/>
  <c r="G51" i="19" s="1"/>
  <c r="M53" i="19"/>
  <c r="N53" i="19"/>
  <c r="O53" i="19" s="1"/>
  <c r="K54" i="19"/>
  <c r="L54" i="19"/>
  <c r="J55" i="19"/>
  <c r="D56" i="19"/>
  <c r="E52" i="19"/>
  <c r="F52" i="19" l="1"/>
  <c r="G52" i="19" s="1"/>
  <c r="H51" i="19"/>
  <c r="I51" i="19" s="1"/>
  <c r="D57" i="19"/>
  <c r="J56" i="19"/>
  <c r="N54" i="19"/>
  <c r="O54" i="19" s="1"/>
  <c r="M54" i="19"/>
  <c r="K55" i="19"/>
  <c r="L55" i="19"/>
  <c r="E53" i="19"/>
  <c r="F53" i="19" l="1"/>
  <c r="G53" i="19" s="1"/>
  <c r="H52" i="19"/>
  <c r="I52" i="19" s="1"/>
  <c r="K56" i="19"/>
  <c r="L56" i="19"/>
  <c r="D58" i="19"/>
  <c r="D59" i="19" s="1"/>
  <c r="J57" i="19"/>
  <c r="N55" i="19"/>
  <c r="O55" i="19" s="1"/>
  <c r="M55" i="19"/>
  <c r="E54" i="19"/>
  <c r="F54" i="19" l="1"/>
  <c r="G54" i="19" s="1"/>
  <c r="D60" i="19"/>
  <c r="J59" i="19"/>
  <c r="H53" i="19"/>
  <c r="I53" i="19" s="1"/>
  <c r="K57" i="19"/>
  <c r="L57" i="19"/>
  <c r="J58" i="19"/>
  <c r="N56" i="19"/>
  <c r="O56" i="19" s="1"/>
  <c r="M56" i="19"/>
  <c r="E55" i="19"/>
  <c r="F55" i="19" l="1"/>
  <c r="G55" i="19" s="1"/>
  <c r="K59" i="19"/>
  <c r="L59" i="19"/>
  <c r="J60" i="19"/>
  <c r="D61" i="19"/>
  <c r="H54" i="19"/>
  <c r="I54" i="19" s="1"/>
  <c r="K58" i="19"/>
  <c r="L58" i="19"/>
  <c r="N57" i="19"/>
  <c r="O57" i="19" s="1"/>
  <c r="M57" i="19"/>
  <c r="E56" i="19"/>
  <c r="F56" i="19" l="1"/>
  <c r="G56" i="19" s="1"/>
  <c r="K60" i="19"/>
  <c r="L60" i="19"/>
  <c r="N59" i="19"/>
  <c r="O59" i="19" s="1"/>
  <c r="M59" i="19"/>
  <c r="D62" i="19"/>
  <c r="J61" i="19"/>
  <c r="H55" i="19"/>
  <c r="I55" i="19" s="1"/>
  <c r="M58" i="19"/>
  <c r="N58" i="19"/>
  <c r="O58" i="19" s="1"/>
  <c r="E57" i="19"/>
  <c r="F57" i="19" l="1"/>
  <c r="G57" i="19" s="1"/>
  <c r="M60" i="19"/>
  <c r="N60" i="19"/>
  <c r="O60" i="19" s="1"/>
  <c r="K61" i="19"/>
  <c r="L61" i="19"/>
  <c r="D63" i="19"/>
  <c r="J62" i="19"/>
  <c r="H56" i="19"/>
  <c r="I56" i="19" s="1"/>
  <c r="E58" i="19"/>
  <c r="F58" i="19" l="1"/>
  <c r="G58" i="19" s="1"/>
  <c r="K62" i="19"/>
  <c r="L62" i="19"/>
  <c r="J63" i="19"/>
  <c r="D64" i="19"/>
  <c r="N61" i="19"/>
  <c r="O61" i="19" s="1"/>
  <c r="M61" i="19"/>
  <c r="H57" i="19"/>
  <c r="I57" i="19" s="1"/>
  <c r="E59" i="19"/>
  <c r="F59" i="19" l="1"/>
  <c r="K63" i="19"/>
  <c r="L63" i="19"/>
  <c r="M62" i="19"/>
  <c r="N62" i="19"/>
  <c r="O62" i="19" s="1"/>
  <c r="D65" i="19"/>
  <c r="J64" i="19"/>
  <c r="H58" i="19"/>
  <c r="I58" i="19" s="1"/>
  <c r="E60" i="19"/>
  <c r="G59" i="19" l="1"/>
  <c r="H59" i="19" s="1"/>
  <c r="I59" i="19" s="1"/>
  <c r="F60" i="19"/>
  <c r="G60" i="19" s="1"/>
  <c r="K64" i="19"/>
  <c r="L64" i="19"/>
  <c r="J65" i="19"/>
  <c r="D66" i="19"/>
  <c r="N63" i="19"/>
  <c r="O63" i="19" s="1"/>
  <c r="M63" i="19"/>
  <c r="E61" i="19"/>
  <c r="F61" i="19" l="1"/>
  <c r="G61" i="19" s="1"/>
  <c r="D67" i="19"/>
  <c r="J66" i="19"/>
  <c r="K65" i="19"/>
  <c r="L65" i="19"/>
  <c r="M64" i="19"/>
  <c r="N64" i="19"/>
  <c r="O64" i="19" s="1"/>
  <c r="H60" i="19"/>
  <c r="E62" i="19"/>
  <c r="F62" i="19" l="1"/>
  <c r="G62" i="19" s="1"/>
  <c r="M65" i="19"/>
  <c r="N65" i="19"/>
  <c r="O65" i="19" s="1"/>
  <c r="K66" i="19"/>
  <c r="L66" i="19"/>
  <c r="J67" i="19"/>
  <c r="D68" i="19"/>
  <c r="H61" i="19"/>
  <c r="I61" i="19" s="1"/>
  <c r="I60" i="19"/>
  <c r="E63" i="19"/>
  <c r="F63" i="19" l="1"/>
  <c r="J68" i="19"/>
  <c r="D69" i="19"/>
  <c r="K67" i="19"/>
  <c r="L67" i="19"/>
  <c r="N66" i="19"/>
  <c r="O66" i="19" s="1"/>
  <c r="M66" i="19"/>
  <c r="H62" i="19"/>
  <c r="I62" i="19" s="1"/>
  <c r="E64" i="19"/>
  <c r="G63" i="19" l="1"/>
  <c r="H63" i="19" s="1"/>
  <c r="I63" i="19" s="1"/>
  <c r="F64" i="19"/>
  <c r="G64" i="19" s="1"/>
  <c r="N67" i="19"/>
  <c r="O67" i="19" s="1"/>
  <c r="M67" i="19"/>
  <c r="D70" i="19"/>
  <c r="J69" i="19"/>
  <c r="K68" i="19"/>
  <c r="L68" i="19"/>
  <c r="E65" i="19"/>
  <c r="F65" i="19" l="1"/>
  <c r="N68" i="19"/>
  <c r="O68" i="19" s="1"/>
  <c r="M68" i="19"/>
  <c r="K69" i="19"/>
  <c r="L69" i="19"/>
  <c r="D71" i="19"/>
  <c r="J70" i="19"/>
  <c r="H64" i="19"/>
  <c r="I64" i="19" s="1"/>
  <c r="E66" i="19"/>
  <c r="G65" i="19" l="1"/>
  <c r="H65" i="19" s="1"/>
  <c r="I65" i="19" s="1"/>
  <c r="F66" i="19"/>
  <c r="G66" i="19" s="1"/>
  <c r="K70" i="19"/>
  <c r="L70" i="19"/>
  <c r="J71" i="19"/>
  <c r="D72" i="19"/>
  <c r="N69" i="19"/>
  <c r="O69" i="19" s="1"/>
  <c r="M69" i="19"/>
  <c r="E67" i="19"/>
  <c r="AL5" i="12" l="1"/>
  <c r="AD11" i="12" s="1"/>
  <c r="B11" i="12" s="1"/>
  <c r="AU6" i="12"/>
  <c r="AO11" i="12" s="1"/>
  <c r="M11" i="12" s="1"/>
  <c r="AL23" i="12"/>
  <c r="AG28" i="12" s="1"/>
  <c r="AU5" i="12"/>
  <c r="AL7" i="12"/>
  <c r="AL6" i="12"/>
  <c r="AL8" i="12"/>
  <c r="F67" i="19"/>
  <c r="G67" i="19" s="1"/>
  <c r="AL25" i="12"/>
  <c r="AI28" i="12" s="1"/>
  <c r="AI29" i="12" s="1"/>
  <c r="G29" i="12" s="1"/>
  <c r="AL14" i="12"/>
  <c r="AG19" i="12" s="1"/>
  <c r="K71" i="19"/>
  <c r="L71" i="19"/>
  <c r="D73" i="19"/>
  <c r="J72" i="19"/>
  <c r="M70" i="19"/>
  <c r="N70" i="19"/>
  <c r="O70" i="19" s="1"/>
  <c r="BD17" i="12"/>
  <c r="AL16" i="12"/>
  <c r="BD8" i="12"/>
  <c r="BD26" i="12"/>
  <c r="AL26" i="12"/>
  <c r="AL33" i="12"/>
  <c r="AU7" i="12"/>
  <c r="AU26" i="12"/>
  <c r="BD5" i="12"/>
  <c r="AL24" i="12"/>
  <c r="AU17" i="12"/>
  <c r="AU16" i="12"/>
  <c r="AU8" i="12"/>
  <c r="BD32" i="12"/>
  <c r="BD7" i="12"/>
  <c r="BD34" i="12"/>
  <c r="BD15" i="12"/>
  <c r="BD6" i="12"/>
  <c r="AU24" i="12"/>
  <c r="BD35" i="12"/>
  <c r="BD24" i="12"/>
  <c r="AL17" i="12"/>
  <c r="AL34" i="12"/>
  <c r="AU14" i="12"/>
  <c r="AL35" i="12"/>
  <c r="AU25" i="12"/>
  <c r="AL15" i="12"/>
  <c r="AU27" i="12"/>
  <c r="AT28" i="12" s="1"/>
  <c r="BD16" i="12"/>
  <c r="AU33" i="12"/>
  <c r="AU34" i="12"/>
  <c r="AU35" i="12"/>
  <c r="AU23" i="12"/>
  <c r="BD23" i="12"/>
  <c r="AU32" i="12"/>
  <c r="AL32" i="12"/>
  <c r="BD25" i="12"/>
  <c r="AU15" i="12"/>
  <c r="BD14" i="12"/>
  <c r="BD33" i="12"/>
  <c r="AU9" i="12"/>
  <c r="AT10" i="12" s="1"/>
  <c r="H66" i="19"/>
  <c r="I66" i="19" s="1"/>
  <c r="AL9" i="12"/>
  <c r="AK10" i="12" s="1"/>
  <c r="BD36" i="12"/>
  <c r="BC37" i="12" s="1"/>
  <c r="AU36" i="12"/>
  <c r="AT37" i="12" s="1"/>
  <c r="AL18" i="12"/>
  <c r="AK19" i="12" s="1"/>
  <c r="BD27" i="12"/>
  <c r="BC28" i="12" s="1"/>
  <c r="BD18" i="12"/>
  <c r="BC19" i="12" s="1"/>
  <c r="AL36" i="12"/>
  <c r="AK37" i="12" s="1"/>
  <c r="AU18" i="12"/>
  <c r="AT19" i="12" s="1"/>
  <c r="AL27" i="12"/>
  <c r="AK28" i="12" s="1"/>
  <c r="BD9" i="12"/>
  <c r="BC10" i="12" s="1"/>
  <c r="E68" i="19"/>
  <c r="AG10" i="12" l="1"/>
  <c r="AE11" i="12" s="1"/>
  <c r="C11" i="12" s="1"/>
  <c r="AD29" i="12"/>
  <c r="B29" i="12" s="1"/>
  <c r="AE29" i="12"/>
  <c r="C29" i="12" s="1"/>
  <c r="AQ10" i="12"/>
  <c r="AP11" i="12" s="1"/>
  <c r="N11" i="12" s="1"/>
  <c r="AH11" i="12"/>
  <c r="F11" i="12" s="1"/>
  <c r="AI10" i="12"/>
  <c r="AI11" i="12" s="1"/>
  <c r="G11" i="12" s="1"/>
  <c r="AH10" i="12"/>
  <c r="AG11" i="12" s="1"/>
  <c r="E11" i="12" s="1"/>
  <c r="AF11" i="12"/>
  <c r="D11" i="12" s="1"/>
  <c r="AJ10" i="12"/>
  <c r="AK11" i="12" s="1"/>
  <c r="I11" i="12" s="1"/>
  <c r="AJ11" i="12"/>
  <c r="H11" i="12" s="1"/>
  <c r="AP10" i="12"/>
  <c r="AN11" i="12" s="1"/>
  <c r="L11" i="12" s="1"/>
  <c r="AM11" i="12"/>
  <c r="K11" i="12" s="1"/>
  <c r="F68" i="19"/>
  <c r="G68" i="19" s="1"/>
  <c r="AD20" i="12"/>
  <c r="B20" i="12" s="1"/>
  <c r="AH29" i="12"/>
  <c r="F29" i="12" s="1"/>
  <c r="K72" i="19"/>
  <c r="L72" i="19"/>
  <c r="J73" i="19"/>
  <c r="D74" i="19"/>
  <c r="M71" i="19"/>
  <c r="N71" i="19"/>
  <c r="O71" i="19" s="1"/>
  <c r="AE20" i="12"/>
  <c r="C20" i="12" s="1"/>
  <c r="AG37" i="12"/>
  <c r="AE38" i="12" s="1"/>
  <c r="C38" i="12" s="1"/>
  <c r="AD38" i="12"/>
  <c r="B38" i="12" s="1"/>
  <c r="AP19" i="12"/>
  <c r="AN20" i="12" s="1"/>
  <c r="L20" i="12" s="1"/>
  <c r="AM20" i="12"/>
  <c r="K20" i="12" s="1"/>
  <c r="AJ19" i="12"/>
  <c r="AK20" i="12" s="1"/>
  <c r="I20" i="12" s="1"/>
  <c r="AJ20" i="12"/>
  <c r="H20" i="12" s="1"/>
  <c r="AV38" i="12"/>
  <c r="T38" i="12" s="1"/>
  <c r="AY37" i="12"/>
  <c r="AW38" i="12" s="1"/>
  <c r="U38" i="12" s="1"/>
  <c r="AH37" i="12"/>
  <c r="AG38" i="12" s="1"/>
  <c r="E38" i="12" s="1"/>
  <c r="AF38" i="12"/>
  <c r="D38" i="12" s="1"/>
  <c r="AX29" i="12"/>
  <c r="V29" i="12" s="1"/>
  <c r="AZ28" i="12"/>
  <c r="AY29" i="12" s="1"/>
  <c r="W29" i="12" s="1"/>
  <c r="AS11" i="12"/>
  <c r="Q11" i="12" s="1"/>
  <c r="AS10" i="12"/>
  <c r="AT11" i="12" s="1"/>
  <c r="R11" i="12" s="1"/>
  <c r="AJ28" i="12"/>
  <c r="AK29" i="12" s="1"/>
  <c r="I29" i="12" s="1"/>
  <c r="AJ29" i="12"/>
  <c r="H29" i="12" s="1"/>
  <c r="AO38" i="12"/>
  <c r="M38" i="12" s="1"/>
  <c r="AQ37" i="12"/>
  <c r="AP38" i="12" s="1"/>
  <c r="N38" i="12" s="1"/>
  <c r="BB38" i="12"/>
  <c r="Z38" i="12" s="1"/>
  <c r="BB37" i="12"/>
  <c r="BC38" i="12" s="1"/>
  <c r="AA38" i="12" s="1"/>
  <c r="AR19" i="12"/>
  <c r="AR20" i="12" s="1"/>
  <c r="P20" i="12" s="1"/>
  <c r="AQ20" i="12"/>
  <c r="O20" i="12" s="1"/>
  <c r="BB29" i="12"/>
  <c r="Z29" i="12" s="1"/>
  <c r="BB28" i="12"/>
  <c r="BC29" i="12" s="1"/>
  <c r="AA29" i="12" s="1"/>
  <c r="AM38" i="12"/>
  <c r="K38" i="12" s="1"/>
  <c r="AP37" i="12"/>
  <c r="AN38" i="12" s="1"/>
  <c r="L38" i="12" s="1"/>
  <c r="AZ20" i="12"/>
  <c r="X20" i="12" s="1"/>
  <c r="BA19" i="12"/>
  <c r="BA20" i="12" s="1"/>
  <c r="Y20" i="12" s="1"/>
  <c r="AO29" i="12"/>
  <c r="M29" i="12" s="1"/>
  <c r="AQ28" i="12"/>
  <c r="AP29" i="12" s="1"/>
  <c r="N29" i="12" s="1"/>
  <c r="AS20" i="12"/>
  <c r="Q20" i="12" s="1"/>
  <c r="AS19" i="12"/>
  <c r="AT20" i="12" s="1"/>
  <c r="R20" i="12" s="1"/>
  <c r="BB11" i="12"/>
  <c r="Z11" i="12" s="1"/>
  <c r="BB10" i="12"/>
  <c r="BC11" i="12" s="1"/>
  <c r="AA11" i="12" s="1"/>
  <c r="AX38" i="12"/>
  <c r="V38" i="12" s="1"/>
  <c r="AZ37" i="12"/>
  <c r="AY38" i="12" s="1"/>
  <c r="W38" i="12" s="1"/>
  <c r="AV29" i="12"/>
  <c r="T29" i="12" s="1"/>
  <c r="AY28" i="12"/>
  <c r="AW29" i="12" s="1"/>
  <c r="AZ10" i="12"/>
  <c r="AY11" i="12" s="1"/>
  <c r="W11" i="12" s="1"/>
  <c r="AX11" i="12"/>
  <c r="V11" i="12" s="1"/>
  <c r="AH28" i="12"/>
  <c r="AG29" i="12" s="1"/>
  <c r="E29" i="12" s="1"/>
  <c r="AF29" i="12"/>
  <c r="D29" i="12" s="1"/>
  <c r="AI19" i="12"/>
  <c r="AI20" i="12" s="1"/>
  <c r="G20" i="12" s="1"/>
  <c r="AH20" i="12"/>
  <c r="F20" i="12" s="1"/>
  <c r="AV20" i="12"/>
  <c r="T20" i="12" s="1"/>
  <c r="AY19" i="12"/>
  <c r="AW20" i="12" s="1"/>
  <c r="U20" i="12" s="1"/>
  <c r="AM29" i="12"/>
  <c r="AP28" i="12"/>
  <c r="AN29" i="12" s="1"/>
  <c r="L29" i="12" s="1"/>
  <c r="AF20" i="12"/>
  <c r="D20" i="12" s="1"/>
  <c r="AH19" i="12"/>
  <c r="AG20" i="12" s="1"/>
  <c r="E20" i="12" s="1"/>
  <c r="AZ19" i="12"/>
  <c r="AY20" i="12" s="1"/>
  <c r="W20" i="12" s="1"/>
  <c r="AX20" i="12"/>
  <c r="V20" i="12" s="1"/>
  <c r="AV11" i="12"/>
  <c r="T11" i="12" s="1"/>
  <c r="AY10" i="12"/>
  <c r="AW11" i="12" s="1"/>
  <c r="BB19" i="12"/>
  <c r="BC20" i="12" s="1"/>
  <c r="AA20" i="12" s="1"/>
  <c r="BB20" i="12"/>
  <c r="Z20" i="12" s="1"/>
  <c r="AQ19" i="12"/>
  <c r="AP20" i="12" s="1"/>
  <c r="N20" i="12" s="1"/>
  <c r="AO20" i="12"/>
  <c r="M20" i="12" s="1"/>
  <c r="AS37" i="12"/>
  <c r="AT38" i="12" s="1"/>
  <c r="R38" i="12" s="1"/>
  <c r="AS38" i="12"/>
  <c r="Q38" i="12" s="1"/>
  <c r="AQ29" i="12"/>
  <c r="O29" i="12" s="1"/>
  <c r="AR28" i="12"/>
  <c r="AR29" i="12" s="1"/>
  <c r="P29" i="12" s="1"/>
  <c r="BA37" i="12"/>
  <c r="BA38" i="12" s="1"/>
  <c r="Y38" i="12" s="1"/>
  <c r="AZ38" i="12"/>
  <c r="X38" i="12" s="1"/>
  <c r="AS28" i="12"/>
  <c r="AT29" i="12" s="1"/>
  <c r="R29" i="12" s="1"/>
  <c r="AS29" i="12"/>
  <c r="Q29" i="12" s="1"/>
  <c r="AZ29" i="12"/>
  <c r="X29" i="12" s="1"/>
  <c r="BA28" i="12"/>
  <c r="BA29" i="12" s="1"/>
  <c r="Y29" i="12" s="1"/>
  <c r="AQ38" i="12"/>
  <c r="O38" i="12" s="1"/>
  <c r="AR37" i="12"/>
  <c r="AR38" i="12" s="1"/>
  <c r="P38" i="12" s="1"/>
  <c r="AJ38" i="12"/>
  <c r="H38" i="12" s="1"/>
  <c r="AJ37" i="12"/>
  <c r="AK38" i="12" s="1"/>
  <c r="I38" i="12" s="1"/>
  <c r="AI37" i="12"/>
  <c r="AI38" i="12" s="1"/>
  <c r="G38" i="12" s="1"/>
  <c r="AH38" i="12"/>
  <c r="F38" i="12" s="1"/>
  <c r="AZ11" i="12"/>
  <c r="X11" i="12" s="1"/>
  <c r="BA10" i="12"/>
  <c r="BA11" i="12" s="1"/>
  <c r="Y11" i="12" s="1"/>
  <c r="AQ11" i="12"/>
  <c r="O11" i="12" s="1"/>
  <c r="AR10" i="12"/>
  <c r="AR11" i="12" s="1"/>
  <c r="P11" i="12" s="1"/>
  <c r="H67" i="19"/>
  <c r="E69" i="19"/>
  <c r="AL10" i="12" l="1"/>
  <c r="F69" i="19"/>
  <c r="G69" i="19" s="1"/>
  <c r="L73" i="19"/>
  <c r="K73" i="19"/>
  <c r="M72" i="19"/>
  <c r="N72" i="19"/>
  <c r="O72" i="19" s="1"/>
  <c r="J74" i="19"/>
  <c r="D75" i="19"/>
  <c r="AL28" i="12"/>
  <c r="AU10" i="12"/>
  <c r="AU37" i="12"/>
  <c r="AL37" i="12"/>
  <c r="U29" i="12"/>
  <c r="BD28" i="12"/>
  <c r="BD19" i="12"/>
  <c r="U11" i="12"/>
  <c r="BD10" i="12"/>
  <c r="AU19" i="12"/>
  <c r="BD37" i="12"/>
  <c r="K29" i="12"/>
  <c r="AU28" i="12"/>
  <c r="AL19" i="12"/>
  <c r="H68" i="19"/>
  <c r="I68" i="19" s="1"/>
  <c r="I67" i="19"/>
  <c r="E70" i="19"/>
  <c r="F70" i="19" l="1"/>
  <c r="G70" i="19" s="1"/>
  <c r="M73" i="19"/>
  <c r="N73" i="19"/>
  <c r="O73" i="19" s="1"/>
  <c r="D76" i="19"/>
  <c r="J75" i="19"/>
  <c r="L74" i="19"/>
  <c r="K74" i="19"/>
  <c r="H69" i="19"/>
  <c r="I69" i="19" s="1"/>
  <c r="E71" i="19"/>
  <c r="F71" i="19" l="1"/>
  <c r="G71" i="19" s="1"/>
  <c r="J76" i="19"/>
  <c r="D77" i="19"/>
  <c r="N74" i="19"/>
  <c r="O74" i="19" s="1"/>
  <c r="M74" i="19"/>
  <c r="K75" i="19"/>
  <c r="L75" i="19"/>
  <c r="H70" i="19"/>
  <c r="I70" i="19" s="1"/>
  <c r="E72" i="19"/>
  <c r="H71" i="19" l="1"/>
  <c r="I71" i="19" s="1"/>
  <c r="F72" i="19"/>
  <c r="G72" i="19" s="1"/>
  <c r="D78" i="19"/>
  <c r="J77" i="19"/>
  <c r="K76" i="19"/>
  <c r="L76" i="19"/>
  <c r="N75" i="19"/>
  <c r="O75" i="19" s="1"/>
  <c r="M75" i="19"/>
  <c r="E73" i="19"/>
  <c r="F73" i="19" l="1"/>
  <c r="G73" i="19" s="1"/>
  <c r="M76" i="19"/>
  <c r="N76" i="19"/>
  <c r="O76" i="19" s="1"/>
  <c r="K77" i="19"/>
  <c r="L77" i="19"/>
  <c r="D79" i="19"/>
  <c r="J78" i="19"/>
  <c r="H72" i="19"/>
  <c r="I72" i="19" s="1"/>
  <c r="E74" i="19"/>
  <c r="F74" i="19" l="1"/>
  <c r="G74" i="19" s="1"/>
  <c r="K78" i="19"/>
  <c r="L78" i="19"/>
  <c r="J79" i="19"/>
  <c r="D80" i="19"/>
  <c r="N77" i="19"/>
  <c r="O77" i="19" s="1"/>
  <c r="M77" i="19"/>
  <c r="H73" i="19"/>
  <c r="E75" i="19"/>
  <c r="F75" i="19" l="1"/>
  <c r="G75" i="19" s="1"/>
  <c r="K79" i="19"/>
  <c r="L79" i="19"/>
  <c r="D81" i="19"/>
  <c r="J80" i="19"/>
  <c r="M78" i="19"/>
  <c r="N78" i="19"/>
  <c r="O78" i="19" s="1"/>
  <c r="H74" i="19"/>
  <c r="I74" i="19" s="1"/>
  <c r="I73" i="19"/>
  <c r="E76" i="19"/>
  <c r="F76" i="19" l="1"/>
  <c r="G76" i="19" s="1"/>
  <c r="K80" i="19"/>
  <c r="L80" i="19"/>
  <c r="J81" i="19"/>
  <c r="D82" i="19"/>
  <c r="N79" i="19"/>
  <c r="O79" i="19" s="1"/>
  <c r="M79" i="19"/>
  <c r="H75" i="19"/>
  <c r="I75" i="19" s="1"/>
  <c r="E77" i="19"/>
  <c r="F77" i="19" l="1"/>
  <c r="G77" i="19" s="1"/>
  <c r="J82" i="19"/>
  <c r="D83" i="19"/>
  <c r="K81" i="19"/>
  <c r="L81" i="19"/>
  <c r="N80" i="19"/>
  <c r="O80" i="19" s="1"/>
  <c r="M80" i="19"/>
  <c r="H76" i="19"/>
  <c r="E78" i="19"/>
  <c r="F78" i="19" l="1"/>
  <c r="G78" i="19" s="1"/>
  <c r="M81" i="19"/>
  <c r="N81" i="19"/>
  <c r="O81" i="19" s="1"/>
  <c r="D84" i="19"/>
  <c r="J83" i="19"/>
  <c r="L82" i="19"/>
  <c r="K82" i="19"/>
  <c r="H77" i="19"/>
  <c r="I77" i="19" s="1"/>
  <c r="I76" i="19"/>
  <c r="E79" i="19"/>
  <c r="F79" i="19" l="1"/>
  <c r="G79" i="19" s="1"/>
  <c r="J84" i="19"/>
  <c r="D85" i="19"/>
  <c r="M82" i="19"/>
  <c r="N82" i="19"/>
  <c r="O82" i="19" s="1"/>
  <c r="L83" i="19"/>
  <c r="K83" i="19"/>
  <c r="H78" i="19"/>
  <c r="I78" i="19" s="1"/>
  <c r="E80" i="19"/>
  <c r="F80" i="19" l="1"/>
  <c r="G80" i="19" s="1"/>
  <c r="M83" i="19"/>
  <c r="N83" i="19"/>
  <c r="O83" i="19" s="1"/>
  <c r="D86" i="19"/>
  <c r="J85" i="19"/>
  <c r="L84" i="19"/>
  <c r="K84" i="19"/>
  <c r="H79" i="19"/>
  <c r="I79" i="19" s="1"/>
  <c r="E81" i="19"/>
  <c r="F81" i="19" l="1"/>
  <c r="G81" i="19" s="1"/>
  <c r="N84" i="19"/>
  <c r="O84" i="19" s="1"/>
  <c r="M84" i="19"/>
  <c r="K85" i="19"/>
  <c r="L85" i="19"/>
  <c r="J86" i="19"/>
  <c r="D87" i="19"/>
  <c r="H80" i="19"/>
  <c r="I80" i="19" s="1"/>
  <c r="E82" i="19"/>
  <c r="F82" i="19" l="1"/>
  <c r="G82" i="19" s="1"/>
  <c r="J87" i="19"/>
  <c r="D88" i="19"/>
  <c r="K86" i="19"/>
  <c r="L86" i="19"/>
  <c r="N85" i="19"/>
  <c r="O85" i="19" s="1"/>
  <c r="M85" i="19"/>
  <c r="H81" i="19"/>
  <c r="I81" i="19" s="1"/>
  <c r="E83" i="19"/>
  <c r="F83" i="19" l="1"/>
  <c r="G83" i="19" s="1"/>
  <c r="N86" i="19"/>
  <c r="O86" i="19" s="1"/>
  <c r="M86" i="19"/>
  <c r="D89" i="19"/>
  <c r="J88" i="19"/>
  <c r="K87" i="19"/>
  <c r="L87" i="19"/>
  <c r="H82" i="19"/>
  <c r="I82" i="19" s="1"/>
  <c r="E84" i="19"/>
  <c r="F84" i="19" l="1"/>
  <c r="G84" i="19" s="1"/>
  <c r="N87" i="19"/>
  <c r="O87" i="19" s="1"/>
  <c r="M87" i="19"/>
  <c r="K88" i="19"/>
  <c r="L88" i="19"/>
  <c r="J89" i="19"/>
  <c r="D90" i="19"/>
  <c r="H83" i="19"/>
  <c r="I83" i="19" s="1"/>
  <c r="E85" i="19"/>
  <c r="F85" i="19" l="1"/>
  <c r="G85" i="19" s="1"/>
  <c r="D91" i="19"/>
  <c r="J90" i="19"/>
  <c r="K89" i="19"/>
  <c r="L89" i="19"/>
  <c r="M88" i="19"/>
  <c r="N88" i="19"/>
  <c r="O88" i="19" s="1"/>
  <c r="H84" i="19"/>
  <c r="I84" i="19" s="1"/>
  <c r="E86" i="19"/>
  <c r="F86" i="19" l="1"/>
  <c r="G86" i="19" s="1"/>
  <c r="N89" i="19"/>
  <c r="O89" i="19" s="1"/>
  <c r="M89" i="19"/>
  <c r="K90" i="19"/>
  <c r="L90" i="19"/>
  <c r="J91" i="19"/>
  <c r="D92" i="19"/>
  <c r="H85" i="19"/>
  <c r="I85" i="19" s="1"/>
  <c r="E87" i="19"/>
  <c r="F87" i="19" l="1"/>
  <c r="G87" i="19" s="1"/>
  <c r="J92" i="19"/>
  <c r="D93" i="19"/>
  <c r="K91" i="19"/>
  <c r="L91" i="19"/>
  <c r="M90" i="19"/>
  <c r="N90" i="19"/>
  <c r="O90" i="19" s="1"/>
  <c r="H86" i="19"/>
  <c r="I86" i="19" s="1"/>
  <c r="E88" i="19"/>
  <c r="F88" i="19" l="1"/>
  <c r="G88" i="19" s="1"/>
  <c r="N91" i="19"/>
  <c r="O91" i="19" s="1"/>
  <c r="M91" i="19"/>
  <c r="J93" i="19"/>
  <c r="D94" i="19"/>
  <c r="K92" i="19"/>
  <c r="L92" i="19"/>
  <c r="H87" i="19"/>
  <c r="I87" i="19" s="1"/>
  <c r="E89" i="19"/>
  <c r="F89" i="19" l="1"/>
  <c r="M92" i="19"/>
  <c r="N92" i="19"/>
  <c r="O92" i="19" s="1"/>
  <c r="D95" i="19"/>
  <c r="J94" i="19"/>
  <c r="L93" i="19"/>
  <c r="K93" i="19"/>
  <c r="H88" i="19"/>
  <c r="E90" i="19"/>
  <c r="G89" i="19" l="1"/>
  <c r="H89" i="19" s="1"/>
  <c r="F90" i="19"/>
  <c r="G90" i="19" s="1"/>
  <c r="M93" i="19"/>
  <c r="N93" i="19"/>
  <c r="O93" i="19" s="1"/>
  <c r="K94" i="19"/>
  <c r="L94" i="19"/>
  <c r="J95" i="19"/>
  <c r="D96" i="19"/>
  <c r="I88" i="19"/>
  <c r="E91" i="19"/>
  <c r="F91" i="19" l="1"/>
  <c r="G91" i="19" s="1"/>
  <c r="D97" i="19"/>
  <c r="J96" i="19"/>
  <c r="K95" i="19"/>
  <c r="L95" i="19"/>
  <c r="M94" i="19"/>
  <c r="N94" i="19"/>
  <c r="O94" i="19" s="1"/>
  <c r="H90" i="19"/>
  <c r="I90" i="19" s="1"/>
  <c r="I89" i="19"/>
  <c r="E92" i="19"/>
  <c r="F92" i="19" l="1"/>
  <c r="G92" i="19" s="1"/>
  <c r="N95" i="19"/>
  <c r="O95" i="19" s="1"/>
  <c r="M95" i="19"/>
  <c r="K96" i="19"/>
  <c r="L96" i="19"/>
  <c r="D98" i="19"/>
  <c r="J97" i="19"/>
  <c r="H91" i="19"/>
  <c r="I91" i="19" s="1"/>
  <c r="E93" i="19"/>
  <c r="H92" i="19" l="1"/>
  <c r="I92" i="19" s="1"/>
  <c r="F93" i="19"/>
  <c r="G93" i="19" s="1"/>
  <c r="K97" i="19"/>
  <c r="L97" i="19"/>
  <c r="D99" i="19"/>
  <c r="J98" i="19"/>
  <c r="M96" i="19"/>
  <c r="N96" i="19"/>
  <c r="O96" i="19" s="1"/>
  <c r="E94" i="19"/>
  <c r="F94" i="19" l="1"/>
  <c r="G94" i="19" s="1"/>
  <c r="K98" i="19"/>
  <c r="L98" i="19"/>
  <c r="D100" i="19"/>
  <c r="J99" i="19"/>
  <c r="N97" i="19"/>
  <c r="O97" i="19" s="1"/>
  <c r="M97" i="19"/>
  <c r="H93" i="19"/>
  <c r="I93" i="19" s="1"/>
  <c r="E95" i="19"/>
  <c r="F95" i="19" l="1"/>
  <c r="G95" i="19" s="1"/>
  <c r="K99" i="19"/>
  <c r="L99" i="19"/>
  <c r="J100" i="19"/>
  <c r="D101" i="19"/>
  <c r="M98" i="19"/>
  <c r="N98" i="19"/>
  <c r="O98" i="19" s="1"/>
  <c r="H94" i="19"/>
  <c r="I94" i="19" s="1"/>
  <c r="E96" i="19"/>
  <c r="F96" i="19" l="1"/>
  <c r="G96" i="19" s="1"/>
  <c r="D102" i="19"/>
  <c r="J101" i="19"/>
  <c r="K100" i="19"/>
  <c r="L100" i="19"/>
  <c r="M99" i="19"/>
  <c r="N99" i="19"/>
  <c r="O99" i="19" s="1"/>
  <c r="H95" i="19"/>
  <c r="I95" i="19" s="1"/>
  <c r="E97" i="19"/>
  <c r="H96" i="19" l="1"/>
  <c r="I96" i="19" s="1"/>
  <c r="F97" i="19"/>
  <c r="G97" i="19" s="1"/>
  <c r="M100" i="19"/>
  <c r="N100" i="19"/>
  <c r="O100" i="19" s="1"/>
  <c r="K101" i="19"/>
  <c r="L101" i="19"/>
  <c r="J102" i="19"/>
  <c r="D103" i="19"/>
  <c r="E98" i="19"/>
  <c r="F98" i="19" l="1"/>
  <c r="G98" i="19" s="1"/>
  <c r="D104" i="19"/>
  <c r="J103" i="19"/>
  <c r="K102" i="19"/>
  <c r="L102" i="19"/>
  <c r="N101" i="19"/>
  <c r="O101" i="19" s="1"/>
  <c r="M101" i="19"/>
  <c r="H97" i="19"/>
  <c r="I97" i="19" s="1"/>
  <c r="E99" i="19"/>
  <c r="F99" i="19" l="1"/>
  <c r="G99" i="19" s="1"/>
  <c r="N102" i="19"/>
  <c r="O102" i="19" s="1"/>
  <c r="M102" i="19"/>
  <c r="K103" i="19"/>
  <c r="L103" i="19"/>
  <c r="J104" i="19"/>
  <c r="D105" i="19"/>
  <c r="H98" i="19"/>
  <c r="I98" i="19" s="1"/>
  <c r="E100" i="19"/>
  <c r="F100" i="19" l="1"/>
  <c r="G100" i="19" s="1"/>
  <c r="J105" i="19"/>
  <c r="D106" i="19"/>
  <c r="K104" i="19"/>
  <c r="L104" i="19"/>
  <c r="N103" i="19"/>
  <c r="O103" i="19" s="1"/>
  <c r="M103" i="19"/>
  <c r="H99" i="19"/>
  <c r="I99" i="19" s="1"/>
  <c r="E101" i="19"/>
  <c r="F101" i="19" l="1"/>
  <c r="G101" i="19" s="1"/>
  <c r="M104" i="19"/>
  <c r="N104" i="19"/>
  <c r="O104" i="19" s="1"/>
  <c r="D107" i="19"/>
  <c r="J106" i="19"/>
  <c r="K105" i="19"/>
  <c r="L105" i="19"/>
  <c r="H100" i="19"/>
  <c r="I100" i="19" s="1"/>
  <c r="E102" i="19"/>
  <c r="F102" i="19" l="1"/>
  <c r="G102" i="19" s="1"/>
  <c r="N105" i="19"/>
  <c r="O105" i="19" s="1"/>
  <c r="M105" i="19"/>
  <c r="K106" i="19"/>
  <c r="L106" i="19"/>
  <c r="D108" i="19"/>
  <c r="J107" i="19"/>
  <c r="H101" i="19"/>
  <c r="E103" i="19"/>
  <c r="F103" i="19" l="1"/>
  <c r="G103" i="19" s="1"/>
  <c r="L107" i="19"/>
  <c r="K107" i="19"/>
  <c r="J108" i="19"/>
  <c r="D109" i="19"/>
  <c r="M106" i="19"/>
  <c r="N106" i="19"/>
  <c r="O106" i="19" s="1"/>
  <c r="H102" i="19"/>
  <c r="I102" i="19" s="1"/>
  <c r="I101" i="19"/>
  <c r="E104" i="19"/>
  <c r="F104" i="19" l="1"/>
  <c r="D110" i="19"/>
  <c r="J109" i="19"/>
  <c r="K108" i="19"/>
  <c r="L108" i="19"/>
  <c r="M107" i="19"/>
  <c r="N107" i="19"/>
  <c r="O107" i="19" s="1"/>
  <c r="H103" i="19"/>
  <c r="I103" i="19" s="1"/>
  <c r="E105" i="19"/>
  <c r="G104" i="19" l="1"/>
  <c r="H104" i="19" s="1"/>
  <c r="I104" i="19" s="1"/>
  <c r="F105" i="19"/>
  <c r="G105" i="19" s="1"/>
  <c r="N108" i="19"/>
  <c r="O108" i="19" s="1"/>
  <c r="M108" i="19"/>
  <c r="K109" i="19"/>
  <c r="L109" i="19"/>
  <c r="J110" i="19"/>
  <c r="D111" i="19"/>
  <c r="E106" i="19"/>
  <c r="F106" i="19" l="1"/>
  <c r="G106" i="19" s="1"/>
  <c r="D112" i="19"/>
  <c r="J111" i="19"/>
  <c r="K110" i="19"/>
  <c r="L110" i="19"/>
  <c r="N109" i="19"/>
  <c r="O109" i="19" s="1"/>
  <c r="M109" i="19"/>
  <c r="H105" i="19"/>
  <c r="I105" i="19" s="1"/>
  <c r="E107" i="19"/>
  <c r="F107" i="19" l="1"/>
  <c r="G107" i="19" s="1"/>
  <c r="M110" i="19"/>
  <c r="N110" i="19"/>
  <c r="O110" i="19" s="1"/>
  <c r="K111" i="19"/>
  <c r="L111" i="19"/>
  <c r="D113" i="19"/>
  <c r="J112" i="19"/>
  <c r="H106" i="19"/>
  <c r="I106" i="19" s="1"/>
  <c r="E108" i="19"/>
  <c r="F108" i="19" l="1"/>
  <c r="G108" i="19" s="1"/>
  <c r="K112" i="19"/>
  <c r="L112" i="19"/>
  <c r="J113" i="19"/>
  <c r="D114" i="19"/>
  <c r="D115" i="19" s="1"/>
  <c r="N111" i="19"/>
  <c r="O111" i="19" s="1"/>
  <c r="M111" i="19"/>
  <c r="H107" i="19"/>
  <c r="E109" i="19"/>
  <c r="D116" i="19" l="1"/>
  <c r="J115" i="19"/>
  <c r="F109" i="19"/>
  <c r="G109" i="19" s="1"/>
  <c r="J114" i="19"/>
  <c r="K113" i="19"/>
  <c r="L113" i="19"/>
  <c r="M112" i="19"/>
  <c r="N112" i="19"/>
  <c r="O112" i="19" s="1"/>
  <c r="H108" i="19"/>
  <c r="I108" i="19" s="1"/>
  <c r="I107" i="19"/>
  <c r="E110" i="19"/>
  <c r="K115" i="19" l="1"/>
  <c r="L115" i="19"/>
  <c r="D117" i="19"/>
  <c r="J116" i="19"/>
  <c r="F110" i="19"/>
  <c r="G110" i="19" s="1"/>
  <c r="N113" i="19"/>
  <c r="O113" i="19" s="1"/>
  <c r="M113" i="19"/>
  <c r="K114" i="19"/>
  <c r="L114" i="19"/>
  <c r="H109" i="19"/>
  <c r="I109" i="19" s="1"/>
  <c r="E111" i="19"/>
  <c r="K116" i="19" l="1"/>
  <c r="L116" i="19"/>
  <c r="J117" i="19"/>
  <c r="N115" i="19"/>
  <c r="O115" i="19" s="1"/>
  <c r="M115" i="19"/>
  <c r="F111" i="19"/>
  <c r="N114" i="19"/>
  <c r="O114" i="19" s="1"/>
  <c r="M114" i="19"/>
  <c r="H110" i="19"/>
  <c r="I110" i="19" s="1"/>
  <c r="E112" i="19"/>
  <c r="K117" i="19" l="1"/>
  <c r="L117" i="19"/>
  <c r="N116" i="19"/>
  <c r="O116" i="19" s="1"/>
  <c r="M116" i="19"/>
  <c r="G111" i="19"/>
  <c r="H111" i="19" s="1"/>
  <c r="F112" i="19"/>
  <c r="G112" i="19" s="1"/>
  <c r="E113" i="19"/>
  <c r="N117" i="19" l="1"/>
  <c r="O117" i="19" s="1"/>
  <c r="M117" i="19"/>
  <c r="F113" i="19"/>
  <c r="G113" i="19" s="1"/>
  <c r="H112" i="19"/>
  <c r="I112" i="19" s="1"/>
  <c r="I111" i="19"/>
  <c r="E114" i="19"/>
  <c r="F114" i="19" l="1"/>
  <c r="G114" i="19" s="1"/>
  <c r="H113" i="19"/>
  <c r="I113" i="19" s="1"/>
  <c r="E115" i="19"/>
  <c r="F115" i="19" l="1"/>
  <c r="G115" i="19" s="1"/>
  <c r="H114" i="19"/>
  <c r="E116" i="19"/>
  <c r="F116" i="19" l="1"/>
  <c r="G116" i="19" s="1"/>
  <c r="H115" i="19"/>
  <c r="I115" i="19" s="1"/>
  <c r="I114" i="19"/>
  <c r="E117" i="19"/>
  <c r="H116" i="19" l="1"/>
  <c r="I116" i="19" s="1"/>
  <c r="F117" i="19"/>
  <c r="G117" i="19" s="1"/>
  <c r="AD9" i="23"/>
  <c r="Z9" i="24"/>
  <c r="Z9" i="23"/>
  <c r="Z17" i="24"/>
  <c r="AB9" i="24"/>
  <c r="AD9" i="24"/>
  <c r="AF9" i="24"/>
  <c r="AB17" i="23"/>
  <c r="AB9" i="23"/>
  <c r="AB17" i="24"/>
  <c r="Z17" i="23"/>
  <c r="Z25" i="23"/>
  <c r="AF17" i="24"/>
  <c r="AD17" i="23"/>
  <c r="AD17" i="24"/>
  <c r="AB25" i="23"/>
  <c r="AB25" i="24"/>
  <c r="Z25" i="24"/>
  <c r="AD25" i="23"/>
  <c r="Z33" i="23"/>
  <c r="AD25" i="24"/>
  <c r="AB33" i="23"/>
  <c r="AF33" i="24"/>
  <c r="AB33" i="24"/>
  <c r="AF25" i="24"/>
  <c r="AD33" i="23"/>
  <c r="Z41" i="23"/>
  <c r="Z33" i="24"/>
  <c r="AB41" i="23"/>
  <c r="AB49" i="23"/>
  <c r="AD33" i="24"/>
  <c r="Z41" i="24"/>
  <c r="AD41" i="23"/>
  <c r="Z49" i="23"/>
  <c r="AD49" i="23"/>
  <c r="AB41" i="24"/>
  <c r="Z49" i="24"/>
  <c r="AD41" i="24"/>
  <c r="AF41" i="24"/>
  <c r="AB49" i="24"/>
  <c r="AD49" i="24"/>
  <c r="AF49" i="24"/>
  <c r="H117" i="19" l="1"/>
  <c r="I117" i="19" s="1"/>
  <c r="B25" i="12"/>
  <c r="B26" i="12" s="1"/>
  <c r="B27" i="12" s="1"/>
  <c r="B28" i="12" s="1"/>
  <c r="B23" i="12"/>
  <c r="K16" i="12"/>
  <c r="K17" i="12" s="1"/>
  <c r="K18" i="12" s="1"/>
  <c r="K19" i="12" s="1"/>
  <c r="K14" i="12"/>
  <c r="K34" i="12"/>
  <c r="K35" i="12" s="1"/>
  <c r="K36" i="12" s="1"/>
  <c r="K37" i="12" s="1"/>
  <c r="K32" i="12"/>
  <c r="B5" i="12"/>
  <c r="B7" i="12"/>
  <c r="B8" i="12" s="1"/>
  <c r="B9" i="12" s="1"/>
  <c r="K5" i="12"/>
  <c r="K7" i="12"/>
  <c r="K8" i="12" s="1"/>
  <c r="K9" i="12" s="1"/>
  <c r="T5" i="12"/>
  <c r="T7" i="12"/>
  <c r="T8" i="12" s="1"/>
  <c r="T9" i="12" s="1"/>
  <c r="T10" i="12" s="1"/>
  <c r="T14" i="12"/>
  <c r="T16" i="12"/>
  <c r="T17" i="12" s="1"/>
  <c r="T18" i="12" s="1"/>
  <c r="B14" i="12"/>
  <c r="B16" i="12"/>
  <c r="B17" i="12" s="1"/>
  <c r="B18" i="12" s="1"/>
  <c r="B19" i="12" s="1"/>
  <c r="T34" i="12"/>
  <c r="T35" i="12" s="1"/>
  <c r="T36" i="12" s="1"/>
  <c r="T37" i="12" s="1"/>
  <c r="T32" i="12"/>
  <c r="T25" i="12"/>
  <c r="T26" i="12" s="1"/>
  <c r="T27" i="12" s="1"/>
  <c r="T28" i="12" s="1"/>
  <c r="T23" i="12"/>
  <c r="B34" i="12"/>
  <c r="B35" i="12" s="1"/>
  <c r="B36" i="12" s="1"/>
  <c r="B32" i="12"/>
  <c r="K25" i="12"/>
  <c r="K26" i="12" s="1"/>
  <c r="K27" i="12" s="1"/>
  <c r="K28" i="12" s="1"/>
  <c r="K23" i="12"/>
  <c r="K54" i="12" l="1"/>
  <c r="T51" i="12"/>
  <c r="B49" i="12"/>
  <c r="K46" i="12"/>
  <c r="T43" i="12"/>
  <c r="B41" i="12"/>
  <c r="B54" i="12"/>
  <c r="K51" i="12"/>
  <c r="T48" i="12"/>
  <c r="B46" i="12"/>
  <c r="K43" i="12"/>
  <c r="T40" i="12"/>
  <c r="T53" i="12"/>
  <c r="B51" i="12"/>
  <c r="K48" i="12"/>
  <c r="T45" i="12"/>
  <c r="B43" i="12"/>
  <c r="K40" i="12"/>
  <c r="K53" i="12"/>
  <c r="T50" i="12"/>
  <c r="B48" i="12"/>
  <c r="K45" i="12"/>
  <c r="T42" i="12"/>
  <c r="B40" i="12"/>
  <c r="B53" i="12"/>
  <c r="K50" i="12"/>
  <c r="T47" i="12"/>
  <c r="B45" i="12"/>
  <c r="K42" i="12"/>
  <c r="T52" i="12"/>
  <c r="B50" i="12"/>
  <c r="K47" i="12"/>
  <c r="T44" i="12"/>
  <c r="B42" i="12"/>
  <c r="K52" i="12"/>
  <c r="T49" i="12"/>
  <c r="B47" i="12"/>
  <c r="K44" i="12"/>
  <c r="T41" i="12"/>
  <c r="T54" i="12"/>
  <c r="B52" i="12"/>
  <c r="K49" i="12"/>
  <c r="T46" i="12"/>
  <c r="B44" i="12"/>
  <c r="K41" i="12"/>
  <c r="R30" i="978" l="1"/>
  <c r="R43" i="978"/>
  <c r="AU31" i="978" l="1"/>
  <c r="AU45" i="978"/>
  <c r="AS45" i="978"/>
  <c r="AS31" i="978"/>
  <c r="AW45" i="978"/>
  <c r="AW31" i="978"/>
  <c r="AR45" i="978"/>
  <c r="AR31" i="978"/>
  <c r="AT45" i="978"/>
  <c r="AT31" i="978"/>
  <c r="AQ31" i="978"/>
  <c r="AQ45" i="978"/>
  <c r="AV45" i="978"/>
  <c r="AV31" i="97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alendar-re" type="4" refreshedVersion="0" background="1" saveData="1">
    <webPr xml="1" sourceData="1" url="C:\Users\psaraujo\Google Drive\ISKCON\GPlan\GPlan\xml\calendar-re.xml" htmlTables="1" htmlFormat="all"/>
  </connection>
  <connection id="2" xr16:uid="{00000000-0015-0000-FFFF-FFFF01000000}" name="calendar-re1" type="4" refreshedVersion="0" background="1">
    <webPr xml="1" sourceData="1" url="C:\Users\Sergio\Documents\GPlan2020Testes\GPlan2020R2C\xml\calendar-re.xml" htmlTables="1" htmlFormat="all"/>
  </connection>
</connections>
</file>

<file path=xl/sharedStrings.xml><?xml version="1.0" encoding="utf-8"?>
<sst xmlns="http://schemas.openxmlformats.org/spreadsheetml/2006/main" count="19286" uniqueCount="7103">
  <si>
    <t>dst</t>
  </si>
  <si>
    <t>Fr</t>
  </si>
  <si>
    <t>Sa</t>
  </si>
  <si>
    <t>Su</t>
  </si>
  <si>
    <t>Mo</t>
  </si>
  <si>
    <t>Tu</t>
  </si>
  <si>
    <t>We</t>
  </si>
  <si>
    <t>Th</t>
  </si>
  <si>
    <t>K</t>
  </si>
  <si>
    <t>no</t>
  </si>
  <si>
    <t>yes</t>
  </si>
  <si>
    <t>Gundica Marjana</t>
  </si>
  <si>
    <t>Ratha Yatra</t>
  </si>
  <si>
    <t>*</t>
  </si>
  <si>
    <t>Dhanus</t>
  </si>
  <si>
    <t>Makara</t>
  </si>
  <si>
    <t>Kumbha</t>
  </si>
  <si>
    <t>Mina</t>
  </si>
  <si>
    <t>Mesa</t>
  </si>
  <si>
    <t>Vrsabha</t>
  </si>
  <si>
    <t>Mithuna</t>
  </si>
  <si>
    <t>Karka</t>
  </si>
  <si>
    <t>Simha</t>
  </si>
  <si>
    <t>Kanya</t>
  </si>
  <si>
    <t>Tula</t>
  </si>
  <si>
    <t>Vrscika</t>
  </si>
  <si>
    <t>Calendar</t>
  </si>
  <si>
    <t>longitude</t>
  </si>
  <si>
    <t>latitude</t>
  </si>
  <si>
    <t>timezone</t>
  </si>
  <si>
    <t>startdate</t>
  </si>
  <si>
    <t>daycount</t>
  </si>
  <si>
    <t>https://www.freeformatter.com/xsd-generator.html</t>
  </si>
  <si>
    <t>http://www.tomasvasquez.com.br/artigos/Mapeando_arquivos_XML.html</t>
  </si>
  <si>
    <t>Request</t>
  </si>
  <si>
    <t>Version</t>
  </si>
  <si>
    <t>Result</t>
  </si>
  <si>
    <t>DST System</t>
  </si>
  <si>
    <t>Cidade</t>
  </si>
  <si>
    <t>Longitude</t>
  </si>
  <si>
    <t>Latitude</t>
  </si>
  <si>
    <t>DST</t>
  </si>
  <si>
    <t>Pronto</t>
  </si>
  <si>
    <t>Capa</t>
  </si>
  <si>
    <t>Hemisphere</t>
  </si>
  <si>
    <t>Contact</t>
  </si>
  <si>
    <t>Linguagem</t>
  </si>
  <si>
    <t>Português</t>
  </si>
  <si>
    <t xml:space="preserve"> </t>
  </si>
  <si>
    <t>Atualização Automática dos Dados do Calendário</t>
  </si>
  <si>
    <t>Calcular os dados do calendário para a seguinte localidade e ano?</t>
  </si>
  <si>
    <t>Geração Automática da Agenda</t>
  </si>
  <si>
    <t>Gerar a agenda GPlan em formato pdf?</t>
  </si>
  <si>
    <t>Contact-Left</t>
  </si>
  <si>
    <t>Contact-Right</t>
  </si>
  <si>
    <t>A B C D</t>
  </si>
  <si>
    <t>E F G H</t>
  </si>
  <si>
    <t>I J K L</t>
  </si>
  <si>
    <t>M N O P</t>
  </si>
  <si>
    <t>Q R S T U</t>
  </si>
  <si>
    <t>V W X Y Z</t>
  </si>
  <si>
    <t>Holydays</t>
  </si>
  <si>
    <t>Personal Data</t>
  </si>
  <si>
    <t>Parameter</t>
  </si>
  <si>
    <t>Language</t>
  </si>
  <si>
    <t>Country</t>
  </si>
  <si>
    <t>Location</t>
  </si>
  <si>
    <t>City</t>
  </si>
  <si>
    <t>Appearance Days of the Lord and His Incarnations</t>
  </si>
  <si>
    <t>Events in the Pastimes of the Lord and His Associates</t>
  </si>
  <si>
    <t>Appearance and Disappearance Days of Recent Acaryas</t>
  </si>
  <si>
    <t>Appearance and Disappearance Days of Mahaprabhu's Associates and Other Acaryas</t>
  </si>
  <si>
    <t>Year</t>
  </si>
  <si>
    <t>ISKCON's Historical Events</t>
  </si>
  <si>
    <t>Bengal-specific Holidays</t>
  </si>
  <si>
    <t>Cover Title</t>
  </si>
  <si>
    <t>R</t>
  </si>
  <si>
    <t>calendar</t>
  </si>
  <si>
    <t>N</t>
  </si>
  <si>
    <t>L</t>
  </si>
  <si>
    <t>TZ</t>
  </si>
  <si>
    <t>SG</t>
  </si>
  <si>
    <t>EG</t>
  </si>
  <si>
    <t>O</t>
  </si>
  <si>
    <t>Selecionada:</t>
  </si>
  <si>
    <t>English</t>
  </si>
  <si>
    <t>Espanhol</t>
  </si>
  <si>
    <t>Srila Raghunatha Dasa Gosvami - Appearance</t>
  </si>
  <si>
    <t>Monday</t>
  </si>
  <si>
    <t>Lunes</t>
  </si>
  <si>
    <t>Segunda</t>
  </si>
  <si>
    <t>Tuesday</t>
  </si>
  <si>
    <t>Martes</t>
  </si>
  <si>
    <t>Terça</t>
  </si>
  <si>
    <t>Wednesday</t>
  </si>
  <si>
    <t>Miercoles</t>
  </si>
  <si>
    <t>Quarta</t>
  </si>
  <si>
    <t>Tursday</t>
  </si>
  <si>
    <t>Jueves</t>
  </si>
  <si>
    <t>Quinta</t>
  </si>
  <si>
    <t>Friday</t>
  </si>
  <si>
    <t>Viernes</t>
  </si>
  <si>
    <t>Sexta</t>
  </si>
  <si>
    <t>Saturday</t>
  </si>
  <si>
    <t>Sabado</t>
  </si>
  <si>
    <t>Sábado</t>
  </si>
  <si>
    <t>Sunday</t>
  </si>
  <si>
    <t>Domingo</t>
  </si>
  <si>
    <t>sim</t>
  </si>
  <si>
    <t>não</t>
  </si>
  <si>
    <t>New M.</t>
  </si>
  <si>
    <t>Nueva</t>
  </si>
  <si>
    <t>Nova</t>
  </si>
  <si>
    <t>First Q.</t>
  </si>
  <si>
    <t>Crec</t>
  </si>
  <si>
    <t>Cresc</t>
  </si>
  <si>
    <t>Full M.</t>
  </si>
  <si>
    <t>Plena</t>
  </si>
  <si>
    <t>Cheia</t>
  </si>
  <si>
    <t>Last Q.</t>
  </si>
  <si>
    <t>Meng</t>
  </si>
  <si>
    <t>Ming</t>
  </si>
  <si>
    <t>: :</t>
  </si>
  <si>
    <t>ISKCON - fundação em NY</t>
  </si>
  <si>
    <t>Prabhupada - aceita sannyasa</t>
  </si>
  <si>
    <t>Prabhupada - chega aos EUA</t>
  </si>
  <si>
    <t>Radha Kunda - Aparecimento</t>
  </si>
  <si>
    <t>Bhagavad-gita - Advent</t>
  </si>
  <si>
    <t>Bhagavad-gita - Advento</t>
  </si>
  <si>
    <t>Referência</t>
  </si>
  <si>
    <t>Codigo</t>
  </si>
  <si>
    <t>Selecinado</t>
  </si>
  <si>
    <t>cover_section</t>
  </si>
  <si>
    <t>Cover</t>
  </si>
  <si>
    <t>Cubierta</t>
  </si>
  <si>
    <t>cover_plan</t>
  </si>
  <si>
    <t>cover_title</t>
  </si>
  <si>
    <t>VAISHNAVA PLANNER GPLAN</t>
  </si>
  <si>
    <t>AGENDA VAISHNAVA GPLAN</t>
  </si>
  <si>
    <t>cover_text</t>
  </si>
  <si>
    <t>A transcendental planner for you don't lose sight of what's really important</t>
  </si>
  <si>
    <r>
      <t>Un</t>
    </r>
    <r>
      <rPr>
        <sz val="10"/>
        <rFont val="Arial"/>
        <family val="2"/>
      </rPr>
      <t xml:space="preserve"> agenda trascendental, para que usted no pierda de vista lo que realmente importa.</t>
    </r>
  </si>
  <si>
    <t>Uma agenda transcendental, para você não perder de vista o que realmente importa.</t>
  </si>
  <si>
    <t>cover_version</t>
  </si>
  <si>
    <t>Versión</t>
  </si>
  <si>
    <t>Versão</t>
  </si>
  <si>
    <t>tit_section</t>
  </si>
  <si>
    <t>Title</t>
  </si>
  <si>
    <t>Título</t>
  </si>
  <si>
    <t>tit_plan</t>
  </si>
  <si>
    <t>Titulo</t>
  </si>
  <si>
    <t>tit_title</t>
  </si>
  <si>
    <t>tit_text</t>
  </si>
  <si>
    <t>tit_copyright1</t>
  </si>
  <si>
    <t>tit_copyright2</t>
  </si>
  <si>
    <t>Permission is granted to copy, distribute and/or modify this document under the terms of the GNU Free Documentation License, Version 1.3 or any later version published by the Free Software Foundation; with the Invariant Sections being "Dedicatória", "Agradecimentos", "Apresentação" and "Apresentação - Notas e Links", with the Front-Cover Texts being "AGENDA VAISHNAVA", and with the Back-Cover Texts being "Uma agenda transcendental, para você não perder de vista o que realmente importa". A copy of the license is included in the section entitled "GNU Free Documentation License".</t>
  </si>
  <si>
    <t>Permission is granted to copy, distribute and/or modify this document under the terms of the GNU Free Documentation License, Version 1.3 or any later version published by the Free Software Foundation; with the Invariant Sections being  "Dedicación", " Agradecimientos", "Presentación",  and "Presentación - Notas e Links" and "Presentación", with the Front-Cover Texts being "AGENDA VAISHNAVA", and with the Back-Cover Texts being " Una agenda trascendental, para que usted no pierda de vista lo que realmente importa". A copy of the license is included in the section entitled "GNU Free Documentation License".</t>
  </si>
  <si>
    <t>Permission is granted to copy, distribute and/or modify this document under the terms of the GNU Free Documentation License, Version 1.3 or any later version published by the Free Software Foundation; with the Invariant Sections being "Dedicatória", "Agradecimentos", "Apresentação"  and "Apresentação - Notas e Links", with the Front-Cover Texts being "AGENDA VAISHNAVA", and with the Back-Cover Texts being "Uma agenda transcendental, para você não perder de vista o que realmente importa". A copy of the license is included in the section entitled "GNU Free Documentation License".</t>
  </si>
  <si>
    <t>tit_copyright3</t>
  </si>
  <si>
    <t>tit_copyright4</t>
  </si>
  <si>
    <t>Se concede permiso para copiar, distribuir y / o modificar este documento bajo las condiciones de la GNU Free Documentation License (GNU Free Documentation License), Versión 1.3 o cualquier versión posterior publicada por la Free Software Foundation; con las Secciones Invariantes  "Dedicación", " Agradecimientos", "Presentación",  y "Presentación - Notas e Links", y con los textos de Cubierta Delantera siendo "AGENDA VAISHNAVA", y con los Cubierta Posterior siendo " Una agenda trascendental, para que usted no pierda de vista lo que realmente importa". Una copia de la licencia está incluida en la sección titulada "GNU Free Documentation License".</t>
  </si>
  <si>
    <t>É garantida a permissão para copiar, distribuir e/ou modificar este documento sob os termos da Licença de Documentação Livre GNU (GNU Free Documentation License), Versão 1.3 ou qualquer versão posterior publicada pela Free Software Foundation; com as Seções Invariantes sendo "Dedicatória", "Agradecimentos", "Apresentação"  e "Apresentação - Notas e Links", com os Textos de Capa Frontal sendo "AGENDA VAISHNAVA", e com os Textos de Quarta Capa sendo "Uma agenda semanal transcendental, para você não perder de vista o que realmente importa". Uma cópia da licença é incluída na seção intitulada "GNU Free Documentation License".</t>
  </si>
  <si>
    <t>tit_noWarranty1</t>
  </si>
  <si>
    <t>NO WARRANTY</t>
  </si>
  <si>
    <t>tit_noWarranty2</t>
  </si>
  <si>
    <t>This document could include technical or other mistakes, inaccuracies, or typographical errors. This document is distributed in the hope that it will be useful, but it is provided "as is" WITHOUT WARRANTY OF ANY KIND, either express or implied, including, but not limited to, the implied warranties of express or implied, including, but not limited to, the implied warranties of merchantability or fitness for a particular purpose, or the warranty of non-infringement. See the GNU General Public License for more details.</t>
  </si>
  <si>
    <t>tit_noWarranty3</t>
  </si>
  <si>
    <t>In case that you or any reader of this document sends a reply with information,  feedback, data, questions, commentaries, suggestions, etc. with relation to the content of this document, this reply the author will be considered NOT confidential and he reserves the right to reproduce, to use, to divulge and to distribute the reply for third, without restrictions. You agree to allowing that the author uses any idea, technique or concept contained in its reply with any end, including, but not limited to, the perfectioning of this document.</t>
  </si>
  <si>
    <t>tit_noWarranty4</t>
  </si>
  <si>
    <t>NINGUNA GARANTÍA</t>
  </si>
  <si>
    <t>AUSÊNCIA DE GARANTIAS</t>
  </si>
  <si>
    <t>tit_noWarranty5</t>
  </si>
  <si>
    <t>Este documento puede contener imprecisiones técnicas o errores tipográficos o de otro tipo. Este documento es proporcionado con la esperanza de que sea útil, pero en "la forma en que es "SIN GARANTÍA DE NINGÚN TIPO",  expresa o implícita, incluyendo pero no limitado a garantías implícitas de comercialización, adecuación para un propósito particular o no-infracción. Consulte la GNU General Public License para más detalles.</t>
  </si>
  <si>
    <t>Este documento poderá conter imprecisões técnicas, ou erros tipográficos ou de outros tipos. Este documento é fornecido na expectativa de que seja útil, mas "da maneira como se encontra", SEM GARANTIAS DE QUALQUER ESPÉCIE, expressas ou implícitas, incluindo, mas não limitadas, às garantias implícitas de comerciabilidade, adequação a um determinado propósito ou não-infração. Consulte a Licença Pública Geral GNU para obter mais detalhes.</t>
  </si>
  <si>
    <t>tit_noWarranty6</t>
  </si>
  <si>
    <t>Si usted o cualquier lector de este documento enviar una respuesta con información, retroalimentación, datos, cuestiones, comentarios, sugerencias, etc. sobre el contenido de este documento, esta respuesta se considerará como NO confidencial y se reserva el derecho de autor para reproducir, usar, revelar y distribuir la respuesta a otros sin restricción. Usted se compromete a permitir al autor usar cualquier idea, concepto o técnica contenida en su respuesta para cualquier propósito, incluyendo pero en no limitado, a mejorar este documento.</t>
  </si>
  <si>
    <t>Caso você ou qualquer leitor deste documento envie uma resposta com informações, feedback, dados, perguntas, comentários, sugestões etc. com relação ao conteúdo deste documento, essa resposta será considerada NÃO confidencial e o autor se reserva o direito de reproduzir, usar, divulgar e distribuir a resposta para terceiros, sem restrições. Você concorda em permitir que o autor utilize qualquer idéia, técnica ou conceito contido na sua resposta com qualquer fim, incluindo, mas não se limitando, ao aperfeiçoamento deste documento.</t>
  </si>
  <si>
    <t>Index</t>
  </si>
  <si>
    <t>Índice</t>
  </si>
  <si>
    <t>Indice</t>
  </si>
  <si>
    <t>Vaishnava Planner Gplan</t>
  </si>
  <si>
    <t>Agenda Vaishnava Gplan</t>
  </si>
  <si>
    <t>Lenguaje</t>
  </si>
  <si>
    <t>Localidad</t>
  </si>
  <si>
    <t>Localidade</t>
  </si>
  <si>
    <t>Año</t>
  </si>
  <si>
    <t>Ano</t>
  </si>
  <si>
    <t>Name of the location on the Cover</t>
  </si>
  <si>
    <t>Nombre de la ciudad en la Cubierta</t>
  </si>
  <si>
    <t>Nome da localidade na Capa</t>
  </si>
  <si>
    <t>Edit</t>
  </si>
  <si>
    <t>Editar</t>
  </si>
  <si>
    <t>Update</t>
  </si>
  <si>
    <t>Datos Personales</t>
  </si>
  <si>
    <t>Dados Pessoais</t>
  </si>
  <si>
    <t>Días de Fiesta</t>
  </si>
  <si>
    <t>Feriados</t>
  </si>
  <si>
    <t>Notes-Left</t>
  </si>
  <si>
    <t>Anotaciones-Esquerda</t>
  </si>
  <si>
    <t>Anotações-Esquerda</t>
  </si>
  <si>
    <t>Notes-Right</t>
  </si>
  <si>
    <t>Anotaciones-Direita</t>
  </si>
  <si>
    <t>Anotações-Direita</t>
  </si>
  <si>
    <t>Contacto-Esquerda</t>
  </si>
  <si>
    <t>Contato-Esquerda</t>
  </si>
  <si>
    <t>Contacto-Direita</t>
  </si>
  <si>
    <t>Contato-Direita</t>
  </si>
  <si>
    <t>Quotes</t>
  </si>
  <si>
    <t>Citaciones</t>
  </si>
  <si>
    <t>Citações</t>
  </si>
  <si>
    <t>Calcular</t>
  </si>
  <si>
    <t>Generate</t>
  </si>
  <si>
    <t>Generar</t>
  </si>
  <si>
    <t>Gerar</t>
  </si>
  <si>
    <t>Generate the GPlan planner in pdf format?</t>
  </si>
  <si>
    <t>Generar la agenda GPlan en formato pdf?</t>
  </si>
  <si>
    <t>Canceled GPlan planner generation in pdf format!</t>
  </si>
  <si>
    <t>La generación de la agenda GPlan en formato pdf fue cancelada!</t>
  </si>
  <si>
    <t>A geração da agenda GPlan em formato pdf foi cancelada!</t>
  </si>
  <si>
    <t>Automatic Generation of Planner</t>
  </si>
  <si>
    <t>Generación Automática de la Agenda</t>
  </si>
  <si>
    <t>Calculate the calendar data to the following location and year?</t>
  </si>
  <si>
    <t>Calcular los datos de calendario a la siguiente localización y año?</t>
  </si>
  <si>
    <t>Automatically generate</t>
  </si>
  <si>
    <t>Generación automática</t>
  </si>
  <si>
    <t>Geração Automática</t>
  </si>
  <si>
    <t>Monthly</t>
  </si>
  <si>
    <t>Mensual</t>
  </si>
  <si>
    <t>Mensal</t>
  </si>
  <si>
    <t>Complete</t>
  </si>
  <si>
    <t>Time Zone</t>
  </si>
  <si>
    <t>ded_section</t>
  </si>
  <si>
    <t>Dedication</t>
  </si>
  <si>
    <t>Dedicación</t>
  </si>
  <si>
    <t>Dedicatória</t>
  </si>
  <si>
    <t>ded_plan</t>
  </si>
  <si>
    <t>Dedicacion</t>
  </si>
  <si>
    <t>Dedicatoria</t>
  </si>
  <si>
    <t>ded_title1</t>
  </si>
  <si>
    <t>ded_title2</t>
  </si>
  <si>
    <t>ded_dedic</t>
  </si>
  <si>
    <t>I dedicate this work to all the servants of the Lord, especially the Vaishnava devotees, of which the most dear is  to my initiating spiritual master, His Holiness Hridayananda Dasa Goswami Maharaj (1), one afternoon in May 1991 kindly accepted me as his disciple, and without the aid of which remain shrouded in the darkness of material consciousness, in search of false hopes brought about by selfish philosophies and practices.</t>
  </si>
  <si>
    <t>Dedico este trabajo a todos los siervos del Señor, especialmente los devotos Vaisnavas, de los cuales el más querido es mi maestro espiritual iniciador, Su Santidad Hridayananda Dasa Goswami Maharaj (1), que en una tarde de mayo de 1991, amablemente me aceptó como su discípulo, y sin su ayuda Yo permanecería envuelto en la oscuridad de la conciencia material, en busca de falsas esperanzas provocada por la filosofía egoísta y prácticas.</t>
  </si>
  <si>
    <t>Dedico o presente trabalho a todos os servos do Senhor, em especial aos devotos vaishnavas, dos quais o mais querido é o meu mestre espiritual iniciador, Sua Santidade Hridayananda Dasa Goswami Maharaj(1), que numa tarde de maio de 1991 gentilmente me aceitou como seu discípulo, e sem a ajuda do qual continuaria envolto na escuridão da consciência material, em busca das falsas esperanças trazidas pelas filosofias e práticas egoístas.</t>
  </si>
  <si>
    <t>ded_assin1</t>
  </si>
  <si>
    <t>Gopala Dasa Adhikari</t>
  </si>
  <si>
    <t>ded_assin2</t>
  </si>
  <si>
    <t>(Paulo Sergio de Araujo)</t>
  </si>
  <si>
    <t>ded_nota1</t>
  </si>
  <si>
    <t>Note 1:</t>
  </si>
  <si>
    <t>Nota 1:</t>
  </si>
  <si>
    <t>ded_nota2</t>
  </si>
  <si>
    <t>SS Hridayananda dasa Goswami Maharaj (Dr. Howard J. Resnick), is one of the most prominent spiritual leaders of the International Society of Krishna Consciousness - ISKCON.</t>
  </si>
  <si>
    <t>SS Hridayananda dasa Goswami Maharaj (Dr. Howard J. Resnick), es uno de los líderes espirituales más importantes de la Sociedad Internacional de la Conciencia de Krishna - ISKCON.</t>
  </si>
  <si>
    <t>S.S. Hridayananda dasa Goswami Maharaj (Dr. Howard J. Resnick), é um dos mais destacados líderes espirituais da Sociedade Internacional da Consciência de Krishna - ISKCON.</t>
  </si>
  <si>
    <t>agr_section</t>
  </si>
  <si>
    <t>Acknowledgements</t>
  </si>
  <si>
    <t>Agradecimientos</t>
  </si>
  <si>
    <t>Agradecimentos</t>
  </si>
  <si>
    <t>agr_plan</t>
  </si>
  <si>
    <t>agr_title</t>
  </si>
  <si>
    <t>apr_section</t>
  </si>
  <si>
    <t>Apresentation</t>
  </si>
  <si>
    <t>Presentación</t>
  </si>
  <si>
    <t>Apresentação</t>
  </si>
  <si>
    <t>apr_plan</t>
  </si>
  <si>
    <t>Apresentacao</t>
  </si>
  <si>
    <t>apr_title</t>
  </si>
  <si>
    <t>apr_name1</t>
  </si>
  <si>
    <t>Apresentation 1</t>
  </si>
  <si>
    <t>Presentacion 1</t>
  </si>
  <si>
    <t>Apresentacao 1</t>
  </si>
  <si>
    <t>apr_name2</t>
  </si>
  <si>
    <t>Apresentation 2</t>
  </si>
  <si>
    <t>Presentacion 2</t>
  </si>
  <si>
    <t>Apresentacao 2</t>
  </si>
  <si>
    <t>com_section</t>
  </si>
  <si>
    <t>What Using</t>
  </si>
  <si>
    <t>Utilización</t>
  </si>
  <si>
    <t>Como Usar</t>
  </si>
  <si>
    <t>com_plan</t>
  </si>
  <si>
    <t>com_title</t>
  </si>
  <si>
    <t>dps_section</t>
  </si>
  <si>
    <t>dps_plan</t>
  </si>
  <si>
    <t>dps_title1</t>
  </si>
  <si>
    <t>PERSONAL DATA</t>
  </si>
  <si>
    <t>DATOS PERSONALES</t>
  </si>
  <si>
    <t>DADOS PESSOAIS</t>
  </si>
  <si>
    <t>dps_title2</t>
  </si>
  <si>
    <t>COMMERCIAL DATA</t>
  </si>
  <si>
    <t>DATOS COMERCIALES</t>
  </si>
  <si>
    <t>DADOS COMERCIAIS</t>
  </si>
  <si>
    <t>dps_title3</t>
  </si>
  <si>
    <t>EMERGENCY</t>
  </si>
  <si>
    <t>EMERGENCIA</t>
  </si>
  <si>
    <t>EMERGÊNCIA</t>
  </si>
  <si>
    <t>dps_pNome</t>
  </si>
  <si>
    <t>Name</t>
  </si>
  <si>
    <t>Nombre</t>
  </si>
  <si>
    <t>Nome</t>
  </si>
  <si>
    <t>dps_pEnder</t>
  </si>
  <si>
    <t>Address</t>
  </si>
  <si>
    <t>Dirección</t>
  </si>
  <si>
    <t>Endereço</t>
  </si>
  <si>
    <t>dps_pCidad</t>
  </si>
  <si>
    <t>Ciudad</t>
  </si>
  <si>
    <t>dps_pCep</t>
  </si>
  <si>
    <t>Zip code</t>
  </si>
  <si>
    <t>Z.P.</t>
  </si>
  <si>
    <t>CEP</t>
  </si>
  <si>
    <t>dps_pEstad</t>
  </si>
  <si>
    <t>State</t>
  </si>
  <si>
    <t>Depto</t>
  </si>
  <si>
    <t>Estado</t>
  </si>
  <si>
    <t>dps_pFone</t>
  </si>
  <si>
    <t>Phone</t>
  </si>
  <si>
    <t>Teléfono</t>
  </si>
  <si>
    <t>Fone</t>
  </si>
  <si>
    <t>dps_pCelul</t>
  </si>
  <si>
    <t>Mobile</t>
  </si>
  <si>
    <t>Celular</t>
  </si>
  <si>
    <t>Fax</t>
  </si>
  <si>
    <t>dps_pEmail</t>
  </si>
  <si>
    <t>E-mail</t>
  </si>
  <si>
    <t>dps_pRG</t>
  </si>
  <si>
    <t>ID</t>
  </si>
  <si>
    <t>RG</t>
  </si>
  <si>
    <t>dps_pCPF</t>
  </si>
  <si>
    <t>CPF</t>
  </si>
  <si>
    <t>dps_pTEleit</t>
  </si>
  <si>
    <t>T. Elector</t>
  </si>
  <si>
    <t>R. de Votantes</t>
  </si>
  <si>
    <t>T. Eleitor</t>
  </si>
  <si>
    <t>dps_pZona</t>
  </si>
  <si>
    <t>Zone</t>
  </si>
  <si>
    <t>Área</t>
  </si>
  <si>
    <t>Zona</t>
  </si>
  <si>
    <t>dps_pSecao</t>
  </si>
  <si>
    <t>Section</t>
  </si>
  <si>
    <t>Sección</t>
  </si>
  <si>
    <t>Seção</t>
  </si>
  <si>
    <t>dps_pPassp</t>
  </si>
  <si>
    <t>Passport</t>
  </si>
  <si>
    <t>Pasaporte</t>
  </si>
  <si>
    <t>Passaporte</t>
  </si>
  <si>
    <t>dps_pValid</t>
  </si>
  <si>
    <t>Validity</t>
  </si>
  <si>
    <t>Vigencia</t>
  </si>
  <si>
    <t>Validade</t>
  </si>
  <si>
    <t>dps_pCartMil</t>
  </si>
  <si>
    <t>Cart. Military</t>
  </si>
  <si>
    <t>Id. Militar</t>
  </si>
  <si>
    <t>Cart. Militar</t>
  </si>
  <si>
    <t>dps_pReserv</t>
  </si>
  <si>
    <t>Certif. Reservist</t>
  </si>
  <si>
    <t>Cert.Reservista</t>
  </si>
  <si>
    <t>Certif. Reservista</t>
  </si>
  <si>
    <t>dps_pHabil</t>
  </si>
  <si>
    <t>License</t>
  </si>
  <si>
    <t>L. Conduzir</t>
  </si>
  <si>
    <t>Habilitação</t>
  </si>
  <si>
    <t>dps_pVESaude</t>
  </si>
  <si>
    <t>Vcto. Ex Health</t>
  </si>
  <si>
    <t>Vcto.   Ex.  Saúde</t>
  </si>
  <si>
    <t>dps_pVeic</t>
  </si>
  <si>
    <t>Vehicle</t>
  </si>
  <si>
    <t>Vehículo</t>
  </si>
  <si>
    <t>Veículo</t>
  </si>
  <si>
    <t>dps_pPlaca</t>
  </si>
  <si>
    <t>Board</t>
  </si>
  <si>
    <t>Placa</t>
  </si>
  <si>
    <t>dps_pNChassi</t>
  </si>
  <si>
    <t>Chassis No.</t>
  </si>
  <si>
    <t>Chasis</t>
  </si>
  <si>
    <t>Nº Chassi</t>
  </si>
  <si>
    <t xml:space="preserve">dps_pRenavam </t>
  </si>
  <si>
    <t>Code Renavam</t>
  </si>
  <si>
    <t>Cód</t>
  </si>
  <si>
    <t>Cód. Renavam</t>
  </si>
  <si>
    <t xml:space="preserve">dps_pseguro </t>
  </si>
  <si>
    <t>Insurance Co.</t>
  </si>
  <si>
    <t>Seguro</t>
  </si>
  <si>
    <t>Cia. Seguro</t>
  </si>
  <si>
    <t>dps_pVctoSeg</t>
  </si>
  <si>
    <t>Vcto. Insurance Obr.</t>
  </si>
  <si>
    <t>Vcto. Seguro Obr.</t>
  </si>
  <si>
    <t>dps_cNome</t>
  </si>
  <si>
    <t>dps_cEnder</t>
  </si>
  <si>
    <t>Domicilio</t>
  </si>
  <si>
    <t>dps_cCidad</t>
  </si>
  <si>
    <t>dps_cCep</t>
  </si>
  <si>
    <t>dps_cEstad</t>
  </si>
  <si>
    <t>dps_cFax</t>
  </si>
  <si>
    <t>dps_cEmail1</t>
  </si>
  <si>
    <t>E-mail 1</t>
  </si>
  <si>
    <t>dps_cEmail2</t>
  </si>
  <si>
    <t>E-mail 2</t>
  </si>
  <si>
    <t>dps_cWSite</t>
  </si>
  <si>
    <t>WebSite</t>
  </si>
  <si>
    <t>dps_cCNPJ</t>
  </si>
  <si>
    <t>N.I.</t>
  </si>
  <si>
    <t>I.N.</t>
  </si>
  <si>
    <t>CNPJ</t>
  </si>
  <si>
    <t>dps_cIE</t>
  </si>
  <si>
    <t>E.I.</t>
  </si>
  <si>
    <t>I.E.</t>
  </si>
  <si>
    <t>dps_cIM</t>
  </si>
  <si>
    <t>C.I</t>
  </si>
  <si>
    <t>I.M</t>
  </si>
  <si>
    <t>I.M.</t>
  </si>
  <si>
    <t>dps_eGS</t>
  </si>
  <si>
    <t>Blood Group</t>
  </si>
  <si>
    <t>Grupo Sanguíneo</t>
  </si>
  <si>
    <t>Grupo Sangüíneo</t>
  </si>
  <si>
    <t>dps_eRH</t>
  </si>
  <si>
    <t>RH Type</t>
  </si>
  <si>
    <t>RH Factor</t>
  </si>
  <si>
    <t>Tipo RH</t>
  </si>
  <si>
    <t>dps_eMedic</t>
  </si>
  <si>
    <t>Doctor</t>
  </si>
  <si>
    <t>Medico</t>
  </si>
  <si>
    <t>Médico</t>
  </si>
  <si>
    <t>dps_eCel</t>
  </si>
  <si>
    <t>dps_eFConsult</t>
  </si>
  <si>
    <t>Phone Office</t>
  </si>
  <si>
    <t>Tel. Consultorio</t>
  </si>
  <si>
    <t>Tel. Consultório</t>
  </si>
  <si>
    <t>dps_eFResid</t>
  </si>
  <si>
    <t>Phone Residence</t>
  </si>
  <si>
    <t>Tel. Residencia</t>
  </si>
  <si>
    <t>Tel. Residência</t>
  </si>
  <si>
    <t>dps_ePSaude</t>
  </si>
  <si>
    <t>Health Security</t>
  </si>
  <si>
    <t>Seg. Salud</t>
  </si>
  <si>
    <t>Plano Saúde</t>
  </si>
  <si>
    <t>dps_eFone</t>
  </si>
  <si>
    <t>dps_eHosp</t>
  </si>
  <si>
    <t>Hospital</t>
  </si>
  <si>
    <t>dps_eAlerg</t>
  </si>
  <si>
    <t>I'm allergic to</t>
  </si>
  <si>
    <t>Soy alérgico a</t>
  </si>
  <si>
    <t>Sou alérgico à</t>
  </si>
  <si>
    <t>dps_eVTetan</t>
  </si>
  <si>
    <t>Vaccination against tetanus:</t>
  </si>
  <si>
    <r>
      <t>Vacunación</t>
    </r>
    <r>
      <rPr>
        <sz val="10"/>
        <rFont val="Arial"/>
        <family val="2"/>
      </rPr>
      <t xml:space="preserve"> contra tétano:</t>
    </r>
  </si>
  <si>
    <t>Vacinação contra tétano:</t>
  </si>
  <si>
    <t>dps_eVsim</t>
  </si>
  <si>
    <t>sí</t>
  </si>
  <si>
    <t>dps_eVnao</t>
  </si>
  <si>
    <t>not</t>
  </si>
  <si>
    <t>dps_eSofr</t>
  </si>
  <si>
    <t>I suffer from:</t>
  </si>
  <si>
    <r>
      <t>Sufro</t>
    </r>
    <r>
      <rPr>
        <sz val="10"/>
        <rFont val="Arial"/>
        <family val="2"/>
      </rPr>
      <t xml:space="preserve"> de:</t>
    </r>
  </si>
  <si>
    <t>Sofro de:</t>
  </si>
  <si>
    <t>dps_eCorac</t>
  </si>
  <si>
    <t>Heart</t>
  </si>
  <si>
    <t>Corazón</t>
  </si>
  <si>
    <t>Coração</t>
  </si>
  <si>
    <t>dps_eHemof</t>
  </si>
  <si>
    <t>Hemophilia</t>
  </si>
  <si>
    <t>Hemofilia</t>
  </si>
  <si>
    <t>dps_eEplep</t>
  </si>
  <si>
    <t>Epilepsy report</t>
  </si>
  <si>
    <t>Epilepsia</t>
  </si>
  <si>
    <t>Eplepsia</t>
  </si>
  <si>
    <t>dps_eEDiab</t>
  </si>
  <si>
    <t>Diabetes</t>
  </si>
  <si>
    <t>dps_eAvisar</t>
  </si>
  <si>
    <t>In case of emergency notify:</t>
  </si>
  <si>
    <t>En caso de emergencia avisar:</t>
  </si>
  <si>
    <t>Em caso de emergência avisar:</t>
  </si>
  <si>
    <t>dps_eNome1</t>
  </si>
  <si>
    <t>Name:</t>
  </si>
  <si>
    <t>Nombre:</t>
  </si>
  <si>
    <t>Nome:</t>
  </si>
  <si>
    <t>dps_eFone1</t>
  </si>
  <si>
    <t>Phone:</t>
  </si>
  <si>
    <t>Teléfono:</t>
  </si>
  <si>
    <t>Fone:</t>
  </si>
  <si>
    <t>dps_eNome2</t>
  </si>
  <si>
    <t>dps_eFone2</t>
  </si>
  <si>
    <t>fer_section</t>
  </si>
  <si>
    <t>Holidays</t>
  </si>
  <si>
    <t>fer_plan</t>
  </si>
  <si>
    <t>DíasDeFiesta</t>
  </si>
  <si>
    <t>fer_title1</t>
  </si>
  <si>
    <t>HOLYDAYS, CELEBRATIONS AND BIRTHDAYS</t>
  </si>
  <si>
    <t>DÍAS DE FIESTA, CELEBRACIONES, CUMPLEAÑOS</t>
  </si>
  <si>
    <t>FERIADOS, COMEMORAÇÕES E ANIVERSÁRIOS</t>
  </si>
  <si>
    <t>fer_title2</t>
  </si>
  <si>
    <r>
      <t>AUXILIARY</t>
    </r>
    <r>
      <rPr>
        <sz val="10"/>
        <rFont val="Arial"/>
        <family val="2"/>
      </rPr>
      <t xml:space="preserve"> EASTER</t>
    </r>
  </si>
  <si>
    <r>
      <t>AUXILIAR</t>
    </r>
    <r>
      <rPr>
        <sz val="10"/>
        <rFont val="Arial"/>
        <family val="2"/>
      </rPr>
      <t xml:space="preserve"> DE PASCUA</t>
    </r>
  </si>
  <si>
    <t>AUXILIAR PÁSCOA</t>
  </si>
  <si>
    <t>fer_subTitulo1</t>
  </si>
  <si>
    <t>FIXED</t>
  </si>
  <si>
    <t>FIJOS</t>
  </si>
  <si>
    <t>FIXOS</t>
  </si>
  <si>
    <t>fer_subTitulo2</t>
  </si>
  <si>
    <t>MOBILE WITH EASTER</t>
  </si>
  <si>
    <t>MUEBLES CON LA PASCUA</t>
  </si>
  <si>
    <t>MÓVEIS COM A PÁSCOA</t>
  </si>
  <si>
    <t>fer_subTitulo3</t>
  </si>
  <si>
    <t>MOBILE - A PARTICULAR DAY WEEK FOR A PARTICULAR MONTH</t>
  </si>
  <si>
    <t>MUEBLES - UM DÍA  DETERMINADO DE UM DETERMINADO MÊS</t>
  </si>
  <si>
    <t>MÓVEIS - CERTO DIA DA SEMANA DE CERTO MÊS</t>
  </si>
  <si>
    <t>fer_subTitulo4</t>
  </si>
  <si>
    <t>SEASONS OF THE YEAR</t>
  </si>
  <si>
    <t>ESTACIONES DEL AÑO</t>
  </si>
  <si>
    <t>ESTAÇÕES DO ANO</t>
  </si>
  <si>
    <t>fer_subTitulo5</t>
  </si>
  <si>
    <t>AUXILIAR WEEKDAY</t>
  </si>
  <si>
    <t>AUXILIAR DÍA DE LA SEMANA</t>
  </si>
  <si>
    <t>AUXILIAR DIA DA SEMANA</t>
  </si>
  <si>
    <t>fer_dia</t>
  </si>
  <si>
    <t>Day</t>
  </si>
  <si>
    <t>Día</t>
  </si>
  <si>
    <t>Dia</t>
  </si>
  <si>
    <t>fer_mes</t>
  </si>
  <si>
    <t>Month</t>
  </si>
  <si>
    <t>Mes</t>
  </si>
  <si>
    <t>Mês</t>
  </si>
  <si>
    <t>fer_data</t>
  </si>
  <si>
    <t>Date</t>
  </si>
  <si>
    <t>Fecha</t>
  </si>
  <si>
    <t>Data</t>
  </si>
  <si>
    <t>fer_name</t>
  </si>
  <si>
    <t>fer_diaSem</t>
  </si>
  <si>
    <t>Week Day</t>
  </si>
  <si>
    <t>Día Sem.</t>
  </si>
  <si>
    <t>Dia Sem.</t>
  </si>
  <si>
    <t>fer_tipo</t>
  </si>
  <si>
    <t>Type</t>
  </si>
  <si>
    <t>Tipo</t>
  </si>
  <si>
    <t>fer_holyday</t>
  </si>
  <si>
    <t>Holyday</t>
  </si>
  <si>
    <t>Feriado</t>
  </si>
  <si>
    <t>fer_event</t>
  </si>
  <si>
    <t>Event</t>
  </si>
  <si>
    <t>Evento</t>
  </si>
  <si>
    <t>fer_diaSem1</t>
  </si>
  <si>
    <t>fer_diaSem2</t>
  </si>
  <si>
    <t>fer_diaSem3</t>
  </si>
  <si>
    <t>fer_diaSem4</t>
  </si>
  <si>
    <t>fer_diaSem5</t>
  </si>
  <si>
    <t>fer_diaSem6</t>
  </si>
  <si>
    <t>fer_diaSem7</t>
  </si>
  <si>
    <t>fer_autumn</t>
  </si>
  <si>
    <t>Autumn</t>
  </si>
  <si>
    <t>Otoño</t>
  </si>
  <si>
    <t>Outono</t>
  </si>
  <si>
    <t>fer_winter</t>
  </si>
  <si>
    <t>Winter</t>
  </si>
  <si>
    <t>Invierno</t>
  </si>
  <si>
    <t>Inverno</t>
  </si>
  <si>
    <t>fer_spring</t>
  </si>
  <si>
    <t>Spring</t>
  </si>
  <si>
    <t>Primavera</t>
  </si>
  <si>
    <t>fer_summer</t>
  </si>
  <si>
    <t>Summer</t>
  </si>
  <si>
    <t>Verano</t>
  </si>
  <si>
    <t>Verão</t>
  </si>
  <si>
    <t>Halloween</t>
  </si>
  <si>
    <t>All Saints' Day</t>
  </si>
  <si>
    <t>Todos os Santos</t>
  </si>
  <si>
    <t>All Souls' Day</t>
  </si>
  <si>
    <t>Finados</t>
  </si>
  <si>
    <t>Advent</t>
  </si>
  <si>
    <t>Advento</t>
  </si>
  <si>
    <t>Christmas</t>
  </si>
  <si>
    <t>Natal</t>
  </si>
  <si>
    <t>Childermas</t>
  </si>
  <si>
    <t>Santos Inocentes</t>
  </si>
  <si>
    <t>Epiphany</t>
  </si>
  <si>
    <t>Epifania</t>
  </si>
  <si>
    <t>Candlemas</t>
  </si>
  <si>
    <t>Candelária</t>
  </si>
  <si>
    <t>Palm Sunday</t>
  </si>
  <si>
    <t>Ramos</t>
  </si>
  <si>
    <t>Domingo de Ramos</t>
  </si>
  <si>
    <t>Carnival</t>
  </si>
  <si>
    <t>Carnaval</t>
  </si>
  <si>
    <t>Ash Wednesday</t>
  </si>
  <si>
    <t>Quarta-feira de Cinzas</t>
  </si>
  <si>
    <t>Holy Thursday</t>
  </si>
  <si>
    <t>Quinta-feira Santa</t>
  </si>
  <si>
    <t>Good Friday</t>
  </si>
  <si>
    <t>Paixão de Cristo</t>
  </si>
  <si>
    <t>Holy Saturday</t>
  </si>
  <si>
    <t>Sábado de Aleluia</t>
  </si>
  <si>
    <t>Easter</t>
  </si>
  <si>
    <t>Páscoa</t>
  </si>
  <si>
    <t>Easter Monday</t>
  </si>
  <si>
    <t>Segunda-feira de Páscoa</t>
  </si>
  <si>
    <t>Ascension Thursday</t>
  </si>
  <si>
    <t>Ascensão de Jesus</t>
  </si>
  <si>
    <t>Pentecost or Whitsun</t>
  </si>
  <si>
    <t>Pentecostes</t>
  </si>
  <si>
    <t>Trinity Sunday</t>
  </si>
  <si>
    <t>Trindade</t>
  </si>
  <si>
    <t>Corpus Christi</t>
  </si>
  <si>
    <t>Assumption of Mary</t>
  </si>
  <si>
    <t>Ascensão de Maria</t>
  </si>
  <si>
    <t>Watch Night</t>
  </si>
  <si>
    <t>Réveillon</t>
  </si>
  <si>
    <t>cal_section</t>
  </si>
  <si>
    <t>Calendario</t>
  </si>
  <si>
    <t>Calendário</t>
  </si>
  <si>
    <t>cal_plan</t>
  </si>
  <si>
    <t>cal_cal</t>
  </si>
  <si>
    <t>January</t>
  </si>
  <si>
    <t>Enero</t>
  </si>
  <si>
    <t>Janeiro</t>
  </si>
  <si>
    <t>February</t>
  </si>
  <si>
    <t>Febrero</t>
  </si>
  <si>
    <t>Fevereiro</t>
  </si>
  <si>
    <t>March</t>
  </si>
  <si>
    <t>Marzo</t>
  </si>
  <si>
    <t>Março</t>
  </si>
  <si>
    <t>April</t>
  </si>
  <si>
    <t>Abril</t>
  </si>
  <si>
    <t>May</t>
  </si>
  <si>
    <t>Mayo</t>
  </si>
  <si>
    <t>Maio</t>
  </si>
  <si>
    <t>June</t>
  </si>
  <si>
    <t>Junio</t>
  </si>
  <si>
    <t>Junho</t>
  </si>
  <si>
    <t>July</t>
  </si>
  <si>
    <t>Julio</t>
  </si>
  <si>
    <t>Julho</t>
  </si>
  <si>
    <t>August</t>
  </si>
  <si>
    <t>Agosto</t>
  </si>
  <si>
    <t>September</t>
  </si>
  <si>
    <t>Septiembre</t>
  </si>
  <si>
    <t>Setembro</t>
  </si>
  <si>
    <t>October</t>
  </si>
  <si>
    <t>Octubre</t>
  </si>
  <si>
    <t>Outubro</t>
  </si>
  <si>
    <t>November</t>
  </si>
  <si>
    <t>Noviembre</t>
  </si>
  <si>
    <t>Novembro</t>
  </si>
  <si>
    <t>December</t>
  </si>
  <si>
    <t>Diciembre</t>
  </si>
  <si>
    <t>Dezembro</t>
  </si>
  <si>
    <t>men_section</t>
  </si>
  <si>
    <t>men_plan</t>
  </si>
  <si>
    <t>men_title</t>
  </si>
  <si>
    <t>MONTHLY PLANNING</t>
  </si>
  <si>
    <t>PLANIFICACIÓN MENSUAL</t>
  </si>
  <si>
    <t>PLANEJAMENTO MENSAL</t>
  </si>
  <si>
    <t>men_prior</t>
  </si>
  <si>
    <t>PRIORITIES</t>
  </si>
  <si>
    <t>PRIORIDADES</t>
  </si>
  <si>
    <t>Week</t>
  </si>
  <si>
    <t>Semana</t>
  </si>
  <si>
    <t>Self Improvement</t>
  </si>
  <si>
    <t>Mejora Personal</t>
  </si>
  <si>
    <t>Aperfeiçoamento Pessoal</t>
  </si>
  <si>
    <t>Espiritual</t>
  </si>
  <si>
    <t>Emotional</t>
  </si>
  <si>
    <t>Emocional</t>
  </si>
  <si>
    <t>Intelectual</t>
  </si>
  <si>
    <t>Fisical</t>
  </si>
  <si>
    <t>Físico</t>
  </si>
  <si>
    <t>Important</t>
  </si>
  <si>
    <t>Importante</t>
  </si>
  <si>
    <t>Areas</t>
  </si>
  <si>
    <t>Áreas</t>
  </si>
  <si>
    <t>Goals</t>
  </si>
  <si>
    <t>Objetivos</t>
  </si>
  <si>
    <t>Yoga</t>
  </si>
  <si>
    <t>Naksatra</t>
  </si>
  <si>
    <t>Do</t>
  </si>
  <si>
    <t>D</t>
  </si>
  <si>
    <t>Lu</t>
  </si>
  <si>
    <t>S</t>
  </si>
  <si>
    <t>Ma</t>
  </si>
  <si>
    <t>T</t>
  </si>
  <si>
    <t>Mi</t>
  </si>
  <si>
    <t>Q</t>
  </si>
  <si>
    <t>Ju</t>
  </si>
  <si>
    <t>Vi</t>
  </si>
  <si>
    <t>ane_section</t>
  </si>
  <si>
    <t>ane_plan</t>
  </si>
  <si>
    <t>ane_title</t>
  </si>
  <si>
    <t>Notes</t>
  </si>
  <si>
    <t>Anotaciones</t>
  </si>
  <si>
    <t>Anotações</t>
  </si>
  <si>
    <t>and_section</t>
  </si>
  <si>
    <t>and_plan</t>
  </si>
  <si>
    <t>and_title</t>
  </si>
  <si>
    <t>cte_section</t>
  </si>
  <si>
    <t>cte_plan</t>
  </si>
  <si>
    <t>cte_title</t>
  </si>
  <si>
    <t>CONTACT</t>
  </si>
  <si>
    <t>CONTACTO</t>
  </si>
  <si>
    <t>CONTATO</t>
  </si>
  <si>
    <t>cte_name</t>
  </si>
  <si>
    <t>cte_ender</t>
  </si>
  <si>
    <t>cte_telef</t>
  </si>
  <si>
    <t>Telefone</t>
  </si>
  <si>
    <t>cte_celul</t>
  </si>
  <si>
    <t>ctd_section</t>
  </si>
  <si>
    <t>ctd_plan</t>
  </si>
  <si>
    <t>ctd_title</t>
  </si>
  <si>
    <t>ctd_name</t>
  </si>
  <si>
    <t>ctd_ender</t>
  </si>
  <si>
    <t>ctd_telef</t>
  </si>
  <si>
    <t>ctd_celul</t>
  </si>
  <si>
    <t>cit_section</t>
  </si>
  <si>
    <t>cit_plan</t>
  </si>
  <si>
    <t>Citacoes</t>
  </si>
  <si>
    <t>cit_title</t>
  </si>
  <si>
    <t>Quo-tes</t>
  </si>
  <si>
    <t>Cita-ciones</t>
  </si>
  <si>
    <t>Cita-ções</t>
  </si>
  <si>
    <t>sys_section</t>
  </si>
  <si>
    <t xml:space="preserve">An error has occurred: </t>
  </si>
  <si>
    <t>sys_cstrWait</t>
  </si>
  <si>
    <t>ref</t>
  </si>
  <si>
    <t>CityValidation</t>
  </si>
  <si>
    <t>Reunion</t>
  </si>
  <si>
    <t>/</t>
  </si>
  <si>
    <t>(</t>
  </si>
  <si>
    <t>)</t>
  </si>
  <si>
    <t>Year 1</t>
  </si>
  <si>
    <t>Date cont</t>
  </si>
  <si>
    <t>Year 2</t>
  </si>
  <si>
    <t>Start Lin</t>
  </si>
  <si>
    <t>78 0</t>
  </si>
  <si>
    <t>Year 3</t>
  </si>
  <si>
    <t>Easter Lin</t>
  </si>
  <si>
    <t>78 1</t>
  </si>
  <si>
    <t>Confraternização Universal</t>
  </si>
  <si>
    <t>Year 4</t>
  </si>
  <si>
    <t>WeekDay Lin</t>
  </si>
  <si>
    <t>78 2</t>
  </si>
  <si>
    <t>Dia Internacional da Mulher</t>
  </si>
  <si>
    <t>Seasons Lin</t>
  </si>
  <si>
    <t>78 3</t>
  </si>
  <si>
    <t>Dia do Amigo</t>
  </si>
  <si>
    <t>End Lin</t>
  </si>
  <si>
    <t>78 4</t>
  </si>
  <si>
    <t>Dia do Índio</t>
  </si>
  <si>
    <t>78 5</t>
  </si>
  <si>
    <t>Tiradentes</t>
  </si>
  <si>
    <t>https://gurudoexcel.com/carnaval-feriados-e-calendario-perpetuo/</t>
  </si>
  <si>
    <t>ARREDMULTB(DIA(MINUTO(K10/38)/2+56)&amp;"/5/"&amp;K10;7)-34</t>
  </si>
  <si>
    <t>78 6</t>
  </si>
  <si>
    <t>Dia do Descobrimento do Brasil</t>
  </si>
  <si>
    <t>YearCol</t>
  </si>
  <si>
    <t>**</t>
  </si>
  <si>
    <t>www.cpearson.com/excel/easter.aspx</t>
  </si>
  <si>
    <t>This formula is accurate for the years from 1900 to 2368.</t>
  </si>
  <si>
    <t>FLOOR("5/"&amp;DAY(MINUTE(YYYY/38)/2+56)&amp;"/"&amp;YYYY,7)-34</t>
  </si>
  <si>
    <t>Dia do Trabalho</t>
  </si>
  <si>
    <t>Western Christianity</t>
  </si>
  <si>
    <t>See also: liturgical year</t>
  </si>
  <si>
    <t>The Catholic patronal feast day or 'name day' are celebrated in each place's patron saint's day, according to the Calendar of saints.</t>
  </si>
  <si>
    <t>Dia da Abolição da Escravidão</t>
  </si>
  <si>
    <t>The traditional carnival celebrations which precede Lent in many cultures have become associated with the season of fasting if only because they are a last opportunity for excess before Lent begins.</t>
  </si>
  <si>
    <t>Dia dos Namorados</t>
  </si>
  <si>
    <r>
      <t>Ash Wednesday (beginning of Lent)</t>
    </r>
    <r>
      <rPr>
        <sz val="10"/>
        <rFont val="Arial"/>
        <family val="2"/>
      </rPr>
      <t>, in the calendar of Western Christianity, is the first day of Lent and occurs 46 days before Easter (or we must count 40 days back from the Sunday previous to the Passover Resurrection Sunday, that is, Palm Sunday).</t>
    </r>
  </si>
  <si>
    <t>Dia da Vovó</t>
  </si>
  <si>
    <r>
      <t>Palm Sunday</t>
    </r>
    <r>
      <rPr>
        <sz val="10"/>
        <rFont val="Arial"/>
        <family val="2"/>
      </rPr>
      <t xml:space="preserve"> is a Christian moveable feast that falls on the Sunday before Easter. The feast commemorates Jesus' triumphal entry into Jerusalem, an event mentioned in all four canonical Gospels. (Mark 11:1–11, Matthew 21:1–11, Luke 19:28–44, and John 12:12–19).</t>
    </r>
  </si>
  <si>
    <t>Dia Nacional do Estudante</t>
  </si>
  <si>
    <t>(Celebration of The Last Supper)</t>
  </si>
  <si>
    <r>
      <t>Maundy Thursday</t>
    </r>
    <r>
      <rPr>
        <sz val="10"/>
        <rFont val="Arial"/>
        <family val="2"/>
      </rPr>
      <t xml:space="preserve"> (also known as </t>
    </r>
    <r>
      <rPr>
        <b/>
        <sz val="10"/>
        <rFont val="Arial"/>
        <family val="2"/>
      </rPr>
      <t>Holy Thursday</t>
    </r>
    <r>
      <rPr>
        <sz val="10"/>
        <rFont val="Arial"/>
        <family val="2"/>
      </rPr>
      <t xml:space="preserve">, </t>
    </r>
    <r>
      <rPr>
        <b/>
        <sz val="10"/>
        <rFont val="Arial"/>
        <family val="2"/>
      </rPr>
      <t>Covenant Thursday</t>
    </r>
    <r>
      <rPr>
        <sz val="10"/>
        <rFont val="Arial"/>
        <family val="2"/>
      </rPr>
      <t xml:space="preserve">, </t>
    </r>
    <r>
      <rPr>
        <b/>
        <sz val="10"/>
        <rFont val="Arial"/>
        <family val="2"/>
      </rPr>
      <t>Great and Holy Thursday</t>
    </r>
    <r>
      <rPr>
        <sz val="10"/>
        <rFont val="Arial"/>
        <family val="2"/>
      </rPr>
      <t xml:space="preserve">, </t>
    </r>
    <r>
      <rPr>
        <b/>
        <sz val="10"/>
        <rFont val="Arial"/>
        <family val="2"/>
      </rPr>
      <t>Sheer Thursday</t>
    </r>
    <r>
      <rPr>
        <sz val="10"/>
        <rFont val="Arial"/>
        <family val="2"/>
      </rPr>
      <t xml:space="preserve"> and </t>
    </r>
    <r>
      <rPr>
        <b/>
        <sz val="10"/>
        <rFont val="Arial"/>
        <family val="2"/>
      </rPr>
      <t>Thursday of Mysteries</t>
    </r>
    <r>
      <rPr>
        <sz val="10"/>
        <rFont val="Arial"/>
        <family val="2"/>
      </rPr>
      <t>) is the Christian feast, or holy day, falling on the Thursday before Easter.</t>
    </r>
  </si>
  <si>
    <t>Shrove Tuesday or Mardi Gras (last day of Carnival, last day before Ash Wednesday)</t>
  </si>
  <si>
    <r>
      <t xml:space="preserve">The word </t>
    </r>
    <r>
      <rPr>
        <i/>
        <sz val="10"/>
        <rFont val="Arial"/>
        <family val="2"/>
      </rPr>
      <t>shrove</t>
    </r>
    <r>
      <rPr>
        <sz val="10"/>
        <rFont val="Arial"/>
        <family val="2"/>
      </rPr>
      <t xml:space="preserve"> is the past tense of the English verb </t>
    </r>
    <r>
      <rPr>
        <i/>
        <sz val="10"/>
        <rFont val="Arial"/>
        <family val="2"/>
      </rPr>
      <t>shrive</t>
    </r>
    <r>
      <rPr>
        <sz val="10"/>
        <rFont val="Arial"/>
        <family val="2"/>
      </rPr>
      <t xml:space="preserve">, which means to obtain absolution for one's sins by way of Confession and doing penance. Thus Shrove Tuesday gets its name from the shriving that English Christians were expected to do prior to receiving absolution immediately before Lent begins. Shrove Tuesday is the last day of "shrovetide", somewhat analogous to the </t>
    </r>
    <r>
      <rPr>
        <i/>
        <sz val="10"/>
        <rFont val="Arial"/>
        <family val="2"/>
      </rPr>
      <t>Carnival</t>
    </r>
    <r>
      <rPr>
        <sz val="10"/>
        <rFont val="Arial"/>
        <family val="2"/>
      </rPr>
      <t xml:space="preserve"> tradition that developed separately in countries of Latin Europe. The term "Shrove Tuesday" is no longer widely used in the United States outside of Liturgical Traditions, such as the Lutheran, Episcopal, and Roman Catholic Churches.</t>
    </r>
    <r>
      <rPr>
        <vertAlign val="superscript"/>
        <sz val="10"/>
        <rFont val="Arial"/>
        <family val="2"/>
      </rPr>
      <t>[</t>
    </r>
  </si>
  <si>
    <t>Independência</t>
  </si>
  <si>
    <t>(Death of Jesus)</t>
  </si>
  <si>
    <r>
      <t>Good Friday</t>
    </r>
    <r>
      <rPr>
        <sz val="10"/>
        <rFont val="Arial"/>
        <family val="2"/>
      </rPr>
      <t xml:space="preserve"> (from the senses </t>
    </r>
    <r>
      <rPr>
        <i/>
        <sz val="10"/>
        <rFont val="Arial"/>
        <family val="2"/>
      </rPr>
      <t>pious</t>
    </r>
    <r>
      <rPr>
        <sz val="10"/>
        <rFont val="Arial"/>
        <family val="2"/>
      </rPr>
      <t xml:space="preserve">, </t>
    </r>
    <r>
      <rPr>
        <i/>
        <sz val="10"/>
        <rFont val="Arial"/>
        <family val="2"/>
      </rPr>
      <t>holy</t>
    </r>
    <r>
      <rPr>
        <sz val="10"/>
        <rFont val="Arial"/>
        <family val="2"/>
      </rPr>
      <t xml:space="preserve"> of the word "good"),</t>
    </r>
    <r>
      <rPr>
        <vertAlign val="superscript"/>
        <sz val="10"/>
        <rFont val="Arial"/>
        <family val="2"/>
      </rPr>
      <t>[</t>
    </r>
    <r>
      <rPr>
        <sz val="10"/>
        <rFont val="Arial"/>
        <family val="2"/>
      </rPr>
      <t>1]</t>
    </r>
    <r>
      <rPr>
        <sz val="10"/>
        <rFont val="Arial"/>
        <family val="2"/>
      </rPr>
      <t xml:space="preserve"> is a religious holiday observed primarily by Christians commemorating the crucifixion of Jesus Christ and his death at Calvary. The holiday is observed during Holy Week as part of the Paschal Triduum on the Friday preceding Easter Sunday, and may coincide with the Jewish observance of Passover. It is also known as </t>
    </r>
    <r>
      <rPr>
        <b/>
        <sz val="10"/>
        <rFont val="Arial"/>
        <family val="2"/>
      </rPr>
      <t>Holy Friday</t>
    </r>
    <r>
      <rPr>
        <sz val="10"/>
        <rFont val="Arial"/>
        <family val="2"/>
      </rPr>
      <t xml:space="preserve">, </t>
    </r>
    <r>
      <rPr>
        <b/>
        <sz val="10"/>
        <rFont val="Arial"/>
        <family val="2"/>
      </rPr>
      <t>Great Friday</t>
    </r>
    <r>
      <rPr>
        <sz val="10"/>
        <rFont val="Arial"/>
        <family val="2"/>
      </rPr>
      <t xml:space="preserve">, </t>
    </r>
    <r>
      <rPr>
        <b/>
        <sz val="10"/>
        <rFont val="Arial"/>
        <family val="2"/>
      </rPr>
      <t>Black Friday</t>
    </r>
    <r>
      <rPr>
        <sz val="10"/>
        <rFont val="Arial"/>
        <family val="2"/>
      </rPr>
      <t>,</t>
    </r>
    <r>
      <rPr>
        <vertAlign val="superscript"/>
        <sz val="10"/>
        <rFont val="Arial"/>
        <family val="2"/>
      </rPr>
      <t>[</t>
    </r>
    <r>
      <rPr>
        <sz val="10"/>
        <rFont val="Arial"/>
        <family val="2"/>
      </rPr>
      <t>2]</t>
    </r>
    <r>
      <rPr>
        <sz val="10"/>
        <rFont val="Arial"/>
        <family val="2"/>
      </rPr>
      <t xml:space="preserve"> or </t>
    </r>
    <r>
      <rPr>
        <b/>
        <sz val="10"/>
        <rFont val="Arial"/>
        <family val="2"/>
      </rPr>
      <t>Easter Friday</t>
    </r>
    <r>
      <rPr>
        <sz val="10"/>
        <rFont val="Arial"/>
        <family val="2"/>
      </rPr>
      <t>,</t>
    </r>
    <r>
      <rPr>
        <vertAlign val="superscript"/>
        <sz val="10"/>
        <rFont val="Arial"/>
        <family val="2"/>
      </rPr>
      <t>[</t>
    </r>
    <r>
      <rPr>
        <sz val="10"/>
        <rFont val="Arial"/>
        <family val="2"/>
      </rPr>
      <t>3]</t>
    </r>
    <r>
      <rPr>
        <sz val="10"/>
        <rFont val="Arial"/>
        <family val="2"/>
      </rPr>
      <t xml:space="preserve"> though the latter properly refers to the Friday in Easter week.</t>
    </r>
  </si>
  <si>
    <t>Lent (40 days of penance before Easter)</t>
  </si>
  <si>
    <r>
      <t>Lent</t>
    </r>
    <r>
      <rPr>
        <sz val="10"/>
        <rFont val="Arial"/>
        <family val="2"/>
      </rPr>
      <t xml:space="preserve"> (Latin: </t>
    </r>
    <r>
      <rPr>
        <b/>
        <sz val="10"/>
        <rFont val="Arial"/>
        <family val="2"/>
      </rPr>
      <t>Quadragesima</t>
    </r>
    <r>
      <rPr>
        <sz val="10"/>
        <rFont val="Arial"/>
        <family val="2"/>
      </rPr>
      <t>, "fortieth"</t>
    </r>
    <r>
      <rPr>
        <vertAlign val="superscript"/>
        <sz val="10"/>
        <rFont val="Arial"/>
        <family val="2"/>
      </rPr>
      <t>[</t>
    </r>
    <r>
      <rPr>
        <sz val="10"/>
        <rFont val="Arial"/>
        <family val="2"/>
      </rPr>
      <t>1]</t>
    </r>
    <r>
      <rPr>
        <sz val="10"/>
        <rFont val="Arial"/>
        <family val="2"/>
      </rPr>
      <t>) is an observance in the liturgical year of many Christian denominations, lasting for a period of approximately six weeks leading up to Easter. In most Western denominations Lent is taken to run from Ash Wednesday to Maundy Thursday (Holy Thursday) or to Easter Eve.</t>
    </r>
  </si>
  <si>
    <t>Holy Week</t>
  </si>
  <si>
    <t>Easter Triduum</t>
  </si>
  <si>
    <t>Dia Internacional do Idoso</t>
  </si>
  <si>
    <r>
      <t>Holy Saturday</t>
    </r>
    <r>
      <rPr>
        <sz val="10"/>
        <rFont val="Arial"/>
        <family val="2"/>
      </rPr>
      <t xml:space="preserve"> (Latin: </t>
    </r>
    <r>
      <rPr>
        <i/>
        <sz val="10"/>
        <rFont val="Arial"/>
        <family val="2"/>
      </rPr>
      <t>Sabbatum Sanctum</t>
    </r>
    <r>
      <rPr>
        <sz val="10"/>
        <rFont val="Arial"/>
        <family val="2"/>
      </rPr>
      <t xml:space="preserve">), sometimes known as </t>
    </r>
    <r>
      <rPr>
        <b/>
        <sz val="10"/>
        <rFont val="Arial"/>
        <family val="2"/>
      </rPr>
      <t>Easter Eve</t>
    </r>
    <r>
      <rPr>
        <vertAlign val="superscript"/>
        <sz val="10"/>
        <rFont val="Arial"/>
        <family val="2"/>
      </rPr>
      <t>[</t>
    </r>
    <r>
      <rPr>
        <sz val="10"/>
        <rFont val="Arial"/>
        <family val="2"/>
      </rPr>
      <t>1]</t>
    </r>
    <r>
      <rPr>
        <sz val="10"/>
        <rFont val="Arial"/>
        <family val="2"/>
      </rPr>
      <t xml:space="preserve"> or </t>
    </r>
    <r>
      <rPr>
        <b/>
        <sz val="10"/>
        <rFont val="Arial"/>
        <family val="2"/>
      </rPr>
      <t>Black Saturday</t>
    </r>
    <r>
      <rPr>
        <sz val="10"/>
        <rFont val="Arial"/>
        <family val="2"/>
      </rPr>
      <t>, is the day after Good Friday. It is the day before Easter and the last day of Holy Week in which Christians prepare for Easter. It commemorates the day that Jesus Christ's body laid in the tomb.</t>
    </r>
  </si>
  <si>
    <t>N. Sra. Aparecida / Dia das Crianças</t>
  </si>
  <si>
    <t xml:space="preserve">   Easter</t>
  </si>
  <si>
    <r>
      <t>Easter</t>
    </r>
    <r>
      <rPr>
        <sz val="10"/>
        <rFont val="Arial"/>
        <family val="2"/>
      </rPr>
      <t xml:space="preserve"> (Old English: </t>
    </r>
    <r>
      <rPr>
        <i/>
        <sz val="10"/>
        <rFont val="Arial"/>
        <family val="2"/>
      </rPr>
      <t>Ēostre</t>
    </r>
    <r>
      <rPr>
        <sz val="10"/>
        <rFont val="Arial"/>
        <family val="2"/>
      </rPr>
      <t xml:space="preserve">) or </t>
    </r>
    <r>
      <rPr>
        <b/>
        <sz val="10"/>
        <rFont val="Arial"/>
        <family val="2"/>
      </rPr>
      <t>Pascha</t>
    </r>
    <r>
      <rPr>
        <sz val="10"/>
        <rFont val="Arial"/>
        <family val="2"/>
      </rPr>
      <t xml:space="preserve"> (Greek: Πάσχα, </t>
    </r>
    <r>
      <rPr>
        <i/>
        <sz val="10"/>
        <rFont val="Arial"/>
        <family val="2"/>
      </rPr>
      <t>Paskha</t>
    </r>
    <r>
      <rPr>
        <sz val="10"/>
        <rFont val="Arial"/>
        <family val="2"/>
      </rPr>
      <t xml:space="preserve">; Aramaic: פַּסחא‎ </t>
    </r>
    <r>
      <rPr>
        <i/>
        <sz val="10"/>
        <rFont val="Arial"/>
        <family val="2"/>
      </rPr>
      <t>Pasḥa</t>
    </r>
    <r>
      <rPr>
        <sz val="10"/>
        <rFont val="Arial"/>
        <family val="2"/>
      </rPr>
      <t xml:space="preserve">; from Hebrew: פֶּסַח‎ </t>
    </r>
    <r>
      <rPr>
        <i/>
        <sz val="10"/>
        <rFont val="Arial"/>
        <family val="2"/>
      </rPr>
      <t>Pesaḥ</t>
    </r>
    <r>
      <rPr>
        <sz val="10"/>
        <rFont val="Arial"/>
        <family val="2"/>
      </rPr>
      <t>)</t>
    </r>
    <r>
      <rPr>
        <vertAlign val="superscript"/>
        <sz val="10"/>
        <rFont val="Arial"/>
        <family val="2"/>
      </rPr>
      <t>[</t>
    </r>
    <r>
      <rPr>
        <sz val="10"/>
        <rFont val="Arial"/>
        <family val="2"/>
      </rPr>
      <t>1]</t>
    </r>
    <r>
      <rPr>
        <sz val="10"/>
        <rFont val="Arial"/>
        <family val="2"/>
      </rPr>
      <t xml:space="preserve"> is a Christian festival and holiday celebrating the resurrection of Jesus Christ on the third day after his crucifixion at Calvary as described in the New Testament.</t>
    </r>
  </si>
  <si>
    <t>(Resurrection of Jesus, end of Lent)</t>
  </si>
  <si>
    <t>Dia do Professor</t>
  </si>
  <si>
    <t>(Monday following Easter Sunday, not part of the Easter Triduum)</t>
  </si>
  <si>
    <r>
      <t>Easter Monday</t>
    </r>
    <r>
      <rPr>
        <sz val="10"/>
        <rFont val="Arial"/>
        <family val="2"/>
      </rPr>
      <t xml:space="preserve"> (also known as </t>
    </r>
    <r>
      <rPr>
        <b/>
        <sz val="10"/>
        <rFont val="Arial"/>
        <family val="2"/>
      </rPr>
      <t>Egg Nyte</t>
    </r>
    <r>
      <rPr>
        <sz val="10"/>
        <rFont val="Arial"/>
        <family val="2"/>
      </rPr>
      <t>) is the day after Easter Sunday and is celebrated as a holiday in some largely Christian cultures, especially Roman Catholic and Eastern Orthodox cultures.</t>
    </r>
  </si>
  <si>
    <t>Dia do Servidor Público</t>
  </si>
  <si>
    <r>
      <rPr>
        <b/>
        <sz val="10"/>
        <rFont val="Arial"/>
        <family val="2"/>
      </rPr>
      <t>Ascension Day</t>
    </r>
    <r>
      <rPr>
        <sz val="10"/>
        <rFont val="Arial"/>
        <family val="2"/>
      </rPr>
      <t xml:space="preserve"> (Ascension of Jesus into Heaven) is traditionally celebrated on a Thursday, the fortieth day of Easter (following the count given in Acts 1:3), although some Roman Catholic provinces have moved the observance to the following Sunday.</t>
    </r>
  </si>
  <si>
    <t>Dia do Comerciário</t>
  </si>
  <si>
    <r>
      <rPr>
        <b/>
        <sz val="10"/>
        <rFont val="Arial"/>
        <family val="2"/>
      </rPr>
      <t>Pentecost</t>
    </r>
    <r>
      <rPr>
        <sz val="10"/>
        <rFont val="Arial"/>
        <family val="2"/>
      </rPr>
      <t xml:space="preserve"> (Descent of the Holy Spirit upon the disciples of Jesus) is celebrated seven weeks (50 days) after Easter Sunday, hence its name.</t>
    </r>
    <r>
      <rPr>
        <vertAlign val="superscript"/>
        <sz val="10"/>
        <rFont val="Arial"/>
        <family val="2"/>
      </rPr>
      <t>[</t>
    </r>
    <r>
      <rPr>
        <sz val="10"/>
        <rFont val="Arial"/>
        <family val="2"/>
      </rPr>
      <t>1] Pentecost falls on the tenth day after Ascension Thursday.</t>
    </r>
  </si>
  <si>
    <t>Dia de Todos os Santos</t>
  </si>
  <si>
    <t xml:space="preserve">   Trinity Sunday</t>
  </si>
  <si>
    <r>
      <t>Trinity Sunday</t>
    </r>
    <r>
      <rPr>
        <sz val="10"/>
        <rFont val="Arial"/>
        <family val="2"/>
      </rPr>
      <t xml:space="preserve"> is the first Sunday after Pentecost in the Western Christian liturgical calendar, and the Sunday of Pentecost in Eastern Christianity. Trinity Sunday celebrates the Christian dogma of the Trinity, the three Persons of God: the Father, the Son, and the Holy Spirit.</t>
    </r>
  </si>
  <si>
    <r>
      <t xml:space="preserve">The </t>
    </r>
    <r>
      <rPr>
        <b/>
        <sz val="10"/>
        <rFont val="Arial"/>
        <family val="2"/>
      </rPr>
      <t>Feast of Corpus Christi</t>
    </r>
    <r>
      <rPr>
        <sz val="10"/>
        <rFont val="Arial"/>
        <family val="2"/>
      </rPr>
      <t xml:space="preserve"> (Latin for </t>
    </r>
    <r>
      <rPr>
        <i/>
        <sz val="10"/>
        <rFont val="Arial"/>
        <family val="2"/>
      </rPr>
      <t>Body of Christ</t>
    </r>
    <r>
      <rPr>
        <sz val="10"/>
        <rFont val="Arial"/>
        <family val="2"/>
      </rPr>
      <t>) is a Latin Rite liturgical solemnity celebrating the [Sacrifice of Jesus] tradition and belief in the body and blood of Jesus Christ and his Real Presence in the Eucharist. The feast is liturgically celebrated on the Thursday after Trinity Sunday.</t>
    </r>
  </si>
  <si>
    <t>Proc. da República</t>
  </si>
  <si>
    <r>
      <rPr>
        <b/>
        <sz val="10"/>
        <rFont val="Arial"/>
        <family val="2"/>
      </rPr>
      <t>Advent</t>
    </r>
    <r>
      <rPr>
        <sz val="10"/>
        <rFont val="Arial"/>
        <family val="2"/>
      </rPr>
      <t xml:space="preserve"> is a season observed in many Christian churches as a time of expectant waiting and preparation for the celebration of the Nativity of Jesus at Christmas as well as the return of Jesus at the second coming. Starts on the fourth Sunday before December 25, the Sunday from November 27 to December 3 inclusive.</t>
    </r>
  </si>
  <si>
    <t>Dia da Bandeira</t>
  </si>
  <si>
    <t>Dia da Consciência Negra</t>
  </si>
  <si>
    <r>
      <t>Epiphany</t>
    </r>
    <r>
      <rPr>
        <sz val="10"/>
        <rFont val="Arial"/>
        <family val="2"/>
      </rPr>
      <t xml:space="preserve"> (Koine Greek: ἐπιφάνεια, </t>
    </r>
    <r>
      <rPr>
        <i/>
        <sz val="10"/>
        <rFont val="Arial"/>
        <family val="2"/>
      </rPr>
      <t>epiphaneia</t>
    </r>
    <r>
      <rPr>
        <sz val="10"/>
        <rFont val="Arial"/>
        <family val="2"/>
      </rPr>
      <t>, "manifestation", "striking appearance"</t>
    </r>
    <r>
      <rPr>
        <vertAlign val="superscript"/>
        <sz val="10"/>
        <rFont val="Arial"/>
        <family val="2"/>
      </rPr>
      <t>[</t>
    </r>
    <r>
      <rPr>
        <sz val="10"/>
        <rFont val="Arial"/>
        <family val="2"/>
      </rPr>
      <t>1]</t>
    </r>
    <r>
      <rPr>
        <sz val="10"/>
        <rFont val="Arial"/>
        <family val="2"/>
      </rPr>
      <t xml:space="preserve">) or </t>
    </r>
    <r>
      <rPr>
        <b/>
        <sz val="10"/>
        <rFont val="Arial"/>
        <family val="2"/>
      </rPr>
      <t>Theophany</t>
    </r>
    <r>
      <rPr>
        <vertAlign val="superscript"/>
        <sz val="10"/>
        <rFont val="Arial"/>
        <family val="2"/>
      </rPr>
      <t>[</t>
    </r>
    <r>
      <rPr>
        <sz val="10"/>
        <rFont val="Arial"/>
        <family val="2"/>
      </rPr>
      <t>2]</t>
    </r>
    <r>
      <rPr>
        <sz val="10"/>
        <rFont val="Arial"/>
        <family val="2"/>
      </rPr>
      <t xml:space="preserve"> (Ancient Greek (ἡ) Θεοφάνεια, </t>
    </r>
    <r>
      <rPr>
        <i/>
        <sz val="10"/>
        <rFont val="Arial"/>
        <family val="2"/>
      </rPr>
      <t>Τheophaneia</t>
    </r>
    <r>
      <rPr>
        <sz val="10"/>
        <rFont val="Arial"/>
        <family val="2"/>
      </rPr>
      <t xml:space="preserve"> meaning "vision of God"</t>
    </r>
    <r>
      <rPr>
        <vertAlign val="superscript"/>
        <sz val="10"/>
        <rFont val="Arial"/>
        <family val="2"/>
      </rPr>
      <t>[</t>
    </r>
    <r>
      <rPr>
        <sz val="10"/>
        <rFont val="Arial"/>
        <family val="2"/>
      </rPr>
      <t>3]</t>
    </r>
    <r>
      <rPr>
        <sz val="10"/>
        <rFont val="Arial"/>
        <family val="2"/>
      </rPr>
      <t>), which traditionally falls on 6 January, is a Christian feast day that celebrates the revelation of God the Son as a human being in Jesus Christ.</t>
    </r>
  </si>
  <si>
    <r>
      <t xml:space="preserve">In addition to being known as the Presentation of Jesus at the Temple, other traditional names include </t>
    </r>
    <r>
      <rPr>
        <b/>
        <sz val="10"/>
        <rFont val="Arial"/>
        <family val="2"/>
      </rPr>
      <t>Candlemas</t>
    </r>
    <r>
      <rPr>
        <sz val="10"/>
        <rFont val="Arial"/>
        <family val="2"/>
      </rPr>
      <t>, the Feast of the Purification of the Virgin, and the Meeting of the Lord. Candlemas occurs 40 days after Christmas.</t>
    </r>
  </si>
  <si>
    <r>
      <t xml:space="preserve">The </t>
    </r>
    <r>
      <rPr>
        <b/>
        <sz val="10"/>
        <rFont val="Arial"/>
        <family val="2"/>
      </rPr>
      <t>Assumption of the Blessed Virgin Mary into Heaven</t>
    </r>
    <r>
      <rPr>
        <sz val="10"/>
        <rFont val="Arial"/>
        <family val="2"/>
      </rPr>
      <t xml:space="preserve"> (Assumption of the Virgin Mary), informally known as </t>
    </r>
    <r>
      <rPr>
        <b/>
        <sz val="10"/>
        <rFont val="Arial"/>
        <family val="2"/>
      </rPr>
      <t>The Assumption</t>
    </r>
    <r>
      <rPr>
        <sz val="10"/>
        <rFont val="Arial"/>
        <family val="2"/>
      </rPr>
      <t>, according to the belief of Christians of the Roman Catholic Church, Eastern Orthodoxy, Oriental Orthodoxy, and parts of Anglicanism, was the bodily taking up of the Virgin Mary into Heaven at the end of her life. In the churches that observe it, the Assumption is a major feast day, commonly celebrated on 15 August.</t>
    </r>
  </si>
  <si>
    <r>
      <t>Halloween</t>
    </r>
    <r>
      <rPr>
        <sz val="10"/>
        <rFont val="Arial"/>
        <family val="2"/>
      </rPr>
      <t xml:space="preserve"> (a shortening of </t>
    </r>
    <r>
      <rPr>
        <b/>
        <sz val="10"/>
        <rFont val="Arial"/>
        <family val="2"/>
      </rPr>
      <t>All Hallows’ Evening</t>
    </r>
    <r>
      <rPr>
        <sz val="10"/>
        <rFont val="Arial"/>
        <family val="2"/>
      </rPr>
      <t>),</t>
    </r>
    <r>
      <rPr>
        <sz val="10"/>
        <rFont val="Arial"/>
        <family val="2"/>
      </rPr>
      <t xml:space="preserve"> also known as </t>
    </r>
    <r>
      <rPr>
        <b/>
        <sz val="10"/>
        <rFont val="Arial"/>
        <family val="2"/>
      </rPr>
      <t>Hallowe'en</t>
    </r>
    <r>
      <rPr>
        <sz val="10"/>
        <rFont val="Arial"/>
        <family val="2"/>
      </rPr>
      <t xml:space="preserve"> or </t>
    </r>
    <r>
      <rPr>
        <b/>
        <sz val="10"/>
        <rFont val="Arial"/>
        <family val="2"/>
      </rPr>
      <t>All Hallows' Eve</t>
    </r>
    <r>
      <rPr>
        <sz val="10"/>
        <rFont val="Arial"/>
        <family val="2"/>
      </rPr>
      <t>,</t>
    </r>
    <r>
      <rPr>
        <sz val="10"/>
        <rFont val="Arial"/>
        <family val="2"/>
      </rPr>
      <t xml:space="preserve"> is a yearly holiday observed around the world on October 31, the night before All Saints' Day.</t>
    </r>
  </si>
  <si>
    <r>
      <t>All Saints' Day</t>
    </r>
    <r>
      <rPr>
        <sz val="10"/>
        <rFont val="Arial"/>
        <family val="2"/>
      </rPr>
      <t xml:space="preserve"> (in the Roman Catholic Church officially the </t>
    </r>
    <r>
      <rPr>
        <b/>
        <sz val="10"/>
        <rFont val="Arial"/>
        <family val="2"/>
      </rPr>
      <t>Solemnity of All Saints</t>
    </r>
    <r>
      <rPr>
        <sz val="10"/>
        <rFont val="Arial"/>
        <family val="2"/>
      </rPr>
      <t xml:space="preserve"> and also called </t>
    </r>
    <r>
      <rPr>
        <b/>
        <sz val="10"/>
        <rFont val="Arial"/>
        <family val="2"/>
      </rPr>
      <t>All Hallows</t>
    </r>
    <r>
      <rPr>
        <sz val="10"/>
        <rFont val="Arial"/>
        <family val="2"/>
      </rPr>
      <t xml:space="preserve"> or </t>
    </r>
    <r>
      <rPr>
        <b/>
        <sz val="10"/>
        <rFont val="Arial"/>
        <family val="2"/>
      </rPr>
      <t>Hallowmas</t>
    </r>
    <r>
      <rPr>
        <vertAlign val="superscript"/>
        <sz val="10"/>
        <rFont val="Arial"/>
        <family val="2"/>
      </rPr>
      <t>[</t>
    </r>
    <r>
      <rPr>
        <sz val="10"/>
        <rFont val="Arial"/>
        <family val="2"/>
      </rPr>
      <t>3]</t>
    </r>
    <r>
      <rPr>
        <sz val="10"/>
        <rFont val="Arial"/>
        <family val="2"/>
      </rPr>
      <t xml:space="preserve">), often shortened to </t>
    </r>
    <r>
      <rPr>
        <b/>
        <sz val="10"/>
        <rFont val="Arial"/>
        <family val="2"/>
      </rPr>
      <t>All Saints</t>
    </r>
    <r>
      <rPr>
        <sz val="10"/>
        <rFont val="Arial"/>
        <family val="2"/>
      </rPr>
      <t>, is a solemnity celebrated on 1 November by parts of Western Christianity, and on the first Sunday after Pentecost in Eastern Christianity, in honour of all the saints, known and unknown.</t>
    </r>
  </si>
  <si>
    <r>
      <t>All Souls' Day</t>
    </r>
    <r>
      <rPr>
        <sz val="10"/>
        <rFont val="Arial"/>
        <family val="2"/>
      </rPr>
      <t xml:space="preserve"> commemorates the faithful departed. In Western Christianity, this day is observed principally in the Catholic Church, although some churches of Anglican Communion and the Old Catholic Churches also celebrate it. The Eastern Orthodox Church observes several All Souls' Days during the year.</t>
    </r>
  </si>
  <si>
    <r>
      <t>Christmas</t>
    </r>
    <r>
      <rPr>
        <sz val="10"/>
        <rFont val="Arial"/>
        <family val="2"/>
      </rPr>
      <t xml:space="preserve"> or </t>
    </r>
    <r>
      <rPr>
        <b/>
        <sz val="10"/>
        <rFont val="Arial"/>
        <family val="2"/>
      </rPr>
      <t>Christmas Day</t>
    </r>
    <r>
      <rPr>
        <sz val="10"/>
        <rFont val="Arial"/>
        <family val="2"/>
      </rPr>
      <t xml:space="preserve"> (Old English: </t>
    </r>
    <r>
      <rPr>
        <i/>
        <sz val="10"/>
        <rFont val="Arial"/>
        <family val="2"/>
      </rPr>
      <t>Crīstesmæsse</t>
    </r>
    <r>
      <rPr>
        <sz val="10"/>
        <rFont val="Arial"/>
        <family val="2"/>
      </rPr>
      <t>, literally "Christ's mass") is an annual commemoration of the birth of Jesus Christ,</t>
    </r>
    <r>
      <rPr>
        <vertAlign val="superscript"/>
        <sz val="10"/>
        <rFont val="Arial"/>
        <family val="2"/>
      </rPr>
      <t>[</t>
    </r>
    <r>
      <rPr>
        <sz val="10"/>
        <rFont val="Arial"/>
        <family val="2"/>
      </rPr>
      <t>5]</t>
    </r>
    <r>
      <rPr>
        <vertAlign val="superscript"/>
        <sz val="10"/>
        <rFont val="Arial"/>
        <family val="2"/>
      </rPr>
      <t>[</t>
    </r>
    <r>
      <rPr>
        <sz val="10"/>
        <rFont val="Arial"/>
        <family val="2"/>
      </rPr>
      <t>6]</t>
    </r>
    <r>
      <rPr>
        <sz val="10"/>
        <rFont val="Arial"/>
        <family val="2"/>
      </rPr>
      <t xml:space="preserve"> celebrated generally on December 25</t>
    </r>
  </si>
  <si>
    <t>(Birth of Jesus)</t>
  </si>
  <si>
    <r>
      <t xml:space="preserve">The </t>
    </r>
    <r>
      <rPr>
        <b/>
        <sz val="10"/>
        <rFont val="Arial"/>
        <family val="2"/>
      </rPr>
      <t>Massacre of the Innocents</t>
    </r>
    <r>
      <rPr>
        <sz val="10"/>
        <rFont val="Arial"/>
        <family val="2"/>
      </rPr>
      <t xml:space="preserve"> (Winter Lent) was an episode of infanticide and gendercide by Herod the Great, the king of Iudaea Province. According to the Gospel of Matthew Herod ordered the execution of all young male children in the village of Bethlehem, so as to avoid the loss of his throne to a newborn King of the Jews whose birth had been announced to him by the Magi. Today, the date of Holy Innocents' Day, also called The Innocents' Day or Childermas or Children's Mass, varies. It is 27 December for West Syrians (Syriac Orthodox Church, Syro-Malankara Catholic Church, and Maronite Church) and 10 January for East Syrians (Chaldeans and Syro-Malabar Catholic Church), while </t>
    </r>
    <r>
      <rPr>
        <b/>
        <sz val="10"/>
        <rFont val="Arial"/>
        <family val="2"/>
      </rPr>
      <t>28 December</t>
    </r>
    <r>
      <rPr>
        <sz val="10"/>
        <rFont val="Arial"/>
        <family val="2"/>
      </rPr>
      <t xml:space="preserve"> is the date in the Church of England, the Lutheran Church and the Roman Catholic Church (in which, except on Sunday, violet vestments were worn before 1961, instead of red, the normal liturgical colour for celebrating martyrs). In these latter Western Christian denominations, Childermas is the fourth day of Christmastide. The Eastern Orthodox Church celebrates the feast on 29 December.</t>
    </r>
  </si>
  <si>
    <r>
      <t xml:space="preserve">In the Gregorian calendar, </t>
    </r>
    <r>
      <rPr>
        <b/>
        <sz val="10"/>
        <rFont val="Arial"/>
        <family val="2"/>
      </rPr>
      <t>New Year's Eve</t>
    </r>
    <r>
      <rPr>
        <sz val="10"/>
        <rFont val="Arial"/>
        <family val="2"/>
      </rPr>
      <t>, the last day of the year, is on December 31. In many countries, New Year's Eve is celebrated at evening social gatherings, where many people dance, eat, drink alcoholic beverages, and watch or light fireworks to mark the new year. Some people attend a watchnight service.</t>
    </r>
    <r>
      <rPr>
        <vertAlign val="superscript"/>
        <sz val="10"/>
        <rFont val="Arial"/>
        <family val="2"/>
      </rPr>
      <t>[</t>
    </r>
    <r>
      <rPr>
        <sz val="10"/>
        <rFont val="Arial"/>
        <family val="2"/>
      </rPr>
      <t>1]</t>
    </r>
    <r>
      <rPr>
        <sz val="10"/>
        <rFont val="Arial"/>
        <family val="2"/>
      </rPr>
      <t xml:space="preserve"> The celebrations generally go on past midnight into January 1 (New Year's Day).</t>
    </r>
  </si>
  <si>
    <t>Dia das Mães (2º domingo de maio)</t>
  </si>
  <si>
    <t>Dia dos Pais (2º domingo de agosto)</t>
  </si>
  <si>
    <t>Sri Krsna Pusya Abhiseka</t>
  </si>
  <si>
    <t>Pandava Nirjala Ekadasi</t>
  </si>
  <si>
    <t>Snana Yatra</t>
  </si>
  <si>
    <t>Varaha Dvadasi</t>
  </si>
  <si>
    <t>Ramacandra Vijayotsava</t>
  </si>
  <si>
    <t>Nityananda Trayodasi</t>
  </si>
  <si>
    <t>Sri Krsna Madhura Utsava</t>
  </si>
  <si>
    <t>Jhulana Yatra começa</t>
  </si>
  <si>
    <t>Sri Krsna Saradiya Rasayatra</t>
  </si>
  <si>
    <t>Gaura Purnima</t>
  </si>
  <si>
    <t>Dipa dana, Dipavali</t>
  </si>
  <si>
    <t>Govardhana Puja</t>
  </si>
  <si>
    <t>Rama Navami</t>
  </si>
  <si>
    <t>Sri Krsna Janmastami</t>
  </si>
  <si>
    <t>Sri Balarama Rasayatra</t>
  </si>
  <si>
    <t>Sri Krsna Rasayatra</t>
  </si>
  <si>
    <t>Radhastami</t>
  </si>
  <si>
    <t>Tulasi-Saligrama Vivaha</t>
  </si>
  <si>
    <t>Nrsimha Caturdasi</t>
  </si>
  <si>
    <t>Sri Vamana Dvadasi</t>
  </si>
  <si>
    <t>ArunodayaTime</t>
  </si>
  <si>
    <t>FastMark</t>
  </si>
  <si>
    <t>MoonPhase</t>
  </si>
  <si>
    <t>MoonSymbol</t>
  </si>
  <si>
    <t>SunRiseTime</t>
  </si>
  <si>
    <t>NoonTime</t>
  </si>
  <si>
    <t>SunSetTime</t>
  </si>
  <si>
    <t>Krsna Paksa</t>
  </si>
  <si>
    <t>Masa</t>
  </si>
  <si>
    <t>E</t>
  </si>
  <si>
    <t>C</t>
  </si>
  <si>
    <t>F</t>
  </si>
  <si>
    <t>Calendar Year</t>
  </si>
  <si>
    <t>Calendar Week</t>
  </si>
  <si>
    <t>Seq</t>
  </si>
  <si>
    <t>MoonCod</t>
  </si>
  <si>
    <t>MoonDateTime</t>
  </si>
  <si>
    <t xml:space="preserve">Year First Day </t>
  </si>
  <si>
    <t xml:space="preserve">Year Last Day </t>
  </si>
  <si>
    <t>NewMoon</t>
  </si>
  <si>
    <t>WaxingMoon</t>
  </si>
  <si>
    <t>FullMoon</t>
  </si>
  <si>
    <t>WaningMoon</t>
  </si>
  <si>
    <t>MRef</t>
  </si>
  <si>
    <t>CodType</t>
  </si>
  <si>
    <t>DayType</t>
  </si>
  <si>
    <t>Sankranti Depending Events</t>
  </si>
  <si>
    <t>Common Events</t>
  </si>
  <si>
    <t>Fasts</t>
  </si>
  <si>
    <t>Cod</t>
  </si>
  <si>
    <t>Desc</t>
  </si>
  <si>
    <t/>
  </si>
  <si>
    <t>ColRef</t>
  </si>
  <si>
    <t>DayWID</t>
  </si>
  <si>
    <t>Month Name</t>
  </si>
  <si>
    <t>Dia da semana do 1º dia do mês</t>
  </si>
  <si>
    <t>1º dia do mês</t>
  </si>
  <si>
    <t>Quantidade de dias no mês</t>
  </si>
  <si>
    <t>Número do Mês</t>
  </si>
  <si>
    <t>Weekday</t>
  </si>
  <si>
    <t>Feast</t>
  </si>
  <si>
    <t>Ekadasis</t>
  </si>
  <si>
    <t>H</t>
  </si>
  <si>
    <t>Nothing</t>
  </si>
  <si>
    <t>Ekadasis &amp; Fasts</t>
  </si>
  <si>
    <t>P</t>
  </si>
  <si>
    <t>Gaurabda year</t>
  </si>
  <si>
    <t>Month name</t>
  </si>
  <si>
    <t>F.C.</t>
  </si>
  <si>
    <t>data of second month considered</t>
  </si>
  <si>
    <t>data of first month considered</t>
  </si>
  <si>
    <t>citation number</t>
  </si>
  <si>
    <t>=$R$23:$X$23;$R$25:$X$25;$R$27:$X$27;$R$29:$X$29;$R$31:$X$31;$R$37:$X$37;$R$39:$X$42;$D$1:$E$2;$I$1:$J$2;$N$1:$O$2;$U$1:$W$2;$V$11:$W$11</t>
  </si>
  <si>
    <t>Cond. Format.</t>
  </si>
  <si>
    <t>MNum</t>
  </si>
  <si>
    <t></t>
  </si>
  <si>
    <t></t>
  </si>
  <si>
    <t></t>
  </si>
  <si>
    <t></t>
  </si>
  <si>
    <t>MoonFont</t>
  </si>
  <si>
    <t>Day Ref</t>
  </si>
  <si>
    <t>Data1</t>
  </si>
  <si>
    <t>Data2</t>
  </si>
  <si>
    <t>Data3</t>
  </si>
  <si>
    <t>Ano:</t>
  </si>
  <si>
    <t>Itens da agenda</t>
  </si>
  <si>
    <t>Participantes:</t>
  </si>
  <si>
    <t>Data:</t>
  </si>
  <si>
    <t>Local:</t>
  </si>
  <si>
    <t>Reunião</t>
  </si>
  <si>
    <t>Itens de ação</t>
  </si>
  <si>
    <t>Proprietário(s)</t>
  </si>
  <si>
    <t>Status</t>
  </si>
  <si>
    <t>Hora:</t>
  </si>
  <si>
    <t>Data limite</t>
  </si>
  <si>
    <t>Acrescentar:</t>
  </si>
  <si>
    <t>Personalidades e Eventos</t>
  </si>
  <si>
    <t>Reuniões</t>
  </si>
  <si>
    <t>Add:</t>
  </si>
  <si>
    <t>Personalities and Events</t>
  </si>
  <si>
    <t>Reunions</t>
  </si>
  <si>
    <t>Añadir:</t>
  </si>
  <si>
    <t>Personalidades y Eventos</t>
  </si>
  <si>
    <t>Reuniones</t>
  </si>
  <si>
    <t>reu_section</t>
  </si>
  <si>
    <t>Meeting</t>
  </si>
  <si>
    <t>reu_plan</t>
  </si>
  <si>
    <t>reu_title</t>
  </si>
  <si>
    <t>Reuniao</t>
  </si>
  <si>
    <t>Reunión</t>
  </si>
  <si>
    <t>Nome da reunião:</t>
  </si>
  <si>
    <t>reu_name</t>
  </si>
  <si>
    <t>Meeting Name:</t>
  </si>
  <si>
    <t>Date:</t>
  </si>
  <si>
    <t>Hour:</t>
  </si>
  <si>
    <t>Participants:</t>
  </si>
  <si>
    <t>Calendar items</t>
  </si>
  <si>
    <t>Action Items</t>
  </si>
  <si>
    <t>Owner (s)</t>
  </si>
  <si>
    <t>Deadline</t>
  </si>
  <si>
    <t>Nombre de la reunión:</t>
  </si>
  <si>
    <t>Lugar:</t>
  </si>
  <si>
    <t>Fecha:</t>
  </si>
  <si>
    <t>Tiempo:</t>
  </si>
  <si>
    <t>Artículos de la agenda</t>
  </si>
  <si>
    <t>Artículos de acción</t>
  </si>
  <si>
    <t>Propietario (s)</t>
  </si>
  <si>
    <t>Fecha limite</t>
  </si>
  <si>
    <t>Estatus</t>
  </si>
  <si>
    <t>reu_local</t>
  </si>
  <si>
    <t>reu_date</t>
  </si>
  <si>
    <t>reu_hour</t>
  </si>
  <si>
    <t>reu_participants</t>
  </si>
  <si>
    <t>reu_calendar_items</t>
  </si>
  <si>
    <t>reu_action_itens</t>
  </si>
  <si>
    <t>reu_owner</t>
  </si>
  <si>
    <t>reu_deadline</t>
  </si>
  <si>
    <t>reu_status</t>
  </si>
  <si>
    <t>http://www.excelfox.com/forum/showthread.php/398-Nth-Such-And-Such-Day-Of-The-Month</t>
  </si>
  <si>
    <t>sys_cstrGPlanCreateOK</t>
  </si>
  <si>
    <t>https://stackoverflow.com/questions/41450460/import-xml-children-as-columns-in-excel</t>
  </si>
  <si>
    <t>Θ</t>
  </si>
  <si>
    <t>Φ</t>
  </si>
  <si>
    <t>Units Conversion</t>
  </si>
  <si>
    <t>gyear</t>
  </si>
  <si>
    <t>paranafrom</t>
  </si>
  <si>
    <t>paranato</t>
  </si>
  <si>
    <t>sankrantitime</t>
  </si>
  <si>
    <t>sankrantirasi</t>
  </si>
  <si>
    <t>ksayafrom</t>
  </si>
  <si>
    <t>ksayato</t>
  </si>
  <si>
    <t>moonrise</t>
  </si>
  <si>
    <t>moonset</t>
  </si>
  <si>
    <t>dstoffset</t>
  </si>
  <si>
    <t>tithielapse</t>
  </si>
  <si>
    <t>naksatraelapse</t>
  </si>
  <si>
    <t>fasttype</t>
  </si>
  <si>
    <t>fastmark</t>
  </si>
  <si>
    <t>Kesava</t>
  </si>
  <si>
    <t>Holidays &amp; Ekadasis &amp; Fasts</t>
  </si>
  <si>
    <t>sys_cstrLoadOK</t>
  </si>
  <si>
    <t>OK!</t>
  </si>
  <si>
    <t>Languages List</t>
  </si>
  <si>
    <t>Hours</t>
  </si>
  <si>
    <t>Rohini</t>
  </si>
  <si>
    <t>Siddha</t>
  </si>
  <si>
    <t>Prabhupada - partida para os EUA</t>
  </si>
  <si>
    <t>Bisma pancaka</t>
  </si>
  <si>
    <t>1firstEKADASI_</t>
  </si>
  <si>
    <t>1firstPURNIMA_</t>
  </si>
  <si>
    <t>1firstPRATIPAT</t>
  </si>
  <si>
    <t>1last_EKADASI_</t>
  </si>
  <si>
    <t>2firstEKADASI_</t>
  </si>
  <si>
    <t>1last_PURNIMA_</t>
  </si>
  <si>
    <t>2firstPURNIMA_</t>
  </si>
  <si>
    <t>2firstPRATIPAT</t>
  </si>
  <si>
    <t>2last_EKADASI_</t>
  </si>
  <si>
    <t>3firstEKADASI_</t>
  </si>
  <si>
    <t>2last_PURNIMA_</t>
  </si>
  <si>
    <t>3firstPURNIMA_</t>
  </si>
  <si>
    <t>3firstPRATIPAT</t>
  </si>
  <si>
    <t>3last_EKADASI_</t>
  </si>
  <si>
    <t>4firstEKADASI_</t>
  </si>
  <si>
    <t>3last_PURNIMA_</t>
  </si>
  <si>
    <t>4firstPURNIMA_</t>
  </si>
  <si>
    <t>4firstPRATIPAT</t>
  </si>
  <si>
    <t>4last_EKADASI_</t>
  </si>
  <si>
    <t>4last_PURNIMA_</t>
  </si>
  <si>
    <t>4last_PRATIPAT</t>
  </si>
  <si>
    <t>1last_PRATIPAT</t>
  </si>
  <si>
    <t>2last_PRATIPAT</t>
  </si>
  <si>
    <t>3last_PRATIPAT</t>
  </si>
  <si>
    <t>GCal 11</t>
  </si>
  <si>
    <t>RadhaKunda</t>
  </si>
  <si>
    <t>BhagavadGita</t>
  </si>
  <si>
    <t>ISKCON</t>
  </si>
  <si>
    <t>PrabhupadaSannyasa</t>
  </si>
  <si>
    <t>GauraKisoraDis</t>
  </si>
  <si>
    <t>PrabhupadaDis</t>
  </si>
  <si>
    <t>RaghunathaBhattaDis</t>
  </si>
  <si>
    <t>RupaDis</t>
  </si>
  <si>
    <t>SanatanaDis</t>
  </si>
  <si>
    <t>AdvaitaApp</t>
  </si>
  <si>
    <t>BalaramaApp</t>
  </si>
  <si>
    <t>BhaktisiddhantaApp</t>
  </si>
  <si>
    <t>BhaktivinodaApp</t>
  </si>
  <si>
    <t>CaitanyaApp</t>
  </si>
  <si>
    <t>GadadharaApp</t>
  </si>
  <si>
    <t>GopalaBhattaApp</t>
  </si>
  <si>
    <t>JhulanaBeg</t>
  </si>
  <si>
    <t>JivaApp</t>
  </si>
  <si>
    <t>KrsnaApp</t>
  </si>
  <si>
    <t>NityanandaApp</t>
  </si>
  <si>
    <t>NrsimhadevaApp</t>
  </si>
  <si>
    <t>PrabhupadaApp</t>
  </si>
  <si>
    <t>PrabhupadaUSADep</t>
  </si>
  <si>
    <t>PrabhupadaUSAArr</t>
  </si>
  <si>
    <t>RadharaniApp</t>
  </si>
  <si>
    <t>RaghunathaDasaApp</t>
  </si>
  <si>
    <t>RamacandraApp</t>
  </si>
  <si>
    <t>SitaApp</t>
  </si>
  <si>
    <t>SitaThakuraniApp</t>
  </si>
  <si>
    <t>SrivasaApp</t>
  </si>
  <si>
    <t>VarahadevaApp</t>
  </si>
  <si>
    <t>TulasiSaligrama</t>
  </si>
  <si>
    <t>Dvitiya Tithi</t>
  </si>
  <si>
    <t>mo1_section</t>
  </si>
  <si>
    <t>mo1_NM</t>
  </si>
  <si>
    <t>mo1_FQ</t>
  </si>
  <si>
    <t>mo1_FM</t>
  </si>
  <si>
    <t>mo1_LQ</t>
  </si>
  <si>
    <t>mo2_section</t>
  </si>
  <si>
    <t>mo2_NM</t>
  </si>
  <si>
    <t>mo2_FQ</t>
  </si>
  <si>
    <t>mo2_FM</t>
  </si>
  <si>
    <t>mo2_LQ</t>
  </si>
  <si>
    <t>mo3_section</t>
  </si>
  <si>
    <t>mo3_NM</t>
  </si>
  <si>
    <t>mo3_FQ</t>
  </si>
  <si>
    <t>mo3_FM</t>
  </si>
  <si>
    <t>mo3_LQ</t>
  </si>
  <si>
    <t>MoonTransl</t>
  </si>
  <si>
    <t>SouthMoonSymbol</t>
  </si>
  <si>
    <t>TotalFast</t>
  </si>
  <si>
    <t>GundicaMarjana</t>
  </si>
  <si>
    <t>SriKrsnaPusyaAbhiseka</t>
  </si>
  <si>
    <t>RamacandraVijayotsava</t>
  </si>
  <si>
    <t>SriKrsnaSaradiyaRasayatr</t>
  </si>
  <si>
    <t>GovardhanaPuja</t>
  </si>
  <si>
    <t>Dipavali</t>
  </si>
  <si>
    <t>SriKrsnaRasayatra</t>
  </si>
  <si>
    <t>SnanaYatra</t>
  </si>
  <si>
    <t>RathaYatra</t>
  </si>
  <si>
    <t>VamanadevaApp</t>
  </si>
  <si>
    <t>SriKrsnaMadhuraUtsava</t>
  </si>
  <si>
    <t>SriBalaramaRasayatra</t>
  </si>
  <si>
    <t>Jiva Gosvami - Aparec.</t>
  </si>
  <si>
    <t>Gopala Bhatta G. - Apar.</t>
  </si>
  <si>
    <t>Bhaktivinoda Thakura - Ap.</t>
  </si>
  <si>
    <t>Raghunatha Dasa G. - Ap.</t>
  </si>
  <si>
    <t>Advaita Acarya - Aparec.</t>
  </si>
  <si>
    <t>Sanatana Gosvami - Des.</t>
  </si>
  <si>
    <t>Raghunatha Bhatta G. - Des.</t>
  </si>
  <si>
    <t>Srila Bhaktisiddhanta - Ap.</t>
  </si>
  <si>
    <t>Rupa Gosvami - Desap.</t>
  </si>
  <si>
    <t>Senhor Balarama - Aparec.</t>
  </si>
  <si>
    <t>Srivasa Pandita - Aparec.</t>
  </si>
  <si>
    <t>Srila Prabhupada - Desap.</t>
  </si>
  <si>
    <t>Srila Prabhupada - Aparec.</t>
  </si>
  <si>
    <t>Srila Gaura Kisora - Desap.</t>
  </si>
  <si>
    <t>Gadadhara Pandita - Ap.</t>
  </si>
  <si>
    <t>Sita Thakurani (Sri Advaita)</t>
  </si>
  <si>
    <t>Sita Devi (Sri Rama)</t>
  </si>
  <si>
    <t>Sri Advaita Acarya - App.</t>
  </si>
  <si>
    <t>Lord Balarama - App.</t>
  </si>
  <si>
    <t>Srila Bhaktisiddhanta - App.</t>
  </si>
  <si>
    <t>Bhaktivinoda Thakura - App.</t>
  </si>
  <si>
    <t>Gadadhara Pandita -App.</t>
  </si>
  <si>
    <t>Srila Gaura Kisora - Dis.</t>
  </si>
  <si>
    <t>Gopala Bhatta G. - App.</t>
  </si>
  <si>
    <t>ISKCON - Incorporation</t>
  </si>
  <si>
    <t>Jhulana Yatra begins</t>
  </si>
  <si>
    <t>Jiva Gosvami - App.</t>
  </si>
  <si>
    <t>Srila Prabhupada - App.</t>
  </si>
  <si>
    <t>Srila Prabhupada - Dis.</t>
  </si>
  <si>
    <t>Prabhupada - Sannyasa Accep.</t>
  </si>
  <si>
    <t>Prabhupada in the USA</t>
  </si>
  <si>
    <t>Prabhupada - for the USA</t>
  </si>
  <si>
    <t>Radha Kunda app.</t>
  </si>
  <si>
    <t>Raghunatha Bhatta G. - Dis.</t>
  </si>
  <si>
    <t>Rupa Gosvami - Dis.</t>
  </si>
  <si>
    <t>Sanatana Gosvami - Dis.</t>
  </si>
  <si>
    <t>Sita Devi (Sri Rama) - App.</t>
  </si>
  <si>
    <t>Sita Devi (Sri Rama) - Ap.</t>
  </si>
  <si>
    <t>Sita Thakurani (Sri Advaita) - Ap.</t>
  </si>
  <si>
    <t>Sri Srivasa Pandita - App.</t>
  </si>
  <si>
    <t>Prabhupada - ida para os EUA</t>
  </si>
  <si>
    <t>Sita Thakurani(Sri Advaita)-Ap.</t>
  </si>
  <si>
    <t>-----</t>
  </si>
  <si>
    <t>MoonRise</t>
  </si>
  <si>
    <t>MoonTrans</t>
  </si>
  <si>
    <t>MoonSet</t>
  </si>
  <si>
    <t>ô</t>
  </si>
  <si>
    <t>ŏ</t>
  </si>
  <si>
    <t>ō</t>
  </si>
  <si>
    <t>ù</t>
  </si>
  <si>
    <t>í</t>
  </si>
  <si>
    <t>Ö</t>
  </si>
  <si>
    <t>Ô</t>
  </si>
  <si>
    <t>Ō</t>
  </si>
  <si>
    <t>Ŏ</t>
  </si>
  <si>
    <t>º</t>
  </si>
  <si>
    <t>]</t>
  </si>
  <si>
    <t>±</t>
  </si>
  <si>
    <r>
      <rPr>
        <sz val="10"/>
        <rFont val="Wingdings"/>
        <charset val="2"/>
      </rPr>
      <t>h®¯</t>
    </r>
    <r>
      <rPr>
        <sz val="10"/>
        <rFont val="Wingdings 2"/>
        <family val="1"/>
        <charset val="2"/>
      </rPr>
      <t>õâ</t>
    </r>
  </si>
  <si>
    <t>Ộ</t>
  </si>
  <si>
    <t>…</t>
  </si>
  <si>
    <t>*©®¤°ºÔÕÖØåöøŌōŎŏŐő˚ΘΟΦθοОфоѸӨՓՕօỌọỐốỒồỔổỖỗỘộỚớỜờỞởỠỡỢợỌọỎỏ•…‰⁰₀℅∞·÷˙·•∙▪◦</t>
  </si>
  <si>
    <t>Ө</t>
  </si>
  <si>
    <t>.·.</t>
  </si>
  <si>
    <t>`Ỏ´</t>
  </si>
  <si>
    <t>˙ˇ΄·΅O</t>
  </si>
  <si>
    <t>∙´Ö`∙</t>
  </si>
  <si>
    <t>`Ộ´</t>
  </si>
  <si>
    <t>ĉčċό₵ĈČ</t>
  </si>
  <si>
    <t>Ĉ</t>
  </si>
  <si>
    <t>₵</t>
  </si>
  <si>
    <t>Č</t>
  </si>
  <si>
    <t>´∙Ö∙`</t>
  </si>
  <si>
    <t>:∙Ö∙:</t>
  </si>
  <si>
    <t>{(Ō)}</t>
  </si>
  <si>
    <t>·`(Ō)´·</t>
  </si>
  <si>
    <t>´ Ö `</t>
  </si>
  <si>
    <t>·´;Ō.`·</t>
  </si>
  <si>
    <t>´:Ō:`</t>
  </si>
  <si>
    <t>`Φ´</t>
  </si>
  <si>
    <t>ĉ</t>
  </si>
  <si>
    <t>č</t>
  </si>
  <si>
    <t>:Φ:</t>
  </si>
  <si>
    <t>:ф:</t>
  </si>
  <si>
    <t>;,</t>
  </si>
  <si>
    <t>;`Φ:´</t>
  </si>
  <si>
    <t>S2</t>
  </si>
  <si>
    <t>S3</t>
  </si>
  <si>
    <t>M2</t>
  </si>
  <si>
    <t>M3</t>
  </si>
  <si>
    <t>S4</t>
  </si>
  <si>
    <t>S5</t>
  </si>
  <si>
    <t>S6</t>
  </si>
  <si>
    <t>M4</t>
  </si>
  <si>
    <t>M5</t>
  </si>
  <si>
    <t>M6</t>
  </si>
  <si>
    <t>gcal-xml-translation</t>
  </si>
  <si>
    <t>str-en-us-translation.xml</t>
  </si>
  <si>
    <t>str-pt-br-translation.xml</t>
  </si>
  <si>
    <t>extern_file_section</t>
  </si>
  <si>
    <t>sys_cstrW</t>
  </si>
  <si>
    <t>sys_cstrReadyIn</t>
  </si>
  <si>
    <t>sys_cstrOk</t>
  </si>
  <si>
    <t>sys_cstrCancel</t>
  </si>
  <si>
    <t>OK</t>
  </si>
  <si>
    <t>Cancel</t>
  </si>
  <si>
    <t>Cancelar</t>
  </si>
  <si>
    <t>Alterar</t>
  </si>
  <si>
    <t>Hora Inicial</t>
  </si>
  <si>
    <t>(na agenda semanal)</t>
  </si>
  <si>
    <t>Start hour</t>
  </si>
  <si>
    <t>(on week planner)</t>
  </si>
  <si>
    <t>Change</t>
  </si>
  <si>
    <t>Language:</t>
  </si>
  <si>
    <t>Linguagem:</t>
  </si>
  <si>
    <t>Location:   (Type for search)</t>
  </si>
  <si>
    <t>Localidade:   (Digite para busca rápida)</t>
  </si>
  <si>
    <t>sys_cstrLang</t>
  </si>
  <si>
    <t>sys_cstrLocation</t>
  </si>
  <si>
    <t>sys_cstrYear</t>
  </si>
  <si>
    <t>Year:</t>
  </si>
  <si>
    <t>Calendar Settings</t>
  </si>
  <si>
    <t>Definições do Calendário</t>
  </si>
  <si>
    <t>sys_cstrCalSettings</t>
  </si>
  <si>
    <t>Checagem prévia</t>
  </si>
  <si>
    <t>Previous Checklist</t>
  </si>
  <si>
    <t>19.2</t>
  </si>
  <si>
    <t>sys_cstrCalc</t>
  </si>
  <si>
    <t>Calculando calendário...</t>
  </si>
  <si>
    <t>Cálculo del calendario...</t>
  </si>
  <si>
    <t>Calculating calendar...</t>
  </si>
  <si>
    <t>Calculating lunar calendar...</t>
  </si>
  <si>
    <t>Calculando calendário lunar...</t>
  </si>
  <si>
    <t>Calculando el calendario lunar ...</t>
  </si>
  <si>
    <t>sys_cstrCalcMoon</t>
  </si>
  <si>
    <t>Passo #a# de #t#</t>
  </si>
  <si>
    <t>Action #a# of #t#</t>
  </si>
  <si>
    <t>sys_cstrStep</t>
  </si>
  <si>
    <t>This Window will close in #s# seconds</t>
  </si>
  <si>
    <t>Esta ventana se cerrará en #s# segundos</t>
  </si>
  <si>
    <t>Esta janela será fechada em #s# segundos</t>
  </si>
  <si>
    <t>This Window will close in #s# second</t>
  </si>
  <si>
    <t>Esta ventana se cerrará en #s# segundo</t>
  </si>
  <si>
    <t>Esta janela será fechada em #s# segundo</t>
  </si>
  <si>
    <t>sys_cstrWClose2Secs</t>
  </si>
  <si>
    <t>sys_cstrWClose1Sec</t>
  </si>
  <si>
    <t>sys_cstrComplete</t>
  </si>
  <si>
    <t>Completo</t>
  </si>
  <si>
    <t>Generating the Vaishnava Planner...</t>
  </si>
  <si>
    <t>Gerando a Agenda Vaishnava...</t>
  </si>
  <si>
    <t>Generando el Planificador Vaishnava...</t>
  </si>
  <si>
    <t>sys_cstrGPlanCreate</t>
  </si>
  <si>
    <t>Odana sasthi</t>
  </si>
  <si>
    <t>Ganga Sagara Mela</t>
  </si>
  <si>
    <t>Vasanta Pancami</t>
  </si>
  <si>
    <t>Bhismastami</t>
  </si>
  <si>
    <t>Paksa vardhini Mahadvadasi</t>
  </si>
  <si>
    <t>Panihati Cida Dahi Utsava</t>
  </si>
  <si>
    <t>Nandotsava</t>
  </si>
  <si>
    <t>Lalita sasti</t>
  </si>
  <si>
    <t>Ananta Caturdasi Vrata</t>
  </si>
  <si>
    <t>Trisprsa Mahadvadasi</t>
  </si>
  <si>
    <t>Durga Puja</t>
  </si>
  <si>
    <t>Dipa dana, Dipavali, (Kali Puja)</t>
  </si>
  <si>
    <t>Go Puja. Go Krda. Govardhana Puja.</t>
  </si>
  <si>
    <t>Gopastami, Gosthastami</t>
  </si>
  <si>
    <t>Jagaddhatri Puja</t>
  </si>
  <si>
    <t>Siva Ratri</t>
  </si>
  <si>
    <t>Damanakaropana Dvadasi</t>
  </si>
  <si>
    <t>Krsna Phula Dola, Salila Vihara</t>
  </si>
  <si>
    <t>Ganga Puja</t>
  </si>
  <si>
    <t>Guru (Vyasa) Purnima</t>
  </si>
  <si>
    <t>Sri Visvarupa Mahotsava</t>
  </si>
  <si>
    <t>Bahulastami</t>
  </si>
  <si>
    <t>Bali Daityaraja Puja</t>
  </si>
  <si>
    <t>Rukmini Dvadasi</t>
  </si>
  <si>
    <t>Sri Krsna Vasanta Rasa</t>
  </si>
  <si>
    <t>Laksmi Puja</t>
  </si>
  <si>
    <t>Sarasvati Puja</t>
  </si>
  <si>
    <t>Click here to view location in Google Maps</t>
  </si>
  <si>
    <t>Clique aqui para ver a localidade no Google Maps</t>
  </si>
  <si>
    <t>Haga clic aquí para ver la ubicación en Google Maps</t>
  </si>
  <si>
    <t>sys_cstrGMView</t>
  </si>
  <si>
    <t>Herat|Afghanistan|AF|62.189999|34.340000|+4:30 Asia/Kabul</t>
  </si>
  <si>
    <t>Jalalabad|Afghanistan|AF|70.449997|34.419998|+4:30 Asia/Kabul</t>
  </si>
  <si>
    <t>Kabul|Afghanistan|AF|69.183334|34.516666|+4:30 Asia/Kabul</t>
  </si>
  <si>
    <t>Kandahar|Afghanistan|AF|65.699997|31.610001|+4:30 Asia/Kabul</t>
  </si>
  <si>
    <t>Kuhestan|Afghanistan|AF|61.197777|34.653889|+4:30 Asia/Kabul</t>
  </si>
  <si>
    <t>Mazar-e Sharif|Afghanistan|AF|67.112221|36.706944|+4:30 Asia/Kabul</t>
  </si>
  <si>
    <t>Tokzar|Afghanistan|AF|66.419998|35.948891|+4:30 Asia/Kabul</t>
  </si>
  <si>
    <t>Zendeh Jan|Afghanistan|AF|61.731667|34.345554|+4:30 Asia/Kabul</t>
  </si>
  <si>
    <t>Polican|Albania|AL|20.098055|40.612221|+1:00 Europe/Tirane</t>
  </si>
  <si>
    <t>Sarande|Albania|AL|20.005278|39.875557|+1:00 Europe/Tirane</t>
  </si>
  <si>
    <t>Tepelene|Albania|AL|20.019167|40.295834|+1:00 Europe/Tirane</t>
  </si>
  <si>
    <t>Tirana|Albania|AL|19.818890|41.327499|+1:00 Europe/Tirane</t>
  </si>
  <si>
    <t>Algiers|Algeria|DZ|3.050556|36.763054|+1:00 Africa/Algiers</t>
  </si>
  <si>
    <t>Annaba|Algeria|DZ|7.766667|36.900002|+1:00 Africa/Algiers</t>
  </si>
  <si>
    <t>Bab Ezzouar|Algeria|DZ|3.183333|36.716667|+1:00 Africa/Algiers</t>
  </si>
  <si>
    <t>Batna|Algeria|DZ|6.174145|35.555969|+1:00 Africa/Algiers</t>
  </si>
  <si>
    <t>Constantine|Algeria|DZ|6.614722|36.365002|+1:00 Africa/Algiers</t>
  </si>
  <si>
    <t>Oran|Algeria|DZ|-0.641667|35.691113|+1:00 Africa/Algiers</t>
  </si>
  <si>
    <t>Zemmora|Algeria|DZ|0.760000|35.722500|+1:00 Africa/Algiers</t>
  </si>
  <si>
    <t>Zeralda|Algeria|DZ|2.843333|36.714722|+1:00 Africa/Algiers</t>
  </si>
  <si>
    <t>Zeribet el Oued|Algeria|DZ|6.516667|34.683334|+1:00 Africa/Algiers</t>
  </si>
  <si>
    <t>Tafuna|American Samoa|AS|-170.720001|-14.335830|-11:00 Pacific/Pago_Pago</t>
  </si>
  <si>
    <t>la Massana|Andorra|AD|1.514826|42.544987|+1:00 Europe/Andorra</t>
  </si>
  <si>
    <t>les Escaldes|Andorra|AD|1.534138|42.507286|+1:00 Europe/Andorra</t>
  </si>
  <si>
    <t>Sant Julia de Loria|Andorra|AD|1.491287|42.463722|+1:00 Europe/Andorra</t>
  </si>
  <si>
    <t>Huambo|Angola|AO|15.739166|-12.776111|+1:00 Africa/Luanda</t>
  </si>
  <si>
    <t>Lobito|Angola|AO|13.545556|-12.348056|+1:00 Africa/Luanda</t>
  </si>
  <si>
    <t>Luanda|Angola|AO|13.234445|-8.838333|+1:00 Africa/Luanda</t>
  </si>
  <si>
    <t>Luau|Angola|AO|22.233334|-10.700000|+1:00 Africa/Luanda</t>
  </si>
  <si>
    <t>Lucapa|Angola|AO|20.750000|-8.416667|+1:00 Africa/Luanda</t>
  </si>
  <si>
    <t>Saurimo|Angola|AO|20.400000|-9.650000|+1:00 Africa/Luanda</t>
  </si>
  <si>
    <t>Saint John's|Antigua|AG|-61.849998|17.116667|-4:00 America/Antigua</t>
  </si>
  <si>
    <t>Bahia Blanca|Argentina|AR|-62.283333|-38.716667|-3:00 America/Argentina/Buenos_Aires</t>
  </si>
  <si>
    <t>Buenos Aires|Argentina|AR|-58.408813|-34.576126|-3:00 America/Argentina/Buenos_Aires</t>
  </si>
  <si>
    <t>Cordoba|Argentina|AR|-64.183334|-31.400000|-3:00 America/Argentina/Cordoba</t>
  </si>
  <si>
    <t>Corrientes|Argentina|AR|-58.833332|-27.466667|-3:00 America/Argentina/Tucuman</t>
  </si>
  <si>
    <t>Formosa|Argentina|AR|-58.183334|-26.183332|-3:00 America/Argentina/Tucuman</t>
  </si>
  <si>
    <t>La Plata|Argentina|AR|-57.948891|-34.931389|-3:00 America/Argentina/Buenos_Aires</t>
  </si>
  <si>
    <t>Mar del Plata|Argentina|AR|-57.549999|-38.000000|-3:00 America/Argentina/Buenos_Aires</t>
  </si>
  <si>
    <t>Mendoza|Argentina|AR|-68.816666|-32.883335|-3:00 America/Argentina/Mendoza</t>
  </si>
  <si>
    <t>Neuquen|Argentina|AR|-68.066666|-38.950001|-3:00 America/Argentina/Mendoza</t>
  </si>
  <si>
    <t>Parana|Argentina|AR|-60.533333|-31.733334|-3:00 America/Argentina/Cordoba</t>
  </si>
  <si>
    <t>Posadas|Argentina|AR|-55.883335|-27.383333|-3:00 America/Argentina/Buenos_Aires</t>
  </si>
  <si>
    <t>Quilmes|Argentina|AR|-58.269444|-34.720280|-3:00 America/Argentina/Buenos_Aires</t>
  </si>
  <si>
    <t>Resistencia|Argentina|AR|-58.983334|-27.450001|-3:00 America/Argentina/Tucuman</t>
  </si>
  <si>
    <t>Rosario|Argentina|AR|-60.666389|-32.951111|-3:00 America/Argentina/Buenos_Aires</t>
  </si>
  <si>
    <t>Salta|Argentina|AR|-65.416664|-24.783333|-3:00 America/Argentina/Jujuy</t>
  </si>
  <si>
    <t>San Juan|Argentina|AR|-68.536392|-31.537500|-3:00 America/Argentina/San_Juan</t>
  </si>
  <si>
    <t>San Lorenzo|Argentina|AR|-58.766666|-28.133333|-3:00 America/Argentina/Cordoba</t>
  </si>
  <si>
    <t>San Miguel de Tucuman|Argentina|AR|-65.216667|-26.816668|-3:00 America/Argentina/Tucuman</t>
  </si>
  <si>
    <t>San Salvador de Jujuy|Argentina|AR|-65.300003|-24.183332|-3:00 America/Argentina/Jujuy</t>
  </si>
  <si>
    <t>Santa Fe|Argentina|AR|-60.700001|-31.633333|-3:00 America/Argentina/Cordoba</t>
  </si>
  <si>
    <t>Santiago del Estero|Argentina|AR|-64.266670|-27.783333|-3:00 America/Argentina/Tucuman</t>
  </si>
  <si>
    <t>Tandil|Argentina|AR|-59.150002|-37.316666|-3:00 America/Argentina/Buenos_Aires</t>
  </si>
  <si>
    <t>Zarate|Argentina|AR|-59.035000|-34.092220|-3:00 America/Argentina/Buenos_Aires</t>
  </si>
  <si>
    <t>Kapan|Armenia|AM|46.415001|39.201111|+4:00 Asia/Yerevan</t>
  </si>
  <si>
    <t>Vayk'|Armenia|AM|45.465279|39.691666|+4:00 Asia/Yerevan</t>
  </si>
  <si>
    <t>Vedi|Armenia|AM|44.727779|39.910557|+4:00 Asia/Yerevan</t>
  </si>
  <si>
    <t>Yerevan|Armenia|AM|44.513611|40.181110|+4:00 Asia/Yerevan</t>
  </si>
  <si>
    <t>Oranjestad|Aruba|AW|-70.033333|12.516666|-4:00 America/Aruba</t>
  </si>
  <si>
    <t>Adelaide|Australia|AU|138.600006|-34.933334|+9:30 Australia/Adelaide</t>
  </si>
  <si>
    <t>Brisbane|Australia|AU|153.016663|-27.500000|+10:00 Australia/Brisbane</t>
  </si>
  <si>
    <t>Canberra|Australia|AU|149.128067|-35.283463|+10:00 Australia/Sydney</t>
  </si>
  <si>
    <t>Melbourne|Australia|AU|144.963318|-37.813995|+10:00 Australia/Melbourne</t>
  </si>
  <si>
    <t>Murwilumbah|Australia|AU|153.394592|-28.329203|+10:00 Australia/Sydney</t>
  </si>
  <si>
    <t>Newcastle|Australia|AU|151.750000|-32.916668|+10:00 Australia/Sydney</t>
  </si>
  <si>
    <t>Perth|Australia|AU|115.833336|-31.933332|+8:00 Australia/Perth</t>
  </si>
  <si>
    <t>Roebourne|Australia|AU|117.133331|-20.783333|+8:00 Australia/Perth</t>
  </si>
  <si>
    <t>Sydney|Australia|AU|151.207321|-33.867851|+10:00 Australia/Sydney</t>
  </si>
  <si>
    <t>Victor Harbour|Australia|AU|138.616669|-35.566666|+9:30 Australia/Adelaide</t>
  </si>
  <si>
    <t>Whyalla|Australia|AU|137.583328|-33.033333|+9:30 Australia/Adelaide</t>
  </si>
  <si>
    <t>Wollongong|Australia|AU|150.883331|-34.433334|+10:00 Australia/Sydney</t>
  </si>
  <si>
    <t>Graz|Austria|AT|15.450000|47.066666|+1:00 Europe/Vienna</t>
  </si>
  <si>
    <t>Neu-Guntramsdorf|Austria|AT|16.316668|48.066666|+1:00 Europe/Vienna</t>
  </si>
  <si>
    <t>Wien|Austria|AT|16.372076|48.208488|+1:00 Europe/Vienna</t>
  </si>
  <si>
    <t>Zistersdorf|Austria|AT|16.750000|48.533333|+1:00 Europe/Vienna</t>
  </si>
  <si>
    <t>Zwettl Stift|Austria|AT|15.200000|48.616665|+1:00 Europe/Vienna</t>
  </si>
  <si>
    <t>Baku|Azerbaijan|AZ|49.882221|40.395279|+4:00 Asia/Baku</t>
  </si>
  <si>
    <t>Ganca|Azerbaijan|AZ|46.360554|40.682777|+4:00 Asia/Baku</t>
  </si>
  <si>
    <t>Goytapa|Azerbaijan|AZ|48.595280|39.116665|+4:00 Asia/Baku</t>
  </si>
  <si>
    <t>Icari|Azerbaijan|AZ|46.654999|39.082222|+4:00 Asia/Baku</t>
  </si>
  <si>
    <t>Sumqayit|Azerbaijan|AZ|49.668610|40.589722|+4:00 Asia/Baku</t>
  </si>
  <si>
    <t>Xocavand|Azerbaijan|AZ|47.113056|39.795277|+4:00 Asia/Baku</t>
  </si>
  <si>
    <t>Marsh Harbour|Bahamas|BS|-77.050003|26.549999|-5:00 America/Nassau</t>
  </si>
  <si>
    <t>Nassau|Bahamas|BS|-77.349998|25.083334|-5:00 America/Nassau</t>
  </si>
  <si>
    <t>West End|Bahamas|BS|-78.966667|26.683332|-5:00 America/Nassau</t>
  </si>
  <si>
    <t>Jidd Hafs|Bahrain|BH|50.547779|26.218611|+3:00 Asia/Bahrain</t>
  </si>
  <si>
    <t>Madinat `Isa|Bahrain|BH|50.547779|26.173611|+3:00 Asia/Bahrain</t>
  </si>
  <si>
    <t>Manama|Bahrain|BH|50.583000|26.218611|+3:00 Asia/Bahrain</t>
  </si>
  <si>
    <t>Sitrah|Bahrain|BH|50.620556|26.154722|+3:00 Asia/Bahrain</t>
  </si>
  <si>
    <t>Barisal|Bangladesh|BD|90.371109|22.701944|+6:00 Asia/Dhaka</t>
  </si>
  <si>
    <t>Chittagong|Bangladesh|BD|91.836388|22.333055|+6:00 Asia/Dhaka</t>
  </si>
  <si>
    <t>Comilla|Bangladesh|BD|91.204445|23.457777|+6:00 Asia/Dhaka</t>
  </si>
  <si>
    <t>Cox's Bazar|Bangladesh|BD|91.978058|21.442223|+6:00 Asia/Dhaka</t>
  </si>
  <si>
    <t>Dhaka|Bangladesh|BD|90.408607|23.723055|+6:00 Asia/Dhaka</t>
  </si>
  <si>
    <t>Dinajpur|Bangladesh|BD|88.633331|25.633333|+6:00 Asia/Dhaka</t>
  </si>
  <si>
    <t>Jessore|Bangladesh|BD|89.216667|23.166666|+6:00 Asia/Dhaka</t>
  </si>
  <si>
    <t>Khulna|Bangladesh|BD|89.550003|22.799999|+6:00 Asia/Dhaka</t>
  </si>
  <si>
    <t>Mymensingh|Bangladesh|BD|90.400002|24.750000|+6:00 Asia/Dhaka</t>
  </si>
  <si>
    <t>Narayanganj|Bangladesh|BD|90.501114|23.623333|+6:00 Asia/Dhaka</t>
  </si>
  <si>
    <t>Narsingdi|Bangladesh|BD|90.718056|23.920834|+6:00 Asia/Dhaka</t>
  </si>
  <si>
    <t>Rajshahi|Bangladesh|BD|88.599998|24.366667|+6:00 Asia/Dhaka</t>
  </si>
  <si>
    <t>Rangpur|Bangladesh|BD|89.250000|25.750000|+6:00 Asia/Dhaka</t>
  </si>
  <si>
    <t>Sylhet|Bangladesh|BD|91.871666|24.896667|+6:00 Asia/Dhaka</t>
  </si>
  <si>
    <t>Teknaf|Bangladesh|BD|92.300003|20.866667|+6:00 Asia/Dhaka</t>
  </si>
  <si>
    <t>Thakurgaon|Bangladesh|BD|88.466667|26.033333|+6:00 Asia/Dhaka</t>
  </si>
  <si>
    <t>Tungi|Bangladesh|BD|90.405830|23.889999|+6:00 Asia/Dhaka</t>
  </si>
  <si>
    <t>Bridgetown|Barbados|BB|-59.616665|13.100000|-4:00 America/Barbados</t>
  </si>
  <si>
    <t>Babruysk|Belarus|BY|29.233334|53.150002|+2:00 Europe/Minsk</t>
  </si>
  <si>
    <t>Brest|Belarus|BY|23.700001|52.099998|+2:00 Europe/Minsk</t>
  </si>
  <si>
    <t>Homyel'|Belarus|BY|30.983334|52.441666|+2:00 Europe/Minsk</t>
  </si>
  <si>
    <t>Hrodna|Belarus|BY|23.814722|53.681389|+2:00 Europe/Minsk</t>
  </si>
  <si>
    <t>Minsk|Belarus|BY|27.566668|53.900002|+2:00 Europe/Minsk</t>
  </si>
  <si>
    <t>Zhabinka|Belarus|BY|24.023333|52.200554|+2:00 Europe/Minsk</t>
  </si>
  <si>
    <t>Zhodzina|Belarus|BY|28.332500|54.098331|+2:00 Europe/Minsk</t>
  </si>
  <si>
    <t>Zhytkavichy|Belarus|BY|27.863611|52.228611|+2:00 Europe/Minsk</t>
  </si>
  <si>
    <t>Antwerp|Belgium|BE|4.416667|51.216667|+1:00 Europe/Brussels</t>
  </si>
  <si>
    <t>Brussels|Belgium|BE|4.352775|50.846596|+1:00 Europe/Brussels</t>
  </si>
  <si>
    <t>Charleroi|Belgium|BE|4.433333|50.416668|+1:00 Europe/Brussels</t>
  </si>
  <si>
    <t>Gent|Belgium|BE|3.716667|51.049999|+1:00 Europe/Brussels</t>
  </si>
  <si>
    <t>Zutendaal|Belgium|BE|5.566667|50.933334|+1:00 Europe/Brussels</t>
  </si>
  <si>
    <t>Zwevegem|Belgium|BE|3.333333|50.799999|+1:00 Europe/Brussels</t>
  </si>
  <si>
    <t>Zwijndrecht|Belgium|BE|4.333333|51.216667|+1:00 Europe/Brussels</t>
  </si>
  <si>
    <t>Punta Gorda|Belize|BZ|-88.800003|16.100000|-6:00 America/Belize</t>
  </si>
  <si>
    <t>San Ignacio|Belize|BZ|-89.071388|17.156111|-6:00 America/Belize</t>
  </si>
  <si>
    <t>San Pedro|Belize|BZ|-87.949997|17.916666|-6:00 America/Belize</t>
  </si>
  <si>
    <t>Abomey-Calavi|Benin|BJ|2.350000|6.450000|+1:00 Africa/Porto-Novo</t>
  </si>
  <si>
    <t>Cotonou|Benin|BJ|2.433333|6.350000|+1:00 Africa/Porto-Novo</t>
  </si>
  <si>
    <t>Djougou|Benin|BJ|1.666944|9.705000|+1:00 Africa/Porto-Novo</t>
  </si>
  <si>
    <t>Porto-Novo|Benin|BJ|2.616667|6.483333|+1:00 Africa/Porto-Novo</t>
  </si>
  <si>
    <t>Save|Benin|BJ|2.483333|8.033333|+1:00 Africa/Porto-Novo</t>
  </si>
  <si>
    <t>Tanguieta|Benin|BJ|1.264444|10.619722|+1:00 Africa/Porto-Novo</t>
  </si>
  <si>
    <t>Tchaourou|Benin|BJ|2.600000|8.883333|+1:00 Africa/Porto-Novo</t>
  </si>
  <si>
    <t>Phuntsholing|Bhutan|BT|89.383331|26.850000|+6:00 Asia/Thimphu</t>
  </si>
  <si>
    <t>Cochabamba|Bolivia|BO|-66.150002|-17.383333|-4:00 America/La_Paz</t>
  </si>
  <si>
    <t>La Paz|Bolivia|BO|-68.150002|-16.500000|-4:00 America/La_Paz</t>
  </si>
  <si>
    <t>Oruro|Bolivia|BO|-67.150002|-17.983334|-4:00 America/La_Paz</t>
  </si>
  <si>
    <t>Puerto Quijarro|Bolivia|BO|-57.766666|-17.783333|-4:00 America/La_Paz</t>
  </si>
  <si>
    <t>Robore|Bolivia|BO|-59.750000|-18.333334|-4:00 America/La_Paz</t>
  </si>
  <si>
    <t>San Matias|Bolivia|BO|-58.400002|-16.366667|-4:00 America/La_Paz</t>
  </si>
  <si>
    <t>Santa Cruz de la Sierra|Bolivia|BO|-63.166668|-17.799999|-4:00 America/La_Paz</t>
  </si>
  <si>
    <t>Sucre|Bolivia|BO|-65.259163|-19.043056|-4:00 America/La_Paz</t>
  </si>
  <si>
    <t>Banja Luka|Bosnia and Herzegovina|BA|17.185556|44.775833|+1:00 Europe/Sarajevo</t>
  </si>
  <si>
    <t>Sarajevo|Bosnia and Herzegovina|BA|18.383333|43.849998|+1:00 Europe/Sarajevo</t>
  </si>
  <si>
    <t>Zepce|Bosnia and Herzegovina|BA|18.037777|44.426666|+1:00 Europe/Sarajevo</t>
  </si>
  <si>
    <t>Zivinice|Bosnia and Herzegovina|BA|18.649723|44.449444|+1:00 Europe/Sarajevo</t>
  </si>
  <si>
    <t>Zvornik|Bosnia and Herzegovina|BA|19.101389|44.386944|+1:00 Europe/Sarajevo</t>
  </si>
  <si>
    <t>Gaborone|Botswana|BW|25.911945|-24.646389|+2:00 Africa/Gaborone</t>
  </si>
  <si>
    <t>Shakawe|Botswana|BW|21.850000|-18.366667|+2:00 Africa/Gaborone</t>
  </si>
  <si>
    <t>Thamaga|Botswana|BW|25.533333|-24.716667|+2:00 Africa/Gaborone</t>
  </si>
  <si>
    <t>Tonota|Botswana|BW|27.483334|-21.483334|+2:00 Africa/Gaborone</t>
  </si>
  <si>
    <t>Ananindeua|Brazil|BR|-48.372223|-1.365556|-3:00 America/Belem</t>
  </si>
  <si>
    <t>Anapolis|Brazil|BR|-48.952778|-16.326666|-3:00 America/Sao_Paulo</t>
  </si>
  <si>
    <t>Aracaju|Brazil|BR|-37.071667|-10.911111|-3:00 America/Maceio</t>
  </si>
  <si>
    <t>Barueri|Brazil|BR|-46.876110|-23.510555|-3:00 America/Sao_Paulo</t>
  </si>
  <si>
    <t>Bauru|Brazil|BR|-49.060555|-22.314722|-3:00 America/Sao_Paulo</t>
  </si>
  <si>
    <t>Belem|Brazil|BR|-48.504444|-1.455833|-3:00 America/Belem</t>
  </si>
  <si>
    <t>Belford Roxo|Brazil|BR|-43.399445|-22.764166|-3:00 America/Sao_Paulo</t>
  </si>
  <si>
    <t>Belo Horizonte|Brazil|BR|-43.937778|-19.920834|-3:00 America/Sao_Paulo</t>
  </si>
  <si>
    <t>Betim|Brazil|BR|-44.198334|-19.967777|-3:00 America/Sao_Paulo</t>
  </si>
  <si>
    <t>Blumenau|Brazil|BR|-49.066113|-26.919445|-3:00 America/Sao_Paulo</t>
  </si>
  <si>
    <t>Boa Vista|Brazil|BR|-60.673332|2.819722|-4:00 America/Boa_Vista</t>
  </si>
  <si>
    <t>Brasilia|Brazil|BR|-47.929722|-15.779720|-3:00 America/Sao_Paulo</t>
  </si>
  <si>
    <t>Campina Grande|Brazil|BR|-35.881111|-7.230556|-3:00 America/Recife</t>
  </si>
  <si>
    <t>Campinas|Brazil|BR|-47.060833|-22.905556|-3:00 America/Sao_Paulo</t>
  </si>
  <si>
    <t>Campo Grande|Brazil|BR|-54.646389|-20.442778|-3:00 America/Campo_Grande</t>
  </si>
  <si>
    <t>Campos|Brazil|BR|-41.299999|-21.750000|-3:00 America/Sao_Paulo</t>
  </si>
  <si>
    <t>Canoas|Brazil|BR|-51.183613|-29.917778|-3:00 America/Sao_Paulo</t>
  </si>
  <si>
    <t>Carapicuiba|Brazil|BR|-46.835556|-23.522499|-3:00 America/Sao_Paulo</t>
  </si>
  <si>
    <t>Caruaru|Brazil|BR|-35.976112|-8.283334|-3:00 America/Recife</t>
  </si>
  <si>
    <t>Cascavel|Brazil|BR|-53.455276|-24.955833|-3:00 America/Sao_Paulo</t>
  </si>
  <si>
    <t>Caucaia|Brazil|BR|-38.653057|-3.736111|-3:00 America/Fortaleza</t>
  </si>
  <si>
    <t>Caxias do Sul|Brazil|BR|-51.179443|-29.168056|-3:00 America/Sao_Paulo</t>
  </si>
  <si>
    <t>Colombo|Brazil|BR|-49.224167|-25.291666|-3:00 America/Sao_Paulo</t>
  </si>
  <si>
    <t>Contagem|Brazil|BR|-44.053612|-19.931667|-3:00 America/Sao_Paulo</t>
  </si>
  <si>
    <t>Cuiaba|Brazil|BR|-56.096668|-15.596111|-3:00 America/Cuiaba</t>
  </si>
  <si>
    <t>Curitiba|Brazil|BR|-49.273056|-25.427778|-3:00 America/Sao_Paulo</t>
  </si>
  <si>
    <t>Diadema|Brazil|BR|-46.622776|-23.686111|-3:00 America/Sao_Paulo</t>
  </si>
  <si>
    <t>Duque de Caxias|Brazil|BR|-43.311668|-22.785555|-3:00 America/Sao_Paulo</t>
  </si>
  <si>
    <t>Embu|Brazil|BR|-46.852222|-23.648890|-3:00 America/Sao_Paulo</t>
  </si>
  <si>
    <t>Feira de Santana|Brazil|BR|-38.966667|-12.266666|-3:00 America/Bahia</t>
  </si>
  <si>
    <t>Florianopolis|Brazil|BR|-48.549168|-27.596666|-3:00 America/Sao_Paulo</t>
  </si>
  <si>
    <t>Fortaleza|Brazil|BR|-38.543056|-3.717222|-3:00 America/Fortaleza</t>
  </si>
  <si>
    <t>Foz do Iguacu|Brazil|BR|-54.588055|-25.547777|-3:00 America/Sao_Paulo</t>
  </si>
  <si>
    <t>Franca|Brazil|BR|-47.400833|-20.538610|-3:00 America/Sao_Paulo</t>
  </si>
  <si>
    <t>Goiania|Brazil|BR|-49.253887|-16.678612|-3:00 America/Sao_Paulo</t>
  </si>
  <si>
    <t>Governador Valadares|Brazil|BR|-41.949444|-18.851110|-3:00 America/Sao_Paulo</t>
  </si>
  <si>
    <t>Gravatai|Brazil|BR|-50.991943|-29.944445|-3:00 America/Sao_Paulo</t>
  </si>
  <si>
    <t>Guaruja|Brazil|BR|-46.256390|-23.993055|-3:00 America/Sao_Paulo</t>
  </si>
  <si>
    <t>Guarulhos|Brazil|BR|-46.533333|-23.462778|-3:00 America/Sao_Paulo</t>
  </si>
  <si>
    <t>Hortolandia|Brazil|BR|-47.220001|-22.858334|-3:00 America/Sao_Paulo</t>
  </si>
  <si>
    <t>Imperatriz|Brazil|BR|-47.491665|-5.526389|-3:00 America/Araguaina</t>
  </si>
  <si>
    <t>Ipatinga|Brazil|BR|-42.536667|-19.468334|-3:00 America/Sao_Paulo</t>
  </si>
  <si>
    <t>Itabuna|Brazil|BR|-39.280277|-14.785556|-3:00 America/Bahia</t>
  </si>
  <si>
    <t>Itapevi|Brazil|BR|-46.934166|-23.548889|-3:00 America/Sao_Paulo</t>
  </si>
  <si>
    <t>Itaquaquecetuba|Brazil|BR|-46.348331|-23.486111|-3:00 America/Sao_Paulo</t>
  </si>
  <si>
    <t>Jaboatao|Brazil|BR|-35.001389|-8.180278|-3:00 America/Recife</t>
  </si>
  <si>
    <t>Jaboatao dos Guararapes|Brazil|BR|-35.014721|-8.112778|-3:00 America/Recife</t>
  </si>
  <si>
    <t>Jacarei|Brazil|BR|-45.965832|-23.305277|-3:00 America/Sao_Paulo</t>
  </si>
  <si>
    <t>Joao Pessoa|Brazil|BR|-34.863056|-7.115000|-3:00 America/Recife</t>
  </si>
  <si>
    <t>Joinville|Brazil|BR|-48.845554|-26.304445|-3:00 America/Sao_Paulo</t>
  </si>
  <si>
    <t>Juazeiro do Norte|Brazil|BR|-39.315277|-7.213056|-3:00 America/Fortaleza</t>
  </si>
  <si>
    <t>Juiz de Fora|Brazil|BR|-43.350277|-21.764166|-3:00 America/Sao_Paulo</t>
  </si>
  <si>
    <t>Jundiai|Brazil|BR|-46.884167|-23.186388|-3:00 America/Sao_Paulo</t>
  </si>
  <si>
    <t>Limeira|Brazil|BR|-47.401669|-22.564722|-3:00 America/Sao_Paulo</t>
  </si>
  <si>
    <t>Londrina|Brazil|BR|-51.162777|-23.310278|-3:00 America/Sao_Paulo</t>
  </si>
  <si>
    <t>Macapa|Brazil|BR|-51.066387|0.038889|-3:00 America/Belem</t>
  </si>
  <si>
    <t>Maceio|Brazil|BR|-35.735279|-9.665833|-3:00 America/Maceio</t>
  </si>
  <si>
    <t>Manaus|Brazil|BR|-60.025002|-3.101944|-4:00 America/Manaus</t>
  </si>
  <si>
    <t>Marilia|Brazil|BR|-49.945835|-22.213888|-3:00 America/Sao_Paulo</t>
  </si>
  <si>
    <t>Maringa|Brazil|BR|-51.938610|-23.425278|-3:00 America/Sao_Paulo</t>
  </si>
  <si>
    <t>Maua|Brazil|BR|-46.461388|-23.667778|-3:00 America/Sao_Paulo</t>
  </si>
  <si>
    <t>Moji das Cruzes|Brazil|BR|-46.188332|-23.522778|-3:00 America/Sao_Paulo</t>
  </si>
  <si>
    <t>Montes Claros|Brazil|BR|-43.861668|-16.735001|-3:00 America/Bahia</t>
  </si>
  <si>
    <t>Mossoro|Brazil|BR|-37.344166|-5.187500|-3:00 America/Fortaleza</t>
  </si>
  <si>
    <t>Natal|Brazil|BR|-35.209446|-5.795000|-3:00 America/Recife</t>
  </si>
  <si>
    <t>Niteroi|Brazil|BR|-43.103611|-22.883333|-3:00 America/Sao_Paulo</t>
  </si>
  <si>
    <t>Nova Iguacu|Brazil|BR|-43.451111|-22.759167|-3:00 America/Sao_Paulo</t>
  </si>
  <si>
    <t>Novo Hamburgo|Brazil|BR|-51.130554|-29.678333|-3:00 America/Sao_Paulo</t>
  </si>
  <si>
    <t>Olinda|Brazil|BR|-34.855278|-8.008889|-3:00 America/Recife</t>
  </si>
  <si>
    <t>Osasco|Brazil|BR|-46.791668|-23.532499|-3:00 America/Sao_Paulo</t>
  </si>
  <si>
    <t>Paulista|Brazil|BR|-34.873055|-7.940834|-3:00 America/Recife</t>
  </si>
  <si>
    <t>Pelotas|Brazil|BR|-52.342499|-31.771944|-3:00 America/Sao_Paulo</t>
  </si>
  <si>
    <t>Petropolis|Brazil|BR|-43.178612|-22.504999|-3:00 America/Sao_Paulo</t>
  </si>
  <si>
    <t>Piracicaba|Brazil|BR|-47.649166|-22.725277|-3:00 America/Sao_Paulo</t>
  </si>
  <si>
    <t>Ponta Grossa|Brazil|BR|-50.161945|-25.094999|-3:00 America/Sao_Paulo</t>
  </si>
  <si>
    <t>Porto Alegre|Brazil|BR|-51.230000|-30.033056|-3:00 America/Sao_Paulo</t>
  </si>
  <si>
    <t>Porto Velho|Brazil|BR|-63.903889|-8.761945|-4:00 America/Porto_Velho</t>
  </si>
  <si>
    <t>Praia Grande|Brazil|BR|-46.402779|-24.005833|-3:00 America/Sao_Paulo</t>
  </si>
  <si>
    <t>Presidente Prudente|Brazil|BR|-51.388889|-22.125555|-3:00 America/Sao_Paulo</t>
  </si>
  <si>
    <t>Recife|Brazil|BR|-34.881111|-8.053889|-3:00 America/Recife</t>
  </si>
  <si>
    <t>Ribeirao das Neves|Brazil|BR|-44.086666|-19.766945|-3:00 America/Sao_Paulo</t>
  </si>
  <si>
    <t>Ribeirao Preto|Brazil|BR|-47.810276|-21.177500|-3:00 America/Sao_Paulo</t>
  </si>
  <si>
    <t>Rio Branco|Brazil|BR|-67.809998|-9.974722|-5:00 America/Rio_Branco</t>
  </si>
  <si>
    <t>Rio de Janeiro|Brazil|BR|-43.207500|-22.902779|-3:00 America/Sao_Paulo</t>
  </si>
  <si>
    <t>Salvador|Brazil|BR|-38.510834|-12.971111|-3:00 America/Bahia</t>
  </si>
  <si>
    <t>Santa Luzia|Brazil|BR|-43.851387|-19.769722|-3:00 America/Sao_Paulo</t>
  </si>
  <si>
    <t>Santa Maria|Brazil|BR|-53.806946|-29.684166|-3:00 America/Sao_Paulo</t>
  </si>
  <si>
    <t>Santo Andre|Brazil|BR|-46.538334|-23.663889|-3:00 America/Sao_Paulo</t>
  </si>
  <si>
    <t>Santos|Brazil|BR|-46.333611|-23.960833|-3:00 America/Sao_Paulo</t>
  </si>
  <si>
    <t>Sao Bernardo do Campo|Brazil|BR|-46.564999|-23.693890|-3:00 America/Sao_Paulo</t>
  </si>
  <si>
    <t>Sao Carlos|Brazil|BR|-47.890835|-22.017500|-3:00 America/Sao_Paulo</t>
  </si>
  <si>
    <t>Sao Joao de Meriti|Brazil|BR|-43.372223|-22.803888|-3:00 America/Sao_Paulo</t>
  </si>
  <si>
    <t>Sao Jose do Rio Preto|Brazil|BR|-49.379444|-20.819723|-3:00 America/Sao_Paulo</t>
  </si>
  <si>
    <t>Sao Jose dos Campos|Brazil|BR|-45.886944|-23.179445|-3:00 America/Sao_Paulo</t>
  </si>
  <si>
    <t>Sao Leopoldo|Brazil|BR|-51.147221|-29.760279|-3:00 America/Sao_Paulo</t>
  </si>
  <si>
    <t>Sao Luis|Brazil|BR|-44.302776|-2.529722|-3:00 America/Belem</t>
  </si>
  <si>
    <t>Sao Paulo|Brazil|BR|-46.636112|-23.547501|-3:00 America/Sao_Paulo</t>
  </si>
  <si>
    <t>Sao Vicente|Brazil|BR|-46.391945|-23.963055|-3:00 America/Sao_Paulo</t>
  </si>
  <si>
    <t>Serra|Brazil|BR|-40.307777|-20.128611|-3:00 America/Sao_Paulo</t>
  </si>
  <si>
    <t>Sete Lagoas|Brazil|BR|-44.246666|-19.465834|-3:00 America/Sao_Paulo</t>
  </si>
  <si>
    <t>Sorocaba|Brazil|BR|-47.458057|-23.501667|-3:00 America/Sao_Paulo</t>
  </si>
  <si>
    <t>Sumare|Brazil|BR|-47.266945|-22.821945|-3:00 America/Sao_Paulo</t>
  </si>
  <si>
    <t>Suzano|Brazil|BR|-46.310833|-23.542500|-3:00 America/Sao_Paulo</t>
  </si>
  <si>
    <t>Taboao da Serra|Brazil|BR|-46.791668|-23.626112|-3:00 America/Sao_Paulo</t>
  </si>
  <si>
    <t>Taubate|Brazil|BR|-45.555279|-23.026388|-3:00 America/Sao_Paulo</t>
  </si>
  <si>
    <t>Teresina|Brazil|BR|-42.801945|-5.089167|-3:00 America/Fortaleza</t>
  </si>
  <si>
    <t>Uberaba|Brazil|BR|-47.931946|-19.748333|-3:00 America/Sao_Paulo</t>
  </si>
  <si>
    <t>Uberlandia|Brazil|BR|-48.277222|-18.918612|-3:00 America/Sao_Paulo</t>
  </si>
  <si>
    <t>Varzea Grande|Brazil|BR|-56.132500|-15.646667|-3:00 America/Cuiaba</t>
  </si>
  <si>
    <t>Viamao|Brazil|BR|-51.023335|-30.081112|-3:00 America/Sao_Paulo</t>
  </si>
  <si>
    <t>Vila Velha|Brazil|BR|-40.292500|-20.329721|-3:00 America/Sao_Paulo</t>
  </si>
  <si>
    <t>Vitoria|Brazil|BR|-40.337776|-20.319445|-3:00 America/Sao_Paulo</t>
  </si>
  <si>
    <t>Vitoria da Conquista|Brazil|BR|-40.839443|-14.866111|-3:00 America/Bahia</t>
  </si>
  <si>
    <t>Vitoria de Santo Antao|Brazil|BR|-35.291389|-8.118055|-3:00 America/Recife</t>
  </si>
  <si>
    <t>Vitoria do Mearim|Brazil|BR|-44.870556|-3.462222|-3:00 America/Belem</t>
  </si>
  <si>
    <t>Vitorino Freire|Brazil|BR|-45.166668|-4.066667|-3:00 America/Belem</t>
  </si>
  <si>
    <t>Volta Redonda|Brazil|BR|-44.104168|-22.523056|-3:00 America/Sao_Paulo</t>
  </si>
  <si>
    <t>Kuala Belait|Brunei|BN|114.183334|4.583333|+8:00 Asia/Brunei</t>
  </si>
  <si>
    <t>Seria|Brunei|BN|114.316666|4.616667|+8:00 Asia/Brunei</t>
  </si>
  <si>
    <t>Tutong|Brunei|BN|114.650002|4.800000|+8:00 Asia/Brunei</t>
  </si>
  <si>
    <t>Beloslav|Bulgaria|BG|27.700001|43.183334|+2:00 Europe/Sofia</t>
  </si>
  <si>
    <t>Plovdiv|Bulgaria|BG|24.750000|42.150002|+2:00 Europe/Sofia</t>
  </si>
  <si>
    <t>Sofia|Bulgaria|BG|23.324146|42.697514|+2:00 Europe/Sofia</t>
  </si>
  <si>
    <t>Varna|Bulgaria|BG|27.916666|43.216667|+2:00 Europe/Sofia</t>
  </si>
  <si>
    <t>Zlatitsa|Bulgaria|BG|24.133333|42.716667|+2:00 Europe/Sofia</t>
  </si>
  <si>
    <t>Zlatograd|Bulgaria|BG|25.100000|41.383335|+2:00 Europe/Sofia</t>
  </si>
  <si>
    <t>Bobo Dioulasso|Burkina Faso|BF|-4.300000|11.200000|+0:00 Africa/Ouagadougou</t>
  </si>
  <si>
    <t>Ouagadougou|Burkina Faso|BF|-1.524722|12.370277|+0:00 Africa/Ouagadougou</t>
  </si>
  <si>
    <t>Yako|Burkina Faso|BF|-2.266667|12.966667|+0:00 Africa/Ouagadougou</t>
  </si>
  <si>
    <t>Ziniare|Burkina Faso|BF|-1.298333|12.582222|+0:00 Africa/Ouagadougou</t>
  </si>
  <si>
    <t>Zorgho|Burkina Faso|BF|-0.615833|12.248889|+0:00 Africa/Ouagadougou</t>
  </si>
  <si>
    <t>Bago|Burma|MM|96.479721|17.336666|+6:30 Asia/Rangoon</t>
  </si>
  <si>
    <t>Mandalay|Burma|MM|96.083336|22.000000|+6:30 Asia/Rangoon</t>
  </si>
  <si>
    <t>Mawlamyine|Burma|MM|97.625557|16.491388|+6:30 Asia/Rangoon</t>
  </si>
  <si>
    <t>Nyaungdon|Burma|MM|95.650002|17.033333|+6:30 Asia/Rangoon</t>
  </si>
  <si>
    <t>Pathein|Burma|MM|94.733330|16.783333|+6:30 Asia/Rangoon</t>
  </si>
  <si>
    <t>Rangoon|Burma|MM|96.156113|16.805277|+6:30 Asia/Rangoon</t>
  </si>
  <si>
    <t>Yamethin|Burma|MM|96.150002|20.433332|+6:30 Asia/Rangoon</t>
  </si>
  <si>
    <t>Yenangyaung|Burma|MM|94.883331|20.466667|+6:30 Asia/Rangoon</t>
  </si>
  <si>
    <t>Bujumbura|Burundi|BI|29.360001|-3.376111|+2:00 Africa/Bujumbura</t>
  </si>
  <si>
    <t>Bururi|Burundi|BI|29.624376|-3.948773|+2:00 Africa/Bujumbura</t>
  </si>
  <si>
    <t>Makamba|Burundi|BI|29.805000|-4.134722|+2:00 Africa/Bujumbura</t>
  </si>
  <si>
    <t>Rumonge|Burundi|BI|29.438889|-3.972222|+2:00 Africa/Bujumbura</t>
  </si>
  <si>
    <t>Phnom Penh|Cambodia|KH|104.916664|11.550000|+7:00 Asia/Phnom_Penh</t>
  </si>
  <si>
    <t>Sisophon|Cambodia|KH|102.983330|13.583333|+7:00 Asia/Phnom_Penh</t>
  </si>
  <si>
    <t>Ta Khmau|Cambodia|KH|104.949997|11.483334|+7:00 Asia/Phnom_Penh</t>
  </si>
  <si>
    <t>Bafoussam|Cameroon|CM|10.416667|5.466667|+1:00 Africa/Douala</t>
  </si>
  <si>
    <t>Bamenda|Cameroon|CM|10.166667|5.933333|+1:00 Africa/Douala</t>
  </si>
  <si>
    <t>Bertoua|Cameroon|CM|13.683333|4.583333|+1:00 Africa/Douala</t>
  </si>
  <si>
    <t>Douala|Cameroon|CM|9.700000|4.050278|+1:00 Africa/Douala</t>
  </si>
  <si>
    <t>Edea|Cameroon|CM|10.133333|3.800000|+1:00 Africa/Douala</t>
  </si>
  <si>
    <t>Garoua|Cameroon|CM|13.400000|9.300000|+1:00 Africa/Douala</t>
  </si>
  <si>
    <t>Kousseri|Cameroon|CM|15.030833|12.078333|+1:00 Africa/Douala</t>
  </si>
  <si>
    <t>Maroua|Cameroon|CM|14.324722|10.595555|+1:00 Africa/Douala</t>
  </si>
  <si>
    <t>Mokolo|Cameroon|CM|13.802778|10.740278|+1:00 Africa/Douala</t>
  </si>
  <si>
    <t>Ngaoundere|Cameroon|CM|13.583333|7.316667|+1:00 Africa/Douala</t>
  </si>
  <si>
    <t>Yaounde|Cameroon|CM|11.516666|3.866667|+1:00 Africa/Douala</t>
  </si>
  <si>
    <t>Yokadouma|Cameroon|CM|15.050000|3.516667|+1:00 Africa/Douala</t>
  </si>
  <si>
    <t>Yoko|Cameroon|CM|12.316667|5.533333|+1:00 Africa/Douala</t>
  </si>
  <si>
    <t>Abbotsford|Canada|CA|-122.252571|49.057976|-8:00 America/Vancouver</t>
  </si>
  <si>
    <t>Acton Vale|Canada|CA|-72.565819|45.650070|-5:00 America/Montreal</t>
  </si>
  <si>
    <t>Airdrie|Canada|CA|-114.035286|51.300114|-7:00 America/Edmonton</t>
  </si>
  <si>
    <t>Calgary|Canada|CA|-114.085281|51.050114|-7:00 America/Edmonton</t>
  </si>
  <si>
    <t>Edmonton|Canada|CA|-113.468712|53.550137|-7:00 America/Edmonton</t>
  </si>
  <si>
    <t>Halifax|Canada|CA|-63.596848|44.651985|-4:00 America/Halifax</t>
  </si>
  <si>
    <t>Hamilton|Canada|CA|-79.949638|43.233410|-5:00 America/Toronto</t>
  </si>
  <si>
    <t>Kitchener|Canada|CA|-80.482986|43.450096|-5:00 America/Toronto</t>
  </si>
  <si>
    <t>London|Canada|CA|-81.233040|42.983391|-5:00 America/Toronto</t>
  </si>
  <si>
    <t>Montreal|Canada|CA|-73.649178|45.516781|-5:00 America/Montreal</t>
  </si>
  <si>
    <t>Oshawa|Canada|CA|-78.849571|43.900120|-5:00 America/Toronto</t>
  </si>
  <si>
    <t>Ottawa|Canada|CA|-75.690285|45.420940|-5:00 America/Montreal</t>
  </si>
  <si>
    <t>Quebec|Canada|CA|-71.214539|46.812279|-5:00 America/Montreal</t>
  </si>
  <si>
    <t>Toronto|Canada|CA|-79.416306|43.700115|-5:00 America/Toronto</t>
  </si>
  <si>
    <t>Vancouver|Canada|CA|-123.119339|49.249657|-8:00 America/Vancouver</t>
  </si>
  <si>
    <t>Victoria|Canada|CA|-123.369301|48.432938|-8:00 America/Vancouver</t>
  </si>
  <si>
    <t>Windsor|Canada|CA|-83.016541|42.300083|-5:00 America/Toronto</t>
  </si>
  <si>
    <t>Winnipeg|Canada|CA|-97.147041|49.884399|-6:00 America/Winnipeg</t>
  </si>
  <si>
    <t>Sao Filipe|Cape Verde|CV|-24.516666|14.900000|-1:00 Atlantic/Cape_Verde</t>
  </si>
  <si>
    <t>Tarrafal|Cape Verde|CV|-23.766666|15.283333|-1:00 Atlantic/Cape_Verde</t>
  </si>
  <si>
    <t>Vila da Ribeira Brava|Cape Verde|CV|-24.299999|16.616667|-1:00 Atlantic/Cape_Verde</t>
  </si>
  <si>
    <t>Bodden Town|Cauman|KY|-81.250000|19.283333|-5:00 America/Cayman</t>
  </si>
  <si>
    <t>George Town|Cauman|KY|-81.383331|19.299999|-5:00 America/Cayman</t>
  </si>
  <si>
    <t>West Bay|Cauman|KY|-81.416664|19.366667|-5:00 America/Cayman</t>
  </si>
  <si>
    <t>Bangui|Central African Republic|CF|18.583334|4.366667|+1:00 Africa/Bangui</t>
  </si>
  <si>
    <t>Obo|Central African Republic|CF|26.500000|5.400000|+1:00 Africa/Bangui</t>
  </si>
  <si>
    <t>Ouadda|Central African Republic|CF|22.400000|8.066667|+1:00 Africa/Bangui</t>
  </si>
  <si>
    <t>Rafai|Central African Republic|CF|23.916666|4.950000|+1:00 Africa/Bangui</t>
  </si>
  <si>
    <t>Adre|Chad|TD|22.200001|13.466667|+1:00 Africa/Ndjamena</t>
  </si>
  <si>
    <t>Am Timan|Chad|TD|20.283333|11.033333|+1:00 Africa/Ndjamena</t>
  </si>
  <si>
    <t>Biltine|Chad|TD|20.916666|14.533333|+1:00 Africa/Ndjamena</t>
  </si>
  <si>
    <t>N'Djamena|Chad|TD|15.049167|12.113055|+1:00 Africa/Ndjamena</t>
  </si>
  <si>
    <t>Antofagasta|Chile|CL|-70.400002|-23.650000|-4:00 America/Santiago</t>
  </si>
  <si>
    <t>Concepcion|Chile|CL|-73.050003|-36.833332|-4:00 America/Santiago</t>
  </si>
  <si>
    <t>Iquique|Chile|CL|-70.166664|-20.216667|-4:00 America/Santiago</t>
  </si>
  <si>
    <t>Rancagua|Chile|CL|-70.750000|-34.166668|-4:00 America/Santiago</t>
  </si>
  <si>
    <t>San Bernardo|Chile|CL|-70.716667|-33.599998|-4:00 America/Santiago</t>
  </si>
  <si>
    <t>Santiago|Chile|CL|-70.666664|-33.450001|-4:00 America/Santiago</t>
  </si>
  <si>
    <t>Talcahuano|Chile|CL|-73.116669|-36.716667|-4:00 America/Santiago</t>
  </si>
  <si>
    <t>Temuco|Chile|CL|-72.599998|-38.733334|-4:00 America/Santiago</t>
  </si>
  <si>
    <t>Valparaiso|Chile|CL|-71.601112|-33.047779|-4:00 America/Santiago</t>
  </si>
  <si>
    <t>Villarrica|Chile|CL|-72.216667|-39.266666|-4:00 America/Santiago</t>
  </si>
  <si>
    <t>vina causino|Chile|CL|-70.583336|-33.616665|-4:00 America/Santiago</t>
  </si>
  <si>
    <t>Vina del Mar|Chile|CL|-71.519722|-33.008057|-4:00 America/Santiago</t>
  </si>
  <si>
    <t>Yumbel|Chile|CL|-72.566666|-37.083332|-4:00 America/Santiago</t>
  </si>
  <si>
    <t>Aksu|China|CN|80.264442|41.123055|+8:00 Asia/Kashgar</t>
  </si>
  <si>
    <t>Anqing|China|CN|117.050552|30.509167|+8:00 Asia/Shanghai</t>
  </si>
  <si>
    <t>Anshan|China|CN|122.989998|41.123611|+8:00 Asia/Harbin</t>
  </si>
  <si>
    <t>Anshun|China|CN|105.933334|26.250000|+8:00 Asia/Chongqing</t>
  </si>
  <si>
    <t>Anyang|China|CN|114.328888|36.099445|+8:00 Asia/Shanghai</t>
  </si>
  <si>
    <t>Aral|China|CN|81.263611|40.515556|+8:00 Asia/Kashgar</t>
  </si>
  <si>
    <t>Baicheng|China|CN|122.816666|45.616665|+8:00 Asia/Harbin</t>
  </si>
  <si>
    <t>Baoding|China|CN|115.490280|38.851112|+8:00 Asia/Shanghai</t>
  </si>
  <si>
    <t>Baotou|China|CN|109.822220|40.652222|+8:00 Asia/Chongqing</t>
  </si>
  <si>
    <t>Beihai|China|CN|109.099998|21.483334|+8:00 Asia/Chongqing</t>
  </si>
  <si>
    <t>Beijing|China|CN|116.388336|39.928890|+8:00 Asia/Harbin</t>
  </si>
  <si>
    <t>Bengbu|China|CN|117.360832|32.940834|+8:00 Asia/Shanghai</t>
  </si>
  <si>
    <t>Benxi|China|CN|123.764999|41.288612|+8:00 Asia/Harbin</t>
  </si>
  <si>
    <t>Cangzhou|China|CN|116.866669|38.316666|+8:00 Asia/Shanghai</t>
  </si>
  <si>
    <t>Changchun|China|CN|125.322777|43.880001|+8:00 Asia/Harbin</t>
  </si>
  <si>
    <t>Changde|China|CN|111.678055|29.032223|+8:00 Asia/Chongqing</t>
  </si>
  <si>
    <t>Changsha|China|CN|112.966667|28.200001|+8:00 Asia/Chongqing</t>
  </si>
  <si>
    <t>Changzhi|China|CN|111.738609|35.208889|+8:00 Asia/Chongqing</t>
  </si>
  <si>
    <t>Changzhou|China|CN|119.966667|31.783333|+8:00 Asia/Shanghai</t>
  </si>
  <si>
    <t>Chaoyang|China|CN|120.458611|41.570278|+8:00 Asia/Harbin</t>
  </si>
  <si>
    <t>Chaozhou|China|CN|116.639999|23.665833|+8:00 Asia/Shanghai</t>
  </si>
  <si>
    <t>Chengde|China|CN|117.936111|40.972500|+8:00 Asia/Harbin</t>
  </si>
  <si>
    <t>Chengdu|China|CN|104.066666|30.666666|+8:00 Asia/Chongqing</t>
  </si>
  <si>
    <t>Chifeng|China|CN|118.963608|42.268333|+8:00 Asia/Harbin</t>
  </si>
  <si>
    <t>Chongqing|China|CN|106.552780|29.562778|+8:00 Asia/Chongqing</t>
  </si>
  <si>
    <t>Chuzhou|China|CN|118.297775|32.321945|+8:00 Asia/Shanghai</t>
  </si>
  <si>
    <t>Dalian|China|CN|121.602219|38.912224|+8:00 Asia/Shanghai</t>
  </si>
  <si>
    <t>Daliang|China|CN|113.245277|22.840834|+8:00 Asia/Chongqing</t>
  </si>
  <si>
    <t>Dandong|China|CN|124.394722|40.129166|+8:00 Asia/Harbin</t>
  </si>
  <si>
    <t>Daqing|China|CN|125.000000|46.583332|+8:00 Asia/Harbin</t>
  </si>
  <si>
    <t>Datong|China|CN|113.291389|40.093613|+8:00 Asia/Shanghai</t>
  </si>
  <si>
    <t>Dezhou|China|CN|116.292503|37.448612|+8:00 Asia/Shanghai</t>
  </si>
  <si>
    <t>Dongguan|China|CN|113.744720|23.048889|+8:00 Asia/Chongqing</t>
  </si>
  <si>
    <t>Dongying|China|CN|118.485558|37.456390|+8:00 Asia/Shanghai</t>
  </si>
  <si>
    <t>Foshan|China|CN|113.116669|23.033333|+8:00 Asia/Chongqing</t>
  </si>
  <si>
    <t>Fushun|China|CN|123.923332|41.855835|+8:00 Asia/Harbin</t>
  </si>
  <si>
    <t>Fuxin|China|CN|121.658890|42.015556|+8:00 Asia/Harbin</t>
  </si>
  <si>
    <t>Fuzhou|China|CN|119.306114|26.061388|+8:00 Asia/Shanghai</t>
  </si>
  <si>
    <t>Gaoping|China|CN|106.133331|30.783333|+8:00 Asia/Chongqing</t>
  </si>
  <si>
    <t>Guangyuan|China|CN|105.821388|32.440277|+8:00 Asia/Chongqing</t>
  </si>
  <si>
    <t>Guangzhou|China|CN|113.250000|23.116667|+8:00 Asia/Chongqing</t>
  </si>
  <si>
    <t>Guilin|China|CN|110.286392|25.281944|+8:00 Asia/Chongqing</t>
  </si>
  <si>
    <t>Guiyang|China|CN|106.716667|26.583334|+8:00 Asia/Chongqing</t>
  </si>
  <si>
    <t>Guli|China|CN|120.033333|28.883333|+8:00 Asia/Shanghai</t>
  </si>
  <si>
    <t>Haikou|China|CN|110.341667|20.045834|+8:00 Asia/Chongqing</t>
  </si>
  <si>
    <t>Hailar|China|CN|119.699997|49.200001|+8:00 Asia/Harbin</t>
  </si>
  <si>
    <t>Handan|China|CN|114.467781|36.600555|+8:00 Asia/Shanghai</t>
  </si>
  <si>
    <t>Hangu|China|CN|117.789169|39.248890|+8:00 Asia/Shanghai</t>
  </si>
  <si>
    <t>Hangzhou|China|CN|120.168892|30.255278|+8:00 Asia/Shanghai</t>
  </si>
  <si>
    <t>Harbin|China|CN|126.650002|45.750000|+8:00 Asia/Harbin</t>
  </si>
  <si>
    <t>Hebi|China|CN|114.192497|35.899166|+8:00 Asia/Shanghai</t>
  </si>
  <si>
    <t>Hefei|China|CN|117.280830|31.863890|+8:00 Asia/Shanghai</t>
  </si>
  <si>
    <t>Hegang|China|CN|130.366669|47.400002|+8:00 Asia/Harbin</t>
  </si>
  <si>
    <t>Hengshui|China|CN|115.701111|37.732224|+8:00 Asia/Shanghai</t>
  </si>
  <si>
    <t>Hengyang|China|CN|112.614998|26.888056|+8:00 Asia/Chongqing</t>
  </si>
  <si>
    <t>Heze|China|CN|115.441109|35.243057|+8:00 Asia/Shanghai</t>
  </si>
  <si>
    <t>Hohhot|China|CN|111.652222|40.810555|+8:00 Asia/Chongqing</t>
  </si>
  <si>
    <t>Huaibei|China|CN|116.791664|33.974445|+8:00 Asia/Shanghai</t>
  </si>
  <si>
    <t>Huainan|China|CN|116.996941|32.626389|+8:00 Asia/Shanghai</t>
  </si>
  <si>
    <t>Huaiyin|China|CN|119.019165|33.588612|+8:00 Asia/Shanghai</t>
  </si>
  <si>
    <t>Huanggang|China|CN|117.003334|23.675278|+8:00 Asia/Shanghai</t>
  </si>
  <si>
    <t>Huangshi|China|CN|115.099998|30.216667|+8:00 Asia/Shanghai</t>
  </si>
  <si>
    <t>Huizhou|China|CN|114.400002|23.083334|+8:00 Asia/Chongqing</t>
  </si>
  <si>
    <t>Hulan Ergi|China|CN|123.633331|47.204166|+8:00 Asia/Harbin</t>
  </si>
  <si>
    <t>Jiamusi|China|CN|130.350006|46.833332|+8:00 Asia/Harbin</t>
  </si>
  <si>
    <t>Ji'an|China|CN|115.000000|27.133333|+8:00 Asia/Shanghai</t>
  </si>
  <si>
    <t>Jiangmen|China|CN|113.083336|22.583334|+8:00 Asia/Chongqing</t>
  </si>
  <si>
    <t>Jiaojiang|China|CN|121.442780|28.680277|+8:00 Asia/Shanghai</t>
  </si>
  <si>
    <t>Jiaozuo|China|CN|113.233055|35.239723|+8:00 Asia/Shanghai</t>
  </si>
  <si>
    <t>Jiaxing|China|CN|120.748337|30.765556|+8:00 Asia/Shanghai</t>
  </si>
  <si>
    <t>Jieyang|China|CN|116.365555|23.529722|+8:00 Asia/Shanghai</t>
  </si>
  <si>
    <t>Jilin|China|CN|126.560280|43.850834|+8:00 Asia/Harbin</t>
  </si>
  <si>
    <t>Jinan|China|CN|116.997223|36.668335|+8:00 Asia/Shanghai</t>
  </si>
  <si>
    <t>Jincheng|China|CN|112.832779|35.502224|+8:00 Asia/Chongqing</t>
  </si>
  <si>
    <t>Jingdezhen|China|CN|117.202225|29.289722|+8:00 Asia/Shanghai</t>
  </si>
  <si>
    <t>Jingling|China|CN|113.099998|30.650000|+8:00 Asia/Chongqing</t>
  </si>
  <si>
    <t>Jining. Inner Mongolia|China|CN|113.105835|41.027500|+8:00 Asia/Harbin</t>
  </si>
  <si>
    <t>Jining. Shandong|China|CN|116.581390|35.404999|+8:00 Asia/Shanghai</t>
  </si>
  <si>
    <t>Jinxi|China|CN|120.833336|40.750000|+8:00 Asia/Harbin</t>
  </si>
  <si>
    <t>Jinzhou|China|CN|121.716667|39.099998|+8:00 Asia/Harbin</t>
  </si>
  <si>
    <t>Jinzhou. Liaoning|China|CN|121.141670|41.107777|+8:00 Asia/Harbin</t>
  </si>
  <si>
    <t>Jiujiang|China|CN|115.983330|29.733334|+8:00 Asia/Shanghai</t>
  </si>
  <si>
    <t>Jixi|China|CN|130.966660|45.299999|+8:00 Asia/Harbin</t>
  </si>
  <si>
    <t>Kaifeng|China|CN|114.348335|34.791111|+8:00 Asia/Shanghai</t>
  </si>
  <si>
    <t>Kashi|China|CN|75.979721|39.454723|+8:00 Asia/Kashgar</t>
  </si>
  <si>
    <t>Kunming|China|CN|102.718330|25.038889|+8:00 Asia/Chongqing</t>
  </si>
  <si>
    <t>Langfang|China|CN|116.694725|39.509724|+8:00 Asia/Shanghai</t>
  </si>
  <si>
    <t>Lanzhou|China|CN|103.792221|36.056389|+8:00 Asia/Chongqing</t>
  </si>
  <si>
    <t>Laohekou|China|CN|111.667778|32.385834|+8:00 Asia/Chongqing</t>
  </si>
  <si>
    <t>Lhasa|China|CN|91.099998|29.650000|+8:00 Asia/Chongqing</t>
  </si>
  <si>
    <t>Liaocheng|China|CN|115.964722|36.443890|+8:00 Asia/Shanghai</t>
  </si>
  <si>
    <t>Liaoyang|China|CN|123.173058|41.271946|+8:00 Asia/Harbin</t>
  </si>
  <si>
    <t>Liaoyuan|China|CN|125.135834|42.903610|+8:00 Asia/Harbin</t>
  </si>
  <si>
    <t>Linfen|China|CN|111.518890|36.088890|+8:00 Asia/Chongqing</t>
  </si>
  <si>
    <t>Linxia|China|CN|103.206390|35.600277|+8:00 Asia/Chongqing</t>
  </si>
  <si>
    <t>Linyi|China|CN|118.342781|35.063057|+8:00 Asia/Shanghai</t>
  </si>
  <si>
    <t>Luancheng|China|CN|114.651665|37.879166|+8:00 Asia/Shanghai</t>
  </si>
  <si>
    <t>Luohe|China|CN|114.035278|33.571667|+8:00 Asia/Shanghai</t>
  </si>
  <si>
    <t>Luoyang|China|CN|112.453613|34.683613|+8:00 Asia/Chongqing</t>
  </si>
  <si>
    <t>Luqiaozhen|China|CN|121.378334|28.578890|+8:00 Asia/Shanghai</t>
  </si>
  <si>
    <t>Mianyang|China|CN|104.766670|31.466667|+8:00 Asia/Chongqing</t>
  </si>
  <si>
    <t>Mudanjiang|China|CN|129.600006|44.583332|+8:00 Asia/Harbin</t>
  </si>
  <si>
    <t>Nanchang|China|CN|115.883331|28.683332|+8:00 Asia/Shanghai</t>
  </si>
  <si>
    <t>Nanchong|China|CN|106.066666|30.799999|+8:00 Asia/Chongqing</t>
  </si>
  <si>
    <t>Nanjing|China|CN|118.777779|32.061668|+8:00 Asia/Shanghai</t>
  </si>
  <si>
    <t>Nanning|China|CN|108.316666|22.816668|+8:00 Asia/Chongqing</t>
  </si>
  <si>
    <t>Nantong|China|CN|120.874725|32.030277|+8:00 Asia/Shanghai</t>
  </si>
  <si>
    <t>Nanyang|China|CN|112.532776|32.994720|+8:00 Asia/Chongqing</t>
  </si>
  <si>
    <t>Neijiang|China|CN|105.059166|29.583611|+8:00 Asia/Chongqing</t>
  </si>
  <si>
    <t>Ningbo|China|CN|121.541946|29.875000|+8:00 Asia/Shanghai</t>
  </si>
  <si>
    <t>Panshan|China|CN|122.049446|41.188057|+8:00 Asia/Harbin</t>
  </si>
  <si>
    <t>Panzhihua|China|CN|101.733330|26.549999|+8:00 Asia/Chongqing</t>
  </si>
  <si>
    <t>Pingdingshan|China|CN|113.306389|33.740833|+8:00 Asia/Chongqing</t>
  </si>
  <si>
    <t>Pingxiang|China|CN|113.849998|27.616667|+8:00 Asia/Chongqing</t>
  </si>
  <si>
    <t>Putian|China|CN|119.010277|25.439444|+8:00 Asia/Shanghai</t>
  </si>
  <si>
    <t>Puyang|China|CN|115.005280|35.702778|+8:00 Asia/Shanghai</t>
  </si>
  <si>
    <t>Qingdao|China|CN|120.371941|36.098610|+8:00 Asia/Shanghai</t>
  </si>
  <si>
    <t>Qinhuangdao|China|CN|119.588333|39.931667|+8:00 Asia/Harbin</t>
  </si>
  <si>
    <t>Qiqihar|China|CN|123.967224|47.340832|+8:00 Asia/Harbin</t>
  </si>
  <si>
    <t>Qitaihe|China|CN|130.850006|45.799999|+8:00 Asia/Harbin</t>
  </si>
  <si>
    <t>Ranghulu|China|CN|124.866669|46.650002|+8:00 Asia/Harbin</t>
  </si>
  <si>
    <t>Rizhao|China|CN|119.455276|35.427502|+8:00 Asia/Shanghai</t>
  </si>
  <si>
    <t>Sanming|China|CN|117.618614|26.248611|+8:00 Asia/Shanghai</t>
  </si>
  <si>
    <t>Shache|China|CN|77.240555|38.416668|+8:00 Asia/Kashgar</t>
  </si>
  <si>
    <t>Shanghai|China|CN|121.458054|31.222221|+8:00 Asia/Shanghai</t>
  </si>
  <si>
    <t>Shantou|China|CN|116.678337|23.360001|+8:00 Asia/Shanghai</t>
  </si>
  <si>
    <t>Shaoguan|China|CN|113.583336|24.799999|+8:00 Asia/Chongqing</t>
  </si>
  <si>
    <t>Shaoxing|China|CN|120.581108|30.001667|+8:00 Asia/Shanghai</t>
  </si>
  <si>
    <t>Shashi|China|CN|112.244720|30.307222|+8:00 Asia/Chongqing</t>
  </si>
  <si>
    <t>Shenyang|China|CN|123.432777|41.792221|+8:00 Asia/Harbin</t>
  </si>
  <si>
    <t>Shenzhen|China|CN|114.068298|22.545538|+8:00 Asia/Chongqing</t>
  </si>
  <si>
    <t>Shihezi|China|CN|86.033333|44.299999|+8:00 Asia/Urumqi</t>
  </si>
  <si>
    <t>Shijiazhuang|China|CN|114.478615|38.041389|+8:00 Asia/Shanghai</t>
  </si>
  <si>
    <t>Shiqi|China|CN|113.366112|22.517500|+8:00 Asia/Chongqing</t>
  </si>
  <si>
    <t>Shiyan|China|CN|110.778053|32.647499|+8:00 Asia/Chongqing</t>
  </si>
  <si>
    <t>Shiyan|China|CN|110.783333|32.566666|+8:00 Asia/Chongqing</t>
  </si>
  <si>
    <t>Shuangyashan|China|CN|131.153885|46.636112|+8:00 Asia/Harbin</t>
  </si>
  <si>
    <t>Siping|China|CN|124.368614|43.163334|+8:00 Asia/Harbin</t>
  </si>
  <si>
    <t>Suihua|China|CN|126.996941|46.640556|+8:00 Asia/Harbin</t>
  </si>
  <si>
    <t>Suizhou|China|CN|113.363052|31.711111|+8:00 Asia/Chongqing</t>
  </si>
  <si>
    <t>Suzhou|China|CN|98.566666|39.766666|+8:00 Asia/Shanghai</t>
  </si>
  <si>
    <t>Suzhou|China|CN|116.978889|33.636112|+8:00 Asia/Shanghai</t>
  </si>
  <si>
    <t>Suzhou|China|CN|120.618057|31.311388|+8:00 Asia/Shanghai</t>
  </si>
  <si>
    <t>Tai'an|China|CN|117.120003|36.185276|+8:00 Asia/Shanghai</t>
  </si>
  <si>
    <t>Taiyuan|China|CN|112.560280|37.869446|+8:00 Asia/Chongqing</t>
  </si>
  <si>
    <t>Taizhou|China|CN|119.908058|32.493332|+8:00 Asia/Shanghai</t>
  </si>
  <si>
    <t>Tanggu|China|CN|117.646942|39.021111|+8:00 Asia/Shanghai</t>
  </si>
  <si>
    <t>Tangshan|China|CN|118.183334|39.633335|+8:00 Asia/Harbin</t>
  </si>
  <si>
    <t>Tianjin|China|CN|117.176666|39.142223|+8:00 Asia/Shanghai</t>
  </si>
  <si>
    <t>Tieling|China|CN|123.841393|42.293056|+8:00 Asia/Harbin</t>
  </si>
  <si>
    <t>Tongchuan|China|CN|109.089722|35.080555|+8:00 Asia/Chongqing</t>
  </si>
  <si>
    <t>Tongliao|China|CN|122.265274|43.612499|+8:00 Asia/Harbin</t>
  </si>
  <si>
    <t>Tongling|China|CN|117.783333|30.950001|+8:00 Asia/Shanghai</t>
  </si>
  <si>
    <t>Turpan|China|CN|89.166664|42.933334|+8:00 Asia/Urumqi</t>
  </si>
  <si>
    <t>Urumqi|China|CN|87.583336|43.799999|+8:00 Asia/Urumqi</t>
  </si>
  <si>
    <t>Wafangdian|China|CN|122.008057|39.618332|+8:00 Asia/Harbin</t>
  </si>
  <si>
    <t>Weifang|China|CN|119.101944|36.709999|+8:00 Asia/Shanghai</t>
  </si>
  <si>
    <t>Wenzhou|China|CN|120.654442|28.019167|+8:00 Asia/Shanghai</t>
  </si>
  <si>
    <t>Wuhai|China|CN|106.812225|39.664722|+8:00 Asia/Chongqing</t>
  </si>
  <si>
    <t>Wuhan|China|CN|114.266670|30.583334|+8:00 Asia/Shanghai</t>
  </si>
  <si>
    <t>Wuhu|China|CN|118.366669|31.350000|+8:00 Asia/Shanghai</t>
  </si>
  <si>
    <t>Wuxi|China|CN|120.293892|31.577223|+8:00 Asia/Shanghai</t>
  </si>
  <si>
    <t>Wuxue|China|CN|115.550003|29.850000|+8:00 Asia/Shanghai</t>
  </si>
  <si>
    <t>Wuzhou|China|CN|111.316666|23.483334|+8:00 Asia/Chongqing</t>
  </si>
  <si>
    <t>Xiamen|China|CN|118.093056|24.467501|+8:00 Asia/Shanghai</t>
  </si>
  <si>
    <t>Xi'an|China|CN|108.928612|34.258335|+8:00 Asia/Chongqing</t>
  </si>
  <si>
    <t>Xiangfan|China|CN|112.144997|32.041668|+8:00 Asia/Chongqing</t>
  </si>
  <si>
    <t>Xiangtan|China|CN|112.900002|27.850000|+8:00 Asia/Chongqing</t>
  </si>
  <si>
    <t>Xiantao|China|CN|113.400002|30.383333|+8:00 Asia/Chongqing</t>
  </si>
  <si>
    <t>Xianyang|China|CN|108.714722|34.345554|+8:00 Asia/Chongqing</t>
  </si>
  <si>
    <t>Xingtai|China|CN|114.494164|37.063057|+8:00 Asia/Shanghai</t>
  </si>
  <si>
    <t>Xining|China|CN|101.766670|36.616665|+8:00 Asia/Chongqing</t>
  </si>
  <si>
    <t>Xinpu|China|CN|119.159447|34.599724|+8:00 Asia/Shanghai</t>
  </si>
  <si>
    <t>Xintai|China|CN|117.751945|35.900555|+8:00 Asia/Shanghai</t>
  </si>
  <si>
    <t>Xinxiang|China|CN|113.867226|35.308887|+8:00 Asia/Shanghai</t>
  </si>
  <si>
    <t>Xinyang|China|CN|114.065559|32.122776|+8:00 Asia/Shanghai</t>
  </si>
  <si>
    <t>Xuanhua|China|CN|115.044724|40.610279|+8:00 Asia/Harbin</t>
  </si>
  <si>
    <t>Xuchang|China|CN|113.816666|34.016666|+8:00 Asia/Shanghai</t>
  </si>
  <si>
    <t>Xuri|China|CN|117.966667|28.466667|+8:00 Asia/Shanghai</t>
  </si>
  <si>
    <t>Xuzhou|China|CN|117.191666|34.266945|+8:00 Asia/Shanghai</t>
  </si>
  <si>
    <t>Yancheng|China|CN|120.125275|33.385555|+8:00 Asia/Shanghai</t>
  </si>
  <si>
    <t>Yangjiang|China|CN|111.966667|21.850000|+8:00 Asia/Chongqing</t>
  </si>
  <si>
    <t>Yangquan|China|CN|113.563332|37.857498|+8:00 Asia/Shanghai</t>
  </si>
  <si>
    <t>Yangzhou|China|CN|119.435837|32.397221|+8:00 Asia/Shanghai</t>
  </si>
  <si>
    <t>Yanji|China|CN|129.507782|42.907501|+8:00 Asia/Harbin</t>
  </si>
  <si>
    <t>Yantai|China|CN|121.400002|37.533333|+8:00 Asia/Shanghai</t>
  </si>
  <si>
    <t>Yibin|China|CN|104.566666|28.766666|+8:00 Asia/Chongqing</t>
  </si>
  <si>
    <t>Yichang|China|CN|111.284721|30.714445|+8:00 Asia/Chongqing</t>
  </si>
  <si>
    <t>Yinchuan|China|CN|106.273056|38.468056|+8:00 Asia/Chongqing</t>
  </si>
  <si>
    <t>Yingcheng|China|CN|113.550003|30.950001|+8:00 Asia/Chongqing</t>
  </si>
  <si>
    <t>Yingkou|China|CN|122.224724|40.668056|+8:00 Asia/Harbin</t>
  </si>
  <si>
    <t>Yiyang|China|CN|112.328331|28.589167|+8:00 Asia/Chongqing</t>
  </si>
  <si>
    <t>Yuci|China|CN|112.731941|37.680279|+8:00 Asia/Chongqing</t>
  </si>
  <si>
    <t>Yuncheng|China|CN|110.992775|35.023056|+8:00 Asia/Chongqing</t>
  </si>
  <si>
    <t>Yunfu|China|CN|112.033333|22.933332|+8:00 Asia/Chongqing</t>
  </si>
  <si>
    <t>Zhangjiakou|China|CN|114.879448|40.810001|+8:00 Asia/Harbin</t>
  </si>
  <si>
    <t>Zhangzhou|China|CN|117.655556|24.513332|+8:00 Asia/Shanghai</t>
  </si>
  <si>
    <t>Zhanjiang|China|CN|110.383331|21.200001|+8:00 Asia/Chongqing</t>
  </si>
  <si>
    <t>Zhaoqing|China|CN|112.449997|23.049999|+8:00 Asia/Chongqing</t>
  </si>
  <si>
    <t>Zhengzhou|China|CN|113.648613|34.757778|+8:00 Asia/Shanghai</t>
  </si>
  <si>
    <t>Zhenjiang|China|CN|119.434166|32.209167|+8:00 Asia/Shanghai</t>
  </si>
  <si>
    <t>Zhoukou|China|CN|114.633331|33.633335|+8:00 Asia/Shanghai</t>
  </si>
  <si>
    <t>Zhuhai|China|CN|113.567780|22.276945|+8:00 Asia/Chongqing</t>
  </si>
  <si>
    <t>Zhumadian|China|CN|114.029442|32.979443|+8:00 Asia/Shanghai</t>
  </si>
  <si>
    <t>Zhuzhou|China|CN|113.150002|27.833334|+8:00 Asia/Chongqing</t>
  </si>
  <si>
    <t>Zibo|China|CN|118.063332|36.790554|+8:00 Asia/Shanghai</t>
  </si>
  <si>
    <t>Zigong|China|CN|104.783333|29.400000|+8:00 Asia/Chongqing</t>
  </si>
  <si>
    <t>Zunyi|China|CN|106.907219|27.686666|+8:00 Asia/Chongqing</t>
  </si>
  <si>
    <t>Armenia|Colombia|CO|-75.681114|4.533889|-5:00 America/Bogota</t>
  </si>
  <si>
    <t>Barranquilla|Colombia|CO|-74.796387|10.963889|-5:00 America/Bogota</t>
  </si>
  <si>
    <t>Bello|Colombia|CO|-75.562225|6.338889|-5:00 America/Bogota</t>
  </si>
  <si>
    <t>Bogota|Colombia|CO|-74.083336|4.600000|-5:00 America/Bogota</t>
  </si>
  <si>
    <t>Bucaramanga|Colombia|CO|-73.125832|7.129722|-5:00 America/Bogota</t>
  </si>
  <si>
    <t>Buenaventura|Colombia|CO|-77.069725|3.893333|-5:00 America/Bogota</t>
  </si>
  <si>
    <t>Buenaventura|Colombia|CO|-77.000000|3.583333|-5:00 America/Bogota</t>
  </si>
  <si>
    <t>Cali|Colombia|CO|-76.522499|3.437222|-5:00 America/Bogota</t>
  </si>
  <si>
    <t>Cartagena|Colombia|CO|-75.514442|10.399722|-5:00 America/Bogota</t>
  </si>
  <si>
    <t>Cucuta|Colombia|CO|-72.505280|7.883333|-5:00 America/Bogota</t>
  </si>
  <si>
    <t>Floridablanca|Colombia|CO|-73.089722|7.064722|-5:00 America/Bogota</t>
  </si>
  <si>
    <t>Ibague|Colombia|CO|-75.232224|4.438889|-5:00 America/Bogota</t>
  </si>
  <si>
    <t>Itagui|Colombia|CO|-75.611389|6.171945|-5:00 America/Bogota</t>
  </si>
  <si>
    <t>Manizales|Colombia|CO|-75.520554|5.070000|-5:00 America/Bogota</t>
  </si>
  <si>
    <t>Medellin|Colombia|CO|-75.536110|6.291389|-5:00 America/Bogota</t>
  </si>
  <si>
    <t>Monteria|Colombia|CO|-75.889999|8.757500|-5:00 America/Bogota</t>
  </si>
  <si>
    <t>Neiva|Colombia|CO|-75.330276|2.930556|-5:00 America/Bogota</t>
  </si>
  <si>
    <t>Palmira|Colombia|CO|-76.303612|3.539444|-5:00 America/Bogota</t>
  </si>
  <si>
    <t>Pasto|Colombia|CO|-77.281113|1.213611|-5:00 America/Bogota</t>
  </si>
  <si>
    <t>Pereira|Colombia|CO|-75.696114|4.813334|-5:00 America/Bogota</t>
  </si>
  <si>
    <t>Santa Marta|Colombia|CO|-74.201668|11.247222|-5:00 America/Bogota</t>
  </si>
  <si>
    <t>Sincelejo|Colombia|CO|-75.397781|9.304722|-5:00 America/Bogota</t>
  </si>
  <si>
    <t>Soacha|Colombia|CO|-74.221390|4.587222|-5:00 America/Bogota</t>
  </si>
  <si>
    <t>Soledad|Colombia|CO|-74.766670|10.917222|-5:00 America/Bogota</t>
  </si>
  <si>
    <t>Valledupar|Colombia|CO|-73.250557|10.476944|-5:00 America/Bogota</t>
  </si>
  <si>
    <t>Villavicencio|Colombia|CO|-73.635002|4.153333|-5:00 America/Bogota</t>
  </si>
  <si>
    <t>Zaragoza|Colombia|CO|-74.871109|7.494167|-5:00 America/Bogota</t>
  </si>
  <si>
    <t>Zarzal|Colombia|CO|-76.077225|4.398333|-5:00 America/Bogota</t>
  </si>
  <si>
    <t>Zipaquira|Colombia|CO|-74.005836|5.028333|-5:00 America/Bogota</t>
  </si>
  <si>
    <t>Moutsamoudou|Comoro|KM|44.396389|-12.162778|+3:00 Indian/Comoro</t>
  </si>
  <si>
    <t>Ouani|Comoro|KM|44.425835|-12.132222|+3:00 Indian/Comoro</t>
  </si>
  <si>
    <t>Sima|Comoro|KM|44.276669|-12.195556|+3:00 Indian/Comoro</t>
  </si>
  <si>
    <t>Brazzaville|Congo|CG|15.284722|-4.259167|+1:00 Africa/Brazzaville</t>
  </si>
  <si>
    <t>Owando|Congo|CG|15.908055|-0.486944|+1:00 Africa/Brazzaville</t>
  </si>
  <si>
    <t>Pointe-Noire|Congo|CG|11.846111|-4.794722|+1:00 Africa/Brazzaville</t>
  </si>
  <si>
    <t>Sibiti|Congo|CG|13.345833|-3.685833|+1:00 Africa/Brazzaville</t>
  </si>
  <si>
    <t>Avarua|Cook Islands|CK|-159.774994|-21.207777|-10:00 Pacific/Rarotonga</t>
  </si>
  <si>
    <t>San Jose|Costa Rica|CR|-84.083336|9.933333|-6:00 America/Costa_Rica</t>
  </si>
  <si>
    <t>Tilaran|Costa Rica|CR|-84.966667|10.466667|-6:00 America/Costa_Rica</t>
  </si>
  <si>
    <t>Tres Rios|Costa Rica|CR|-83.983330|9.900000|-6:00 America/Costa_Rica</t>
  </si>
  <si>
    <t>Turrialba|Costa Rica|CR|-83.683334|9.900000|-6:00 America/Costa_Rica</t>
  </si>
  <si>
    <t>Zagreb|Croatia|HR|16.000000|45.799999|+1:00 Europe/Zagreb</t>
  </si>
  <si>
    <t>Zagreb - Centar|Croatia|HR|15.977532|45.813129|+1:00 Europe/Zagreb</t>
  </si>
  <si>
    <t>Zapresic|Croatia|HR|15.807777|45.856388|+1:00 Europe/Zagreb</t>
  </si>
  <si>
    <t>Zupanja|Croatia|HR|18.697500|45.077499|+1:00 Europe/Zagreb</t>
  </si>
  <si>
    <t>Camaguey|Cuba|CU|-77.916946|21.380833|-5:00 America/Havana</t>
  </si>
  <si>
    <t>Guantanamo|Cuba|CU|-75.209167|20.144444|-5:00 America/Havana</t>
  </si>
  <si>
    <t>Havana|Cuba|CU|-82.364166|23.131945|-5:00 America/Havana</t>
  </si>
  <si>
    <t>Holguin|Cuba|CU|-76.263054|20.887222|-5:00 America/Havana</t>
  </si>
  <si>
    <t>Las Tunas|Cuba|CU|-76.951111|20.961666|-5:00 America/Havana</t>
  </si>
  <si>
    <t>Santa Clara|Cuba|CU|-79.966667|22.400000|-5:00 America/Havana</t>
  </si>
  <si>
    <t>Santiago de Cuba|Cuba|CU|-75.821945|20.024723|-5:00 America/Havana</t>
  </si>
  <si>
    <t>Yaguajay|Cuba|CU|-79.237778|22.327223|-5:00 America/Havana</t>
  </si>
  <si>
    <t>Yara|Cuba|CU|-76.953331|20.275278|-5:00 America/Havana</t>
  </si>
  <si>
    <t>Zaza del Medio|Cuba|CU|-79.366943|21.996111|-5:00 America/Havana</t>
  </si>
  <si>
    <t>Cul de Sac|Curacao|AN|-63.066666|18.033333|-4:00 America/Curacao</t>
  </si>
  <si>
    <t>Sint Michiel Liber|Curacao|AN|-68.983330|12.150000|-4:00 America/Curacao</t>
  </si>
  <si>
    <t>Willemstad|Curacao|AN|-68.916664|12.100000|-4:00 America/Curacao</t>
  </si>
  <si>
    <t>Nicosia|Cyprus|CY|33.366665|35.166668|+2:00 Asia/Nicosia</t>
  </si>
  <si>
    <t>Xeri|Cyprus|CY|33.320835|35.075001|+2:00 Asia/Nicosia</t>
  </si>
  <si>
    <t>Yeri|Cyprus|CY|33.416668|35.099998|+2:00 Asia/Nicosia</t>
  </si>
  <si>
    <t>Ypsonas|Cyprus|CY|32.958332|34.683334|+2:00 Asia/Nicosia</t>
  </si>
  <si>
    <t>Brno|Czech|CZ|16.599689|49.195190|+1:00 Europe/Prague</t>
  </si>
  <si>
    <t>Dvur Kralove nad Labem|Czech|CZ|15.814021|50.431721|+1:00 Europe/Prague</t>
  </si>
  <si>
    <t>Ostrava|Czech|CZ|18.282043|49.834644|+1:00 Europe/Prague</t>
  </si>
  <si>
    <t>Praha|Czech|CZ|14.424132|50.087837|+1:00 Europe/Prague</t>
  </si>
  <si>
    <t>Znojmo|Czech|CZ|16.048798|48.855499|+1:00 Europe/Prague</t>
  </si>
  <si>
    <t>Zubri|Czech|CZ|18.092485|49.466026|+1:00 Europe/Prague</t>
  </si>
  <si>
    <t>Bukavu|Democratic Republic of the Congo|CD|28.860834|-2.508333|+2:00 Africa/Lubumbashi</t>
  </si>
  <si>
    <t>Kananga|Democratic Republic of the Congo|CD|22.417778|-5.895833|+2:00 Africa/Lubumbashi</t>
  </si>
  <si>
    <t>Kinshasa|Democratic Republic of the Congo|CD|15.315000|-4.329722|+1:00 Africa/Kinshasa</t>
  </si>
  <si>
    <t>Kisangani|Democratic Republic of the Congo|CD|25.200001|0.516667|+2:00 Africa/Lubumbashi</t>
  </si>
  <si>
    <t>Kolwezi|Democratic Republic of the Congo|CD|25.472500|-10.716667|+2:00 Africa/Lubumbashi</t>
  </si>
  <si>
    <t>Likasi|Democratic Republic of the Congo|CD|26.733334|-10.981389|+2:00 Africa/Lubumbashi</t>
  </si>
  <si>
    <t>Lubumbashi|Democratic Republic of the Congo|CD|27.466667|-11.666667|+2:00 Africa/Lubumbashi</t>
  </si>
  <si>
    <t>Masina|Democratic Republic of the Congo|CD|15.391389|-4.383611|+1:00 Africa/Kinshasa</t>
  </si>
  <si>
    <t>Mbuji-Mayi|Democratic Republic of the Congo|CD|23.600000|-6.150000|+2:00 Africa/Lubumbashi</t>
  </si>
  <si>
    <t>Tshikapa|Democratic Republic of the Congo|CD|20.799999|-6.416667|+2:00 Africa/Lubumbashi</t>
  </si>
  <si>
    <t>Wamba|Democratic Republic of the Congo|CD|28.000000|2.150000|+2:00 Africa/Lubumbashi</t>
  </si>
  <si>
    <t>Watsa|Democratic Republic of the Congo|CD|29.533333|3.050000|+2:00 Africa/Lubumbashi</t>
  </si>
  <si>
    <t>Yangambi|Democratic Republic of the Congo|CD|24.466667|0.783333|+2:00 Africa/Lubumbashi</t>
  </si>
  <si>
    <t>Arhus|Denmark|DK|10.216667|56.150002|+1:00 Europe/Copenhagen</t>
  </si>
  <si>
    <t>Copenhagen|Denmark|DK|12.583333|55.666668|+1:00 Europe/Copenhagen</t>
  </si>
  <si>
    <t>Vejle|Denmark|DK|9.533333|55.700001|+1:00 Europe/Copenhagen</t>
  </si>
  <si>
    <t>Vojens|Denmark|DK|9.316667|55.250000|+1:00 Europe/Copenhagen</t>
  </si>
  <si>
    <t>Vordingborg|Denmark|DK|11.916667|55.016666|+1:00 Europe/Copenhagen</t>
  </si>
  <si>
    <t>Djibouti|Djibouty|DJ|43.148056|11.595000|+3:00 Africa/Djibouti</t>
  </si>
  <si>
    <t>Obock|Djibouty|DJ|43.290554|11.963056|+3:00 Africa/Djibouti</t>
  </si>
  <si>
    <t>Tadjoura|Djibouty|DJ|42.884445|11.785277|+3:00 Africa/Djibouti</t>
  </si>
  <si>
    <t>Roseau|Dominica|DM|-61.400002|15.300000|-4:00 America/Dominica</t>
  </si>
  <si>
    <t>La Romana|Dominican Republic|DO|-68.966667|18.416666|-4:00 America/Santo_Domingo</t>
  </si>
  <si>
    <t>San Pedro de Macoris|Dominican Republic|DO|-69.300003|18.450001|-4:00 America/Santo_Domingo</t>
  </si>
  <si>
    <t>Santiago de los Caballeros|Dominican Republic|DO|-70.699997|19.450001|-4:00 America/Santo_Domingo</t>
  </si>
  <si>
    <t>Santo Domingo|Dominican Republic|DO|-69.900002|18.466667|-4:00 America/Santo_Domingo</t>
  </si>
  <si>
    <t>Yaguate|Dominican Republic|DO|-70.183334|18.333334|-4:00 America/Santo_Domingo</t>
  </si>
  <si>
    <t>Yamasa|Dominican Republic|DO|-70.016670|18.766666|-4:00 America/Santo_Domingo</t>
  </si>
  <si>
    <t>Yayas de Viajama|Dominican Republic|DO|-70.916664|18.600000|-4:00 America/Santo_Domingo</t>
  </si>
  <si>
    <t>Cuenca|Ecuador|EC|-78.983330|-2.883333|-5:00 America/Guayaquil</t>
  </si>
  <si>
    <t>Guayaquil|Ecuador|EC|-79.900002|-2.166667|-5:00 America/Guayaquil</t>
  </si>
  <si>
    <t>Quito|Ecuador|EC|-78.500000|-0.216667|-5:00 America/Guayaquil</t>
  </si>
  <si>
    <t>Santo Domingo de los Colorados|Ecuador|EC|-79.150002|-0.250000|-5:00 America/Guayaquil</t>
  </si>
  <si>
    <t>Yantzaza|Ecuador|EC|-78.759445|-3.827778|-5:00 America/Guayaquil</t>
  </si>
  <si>
    <t>Zamora|Ecuador|EC|-78.956665|-4.069167|-5:00 America/Guayaquil</t>
  </si>
  <si>
    <t>Zaruma|Ecuador|EC|-79.616669|-3.683333|-5:00 America/Guayaquil</t>
  </si>
  <si>
    <t>Al Fayyum|Egypt|EG|30.840000|29.307777|+2:00 Africa/Cairo</t>
  </si>
  <si>
    <t>Al Jizah|Egypt|EG|31.212223|30.008612|+2:00 Africa/Cairo</t>
  </si>
  <si>
    <t>Al Mahallah al Kubra|Egypt|EG|31.166945|30.976110|+2:00 Africa/Cairo</t>
  </si>
  <si>
    <t>Al Mansurah|Egypt|EG|31.376667|31.043056|+2:00 Africa/Cairo</t>
  </si>
  <si>
    <t>Al Minya|Egypt|EG|30.744444|28.119444|+2:00 Africa/Cairo</t>
  </si>
  <si>
    <t>Alexandria|Egypt|EG|29.919167|31.198055|+2:00 Africa/Cairo</t>
  </si>
  <si>
    <t>Aswan|Egypt|EG|32.898888|24.087500|+2:00 Africa/Cairo</t>
  </si>
  <si>
    <t>Asyut|Egypt|EG|31.182777|27.182777|+2:00 Africa/Cairo</t>
  </si>
  <si>
    <t>Az Zaqaziq|Egypt|EG|31.510279|30.591389|+2:00 Africa/Cairo</t>
  </si>
  <si>
    <t>Bur Sa`id|Egypt|EG|32.300491|31.259769|+2:00 Africa/Cairo</t>
  </si>
  <si>
    <t>Cairo|Egypt|EG|31.250000|30.049999|+2:00 Africa/Cairo</t>
  </si>
  <si>
    <t>Damanhur|Egypt|EG|30.466667|31.033333|+2:00 Africa/Cairo</t>
  </si>
  <si>
    <t>Ismailia|Egypt|EG|32.277222|30.605278|+2:00 Africa/Cairo</t>
  </si>
  <si>
    <t>Kafr ad Dawwar|Egypt|EG|30.129168|31.139723|+2:00 Africa/Cairo</t>
  </si>
  <si>
    <t>Luxor|Egypt|EG|32.650002|25.683332|+2:00 Africa/Cairo</t>
  </si>
  <si>
    <t>Qina|Egypt|EG|32.727222|26.170000|+2:00 Africa/Cairo</t>
  </si>
  <si>
    <t>Suez|Egypt|EG|32.549999|29.966667|+2:00 Africa/Cairo</t>
  </si>
  <si>
    <t>Suhaj|Egypt|EG|31.700001|26.549999|+2:00 Africa/Cairo</t>
  </si>
  <si>
    <t>Tanta|Egypt|EG|30.998056|30.791111|+2:00 Africa/Cairo</t>
  </si>
  <si>
    <t>Tukh|Egypt|EG|31.158056|30.348333|+2:00 Africa/Cairo</t>
  </si>
  <si>
    <t>Zifta|Egypt|EG|31.243889|30.713612|+2:00 Africa/Cairo</t>
  </si>
  <si>
    <t>San Salvador|El Salvador|SV|-89.203056|13.708611|-6:00 America/El_Salvador</t>
  </si>
  <si>
    <t>Soyapango|El Salvador|SV|-89.151390|13.734722|-6:00 America/El_Salvador</t>
  </si>
  <si>
    <t>Usulutan|El Salvador|SV|-88.449997|13.350000|-6:00 America/El_Salvador</t>
  </si>
  <si>
    <t>Zacatecoluca|El Salvador|SV|-88.866669|13.500000|-6:00 America/El_Salvador</t>
  </si>
  <si>
    <t>Zaragoza|El Salvador|SV|-89.288887|13.589444|-5:00 America/Bogota</t>
  </si>
  <si>
    <t>Mongomo|Equatorial Guinea|GQ|11.316667|1.633333|+1:00 Africa/Malabo</t>
  </si>
  <si>
    <t>Pale|Equatorial Guinea|GQ|5.632500|-1.401389|+1:00 Africa/Malabo</t>
  </si>
  <si>
    <t>Rebola|Equatorial Guinea|GQ|8.833333|3.716667|+1:00 Africa/Malabo</t>
  </si>
  <si>
    <t>Asmara|Eritrea|ER|38.933334|15.333333|+3:00 Africa/Asmara</t>
  </si>
  <si>
    <t>Barentu|Eritrea|ER|37.592777|15.113889|+3:00 Africa/Asmara</t>
  </si>
  <si>
    <t>Dekemhare|Eritrea|ER|39.047501|15.070000|+3:00 Africa/Asmara</t>
  </si>
  <si>
    <t>Idi|Eritrea|ER|41.692501|13.929722|+3:00 Africa/Asmara</t>
  </si>
  <si>
    <t>Tallinn|Estonia|EE|24.728056|59.433887|+2:00 Europe/Tallinn</t>
  </si>
  <si>
    <t>Valga|Estonia|EE|26.045279|57.774445|+2:00 Europe/Tallinn</t>
  </si>
  <si>
    <t>Viljandi|Estonia|EE|25.590000|58.363888|+2:00 Europe/Tallinn</t>
  </si>
  <si>
    <t>Voru|Estonia|EE|27.019444|57.833889|+2:00 Europe/Tallinn</t>
  </si>
  <si>
    <t>Addis Ababa|Ethiopia|ET|38.700001|9.033333|+3:00 Africa/Addis_Ababa</t>
  </si>
  <si>
    <t>Dire Dawa|Ethiopia|ET|41.866112|9.593056|+3:00 Africa/Addis_Ababa</t>
  </si>
  <si>
    <t>Nazret|Ethiopia|ET|39.266666|8.550000|+3:00 Africa/Addis_Ababa</t>
  </si>
  <si>
    <t>Yabelo|Ethiopia|ET|38.083332|4.883333|+3:00 Africa/Addis_Ababa</t>
  </si>
  <si>
    <t>Yirga `Alem|Ethiopia|ET|38.416668|6.750000|+3:00 Africa/Addis_Ababa</t>
  </si>
  <si>
    <t>Ziway|Ethiopia|ET|38.716667|7.933333|+3:00 Africa/Addis_Ababa</t>
  </si>
  <si>
    <t>Torshavn|Faroe|FO|-6.766667|62.016666|+0:00 Atlantic/Faroe</t>
  </si>
  <si>
    <t>Lambasa|Fiji|FJ|179.383331|-16.416666|+12:00 Pacific/Fiji</t>
  </si>
  <si>
    <t>Espoo|Finland|FI|24.666666|60.216667|+2:00 Europe/Helsinki</t>
  </si>
  <si>
    <t>Helsinki|Finland|FI|24.934166|60.175556|+2:00 Europe/Helsinki</t>
  </si>
  <si>
    <t>Tampere|Finland|FI|23.750000|61.500000|+2:00 Europe/Helsinki</t>
  </si>
  <si>
    <t>Ylitornio|Finland|FI|23.666666|66.300003|+2:00 Europe/Helsinki</t>
  </si>
  <si>
    <t>Ylivieska|Finland|FI|24.549999|64.083336|+2:00 Europe/Helsinki</t>
  </si>
  <si>
    <t>Ylojarvi|Finland|FI|23.600000|61.549999|+2:00 Europe/Helsinki</t>
  </si>
  <si>
    <t>Blaye|France|FR|-0.666667|45.133335|+1:00 Europe/Paris</t>
  </si>
  <si>
    <t>Bordeaux|France|FR|-0.566667|44.833332|+1:00 Europe/Paris</t>
  </si>
  <si>
    <t>Lille|France|FR|3.066667|50.633335|+1:00 Europe/Paris</t>
  </si>
  <si>
    <t>Lyon|France|FR|4.850000|45.750000|+1:00 Europe/Paris</t>
  </si>
  <si>
    <t>Marseille|France|FR|5.400000|43.299999|+1:00 Europe/Paris</t>
  </si>
  <si>
    <t>Montpellier|France|FR|3.883333|43.599998|+1:00 Europe/Paris</t>
  </si>
  <si>
    <t>Nantes|France|FR|-1.550000|47.216667|+1:00 Europe/Paris</t>
  </si>
  <si>
    <t>Nice|France|FR|7.250000|43.700001|+1:00 Europe/Paris</t>
  </si>
  <si>
    <t>Paris|France|FR|2.333333|48.866665|+1:00 Europe/Paris</t>
  </si>
  <si>
    <t>Rennes|France|FR|-1.683333|48.083332|+1:00 Europe/Paris</t>
  </si>
  <si>
    <t>Strasbourg|France|FR|7.750000|48.583332|+1:00 Europe/Paris</t>
  </si>
  <si>
    <t>Toulouse|France|FR|1.443672|43.604263|+1:00 Europe/Paris</t>
  </si>
  <si>
    <t>Yvetot|France|FR|0.766667|49.616665|+1:00 Europe/Paris</t>
  </si>
  <si>
    <t>Yzeure|France|FR|3.350000|46.566666|+1:00 Europe/Paris</t>
  </si>
  <si>
    <t>Matoury|French Guiana|GF|-52.333332|4.850000|-3:00 America/Cayenne</t>
  </si>
  <si>
    <t>Remire-Montjoly|French Guiana|GF|-52.266666|4.916667|-3:00 America/Cayenne</t>
  </si>
  <si>
    <t>Saint-Laurent-du-Maroni|French Guiana|GF|-54.033333|5.500000|-3:00 America/Cayenne</t>
  </si>
  <si>
    <t>Libreville|Gabon|GA|9.450000|0.383333|+1:00 Africa/Libreville</t>
  </si>
  <si>
    <t>Oyem|Gabon|GA|11.583333|1.616667|+1:00 Africa/Libreville</t>
  </si>
  <si>
    <t>Port-Gentil|Gabon|GA|8.783333|-0.716667|+1:00 Africa/Libreville</t>
  </si>
  <si>
    <t>Tchibanga|Gabon|GA|11.033333|-2.850000|+1:00 Africa/Libreville</t>
  </si>
  <si>
    <t>Sabi|Gambia|GM|-14.200000|13.233334|+0:00 Africa/Banjul</t>
  </si>
  <si>
    <t>Soma|Gambia|GM|-15.533333|13.433333|+0:00 Africa/Banjul</t>
  </si>
  <si>
    <t>Sukuta|Gambia|GM|-16.708889|13.411389|+0:00 Africa/Banjul</t>
  </si>
  <si>
    <t>Jabaliya|Gaza Strip|PS|34.483334|31.533333|+2:00 Asia/Gaza</t>
  </si>
  <si>
    <t>Khan Yunis|Gaza Strip|PS|34.302502|31.343889|+2:00 Asia/Gaza</t>
  </si>
  <si>
    <t>Rafah|Gaza Strip|PS|34.250832|31.284166|+2:00 Asia/Gaza</t>
  </si>
  <si>
    <t>Tbilisi|Georgia|GE|44.790833|41.724998|+4:00 Asia/Tbilisi</t>
  </si>
  <si>
    <t>Tsalenjikha|Georgia|GE|42.077221|42.604443|+4:00 Asia/Tbilisi</t>
  </si>
  <si>
    <t>Tsnori|Georgia|GE|45.971943|41.616943|+4:00 Asia/Tbilisi</t>
  </si>
  <si>
    <t>Zugdidi|Georgia|GE|41.869167|42.512222|+4:00 Asia/Tbilisi</t>
  </si>
  <si>
    <t>Augsburg|Germany|DE|10.883333|48.366665|+1:00 Europe/Berlin</t>
  </si>
  <si>
    <t>Berlin|Germany|DE|13.400000|52.516666|+1:00 Europe/Berlin</t>
  </si>
  <si>
    <t>Bielefeld|Germany|DE|8.533333|52.033333|+1:00 Europe/Berlin</t>
  </si>
  <si>
    <t>Bochum|Germany|DE|7.216667|51.483334|+1:00 Europe/Berlin</t>
  </si>
  <si>
    <t>Bonn|Germany|DE|7.100000|50.733334|+1:00 Europe/Berlin</t>
  </si>
  <si>
    <t>Braunschweig|Germany|DE|10.533333|52.266666|+1:00 Europe/Berlin</t>
  </si>
  <si>
    <t>Bremen|Germany|DE|8.807774|53.075157|+1:00 Europe/Berlin</t>
  </si>
  <si>
    <t>Chemnitz|Germany|DE|12.916667|50.833332|+1:00 Europe/Berlin</t>
  </si>
  <si>
    <t>Dortmund|Germany|DE|7.450000|51.516666|+1:00 Europe/Berlin</t>
  </si>
  <si>
    <t>Dresden|Germany|DE|13.738317|51.050892|+1:00 Europe/Berlin</t>
  </si>
  <si>
    <t>Duisburg|Germany|DE|6.750000|51.433334|+1:00 Europe/Berlin</t>
  </si>
  <si>
    <t>Dusseldorf|Germany|DE|6.776161|51.221722|+1:00 Europe/Berlin</t>
  </si>
  <si>
    <t>Erfurt|Germany|DE|11.033333|50.983334|+1:00 Europe/Berlin</t>
  </si>
  <si>
    <t>Essen|Germany|DE|7.016667|51.450001|+1:00 Europe/Berlin</t>
  </si>
  <si>
    <t>Frankfurt am Main|Germany|DE|8.683333|50.116665|+1:00 Europe/Berlin</t>
  </si>
  <si>
    <t>Freiburg|Germany|DE|7.852221|47.995895|+1:00 Europe/Berlin</t>
  </si>
  <si>
    <t>Gelsenkirchen-Alt|Germany|DE|7.116667|51.516666|+1:00 Europe/Berlin</t>
  </si>
  <si>
    <t>Halle|Germany|DE|12.000000|51.500000|+1:00 Europe/Berlin</t>
  </si>
  <si>
    <t>Halle-Neustadt|Germany|DE|11.933333|51.483334|+1:00 Europe/Berlin</t>
  </si>
  <si>
    <t>Hamburg|Germany|DE|10.000000|53.549999|+1:00 Europe/Berlin</t>
  </si>
  <si>
    <t>Hannover|Germany|DE|9.733222|52.370518|+1:00 Europe/Berlin</t>
  </si>
  <si>
    <t>Karlsruhe|Germany|DE|8.385834|49.004723|+1:00 Europe/Berlin</t>
  </si>
  <si>
    <t>Kiel|Germany|DE|10.133333|54.333332|+1:00 Europe/Berlin</t>
  </si>
  <si>
    <t>Koeln|Germany|DE|6.950000|50.933334|+1:00 Europe/Berlin</t>
  </si>
  <si>
    <t>Krefeld|Germany|DE|6.566667|51.333332|+1:00 Europe/Berlin</t>
  </si>
  <si>
    <t>Kreisfreie Stadt Aachen|Germany|DE|6.105278|50.770832|+1:00 Europe/Berlin</t>
  </si>
  <si>
    <t>Leipzig|Germany|DE|12.369919|51.337799|+1:00 Europe/Berlin</t>
  </si>
  <si>
    <t>Lubeck|Germany|DE|10.687294|53.868927|+1:00 Europe/Berlin</t>
  </si>
  <si>
    <t>Mannheim|Germany|DE|8.464723|49.488335|+1:00 Europe/Berlin</t>
  </si>
  <si>
    <t>Monchengladbach|Germany|DE|6.433333|51.200001|+1:00 Europe/Berlin</t>
  </si>
  <si>
    <t>Munich|Germany|DE|11.574354|48.137684|+1:00 Europe/Berlin</t>
  </si>
  <si>
    <t>Munster|Germany|DE|7.625713|51.962357|+1:00 Europe/Berlin</t>
  </si>
  <si>
    <t>Neustadt|Germany|DE|11.633333|52.150002|+1:00 Europe/Berlin</t>
  </si>
  <si>
    <t>Nuernberg|Germany|DE|11.068334|49.447777|+1:00 Europe/Berlin</t>
  </si>
  <si>
    <t>Oberhausen|Germany|DE|6.850000|51.466667|+1:00 Europe/Berlin</t>
  </si>
  <si>
    <t>Stuttgart|Germany|DE|9.183333|48.766666|+1:00 Europe/Berlin</t>
  </si>
  <si>
    <t>Wahren|Germany|DE|12.333333|51.366665|+1:00 Europe/Berlin</t>
  </si>
  <si>
    <t>Wiesbaden|Germany|DE|8.250000|50.083332|+1:00 Europe/Berlin</t>
  </si>
  <si>
    <t>Wuppertal|Germany|DE|7.183333|51.266666|+1:00 Europe/Berlin</t>
  </si>
  <si>
    <t>Zwiesel|Germany|DE|13.233334|49.016666|+1:00 Europe/Berlin</t>
  </si>
  <si>
    <t>Zwingenberg|Germany|DE|8.618611|49.726387|+1:00 Europe/Berlin</t>
  </si>
  <si>
    <t>Zwonitz|Germany|DE|12.800000|50.633335|+1:00 Europe/Berlin</t>
  </si>
  <si>
    <t>Accra|Ghana|GH|-0.216667|5.550000|+0:00 Africa/Accra</t>
  </si>
  <si>
    <t>Achiaman|Ghana|GH|-0.333333|5.700000|+0:00 Africa/Accra</t>
  </si>
  <si>
    <t>Kumasi|Ghana|GH|-1.616667|6.683333|+0:00 Africa/Accra</t>
  </si>
  <si>
    <t>Takoradi|Ghana|GH|-1.750000|4.883333|+0:00 Africa/Accra</t>
  </si>
  <si>
    <t>Tamale|Ghana|GH|-0.833333|9.400000|+0:00 Africa/Accra</t>
  </si>
  <si>
    <t>Wenchi|Ghana|GH|-2.100000|7.733333|+0:00 Africa/Accra</t>
  </si>
  <si>
    <t>Winneba|Ghana|GH|-0.616667|5.333333|+0:00 Africa/Accra</t>
  </si>
  <si>
    <t>Yendi|Ghana|GH|-0.016667|9.433333|+0:00 Africa/Accra</t>
  </si>
  <si>
    <t>Gibraltar|Gibraltar|GI|-5.350000|36.133335|+1:00 Europe/Gibraltar</t>
  </si>
  <si>
    <t>Athens|Greece|GR|23.733334|37.983334|+2:00 Europe/Athens</t>
  </si>
  <si>
    <t>Thessaloniki|Greece|GR|22.943890|40.640278|+2:00 Europe/Athens</t>
  </si>
  <si>
    <t>Yiannouli|Greece|GR|22.383333|39.666668|+2:00 Europe/Athens</t>
  </si>
  <si>
    <t>Zakharo|Greece|GR|21.650000|37.483334|+2:00 Europe/Athens</t>
  </si>
  <si>
    <t>Zakynthos|Greece|GR|20.895277|37.791389|+2:00 Europe/Athens</t>
  </si>
  <si>
    <t>Nuuk|Greenland|GL|-51.750000|64.183334|-3:00 America/Godthab</t>
  </si>
  <si>
    <t>Sisimiut|Greenland|GL|-53.683334|66.933334|-3:00 America/Godthab</t>
  </si>
  <si>
    <t>Tasiilaq|Greenland|GL|-37.633335|65.599998|-3:00 America/Godthab</t>
  </si>
  <si>
    <t>Gustavia|Guadeloupe|BL|-62.849998|17.883333|-4:00 America/Guadeloupe</t>
  </si>
  <si>
    <t>Saint-Francois|Guadeloupe|BL|-61.266666|16.250000|-4:00 America/Guadeloupe</t>
  </si>
  <si>
    <t>Trois-Rivieres|Guadeloupe|BL|-61.633335|15.966667|-4:00 America/Guadeloupe</t>
  </si>
  <si>
    <t>Vieux-Habitants|Guadeloupe|BL|-61.750000|16.049999|-4:00 America/Guadeloupe</t>
  </si>
  <si>
    <t>Tamuning|Guam|GU|144.776672|13.483889|+10:00 Pacific/Guam</t>
  </si>
  <si>
    <t>Yigo|Guam|GU|144.885559|13.534445|+10:00 Pacific/Guam</t>
  </si>
  <si>
    <t>Guatemala City|Guatemala|GT|-90.526939|14.621110|-6:00 America/Guatemala</t>
  </si>
  <si>
    <t>Mixco|Guatemala|GT|-90.606392|14.633333|-6:00 America/Guatemala</t>
  </si>
  <si>
    <t>Villa Nueva|Guatemala|GT|-90.587502|14.526944|-6:00 America/Guatemala</t>
  </si>
  <si>
    <t>Zacualpa|Guatemala|GT|-90.833336|15.083333|-6:00 America/Guatemala</t>
  </si>
  <si>
    <t>Zaragoza|Guatemala|GT|-90.889442|14.654445|-5:00 America/Bogota</t>
  </si>
  <si>
    <t>Zunil|Guatemala|GT|-91.483330|14.783333|-6:00 America/Guatemala</t>
  </si>
  <si>
    <t>Camayenne|Guinea|GN|-13.687778|9.535000|+0:00 Africa/Conakry</t>
  </si>
  <si>
    <t>Conakry|Guinea|GN|-13.712222|9.509167|+0:00 Africa/Conakry</t>
  </si>
  <si>
    <t>Tougue|Guinea|GN|-11.683333|11.450000|+0:00 Africa/Conakry</t>
  </si>
  <si>
    <t>Yomou|Guinea|GN|-9.265278|7.560278|+0:00 Africa/Conakry</t>
  </si>
  <si>
    <t>Youkounkoun|Guinea|GN|-13.133333|12.533333|+0:00 Africa/Conakry</t>
  </si>
  <si>
    <t>Bissau|Guinea-Bissau|GW|-15.583333|11.850000|+0:00 Africa/Bissau</t>
  </si>
  <si>
    <t>Mansoa|Guinea-Bissau|GW|-15.318889|12.073334|+0:00 Africa/Bissau</t>
  </si>
  <si>
    <t>Quebo|Guinea-Bissau|GW|-14.933333|11.333333|+0:00 Africa/Bissau</t>
  </si>
  <si>
    <t>Quinhamel|Guinea-Bissau|GW|-15.850000|11.883333|+0:00 Africa/Bissau</t>
  </si>
  <si>
    <t>Georgetown|Guyana|GY|-58.166668|6.800000|-4:00 America/Guyana</t>
  </si>
  <si>
    <t>New Amsterdam|Guyana|GY|-57.516666|6.250000|-4:00 America/Guyana</t>
  </si>
  <si>
    <t>Rosignol|Guyana|GY|-57.533333|6.283333|-4:00 America/Guyana</t>
  </si>
  <si>
    <t>Skeldon|Guyana|GY|-57.133335|5.883333|-4:00 America/Guyana</t>
  </si>
  <si>
    <t>Carrefour|Haiti|HT|-72.399216|18.541140|-5:00 America/Port-au-Prince</t>
  </si>
  <si>
    <t>Delmas 73|Haiti|HT|-72.302780|18.544722|-5:00 America/Port-au-Prince</t>
  </si>
  <si>
    <t>Port-au-Prince|Haiti|HT|-72.334999|18.539167|-5:00 America/Port-au-Prince</t>
  </si>
  <si>
    <t>Saint-Raphael|Haiti|HT|-72.199997|19.433332|-5:00 America/Port-au-Prince</t>
  </si>
  <si>
    <t>Trou du Nord|Haiti|HT|-72.016670|19.633333|-5:00 America/Port-au-Prince</t>
  </si>
  <si>
    <t>Verrettes|Haiti|HT|-72.466667|19.049999|-5:00 America/Port-au-Prince</t>
  </si>
  <si>
    <t>Puerto Cortez|Honduras|HN|-87.949997|15.833333|-6:00 America/Tegucigalpa</t>
  </si>
  <si>
    <t>San Pedro Sula|Honduras|HN|-88.033333|15.500000|-6:00 America/Tegucigalpa</t>
  </si>
  <si>
    <t>Tegucigalpa|Honduras|HN|-87.216667|14.100000|-6:00 America/Tegucigalpa</t>
  </si>
  <si>
    <t>Villanueva|Honduras|HN|-88.000000|15.316667|-6:00 America/Tegucigalpa</t>
  </si>
  <si>
    <t>Yoro|Honduras|HN|-87.133331|15.133333|-6:00 America/Tegucigalpa</t>
  </si>
  <si>
    <t>Hong Kong|Hong Kong|HK|114.150070|22.284014|+8:00 Asia/Hong_Kong</t>
  </si>
  <si>
    <t>Kowloon|Hong Kong|HK|114.183334|22.316668|+8:00 Asia/Hong_Kong</t>
  </si>
  <si>
    <t>Budapest|Hungary|HU|19.083334|47.500000|+1:00 Europe/Budapest</t>
  </si>
  <si>
    <t>Debrecen|Hungary|HU|21.633333|47.533333|+1:00 Europe/Budapest</t>
  </si>
  <si>
    <t>Vamospercs|Hungary|HU|21.900000|47.533333|+1:00 Europe/Budapest</t>
  </si>
  <si>
    <t>Vasarosnameny|Hungary|HU|22.316668|48.133335|+1:00 Europe/Budapest</t>
  </si>
  <si>
    <t>Veszto|Hungary|HU|21.266666|46.916668|+1:00 Europe/Budapest</t>
  </si>
  <si>
    <t>Akureyri|Iceland|IS|-18.100000|65.666664|+0:00 Atlantic/Reykjavik</t>
  </si>
  <si>
    <t>Reykjavik|Iceland|IS|-21.950001|64.150002|+0:00 Atlantic/Reykjavik</t>
  </si>
  <si>
    <t>Selfoss|Iceland|IS|-21.000000|63.933334|+0:00 Atlantic/Reykjavik</t>
  </si>
  <si>
    <t>Agartala|India|IN|91.275002|23.836390|+5:30 Asia/Calcutta</t>
  </si>
  <si>
    <t>Agra|India|IN|78.016670|27.183332|+5:30 Asia/Calcutta</t>
  </si>
  <si>
    <t>Ahmadabad|India|IN|72.616669|23.033333|+5:30 Asia/Calcutta</t>
  </si>
  <si>
    <t>Ahmadnagar|India|IN|74.733330|19.083334|+5:30 Asia/Calcutta</t>
  </si>
  <si>
    <t>Aizawl|India|IN|92.716667|23.733334|+5:30 Asia/Calcutta</t>
  </si>
  <si>
    <t>Ajmer|India|IN|74.633331|26.450001|+5:30 Asia/Calcutta</t>
  </si>
  <si>
    <t>Akola|India|IN|77.000000|20.733334|+5:30 Asia/Calcutta</t>
  </si>
  <si>
    <t>Aligarh|India|IN|78.083336|27.883333|+5:30 Asia/Calcutta</t>
  </si>
  <si>
    <t>Allahabad|India|IN|81.849998|25.450001|+5:30 Asia/Calcutta</t>
  </si>
  <si>
    <t>Alwar|India|IN|76.599998|27.566668|+5:30 Asia/Calcutta</t>
  </si>
  <si>
    <t>Amarnath|India|IN|73.166664|19.200001|+5:30 Asia/Calcutta</t>
  </si>
  <si>
    <t>Ambattur|India|IN|80.162224|13.098333|+5:30 Asia/Calcutta</t>
  </si>
  <si>
    <t>Amravati|India|IN|77.750000|20.933332|+5:30 Asia/Calcutta</t>
  </si>
  <si>
    <t>Amritsar|India|IN|74.865555|31.633055|+5:30 Asia/Calcutta</t>
  </si>
  <si>
    <t>Anantapur|India|IN|77.599998|14.683333|+5:30 Asia/Calcutta</t>
  </si>
  <si>
    <t>Ara|India|IN|84.666664|25.566668|+5:30 Asia/Calcutta</t>
  </si>
  <si>
    <t>Asansol|India|IN|86.983330|23.683332|+5:30 Asia/Calcutta</t>
  </si>
  <si>
    <t>Aurangabad|India|IN|75.333336|19.883333|+5:30 Asia/Calcutta</t>
  </si>
  <si>
    <t>Avadi|India|IN|80.101669|13.115556|+5:30 Asia/Calcutta</t>
  </si>
  <si>
    <t>Bali|India|IN|88.340279|22.646111|+5:30 Asia/Calcutta</t>
  </si>
  <si>
    <t>Bangalore|India|IN|77.600128|12.976624|+5:30 Asia/Calcutta</t>
  </si>
  <si>
    <t>Baranagar|India|IN|88.365280|22.643333|+5:30 Asia/Calcutta</t>
  </si>
  <si>
    <t>Barasat|India|IN|88.516670|22.716667|+5:30 Asia/Calcutta</t>
  </si>
  <si>
    <t>Barddhaman|India|IN|87.849998|23.250000|+5:30 Asia/Calcutta</t>
  </si>
  <si>
    <t>Bareilly|India|IN|79.416664|28.350000|+5:30 Asia/Calcutta</t>
  </si>
  <si>
    <t>Belgaum|India|IN|74.500000|15.866667|+5:30 Asia/Calcutta</t>
  </si>
  <si>
    <t>Bellary|India|IN|76.933334|15.150000|+5:30 Asia/Calcutta</t>
  </si>
  <si>
    <t>Benares|India|IN|83.000000|25.333334|+5:30 Asia/Calcutta</t>
  </si>
  <si>
    <t>Bengalooru|India|IN|77.600128|12.976624|+5:30 Asia/Calcutta</t>
  </si>
  <si>
    <t>Bhagalpur|India|IN|87.000000|25.250000|+5:30 Asia/Calcutta</t>
  </si>
  <si>
    <t>Bharatpur|India|IN|77.483330|27.216667|+5:30 Asia/Calcutta</t>
  </si>
  <si>
    <t>Bhatinda|India|IN|74.949997|30.200001|+5:30 Asia/Calcutta</t>
  </si>
  <si>
    <t>Bhatpara|India|IN|88.408890|22.871389|+5:30 Asia/Calcutta</t>
  </si>
  <si>
    <t>Bhavnagar|India|IN|72.150002|21.766666|+5:30 Asia/Calcutta</t>
  </si>
  <si>
    <t>Bhilai|India|IN|81.433334|21.216667|+5:30 Asia/Calcutta</t>
  </si>
  <si>
    <t>Bhilwara|India|IN|74.633331|25.350000|+5:30 Asia/Calcutta</t>
  </si>
  <si>
    <t>Bhiwandi|India|IN|73.066666|19.299999|+5:30 Asia/Calcutta</t>
  </si>
  <si>
    <t>Bhopal|India|IN|77.400002|23.266666|+5:30 Asia/Calcutta</t>
  </si>
  <si>
    <t>Bhubaneshwar|India|IN|85.833336|20.233334|+5:30 Asia/Calcutta</t>
  </si>
  <si>
    <t>Bidar|India|IN|77.550003|17.900000|+5:30 Asia/Calcutta</t>
  </si>
  <si>
    <t>Bihar Sharif|India|IN|85.516670|25.183332|+5:30 Asia/Calcutta</t>
  </si>
  <si>
    <t>Bijapur|India|IN|75.699997|16.833334|+5:30 Asia/Calcutta</t>
  </si>
  <si>
    <t>Bikaner|India|IN|73.300003|28.016666|+5:30 Asia/Calcutta</t>
  </si>
  <si>
    <t>Bilaspur|India|IN|82.150002|22.083334|+5:30 Asia/Calcutta</t>
  </si>
  <si>
    <t>Bokaro|India|IN|85.966667|23.783333|+5:30 Asia/Calcutta</t>
  </si>
  <si>
    <t>Bombay|India|IN|72.825836|18.975000|+5:30 Asia/Calcutta</t>
  </si>
  <si>
    <t>Brahmapur|India|IN|84.783333|19.316668|+5:30 Asia/Calcutta</t>
  </si>
  <si>
    <t>Burhanpur|India|IN|76.233330|21.299999|+5:30 Asia/Calcutta</t>
  </si>
  <si>
    <t>Calcutta|India|IN|88.369720|22.569723|+5:30 Asia/Calcutta</t>
  </si>
  <si>
    <t>Calicut|India|IN|75.766670|11.250000|+5:30 Asia/Calcutta</t>
  </si>
  <si>
    <t>Chandigarh|India|IN|76.787224|30.737223|+5:30 Asia/Calcutta</t>
  </si>
  <si>
    <t>Chandrapur|India|IN|79.300003|19.950001|+5:30 Asia/Calcutta</t>
  </si>
  <si>
    <t>Cochin|India|IN|76.233330|9.966667|+5:30 Asia/Calcutta</t>
  </si>
  <si>
    <t>Coimbatore|India|IN|76.966667|11.000000|+5:30 Asia/Calcutta</t>
  </si>
  <si>
    <t>Cuttack|India|IN|85.879265|20.464973|+5:30 Asia/Calcutta</t>
  </si>
  <si>
    <t>Darbhanga|India|IN|85.900002|26.166666|+5:30 Asia/Calcutta</t>
  </si>
  <si>
    <t>Dehra Dun|India|IN|78.033333|30.316668|+5:30 Asia/Calcutta</t>
  </si>
  <si>
    <t>Delhi|India|IN|77.216667|28.666666|+5:30 Asia/Calcutta</t>
  </si>
  <si>
    <t>Dewas|India|IN|76.066666|22.966667|+5:30 Asia/Calcutta</t>
  </si>
  <si>
    <t>Dhanbad|India|IN|86.449997|23.799999|+5:30 Asia/Calcutta</t>
  </si>
  <si>
    <t>Dhule|India|IN|74.783333|20.900000|+5:30 Asia/Calcutta</t>
  </si>
  <si>
    <t>Dindigul|India|IN|77.949997|10.350000|+5:30 Asia/Calcutta</t>
  </si>
  <si>
    <t>Durg|India|IN|81.283333|21.183332|+5:30 Asia/Calcutta</t>
  </si>
  <si>
    <t>Durgapur|India|IN|87.316666|23.483334|+5:30 Asia/Calcutta</t>
  </si>
  <si>
    <t>Etawah|India|IN|79.033333|26.766666|+5:30 Asia/Calcutta</t>
  </si>
  <si>
    <t>Faridabad|India|IN|77.316666|28.433332|+5:30 Asia/Calcutta</t>
  </si>
  <si>
    <t>Farrukhabad|India|IN|79.566666|27.400000|+5:30 Asia/Calcutta</t>
  </si>
  <si>
    <t>Firozabad|India|IN|78.416664|27.150000|+5:30 Asia/Calcutta</t>
  </si>
  <si>
    <t>Ganganagar|India|IN|73.883331|29.916666|+5:30 Asia/Calcutta</t>
  </si>
  <si>
    <t>Gaya|India|IN|85.000000|24.783333|+5:30 Asia/Calcutta</t>
  </si>
  <si>
    <t>Ghaziabad|India|IN|77.433334|28.666666|+5:30 Asia/Calcutta</t>
  </si>
  <si>
    <t>Gorakhpur. Uttar Pradesh|India|IN|83.373886|26.754999|+5:30 Asia/Calcutta</t>
  </si>
  <si>
    <t>Gulbarga|India|IN|76.833336|17.333334|+5:30 Asia/Calcutta</t>
  </si>
  <si>
    <t>Guntur|India|IN|80.449997|16.299999|+5:30 Asia/Calcutta</t>
  </si>
  <si>
    <t>Guwahati|India|IN|91.733330|26.183332|+5:30 Asia/Calcutta</t>
  </si>
  <si>
    <t>Gwalior|India|IN|78.179169|26.223612|+5:30 Asia/Calcutta</t>
  </si>
  <si>
    <t>Haora|India|IN|88.310280|22.589167|+5:30 Asia/Calcutta</t>
  </si>
  <si>
    <t>Hapur|India|IN|77.783333|28.716667|+5:30 Asia/Calcutta</t>
  </si>
  <si>
    <t>Hisar|India|IN|75.716667|29.166666|+5:30 Asia/Calcutta</t>
  </si>
  <si>
    <t>Hubli|India|IN|75.166664|15.350000|+5:30 Asia/Calcutta</t>
  </si>
  <si>
    <t>Hyderabad|India|IN|78.474442|17.375278|+5:30 Asia/Calcutta</t>
  </si>
  <si>
    <t>Ichalkaranji|India|IN|74.466667|16.700001|+5:30 Asia/Calcutta</t>
  </si>
  <si>
    <t>Imphal|India|IN|93.949997|24.816668|+5:30 Asia/Calcutta</t>
  </si>
  <si>
    <t>Indore|India|IN|75.833305|22.717924|+5:30 Asia/Calcutta</t>
  </si>
  <si>
    <t>Jabalpur|India|IN|79.950066|23.166975|+5:30 Asia/Calcutta</t>
  </si>
  <si>
    <t>Jaipur|India|IN|75.816666|26.916666|+5:30 Asia/Calcutta</t>
  </si>
  <si>
    <t>Jalandhar|India|IN|75.579170|31.325556|+5:30 Asia/Calcutta</t>
  </si>
  <si>
    <t>Jalgaon|India|IN|75.566666|21.016666|+5:30 Asia/Calcutta</t>
  </si>
  <si>
    <t>Jalna|India|IN|75.883331|19.833334|+5:30 Asia/Calcutta</t>
  </si>
  <si>
    <t>Jammu|India|IN|74.866669|32.733334|+5:30 Asia/Calcutta</t>
  </si>
  <si>
    <t>Jamnagar|India|IN|70.066666|22.466667|+5:30 Asia/Calcutta</t>
  </si>
  <si>
    <t>Jamshedpur|India|IN|86.183334|22.799999|+5:30 Asia/Calcutta</t>
  </si>
  <si>
    <t>Jhansi|India|IN|78.583336|25.433332|+5:30 Asia/Calcutta</t>
  </si>
  <si>
    <t>Jodhpur|India|IN|73.029999|26.286667|+5:30 Asia/Calcutta</t>
  </si>
  <si>
    <t>Kakinada|India|IN|82.216667|16.933332|+5:30 Asia/Calcutta</t>
  </si>
  <si>
    <t>Kalyan|India|IN|73.150002|19.250000|+5:30 Asia/Calcutta</t>
  </si>
  <si>
    <t>Kamarhati|India|IN|88.374725|22.671110|+5:30 Asia/Calcutta</t>
  </si>
  <si>
    <t>Kanpur|India|IN|80.349998|26.466667|+5:30 Asia/Calcutta</t>
  </si>
  <si>
    <t>Karimnagar|India|IN|79.150002|18.433332|+5:30 Asia/Calcutta</t>
  </si>
  <si>
    <t>Karnal|India|IN|76.983330|29.683332|+5:30 Asia/Calcutta</t>
  </si>
  <si>
    <t>Kharagpur|India|IN|87.333336|22.333334|+5:30 Asia/Calcutta</t>
  </si>
  <si>
    <t>Kilakarai|India|IN|78.783333|9.233334|+5:30 Asia/Calcutta</t>
  </si>
  <si>
    <t>Kolhapur|India|IN|74.216667|16.700001|+5:30 Asia/Calcutta</t>
  </si>
  <si>
    <t>Korba|India|IN|82.683334|22.350000|+5:30 Asia/Calcutta</t>
  </si>
  <si>
    <t>Kota|India|IN|75.833336|25.183332|+5:30 Asia/Calcutta</t>
  </si>
  <si>
    <t>Kukatpalli|India|IN|78.416664|17.483334|+5:30 Asia/Calcutta</t>
  </si>
  <si>
    <t>Kulti|India|IN|86.849998|23.733334|+5:30 Asia/Calcutta</t>
  </si>
  <si>
    <t>Latur|India|IN|76.583336|18.400000|+5:30 Asia/Calcutta</t>
  </si>
  <si>
    <t>Lucknow|India|IN|80.916664|26.850000|+5:30 Asia/Calcutta</t>
  </si>
  <si>
    <t>Ludhiana|India|IN|75.849998|30.900000|+5:30 Asia/Calcutta</t>
  </si>
  <si>
    <t>Madras|India|IN|80.278473|13.087838|+5:30 Asia/Calcutta</t>
  </si>
  <si>
    <t>Madurai|India|IN|78.116669|9.933333|+5:30 Asia/Calcutta</t>
  </si>
  <si>
    <t>Malegaon|India|IN|74.533333|20.549999|+5:30 Asia/Calcutta</t>
  </si>
  <si>
    <t>Mangalore|India|IN|74.883331|12.866667|+5:30 Asia/Calcutta</t>
  </si>
  <si>
    <t>Mathura|India|IN|77.683334|27.500000|+5:30 Asia/Calcutta</t>
  </si>
  <si>
    <t>Mau|India|IN|83.550003|25.950001|+5:30 Asia/Calcutta</t>
  </si>
  <si>
    <t>Mayapur|India|IN|88.388077|23.423412|+5:30 Asia/Calcutta</t>
  </si>
  <si>
    <t>Meerut|India|IN|77.699997|28.983334|+5:30 Asia/Calcutta</t>
  </si>
  <si>
    <t>Mirzapur|India|IN|82.583336|25.150000|+5:30 Asia/Calcutta</t>
  </si>
  <si>
    <t>Moradabad|India|IN|78.783333|28.833334|+5:30 Asia/Calcutta</t>
  </si>
  <si>
    <t>Munger|India|IN|86.466667|25.383333|+5:30 Asia/Calcutta</t>
  </si>
  <si>
    <t>Muzaffarnagar|India|IN|77.683334|29.466667|+5:30 Asia/Calcutta</t>
  </si>
  <si>
    <t>Muzaffarpur|India|IN|85.400002|26.116667|+5:30 Asia/Calcutta</t>
  </si>
  <si>
    <t>Mysore|India|IN|76.649719|12.307222|+5:30 Asia/Calcutta</t>
  </si>
  <si>
    <t>Nadiad|India|IN|72.866669|22.700001|+5:30 Asia/Calcutta</t>
  </si>
  <si>
    <t>Nagercoil|India|IN|77.433334|8.166667|+5:30 Asia/Calcutta</t>
  </si>
  <si>
    <t>Nagpur|India|IN|79.099998|21.150000|+5:30 Asia/Calcutta</t>
  </si>
  <si>
    <t>Naihati|India|IN|88.416946|22.902779|+5:30 Asia/Calcutta</t>
  </si>
  <si>
    <t>Nangi|India|IN|88.215279|22.508333|+5:30 Asia/Calcutta</t>
  </si>
  <si>
    <t>Nasik|India|IN|73.800003|19.983334|+5:30 Asia/Calcutta</t>
  </si>
  <si>
    <t>Nellore|India|IN|79.966667|14.433333|+5:30 Asia/Calcutta</t>
  </si>
  <si>
    <t>New Delhi|India|IN|77.199997|28.600000|+5:30 Asia/Calcutta</t>
  </si>
  <si>
    <t>Nizamabad|India|IN|78.116669|18.666666|+5:30 Asia/Calcutta</t>
  </si>
  <si>
    <t>Pali|India|IN|73.333336|25.766666|+5:30 Asia/Calcutta</t>
  </si>
  <si>
    <t>Panihati|India|IN|88.374443|22.694166|+5:30 Asia/Calcutta</t>
  </si>
  <si>
    <t>Panipat|India|IN|76.968056|29.388889|+5:30 Asia/Calcutta</t>
  </si>
  <si>
    <t>Parbhani|India|IN|76.783333|19.266666|+5:30 Asia/Calcutta</t>
  </si>
  <si>
    <t>Patiala|India|IN|76.400276|30.326666|+5:30 Asia/Calcutta</t>
  </si>
  <si>
    <t>Patna|India|IN|85.116669|25.600000|+5:30 Asia/Calcutta</t>
  </si>
  <si>
    <t>Pimpri|India|IN|73.800003|18.616667|+5:30 Asia/Calcutta</t>
  </si>
  <si>
    <t>Pondicherry|India|IN|79.830002|11.930000|+5:30 Asia/Calcutta</t>
  </si>
  <si>
    <t>Punasa|India|IN|76.400002|22.233334|+5:30 Asia/Calcutta</t>
  </si>
  <si>
    <t>Punch|India|IN|74.099998|33.766666|+5:30 Asia/Calcutta</t>
  </si>
  <si>
    <t>Pune|India|IN|73.866669|18.533333|+5:30 Asia/Calcutta</t>
  </si>
  <si>
    <t>Quilon|India|IN|76.599998|8.883333|+5:30 Asia/Calcutta</t>
  </si>
  <si>
    <t>Raichur|India|IN|77.366669|16.200001|+5:30 Asia/Calcutta</t>
  </si>
  <si>
    <t>Raipur|India|IN|81.633331|21.233334|+5:30 Asia/Calcutta</t>
  </si>
  <si>
    <t>Rajahmundry|India|IN|81.783333|16.983334|+5:30 Asia/Calcutta</t>
  </si>
  <si>
    <t>Rajkot|India|IN|70.783333|22.299999|+5:30 Asia/Calcutta</t>
  </si>
  <si>
    <t>Rampur|India|IN|79.033333|28.816668|+5:30 Asia/Calcutta</t>
  </si>
  <si>
    <t>Ranchi|India|IN|85.333336|23.350000|+5:30 Asia/Calcutta</t>
  </si>
  <si>
    <t>Ratlam|India|IN|75.066666|23.316668|+5:30 Asia/Calcutta</t>
  </si>
  <si>
    <t>Rewa|India|IN|81.300003|24.533333|+5:30 Asia/Calcutta</t>
  </si>
  <si>
    <t>Rohtak|India|IN|76.566666|28.900000|+5:30 Asia/Calcutta</t>
  </si>
  <si>
    <t>Sagar|India|IN|78.716667|23.833334|+5:30 Asia/Calcutta</t>
  </si>
  <si>
    <t>Saharanpur|India|IN|77.550003|29.966667|+5:30 Asia/Calcutta</t>
  </si>
  <si>
    <t>Salem|India|IN|78.166664|11.650000|+5:30 Asia/Calcutta</t>
  </si>
  <si>
    <t>Satna|India|IN|80.833336|24.583334|+5:30 Asia/Calcutta</t>
  </si>
  <si>
    <t>Shahjahanpur|India|IN|79.916664|27.883333|+5:30 Asia/Calcutta</t>
  </si>
  <si>
    <t>Shiliguri|India|IN|88.433334|26.700001|+5:30 Asia/Calcutta</t>
  </si>
  <si>
    <t>Shimoga|India|IN|75.566666|13.916667|+5:30 Asia/Calcutta</t>
  </si>
  <si>
    <t>Shrirampur|India|IN|88.342224|22.752777|+5:30 Asia/Calcutta</t>
  </si>
  <si>
    <t>Solapur|India|IN|75.916664|17.683332|+5:30 Asia/Calcutta</t>
  </si>
  <si>
    <t>Sonipat|India|IN|77.016670|28.983334|+5:30 Asia/Calcutta</t>
  </si>
  <si>
    <t>Srinagar|India|IN|74.816666|34.083332|+5:30 Asia/Calcutta</t>
  </si>
  <si>
    <t>Surat|India|IN|72.833336|21.166666|+5:30 Asia/Calcutta</t>
  </si>
  <si>
    <t>Thane|India|IN|72.966667|19.200001|+5:30 Asia/Calcutta</t>
  </si>
  <si>
    <t>Thanjavur|India|IN|79.150002|10.800000|+5:30 Asia/Calcutta</t>
  </si>
  <si>
    <t>Thiruvananthapuram|India|IN|76.916664|8.483334|+5:30 Asia/Calcutta</t>
  </si>
  <si>
    <t>Tiruchchirappalli|India|IN|78.683334|10.816667|+5:30 Asia/Calcutta</t>
  </si>
  <si>
    <t>Tirunelveli|India|IN|77.699997|8.733334|+5:30 Asia/Calcutta</t>
  </si>
  <si>
    <t>Tirupati|India|IN|79.416664|13.650000|+5:30 Asia/Calcutta</t>
  </si>
  <si>
    <t>Tiruppur|India|IN|77.349998|11.100000|+5:30 Asia/Calcutta</t>
  </si>
  <si>
    <t>Trichur|India|IN|76.216667|10.516666|+5:30 Asia/Calcutta</t>
  </si>
  <si>
    <t>Tumkur|India|IN|77.101669|13.342222|+5:30 Asia/Calcutta</t>
  </si>
  <si>
    <t>Udaipur|India|IN|73.683334|24.583334|+5:30 Asia/Calcutta</t>
  </si>
  <si>
    <t>Ujjain|India|IN|75.766670|23.183332|+5:30 Asia/Calcutta</t>
  </si>
  <si>
    <t>Ulhasnagar|India|IN|73.150002|19.216667|+5:30 Asia/Calcutta</t>
  </si>
  <si>
    <t>Vadodara|India|IN|73.199997|22.299999|+5:30 Asia/Calcutta</t>
  </si>
  <si>
    <t>Vasco da Gamma|India|IN|73.830002|15.400000|+5:30 Asia/Calcutta</t>
  </si>
  <si>
    <t>Vijayawada|India|IN|80.616669|16.516666|+5:30 Asia/Calcutta</t>
  </si>
  <si>
    <t>Vishakhapatnam|India|IN|83.300003|17.700001|+5:30 Asia/Calcutta</t>
  </si>
  <si>
    <t>Vrindavan|India|IN|77.701241|27.577990|+5:30 Asia/Calcutta</t>
  </si>
  <si>
    <t>Warangal|India|IN|79.583336|18.000000|+5:30 Asia/Calcutta</t>
  </si>
  <si>
    <t>Yamunanagar|India|IN|77.283333|30.100000|+5:30 Asia/Calcutta</t>
  </si>
  <si>
    <t>Zunheboto|India|IN|94.516670|25.966667|+5:30 Asia/Calcutta</t>
  </si>
  <si>
    <t>Ambon|Indonesia|ID|128.199997|-3.716667|+9:00 Asia/Jayapura</t>
  </si>
  <si>
    <t>Balikpapan|Indonesia|ID|116.833336|-1.283333|+8:00 Asia/Makassar</t>
  </si>
  <si>
    <t>Banda Aceh|Indonesia|ID|95.325836|5.561666|+7:00 Asia/Pontianak</t>
  </si>
  <si>
    <t>Bandung|Indonesia|ID|107.620552|-6.912778|+7:00 Asia/Jakarta</t>
  </si>
  <si>
    <t>Banjarmasin|Indonesia|ID|114.583336|-3.333333|+8:00 Asia/Makassar</t>
  </si>
  <si>
    <t>Bekasi|Indonesia|ID|106.991943|-6.236667|+7:00 Asia/Jakarta</t>
  </si>
  <si>
    <t>Bengkulu|Indonesia|ID|102.265541|-3.800443|+7:00 Asia/Jakarta</t>
  </si>
  <si>
    <t>Binjai|Indonesia|ID|98.500000|3.600000|+7:00 Asia/Jakarta</t>
  </si>
  <si>
    <t>Bogor|Indonesia|ID|106.791389|-6.589722|+7:00 Asia/Jakarta</t>
  </si>
  <si>
    <t>Ciampea|Indonesia|ID|106.710281|-6.540000|+7:00 Asia/Jakarta</t>
  </si>
  <si>
    <t>Cileungsi|Indonesia|ID|106.959167|-6.394722|+7:00 Asia/Jakarta</t>
  </si>
  <si>
    <t>Cimahi|Indonesia|ID|107.542503|-6.872222|+7:00 Asia/Jakarta</t>
  </si>
  <si>
    <t>Ciputat|Indonesia|ID|106.695557|-6.237500|+7:00 Asia/Jakarta</t>
  </si>
  <si>
    <t>Cirebon|Indonesia|ID|108.566666|-6.733333|+7:00 Asia/Jakarta</t>
  </si>
  <si>
    <t>Denpasar|Indonesia|ID|115.216667|-8.650000|+8:00 Asia/Makassar</t>
  </si>
  <si>
    <t>Depok|Indonesia|ID|106.818611|-6.400000|+7:00 Asia/Jakarta</t>
  </si>
  <si>
    <t>Jakarta|Indonesia|ID|106.829445|-6.174444|+7:00 Asia/Jakarta</t>
  </si>
  <si>
    <t>Jambi|Indonesia|ID|103.616669|-1.600000|+7:00 Asia/Jakarta</t>
  </si>
  <si>
    <t>Jember|Indonesia|ID|113.703171|-8.166039|+8:00 Asia/Makassar</t>
  </si>
  <si>
    <t>Kediri|Indonesia|ID|112.016670|-7.816667|+7:00 Asia/Jakarta</t>
  </si>
  <si>
    <t>Kupang|Indonesia|ID|123.583336|-10.166667|+8:00 Asia/Makassar</t>
  </si>
  <si>
    <t>Loa Janan|Indonesia|ID|117.095032|-0.582952|+8:00 Asia/Makassar</t>
  </si>
  <si>
    <t>Makassar|Indonesia|ID|99.783333|2.450000|+8:00 Asia/Makassar</t>
  </si>
  <si>
    <t>Makassar|Indonesia|ID|119.438614|-5.146389|+8:00 Asia/Makassar</t>
  </si>
  <si>
    <t>Malang|Indonesia|ID|112.628059|-7.977778|+7:00 Asia/Jakarta</t>
  </si>
  <si>
    <t>Manado|Indonesia|ID|124.844170|1.501667|+8:00 Asia/Makassar</t>
  </si>
  <si>
    <t>Mataram|Indonesia|ID|116.116669|-8.583333|+8:00 Asia/Makassar</t>
  </si>
  <si>
    <t>Medan|Indonesia|ID|98.666664|3.583333|+7:00 Asia/Jakarta</t>
  </si>
  <si>
    <t>Padang|Indonesia|ID|100.354271|-0.949244|+7:00 Asia/Jakarta</t>
  </si>
  <si>
    <t>Palembang|Indonesia|ID|104.745796|-2.916725|+7:00 Asia/Jakarta</t>
  </si>
  <si>
    <t>Palu|Indonesia|ID|119.859726|-0.901667|+8:00 Asia/Makassar</t>
  </si>
  <si>
    <t>Pekalongan|Indonesia|ID|109.666664|-6.883333|+7:00 Asia/Jakarta</t>
  </si>
  <si>
    <t>Pematangsiantar|Indonesia|ID|99.050003|2.950000|+7:00 Asia/Jakarta</t>
  </si>
  <si>
    <t>Percut|Indonesia|ID|98.750000|3.683333|+7:00 Asia/Pontianak</t>
  </si>
  <si>
    <t>Pontianak|Indonesia|ID|109.333336|-0.033333|+7:00 Asia/Pontianak</t>
  </si>
  <si>
    <t>Purwakarta|Indonesia|ID|107.438889|-6.556944|+7:00 Asia/Jakarta</t>
  </si>
  <si>
    <t>Purwokerto|Indonesia|ID|109.234444|-7.421389|+7:00 Asia/Jakarta</t>
  </si>
  <si>
    <t>Rengasdengklok|Indonesia|ID|107.283058|-6.148333|+7:00 Asia/Jakarta</t>
  </si>
  <si>
    <t>Samarinda|Indonesia|ID|117.150002|-0.500000|+8:00 Asia/Makassar</t>
  </si>
  <si>
    <t>Semarang|Indonesia|ID|110.416664|-6.966667|+7:00 Asia/Jakarta</t>
  </si>
  <si>
    <t>Situbondo|Indonesia|ID|114.009766|-7.706229|+8:00 Asia/Makassar</t>
  </si>
  <si>
    <t>Sukabumi|Indonesia|ID|106.927223|-6.916667|+7:00 Asia/Jakarta</t>
  </si>
  <si>
    <t>Sumedang Utara|Indonesia|ID|107.916664|-6.850000|+7:00 Asia/Jakarta</t>
  </si>
  <si>
    <t>Surabaya|Indonesia|ID|112.750832|-7.249166|+8:00 Asia/Makassar</t>
  </si>
  <si>
    <t>Surakarta|Indonesia|ID|110.831665|-7.556111|+7:00 Asia/Jakarta</t>
  </si>
  <si>
    <t>Tangerang|Indonesia|ID|106.629997|-6.178056|+7:00 Asia/Jakarta</t>
  </si>
  <si>
    <t>Tanjungkarang-Telukbetung|Indonesia|ID|105.266670|-5.450000|+7:00 Asia/Jakarta</t>
  </si>
  <si>
    <t>Tasikmalaya|Indonesia|ID|108.199997|-7.333333|+7:00 Asia/Jakarta</t>
  </si>
  <si>
    <t>Tebingtinggi|Indonesia|ID|99.150002|3.333333|+7:00 Asia/Jakarta</t>
  </si>
  <si>
    <t>Tegal|Indonesia|ID|109.133331|-6.866667|+7:00 Asia/Jakarta</t>
  </si>
  <si>
    <t>Teluknibung|Indonesia|ID|99.816666|3.016667|+7:00 Asia/Pontianak</t>
  </si>
  <si>
    <t>Yogyakarta|Indonesia|ID|110.360832|-7.782778|+7:00 Asia/Jakarta</t>
  </si>
  <si>
    <t>Abadan|Iran|IR|48.295834|30.352501|+3:30 Asia/Tehran</t>
  </si>
  <si>
    <t>Ahvaz|Iran|IR|48.691113|31.329166|+3:30 Asia/Tehran</t>
  </si>
  <si>
    <t>Arak|Iran|IR|49.683887|34.085556|+3:30 Asia/Tehran</t>
  </si>
  <si>
    <t>Ardabil|Iran|IR|48.301388|38.249443|+3:30 Asia/Tehran</t>
  </si>
  <si>
    <t>Azadshahr|Iran|IR|48.549999|34.799999|+3:30 Asia/Tehran</t>
  </si>
  <si>
    <t>Babol|Iran|IR|52.678890|36.544167|+3:30 Asia/Tehran</t>
  </si>
  <si>
    <t>Borujerd|Iran|IR|48.755833|33.896389|+3:30 Asia/Tehran</t>
  </si>
  <si>
    <t>Bukan|Iran|IR|46.215000|36.521946|+3:30 Asia/Tehran</t>
  </si>
  <si>
    <t>Esfahan|Iran|IR|51.671391|32.659721|+3:30 Asia/Tehran</t>
  </si>
  <si>
    <t>Eslamshahr|Iran|IR|51.255833|35.564445|+3:30 Asia/Tehran</t>
  </si>
  <si>
    <t>Gorgan|Iran|IR|54.436111|36.839443|+3:30 Asia/Tehran</t>
  </si>
  <si>
    <t>Homayunshahr|Iran|IR|51.531944|32.686111|+3:30 Asia/Tehran</t>
  </si>
  <si>
    <t>Kahriz|Iran|IR|47.058056|34.387779|+3:30 Asia/Tehran</t>
  </si>
  <si>
    <t>Karaj|Iran|IR|50.998203|35.828762|+3:30 Asia/Tehran</t>
  </si>
  <si>
    <t>Kerman|Iran|IR|57.084167|30.293888|+3:30 Asia/Tehran</t>
  </si>
  <si>
    <t>Khorramabad|Iran|IR|48.355835|33.487778|+3:30 Asia/Tehran</t>
  </si>
  <si>
    <t>Khorramshahr|Iran|IR|48.179165|30.439167|+3:30 Asia/Tehran</t>
  </si>
  <si>
    <t>Mashhad|Iran|IR|59.611946|36.295834|+3:30 Asia/Tehran</t>
  </si>
  <si>
    <t>Najafabad|Iran|IR|51.365833|32.633057|+3:30 Asia/Tehran</t>
  </si>
  <si>
    <t>Nazarabad|Iran|IR|50.607498|35.952099|+3:30 Asia/Tehran</t>
  </si>
  <si>
    <t>Neyshabur|Iran|IR|58.798889|36.209721|+3:30 Asia/Tehran</t>
  </si>
  <si>
    <t>Nurabad|Iran|IR|47.966667|34.066666|+3:30 Asia/Tehran</t>
  </si>
  <si>
    <t>Qarchak|Iran|IR|51.568890|35.439445|+3:30 Asia/Tehran</t>
  </si>
  <si>
    <t>Qazvin|Iran|IR|50.016945|36.262222|+3:30 Asia/Tehran</t>
  </si>
  <si>
    <t>Qom|Iran|IR|50.880833|34.645279|+3:30 Asia/Tehran</t>
  </si>
  <si>
    <t>Rasht|Iran|IR|49.585835|37.279446|+3:30 Asia/Tehran</t>
  </si>
  <si>
    <t>Sabzevar|Iran|IR|57.679722|36.214443|+3:30 Asia/Tehran</t>
  </si>
  <si>
    <t>Sanandaj|Iran|IR|46.998890|35.317223|+3:30 Asia/Tehran</t>
  </si>
  <si>
    <t>Sari|Iran|IR|53.058613|36.567780|+3:30 Asia/Tehran</t>
  </si>
  <si>
    <t>Shiraz|Iran|IR|52.538334|29.615000|+3:30 Asia/Tehran</t>
  </si>
  <si>
    <t>Sirjan|Iran|IR|55.671665|29.451389|+3:30 Asia/Tehran</t>
  </si>
  <si>
    <t>Tabriz|Iran|IR|46.291943|38.080002|+3:30 Asia/Tehran</t>
  </si>
  <si>
    <t>Tehran|Iran|IR|51.424446|35.671944|+3:30 Asia/Tehran</t>
  </si>
  <si>
    <t>Yazd|Iran|IR|54.367500|31.897223|+3:30 Asia/Tehran</t>
  </si>
  <si>
    <t>Zahedan|Iran|IR|60.872776|29.497778|+3:30 Asia/Tehran</t>
  </si>
  <si>
    <t>Zanjan|Iran|IR|48.478699|36.673599|+3:30 Asia/Tehran</t>
  </si>
  <si>
    <t>Abu Ghurayb|Iraq|IQ|44.185001|33.308334|+3:00 Asia/Baghdad</t>
  </si>
  <si>
    <t>Ad Diwaniyah|Iraq|IQ|44.925556|31.987778|+3:00 Asia/Baghdad</t>
  </si>
  <si>
    <t>Al `Amarah|Iraq|IQ|47.175278|31.845278|+3:00 Asia/Baghdad</t>
  </si>
  <si>
    <t>Al Basrah|Iraq|IQ|47.819168|30.494167|+3:00 Asia/Baghdad</t>
  </si>
  <si>
    <t>Al Basrah al Qadimah|Iraq|IQ|47.817501|30.495556|+3:00 Asia/Baghdad</t>
  </si>
  <si>
    <t>Al Hillah|Iraq|IQ|44.432777|32.479443|+3:00 Asia/Baghdad</t>
  </si>
  <si>
    <t>Al Kut|Iraq|IQ|45.829166|32.497501|+3:00 Asia/Baghdad</t>
  </si>
  <si>
    <t>Al Mawsil al Jadidah|Iraq|IQ|43.086113|36.329166|+3:00 Asia/Baghdad</t>
  </si>
  <si>
    <t>An Najaf|Iraq|IQ|44.314724|31.996111|+3:00 Asia/Baghdad</t>
  </si>
  <si>
    <t>An Nasiriyah|Iraq|IQ|46.259445|31.054167|+3:00 Asia/Baghdad</t>
  </si>
  <si>
    <t>Ar Ramadi|Iraq|IQ|43.312500|33.419724|+3:00 Asia/Baghdad</t>
  </si>
  <si>
    <t>Arbil|Iraq|IQ|44.008888|36.189999|+3:00 Asia/Baghdad</t>
  </si>
  <si>
    <t>As Sulaymaniyah|Iraq|IQ|45.440834|35.561668|+3:00 Asia/Baghdad</t>
  </si>
  <si>
    <t>Baghdad|Iraq|IQ|44.393890|33.338612|+3:00 Asia/Baghdad</t>
  </si>
  <si>
    <t>Karbala'|Iraq|IQ|44.016109|32.597778|+3:00 Asia/Baghdad</t>
  </si>
  <si>
    <t>Kirkuk|Iraq|IQ|44.392223|35.468056|+3:00 Asia/Baghdad</t>
  </si>
  <si>
    <t>Mosul|Iraq|IQ|43.118889|36.334999|+3:00 Asia/Baghdad</t>
  </si>
  <si>
    <t>Tikrit|Iraq|IQ|43.676945|34.596668|+3:00 Asia/Baghdad</t>
  </si>
  <si>
    <t>Tozkhurmato|Iraq|IQ|44.621944|34.883057|+3:00 Asia/Baghdad</t>
  </si>
  <si>
    <t>Zakho|Iraq|IQ|42.687222|37.144165|+3:00 Asia/Baghdad</t>
  </si>
  <si>
    <t>Bun Cranncha|Ireland|IE|-7.450000|55.133335|+0:00 Europe/Dublin</t>
  </si>
  <si>
    <t>Cill Mhantain|Ireland|IE|-6.049444|52.974998|+0:00 Europe/Dublin</t>
  </si>
  <si>
    <t>Dublin|Ireland|IE|-6.248889|53.333057|+0:00 Europe/Dublin</t>
  </si>
  <si>
    <t>Eochaill|Ireland|IE|-7.850555|51.950001|+0:00 Europe/Dublin</t>
  </si>
  <si>
    <t>Haifa|Israel|IL|34.989166|32.815556|+2:00 Asia/Jerusalem</t>
  </si>
  <si>
    <t>Jerusalem|Israel|IL|35.233334|31.766666|+2:00 Asia/Jerusalem</t>
  </si>
  <si>
    <t>Rishon LeZiyyon|Israel|IL|34.804443|31.964167|+2:00 Asia/Jerusalem</t>
  </si>
  <si>
    <t>Tel Aviv-Yafo|Israel|IL|34.764721|32.067780|+2:00 Asia/Jerusalem</t>
  </si>
  <si>
    <t>Yeroham|Israel|IL|34.931389|30.987223|+2:00 Asia/Jerusalem</t>
  </si>
  <si>
    <t>Zefat|Israel|IL|35.494446|32.966667|+2:00 Asia/Jerusalem</t>
  </si>
  <si>
    <t>Bari|Italy|IT|16.851185|41.117733|+1:00 Europe/Rome</t>
  </si>
  <si>
    <t>Bologna|Italy|IT|11.338749|44.493813|+1:00 Europe/Rome</t>
  </si>
  <si>
    <t>Catania|Italy|IT|15.087190|37.502132|+1:00 Europe/Rome</t>
  </si>
  <si>
    <t>Florence|Italy|IT|11.250000|43.766666|+1:00 Europe/Rome</t>
  </si>
  <si>
    <t>Genova|Italy|IT|8.950000|44.416668|+1:00 Europe/Rome</t>
  </si>
  <si>
    <t>Messina|Italy|IT|15.549690|38.193268|+1:00 Europe/Rome</t>
  </si>
  <si>
    <t>Milano|Italy|IT|9.188175|45.463684|+1:00 Europe/Rome</t>
  </si>
  <si>
    <t>Napoli|Italy|IT|14.250000|40.833332|+1:00 Europe/Rome</t>
  </si>
  <si>
    <t>Padova|Italy|IT|11.881808|45.415195|+1:00 Europe/Rome</t>
  </si>
  <si>
    <t>Palermo|Italy|IT|13.366667|38.116665|+1:00 Europe/Rome</t>
  </si>
  <si>
    <t>Rome|Italy|IT|12.483334|41.900002|+1:00 Europe/Rome</t>
  </si>
  <si>
    <t>Taranto|Italy|IT|17.229723|40.476112|+1:00 Europe/Rome</t>
  </si>
  <si>
    <t>Trieste|Italy|IT|13.780000|45.648613|+1:00 Europe/Rome</t>
  </si>
  <si>
    <t>Turin|Italy|IT|7.675022|45.077148|+1:00 Europe/Rome</t>
  </si>
  <si>
    <t>Venice|Italy|IT|12.326667|45.438610|+1:00 Europe/Rome</t>
  </si>
  <si>
    <t>Verona|Italy|IT|10.997788|45.434185|+1:00 Europe/Rome</t>
  </si>
  <si>
    <t>Vittoria|Italy|IT|14.533182|36.953739|+1:00 Europe/Rome</t>
  </si>
  <si>
    <t>Vizzini|Italy|IT|14.749685|37.160946|+1:00 Europe/Rome</t>
  </si>
  <si>
    <t>Zafferana Etnea|Italy|IT|15.107987|37.682156|+1:00 Europe/Rome</t>
  </si>
  <si>
    <t>Abidjan|Ivory Coast|CI|-4.028056|5.341111|+0:00 Africa/Abidjan</t>
  </si>
  <si>
    <t>Abobo|Ivory Coast|CI|-4.020555|5.418889|+0:00 Africa/Abidjan</t>
  </si>
  <si>
    <t>Bouake|Ivory Coast|CI|-5.033056|7.683333|+0:00 Africa/Abidjan</t>
  </si>
  <si>
    <t>Daloa|Ivory Coast|CI|-6.451944|6.874722|+0:00 Africa/Abidjan</t>
  </si>
  <si>
    <t>Vavoua|Ivory Coast|CI|-6.477778|7.381944|+0:00 Africa/Abidjan</t>
  </si>
  <si>
    <t>Yamoussoukro|Ivory Coast|CI|-5.283333|6.816667|+0:00 Africa/Abidjan</t>
  </si>
  <si>
    <t>Zuenoula|Ivory Coast|CI|-6.043056|7.429167|+0:00 Africa/Abidjan</t>
  </si>
  <si>
    <t>Kingston|Jamaica|JM|-76.793571|17.997019|-5:00 America/Jamaica</t>
  </si>
  <si>
    <t>New Kingston|Jamaica|JM|-76.783188|18.007467|-5:00 America/Jamaica</t>
  </si>
  <si>
    <t>Spanish Town|Jamaica|JM|-76.949997|17.983334|-5:00 America/Jamaica</t>
  </si>
  <si>
    <t>Stony Hill|Jamaica|JM|-76.791084|18.075369|-5:00 America/Jamaica</t>
  </si>
  <si>
    <t>Yallahs|Jamaica|JM|-76.566666|17.866667|-5:00 America/Jamaica</t>
  </si>
  <si>
    <t>Ageo|Japan|JP|139.588608|35.969723|+9:00 Asia/Tokyo</t>
  </si>
  <si>
    <t>Akashi|Japan|JP|134.983337|34.633335|+9:00 Asia/Tokyo</t>
  </si>
  <si>
    <t>Akita|Japan|JP|140.116669|39.716667|+9:00 Asia/Tokyo</t>
  </si>
  <si>
    <t>Amagasaki|Japan|JP|135.416672|34.716667|+9:00 Asia/Tokyo</t>
  </si>
  <si>
    <t>Aomori|Japan|JP|140.751114|40.821110|+9:00 Asia/Tokyo</t>
  </si>
  <si>
    <t>Asahikawa|Japan|JP|142.370285|43.767776|+9:00 Asia/Tokyo</t>
  </si>
  <si>
    <t>Atsugi|Japan|JP|139.359726|35.438889|+9:00 Asia/Tokyo</t>
  </si>
  <si>
    <t>Chiba|Japan|JP|140.116669|35.599998|+9:00 Asia/Tokyo</t>
  </si>
  <si>
    <t>Chigasaki|Japan|JP|139.403885|35.326111|+9:00 Asia/Tokyo</t>
  </si>
  <si>
    <t>Chofu|Japan|JP|139.552216|35.655556|+9:00 Asia/Tokyo</t>
  </si>
  <si>
    <t>Fuchu|Japan|JP|139.483337|35.666668|+9:00 Asia/Tokyo</t>
  </si>
  <si>
    <t>Fuji|Japan|JP|138.683334|35.166668|+9:00 Asia/Tokyo</t>
  </si>
  <si>
    <t>Fujisawa|Japan|JP|139.470001|35.341946|+9:00 Asia/Tokyo</t>
  </si>
  <si>
    <t>Fukui|Japan|JP|136.216660|36.066666|+9:00 Asia/Tokyo</t>
  </si>
  <si>
    <t>Fukuoka|Japan|JP|130.399994|33.583332|+9:00 Asia/Tokyo</t>
  </si>
  <si>
    <t>Fukushima|Japan|JP|140.466660|37.750000|+9:00 Asia/Tokyo</t>
  </si>
  <si>
    <t>Fukuyama|Japan|JP|133.366669|34.483334|+9:00 Asia/Tokyo</t>
  </si>
  <si>
    <t>Funabashi|Japan|JP|139.983337|35.693054|+9:00 Asia/Tokyo</t>
  </si>
  <si>
    <t>Gifu|Japan|JP|136.750000|35.416668|+9:00 Asia/Tokyo</t>
  </si>
  <si>
    <t>Hachinohe|Japan|JP|141.500000|40.500000|+9:00 Asia/Tokyo</t>
  </si>
  <si>
    <t>Hachioji|Japan|JP|139.323883|35.655834|+9:00 Asia/Tokyo</t>
  </si>
  <si>
    <t>Hakodate|Japan|JP|140.736664|41.775833|+9:00 Asia/Tokyo</t>
  </si>
  <si>
    <t>Hamamatsu|Japan|JP|137.733337|34.700001|+9:00 Asia/Tokyo</t>
  </si>
  <si>
    <t>Himeji|Japan|JP|134.699997|34.816666|+9:00 Asia/Tokyo</t>
  </si>
  <si>
    <t>Hirakata|Japan|JP|135.633331|34.799999|+9:00 Asia/Tokyo</t>
  </si>
  <si>
    <t>Hiratsuka|Japan|JP|139.342224|35.323055|+9:00 Asia/Tokyo</t>
  </si>
  <si>
    <t>Hiroshima|Japan|JP|132.449997|34.400002|+9:00 Asia/Tokyo</t>
  </si>
  <si>
    <t>Ibaraki|Japan|JP|135.566666|34.816666|+9:00 Asia/Tokyo</t>
  </si>
  <si>
    <t>Ichihara|Japan|JP|140.083328|35.516666|+9:00 Asia/Tokyo</t>
  </si>
  <si>
    <t>Ichikawa|Japan|JP|139.924728|35.719723|+9:00 Asia/Tokyo</t>
  </si>
  <si>
    <t>Ichinomiya|Japan|JP|136.800003|35.299999|+9:00 Asia/Tokyo</t>
  </si>
  <si>
    <t>Iwaki|Japan|JP|140.883331|37.049999|+9:00 Asia/Tokyo</t>
  </si>
  <si>
    <t>Kagoshima|Japan|JP|130.550003|31.600000|+9:00 Asia/Tokyo</t>
  </si>
  <si>
    <t>Kakogawa|Japan|JP|134.850006|34.766666|+9:00 Asia/Tokyo</t>
  </si>
  <si>
    <t>Kanazawa|Japan|JP|136.649994|36.566666|+9:00 Asia/Tokyo</t>
  </si>
  <si>
    <t>Kashiwa|Japan|JP|139.968887|35.854443|+9:00 Asia/Tokyo</t>
  </si>
  <si>
    <t>Kasugai|Japan|JP|136.983337|35.233334|+9:00 Asia/Tokyo</t>
  </si>
  <si>
    <t>Kasukabe|Japan|JP|139.753616|35.976387|+9:00 Asia/Tokyo</t>
  </si>
  <si>
    <t>Kawagoe|Japan|JP|139.485275|35.908611|+9:00 Asia/Tokyo</t>
  </si>
  <si>
    <t>Kawaguchi|Japan|JP|139.720551|35.805000|+9:00 Asia/Tokyo</t>
  </si>
  <si>
    <t>Kawasaki|Japan|JP|139.717224|35.520557|+9:00 Asia/Tokyo</t>
  </si>
  <si>
    <t>Kishiwada|Japan|JP|135.366669|34.466667|+9:00 Asia/Tokyo</t>
  </si>
  <si>
    <t>Kitakyushu|Japan|JP|130.833328|33.833332|+9:00 Asia/Tokyo</t>
  </si>
  <si>
    <t>Kobe|Japan|JP|135.166672|34.683334|+9:00 Asia/Tokyo</t>
  </si>
  <si>
    <t>Kochi|Japan|JP|133.550003|33.549999|+9:00 Asia/Tokyo</t>
  </si>
  <si>
    <t>Koriyama|Japan|JP|140.383331|37.400002|+9:00 Asia/Tokyo</t>
  </si>
  <si>
    <t>Koshigaya|Japan|JP|139.783340|35.883335|+9:00 Asia/Tokyo</t>
  </si>
  <si>
    <t>Kumamoto|Japan|JP|130.716660|32.799999|+9:00 Asia/Tokyo</t>
  </si>
  <si>
    <t>Kurashiki|Japan|JP|133.766663|34.583332|+9:00 Asia/Tokyo</t>
  </si>
  <si>
    <t>Kurume|Japan|JP|130.516663|33.316666|+9:00 Asia/Tokyo</t>
  </si>
  <si>
    <t>Kyoto|Japan|JP|135.750000|35.000000|+9:00 Asia/Tokyo</t>
  </si>
  <si>
    <t>Machida|Japan|JP|139.450836|35.540279|+9:00 Asia/Tokyo</t>
  </si>
  <si>
    <t>Maebashi|Japan|JP|139.066666|36.383335|+9:00 Asia/Tokyo</t>
  </si>
  <si>
    <t>Matsudo|Japan|JP|139.899994|35.783333|+9:00 Asia/Tokyo</t>
  </si>
  <si>
    <t>Matsumoto|Japan|JP|137.966660|36.233334|+9:00 Asia/Tokyo</t>
  </si>
  <si>
    <t>Minami-rinkan|Japan|JP|139.449997|35.483334|+9:00 Asia/Tokyo</t>
  </si>
  <si>
    <t>Mito|Japan|JP|140.466660|36.366665|+9:00 Asia/Tokyo</t>
  </si>
  <si>
    <t>Miyazaki|Japan|JP|131.433334|31.900000|+9:00 Asia/Tokyo</t>
  </si>
  <si>
    <t>Morioka|Japan|JP|141.149994|39.700001|+9:00 Asia/Tokyo</t>
  </si>
  <si>
    <t>Nagano|Japan|JP|138.183334|36.650002|+9:00 Asia/Tokyo</t>
  </si>
  <si>
    <t>Nagasaki|Japan|JP|129.868332|32.755001|+9:00 Asia/Tokyo</t>
  </si>
  <si>
    <t>Nagoya|Japan|JP|136.916672|35.166668|+9:00 Asia/Tokyo</t>
  </si>
  <si>
    <t>Naha|Japan|JP|127.673332|26.207222|+9:00 Asia/Tokyo</t>
  </si>
  <si>
    <t>Nara|Japan|JP|135.833328|34.683334|+9:00 Asia/Tokyo</t>
  </si>
  <si>
    <t>Nerima|Japan|JP|139.649994|35.733334|+9:00 Asia/Tokyo</t>
  </si>
  <si>
    <t>Niigata|Japan|JP|139.050003|37.916668|+9:00 Asia/Tokyo</t>
  </si>
  <si>
    <t>Nishinomiya|Japan|JP|135.333328|34.716667|+9:00 Asia/Tokyo</t>
  </si>
  <si>
    <t>Numazu|Japan|JP|138.866669|35.099998|+9:00 Asia/Tokyo</t>
  </si>
  <si>
    <t>Odawara|Japan|JP|139.159729|35.255554|+9:00 Asia/Tokyo</t>
  </si>
  <si>
    <t>Oita|Japan|JP|131.604446|33.237221|+9:00 Asia/Tokyo</t>
  </si>
  <si>
    <t>Okayama|Japan|JP|133.916672|34.650002|+9:00 Asia/Tokyo</t>
  </si>
  <si>
    <t>Okazaki|Japan|JP|137.166672|34.950001|+9:00 Asia/Tokyo</t>
  </si>
  <si>
    <t>Osaka|Japan|JP|135.500000|34.666668|+9:00 Asia/Tokyo</t>
  </si>
  <si>
    <t>Otsu|Japan|JP|135.866669|35.000000|+9:00 Asia/Tokyo</t>
  </si>
  <si>
    <t>Sagamihara|Japan|JP|139.354446|35.553055|+9:00 Asia/Tokyo</t>
  </si>
  <si>
    <t>Sakai|Japan|JP|135.466660|34.583332|+9:00 Asia/Tokyo</t>
  </si>
  <si>
    <t>Sapporo|Japan|JP|141.353882|43.054722|+9:00 Asia/Tokyo</t>
  </si>
  <si>
    <t>Sasebo|Japan|JP|129.722778|33.159168|+9:00 Asia/Tokyo</t>
  </si>
  <si>
    <t>Sendai|Japan|JP|140.884720|38.254723|+9:00 Asia/Tokyo</t>
  </si>
  <si>
    <t>Shimminatocho|Japan|JP|135.199997|34.183334|+9:00 Asia/Tokyo</t>
  </si>
  <si>
    <t>Shimonoseki|Japan|JP|130.949997|33.950001|+9:00 Asia/Tokyo</t>
  </si>
  <si>
    <t>Shingu|Japan|JP|135.983337|33.733334|+9:00 Asia/Tokyo</t>
  </si>
  <si>
    <t>Shizuoka|Japan|JP|138.383331|34.966667|+9:00 Asia/Tokyo</t>
  </si>
  <si>
    <t>Soka|Japan|JP|139.804443|35.820278|+9:00 Asia/Tokyo</t>
  </si>
  <si>
    <t>Suita|Japan|JP|135.533340|34.750000|+9:00 Asia/Tokyo</t>
  </si>
  <si>
    <t>Takamatsu|Japan|JP|134.050003|34.333332|+9:00 Asia/Tokyo</t>
  </si>
  <si>
    <t>Takarazuka|Japan|JP|135.350006|34.799999|+9:00 Asia/Tokyo</t>
  </si>
  <si>
    <t>Takasaki|Japan|JP|139.016663|36.333332|+9:00 Asia/Tokyo</t>
  </si>
  <si>
    <t>Takatsuki|Japan|JP|135.616669|34.849998|+9:00 Asia/Tokyo</t>
  </si>
  <si>
    <t>Tokorozawa|Japan|JP|139.467773|35.786388|+9:00 Asia/Tokyo</t>
  </si>
  <si>
    <t>Tokushima|Japan|JP|134.566666|34.066666|+9:00 Asia/Tokyo</t>
  </si>
  <si>
    <t>Tokyo|Japan|JP|139.751389|35.685001|+9:00 Asia/Tokyo</t>
  </si>
  <si>
    <t>Toyama|Japan|JP|137.216660|36.683334|+9:00 Asia/Tokyo</t>
  </si>
  <si>
    <t>Toyohashi|Japan|JP|137.383331|34.766666|+9:00 Asia/Tokyo</t>
  </si>
  <si>
    <t>Toyonaka|Japan|JP|135.466660|34.783333|+9:00 Asia/Tokyo</t>
  </si>
  <si>
    <t>Toyota|Japan|JP|137.149994|35.083332|+9:00 Asia/Tokyo</t>
  </si>
  <si>
    <t>Utsunomiya|Japan|JP|139.866669|36.549999|+9:00 Asia/Tokyo</t>
  </si>
  <si>
    <t>Yamagata|Japan|JP|140.337494|38.252777|+9:00 Asia/Tokyo</t>
  </si>
  <si>
    <t>Yao|Japan|JP|135.600006|34.616665|+9:00 Asia/Tokyo</t>
  </si>
  <si>
    <t>Yokkaichi|Japan|JP|136.616669|34.966667|+9:00 Asia/Tokyo</t>
  </si>
  <si>
    <t>Yokohama|Japan|JP|139.649994|35.450001|+9:00 Asia/Tokyo</t>
  </si>
  <si>
    <t>Yokosuka|Japan|JP|139.667221|35.283611|+9:00 Asia/Tokyo</t>
  </si>
  <si>
    <t>Yono|Japan|JP|139.633331|35.883335|+9:00 Asia/Tokyo</t>
  </si>
  <si>
    <t>Amman|Jordan|JO|35.933334|31.950001|+2:00 Asia/Amman</t>
  </si>
  <si>
    <t>Irbid|Jordan|JO|35.849998|32.555557|+2:00 Asia/Amman</t>
  </si>
  <si>
    <t>Umm as Summaq|Jordan|JO|35.849998|31.883333|+2:00 Asia/Amman</t>
  </si>
  <si>
    <t>Wadi as Sir|Jordan|JO|35.816666|31.950001|+2:00 Asia/Amman</t>
  </si>
  <si>
    <t>Waqqas|Jordan|JO|35.599998|32.549999|+2:00 Asia/Amman</t>
  </si>
  <si>
    <t>Almaty|Kazakhstan|KZ|76.949997|43.250000|+6:00 Asia/Almaty</t>
  </si>
  <si>
    <t>Aqtobe|Kazakhstan|KZ|57.181389|50.298054|+5:00 Asia/Aqtobe</t>
  </si>
  <si>
    <t>Astana|Kazakhstan|KZ|71.427780|51.181110|+6:00 Asia/Qyzylorda</t>
  </si>
  <si>
    <t>Karagandy|Kazakhstan|KZ|54.866665|50.066666|+5:00 Asia/Aqtobe</t>
  </si>
  <si>
    <t>Pavlodar|Kazakhstan|KZ|76.949997|52.299999|+6:00 Asia/Almaty</t>
  </si>
  <si>
    <t>Petropavlovsk|Kazakhstan|KZ|69.162781|54.875278|+6:00 Asia/Qyzylorda</t>
  </si>
  <si>
    <t>Semipalatinsk|Kazakhstan|KZ|80.227501|50.411110|+6:00 Asia/Almaty</t>
  </si>
  <si>
    <t>Shubarshi|Kazakhstan|KZ|57.186943|48.587223|+5:00 Asia/Aqtobe</t>
  </si>
  <si>
    <t>Shymkent|Kazakhstan|KZ|69.599998|42.299999|+6:00 Asia/Qyzylorda</t>
  </si>
  <si>
    <t>Taraz|Kazakhstan|KZ|71.366669|42.900002|+6:00 Asia/Almaty</t>
  </si>
  <si>
    <t>Ust'-Kamenogorsk|Kazakhstan|KZ|82.610275|49.978889|+6:00 Asia/Almaty</t>
  </si>
  <si>
    <t>Zhetibay|Kazakhstan|KZ|52.078888|43.594166|+5:00 Asia/Aqtau</t>
  </si>
  <si>
    <t>Zhumysker|Kazakhstan|KZ|49.400002|49.333332|+5:00 Asia/Oral</t>
  </si>
  <si>
    <t>Eldoret|Kenya|KE|35.283333|0.516667|+3:00 Africa/Nairobi</t>
  </si>
  <si>
    <t>Kisumu|Kenya|KE|34.750000|-0.100000|+3:00 Africa/Nairobi</t>
  </si>
  <si>
    <t>Mombasa|Kenya|KE|39.666668|-4.050000|+3:00 Africa/Nairobi</t>
  </si>
  <si>
    <t>Nairobi|Kenya|KE|36.816666|-1.283333|+3:00 Africa/Nairobi</t>
  </si>
  <si>
    <t>Nakuru|Kenya|KE|36.066666|-0.283333|+3:00 Africa/Nairobi</t>
  </si>
  <si>
    <t>Witu|Kenya|KE|40.453056|-2.390556|+3:00 Africa/Nairobi</t>
  </si>
  <si>
    <t>Wote|Kenya|KE|37.633335|-1.783333|+3:00 Africa/Nairobi</t>
  </si>
  <si>
    <t>Wundanyi|Kenya|KE|38.366665|-3.400000|+3:00 Africa/Nairobi</t>
  </si>
  <si>
    <t>Bairiki|Kiribati|KI|172.978012|1.329141|+12:00 Pacific/Tarawa</t>
  </si>
  <si>
    <t>Az Zawr|Kuwait|KW|48.274723|29.442499|+3:00 Asia/Kuwait</t>
  </si>
  <si>
    <t>Bayan|Kuwait|KW|48.039165|29.318056|+3:00 Asia/Kuwait</t>
  </si>
  <si>
    <t>Janub as Surrah|Kuwait|KW|47.978054|29.269167|+3:00 Asia/Kuwait</t>
  </si>
  <si>
    <t>Kuwait City|Kuwait|KW|47.970001|29.350000|+3:00 Asia/Kuwait</t>
  </si>
  <si>
    <t>Bishkek|Kyrgyzstan|KG|74.600281|42.873055|+6:00 Asia/Bishkek</t>
  </si>
  <si>
    <t>Isfana|Kyrgyzstan|KG|69.516670|39.833332|+6:00 Asia/Bishkek</t>
  </si>
  <si>
    <t>Khaydarkan|Kyrgyzstan|KG|71.345833|39.941387|+6:00 Asia/Bishkek</t>
  </si>
  <si>
    <t>Suluktu|Kyrgyzstan|KG|69.569725|39.930279|+6:00 Asia/Bishkek</t>
  </si>
  <si>
    <t>Savannakhet|Laos|LA|104.750000|16.549999|+7:00 Asia/Vientiane</t>
  </si>
  <si>
    <t>Vientiane|Laos|LA|102.599998|17.966667|+7:00 Asia/Vientiane</t>
  </si>
  <si>
    <t>Xam Nua|Laos|LA|104.043892|20.419722|+7:00 Asia/Vientiane</t>
  </si>
  <si>
    <t>Riga|Latvia|LV|24.100000|56.950001|+2:00 Europe/Riga</t>
  </si>
  <si>
    <t>Valmiera|Latvia|LV|25.424423|57.535915|+2:00 Europe/Riga</t>
  </si>
  <si>
    <t>Vec-Liepaja|Latvia|LV|21.016666|56.533333|+2:00 Europe/Riga</t>
  </si>
  <si>
    <t>Ventspils|Latvia|LV|21.560556|57.389446|+2:00 Europe/Riga</t>
  </si>
  <si>
    <t>Beirut|Lebanon|LB|35.509724|33.871944|+2:00 Asia/Beirut</t>
  </si>
  <si>
    <t>Ra's Bayrut|Lebanon|LB|35.483334|33.900002|+2:00 Asia/Beirut</t>
  </si>
  <si>
    <t>Tripoli|Lebanon|LB|35.849724|34.436668|+2:00 Asia/Beirut</t>
  </si>
  <si>
    <t>Tyre|Lebanon|LB|35.193890|33.273335|+2:00 Asia/Beirut</t>
  </si>
  <si>
    <t>Zahle|Lebanon|LB|35.904167|33.849724|+2:00 Asia/Beirut</t>
  </si>
  <si>
    <t>Qacha's Nek|Lesotho|LS|28.683332|-30.116667|+2:00 Africa/Maseru</t>
  </si>
  <si>
    <t>Quthing|Lesotho|LS|27.716667|-30.400000|+2:00 Africa/Maseru</t>
  </si>
  <si>
    <t>Teyateyaneng|Lesotho|LS|27.733334|-29.150000|+2:00 Africa/Maseru</t>
  </si>
  <si>
    <t>Dili|Lesser Sunda Islands|TL|125.573608|-8.558611|+9:00 Asia/Dili</t>
  </si>
  <si>
    <t>Monrovia|Liberia|LR|-10.804722|6.310555|+0:00 Africa/Monrovia</t>
  </si>
  <si>
    <t>New Yekepa|Liberia|LR|-8.537778|7.579444|+0:00 Africa/Monrovia</t>
  </si>
  <si>
    <t>Tubmanburg|Liberia|LR|-10.817223|6.870833|+0:00 Africa/Monrovia</t>
  </si>
  <si>
    <t>Zwedru|Liberia|LR|-8.128056|6.066667|+0:00 Africa/Monrovia</t>
  </si>
  <si>
    <t>Al Khums|Libya|LY|14.266666|32.650002|+2:00 Africa/Tripoli</t>
  </si>
  <si>
    <t>Banghazi|Libya|LY|20.066668|32.116665|+2:00 Africa/Tripoli</t>
  </si>
  <si>
    <t>Bardiyah|Libya|LY|25.100000|31.766666|+2:00 Africa/Tripoli</t>
  </si>
  <si>
    <t>Misratah|Libya|LY|15.090555|32.378334|+2:00 Africa/Tripoli</t>
  </si>
  <si>
    <t>Suluq|Libya|LY|20.250000|31.668612|+2:00 Africa/Tripoli</t>
  </si>
  <si>
    <t>Tarhunah|Libya|LY|13.633333|32.433334|+2:00 Africa/Tripoli</t>
  </si>
  <si>
    <t>Tobruk|Libya|LY|23.976389|32.083611|+2:00 Africa/Tripoli</t>
  </si>
  <si>
    <t>Tripoli|Libya|LY|13.180000|32.892502|+2:00 Asia/Beirut</t>
  </si>
  <si>
    <t>Triesen|Liechtenstein|LI|9.533333|47.099998|+1:00 Europe/Vaduz</t>
  </si>
  <si>
    <t>Triesenberg|Liechtenstein|LI|9.533333|47.116665|+1:00 Europe/Vaduz</t>
  </si>
  <si>
    <t>Vaduz|Liechtenstein|LI|9.516666|47.133335|+1:00 Europe/Vaduz</t>
  </si>
  <si>
    <t>Kaunas|Lithuania|LT|23.900000|54.900002|+2:00 Europe/Vilnius</t>
  </si>
  <si>
    <t>Vilnius|Lithuania|LT|25.316668|54.683334|+2:00 Europe/Vilnius</t>
  </si>
  <si>
    <t>Visaginas|Lithuania|LT|26.416666|55.599998|+2:00 Europe/Vilnius</t>
  </si>
  <si>
    <t>Zarasai|Lithuania|LT|26.250000|55.733334|+2:00 Europe/Vilnius</t>
  </si>
  <si>
    <t>Petange|Luxembourg|LU|5.880556|49.558334|+1:00 Europe/Luxembourg</t>
  </si>
  <si>
    <t>Schifflange|Luxembourg|LU|6.012778|49.506390|+1:00 Europe/Luxembourg</t>
  </si>
  <si>
    <t>Strassen|Luxembourg|LU|6.073333|49.620556|+1:00 Europe/Luxembourg</t>
  </si>
  <si>
    <t>Skopje|Macedonia|MK|21.433332|42.000000|+1:00 Europe/Skopje</t>
  </si>
  <si>
    <t>Zitose|Macedonia|MK|21.290556|41.420834|+1:00 Europe/Skopje</t>
  </si>
  <si>
    <t>Zletovo|Macedonia|MK|22.236111|41.988609|+1:00 Europe/Skopje</t>
  </si>
  <si>
    <t>Zrnovci|Macedonia|MK|22.444445|41.854168|+1:00 Europe/Skopje</t>
  </si>
  <si>
    <t>Antananarivo|Madagascar|MG|47.516666|-18.916666|+3:00 Indian/Antananarivo</t>
  </si>
  <si>
    <t>Toamasina|Madagascar|MG|49.383335|-18.166666|+3:00 Indian/Antananarivo</t>
  </si>
  <si>
    <t>Vohibinany|Madagascar|MG|49.033333|-17.350000|+3:00 Indian/Antananarivo</t>
  </si>
  <si>
    <t>Vondrozo|Madagascar|MG|47.283333|-22.816668|+3:00 Indian/Antananarivo</t>
  </si>
  <si>
    <t>Victoria|Mahe|SC|55.450001|-4.616667|-8:00 America/Vancouver</t>
  </si>
  <si>
    <t>Blantyre|Malawi|MW|35.000000|-15.783333|+2:00 Africa/Blantyre</t>
  </si>
  <si>
    <t>Chitipa|Malawi|MW|33.266666|-9.716667|+2:00 Africa/Blantyre</t>
  </si>
  <si>
    <t>Karonga|Malawi|MW|33.933334|-9.933333|+2:00 Africa/Blantyre</t>
  </si>
  <si>
    <t>Lilongwe|Malawi|MW|33.783333|-13.983334|+2:00 Africa/Blantyre</t>
  </si>
  <si>
    <t>Zomba|Malawi|MW|35.333332|-15.383333|+2:00 Africa/Blantyre</t>
  </si>
  <si>
    <t>Alor Setar|Malaysia|MY|100.366669|6.116667|+8:00 Asia/Kuala_Lumpur</t>
  </si>
  <si>
    <t>Bukit Mertajam|Malaysia|MY|100.466667|5.366667|+8:00 Asia/Kuala_Lumpur</t>
  </si>
  <si>
    <t>Ipoh|Malaysia|MY|101.083336|4.583333|+8:00 Asia/Kuala_Lumpur</t>
  </si>
  <si>
    <t>Jerantut|Malaysia|MY|102.366669|3.933333|+8:00 Asia/Kuala_Lumpur</t>
  </si>
  <si>
    <t>Johor Bahru|Malaysia|MY|103.750000|1.466667|+8:00 Asia/Kuala_Lumpur</t>
  </si>
  <si>
    <t>Kampung Baru Subang|Malaysia|MY|101.533333|3.150000|+8:00 Asia/Kuala_Lumpur</t>
  </si>
  <si>
    <t>Klang|Malaysia|MY|101.449997|3.033333|+8:00 Asia/Kuala_Lumpur</t>
  </si>
  <si>
    <t>Kota Baharu|Malaysia|MY|102.250000|6.133333|+8:00 Asia/Kuala_Lumpur</t>
  </si>
  <si>
    <t>Kota Kinabalu|Malaysia|MY|116.066666|5.983333|+8:00 Asia/Kuching</t>
  </si>
  <si>
    <t>Kuah|Malaysia|MY|99.849998|6.316667|+8:00 Asia/Kuala_Lumpur</t>
  </si>
  <si>
    <t>Kuala Lumpur|Malaysia|MY|101.699997|3.166667|+8:00 Asia/Kuala_Lumpur</t>
  </si>
  <si>
    <t>Kuala Terengganu|Malaysia|MY|103.133331|5.333333|+8:00 Asia/Kuala_Lumpur</t>
  </si>
  <si>
    <t>Kuantan|Malaysia|MY|103.333336|3.800000|+8:00 Asia/Kuala_Lumpur</t>
  </si>
  <si>
    <t>Kuching|Malaysia|MY|110.333336|1.550000|+8:00 Asia/Kuching</t>
  </si>
  <si>
    <t>Miri|Malaysia|MY|113.983330|4.383333|+8:00 Asia/Kuching</t>
  </si>
  <si>
    <t>Petaling Jaya|Malaysia|MY|101.650002|3.083333|+8:00 Asia/Kuala_Lumpur</t>
  </si>
  <si>
    <t>Raub|Malaysia|MY|101.866669|3.800000|+8:00 Asia/Kuala_Lumpur</t>
  </si>
  <si>
    <t>Sandakan|Malaysia|MY|118.116669|5.833333|+8:00 Asia/Kuching</t>
  </si>
  <si>
    <t>Seremban|Malaysia|MY|101.933334|2.716667|+8:00 Asia/Kuala_Lumpur</t>
  </si>
  <si>
    <t>Shah Alam|Malaysia|MY|101.532814|3.085066|+8:00 Asia/Kuala_Lumpur</t>
  </si>
  <si>
    <t>Sungai Petani|Malaysia|MY|100.500000|5.650000|+8:00 Asia/Kuala_Lumpur</t>
  </si>
  <si>
    <t>Taiping|Malaysia|MY|100.733330|4.850000|+8:00 Asia/Kuala_Lumpur</t>
  </si>
  <si>
    <t>Tawau|Malaysia|MY|117.900002|4.250000|+8:00 Asia/Kuching</t>
  </si>
  <si>
    <t>Hithadhoo|Maldives|MV|73.083336|-0.600000|+5:00 Indian/Maldives</t>
  </si>
  <si>
    <t>Male|Maldives|MV|73.509865|4.177108|+5:00 Indian/Maldives</t>
  </si>
  <si>
    <t>Thinadhoo|Maldives|MV|72.933334|0.533333|+5:00 Indian/Maldives</t>
  </si>
  <si>
    <t>Bamako|Mali|ML|-8.000000|12.650000|+0:00 Africa/Bamako</t>
  </si>
  <si>
    <t>Tenenkou|Mali|ML|-4.916667|14.466667|+0:00 Africa/Bamako</t>
  </si>
  <si>
    <t>Tombouctou|Mali|ML|-3.007421|16.773479|+0:00 Africa/Bamako</t>
  </si>
  <si>
    <t>Yorosso|Mali|ML|-4.783333|12.366667|+0:00 Africa/Bamako</t>
  </si>
  <si>
    <t>Zebbug|Malta|MT|14.441112|35.871944|+1:00 Europe/Malta</t>
  </si>
  <si>
    <t>Zejtun|Malta|MT|14.533055|35.855835|+1:00 Europe/Malta</t>
  </si>
  <si>
    <t>Zurrieq|Malta|MT|14.474167|35.831112|+1:00 Europe/Malta</t>
  </si>
  <si>
    <t>Majuro|Marshall Islands|MH|171.383331|7.100000|+12:00 Pacific/Majuro</t>
  </si>
  <si>
    <t>Sainte-Luce|Martinique|MQ|-60.916668|14.466667|-4:00 America/Martinique</t>
  </si>
  <si>
    <t>Sainte-Marie|Martinique|MQ|-60.983334|14.783333|-4:00 America/Martinique</t>
  </si>
  <si>
    <t>Saint-Joseph|Martinique|MQ|-61.033333|14.666667|-4:00 America/Martinique</t>
  </si>
  <si>
    <t>Nouakchott|Mauritania|MR|-16.040556|18.119444|+0:00 Africa/Nouakchott</t>
  </si>
  <si>
    <t>Tamarin|Mauritius|MU|57.370556|-20.325556|+4:00 Indian/Mauritius</t>
  </si>
  <si>
    <t>Terre Rouge|Mauritius|MU|57.524445|-20.126112|+4:00 Indian/Mauritius</t>
  </si>
  <si>
    <t>Triolet|Mauritius|MU|57.545277|-20.054722|+4:00 Indian/Mauritius</t>
  </si>
  <si>
    <t>Bandraboua|Mayotte|YT|45.120556|-12.701667|+3:00 Indian/Mayotte</t>
  </si>
  <si>
    <t>Mamoudzou|Mayotte|YT|45.227222|-12.779445|+3:00 Indian/Mayotte</t>
  </si>
  <si>
    <t>Mtsamboro|Mayotte|YT|45.066666|-12.696667|+3:00 Indian/Mayotte</t>
  </si>
  <si>
    <t>Acapulco de Juarez|Mexico|MX|-99.916664|16.850000|-6:00 America/Mexico_City</t>
  </si>
  <si>
    <t>Aguascalientes|Mexico|MX|-102.300003|21.883333|-6:00 America/Mexico_City</t>
  </si>
  <si>
    <t>Apodaca|Mexico|MX|-100.199997|25.766666|-6:00 America/Monterrey</t>
  </si>
  <si>
    <t>Campeche|Mexico|MX|-90.533333|19.850000|-6:00 America/Merida</t>
  </si>
  <si>
    <t>Cancun|Mexico|MX|-86.846558|21.174288|-6:00 America/Cancun</t>
  </si>
  <si>
    <t>Celaya|Mexico|MX|-100.816666|20.516666|-6:00 America/Mexico_City</t>
  </si>
  <si>
    <t>Chihuahua|Mexico|MX|-106.083336|28.633333|-6:00 America/Monterrey</t>
  </si>
  <si>
    <t>Ciudad Juarez|Mexico|MX|-106.483330|31.733334|-6:00 America/Monterrey</t>
  </si>
  <si>
    <t>Ciudad Lopez Mateos|Mexico|MX|-99.261391|19.558332|-6:00 America/Mexico_City</t>
  </si>
  <si>
    <t>Ciudad Nezahualcoyotl|Mexico|MX|-99.033058|19.413610|-6:00 America/Mexico_City</t>
  </si>
  <si>
    <t>Ciudad Obregon|Mexico|MX|-109.933334|27.483334|-7:00 America/Hermosillo</t>
  </si>
  <si>
    <t>Ciudad Victoria|Mexico|MX|-99.133331|23.733334|-6:00 America/Monterrey</t>
  </si>
  <si>
    <t>Coacalco|Mexico|MX|-99.110275|19.631666|-6:00 America/Mexico_City</t>
  </si>
  <si>
    <t>Coatzacoalcos|Mexico|MX|-94.416664|18.150000|-6:00 America/Mexico_City</t>
  </si>
  <si>
    <t>Cuauhtemoc|Mexico|MX|-98.150002|22.533333|-6:00 America/Mexico_City</t>
  </si>
  <si>
    <t>Cuautitlan Izcalli|Mexico|MX|-99.246666|19.646944|-6:00 America/Mexico_City</t>
  </si>
  <si>
    <t>Cuernavaca|Mexico|MX|-99.250000|18.916666|-6:00 America/Mexico_City</t>
  </si>
  <si>
    <t>Culiacan|Mexico|MX|-107.389725|24.799444|-7:00 America/Mazatlan</t>
  </si>
  <si>
    <t>Durango|Mexico|MX|-104.666664|24.033333|-6:00 America/Monterrey</t>
  </si>
  <si>
    <t>Ecatepec|Mexico|MX|-99.052498|19.601110|-6:00 America/Mexico_City</t>
  </si>
  <si>
    <t>Ensenada|Mexico|MX|-116.616669|31.866667|-8:00 America/Tijuana</t>
  </si>
  <si>
    <t>General Escobedo|Mexico|MX|-100.333336|25.816668|-6:00 America/Monterrey</t>
  </si>
  <si>
    <t>Gomez Palacio|Mexico|MX|-103.500000|25.566668|-6:00 America/Monterrey</t>
  </si>
  <si>
    <t>Guadalajara|Mexico|MX|-103.333336|20.666666|-6:00 America/Mexico_City</t>
  </si>
  <si>
    <t>Guadalupe|Mexico|MX|-100.250000|25.683332|-6:00 America/Monterrey</t>
  </si>
  <si>
    <t>Hermosillo|Mexico|MX|-110.966667|29.066668|-7:00 America/Hermosillo</t>
  </si>
  <si>
    <t>Irapuato|Mexico|MX|-101.349998|20.683332|-6:00 America/Mexico_City</t>
  </si>
  <si>
    <t>Ixtapaluca|Mexico|MX|-98.883331|19.316668|-6:00 America/Mexico_City</t>
  </si>
  <si>
    <t>Jalapa Enriquez|Mexico|MX|-96.916664|19.533333|-6:00 America/Mexico_City</t>
  </si>
  <si>
    <t>Leon|Mexico|MX|-101.666664|21.116667|-6:00 America/Mexico_City</t>
  </si>
  <si>
    <t>Los Mochis|Mexico|MX|-108.966667|25.766666|-7:00 America/Mazatlan</t>
  </si>
  <si>
    <t>Los Reyes|Mexico|MX|-98.966667|19.350000|-6:00 America/Mexico_City</t>
  </si>
  <si>
    <t>Matamoros|Mexico|MX|-97.500000|25.883333|-6:00 America/Monterrey</t>
  </si>
  <si>
    <t>Mazatlan|Mexico|MX|-106.416664|23.216667|-7:00 America/Mazatlan</t>
  </si>
  <si>
    <t>Merida|Mexico|MX|-89.616669|20.966667|-6:00 America/Merida</t>
  </si>
  <si>
    <t>Mexicali|Mexico|MX|-115.468330|32.651943|-8:00 America/Tijuana</t>
  </si>
  <si>
    <t>Mexico City|Mexico|MX|-99.138611|19.434166|-6:00 America/Mexico_City</t>
  </si>
  <si>
    <t>Monterrey|Mexico|MX|-100.316666|25.666666|-6:00 America/Monterrey</t>
  </si>
  <si>
    <t>Morelia|Mexico|MX|-101.116669|19.700001|-6:00 America/Mexico_City</t>
  </si>
  <si>
    <t>Naucalpan de Juarez|Mexico|MX|-99.239632|19.478508|-6:00 America/Mexico_City</t>
  </si>
  <si>
    <t>Nicolas Romero|Mexico|MX|-99.313057|19.621944|-6:00 America/Mexico_City</t>
  </si>
  <si>
    <t>Nuevo Laredo|Mexico|MX|-99.516670|27.500000|-6:00 America/Monterrey</t>
  </si>
  <si>
    <t>Oaxaca de Juarez|Mexico|MX|-96.716667|17.049999|-6:00 America/Mexico_City</t>
  </si>
  <si>
    <t>Pachuca de Soto|Mexico|MX|-98.733292|20.116974|-6:00 America/Mexico_City</t>
  </si>
  <si>
    <t>Puebla de Zaragoza|Mexico|MX|-98.199997|19.049999|-6:00 America/Mexico_City</t>
  </si>
  <si>
    <t>Queretaro|Mexico|MX|-100.383331|20.600000|-6:00 America/Mexico_City</t>
  </si>
  <si>
    <t>Reynosa|Mexico|MX|-98.283333|26.083334|-6:00 America/Monterrey</t>
  </si>
  <si>
    <t>Saltillo|Mexico|MX|-101.000000|25.416666|-6:00 America/Monterrey</t>
  </si>
  <si>
    <t>San Fernando|Mexico|MX|-98.150002|24.850000|-6:00 America/Monterrey</t>
  </si>
  <si>
    <t>San Luis Potosi|Mexico|MX|-100.983330|22.150000|-6:00 America/Mexico_City</t>
  </si>
  <si>
    <t>San Nicolas de los Garzas|Mexico|MX|-100.300003|25.750000|-6:00 America/Monterrey</t>
  </si>
  <si>
    <t>Santa Catarina|Mexico|MX|-100.466667|25.683332|-6:00 America/Monterrey</t>
  </si>
  <si>
    <t>Tampico|Mexico|MX|-97.849998|22.216667|-6:00 America/Mexico_City</t>
  </si>
  <si>
    <t>Tehuacan|Mexico|MX|-97.383331|18.450001|-6:00 America/Mexico_City</t>
  </si>
  <si>
    <t>Tepic|Mexico|MX|-104.900002|21.500000|-7:00 America/Mazatlan</t>
  </si>
  <si>
    <t>Tijuana|Mexico|MX|-117.016670|32.533333|-8:00 America/Tijuana</t>
  </si>
  <si>
    <t>Tlalnepantla|Mexico|MX|-99.221664|19.526945|-6:00 America/Mexico_City</t>
  </si>
  <si>
    <t>Tlaquepaque|Mexico|MX|-103.316666|20.650000|-6:00 America/Mexico_City</t>
  </si>
  <si>
    <t>Toluca|Mexico|MX|-99.667221|19.288334|-6:00 America/Mexico_City</t>
  </si>
  <si>
    <t>Tonala|Mexico|MX|-103.233330|20.616667|-6:00 America/Mexico_City</t>
  </si>
  <si>
    <t>Torreon|Mexico|MX|-103.433334|25.549999|-6:00 America/Monterrey</t>
  </si>
  <si>
    <t>Tuxtla Gutierrez|Mexico|MX|-93.116669|16.750000|-6:00 America/Merida</t>
  </si>
  <si>
    <t>Uruapan del Progreso|Mexico|MX|-102.066666|19.416666|-6:00 America/Mexico_City</t>
  </si>
  <si>
    <t>Veracruz|Mexico|MX|-96.133331|19.200001|-6:00 America/Mexico_City</t>
  </si>
  <si>
    <t>Villahermosa|Mexico|MX|-92.916664|17.983334|-6:00 America/Merida</t>
  </si>
  <si>
    <t>Xico|Mexico|MX|-98.933334|19.266666|-6:00 America/Mexico_City</t>
  </si>
  <si>
    <t>Xicotencatl|Mexico|MX|-98.883331|23.016666|-6:00 America/Monterrey</t>
  </si>
  <si>
    <t>Zapopan|Mexico|MX|-103.400002|20.716667|-6:00 America/Mexico_City</t>
  </si>
  <si>
    <t>Saint-Pierre|Miquelon|PM|-56.183334|46.766666|-3:00 America/Miquelon</t>
  </si>
  <si>
    <t>Chisinau|Moldova|MD|28.857500|47.005554|+2:00 Europe/Chisinau</t>
  </si>
  <si>
    <t>Edinet|Moldova|MD|27.305000|48.168056|+2:00 Europe/Chisinau</t>
  </si>
  <si>
    <t>Iargara|Moldova|MD|28.436666|46.427502|+2:00 Europe/Chisinau</t>
  </si>
  <si>
    <t>Vulcanesti|Moldova|MD|28.402779|45.684166|+2:00 Europe/Chisinau</t>
  </si>
  <si>
    <t>La Condamine|Monaco|MC|7.416667|43.733334|+1:00 Europe/Monaco</t>
  </si>
  <si>
    <t>Monte-Carlo|Monaco|MC|7.416667|43.733334|+1:00 Europe/Monaco</t>
  </si>
  <si>
    <t>Tosontsengel|Mongolia|MN|98.283890|48.756668|+8:00 Asia/Ulaanbaatar</t>
  </si>
  <si>
    <t>Ulaanbaatar|Mongolia|MN|106.916664|47.916668|+8:00 Asia/Ulaanbaatar</t>
  </si>
  <si>
    <t>Ulaangom|Mongolia|MN|92.066666|49.981110|+8:00 Asia/Ulaanbaatar</t>
  </si>
  <si>
    <t>Podgorica|Montenegro|ME|19.263611|42.441113|+1:00 Europe/Podgorica</t>
  </si>
  <si>
    <t>Tivat|Montenegro|ME|18.696112|42.436390|+1:00 Europe/Podgorica</t>
  </si>
  <si>
    <t>Ulcinj|Montenegro|ME|19.206388|41.928333|+1:00 Europe/Podgorica</t>
  </si>
  <si>
    <t>Agadir|Morocco|MA|-9.600000|30.400000|+0:00 Africa/Casablanca</t>
  </si>
  <si>
    <t>Casablanca|Morocco|MA|-7.610000|33.590000|+0:00 Africa/Casablanca</t>
  </si>
  <si>
    <t>Fes|Morocco|MA|-4.980000|34.049999|+0:00 Africa/Casablanca</t>
  </si>
  <si>
    <t>Kenitra-GHARB|Morocco|MA|-6.570000|34.259998|+0:00 Africa/Casablanca</t>
  </si>
  <si>
    <t>Marrakech|Morocco|MA|-8.000000|31.629999|+0:00 Africa/Casablanca</t>
  </si>
  <si>
    <t>Meknes|Morocco|MA|-5.550000|33.900002|+0:00 Africa/Casablanca</t>
  </si>
  <si>
    <t>Oujda|Morocco|MA|-1.910000|34.680000|+0:00 Africa/Casablanca</t>
  </si>
  <si>
    <t>Rabat|Morocco|MA|-6.830000|34.020000|+0:00 Africa/Casablanca</t>
  </si>
  <si>
    <t>Safi|Morocco|MA|-9.230000|32.299999|+0:00 Africa/Casablanca</t>
  </si>
  <si>
    <t>Tangier|Morocco|MA|-5.810000|35.779999|+0:00 Africa/Casablanca</t>
  </si>
  <si>
    <t>Tetouan|Morocco|MA|-5.370000|35.570000|+0:00 Africa/Casablanca</t>
  </si>
  <si>
    <t>Youssoufia|Morocco|MA|-8.530000|32.250000|+0:00 Africa/Casablanca</t>
  </si>
  <si>
    <t>Zagora|Morocco|MA|-5.830000|30.309999|+0:00 Africa/Casablanca</t>
  </si>
  <si>
    <t>Zaio|Morocco|MA|-2.730000|34.930000|+0:00 Africa/Casablanca</t>
  </si>
  <si>
    <t>Beira|Mozambique|MZ|34.838890|-19.843611|+2:00 Africa/Maputo</t>
  </si>
  <si>
    <t>Chimoio|Mozambique|MZ|33.483334|-19.116388|+2:00 Africa/Maputo</t>
  </si>
  <si>
    <t>Cidade de Nacala|Mozambique|MZ|40.672779|-14.542778|+2:00 Africa/Maputo</t>
  </si>
  <si>
    <t>Dondo|Mozambique|MZ|34.743057|-19.609444|+2:00 Africa/Maputo</t>
  </si>
  <si>
    <t>Macia|Mozambique|MZ|33.098888|-25.026945|+2:00 Africa/Maputo</t>
  </si>
  <si>
    <t>Maputo|Mozambique|MZ|32.589169|-25.965279|+2:00 Africa/Maputo</t>
  </si>
  <si>
    <t>Matola|Mozambique|MZ|32.458889|-25.962223|+2:00 Africa/Maputo</t>
  </si>
  <si>
    <t>Nampula|Mozambique|MZ|39.264721|-15.119722|+2:00 Africa/Maputo</t>
  </si>
  <si>
    <t>Xai-Xai|Mozambique|MZ|33.644165|-25.051945|+2:00 Africa/Maputo</t>
  </si>
  <si>
    <t>Katima Mulilo|Nairobi|NA|24.266666|-17.500000|+2:00 Africa/Windhoek</t>
  </si>
  <si>
    <t>Warmbad|Nairobi|NA|18.733334|-28.450001|+2:00 Africa/Windhoek</t>
  </si>
  <si>
    <t>Windhoek|Nairobi|NA|17.083611|-22.570000|+2:00 Africa/Windhoek</t>
  </si>
  <si>
    <t>Kathmandu|Nepal|NP|85.316666|27.716667|+5:45 Asia/Katmandu</t>
  </si>
  <si>
    <t>Tikapur|Nepal|NP|81.133331|28.500000|+5:45 Asia/Katmandu</t>
  </si>
  <si>
    <t>Tulsipur|Nepal|NP|82.300003|28.133333|+5:45 Asia/Katmandu</t>
  </si>
  <si>
    <t>Waling|Nepal|NP|83.766670|27.983334|+5:45 Asia/Katmandu</t>
  </si>
  <si>
    <t>Amsterdam|Netherlands|NL|4.899902|52.373085|+1:00 Europe/Amsterdam</t>
  </si>
  <si>
    <t>Eindhoven|Netherlands|NL|5.477778|51.440834|+1:00 Europe/Amsterdam</t>
  </si>
  <si>
    <t>Rotterdam|Netherlands|NL|4.479167|51.922501|+1:00 Europe/Amsterdam</t>
  </si>
  <si>
    <t>The Hague|Netherlands|NL|4.298611|52.076668|+1:00 Europe/Amsterdam</t>
  </si>
  <si>
    <t>Utrecht|Netherlands|NL|5.122222|52.090832|+1:00 Europe/Amsterdam</t>
  </si>
  <si>
    <t>Zwaagwesteinde|Netherlands|NL|6.036301|53.257305|+1:00 Europe/Amsterdam</t>
  </si>
  <si>
    <t>Zwijndrecht|Netherlands|NL|4.633333|51.817501|+1:00 Europe/Brussels</t>
  </si>
  <si>
    <t>Zwolle|Netherlands|NL|6.094444|52.512501|+1:00 Europe/Amsterdam</t>
  </si>
  <si>
    <t>Paita|New Caledonia|NC|166.366669|-22.133333|+11:00 Pacific/Noumea</t>
  </si>
  <si>
    <t>Tadine|New Caledonia|NC|167.883331|-21.549999|+11:00 Pacific/Noumea</t>
  </si>
  <si>
    <t>We|New Caledonia|NC|167.266663|-20.900000|+11:00 Pacific/Noumea</t>
  </si>
  <si>
    <t>Auckland|New Zealand|NZ|174.766663|-36.866665|+12:00 Pacific/Auckland</t>
  </si>
  <si>
    <t>Christchurch|New Zealand|NZ|172.633331|-43.533333|+12:00 Pacific/Auckland</t>
  </si>
  <si>
    <t>North Shore|New Zealand|NZ|174.750000|-36.799999|+12:00 Pacific/Auckland</t>
  </si>
  <si>
    <t>Waiuku|New Zealand|NZ|174.750000|-37.250000|+12:00 Pacific/Auckland</t>
  </si>
  <si>
    <t>Wanganui|New Zealand|NZ|175.050003|-39.933334|+12:00 Pacific/Auckland</t>
  </si>
  <si>
    <t>Wellington|New Zealand|NZ|174.783340|-41.299999|+12:00 Pacific/Auckland</t>
  </si>
  <si>
    <t>Managua|Nicaragua|NI|-86.268333|12.150833|-6:00 America/Managua</t>
  </si>
  <si>
    <t>Waslala|Nicaragua|NI|-85.383331|13.233334|-6:00 America/Managua</t>
  </si>
  <si>
    <t>Waspam|Nicaragua|NI|-83.966667|14.733334|-6:00 America/Managua</t>
  </si>
  <si>
    <t>Wiwili|Nicaragua|NI|-85.833336|13.616667|-6:00 America/Managua</t>
  </si>
  <si>
    <t>Birnin Konni|Niger|NE|5.250000|13.800000|+1:00 Africa/Niamey</t>
  </si>
  <si>
    <t>Niamey|Niger|NE|2.116667|13.516666|+1:00 Africa/Niamey</t>
  </si>
  <si>
    <t>Tillaberi|Niger|NE|1.453056|14.211667|+1:00 Africa/Niamey</t>
  </si>
  <si>
    <t>Zinder|Niger|NE|8.983334|13.800000|+1:00 Africa/Niamey</t>
  </si>
  <si>
    <t>Aba|Nigeria|NG|7.366667|5.116667|+1:00 Africa/Lagos</t>
  </si>
  <si>
    <t>Abeokuta|Nigeria|NG|3.350000|7.150000|+1:00 Africa/Lagos</t>
  </si>
  <si>
    <t>Abuja|Nigeria|NG|7.533333|9.083333|+1:00 Africa/Lagos</t>
  </si>
  <si>
    <t>Akure|Nigeria|NG|5.200000|7.250000|+1:00 Africa/Lagos</t>
  </si>
  <si>
    <t>Bauchi|Nigeria|NG|9.844167|10.315833|+1:00 Africa/Lagos</t>
  </si>
  <si>
    <t>Benin-City|Nigeria|NG|5.633333|6.333333|+1:00 Africa/Lagos</t>
  </si>
  <si>
    <t>Calabar|Nigeria|NG|8.316667|4.950000|+1:00 Africa/Lagos</t>
  </si>
  <si>
    <t>Damaturu|Nigeria|NG|11.963889|11.748611|+1:00 Africa/Lagos</t>
  </si>
  <si>
    <t>Ebute Ikorodu|Nigeria|NG|3.491111|6.602778|+1:00 Africa/Lagos</t>
  </si>
  <si>
    <t>Effon Alaiye|Nigeria|NG|4.916667|7.650000|+1:00 Africa/Lagos</t>
  </si>
  <si>
    <t>Enugu|Nigeria|NG|7.483333|6.433333|+1:00 Africa/Lagos</t>
  </si>
  <si>
    <t>Gombe|Nigeria|NG|11.171667|10.289444|+1:00 Africa/Lagos</t>
  </si>
  <si>
    <t>Gusau|Nigeria|NG|6.666667|12.164166|+1:00 Africa/Lagos</t>
  </si>
  <si>
    <t>Ibadan|Nigeria|NG|3.896389|7.387778|+1:00 Africa/Lagos</t>
  </si>
  <si>
    <t>Ijebu Ode|Nigeria|NG|3.933333|6.816667|+1:00 Africa/Lagos</t>
  </si>
  <si>
    <t>Ikire|Nigeria|NG|4.183333|7.350000|+1:00 Africa/Lagos</t>
  </si>
  <si>
    <t>Ikot Ekpene|Nigeria|NG|7.716667|5.166667|+1:00 Africa/Lagos</t>
  </si>
  <si>
    <t>Ilesa|Nigeria|NG|4.733333|7.616667|+1:00 Africa/Lagos</t>
  </si>
  <si>
    <t>Ilorin|Nigeria|NG|4.550000|8.500000|+1:00 Africa/Lagos</t>
  </si>
  <si>
    <t>Iwo|Nigeria|NG|4.183333|7.633333|+1:00 Africa/Lagos</t>
  </si>
  <si>
    <t>Jimeta|Nigeria|NG|12.466667|9.283333|+1:00 Africa/Lagos</t>
  </si>
  <si>
    <t>Jos|Nigeria|NG|8.900000|9.916667|+1:00 Africa/Lagos</t>
  </si>
  <si>
    <t>Kaduna|Nigeria|NG|7.440278|10.523056|+1:00 Africa/Lagos</t>
  </si>
  <si>
    <t>Kano|Nigeria|NG|8.516666|11.996388|+1:00 Africa/Lagos</t>
  </si>
  <si>
    <t>Katsina|Nigeria|NG|7.599444|12.997778|+1:00 Africa/Lagos</t>
  </si>
  <si>
    <t>Lagos|Nigeria|NG|3.395833|6.453055|+1:00 Africa/Lagos</t>
  </si>
  <si>
    <t>Maiduguri|Nigeria|NG|13.160000|11.845000|+1:00 Africa/Lagos</t>
  </si>
  <si>
    <t>Makurdi|Nigeria|NG|8.533333|7.733333|+1:00 Africa/Lagos</t>
  </si>
  <si>
    <t>Minna|Nigeria|NG|6.556944|9.613889|+1:00 Africa/Lagos</t>
  </si>
  <si>
    <t>Mubi|Nigeria|NG|13.270555|10.268888|+1:00 Africa/Lagos</t>
  </si>
  <si>
    <t>Okene|Nigeria|NG|6.233333|7.550000|+1:00 Africa/Lagos</t>
  </si>
  <si>
    <t>Ondo|Nigeria|NG|4.833333|7.100000|+1:00 Africa/Lagos</t>
  </si>
  <si>
    <t>Onitsha|Nigeria|NG|6.783333|6.166667|+1:00 Africa/Lagos</t>
  </si>
  <si>
    <t>Owerri|Nigeria|NG|7.033333|5.483333|+1:00 Africa/Lagos</t>
  </si>
  <si>
    <t>Owo|Nigeria|NG|5.583333|7.183333|+1:00 Africa/Lagos</t>
  </si>
  <si>
    <t>Oyo|Nigeria|NG|3.933333|7.850000|+1:00 Africa/Lagos</t>
  </si>
  <si>
    <t>Port Harcourt|Nigeria|NG|6.998611|4.789167|+1:00 Africa/Lagos</t>
  </si>
  <si>
    <t>Sagamu|Nigeria|NG|3.650000|6.850000|+1:00 Africa/Lagos</t>
  </si>
  <si>
    <t>Sokoto|Nigeria|NG|5.231389|13.051389|+1:00 Africa/Lagos</t>
  </si>
  <si>
    <t>Ugep|Nigeria|NG|8.083333|5.800000|+1:00 Africa/Lagos</t>
  </si>
  <si>
    <t>Umuahia|Nigeria|NG|7.483333|5.533333|+1:00 Africa/Lagos</t>
  </si>
  <si>
    <t>Warri|Nigeria|NG|5.750000|5.516667|+1:00 Africa/Lagos</t>
  </si>
  <si>
    <t>Zaria|Nigeria|NG|7.700000|11.066667|+1:00 Africa/Lagos</t>
  </si>
  <si>
    <t>Zungeru|Nigeria|NG|6.155833|9.812778|+1:00 Africa/Lagos</t>
  </si>
  <si>
    <t>Zuru|Nigeria|NG|5.237500|11.430278|+1:00 Africa/Lagos</t>
  </si>
  <si>
    <t>Chongjin|North Korea|KP|129.775833|41.795555|+9:00 Asia/Pyongyang</t>
  </si>
  <si>
    <t>Haeju|North Korea|KP|125.714722|38.040554|+9:00 Asia/Pyongyang</t>
  </si>
  <si>
    <t>Hamhung|North Korea|KP|127.536392|39.918335|+9:00 Asia/Pyongyang</t>
  </si>
  <si>
    <t>Hungnam|North Korea|KP|127.618614|39.831665|+9:00 Asia/Pyongyang</t>
  </si>
  <si>
    <t>Kaesong|North Korea|KP|126.554443|37.970833|+9:00 Asia/Pyongyang</t>
  </si>
  <si>
    <t>Kanggye|North Korea|KP|126.611389|40.987221|+9:00 Asia/Pyongyang</t>
  </si>
  <si>
    <t>Pyongyang|North Korea|KP|125.754723|39.019444|+9:00 Asia/Pyongyang</t>
  </si>
  <si>
    <t>Sinuiju|North Korea|KP|124.398056|40.100555|+9:00 Asia/Pyongyang</t>
  </si>
  <si>
    <t>Wonsan|North Korea|KP|127.443611|39.152779|+9:00 Asia/Pyongyang</t>
  </si>
  <si>
    <t>Yonan-up|North Korea|KP|126.161110|37.908890|+9:00 Asia/Pyongyang</t>
  </si>
  <si>
    <t>Yongbyon|North Korea|KP|125.804169|39.813332|+9:00 Asia/Pyongyang</t>
  </si>
  <si>
    <t>Yonggang-up|North Korea|KP|125.424446|38.856110|+9:00 Asia/Pyongyang</t>
  </si>
  <si>
    <t>San Antonio|Northern Mariana Islands|MP|145.693604|15.132500|+10:00 Pacific/Saipan</t>
  </si>
  <si>
    <t>Alta|Norway|NO|23.241667|69.966667|+1:00 Europe/Oslo</t>
  </si>
  <si>
    <t>Bergen|Norway|NO|5.324722|60.391109|+1:00 Europe/Oslo</t>
  </si>
  <si>
    <t>Hammerfest|Norway|NO|23.688334|70.661667|+1:00 Europe/Oslo</t>
  </si>
  <si>
    <t>Oslo|Norway|NO|10.738921|59.913246|+1:00 Europe/Oslo</t>
  </si>
  <si>
    <t>Vadso|Norway|NO|29.769722|70.073059|+1:00 Europe/Oslo</t>
  </si>
  <si>
    <t>As Sib|Oman|OM|58.182499|23.680277|+4:00 Asia/Muscat</t>
  </si>
  <si>
    <t>Muscat|Oman|OM|58.593334|23.613333|+4:00 Asia/Muscat</t>
  </si>
  <si>
    <t>Sufalat Sama'il|Oman|OM|58.016666|23.316668|+4:00 Asia/Muscat</t>
  </si>
  <si>
    <t>Suhar|Oman|OM|56.743889|24.368889|+4:00 Asia/Muscat</t>
  </si>
  <si>
    <t>Sur|Oman|OM|59.528889|22.566668|+4:00 Asia/Muscat</t>
  </si>
  <si>
    <t>Bahawalpur|Pakistan|PK|71.683334|29.400000|+5:00 Asia/Karachi</t>
  </si>
  <si>
    <t>Chiniot|Pakistan|PK|72.978889|31.719999|+5:00 Asia/Karachi</t>
  </si>
  <si>
    <t>Chuhar Jamali|Pakistan|PK|67.993057|24.388889|+5:00 Asia/Karachi</t>
  </si>
  <si>
    <t>Dera Ghazi Khan|Pakistan|PK|70.634445|30.056110|+5:00 Asia/Karachi</t>
  </si>
  <si>
    <t>Faisalabad|Pakistan|PK|73.083336|31.416666|+5:00 Asia/Karachi</t>
  </si>
  <si>
    <t>Gujranwala|Pakistan|PK|74.183334|32.150002|+5:00 Asia/Karachi</t>
  </si>
  <si>
    <t>Gujrat|Pakistan|PK|74.083336|32.566666|+5:00 Asia/Karachi</t>
  </si>
  <si>
    <t>Hyderabad|Pakistan|PK|68.366669|25.366667|+5:30 Asia/Calcutta</t>
  </si>
  <si>
    <t>Islamabad|Pakistan|PK|73.059082|33.610046|+5:00 Asia/Karachi</t>
  </si>
  <si>
    <t>Jhang Sadr|Pakistan|PK|72.311943|31.274166|+5:00 Asia/Karachi</t>
  </si>
  <si>
    <t>Karachi|Pakistan|PK|67.050003|24.866667|+5:00 Asia/Karachi</t>
  </si>
  <si>
    <t>Kasur|Pakistan|PK|74.446663|31.115555|+5:00 Asia/Karachi</t>
  </si>
  <si>
    <t>Khairpur|Pakistan|PK|68.766670|27.533333|+5:00 Asia/Karachi</t>
  </si>
  <si>
    <t>Lahore|Pakistan|PK|74.343613|31.549723|+5:00 Asia/Karachi</t>
  </si>
  <si>
    <t>Larkana|Pakistan|PK|68.216667|27.549999|+5:00 Asia/Karachi</t>
  </si>
  <si>
    <t>Mardan|Pakistan|PK|72.045830|34.198334|+5:00 Asia/Karachi</t>
  </si>
  <si>
    <t>Mingaora|Pakistan|PK|72.361115|34.776112|+5:00 Asia/Karachi</t>
  </si>
  <si>
    <t>Mirpur Khas|Pakistan|PK|69.000000|25.533333|+5:00 Asia/Karachi</t>
  </si>
  <si>
    <t>Multan|Pakistan|PK|71.475281|30.195555|+5:00 Asia/Karachi</t>
  </si>
  <si>
    <t>Nawabshah|Pakistan|PK|68.416664|26.250000|+5:00 Asia/Karachi</t>
  </si>
  <si>
    <t>Okara|Pakistan|PK|73.445831|30.808056|+5:00 Asia/Karachi</t>
  </si>
  <si>
    <t>Peshawar|Pakistan|PK|71.573334|34.007778|+5:00 Asia/Karachi</t>
  </si>
  <si>
    <t>Pir jo Goth|Pakistan|PK|68.616669|27.600000|+5:00 Asia/Karachi</t>
  </si>
  <si>
    <t>Quetta|Pakistan|PK|67.012497|30.187222|+5:00 Asia/Karachi</t>
  </si>
  <si>
    <t>Rawalpindi|Pakistan|PK|73.066666|33.599998|+5:00 Asia/Karachi</t>
  </si>
  <si>
    <t>Sahiwal|Pakistan|PK|73.099998|30.666666|+5:00 Asia/Karachi</t>
  </si>
  <si>
    <t>Sargodha|Pakistan|PK|72.671112|32.083611|+5:00 Asia/Karachi</t>
  </si>
  <si>
    <t>Shekhupura|Pakistan|PK|73.978333|31.713055|+5:00 Asia/Karachi</t>
  </si>
  <si>
    <t>Sialkot|Pakistan|PK|74.516670|32.500000|+5:00 Asia/Karachi</t>
  </si>
  <si>
    <t>Sukkur|Pakistan|PK|68.866669|27.700001|+5:00 Asia/Karachi</t>
  </si>
  <si>
    <t>Panama|Panama|PA|-79.533333|8.966667|-5:00 America/Panama</t>
  </si>
  <si>
    <t>San Miguelito|Panama|PA|-79.500000|9.033333|-5:00 America/Panama</t>
  </si>
  <si>
    <t>Veracruz|Panama|PA|-79.633331|8.883333|-6:00 America/Mexico_City</t>
  </si>
  <si>
    <t>Vista Alegre|Panama|PA|-79.699997|8.933333|-5:00 America/Panama</t>
  </si>
  <si>
    <t>Volcan|Panama|PA|-82.633331|8.766666|-5:00 America/Panama</t>
  </si>
  <si>
    <t>Port Moresby|Papua New Guinea|PG|147.192505|-9.464723|+10:00 Pacific/Port_Moresby</t>
  </si>
  <si>
    <t>Vanimo|Papua New Guinea|PG|141.300003|-2.683333|+10:00 Pacific/Port_Moresby</t>
  </si>
  <si>
    <t>Wau|Papua New Guinea|PG|146.716660|-7.333333|+10:00 Pacific/Port_Moresby</t>
  </si>
  <si>
    <t>Wewak|Papua New Guinea|PG|143.633331|-3.550000|+10:00 Pacific/Port_Moresby</t>
  </si>
  <si>
    <t>Asuncion|Paraguay|PY|-57.666668|-25.266666|-3:00 America/Asuncion</t>
  </si>
  <si>
    <t>San Lorenzo|Paraguay|PY|-57.533333|-25.333334|-3:00 America/Argentina/Cordoba</t>
  </si>
  <si>
    <t>Villarrica|Paraguay|PY|-56.433334|-25.750000|-4:00 America/Santiago</t>
  </si>
  <si>
    <t>Yaguaron|Paraguay|PY|-57.299999|-25.600000|-3:00 America/Asuncion</t>
  </si>
  <si>
    <t>Ypacarai|Paraguay|PY|-57.266666|-25.383333|-3:00 America/Asuncion</t>
  </si>
  <si>
    <t>Arequipa|Peru|PE|-71.535004|-16.398890|-5:00 America/Lima</t>
  </si>
  <si>
    <t>Callao|Peru|PE|-77.150002|-12.066667|-5:00 America/Lima</t>
  </si>
  <si>
    <t>Chiclayo|Peru|PE|-79.841667|-6.773611|-5:00 America/Lima</t>
  </si>
  <si>
    <t>Chimbote|Peru|PE|-78.578331|-9.085278|-5:00 America/Lima</t>
  </si>
  <si>
    <t>Cusco|Peru|PE|-71.978058|-13.518333|-5:00 America/Lima</t>
  </si>
  <si>
    <t>Huancayo|Peru|PE|-75.233330|-12.066667|-5:00 America/Lima</t>
  </si>
  <si>
    <t>Ica|Peru|PE|-75.725555|-14.068055|-5:00 America/Lima</t>
  </si>
  <si>
    <t>Iquitos|Peru|PE|-73.247223|-3.748056|-5:00 America/Lima</t>
  </si>
  <si>
    <t>Juliaca|Peru|PE|-70.133331|-15.500000|-5:00 America/Lima</t>
  </si>
  <si>
    <t>Lima|Peru|PE|-77.050003|-12.050000|-5:00 America/Lima</t>
  </si>
  <si>
    <t>Piura|Peru|PE|-80.633331|-5.200000|-5:00 America/Lima</t>
  </si>
  <si>
    <t>Pucallpa|Peru|PE|-74.553864|-8.379148|-5:00 America/Lima</t>
  </si>
  <si>
    <t>Tacna|Peru|PE|-70.248337|-18.005556|-5:00 America/Lima</t>
  </si>
  <si>
    <t>Trujillo|Peru|PE|-79.029976|-8.115994|-5:00 America/Lima</t>
  </si>
  <si>
    <t>Yungay|Peru|PE|-77.743614|-9.138333|-5:00 America/Lima</t>
  </si>
  <si>
    <t>Yurimaguas|Peru|PE|-76.083336|-5.900000|-5:00 America/Lima</t>
  </si>
  <si>
    <t>Zorritos|Peru|PE|-80.666664|-3.666667|-5:00 America/Lima</t>
  </si>
  <si>
    <t>Antipolo|Philippines|PH|121.175278|14.586389|+8:00 Asia/Manila</t>
  </si>
  <si>
    <t>Bacoor|Philippines|PH|120.942497|14.457778|+8:00 Asia/Manila</t>
  </si>
  <si>
    <t>Baguio|Philippines|PH|120.593056|16.416389|+8:00 Asia/Manila</t>
  </si>
  <si>
    <t>Batangas|Philippines|PH|121.059998|13.759444|+8:00 Asia/Manila</t>
  </si>
  <si>
    <t>Binangonan|Philippines|PH|121.191948|14.465555|+8:00 Asia/Manila</t>
  </si>
  <si>
    <t>Cabanatuan|Philippines|PH|120.967499|15.486944|+8:00 Asia/Manila</t>
  </si>
  <si>
    <t>Cagayan de Oro|Philippines|PH|124.647224|8.482223|+8:00 Asia/Manila</t>
  </si>
  <si>
    <t>Cainta|Philippines|PH|121.116943|14.580000|+8:00 Asia/Manila</t>
  </si>
  <si>
    <t>Calamba|Philippines|PH|121.165276|14.211667|+8:00 Asia/Manila</t>
  </si>
  <si>
    <t>Cebu City|Philippines|PH|123.891670|10.311111|+8:00 Asia/Manila</t>
  </si>
  <si>
    <t>Dasmarinas|Philippines|PH|120.936668|14.329444|+8:00 Asia/Manila</t>
  </si>
  <si>
    <t>Davao|Philippines|PH|125.612778|7.073056|+8:00 Asia/Manila</t>
  </si>
  <si>
    <t>Iloilo|Philippines|PH|122.564445|10.696944|+8:00 Asia/Manila</t>
  </si>
  <si>
    <t>Imus|Philippines|PH|120.936668|14.429722|+8:00 Asia/Manila</t>
  </si>
  <si>
    <t>Lapu-Lapu City|Philippines|PH|123.949448|10.310278|+8:00 Asia/Manila</t>
  </si>
  <si>
    <t>Libertad|Philippines|PH|125.501945|8.944167|+8:00 Asia/Manila</t>
  </si>
  <si>
    <t>Lipa|Philippines|PH|121.173889|13.939445|+8:00 Asia/Manila</t>
  </si>
  <si>
    <t>Lucena|Philippines|PH|121.617226|13.931389|+8:00 Asia/Manila</t>
  </si>
  <si>
    <t>Mandaue City|Philippines|PH|123.922226|10.323611|+8:00 Asia/Manila</t>
  </si>
  <si>
    <t>Manila|Philippines|PH|120.982224|14.604167|+8:00 Asia/Manila</t>
  </si>
  <si>
    <t>Mansilingan|Philippines|PH|122.978889|10.631111|+8:00 Asia/Manila</t>
  </si>
  <si>
    <t>Mantampay|Philippines|PH|124.216667|8.166667|+8:00 Asia/Manila</t>
  </si>
  <si>
    <t>Olongapo|Philippines|PH|120.282776|14.829166|+8:00 Asia/Manila</t>
  </si>
  <si>
    <t>San Fernando|Philippines|PH|120.685555|15.030278|-6:00 America/Monterrey</t>
  </si>
  <si>
    <t>San Jose del Monte|Philippines|PH|121.045280|14.813889|+8:00 Asia/Manila</t>
  </si>
  <si>
    <t>San Pablo|Philippines|PH|121.325836|14.066944|+8:00 Asia/Manila</t>
  </si>
  <si>
    <t>San Pedro|Philippines|PH|121.055557|14.364722|-6:00 America/Belize</t>
  </si>
  <si>
    <t>Santa Rosa|Philippines|PH|121.111389|14.312222|+8:00 Asia/Manila</t>
  </si>
  <si>
    <t>Santol|Philippines|PH|120.567497|15.162222|+8:00 Asia/Manila</t>
  </si>
  <si>
    <t>Taytay|Philippines|PH|121.132500|14.569167|+8:00 Asia/Manila</t>
  </si>
  <si>
    <t>Zamboanga|Philippines|PH|122.073891|6.910278|+8:00 Asia/Manila</t>
  </si>
  <si>
    <t>Zamboanguita|Philippines|PH|123.199165|9.105000|+8:00 Asia/Manila</t>
  </si>
  <si>
    <t>Zaragoza|Philippines|PH|119.943611|16.388332|-5:00 America/Bogota</t>
  </si>
  <si>
    <t>Bialystok|Poland|PL|23.150000|53.133335|+1:00 Europe/Warsaw</t>
  </si>
  <si>
    <t>Bydgoszcz|Poland|PL|18.000000|53.150002|+1:00 Europe/Warsaw</t>
  </si>
  <si>
    <t>Czestochowa|Poland|PL|19.116667|50.799999|+1:00 Europe/Warsaw</t>
  </si>
  <si>
    <t>Gdansk|Poland|PL|18.666666|54.349998|+1:00 Europe/Warsaw</t>
  </si>
  <si>
    <t>Gdynia|Poland|PL|18.549999|54.500000|+1:00 Europe/Warsaw</t>
  </si>
  <si>
    <t>Katowice|Poland|PL|19.016666|50.266666|+1:00 Europe/Warsaw</t>
  </si>
  <si>
    <t>Kielce|Poland|PL|20.666666|50.833332|+1:00 Europe/Warsaw</t>
  </si>
  <si>
    <t>Krakow|Poland|PL|19.916666|50.083332|+1:00 Europe/Warsaw</t>
  </si>
  <si>
    <t>Lodz|Poland|PL|19.466667|51.750000|+1:00 Europe/Warsaw</t>
  </si>
  <si>
    <t>Lublin|Poland|PL|22.566668|51.250000|+1:00 Europe/Warsaw</t>
  </si>
  <si>
    <t>Poznan|Poland|PL|16.966667|52.416668|+1:00 Europe/Warsaw</t>
  </si>
  <si>
    <t>Radom|Poland|PL|21.150000|51.416668|+1:00 Europe/Warsaw</t>
  </si>
  <si>
    <t>Sosnowiec|Poland|PL|19.166666|50.299999|+1:00 Europe/Warsaw</t>
  </si>
  <si>
    <t>Szczecin Pogodno|Poland|PL|14.516666|53.450001|+1:00 Europe/Warsaw</t>
  </si>
  <si>
    <t>Torun|Poland|PL|18.600000|53.033333|+1:00 Europe/Warsaw</t>
  </si>
  <si>
    <t>Warsaw|Poland|PL|21.000000|52.250000|+1:00 Europe/Warsaw</t>
  </si>
  <si>
    <t>Wroclaw|Poland|PL|17.033333|51.099998|+1:00 Europe/Warsaw</t>
  </si>
  <si>
    <t>Zamosc|Poland|PL|23.250000|50.716667|+1:00 Europe/Warsaw</t>
  </si>
  <si>
    <t>Zielonka|Poland|PL|21.166666|52.299999|+1:00 Europe/Warsaw</t>
  </si>
  <si>
    <t>Zyrardow|Poland|PL|20.433332|52.066666|+1:00 Europe/Warsaw</t>
  </si>
  <si>
    <t>Colonia|Ponape|FM|138.129166|9.514444|+11:00 Pacific/Ponape</t>
  </si>
  <si>
    <t>Toynim|Ponape|FM|163.003616|5.314722|+11:00 Pacific/Kosrae</t>
  </si>
  <si>
    <t>Weno|Ponape|FM|151.850006|7.445833|+11:00 Pacific/Ponape</t>
  </si>
  <si>
    <t>Lisbon|Portugal|PT|-9.133333|38.716667|+0:00 Europe/Lisbon</t>
  </si>
  <si>
    <t>Porto|Portugal|PT|-8.616667|41.150002|+0:00 Europe/Lisbon</t>
  </si>
  <si>
    <t>Vila Franca de Xira|Portugal|PT|-8.983334|38.950001|+0:00 Europe/Lisbon</t>
  </si>
  <si>
    <t>Vila Real de Santo Antonio|Portugal|PT|-7.416667|37.200001|+0:00 Europe/Lisbon</t>
  </si>
  <si>
    <t>Vila Vicosa|Portugal|PT|-7.416667|38.783333|+0:00 Europe/Lisbon</t>
  </si>
  <si>
    <t>Adjuntas|Puerto Rico|PR|-66.801765|18.158493|-4:00 America/Puerto_Rico</t>
  </si>
  <si>
    <t>Aguadilla|Puerto Rico|PR|-67.154068|18.427444|-4:00 America/Puerto_Rico</t>
  </si>
  <si>
    <t>Aibonito|Puerto Rico|PR|-66.265999|18.139959|-4:00 America/Puerto_Rico</t>
  </si>
  <si>
    <t>Bayamon|Puerto Rico|PR|-66.155724|18.398560|-4:00 America/Puerto_Rico</t>
  </si>
  <si>
    <t>Bayamon Gardens|Puerto Rico|PR|-66.179886|18.377728|-4:00 America/Puerto_Rico</t>
  </si>
  <si>
    <t>San Juan|Puerto Rico|PR|-66.105721|18.466333|-3:00 America/Argentina/San_Juan</t>
  </si>
  <si>
    <t>Ar Rayyan|Qatar|QA|51.424446|25.291945|+3:00 Asia/Qatar</t>
  </si>
  <si>
    <t>Doha|Qatar|QA|51.533333|25.286667|+3:00 Asia/Qatar</t>
  </si>
  <si>
    <t>Dukhan|Qatar|QA|50.785831|25.429722|+3:00 Asia/Qatar</t>
  </si>
  <si>
    <t>Umm Salal Muhammad|Qatar|QA|51.403889|25.416945|+3:00 Asia/Qatar</t>
  </si>
  <si>
    <t>Saint-Pierre|Reunion|RE|55.483334|-21.316668|-3:00 America/Miquelon</t>
  </si>
  <si>
    <t>Salazie|Reunion|RE|55.549999|-21.016666|+4:00 Indian/Reunion</t>
  </si>
  <si>
    <t>Trois-Bassins|Reunion|RE|55.299999|-21.100000|+4:00 Indian/Reunion</t>
  </si>
  <si>
    <t>Braila|Romania|RO|27.983334|45.266666|+2:00 Europe/Bucharest</t>
  </si>
  <si>
    <t>Brasov|Romania|RO|25.583334|45.633335|+2:00 Europe/Bucharest</t>
  </si>
  <si>
    <t>Bucharest|Romania|RO|26.100000|44.433334|+2:00 Europe/Bucharest</t>
  </si>
  <si>
    <t>Cluj-Napoca|Romania|RO|23.600000|46.766666|+2:00 Europe/Bucharest</t>
  </si>
  <si>
    <t>Constanta|Romania|RO|28.650000|44.183334|+2:00 Europe/Bucharest</t>
  </si>
  <si>
    <t>Constanta|Romania|RO|28.637152|44.187374|+2:00 Europe/Bucharest</t>
  </si>
  <si>
    <t>Craiova|Romania|RO|23.799999|44.316666|+2:00 Europe/Bucharest</t>
  </si>
  <si>
    <t>Galati|Romania|RO|28.049999|45.450001|+2:00 Europe/Bucharest</t>
  </si>
  <si>
    <t>Iasi|Romania|RO|27.600000|47.166668|+2:00 Europe/Bucharest</t>
  </si>
  <si>
    <t>nagyvarad|Romania|RO|21.933332|47.066666|+2:00 Europe/Bucharest</t>
  </si>
  <si>
    <t>Ploiesti|Romania|RO|26.016666|44.950001|+2:00 Europe/Bucharest</t>
  </si>
  <si>
    <t>Timisoara|Romania|RO|21.227222|45.749443|+2:00 Europe/Bucharest</t>
  </si>
  <si>
    <t>Zlatna|Romania|RO|23.216667|46.116665|+2:00 Europe/Bucharest</t>
  </si>
  <si>
    <t>Zorleni|Romania|RO|27.716667|46.266666|+2:00 Europe/Bucharest</t>
  </si>
  <si>
    <t>Zvoristea|Romania|RO|26.283333|47.833332|+2:00 Europe/Bucharest</t>
  </si>
  <si>
    <t>Angarsk|Russia|RU|103.879997|52.529999|+8:00 Asia/Irkutsk</t>
  </si>
  <si>
    <t>Arkhangel'sk|Russia|RU|40.540001|64.540001|+3:00 Europe/Moscow</t>
  </si>
  <si>
    <t>Astrakhan'|Russia|RU|48.040001|46.340000|+4:00 Europe/Samara</t>
  </si>
  <si>
    <t>Balakovo|Russia|RU|47.779999|52.029999|+4:00 Europe/Samara</t>
  </si>
  <si>
    <t>Barnaul|Russia|RU|83.760002|53.360001|+7:00 Asia/Krasnoyarsk</t>
  </si>
  <si>
    <t>Belgorod|Russia|RU|36.580002|50.610001|+3:00 Europe/Moscow</t>
  </si>
  <si>
    <t>Biysk|Russia|RU|85.250000|52.566666|+7:00 Asia/Krasnoyarsk</t>
  </si>
  <si>
    <t>Blagoveshchensk|Russia|RU|127.533333|50.266666|+9:00 Asia/Yakutsk</t>
  </si>
  <si>
    <t>Bratsk|Russia|RU|101.614166|56.132500|+8:00 Asia/Irkutsk</t>
  </si>
  <si>
    <t>Bryansk|Russia|RU|34.380554|53.287498|+3:00 Europe/Moscow</t>
  </si>
  <si>
    <t>Cheboksary|Russia|RU|47.251945|56.132221|+3:00 Europe/Moscow</t>
  </si>
  <si>
    <t>Chelyabinsk|Russia|RU|61.429722|55.154446|+5:00 Asia/Yekaterinburg</t>
  </si>
  <si>
    <t>Cherepovets|Russia|RU|37.900002|59.133335|+3:00 Europe/Moscow</t>
  </si>
  <si>
    <t>Dzerzhinsk|Russia|RU|43.463055|56.238888|+3:00 Europe/Moscow</t>
  </si>
  <si>
    <t>Irkutsk|Russia|RU|104.296387|52.297779|+8:00 Asia/Irkutsk</t>
  </si>
  <si>
    <t>Ivanovo|Russia|RU|40.985832|56.994167|+3:00 Europe/Moscow</t>
  </si>
  <si>
    <t>Izhevsk|Russia|RU|53.233334|56.849998|+4:00 Europe/Samara</t>
  </si>
  <si>
    <t>Kaliningrad|Russia|RU|20.500000|54.709999|+2:00 Europe/Kaliningrad</t>
  </si>
  <si>
    <t>Kaluga|Russia|RU|36.270557|54.535831|+3:00 Europe/Moscow</t>
  </si>
  <si>
    <t>Kazan'|Russia|RU|49.133335|55.750000|+3:00 Europe/Moscow</t>
  </si>
  <si>
    <t>Kemerovo|Russia|RU|86.083336|55.333332|+7:00 Asia/Krasnoyarsk</t>
  </si>
  <si>
    <t>Khabarovsk|Russia|RU|135.092773|48.480835|+10:00 Asia/Sakhalin</t>
  </si>
  <si>
    <t>Khabarovsk Vtoroy|Russia|RU|135.135559|48.443054|+10:00 Asia/Sakhalin</t>
  </si>
  <si>
    <t>Kirov|Russia|RU|49.658333|58.596943|+4:00 Europe/Samara</t>
  </si>
  <si>
    <t>Komsomol'sk-na-Amure|Russia|RU|137.015244|50.551987|+10:00 Asia/Sakhalin</t>
  </si>
  <si>
    <t>Kostroma|Russia|RU|40.934444|57.770832|+3:00 Europe/Moscow</t>
  </si>
  <si>
    <t>Krasnodar|Russia|RU|38.976944|45.032780|+3:00 Europe/Volgograd</t>
  </si>
  <si>
    <t>Krasnoyarsk|Russia|RU|92.791664|56.009724|+7:00 Asia/Krasnoyarsk</t>
  </si>
  <si>
    <t>Kurgan|Russia|RU|65.333336|55.450001|+5:00 Asia/Yekaterinburg</t>
  </si>
  <si>
    <t>Kursk|Russia|RU|36.193890|51.730278|+3:00 Europe/Moscow</t>
  </si>
  <si>
    <t>Lipetsk|Russia|RU|39.568890|52.618610|+3:00 Europe/Moscow</t>
  </si>
  <si>
    <t>Magnitogorsk|Russia|RU|59.047222|53.418610|+5:00 Asia/Yekaterinburg</t>
  </si>
  <si>
    <t>Makhachkala|Russia|RU|47.502224|42.975277|+3:00 Europe/Volgograd</t>
  </si>
  <si>
    <t>Moskva|Russia|RU|37.615555|55.752224|+3:00 Europe/Moscow</t>
  </si>
  <si>
    <t>Murmansk|Russia|RU|33.081944|68.971664|+3:00 Europe/Moscow</t>
  </si>
  <si>
    <t>Naberezhnyye Chelny|Russia|RU|52.428890|55.756111|+3:00 Europe/Moscow</t>
  </si>
  <si>
    <t>Nizhnekamsk|Russia|RU|51.816944|55.638332|+3:00 Europe/Moscow</t>
  </si>
  <si>
    <t>Nizhnevartovsk|Russia|RU|76.566666|60.933334|+5:00 Asia/Yekaterinburg</t>
  </si>
  <si>
    <t>Nizhniy Novgorod|Russia|RU|44.002045|56.328674|+3:00 Europe/Moscow</t>
  </si>
  <si>
    <t>Nizhniy Tagil|Russia|RU|59.965000|57.919445|+5:00 Asia/Yekaterinburg</t>
  </si>
  <si>
    <t>Novokuznetsk|Russia|RU|87.099998|53.750000|+7:00 Asia/Krasnoyarsk</t>
  </si>
  <si>
    <t>Novorossiysk|Russia|RU|37.770832|44.723888|+3:00 Europe/Volgograd</t>
  </si>
  <si>
    <t>Novosibirsk|Russia|RU|82.934441|55.041111|+7:00 Asia/Krasnoyarsk</t>
  </si>
  <si>
    <t>Novozavidovskiy|Russia|RU|36.433334|56.549999|+3:00 Europe/Moscow</t>
  </si>
  <si>
    <t>Omsk|Russia|RU|73.400002|55.000000|+6:00 Asia/Omsk</t>
  </si>
  <si>
    <t>Orel|Russia|RU|36.080276|52.965832|+3:00 Europe/Moscow</t>
  </si>
  <si>
    <t>Orenburg|Russia|RU|55.098610|51.784721|+5:00 Asia/Yekaterinburg</t>
  </si>
  <si>
    <t>Orsk|Russia|RU|58.570000|51.225277|+5:00 Asia/Yekaterinburg</t>
  </si>
  <si>
    <t>Penza|Russia|RU|45.000000|53.195835|+3:00 Europe/Volgograd</t>
  </si>
  <si>
    <t>Perm'|Russia|RU|56.250000|58.000000|+5:00 Asia/Yekaterinburg</t>
  </si>
  <si>
    <t>Petrozavodsk|Russia|RU|34.333332|61.816666|+3:00 Europe/Moscow</t>
  </si>
  <si>
    <t>Pskov|Russia|RU|28.333334|57.833332|+3:00 Europe/Moscow</t>
  </si>
  <si>
    <t>Rostov-na-Donu|Russia|RU|39.713890|47.236389|+3:00 Europe/Volgograd</t>
  </si>
  <si>
    <t>Ryazan'|Russia|RU|39.740002|54.619720|+3:00 Europe/Moscow</t>
  </si>
  <si>
    <t>Rybinsk|Russia|RU|38.833332|58.049999|+3:00 Europe/Moscow</t>
  </si>
  <si>
    <t>Saint Petersburg|Russia|RU|30.264166|59.894444|+3:00 Europe/Moscow</t>
  </si>
  <si>
    <t>Samara|Russia|RU|50.150002|53.200001|+4:00 Europe/Samara</t>
  </si>
  <si>
    <t>Saransk|Russia|RU|45.183334|54.183334|+3:00 Europe/Moscow</t>
  </si>
  <si>
    <t>Saratov|Russia|RU|46.033333|51.566666|+4:00 Europe/Samara</t>
  </si>
  <si>
    <t>Sasovo|Russia|RU|41.912777|54.348331|+3:00 Europe/Moscow</t>
  </si>
  <si>
    <t>Shakhty|Russia|RU|40.205833|47.712223|+3:00 Europe/Volgograd</t>
  </si>
  <si>
    <t>Smolensk|Russia|RU|32.040001|54.781666|+3:00 Europe/Moscow</t>
  </si>
  <si>
    <t>Sochi|Russia|RU|39.730278|43.599998|+3:00 Europe/Volgograd</t>
  </si>
  <si>
    <t>Staryy Oskol|Russia|RU|37.841667|51.296665|+3:00 Europe/Moscow</t>
  </si>
  <si>
    <t>Stavropol'|Russia|RU|41.973331|45.042778|+3:00 Europe/Volgograd</t>
  </si>
  <si>
    <t>Sterlitamak|Russia|RU|55.946388|53.633057|+5:00 Asia/Yekaterinburg</t>
  </si>
  <si>
    <t>Surgut|Russia|RU|73.416664|61.250000|+5:00 Asia/Yekaterinburg</t>
  </si>
  <si>
    <t>Syktyvkar|Russia|RU|50.812222|61.666668|+3:00 Europe/Moscow</t>
  </si>
  <si>
    <t>Taganrog|Russia|RU|38.909443|47.221390|+3:00 Europe/Volgograd</t>
  </si>
  <si>
    <t>Tambov|Russia|RU|41.433887|52.731667|+3:00 Europe/Moscow</t>
  </si>
  <si>
    <t>Tol'yatti|Russia|RU|49.412498|53.523335|+4:00 Europe/Samara</t>
  </si>
  <si>
    <t>Tomsk|Russia|RU|84.966667|56.500000|+7:00 Asia/Krasnoyarsk</t>
  </si>
  <si>
    <t>Tula|Russia|RU|37.611111|54.204445|+3:00 Europe/Moscow</t>
  </si>
  <si>
    <t>Tver'|Russia|RU|35.893055|56.861946|+3:00 Europe/Moscow</t>
  </si>
  <si>
    <t>Tyumen'|Russia|RU|65.527222|57.152222|+5:00 Asia/Yekaterinburg</t>
  </si>
  <si>
    <t>Udomlya|Russia|RU|34.992500|57.879444|+3:00 Europe/Moscow</t>
  </si>
  <si>
    <t>Ufa|Russia|RU|56.037498|54.775002|+5:00 Asia/Yekaterinburg</t>
  </si>
  <si>
    <t>Ulan-Ude|Russia|RU|107.616669|51.833332|+8:00 Asia/Irkutsk</t>
  </si>
  <si>
    <t>Ul'yanovsk|Russia|RU|48.400002|54.333332|+3:00 Europe/Volgograd</t>
  </si>
  <si>
    <t>Velikiy Novgorod|Russia|RU|31.283333|58.516666|+3:00 Europe/Moscow</t>
  </si>
  <si>
    <t>Vladikavkaz|Russia|RU|44.667778|43.036667|+3:00 Europe/Volgograd</t>
  </si>
  <si>
    <t>Vladimir|Russia|RU|40.398056|56.142776|+3:00 Europe/Moscow</t>
  </si>
  <si>
    <t>Vladivostok|Russia|RU|131.873535|43.105621|+10:00 Asia/Vladivostok</t>
  </si>
  <si>
    <t>Volgograd|Russia|RU|44.585835|48.804722|+4:00 Europe/Samara</t>
  </si>
  <si>
    <t>Vologda|Russia|RU|39.900002|59.216667|+3:00 Europe/Moscow</t>
  </si>
  <si>
    <t>Volzhskiy|Russia|RU|44.771667|48.790554|+4:00 Europe/Samara</t>
  </si>
  <si>
    <t>Voronezh|Russia|RU|39.169998|51.666389|+3:00 Europe/Moscow</t>
  </si>
  <si>
    <t>Yaroslavl'|Russia|RU|39.866665|57.616665|+3:00 Europe/Moscow</t>
  </si>
  <si>
    <t>Yekaterinburg|Russia|RU|60.612499|56.857498|+5:00 Asia/Yekaterinburg</t>
  </si>
  <si>
    <t>Yoshkar-Ola|Russia|RU|47.890778|56.638767|+3:00 Europe/Moscow</t>
  </si>
  <si>
    <t>Zelenograd|Russia|RU|37.181389|55.982498|+3:00 Europe/Moscow</t>
  </si>
  <si>
    <t>Kigali|Rwanda|RW|30.060556|-1.953611|+2:00 Africa/Kigali</t>
  </si>
  <si>
    <t>Nzega|Rwanda|RW|29.566668|-2.483333|+2:00 Africa/Kigali</t>
  </si>
  <si>
    <t>Ruhengeri|Rwanda|RW|29.635834|-1.504167|+2:00 Africa/Kigali</t>
  </si>
  <si>
    <t>Basseterre|Saint Kitts and Nevis|KN|-62.716667|17.299999|-4:00 America/St_Kitts</t>
  </si>
  <si>
    <t>Bisee|Saint Lucia|LC|-60.966667|14.016666|-4:00 America/St_Lucia</t>
  </si>
  <si>
    <t>Kingstown Park|Saint Vincent|VC|-61.235001|13.158333|-4:00 America/St_Vincent</t>
  </si>
  <si>
    <t>Apia|Samoa|WS|-171.733337|-13.833333|-11:00 Pacific/Apia</t>
  </si>
  <si>
    <t>Vaitele|Samoa|WS|-171.783340|-13.816667|-11:00 Pacific/Apia</t>
  </si>
  <si>
    <t>Acquaviva|San Marino|SM|12.416667|43.950001|+1:00 Europe/San_Marino</t>
  </si>
  <si>
    <t>Serravalle|San Marino|SM|12.500000|43.950001|+1:00 Europe/San_Marino</t>
  </si>
  <si>
    <t>Sao Tome|Sao Tome|ST|6.733333|0.333333|+0:00 Africa/Sao_Tome</t>
  </si>
  <si>
    <t>Abha|Saudi Arabia|SA|42.505280|18.216389|+3:00 Asia/Riyadh</t>
  </si>
  <si>
    <t>Ad Dammam|Saudi Arabia|SA|50.114166|26.425833|+3:00 Asia/Riyadh</t>
  </si>
  <si>
    <t>Al Hufuf|Saudi Arabia|SA|49.586666|25.378334|+3:00 Asia/Riyadh</t>
  </si>
  <si>
    <t>Al Jubayl|Saudi Arabia|SA|49.661388|27.004723|+3:00 Asia/Riyadh</t>
  </si>
  <si>
    <t>Al Mubarraz|Saudi Arabia|SA|49.580833|25.410000|+3:00 Asia/Riyadh</t>
  </si>
  <si>
    <t>At Ta'if|Saudi Arabia|SA|40.415833|21.270277|+3:00 Asia/Riyadh</t>
  </si>
  <si>
    <t>Buraydah|Saudi Arabia|SA|43.971668|26.331667|+3:00 Asia/Riyadh</t>
  </si>
  <si>
    <t>Jiddah|Saudi Arabia|SA|39.219166|21.516945|+3:00 Asia/Riyadh</t>
  </si>
  <si>
    <t>Khamis Mushayt|Saudi Arabia|SA|42.729168|18.306389|+3:00 Asia/Riyadh</t>
  </si>
  <si>
    <t>Mecca|Saudi Arabia|SA|39.826111|21.426666|+3:00 Asia/Riyadh</t>
  </si>
  <si>
    <t>Medina|Saudi Arabia|SA|39.614166|24.468611|+3:00 Asia/Riyadh</t>
  </si>
  <si>
    <t>Najran|Saudi Arabia|SA|44.184166|17.505556|+3:00 Asia/Riyadh</t>
  </si>
  <si>
    <t>Riyadh|Saudi Arabia|SA|46.772778|24.640833|+3:00 Asia/Riyadh</t>
  </si>
  <si>
    <t>Sultanah|Saudi Arabia|SA|39.583332|24.500000|+3:00 Asia/Riyadh</t>
  </si>
  <si>
    <t>Tabuk|Saudi Arabia|SA|36.583332|28.383333|+3:00 Asia/Riyadh</t>
  </si>
  <si>
    <t>Umm as Sahik|Saudi Arabia|SA|49.916389|26.653610|+3:00 Asia/Riyadh</t>
  </si>
  <si>
    <t>Umm Lajj|Saudi Arabia|SA|37.268890|25.024166|+3:00 Asia/Riyadh</t>
  </si>
  <si>
    <t>Yanbu` al Bahr|Saudi Arabia|SA|38.048611|24.085278|+3:00 Asia/Riyadh</t>
  </si>
  <si>
    <t>Dakar|Senegal|SN|-17.443886|14.695112|+0:00 Africa/Dakar</t>
  </si>
  <si>
    <t>Grand Dakar|Senegal|SN|-17.455278|14.708889|+0:00 Africa/Dakar</t>
  </si>
  <si>
    <t>Thies Nones|Senegal|SN|-16.966667|14.783333|+0:00 Africa/Dakar</t>
  </si>
  <si>
    <t>Tionk Essil|Senegal|SN|-16.521667|12.785556|+0:00 Africa/Dakar</t>
  </si>
  <si>
    <t>Velingara|Senegal|SN|-14.116667|13.150000|+0:00 Africa/Dakar</t>
  </si>
  <si>
    <t>Ziguinchor|Senegal|SN|-16.271944|12.583333|+0:00 Africa/Dakar</t>
  </si>
  <si>
    <t>Belgrade|Serbia|RS|20.468056|44.818611|+1:00 Europe/Belgrade</t>
  </si>
  <si>
    <t>Pristina|Serbia|RS|21.166666|42.666668|+1:00 Europe/Belgrade</t>
  </si>
  <si>
    <t>Zabalj|Serbia|RS|20.063889|45.372223|+1:00 Europe/Belgrade</t>
  </si>
  <si>
    <t>Zemun|Serbia|RS|20.401112|44.843056|+1:00 Europe/Belgrade</t>
  </si>
  <si>
    <t>Zvecka|Serbia|RS|20.164722|44.638889|+1:00 Europe/Belgrade</t>
  </si>
  <si>
    <t>Freetown|Sierra Leone|SL|-13.234167|8.490000|+0:00 Africa/Freetown</t>
  </si>
  <si>
    <t>Tombodu|Sierra Leone|SL|-10.616667|8.133333|+0:00 Africa/Freetown</t>
  </si>
  <si>
    <t>Waterloo|Sierra Leone|SL|-13.071944|8.338333|+0:00 Africa/Freetown</t>
  </si>
  <si>
    <t>Yengema|Sierra Leone|SL|-11.166667|8.716667|+0:00 Africa/Freetown</t>
  </si>
  <si>
    <t>Singapore|Singapore|SG|103.855835|1.293056|+8:00 Asia/Singapore</t>
  </si>
  <si>
    <t>Bratislava|Slovakia|SK|17.116667|48.150002|+1:00 Europe/Bratislava</t>
  </si>
  <si>
    <t>Kosice|Slovakia|SK|21.250000|48.716667|+1:00 Europe/Bratislava</t>
  </si>
  <si>
    <t>Svit|Slovakia|SK|20.200001|49.066666|+1:00 Europe/Bratislava</t>
  </si>
  <si>
    <t>Trebisov|Slovakia|SK|21.716667|48.633335|+1:00 Europe/Bratislava</t>
  </si>
  <si>
    <t>Vranov nad Topl'ou|Slovakia|SK|21.683332|48.900002|+1:00 Europe/Bratislava</t>
  </si>
  <si>
    <t>Ljubljana|Slovenia|SI|14.514444|46.055279|+1:00 Europe/Ljubljana</t>
  </si>
  <si>
    <t>Trbovlje|Slovenia|SI|15.053333|46.154999|+1:00 Europe/Ljubljana</t>
  </si>
  <si>
    <t>Vrhnika|Slovenia|SI|14.295556|45.966110|+1:00 Europe/Ljubljana</t>
  </si>
  <si>
    <t>Zagorje ob Savi|Slovenia|SI|15.001389|46.134167|+1:00 Europe/Ljubljana</t>
  </si>
  <si>
    <t>Gizo|Solomon Islands|SB|156.850006|-8.100000|+11:00 Pacific/Guadalcanal</t>
  </si>
  <si>
    <t>Honiara|Solomon Islands|SB|159.949997|-9.433333|+11:00 Pacific/Guadalcanal</t>
  </si>
  <si>
    <t>Berbera|Somalia|SO|45.016388|10.435555|+3:00 Africa/Mogadishu</t>
  </si>
  <si>
    <t>Chisimayu|Somalia|SO|42.533333|-0.366667|+3:00 Africa/Mogadishu</t>
  </si>
  <si>
    <t>Hargeysa|Somalia|SO|44.064999|9.560000|+3:00 Africa/Mogadishu</t>
  </si>
  <si>
    <t>Mogadishu|Somalia|SO|45.366665|2.066667|+3:00 Africa/Mogadishu</t>
  </si>
  <si>
    <t>Waajid|Somalia|SO|43.250000|3.800000|+3:00 Africa/Mogadishu</t>
  </si>
  <si>
    <t>Wanlaweyn|Somalia|SO|44.900002|2.616667|+3:00 Africa/Mogadishu</t>
  </si>
  <si>
    <t>Yeed|Somalia|SO|43.033333|4.550000|+3:00 Africa/Mogadishu</t>
  </si>
  <si>
    <t>Benoni|South Africa|ZA|28.316668|-26.183332|+2:00 Africa/Johannesburg</t>
  </si>
  <si>
    <t>Bloemfontein|South Africa|ZA|26.200001|-29.133333|+2:00 Africa/Johannesburg</t>
  </si>
  <si>
    <t>Boksburg|South Africa|ZA|28.250000|-26.216667|+2:00 Africa/Johannesburg</t>
  </si>
  <si>
    <t>Botshabelo|South Africa|ZA|26.733334|-29.233334|+2:00 Africa/Johannesburg</t>
  </si>
  <si>
    <t>Brakpan|South Africa|ZA|28.366667|-26.233334|+2:00 Africa/Johannesburg</t>
  </si>
  <si>
    <t>Cape Town|South Africa|ZA|18.416666|-33.916668|+2:00 Africa/Johannesburg</t>
  </si>
  <si>
    <t>Centurion|South Africa|ZA|28.170555|-25.874445|+2:00 Africa/Johannesburg</t>
  </si>
  <si>
    <t>Durban|South Africa|ZA|31.016666|-29.850000|+2:00 Africa/Johannesburg</t>
  </si>
  <si>
    <t>Johannesburg|South Africa|ZA|28.083334|-26.200001|+2:00 Africa/Johannesburg</t>
  </si>
  <si>
    <t>Krugersdorp|South Africa|ZA|27.766666|-26.100000|+2:00 Africa/Johannesburg</t>
  </si>
  <si>
    <t>Newcastle|South Africa|ZA|29.933332|-27.750000|+10:00 Australia/Sydney</t>
  </si>
  <si>
    <t>Pietermaritzburg|South Africa|ZA|30.383333|-29.616667|+2:00 Africa/Johannesburg</t>
  </si>
  <si>
    <t>Port Elizabeth|South Africa|ZA|25.583334|-33.966667|+2:00 Africa/Johannesburg</t>
  </si>
  <si>
    <t>Pretoria|South Africa|ZA|28.229445|-25.706944|+2:00 Africa/Johannesburg</t>
  </si>
  <si>
    <t>Richards Bay|South Africa|ZA|32.099998|-28.799999|+2:00 Africa/Johannesburg</t>
  </si>
  <si>
    <t>Soweto|South Africa|ZA|27.866667|-26.266666|+2:00 Africa/Johannesburg</t>
  </si>
  <si>
    <t>Tembisa|South Africa|ZA|28.226944|-25.998888|+2:00 Africa/Johannesburg</t>
  </si>
  <si>
    <t>Uitenhage|South Africa|ZA|25.402222|-33.765278|+2:00 Africa/Johannesburg</t>
  </si>
  <si>
    <t>Vanderbijlpark|South Africa|ZA|27.816668|-26.700001|+2:00 Africa/Johannesburg</t>
  </si>
  <si>
    <t>Vereeniging|South Africa|ZA|27.933332|-26.666666|+2:00 Africa/Johannesburg</t>
  </si>
  <si>
    <t>Welkom|South Africa|ZA|26.733334|-27.983334|+2:00 Africa/Johannesburg</t>
  </si>
  <si>
    <t>Witbank|South Africa|ZA|29.233334|-25.866667|+2:00 Africa/Johannesburg</t>
  </si>
  <si>
    <t>Wolmaransstad|South Africa|ZA|25.966667|-27.200001|+2:00 Africa/Johannesburg</t>
  </si>
  <si>
    <t>Zastron|South Africa|ZA|27.083334|-30.299999|+2:00 Africa/Johannesburg</t>
  </si>
  <si>
    <t>Zeerust|South Africa|ZA|26.083334|-25.533333|+2:00 Africa/Johannesburg</t>
  </si>
  <si>
    <t>Ansan|South Korea|KR|126.821945|37.323612|+9:00 Asia/Seoul</t>
  </si>
  <si>
    <t>Anyang|South Korea|KR|126.926941|37.392502|+8:00 Asia/Shanghai</t>
  </si>
  <si>
    <t>Ch'angwon|South Korea|KR|128.681107|35.228054|+9:00 Asia/Seoul</t>
  </si>
  <si>
    <t>Cheju|South Korea|KR|126.521942|33.509724|+9:00 Asia/Seoul</t>
  </si>
  <si>
    <t>Chinju|South Korea|KR|128.084717|35.192780|+9:00 Asia/Seoul</t>
  </si>
  <si>
    <t>Ch'onan|South Korea|KR|127.152222|36.806389|+9:00 Asia/Seoul</t>
  </si>
  <si>
    <t>Ch'ongju|South Korea|KR|127.489723|36.637222|+9:00 Asia/Seoul</t>
  </si>
  <si>
    <t>Chonju|South Korea|KR|127.148888|35.821945|+9:00 Asia/Seoul</t>
  </si>
  <si>
    <t>Ch'unch'on|South Korea|KR|127.734169|37.874722|+9:00 Asia/Seoul</t>
  </si>
  <si>
    <t>Hunghae|South Korea|KR|129.352219|36.112499|+9:00 Asia/Seoul</t>
  </si>
  <si>
    <t>Iksan|South Korea|KR|126.954445|35.943890|+9:00 Asia/Seoul</t>
  </si>
  <si>
    <t>Kimhae|South Korea|KR|128.881104|35.234165|+9:00 Asia/Seoul</t>
  </si>
  <si>
    <t>Kumi|South Korea|KR|128.344727|36.127224|+9:00 Asia/Seoul</t>
  </si>
  <si>
    <t>Kunsan|South Korea|KR|126.711388|35.978611|+9:00 Asia/Seoul</t>
  </si>
  <si>
    <t>Kwangju|South Korea|KR|126.915558|35.154720|+9:00 Asia/Seoul</t>
  </si>
  <si>
    <t>Kwangmyong|South Korea|KR|126.866386|37.477222|+9:00 Asia/Seoul</t>
  </si>
  <si>
    <t>Masan|South Korea|KR|128.572495|35.208057|+9:00 Asia/Seoul</t>
  </si>
  <si>
    <t>Mokp'o|South Korea|KR|126.388611|34.793610|+9:00 Asia/Seoul</t>
  </si>
  <si>
    <t>Puch'on|South Korea|KR|126.783058|37.498890|+9:00 Asia/Seoul</t>
  </si>
  <si>
    <t>Pusan|South Korea|KR|129.040283|35.102779|+9:00 Asia/Seoul</t>
  </si>
  <si>
    <t>Seoul|South Korea|KR|126.999725|37.566387|+9:00 Asia/Seoul</t>
  </si>
  <si>
    <t>Songnam|South Korea|KR|127.137779|37.438610|+9:00 Asia/Seoul</t>
  </si>
  <si>
    <t>Sunch'on|South Korea|KR|127.488335|34.951111|+9:00 Asia/Seoul</t>
  </si>
  <si>
    <t>Suwon|South Korea|KR|127.019165|37.284168|+9:00 Asia/Seoul</t>
  </si>
  <si>
    <t>Taegu|South Korea|KR|128.591110|35.870277|+9:00 Asia/Seoul</t>
  </si>
  <si>
    <t>Taejon|South Korea|KR|127.419724|36.321388|+9:00 Asia/Seoul</t>
  </si>
  <si>
    <t>Uijongbu|South Korea|KR|127.038887|37.748611|+9:00 Asia/Seoul</t>
  </si>
  <si>
    <t>Ulsan|South Korea|KR|129.316666|35.537224|+9:00 Asia/Seoul</t>
  </si>
  <si>
    <t>Wonju|South Korea|KR|127.945274|37.351387|+9:00 Asia/Seoul</t>
  </si>
  <si>
    <t>Yonil|South Korea|KR|129.345001|35.994167|+9:00 Asia/Seoul</t>
  </si>
  <si>
    <t>Yosu|South Korea|KR|127.737778|34.744167|+9:00 Asia/Seoul</t>
  </si>
  <si>
    <t>A Coruna|Spain|ES|-8.396001|43.371349|+1:00 Europe/Madrid</t>
  </si>
  <si>
    <t>Alacant|Spain|ES|-0.481489|38.345173|+1:00 Europe/Madrid</t>
  </si>
  <si>
    <t>Badalona|Spain|ES|2.247412|41.450047|+1:00 Europe/Madrid</t>
  </si>
  <si>
    <t>Barcelona|Spain|ES|2.158985|41.388786|+1:00 Europe/Madrid</t>
  </si>
  <si>
    <t>Bilbao|Spain|ES|-2.925282|43.262707|+1:00 Europe/Madrid</t>
  </si>
  <si>
    <t>Cartagena|Spain|ES|-0.983333|37.599998|-5:00 America/Bogota</t>
  </si>
  <si>
    <t>Cordoba|Spain|ES|-4.766667|37.883335|-3:00 America/Argentina/Cordoba</t>
  </si>
  <si>
    <t>Eixample|Spain|ES|2.161790|41.388954|+1:00 Europe/Madrid</t>
  </si>
  <si>
    <t>Elx|Spain|ES|-0.701065|38.262177|+1:00 Europe/Madrid</t>
  </si>
  <si>
    <t>Gijon|Spain|ES|-5.664444|43.541111|+1:00 Europe/Madrid</t>
  </si>
  <si>
    <t>Granada|Spain|ES|-3.606670|37.188168|+1:00 Africa/Ceuta</t>
  </si>
  <si>
    <t>Las Palmas de Gran Canaria|Spain|ES|-15.416667|28.100000|+0:00 Atlantic/Canary</t>
  </si>
  <si>
    <t>l'Hospitalet de Llobregat|Spain|ES|2.100277|41.359673|+1:00 Europe/Madrid</t>
  </si>
  <si>
    <t>Madrid|Spain|ES|-3.702564|40.416504|+1:00 Europe/Madrid</t>
  </si>
  <si>
    <t>Malaga|Spain|ES|-4.420345|36.720158|+1:00 Africa/Ceuta</t>
  </si>
  <si>
    <t>Mostoles|Spain|ES|-3.864956|40.322334|+1:00 Europe/Madrid</t>
  </si>
  <si>
    <t>Murcia|Spain|ES|-1.116667|37.983334|+1:00 Europe/Madrid</t>
  </si>
  <si>
    <t>Oviedo|Spain|ES|-5.833333|43.366665|+1:00 Europe/Madrid</t>
  </si>
  <si>
    <t>Palma|Spain|ES|2.650237|39.569389|+1:00 Europe/Madrid</t>
  </si>
  <si>
    <t>Sant Marti|Spain|ES|2.199326|41.418144|+1:00 Europe/Madrid</t>
  </si>
  <si>
    <t>Santa Cruz de Tenerife|Spain|ES|-16.254616|28.468239|+0:00 Atlantic/Canary</t>
  </si>
  <si>
    <t>Sevilla|Spain|ES|-5.986944|37.377224|+1:00 Africa/Ceuta</t>
  </si>
  <si>
    <t>Valencia|Spain|ES|-0.377387|39.469753|+1:00 Europe/Madrid</t>
  </si>
  <si>
    <t>Valladolid|Spain|ES|-4.716667|41.650002|+1:00 Europe/Madrid</t>
  </si>
  <si>
    <t>Vigo|Spain|ES|-8.716667|42.233334|+1:00 Europe/Madrid</t>
  </si>
  <si>
    <t>Vitoria-Gasteiz|Spain|ES|-2.666667|42.849998|+1:00 Europe/Madrid</t>
  </si>
  <si>
    <t>Yecla|Spain|ES|-1.116667|38.616665|+1:00 Europe/Madrid</t>
  </si>
  <si>
    <t>Zafra|Spain|ES|-6.416667|38.416668|+1:00 Europe/Madrid</t>
  </si>
  <si>
    <t>Zaragoza|Spain|ES|-0.877340|41.656063|-5:00 America/Bogota</t>
  </si>
  <si>
    <t>Zubia|Spain|ES|-3.583333|37.116665|+1:00 Africa/Ceuta</t>
  </si>
  <si>
    <t>Colombo|Sri Lanka|LK|79.847778|6.931944|-3:00 America/Sao_Paulo</t>
  </si>
  <si>
    <t>Galkissa|Sri Lanka|LK|79.866669|6.833333|+5:30 Asia/Colombo</t>
  </si>
  <si>
    <t>Wattegama|Sri Lanka|LK|81.500000|6.800000|+5:30 Asia/Colombo</t>
  </si>
  <si>
    <t>Weligama|Sri Lanka|LK|80.416664|5.966667|+5:30 Asia/Colombo</t>
  </si>
  <si>
    <t>Welisara|Sri Lanka|LK|79.900002|7.033333|+5:30 Asia/Colombo</t>
  </si>
  <si>
    <t>Al Fashir|Sudan|SD|25.350000|13.633333|+3:00 Africa/Khartoum</t>
  </si>
  <si>
    <t>Al Ubayyid|Sudan|SD|30.216667|13.183333|+3:00 Africa/Khartoum</t>
  </si>
  <si>
    <t>Kassala|Sudan|SD|36.398888|15.455833|+3:00 Africa/Khartoum</t>
  </si>
  <si>
    <t>Khartoum|Sudan|SD|32.534168|15.588056|+3:00 Africa/Khartoum</t>
  </si>
  <si>
    <t>Kusti|Sudan|SD|32.666668|13.166667|+3:00 Africa/Khartoum</t>
  </si>
  <si>
    <t>Omdurman|Sudan|SD|32.437222|15.636111|+3:00 Africa/Khartoum</t>
  </si>
  <si>
    <t>Wad Madani|Sudan|SD|33.533333|14.400000|+3:00 Africa/Khartoum</t>
  </si>
  <si>
    <t>Yambio|Sudan|SD|28.416389|4.570556|+3:00 Africa/Khartoum</t>
  </si>
  <si>
    <t>Yei|Sudan|SD|30.678612|4.091389|+3:00 Africa/Khartoum</t>
  </si>
  <si>
    <t>Zalingei|Sudan|SD|23.483334|12.900000|+3:00 Africa/Khartoum</t>
  </si>
  <si>
    <t>Moengo|Suriname|SR|-54.400002|5.616667|-3:00 America/Paramaribo</t>
  </si>
  <si>
    <t>Nieuw Nickerie|Suriname|SR|-56.983334|5.950000|-3:00 America/Paramaribo</t>
  </si>
  <si>
    <t>Paramaribo|Suriname|SR|-55.166668|5.833333|-3:00 America/Paramaribo</t>
  </si>
  <si>
    <t>Mhlume|Swaziland|SZ|31.850000|-26.033333|+2:00 Africa/Mbabane</t>
  </si>
  <si>
    <t>Piggs Peak|Swaziland|SZ|31.250000|-25.966667|+2:00 Africa/Mbabane</t>
  </si>
  <si>
    <t>Siteki|Swaziland|SZ|31.950001|-26.450001|+2:00 Africa/Mbabane</t>
  </si>
  <si>
    <t>Goteborg|Sweden|SE|11.966667|57.716667|+1:00 Europe/Stockholm</t>
  </si>
  <si>
    <t>Malmoe|Sweden|SE|13.000731|55.605869|+1:00 Europe/Stockholm</t>
  </si>
  <si>
    <t>Pitea|Sweden|SE|21.500000|65.333336|+1:00 Europe/Stockholm</t>
  </si>
  <si>
    <t>Skelleftea|Sweden|SE|20.950001|64.766670|+1:00 Europe/Stockholm</t>
  </si>
  <si>
    <t>Stockholm|Sweden|SE|18.062639|59.329468|+1:00 Europe/Stockholm</t>
  </si>
  <si>
    <t>Umea|Sweden|SE|20.250000|63.833332|+1:00 Europe/Stockholm</t>
  </si>
  <si>
    <t>Zuchwil|Switzerland|CH|7.566490|47.201725|+1:00 Europe/Zurich</t>
  </si>
  <si>
    <t>Zug|Switzerland|CH|8.516666|47.166668|+1:00 Europe/Zurich</t>
  </si>
  <si>
    <t>Zurich|Switzerland|CH|8.550000|47.366665|+1:00 Europe/Zurich</t>
  </si>
  <si>
    <t>Aleppo|Syria|SY|37.158611|36.202778|+2:00 Asia/Damascus</t>
  </si>
  <si>
    <t>Damascus|Syria|SY|36.299999|33.500000|+2:00 Asia/Damascus</t>
  </si>
  <si>
    <t>Dayr az Zawr|Syria|SY|40.150002|35.333332|+2:00 Asia/Damascus</t>
  </si>
  <si>
    <t>Hamah|Syria|SY|36.750000|35.133335|+2:00 Asia/Damascus</t>
  </si>
  <si>
    <t>Hims|Syria|SY|36.716667|34.733334|+2:00 Asia/Damascus</t>
  </si>
  <si>
    <t>Latakia|Syria|SY|35.783333|35.516666|+2:00 Asia/Damascus</t>
  </si>
  <si>
    <t>Tartus|Syria|SY|35.883335|34.883335|+2:00 Asia/Damascus</t>
  </si>
  <si>
    <t>Tayyibat al Imam|Syria|SY|36.716667|35.266666|+2:00 Asia/Damascus</t>
  </si>
  <si>
    <t>Yabrud|Syria|SY|36.666668|33.966667|+2:00 Asia/Damascus</t>
  </si>
  <si>
    <t>Papeete|Tahiti|PF|-149.566666|-17.533333|-10:00 Pacific/Tahiti</t>
  </si>
  <si>
    <t>Pirae|Tahiti|PF|-149.533340|-17.516666|-10:00 Pacific/Tahiti</t>
  </si>
  <si>
    <t>Punaauia|Tahiti|PF|-149.600006|-17.633333|-10:00 Pacific/Tahiti</t>
  </si>
  <si>
    <t>Chi-lung|Taiwan|TW|121.737503|25.131390|+8:00 Asia/Taipei</t>
  </si>
  <si>
    <t>Hualian|Taiwan|TW|121.604446|23.976944|+8:00 Asia/Taipei</t>
  </si>
  <si>
    <t>Kao-hsiung|Taiwan|TW|120.301392|22.617777|+8:00 Asia/Taipei</t>
  </si>
  <si>
    <t>T'ai-chung-shih|Taiwan|TW|120.686668|24.148333|+8:00 Asia/Taipei</t>
  </si>
  <si>
    <t>Taipei|Taiwan|TW|121.525002|25.039167|+8:00 Asia/Taipei</t>
  </si>
  <si>
    <t>Yun-lin|Taiwan|TW|120.542221|23.709167|+8:00 Asia/Taipei</t>
  </si>
  <si>
    <t>Dushanbe|Tajikistan|TJ|68.773888|38.560001|+5:00 Asia/Dushanbe</t>
  </si>
  <si>
    <t>Vakhsh|Tajikistan|TJ|68.831108|37.710835|+5:00 Asia/Dushanbe</t>
  </si>
  <si>
    <t>Vose'|Tajikistan|TJ|69.644165|37.802502|+5:00 Asia/Dushanbe</t>
  </si>
  <si>
    <t>Yovan|Tajikistan|TJ|69.043053|38.313057|+5:00 Asia/Dushanbe</t>
  </si>
  <si>
    <t>Arusha|Tanzania|TZ|36.683334|-3.366667|+3:00 Africa/Dar_es_Salaam</t>
  </si>
  <si>
    <t>Dar es Salaam|Tanzania|TZ|39.283333|-6.800000|+3:00 Africa/Dar_es_Salaam</t>
  </si>
  <si>
    <t>Mbeya|Tanzania|TZ|33.450001|-8.900000|+3:00 Africa/Dar_es_Salaam</t>
  </si>
  <si>
    <t>Morogoro|Tanzania|TZ|37.666668|-6.816667|+3:00 Africa/Dar_es_Salaam</t>
  </si>
  <si>
    <t>Mwanza|Tanzania|TZ|32.900002|-2.516667|+3:00 Africa/Dar_es_Salaam</t>
  </si>
  <si>
    <t>Tanga|Tanzania|TZ|39.099998|-5.066667|+3:00 Africa/Dar_es_Salaam</t>
  </si>
  <si>
    <t>Vwawa|Tanzania|TZ|32.933334|-9.116667|+3:00 Africa/Dar_es_Salaam</t>
  </si>
  <si>
    <t>Wete|Tanzania|TZ|39.716667|-5.066667|+3:00 Africa/Dar_es_Salaam</t>
  </si>
  <si>
    <t>Zanzibar|Tanzania|TZ|39.197933|-6.163937|+3:00 Africa/Dar_es_Salaam</t>
  </si>
  <si>
    <t>Ban Sam Roi Yot|Thailand|TH|99.883331|12.200000|+7:00 Asia/Bangkok</t>
  </si>
  <si>
    <t>Bangkok|Thailand|TH|100.516670|13.750000|+7:00 Asia/Bangkok</t>
  </si>
  <si>
    <t>Chiang Mai|Thailand|TH|98.981667|18.790277|+7:00 Asia/Bangkok</t>
  </si>
  <si>
    <t>Chon Buri|Thailand|TH|100.983330|13.366667|+7:00 Asia/Bangkok</t>
  </si>
  <si>
    <t>Don Sak|Thailand|TH|99.683334|9.300000|+7:00 Asia/Bangkok</t>
  </si>
  <si>
    <t>Nakhon Ratchasima|Thailand|TH|102.116669|14.966667|+7:00 Asia/Bangkok</t>
  </si>
  <si>
    <t>Phetchaburi|Thailand|TH|99.949997|13.100000|+7:00 Asia/Bangkok</t>
  </si>
  <si>
    <t>Samut Prakan|Thailand|TH|100.599998|13.600000|+7:00 Asia/Bangkok</t>
  </si>
  <si>
    <t>Udon Thani|Thailand|TH|102.793053|17.407499|+7:00 Asia/Bangkok</t>
  </si>
  <si>
    <t>Lome|Togo|TG|1.222778|6.131944|+0:00 Africa/Lome</t>
  </si>
  <si>
    <t>Tchamba|Togo|TG|1.416667|9.033333|+0:00 Africa/Lome</t>
  </si>
  <si>
    <t>Tsevie|Togo|TG|1.213333|6.426111|+0:00 Africa/Lome</t>
  </si>
  <si>
    <t>Vogan|Togo|TG|1.533333|6.333333|+0:00 Africa/Lome</t>
  </si>
  <si>
    <t>Paradise|Trinidad and Tobago|TT|-61.366711|10.634711|-4:00 America/Port_of_Spain</t>
  </si>
  <si>
    <t>Siparia|Trinidad and Tobago|TT|-61.500000|10.133333|-4:00 America/Port_of_Spain</t>
  </si>
  <si>
    <t>Tunapuna|Trinidad and Tobago|TT|-61.383335|10.633333|-4:00 America/Port_of_Spain</t>
  </si>
  <si>
    <t>Oued Lill|Tunis|TN|10.042222|36.834167|+1:00 Africa/Tunis</t>
  </si>
  <si>
    <t>Sfax|Tunis|TN|10.760278|34.740555|+1:00 Africa/Tunis</t>
  </si>
  <si>
    <t>Tunis|Tunis|TN|10.179722|36.802776|+1:00 Africa/Tunis</t>
  </si>
  <si>
    <t>Zaghouan|Tunis|TN|10.150000|36.400002|+1:00 Africa/Tunis</t>
  </si>
  <si>
    <t>Zawiyat al Jadidi|Tunis|TN|10.583333|36.650002|+1:00 Africa/Tunis</t>
  </si>
  <si>
    <t>Adana|Turkey|TR|35.328888|37.001667|+2:00 Europe/Istanbul</t>
  </si>
  <si>
    <t>Adiyaman|Turkey|TR|38.278332|37.759167|+2:00 Europe/Istanbul</t>
  </si>
  <si>
    <t>Ankara|Turkey|TR|32.864445|39.927223|+2:00 Europe/Istanbul</t>
  </si>
  <si>
    <t>Antalya|Turkey|TR|30.689722|36.912498|+2:00 Europe/Istanbul</t>
  </si>
  <si>
    <t>Balikesir|Turkey|TR|27.886110|39.649166|+2:00 Europe/Istanbul</t>
  </si>
  <si>
    <t>Batikent|Turkey|TR|32.730835|39.968334|+2:00 Europe/Istanbul</t>
  </si>
  <si>
    <t>Batman|Turkey|TR|41.120556|37.882778|+2:00 Europe/Istanbul</t>
  </si>
  <si>
    <t>Bursa|Turkey|TR|29.061111|40.191666|+2:00 Europe/Istanbul</t>
  </si>
  <si>
    <t>Corlu|Turkey|TR|27.799999|41.159168|+2:00 Europe/Istanbul</t>
  </si>
  <si>
    <t>Denizli|Turkey|TR|29.087500|37.774166|+2:00 Europe/Istanbul</t>
  </si>
  <si>
    <t>Diyarbakir|Turkey|TR|40.210556|37.918888|+2:00 Europe/Istanbul</t>
  </si>
  <si>
    <t>Elazig|Turkey|TR|39.220554|38.675278|+2:00 Europe/Istanbul</t>
  </si>
  <si>
    <t>Erzurum|Turkey|TR|41.276943|39.908611|+2:00 Europe/Istanbul</t>
  </si>
  <si>
    <t>Esenyurt|Turkey|TR|28.675278|41.033333|+2:00 Europe/Istanbul</t>
  </si>
  <si>
    <t>Eskisehir|Turkey|TR|30.520555|39.776669|+2:00 Europe/Istanbul</t>
  </si>
  <si>
    <t>Eskisehir Ili|Turkey|TR|31.166666|39.666668|+2:00 Europe/Istanbul</t>
  </si>
  <si>
    <t>Gaziantep|Turkey|TR|37.382500|37.059444|+2:00 Europe/Istanbul</t>
  </si>
  <si>
    <t>Gebze|Turkey|TR|29.430555|40.797779|+2:00 Europe/Istanbul</t>
  </si>
  <si>
    <t>Istanbul|Turkey|TR|28.949661|41.013844|+2:00 Europe/Istanbul</t>
  </si>
  <si>
    <t>Izmir|Turkey|TR|27.150278|38.407223|+2:00 Europe/Istanbul</t>
  </si>
  <si>
    <t>Kahramanmaras|Turkey|TR|36.931667|37.587502|+2:00 Europe/Istanbul</t>
  </si>
  <si>
    <t>Kale|Turkey|TR|29.985001|36.244446|+2:00 Europe/Istanbul</t>
  </si>
  <si>
    <t>Kayseri|Turkey|TR|35.485279|38.732224|+2:00 Europe/Istanbul</t>
  </si>
  <si>
    <t>Kirikkale|Turkey|TR|33.506390|39.845280|+2:00 Europe/Istanbul</t>
  </si>
  <si>
    <t>Konya|Turkey|TR|32.482498|37.865555|+2:00 Europe/Istanbul</t>
  </si>
  <si>
    <t>Malatya|Turkey|TR|38.311943|38.353333|+2:00 Europe/Istanbul</t>
  </si>
  <si>
    <t>Manisa|Turkey|TR|27.426111|38.613056|+2:00 Europe/Istanbul</t>
  </si>
  <si>
    <t>Mercin|Turkey|TR|34.617920|36.795265|+2:00 Europe/Istanbul</t>
  </si>
  <si>
    <t>Osmaniye|Turkey|TR|36.247776|37.074165|+2:00 Europe/Istanbul</t>
  </si>
  <si>
    <t>Sakarya|Turkey|TR|30.403334|40.780556|+2:00 Europe/Istanbul</t>
  </si>
  <si>
    <t>Samsun|Turkey|TR|36.330002|41.286667|+2:00 Europe/Istanbul</t>
  </si>
  <si>
    <t>Sanliurfa|Turkey|TR|38.792778|37.151112|+2:00 Europe/Istanbul</t>
  </si>
  <si>
    <t>Sivas|Turkey|TR|37.016109|39.748333|+2:00 Europe/Istanbul</t>
  </si>
  <si>
    <t>Tarsus|Turkey|TR|34.891666|36.917778|+2:00 Europe/Istanbul</t>
  </si>
  <si>
    <t>Trabzon|Turkey|TR|39.726944|41.005001|+2:00 Europe/Istanbul</t>
  </si>
  <si>
    <t>Van|Turkey|TR|43.380001|38.494167|+2:00 Europe/Istanbul</t>
  </si>
  <si>
    <t>Yunak|Turkey|TR|31.735556|38.817223|+2:00 Europe/Istanbul</t>
  </si>
  <si>
    <t>Zara|Turkey|TR|37.758335|39.897778|+2:00 Europe/Istanbul</t>
  </si>
  <si>
    <t>Ashgabat|Turkmenistan|TM|58.383335|37.950001|+5:00 Asia/Ashgabat</t>
  </si>
  <si>
    <t>Balkanabat|Turkmenistan|TM|54.365002|39.511944|+5:00 Asia/Ashgabat</t>
  </si>
  <si>
    <t>Gumdag|Turkmenistan|TM|54.590557|39.206112|+5:00 Asia/Ashgabat</t>
  </si>
  <si>
    <t>Kaka|Turkmenistan|TM|59.599998|37.349998|+5:00 Asia/Ashgabat</t>
  </si>
  <si>
    <t>Turkmenabat|Turkmenistan|TM|63.575001|39.101387|+5:00 Asia/Ashgabat</t>
  </si>
  <si>
    <t>Kampala|Uganda|UG|32.565556|0.315556|+3:00 Africa/Kampala</t>
  </si>
  <si>
    <t>Sembabule|Uganda|UG|31.456667|-0.077222|+3:00 Africa/Kampala</t>
  </si>
  <si>
    <t>Wakiso|Uganda|UG|32.459446|0.404444|+3:00 Africa/Kampala</t>
  </si>
  <si>
    <t>Wobulenzi|Uganda|UG|32.512222|0.728333|+3:00 Africa/Kampala</t>
  </si>
  <si>
    <t>Cherkasy|Ukraine|UA|32.066666|49.433334|+2:00 Europe/Kiev</t>
  </si>
  <si>
    <t>Chernihiv|Ukraine|UA|31.299999|51.500000|+2:00 Europe/Kiev</t>
  </si>
  <si>
    <t>Chernivtsi|Ukraine|UA|25.933332|48.299999|+2:00 Europe/Uzhgorod</t>
  </si>
  <si>
    <t>Dniprodzerzhyns'k|Ukraine|UA|34.616665|48.500000|+2:00 Europe/Zaporozhye</t>
  </si>
  <si>
    <t>Dnipropetrovs'k|Ukraine|UA|34.983334|48.450001|+2:00 Europe/Zaporozhye</t>
  </si>
  <si>
    <t>Donets'k|Ukraine|UA|37.799999|48.000000|+2:00 Europe/Zaporozhye</t>
  </si>
  <si>
    <t>Druzhkovka|Ukraine|UA|37.549999|48.616665|+2:00 Europe/Zaporozhye</t>
  </si>
  <si>
    <t>Horlivka|Ukraine|UA|38.049999|48.299999|+2:00 Europe/Zaporozhye</t>
  </si>
  <si>
    <t>Kharkiv|Ukraine|UA|36.250000|50.000000|+2:00 Europe/Zaporozhye</t>
  </si>
  <si>
    <t>Kherson|Ukraine|UA|32.599998|46.633335|+2:00 Europe/Simferopol</t>
  </si>
  <si>
    <t>Kiev|Ukraine|UA|30.516666|50.433334|+2:00 Europe/Kiev</t>
  </si>
  <si>
    <t>Kirovohrad|Ukraine|UA|32.263054|48.504166|+2:00 Europe/Zaporozhye</t>
  </si>
  <si>
    <t>Kremenchuk|Ukraine|UA|33.416668|49.066666|+2:00 Europe/Zaporozhye</t>
  </si>
  <si>
    <t>Kryvyy Rih|Ukraine|UA|33.349998|47.916668|+2:00 Europe/Zaporozhye</t>
  </si>
  <si>
    <t>Lebedyn|Ukraine|UA|34.480278|50.588055|+2:00 Europe/Kiev</t>
  </si>
  <si>
    <t>Luhans'k|Ukraine|UA|39.333332|48.566666|+2:00 Europe/Zaporozhye</t>
  </si>
  <si>
    <t>Luts'k|Ukraine|UA|25.333334|50.750000|+2:00 Europe/Uzhgorod</t>
  </si>
  <si>
    <t>L'viv|Ukraine|UA|24.023237|49.838261|+2:00 Europe/Uzhgorod</t>
  </si>
  <si>
    <t>Makiyivka|Ukraine|UA|37.966667|48.033333|+2:00 Europe/Zaporozhye</t>
  </si>
  <si>
    <t>Mariupol'|Ukraine|UA|37.500000|47.066666|+2:00 Europe/Zaporozhye</t>
  </si>
  <si>
    <t>Mykolayiv|Ukraine|UA|32.000000|46.966667|+2:00 Europe/Zaporozhye</t>
  </si>
  <si>
    <t>Odesa|Ukraine|UA|30.733334|46.466667|+2:00 Europe/Simferopol</t>
  </si>
  <si>
    <t>Poltava|Ukraine|UA|34.566666|49.583332|+2:00 Europe/Zaporozhye</t>
  </si>
  <si>
    <t>Rivne|Ukraine|UA|26.250000|50.616665|+2:00 Europe/Kiev</t>
  </si>
  <si>
    <t>Sevastopol'|Ukraine|UA|33.533333|44.599998|+2:00 Europe/Simferopol</t>
  </si>
  <si>
    <t>Simferopol'|Ukraine|UA|34.099998|44.950001|+2:00 Europe/Simferopol</t>
  </si>
  <si>
    <t>Staryy Dobrotvor|Ukraine|UA|24.350000|50.250000|+2:00 Europe/Uzhgorod</t>
  </si>
  <si>
    <t>Sumy|Ukraine|UA|34.781944|50.919724|+2:00 Europe/Kiev</t>
  </si>
  <si>
    <t>Ternopil'|Ukraine|UA|25.583334|49.549999|+2:00 Europe/Uzhgorod</t>
  </si>
  <si>
    <t>Vinnytsya|Ukraine|UA|28.483334|49.233334|+2:00 Europe/Kiev</t>
  </si>
  <si>
    <t>Zaporizhzhya|Ukraine|UA|35.183334|47.816666|+2:00 Europe/Zaporozhye</t>
  </si>
  <si>
    <t>Zhytomyr|Ukraine|UA|28.666666|50.250000|+2:00 Europe/Kiev</t>
  </si>
  <si>
    <t>Abu Dhabi|United Arab Emirates|AE|54.366665|24.466667|+4:00 Asia/Dubai</t>
  </si>
  <si>
    <t>Ajman|United Arab Emirates|AE|55.435036|25.411106|+4:00 Asia/Dubai</t>
  </si>
  <si>
    <t>Al `Ayn|United Arab Emirates|AE|55.760555|24.191668|+4:00 Asia/Dubai</t>
  </si>
  <si>
    <t>Dubai|United Arab Emirates|AE|55.279999|25.252222|+4:00 Asia/Dubai</t>
  </si>
  <si>
    <t>Khawr Fakkan|United Arab Emirates|AE|56.356110|25.339167|+4:00 Asia/Dubai</t>
  </si>
  <si>
    <t>Ra's al Khaymah|United Arab Emirates|AE|55.942780|25.791111|+4:00 Asia/Dubai</t>
  </si>
  <si>
    <t>Sharjah|United Arab Emirates|AE|55.391109|25.362223|+4:00 Asia/Dubai</t>
  </si>
  <si>
    <t>Umm al Qaywayn|United Arab Emirates|AE|55.553333|25.565277|+4:00 Asia/Dubai</t>
  </si>
  <si>
    <t>Belfast|United Kingdom|GB|-5.933333|54.583332|+0:00 Europe/London</t>
  </si>
  <si>
    <t>Birmingham|United Kingdom|GB|-1.916667|52.466667|+0:00 Europe/London</t>
  </si>
  <si>
    <t>Bradford|United Kingdom|GB|-1.750000|53.783333|+0:00 Europe/London</t>
  </si>
  <si>
    <t>Bristol|United Kingdom|GB|-2.583333|51.450001|+0:00 Europe/London</t>
  </si>
  <si>
    <t>Caerdydd|United Kingdom|GB|-3.200000|51.500000|+0:00 Europe/London</t>
  </si>
  <si>
    <t>Coventry|United Kingdom|GB|-1.550000|52.416668|+0:00 Europe/London</t>
  </si>
  <si>
    <t>Derby|United Kingdom|GB|-1.500000|52.933334|+0:00 Europe/London</t>
  </si>
  <si>
    <t>Edinburgh|United Kingdom|GB|-3.200000|55.950001|+0:00 Europe/London</t>
  </si>
  <si>
    <t>Glasgow|United Kingdom|GB|-4.250000|55.833332|+0:00 Europe/London</t>
  </si>
  <si>
    <t>Kingston upon Hull|United Kingdom|GB|-0.326157|53.740387|+0:00 Europe/London</t>
  </si>
  <si>
    <t>Leeds|United Kingdom|GB|-1.553192|53.794163|+0:00 Europe/London</t>
  </si>
  <si>
    <t>Leicester|United Kingdom|GB|-1.133333|52.633335|+0:00 Europe/London</t>
  </si>
  <si>
    <t>Liverpool|United Kingdom|GB|-3.000000|53.416668|+0:00 Europe/London</t>
  </si>
  <si>
    <t>London|United Kingdom|GB|-0.125533|51.508415|-5:00 America/Toronto</t>
  </si>
  <si>
    <t>Manchester|United Kingdom|GB|-2.237434|53.480946|+0:00 Europe/London</t>
  </si>
  <si>
    <t>Nottingham|United Kingdom|GB|-1.166667|52.966667|+0:00 Europe/London</t>
  </si>
  <si>
    <t>Plymouth|United Kingdom|GB|-4.140000|50.369999|+0:00 Europe/London</t>
  </si>
  <si>
    <t>Reading|United Kingdom|GB|-1.000000|51.433334|+0:00 Europe/London</t>
  </si>
  <si>
    <t>Sheffield|United Kingdom|GB|-1.465902|53.382969|+0:00 Europe/London</t>
  </si>
  <si>
    <t>Southampton|United Kingdom|GB|-1.400000|50.900002|+0:00 Europe/London</t>
  </si>
  <si>
    <t>Stoke-on-Trent|United Kingdom|GB|-2.183333|53.000000|+0:00 Europe/London</t>
  </si>
  <si>
    <t>Wolverhampton|United Kingdom|GB|-2.133333|52.583332|+0:00 Europe/London</t>
  </si>
  <si>
    <t>Yeovil|United Kingdom|GB|-2.633333|50.950001|+0:00 Europe/London</t>
  </si>
  <si>
    <t>York|United Kingdom|GB|-1.083333|53.966667|+0:00 Europe/London</t>
  </si>
  <si>
    <t>Ystalyfera|United Kingdom|GB|-3.783333|51.750000|+0:00 Europe/London</t>
  </si>
  <si>
    <t>Akron|United States of America|US|-81.519005|41.081444|-5:00 America/Detroit</t>
  </si>
  <si>
    <t>Albuquerque|United States of America|US|-106.651138|35.084492|-7:00 America/Shiprock</t>
  </si>
  <si>
    <t>Anaheim|United States of America|US|-117.914505|33.835293|-8:00 America/Los_Angeles</t>
  </si>
  <si>
    <t>Anchorage|United States of America|US|-149.900284|61.218056|-9:00 America/Anchorage</t>
  </si>
  <si>
    <t>Arlington|United States of America|US|-97.108063|32.735687|-6:00 America/Chicago</t>
  </si>
  <si>
    <t>Atlanta|United States of America|US|-84.387985|33.748997|-5:00 America/Kentucky/Monticello</t>
  </si>
  <si>
    <t>Aurora|United States of America|US|-104.831917|39.729431|-7:00 America/Denver</t>
  </si>
  <si>
    <t>Austin|United States of America|US|-97.743057|30.267153|-6:00 America/Chicago</t>
  </si>
  <si>
    <t>Bakersfield|United States of America|US|-119.018715|35.373291|-8:00 America/Los_Angeles</t>
  </si>
  <si>
    <t>Baltimore|United States of America|US|-76.612190|39.290386|-5:00 America/New_York</t>
  </si>
  <si>
    <t>Baton Rouge|United States of America|US|-91.154549|30.450747|-6:00 America/Indiana/Knox</t>
  </si>
  <si>
    <t>Bay Minette|United States of America|US|-87.773048|30.882963|-6:00 America/Indiana/Knox</t>
  </si>
  <si>
    <t>Birmingham|United States of America|US|-86.802490|33.520660|+0:00 Europe/London</t>
  </si>
  <si>
    <t>Boston|United States of America|US|-71.059776|42.358429|-5:00 America/New_York</t>
  </si>
  <si>
    <t>Buffalo|United States of America|US|-78.878372|42.886448|-5:00 America/Detroit</t>
  </si>
  <si>
    <t>Chandler|United States of America|US|-111.841248|33.306160|-7:00 America/Phoenix</t>
  </si>
  <si>
    <t>Charlotte|United States of America|US|-80.843124|35.227085|-5:00 America/Kentucky/Monticello</t>
  </si>
  <si>
    <t>Chicago|United States of America|US|-87.650055|41.850033|-6:00 America/Chicago</t>
  </si>
  <si>
    <t>Chula Vista|United States of America|US|-117.084198|32.640053|-8:00 America/Los_Angeles</t>
  </si>
  <si>
    <t>Cincinnati|United States of America|US|-84.456886|39.162003|-5:00 America/Indiana/Vevay</t>
  </si>
  <si>
    <t>Cleveland|United States of America|US|-81.695412|41.499496|-5:00 America/Detroit</t>
  </si>
  <si>
    <t>Colorado Springs|United States of America|US|-104.821365|38.833881|-7:00 America/Denver</t>
  </si>
  <si>
    <t>Columbus|United States of America|US|-82.998795|39.961174|-5:00 America/Indiana/Vevay</t>
  </si>
  <si>
    <t>Corpus Christi|United States of America|US|-97.396378|27.800583|-6:00 America/Indiana/Knox</t>
  </si>
  <si>
    <t>Dallas|United States of America|US|-96.806664|32.783054|-6:00 America/Chicago</t>
  </si>
  <si>
    <t>Denver|United States of America|US|-104.984703|39.739155|-7:00 America/Denver</t>
  </si>
  <si>
    <t>Detroit|United States of America|US|-83.045753|42.331429|-5:00 America/Detroit</t>
  </si>
  <si>
    <t>Durham|United States of America|US|-78.898621|35.994034|-5:00 America/Kentucky/Monticello</t>
  </si>
  <si>
    <t>Edna|United States of America|US|-96.646088|28.978594|-6:00 America/Indiana/Knox</t>
  </si>
  <si>
    <t>El Paso|United States of America|US|-106.486931|31.758720|-7:00 America/Phoenix</t>
  </si>
  <si>
    <t>Fort Wayne|United States of America|US|-85.128860|41.130604|-5:00 America/Indiana/Indianapolis</t>
  </si>
  <si>
    <t>Fort Worth|United States of America|US|-97.320847|32.725410|-6:00 America/Chicago</t>
  </si>
  <si>
    <t>Fremont|United States of America|US|-121.988571|37.548271|-8:00 America/Los_Angeles</t>
  </si>
  <si>
    <t>Fresno|United States of America|US|-119.772369|36.747726|-8:00 America/Los_Angeles</t>
  </si>
  <si>
    <t>Garland|United States of America|US|-96.638885|32.912624|-6:00 America/Chicago</t>
  </si>
  <si>
    <t>Glendale|United States of America|US|-112.185989|33.538651|-7:00 America/Phoenix</t>
  </si>
  <si>
    <t>Greensboro|United States of America|US|-79.791977|36.072636|-5:00 America/Kentucky/Monticello</t>
  </si>
  <si>
    <t>Henderson|United States of America|US|-94.799377|32.153217|-8:00 America/Los_Angeles</t>
  </si>
  <si>
    <t>Henderson|United States of America|US|-114.981934|36.039700|-8:00 America/Los_Angeles</t>
  </si>
  <si>
    <t>Hialeah|United States of America|US|-80.278107|25.857595|-5:00 America/Kentucky/Monticello</t>
  </si>
  <si>
    <t>Honolulu|United States of America|US|-157.858337|21.306944|-10:00 Pacific/Honolulu</t>
  </si>
  <si>
    <t>Houston|United States of America|US|-95.363274|29.763283|-6:00 America/Indiana/Knox</t>
  </si>
  <si>
    <t>Indianapolis|United States of America|US|-86.158043|39.768375|-5:00 America/Indiana/Indianapolis</t>
  </si>
  <si>
    <t>Jacksonville|United States of America|US|-81.655647|30.332184|-5:00 America/Kentucky/Monticello</t>
  </si>
  <si>
    <t>Jersey City|United States of America|US|-74.077644|40.728157|-5:00 America/New_York</t>
  </si>
  <si>
    <t>Kansas City|United States of America|US|-94.578568|39.099728|-6:00 America/Chicago</t>
  </si>
  <si>
    <t>Laredo|United States of America|US|-99.507545|27.506407|-6:00 America/Chicago</t>
  </si>
  <si>
    <t>Las Vegas|United States of America|US|-115.137222|36.174969|-8:00 America/Los_Angeles</t>
  </si>
  <si>
    <t>Lexington|United States of America|US|-84.477715|37.988689|-5:00 America/Indiana/Vevay</t>
  </si>
  <si>
    <t>Lexington-Fayette|United States of America|US|-84.458549|38.049801|-5:00 America/Indiana/Vevay</t>
  </si>
  <si>
    <t>Lincoln|United States of America|US|-96.666962|40.799999|-6:00 America/Chicago</t>
  </si>
  <si>
    <t>Long Beach|United States of America|US|-118.189232|33.766964|-8:00 America/Los_Angeles</t>
  </si>
  <si>
    <t>Los Angeles|United States of America|US|-118.243683|34.052235|-8:00 America/Los_Angeles</t>
  </si>
  <si>
    <t>Louisville|United States of America|US|-85.759407|38.254238|-5:00 America/Kentucky/Louisville</t>
  </si>
  <si>
    <t>Lubbock|United States of America|US|-101.855164|33.577862|-6:00 America/North_Dakota/New_Salem</t>
  </si>
  <si>
    <t>Madison|United States of America|US|-89.401230|43.073051|-6:00 America/Chicago</t>
  </si>
  <si>
    <t>Memphis|United States of America|US|-90.048981|35.149536|-6:00 America/Indiana/Knox</t>
  </si>
  <si>
    <t>Mesa|United States of America|US|-111.822639|33.422268|-7:00 America/Phoenix</t>
  </si>
  <si>
    <t>Mesa|United States of America|US|-111.749580|33.401714|-7:00 America/Phoenix</t>
  </si>
  <si>
    <t>Miami|United States of America|US|-80.193657|25.774265|-5:00 America/Kentucky/Monticello</t>
  </si>
  <si>
    <t>Milwaukee|United States of America|US|-87.906471|43.038902|-6:00 America/Chicago</t>
  </si>
  <si>
    <t>Minneapolis|United States of America|US|-93.263840|44.979965|-6:00 America/Menominee</t>
  </si>
  <si>
    <t>Modesto|United States of America|US|-120.996880|37.639095|-8:00 America/Los_Angeles</t>
  </si>
  <si>
    <t>Nashville|United States of America|US|-86.784447|36.165890|-6:00 America/Indiana/Knox</t>
  </si>
  <si>
    <t>New Orleans|United States of America|US|-90.075073|29.954649|-6:00 America/Indiana/Knox</t>
  </si>
  <si>
    <t>New South Memphis|United States of America|US|-90.056755|35.086758|-6:00 America/Indiana/Knox</t>
  </si>
  <si>
    <t>New York City|United States of America|US|-74.005974|40.714268|-5:00 America/New_York</t>
  </si>
  <si>
    <t>Newark|United States of America|US|-74.172363|40.735657|-5:00 America/New_York</t>
  </si>
  <si>
    <t>Norfolk|United States of America|US|-76.285217|36.846813|-5:00 America/New_York</t>
  </si>
  <si>
    <t>North Glendale|United States of America|US|-118.264519|34.160564|-8:00 America/Los_Angeles</t>
  </si>
  <si>
    <t>North Kansas City|United States of America|US|-94.562180|39.130005|-6:00 America/Chicago</t>
  </si>
  <si>
    <t>Oakland|United States of America|US|-122.270805|37.804371|-8:00 America/Los_Angeles</t>
  </si>
  <si>
    <t>Oklahoma City|United States of America|US|-97.516426|35.467560|-6:00 America/Chicago</t>
  </si>
  <si>
    <t>Omaha|United States of America|US|-95.937790|41.258610|-6:00 America/Chicago</t>
  </si>
  <si>
    <t>Orlando|United States of America|US|-81.379234|28.538336|-5:00 America/Kentucky/Monticello</t>
  </si>
  <si>
    <t>Paradise|United States of America|US|-115.146667|36.097195|-4:00 America/Port_of_Spain</t>
  </si>
  <si>
    <t>Philadelphia|United States of America|US|-75.163788|39.952335|-5:00 America/New_York</t>
  </si>
  <si>
    <t>Phoenix|United States of America|US|-112.074036|33.448376|-7:00 America/Phoenix</t>
  </si>
  <si>
    <t>Pittsburgh|United States of America|US|-79.995888|40.440624|-5:00 America/Detroit</t>
  </si>
  <si>
    <t>Plano|United States of America|US|-96.698883|33.019844|-6:00 America/Chicago</t>
  </si>
  <si>
    <t>Portland|United States of America|US|-122.676208|45.523453|-8:00 America/Los_Angeles</t>
  </si>
  <si>
    <t>Raleigh|United States of America|US|-78.638611|35.772095|-5:00 America/Kentucky/Monticello</t>
  </si>
  <si>
    <t>Reno|United States of America|US|-119.813805|39.529633|-8:00 America/Los_Angeles</t>
  </si>
  <si>
    <t>Riverside|United States of America|US|-117.396156|33.953350|-8:00 America/Los_Angeles</t>
  </si>
  <si>
    <t>Rochester|United States of America|US|-77.615555|43.154785|-5:00 America/New_York</t>
  </si>
  <si>
    <t>Sacramento|United States of America|US|-121.494400|38.581573|-8:00 America/Los_Angeles</t>
  </si>
  <si>
    <t>Saint Louis|United States of America|US|-90.197891|38.627274|-6:00 America/Chicago</t>
  </si>
  <si>
    <t>Saint Paul|United States of America|US|-93.093277|44.944408|-6:00 America/Menominee</t>
  </si>
  <si>
    <t>Saint Petersburg|United States of America|US|-82.679268|27.770861|+3:00 Europe/Moscow</t>
  </si>
  <si>
    <t>San Antonio|United States of America|US|-98.493629|29.424122|+10:00 Pacific/Saipan</t>
  </si>
  <si>
    <t>San Bernardino|United States of America|US|-117.289764|34.108345|-8:00 America/Los_Angeles</t>
  </si>
  <si>
    <t>San Diego|United States of America|US|-117.157257|32.715328|-8:00 America/Los_Angeles</t>
  </si>
  <si>
    <t>San Francisco|United States of America|US|-122.419418|37.774929|-8:00 America/Los_Angeles</t>
  </si>
  <si>
    <t>San Jose|United States of America|US|-121.894958|37.339386|-6:00 America/Costa_Rica</t>
  </si>
  <si>
    <t>Santa Ana|United States of America|US|-117.867836|33.745575|-8:00 America/Los_Angeles</t>
  </si>
  <si>
    <t>Scottsdale|United States of America|US|-111.899033|33.509209|-7:00 America/Phoenix</t>
  </si>
  <si>
    <t>Seattle|United States of America|US|-122.332069|47.606209|-8:00 America/Los_Angeles</t>
  </si>
  <si>
    <t>Shreveport|United States of America|US|-93.750175|32.525150|-6:00 America/Indiana/Knox</t>
  </si>
  <si>
    <t>South Boston|United States of America|US|-71.049492|42.333431|-5:00 America/New_York</t>
  </si>
  <si>
    <t>Stockton|United States of America|US|-121.290779|37.957703|-8:00 America/Los_Angeles</t>
  </si>
  <si>
    <t>Tampa|United States of America|US|-82.458427|27.947521|-5:00 America/Kentucky/Monticello</t>
  </si>
  <si>
    <t>Toledo|United States of America|US|-83.555214|41.663937|-5:00 America/Detroit</t>
  </si>
  <si>
    <t>Tucson|United States of America|US|-110.926476|32.221745|-7:00 America/Phoenix</t>
  </si>
  <si>
    <t>Tulsa|United States of America|US|-95.992775|36.153980|-6:00 America/Chicago</t>
  </si>
  <si>
    <t>Virginia Beach|United States of America|US|-75.977982|36.852928|-5:00 America/New_York</t>
  </si>
  <si>
    <t>Washington|United States of America|US|-77.036369|38.895111|-5:00 America/New_York</t>
  </si>
  <si>
    <t>West Raleigh|United States of America|US|-78.663895|35.786819|-5:00 America/Kentucky/Monticello</t>
  </si>
  <si>
    <t>Wichita|United States of America|US|-97.337547|37.692238|-6:00 America/Chicago</t>
  </si>
  <si>
    <t>Montevideo|Uruguay|UY|-56.170834|-34.858055|-3:00 America/Montevideo</t>
  </si>
  <si>
    <t>Treinta y Tres|Uruguay|UY|-54.383335|-33.233334|-3:00 America/Montevideo</t>
  </si>
  <si>
    <t>Trinidad|Uruguay|UY|-56.888611|-33.538887|-3:00 America/Montevideo</t>
  </si>
  <si>
    <t>Young|Uruguay|UY|-57.633335|-32.683334|-3:00 America/Montevideo</t>
  </si>
  <si>
    <t>Andijon|Uzbekistan|UZ|72.343887|40.783054|+5:00 Asia/Tashkent</t>
  </si>
  <si>
    <t>Buxoro|Uzbekistan|UZ|64.428612|39.774723|+5:00 Asia/Samarkand</t>
  </si>
  <si>
    <t>Chimboy|Uzbekistan|UZ|59.775276|42.935833|+5:00 Asia/Samarkand</t>
  </si>
  <si>
    <t>Kegayli|Uzbekistan|UZ|59.607777|42.776669|+5:00 Asia/Samarkand</t>
  </si>
  <si>
    <t>Namangan|Uzbekistan|UZ|71.672569|40.998299|+5:00 Asia/Tashkent</t>
  </si>
  <si>
    <t>Nukus|Uzbekistan|UZ|59.610279|42.453056|+5:00 Asia/Samarkand</t>
  </si>
  <si>
    <t>Qarshi|Uzbekistan|UZ|65.797775|38.863335|+5:00 Asia/Samarkand</t>
  </si>
  <si>
    <t>Samarqand|Uzbekistan|UZ|66.959724|39.654167|+5:00 Asia/Samarkand</t>
  </si>
  <si>
    <t>Tashkent|Uzbekistan|UZ|69.250000|41.316666|+5:00 Asia/Tashkent</t>
  </si>
  <si>
    <t>Luganville|Vanuatu|VU|167.166672|-15.533333|+11:00 Pacific/Efate</t>
  </si>
  <si>
    <t>Port-Vila|Vanuatu|VU|168.316666|-17.733334|+11:00 Pacific/Efate</t>
  </si>
  <si>
    <t>Alto Barinas|Venezuela|VE|-70.222221|8.594444|-4:00 America/Caracas</t>
  </si>
  <si>
    <t>Anaco|Venezuela|VE|-64.472778|9.438889|-4:00 America/Caracas</t>
  </si>
  <si>
    <t>Barcelona|Venezuela|VE|-64.699997|10.133333|+1:00 Europe/Madrid</t>
  </si>
  <si>
    <t>Barquisimeto|Venezuela|VE|-69.322777|10.073889|-4:00 America/Caracas</t>
  </si>
  <si>
    <t>Baruta|Venezuela|VE|-66.883331|10.433333|-4:00 America/Caracas</t>
  </si>
  <si>
    <t>Cabimas|Venezuela|VE|-71.446114|10.401944|-4:00 America/Caracas</t>
  </si>
  <si>
    <t>Caracas|Venezuela|VE|-66.916664|10.500000|-4:00 America/Caracas</t>
  </si>
  <si>
    <t>Ciudad Guayana|Venezuela|VE|-62.652779|8.353333|-4:00 America/Caracas</t>
  </si>
  <si>
    <t>Cumana|Venezuela|VE|-64.166664|10.466667|-4:00 America/Caracas</t>
  </si>
  <si>
    <t>La Asuncion|Venezuela|VE|-63.862778|11.033333|-4:00 America/Caracas</t>
  </si>
  <si>
    <t>Maracaibo|Venezuela|VE|-71.640556|10.631667|-4:00 America/Caracas</t>
  </si>
  <si>
    <t>Maturin|Venezuela|VE|-63.176666|9.750000|-4:00 America/Caracas</t>
  </si>
  <si>
    <t>Mucumpiz|Venezuela|VE|-71.133331|8.416667|-4:00 America/Caracas</t>
  </si>
  <si>
    <t>Petare|Venezuela|VE|-66.816666|10.483334|-4:00 America/Caracas</t>
  </si>
  <si>
    <t>San Cristobal|Venezuela|VE|-72.224998|7.766944|-4:00 America/Caracas</t>
  </si>
  <si>
    <t>Santa Teresa|Venezuela|VE|-66.663612|10.231389|-4:00 America/Caracas</t>
  </si>
  <si>
    <t>Turmero|Venezuela|VE|-67.483330|10.233334|-4:00 America/Caracas</t>
  </si>
  <si>
    <t>Valencia|Venezuela|VE|-68.003891|10.180555|+1:00 Europe/Madrid</t>
  </si>
  <si>
    <t>Bien Hoa|Vietnam|VN|106.816666|10.950000|+7:00 Asia/Saigon</t>
  </si>
  <si>
    <t>Can Tho|Vietnam|VN|105.783333|10.033333|+7:00 Asia/Saigon</t>
  </si>
  <si>
    <t>Da Nang|Vietnam|VN|108.220833|16.067778|+7:00 Asia/Saigon</t>
  </si>
  <si>
    <t>Haiphong|Vietnam|VN|106.682220|20.856112|+7:00 Asia/Saigon</t>
  </si>
  <si>
    <t>Hanoi|Vietnam|VN|105.849998|21.033333|+7:00 Asia/Saigon</t>
  </si>
  <si>
    <t>Ho Chi Minh City|Vietnam|VN|106.666664|10.750000|+7:00 Asia/Saigon</t>
  </si>
  <si>
    <t>Hue|Vietnam|VN|107.599998|16.466667|+7:00 Asia/Saigon</t>
  </si>
  <si>
    <t>Nha Trang|Vietnam|VN|109.183334|12.250000|+7:00 Asia/Saigon</t>
  </si>
  <si>
    <t>Quy Nhon|Vietnam|VN|109.233330|13.766666|+7:00 Asia/Saigon</t>
  </si>
  <si>
    <t>Rach Gia|Vietnam|VN|105.083336|10.016666|+7:00 Asia/Saigon</t>
  </si>
  <si>
    <t>Vung Tau|Vietnam|VN|107.066666|10.350000|+7:00 Asia/Saigon</t>
  </si>
  <si>
    <t>Yen Bai|Vietnam|VN|104.866669|21.700001|+7:00 Asia/Saigon</t>
  </si>
  <si>
    <t>Yen Vinh|Vietnam|VN|105.666664|18.666666|+7:00 Asia/Saigon</t>
  </si>
  <si>
    <t>Road Town|Virgin Islands|VG|-64.616669|18.416666|-4:00 America/Tortola</t>
  </si>
  <si>
    <t>Ejbei Uad el Aabd|Western Sahara|EH|-13.162500|27.135000|+0:00 Africa/El_Aaiun</t>
  </si>
  <si>
    <t>Aden|Yemen|YE|45.036667|12.779445|+3:00 Asia/Aden</t>
  </si>
  <si>
    <t>Al Hudaydah|Yemen|YE|42.952221|14.797778|+3:00 Asia/Aden</t>
  </si>
  <si>
    <t>Al Mukalla|Yemen|YE|49.131390|14.530000|+3:00 Asia/Aden</t>
  </si>
  <si>
    <t>Ibb|Yemen|YE|44.183334|13.966667|+3:00 Asia/Aden</t>
  </si>
  <si>
    <t>Sanaa|Yemen|YE|44.206665|15.354722|+3:00 Asia/Aden</t>
  </si>
  <si>
    <t>Ta`izz|Yemen|YE|44.033333|13.566667|+3:00 Asia/Aden</t>
  </si>
  <si>
    <t>Yarim|Yemen|YE|44.380280|14.297222|+3:00 Asia/Aden</t>
  </si>
  <si>
    <t>Zabid|Yemen|YE|43.315277|14.195000|+3:00 Asia/Aden</t>
  </si>
  <si>
    <t>Kitwe|Zambia|ZM|28.200001|-12.816667|+2:00 Africa/Lusaka</t>
  </si>
  <si>
    <t>Lusaka|Zambia|ZM|28.283333|-15.416667|+2:00 Africa/Lusaka</t>
  </si>
  <si>
    <t>Mpulungu|Zambia|ZM|31.133333|-8.766666|+2:00 Africa/Lusaka</t>
  </si>
  <si>
    <t>Nakonde|Zambia|ZM|32.766666|-9.333333|+2:00 Africa/Lusaka</t>
  </si>
  <si>
    <t>Nchelenge|Zambia|ZM|28.733334|-9.350000|+2:00 Africa/Lusaka</t>
  </si>
  <si>
    <t>Ndola|Zambia|ZM|28.633333|-12.966667|+2:00 Africa/Lusaka</t>
  </si>
  <si>
    <t>Bulawayo|Zimbabwe|ZW|28.583334|-20.150000|+2:00 Africa/Harare</t>
  </si>
  <si>
    <t>Chitungwiza|Zimbabwe|ZW|31.048056|-17.993889|+2:00 Africa/Harare</t>
  </si>
  <si>
    <t>Harare|Zimbabwe|ZW|31.044722|-17.817778|+2:00 Africa/Harare</t>
  </si>
  <si>
    <t>Victoria Falls|Zimbabwe|ZW|25.833334|-17.933332|+2:00 Africa/Harare</t>
  </si>
  <si>
    <t>Zvishavane|Zimbabwe|ZW|30.033333|-20.333334|+2:00 Africa/Harare</t>
  </si>
  <si>
    <t>Zvishavane District|Zimbabwe|ZW|30.083334|-20.250000|+2:00 Africa/Harare</t>
  </si>
  <si>
    <t>1.1</t>
  </si>
  <si>
    <t>1.2</t>
  </si>
  <si>
    <t>1.3</t>
  </si>
  <si>
    <t>1.4</t>
  </si>
  <si>
    <t>1.5</t>
  </si>
  <si>
    <t>1.6</t>
  </si>
  <si>
    <t>1.7</t>
  </si>
  <si>
    <t>1.8</t>
  </si>
  <si>
    <t>2.1</t>
  </si>
  <si>
    <t>2.2</t>
  </si>
  <si>
    <t>2.3</t>
  </si>
  <si>
    <t>2.4</t>
  </si>
  <si>
    <t>3.1</t>
  </si>
  <si>
    <t>3.2</t>
  </si>
  <si>
    <t>3.3</t>
  </si>
  <si>
    <t>3.4</t>
  </si>
  <si>
    <t>3.5</t>
  </si>
  <si>
    <t>3.6</t>
  </si>
  <si>
    <t>3.7</t>
  </si>
  <si>
    <t>3.8</t>
  </si>
  <si>
    <t>3.9</t>
  </si>
  <si>
    <t>4.1</t>
  </si>
  <si>
    <t>5.1</t>
  </si>
  <si>
    <t>5.2</t>
  </si>
  <si>
    <t>5.3</t>
  </si>
  <si>
    <t>6.1</t>
  </si>
  <si>
    <t>6.2</t>
  </si>
  <si>
    <t>6.3</t>
  </si>
  <si>
    <t>6.4</t>
  </si>
  <si>
    <t>6.5</t>
  </si>
  <si>
    <t>6.6</t>
  </si>
  <si>
    <t>7.1</t>
  </si>
  <si>
    <t>8.1</t>
  </si>
  <si>
    <t>8.2</t>
  </si>
  <si>
    <t>8.3</t>
  </si>
  <si>
    <t>8.4</t>
  </si>
  <si>
    <t>8.5</t>
  </si>
  <si>
    <t>8.6</t>
  </si>
  <si>
    <t>8.7</t>
  </si>
  <si>
    <t>8.8</t>
  </si>
  <si>
    <t>8.9</t>
  </si>
  <si>
    <t>8.10</t>
  </si>
  <si>
    <t>8.11</t>
  </si>
  <si>
    <t>8.12</t>
  </si>
  <si>
    <t>8.13</t>
  </si>
  <si>
    <t>8.14</t>
  </si>
  <si>
    <t>8.15</t>
  </si>
  <si>
    <t>8.16</t>
  </si>
  <si>
    <t>8.17</t>
  </si>
  <si>
    <t>8.18</t>
  </si>
  <si>
    <t>8.19</t>
  </si>
  <si>
    <t>8.20</t>
  </si>
  <si>
    <t>8.21</t>
  </si>
  <si>
    <t>8.22</t>
  </si>
  <si>
    <t>8.23</t>
  </si>
  <si>
    <t>9.1</t>
  </si>
  <si>
    <t>9.2</t>
  </si>
  <si>
    <t>9.3</t>
  </si>
  <si>
    <t>9.4</t>
  </si>
  <si>
    <t>10.1</t>
  </si>
  <si>
    <t>11.1</t>
  </si>
  <si>
    <t>11.2</t>
  </si>
  <si>
    <t>11.3</t>
  </si>
  <si>
    <t>11.4</t>
  </si>
  <si>
    <t>11.5</t>
  </si>
  <si>
    <t>11.6</t>
  </si>
  <si>
    <t>11.7</t>
  </si>
  <si>
    <t>11.8</t>
  </si>
  <si>
    <t>11.9</t>
  </si>
  <si>
    <t>11.10</t>
  </si>
  <si>
    <t>11.11</t>
  </si>
  <si>
    <t>11.12</t>
  </si>
  <si>
    <t>12.1</t>
  </si>
  <si>
    <t>12.2</t>
  </si>
  <si>
    <t>12.3</t>
  </si>
  <si>
    <t>12.4</t>
  </si>
  <si>
    <t>12.5</t>
  </si>
  <si>
    <t>13.1</t>
  </si>
  <si>
    <t>13.2</t>
  </si>
  <si>
    <t>13.3</t>
  </si>
  <si>
    <t>13.4</t>
  </si>
  <si>
    <t>13.5</t>
  </si>
  <si>
    <t>13.6</t>
  </si>
  <si>
    <t>14.1</t>
  </si>
  <si>
    <t>14.2</t>
  </si>
  <si>
    <t>14.3</t>
  </si>
  <si>
    <t>15.1</t>
  </si>
  <si>
    <t>15.2</t>
  </si>
  <si>
    <t>15.3</t>
  </si>
  <si>
    <t>15.4</t>
  </si>
  <si>
    <t>16.1</t>
  </si>
  <si>
    <t>16.2</t>
  </si>
  <si>
    <t>16.3</t>
  </si>
  <si>
    <t>16.4</t>
  </si>
  <si>
    <t>16.5</t>
  </si>
  <si>
    <t>16.6</t>
  </si>
  <si>
    <t>16.7</t>
  </si>
  <si>
    <t>16.8</t>
  </si>
  <si>
    <t>16.9</t>
  </si>
  <si>
    <t>16.10</t>
  </si>
  <si>
    <t>16.11</t>
  </si>
  <si>
    <t>16.12</t>
  </si>
  <si>
    <t>16.13</t>
  </si>
  <si>
    <t>16.14</t>
  </si>
  <si>
    <t>16.15</t>
  </si>
  <si>
    <t>16.16</t>
  </si>
  <si>
    <t>16.17</t>
  </si>
  <si>
    <t>17.1</t>
  </si>
  <si>
    <t>18.1</t>
  </si>
  <si>
    <t>18.2</t>
  </si>
  <si>
    <t>18.3</t>
  </si>
  <si>
    <t>18.4</t>
  </si>
  <si>
    <t>18.5</t>
  </si>
  <si>
    <t>18.6</t>
  </si>
  <si>
    <t>18.7</t>
  </si>
  <si>
    <t>18.8</t>
  </si>
  <si>
    <t>19.1</t>
  </si>
  <si>
    <t>19.3</t>
  </si>
  <si>
    <t>19.4</t>
  </si>
  <si>
    <t>19.5</t>
  </si>
  <si>
    <t>19.6</t>
  </si>
  <si>
    <t>19.7</t>
  </si>
  <si>
    <t>20.1</t>
  </si>
  <si>
    <t>20.2</t>
  </si>
  <si>
    <t>20.3</t>
  </si>
  <si>
    <t>21.1</t>
  </si>
  <si>
    <t>21.2</t>
  </si>
  <si>
    <t>21.3</t>
  </si>
  <si>
    <t>21.4</t>
  </si>
  <si>
    <t>21.5</t>
  </si>
  <si>
    <t>21.6</t>
  </si>
  <si>
    <t>21.7</t>
  </si>
  <si>
    <t>22.1</t>
  </si>
  <si>
    <t>23.1</t>
  </si>
  <si>
    <t>23.2</t>
  </si>
  <si>
    <t>23.3</t>
  </si>
  <si>
    <t>23.4</t>
  </si>
  <si>
    <t>23.5</t>
  </si>
  <si>
    <t>23.6</t>
  </si>
  <si>
    <t>23.7</t>
  </si>
  <si>
    <t>23.8</t>
  </si>
  <si>
    <t>24.1</t>
  </si>
  <si>
    <t>24.2</t>
  </si>
  <si>
    <t>24.3</t>
  </si>
  <si>
    <t>24.4</t>
  </si>
  <si>
    <t>24.5</t>
  </si>
  <si>
    <t>25.1</t>
  </si>
  <si>
    <t>25.2</t>
  </si>
  <si>
    <t>25.3</t>
  </si>
  <si>
    <t>25.4</t>
  </si>
  <si>
    <t>26.1</t>
  </si>
  <si>
    <t>26.2</t>
  </si>
  <si>
    <t>26.3</t>
  </si>
  <si>
    <t>26.4</t>
  </si>
  <si>
    <t>26.5</t>
  </si>
  <si>
    <t>26.6</t>
  </si>
  <si>
    <t>26.7</t>
  </si>
  <si>
    <t>26.8</t>
  </si>
  <si>
    <t>26.9</t>
  </si>
  <si>
    <t>26.10</t>
  </si>
  <si>
    <t>26.11</t>
  </si>
  <si>
    <t>26.12</t>
  </si>
  <si>
    <t>26.13</t>
  </si>
  <si>
    <t>26.14</t>
  </si>
  <si>
    <t>26.15</t>
  </si>
  <si>
    <t>26.16</t>
  </si>
  <si>
    <t>26.17</t>
  </si>
  <si>
    <t>26.18</t>
  </si>
  <si>
    <t>26.19</t>
  </si>
  <si>
    <t>26.20</t>
  </si>
  <si>
    <t>26.21</t>
  </si>
  <si>
    <t>26.22</t>
  </si>
  <si>
    <t>26.23</t>
  </si>
  <si>
    <t>26.24</t>
  </si>
  <si>
    <t>26.25</t>
  </si>
  <si>
    <t>26.26</t>
  </si>
  <si>
    <t>26.27</t>
  </si>
  <si>
    <t>26.28</t>
  </si>
  <si>
    <t>26.29</t>
  </si>
  <si>
    <t>26.30</t>
  </si>
  <si>
    <t>26.31</t>
  </si>
  <si>
    <t>26.32</t>
  </si>
  <si>
    <t>26.33</t>
  </si>
  <si>
    <t>26.34</t>
  </si>
  <si>
    <t>26.35</t>
  </si>
  <si>
    <t>26.36</t>
  </si>
  <si>
    <t>26.37</t>
  </si>
  <si>
    <t>26.38</t>
  </si>
  <si>
    <t>26.39</t>
  </si>
  <si>
    <t>26.40</t>
  </si>
  <si>
    <t>26.41</t>
  </si>
  <si>
    <t>26.42</t>
  </si>
  <si>
    <t>26.43</t>
  </si>
  <si>
    <t>26.44</t>
  </si>
  <si>
    <t>26.45</t>
  </si>
  <si>
    <t>26.46</t>
  </si>
  <si>
    <t>26.47</t>
  </si>
  <si>
    <t>26.48</t>
  </si>
  <si>
    <t>26.49</t>
  </si>
  <si>
    <t>26.50</t>
  </si>
  <si>
    <t>26.51</t>
  </si>
  <si>
    <t>26.52</t>
  </si>
  <si>
    <t>26.53</t>
  </si>
  <si>
    <t>26.54</t>
  </si>
  <si>
    <t>26.55</t>
  </si>
  <si>
    <t>26.56</t>
  </si>
  <si>
    <t>26.57</t>
  </si>
  <si>
    <t>26.58</t>
  </si>
  <si>
    <t>26.59</t>
  </si>
  <si>
    <t>26.60</t>
  </si>
  <si>
    <t>26.61</t>
  </si>
  <si>
    <t>26.62</t>
  </si>
  <si>
    <t>26.63</t>
  </si>
  <si>
    <t>26.64</t>
  </si>
  <si>
    <t>26.65</t>
  </si>
  <si>
    <t>26.66</t>
  </si>
  <si>
    <t>26.67</t>
  </si>
  <si>
    <t>26.68</t>
  </si>
  <si>
    <t>26.69</t>
  </si>
  <si>
    <t>26.70</t>
  </si>
  <si>
    <t>26.71</t>
  </si>
  <si>
    <t>26.72</t>
  </si>
  <si>
    <t>26.73</t>
  </si>
  <si>
    <t>26.74</t>
  </si>
  <si>
    <t>26.75</t>
  </si>
  <si>
    <t>26.76</t>
  </si>
  <si>
    <t>26.77</t>
  </si>
  <si>
    <t>26.78</t>
  </si>
  <si>
    <t>26.79</t>
  </si>
  <si>
    <t>26.80</t>
  </si>
  <si>
    <t>26.81</t>
  </si>
  <si>
    <t>26.82</t>
  </si>
  <si>
    <t>26.83</t>
  </si>
  <si>
    <t>26.84</t>
  </si>
  <si>
    <t>26.85</t>
  </si>
  <si>
    <t>26.86</t>
  </si>
  <si>
    <t>26.87</t>
  </si>
  <si>
    <t>26.88</t>
  </si>
  <si>
    <t>26.89</t>
  </si>
  <si>
    <t>26.90</t>
  </si>
  <si>
    <t>26.91</t>
  </si>
  <si>
    <t>26.92</t>
  </si>
  <si>
    <t>26.93</t>
  </si>
  <si>
    <t>26.94</t>
  </si>
  <si>
    <t>26.95</t>
  </si>
  <si>
    <t>26.96</t>
  </si>
  <si>
    <t>26.97</t>
  </si>
  <si>
    <t>26.98</t>
  </si>
  <si>
    <t>26.99</t>
  </si>
  <si>
    <t>26.100</t>
  </si>
  <si>
    <t>26.101</t>
  </si>
  <si>
    <t>26.102</t>
  </si>
  <si>
    <t>26.103</t>
  </si>
  <si>
    <t>26.104</t>
  </si>
  <si>
    <t>26.105</t>
  </si>
  <si>
    <t>26.106</t>
  </si>
  <si>
    <t>26.107</t>
  </si>
  <si>
    <t>26.108</t>
  </si>
  <si>
    <t>26.109</t>
  </si>
  <si>
    <t>26.110</t>
  </si>
  <si>
    <t>26.111</t>
  </si>
  <si>
    <t>26.112</t>
  </si>
  <si>
    <t>26.113</t>
  </si>
  <si>
    <t>26.114</t>
  </si>
  <si>
    <t>26.115</t>
  </si>
  <si>
    <t>26.116</t>
  </si>
  <si>
    <t>26.117</t>
  </si>
  <si>
    <t>27.1</t>
  </si>
  <si>
    <t>27.2</t>
  </si>
  <si>
    <t>27.3</t>
  </si>
  <si>
    <t>28.1</t>
  </si>
  <si>
    <t>28.2</t>
  </si>
  <si>
    <t>28.3</t>
  </si>
  <si>
    <t>28.4</t>
  </si>
  <si>
    <t>28.5</t>
  </si>
  <si>
    <t>28.6</t>
  </si>
  <si>
    <t>29.1</t>
  </si>
  <si>
    <t>29.2</t>
  </si>
  <si>
    <t>29.3</t>
  </si>
  <si>
    <t>29.4</t>
  </si>
  <si>
    <t>29.5</t>
  </si>
  <si>
    <t>30.1</t>
  </si>
  <si>
    <t>30.2</t>
  </si>
  <si>
    <t>30.3</t>
  </si>
  <si>
    <t>30.4</t>
  </si>
  <si>
    <t>30.5</t>
  </si>
  <si>
    <t>30.6</t>
  </si>
  <si>
    <t>30.7</t>
  </si>
  <si>
    <t>30.8</t>
  </si>
  <si>
    <t>31.1</t>
  </si>
  <si>
    <t>31.2</t>
  </si>
  <si>
    <t>31.3</t>
  </si>
  <si>
    <t>31.4</t>
  </si>
  <si>
    <t>32.1</t>
  </si>
  <si>
    <t>32.2</t>
  </si>
  <si>
    <t>32.3</t>
  </si>
  <si>
    <t>33.1</t>
  </si>
  <si>
    <t>33.2</t>
  </si>
  <si>
    <t>33.3</t>
  </si>
  <si>
    <t>33.4</t>
  </si>
  <si>
    <t>33.5</t>
  </si>
  <si>
    <t>33.6</t>
  </si>
  <si>
    <t>33.7</t>
  </si>
  <si>
    <t>33.8</t>
  </si>
  <si>
    <t>33.9</t>
  </si>
  <si>
    <t>33.10</t>
  </si>
  <si>
    <t>33.11</t>
  </si>
  <si>
    <t>33.12</t>
  </si>
  <si>
    <t>33.13</t>
  </si>
  <si>
    <t>34.1</t>
  </si>
  <si>
    <t>34.2</t>
  </si>
  <si>
    <t>34.3</t>
  </si>
  <si>
    <t>34.4</t>
  </si>
  <si>
    <t>34.5</t>
  </si>
  <si>
    <t>34.6</t>
  </si>
  <si>
    <t>34.7</t>
  </si>
  <si>
    <t>34.8</t>
  </si>
  <si>
    <t>34.9</t>
  </si>
  <si>
    <t>34.10</t>
  </si>
  <si>
    <t>34.11</t>
  </si>
  <si>
    <t>34.12</t>
  </si>
  <si>
    <t>34.13</t>
  </si>
  <si>
    <t>34.14</t>
  </si>
  <si>
    <t>34.15</t>
  </si>
  <si>
    <t>34.16</t>
  </si>
  <si>
    <t>34.17</t>
  </si>
  <si>
    <t>34.18</t>
  </si>
  <si>
    <t>35.1</t>
  </si>
  <si>
    <t>35.2</t>
  </si>
  <si>
    <t>35.3</t>
  </si>
  <si>
    <t>36.1</t>
  </si>
  <si>
    <t>36.2</t>
  </si>
  <si>
    <t>36.3</t>
  </si>
  <si>
    <t>37.1</t>
  </si>
  <si>
    <t>37.2</t>
  </si>
  <si>
    <t>37.3</t>
  </si>
  <si>
    <t>37.4</t>
  </si>
  <si>
    <t>38.1</t>
  </si>
  <si>
    <t>38.2</t>
  </si>
  <si>
    <t>38.3</t>
  </si>
  <si>
    <t>38.4</t>
  </si>
  <si>
    <t>39.1</t>
  </si>
  <si>
    <t>39.2</t>
  </si>
  <si>
    <t>39.3</t>
  </si>
  <si>
    <t>39.4</t>
  </si>
  <si>
    <t>39.5</t>
  </si>
  <si>
    <t>39.6</t>
  </si>
  <si>
    <t>39.7</t>
  </si>
  <si>
    <t>39.8</t>
  </si>
  <si>
    <t>39.9</t>
  </si>
  <si>
    <t>39.10</t>
  </si>
  <si>
    <t>39.11</t>
  </si>
  <si>
    <t>39.12</t>
  </si>
  <si>
    <t>39.13</t>
  </si>
  <si>
    <t>40.1</t>
  </si>
  <si>
    <t>40.2</t>
  </si>
  <si>
    <t>40.3</t>
  </si>
  <si>
    <t>40.4</t>
  </si>
  <si>
    <t>40.5</t>
  </si>
  <si>
    <t>40.6</t>
  </si>
  <si>
    <t>40.7</t>
  </si>
  <si>
    <t>40.8</t>
  </si>
  <si>
    <t>40.9</t>
  </si>
  <si>
    <t>40.10</t>
  </si>
  <si>
    <t>40.11</t>
  </si>
  <si>
    <t>40.12</t>
  </si>
  <si>
    <t>40.13</t>
  </si>
  <si>
    <t>40.14</t>
  </si>
  <si>
    <t>40.15</t>
  </si>
  <si>
    <t>40.16</t>
  </si>
  <si>
    <t>40.17</t>
  </si>
  <si>
    <t>40.18</t>
  </si>
  <si>
    <t>40.19</t>
  </si>
  <si>
    <t>40.20</t>
  </si>
  <si>
    <t>40.21</t>
  </si>
  <si>
    <t>40.22</t>
  </si>
  <si>
    <t>40.23</t>
  </si>
  <si>
    <t>40.24</t>
  </si>
  <si>
    <t>40.25</t>
  </si>
  <si>
    <t>40.26</t>
  </si>
  <si>
    <t>40.27</t>
  </si>
  <si>
    <t>40.28</t>
  </si>
  <si>
    <t>40.29</t>
  </si>
  <si>
    <t>40.30</t>
  </si>
  <si>
    <t>40.31</t>
  </si>
  <si>
    <t>40.32</t>
  </si>
  <si>
    <t>40.33</t>
  </si>
  <si>
    <t>40.34</t>
  </si>
  <si>
    <t>40.35</t>
  </si>
  <si>
    <t>40.36</t>
  </si>
  <si>
    <t>40.37</t>
  </si>
  <si>
    <t>40.38</t>
  </si>
  <si>
    <t>40.39</t>
  </si>
  <si>
    <t>40.40</t>
  </si>
  <si>
    <t>40.41</t>
  </si>
  <si>
    <t>40.42</t>
  </si>
  <si>
    <t>40.43</t>
  </si>
  <si>
    <t>40.44</t>
  </si>
  <si>
    <t>40.45</t>
  </si>
  <si>
    <t>40.46</t>
  </si>
  <si>
    <t>40.47</t>
  </si>
  <si>
    <t>40.48</t>
  </si>
  <si>
    <t>40.49</t>
  </si>
  <si>
    <t>40.50</t>
  </si>
  <si>
    <t>40.51</t>
  </si>
  <si>
    <t>40.52</t>
  </si>
  <si>
    <t>40.53</t>
  </si>
  <si>
    <t>40.54</t>
  </si>
  <si>
    <t>40.55</t>
  </si>
  <si>
    <t>40.56</t>
  </si>
  <si>
    <t>40.57</t>
  </si>
  <si>
    <t>40.58</t>
  </si>
  <si>
    <t>40.59</t>
  </si>
  <si>
    <t>40.60</t>
  </si>
  <si>
    <t>40.61</t>
  </si>
  <si>
    <t>40.62</t>
  </si>
  <si>
    <t>40.63</t>
  </si>
  <si>
    <t>40.64</t>
  </si>
  <si>
    <t>40.65</t>
  </si>
  <si>
    <t>40.66</t>
  </si>
  <si>
    <t>40.67</t>
  </si>
  <si>
    <t>40.68</t>
  </si>
  <si>
    <t>40.69</t>
  </si>
  <si>
    <t>40.70</t>
  </si>
  <si>
    <t>40.71</t>
  </si>
  <si>
    <t>40.72</t>
  </si>
  <si>
    <t>40.73</t>
  </si>
  <si>
    <t>40.74</t>
  </si>
  <si>
    <t>40.75</t>
  </si>
  <si>
    <t>40.76</t>
  </si>
  <si>
    <t>40.77</t>
  </si>
  <si>
    <t>40.78</t>
  </si>
  <si>
    <t>40.79</t>
  </si>
  <si>
    <t>40.80</t>
  </si>
  <si>
    <t>40.81</t>
  </si>
  <si>
    <t>40.82</t>
  </si>
  <si>
    <t>40.83</t>
  </si>
  <si>
    <t>40.84</t>
  </si>
  <si>
    <t>40.85</t>
  </si>
  <si>
    <t>40.86</t>
  </si>
  <si>
    <t>40.87</t>
  </si>
  <si>
    <t>40.88</t>
  </si>
  <si>
    <t>40.89</t>
  </si>
  <si>
    <t>40.90</t>
  </si>
  <si>
    <t>40.91</t>
  </si>
  <si>
    <t>40.92</t>
  </si>
  <si>
    <t>40.93</t>
  </si>
  <si>
    <t>40.94</t>
  </si>
  <si>
    <t>40.95</t>
  </si>
  <si>
    <t>40.96</t>
  </si>
  <si>
    <t>40.97</t>
  </si>
  <si>
    <t>40.98</t>
  </si>
  <si>
    <t>40.99</t>
  </si>
  <si>
    <t>40.100</t>
  </si>
  <si>
    <t>40.101</t>
  </si>
  <si>
    <t>40.102</t>
  </si>
  <si>
    <t>40.103</t>
  </si>
  <si>
    <t>40.104</t>
  </si>
  <si>
    <t>40.105</t>
  </si>
  <si>
    <t>40.106</t>
  </si>
  <si>
    <t>40.107</t>
  </si>
  <si>
    <t>40.108</t>
  </si>
  <si>
    <t>40.109</t>
  </si>
  <si>
    <t>40.110</t>
  </si>
  <si>
    <t>40.111</t>
  </si>
  <si>
    <t>40.112</t>
  </si>
  <si>
    <t>40.113</t>
  </si>
  <si>
    <t>40.114</t>
  </si>
  <si>
    <t>40.115</t>
  </si>
  <si>
    <t>40.116</t>
  </si>
  <si>
    <t>40.117</t>
  </si>
  <si>
    <t>40.118</t>
  </si>
  <si>
    <t>40.119</t>
  </si>
  <si>
    <t>40.120</t>
  </si>
  <si>
    <t>40.121</t>
  </si>
  <si>
    <t>40.122</t>
  </si>
  <si>
    <t>40.123</t>
  </si>
  <si>
    <t>40.124</t>
  </si>
  <si>
    <t>40.125</t>
  </si>
  <si>
    <t>40.126</t>
  </si>
  <si>
    <t>40.127</t>
  </si>
  <si>
    <t>40.128</t>
  </si>
  <si>
    <t>40.129</t>
  </si>
  <si>
    <t>40.130</t>
  </si>
  <si>
    <t>40.131</t>
  </si>
  <si>
    <t>40.132</t>
  </si>
  <si>
    <t>40.133</t>
  </si>
  <si>
    <t>40.134</t>
  </si>
  <si>
    <t>40.135</t>
  </si>
  <si>
    <t>40.136</t>
  </si>
  <si>
    <t>40.137</t>
  </si>
  <si>
    <t>40.138</t>
  </si>
  <si>
    <t>40.139</t>
  </si>
  <si>
    <t>40.140</t>
  </si>
  <si>
    <t>40.141</t>
  </si>
  <si>
    <t>40.142</t>
  </si>
  <si>
    <t>40.143</t>
  </si>
  <si>
    <t>40.144</t>
  </si>
  <si>
    <t>40.145</t>
  </si>
  <si>
    <t>40.146</t>
  </si>
  <si>
    <t>40.147</t>
  </si>
  <si>
    <t>40.148</t>
  </si>
  <si>
    <t>40.149</t>
  </si>
  <si>
    <t>40.150</t>
  </si>
  <si>
    <t>40.151</t>
  </si>
  <si>
    <t>40.152</t>
  </si>
  <si>
    <t>40.153</t>
  </si>
  <si>
    <t>40.154</t>
  </si>
  <si>
    <t>40.155</t>
  </si>
  <si>
    <t>40.156</t>
  </si>
  <si>
    <t>40.157</t>
  </si>
  <si>
    <t>40.158</t>
  </si>
  <si>
    <t>40.159</t>
  </si>
  <si>
    <t>40.160</t>
  </si>
  <si>
    <t>40.161</t>
  </si>
  <si>
    <t>40.162</t>
  </si>
  <si>
    <t>40.163</t>
  </si>
  <si>
    <t>40.164</t>
  </si>
  <si>
    <t>40.165</t>
  </si>
  <si>
    <t>40.166</t>
  </si>
  <si>
    <t>40.167</t>
  </si>
  <si>
    <t>40.168</t>
  </si>
  <si>
    <t>40.169</t>
  </si>
  <si>
    <t>40.170</t>
  </si>
  <si>
    <t>40.171</t>
  </si>
  <si>
    <t>40.172</t>
  </si>
  <si>
    <t>40.173</t>
  </si>
  <si>
    <t>40.174</t>
  </si>
  <si>
    <t>40.175</t>
  </si>
  <si>
    <t>40.176</t>
  </si>
  <si>
    <t>40.177</t>
  </si>
  <si>
    <t>40.178</t>
  </si>
  <si>
    <t>40.179</t>
  </si>
  <si>
    <t>40.180</t>
  </si>
  <si>
    <t>40.181</t>
  </si>
  <si>
    <t>40.182</t>
  </si>
  <si>
    <t>40.183</t>
  </si>
  <si>
    <t>40.184</t>
  </si>
  <si>
    <t>40.185</t>
  </si>
  <si>
    <t>40.186</t>
  </si>
  <si>
    <t>40.187</t>
  </si>
  <si>
    <t>40.188</t>
  </si>
  <si>
    <t>40.189</t>
  </si>
  <si>
    <t>40.190</t>
  </si>
  <si>
    <t>40.191</t>
  </si>
  <si>
    <t>40.192</t>
  </si>
  <si>
    <t>40.193</t>
  </si>
  <si>
    <t>40.194</t>
  </si>
  <si>
    <t>40.195</t>
  </si>
  <si>
    <t>40.196</t>
  </si>
  <si>
    <t>40.197</t>
  </si>
  <si>
    <t>40.198</t>
  </si>
  <si>
    <t>40.199</t>
  </si>
  <si>
    <t>40.200</t>
  </si>
  <si>
    <t>40.201</t>
  </si>
  <si>
    <t>40.202</t>
  </si>
  <si>
    <t>40.203</t>
  </si>
  <si>
    <t>40.204</t>
  </si>
  <si>
    <t>40.205</t>
  </si>
  <si>
    <t>40.206</t>
  </si>
  <si>
    <t>40.207</t>
  </si>
  <si>
    <t>40.208</t>
  </si>
  <si>
    <t>41.1</t>
  </si>
  <si>
    <t>41.2</t>
  </si>
  <si>
    <t>41.3</t>
  </si>
  <si>
    <t>41.4</t>
  </si>
  <si>
    <t>41.5</t>
  </si>
  <si>
    <t>41.6</t>
  </si>
  <si>
    <t>41.7</t>
  </si>
  <si>
    <t>41.8</t>
  </si>
  <si>
    <t>41.9</t>
  </si>
  <si>
    <t>41.10</t>
  </si>
  <si>
    <t>41.11</t>
  </si>
  <si>
    <t>41.12</t>
  </si>
  <si>
    <t>41.13</t>
  </si>
  <si>
    <t>41.14</t>
  </si>
  <si>
    <t>41.15</t>
  </si>
  <si>
    <t>41.16</t>
  </si>
  <si>
    <t>41.17</t>
  </si>
  <si>
    <t>41.18</t>
  </si>
  <si>
    <t>41.19</t>
  </si>
  <si>
    <t>41.20</t>
  </si>
  <si>
    <t>41.21</t>
  </si>
  <si>
    <t>41.22</t>
  </si>
  <si>
    <t>41.23</t>
  </si>
  <si>
    <t>41.24</t>
  </si>
  <si>
    <t>41.25</t>
  </si>
  <si>
    <t>41.26</t>
  </si>
  <si>
    <t>41.27</t>
  </si>
  <si>
    <t>41.28</t>
  </si>
  <si>
    <t>41.29</t>
  </si>
  <si>
    <t>42.1</t>
  </si>
  <si>
    <t>42.2</t>
  </si>
  <si>
    <t>42.3</t>
  </si>
  <si>
    <t>43.1</t>
  </si>
  <si>
    <t>43.2</t>
  </si>
  <si>
    <t>43.3</t>
  </si>
  <si>
    <t>43.4</t>
  </si>
  <si>
    <t>44.1</t>
  </si>
  <si>
    <t>45.1</t>
  </si>
  <si>
    <t>45.2</t>
  </si>
  <si>
    <t>45.3</t>
  </si>
  <si>
    <t>45.4</t>
  </si>
  <si>
    <t>46.1</t>
  </si>
  <si>
    <t>46.2</t>
  </si>
  <si>
    <t>46.3</t>
  </si>
  <si>
    <t>46.4</t>
  </si>
  <si>
    <t>47.1</t>
  </si>
  <si>
    <t>47.2</t>
  </si>
  <si>
    <t>47.3</t>
  </si>
  <si>
    <t>47.4</t>
  </si>
  <si>
    <t>47.5</t>
  </si>
  <si>
    <t>47.6</t>
  </si>
  <si>
    <t>47.7</t>
  </si>
  <si>
    <t>47.8</t>
  </si>
  <si>
    <t>47.9</t>
  </si>
  <si>
    <t>47.10</t>
  </si>
  <si>
    <t>48.1</t>
  </si>
  <si>
    <t>48.2</t>
  </si>
  <si>
    <t>48.3</t>
  </si>
  <si>
    <t>49.1</t>
  </si>
  <si>
    <t>49.2</t>
  </si>
  <si>
    <t>49.3</t>
  </si>
  <si>
    <t>49.4</t>
  </si>
  <si>
    <t>50.1</t>
  </si>
  <si>
    <t>50.2</t>
  </si>
  <si>
    <t>50.3</t>
  </si>
  <si>
    <t>50.4</t>
  </si>
  <si>
    <t>50.5</t>
  </si>
  <si>
    <t>50.6</t>
  </si>
  <si>
    <t>51.1</t>
  </si>
  <si>
    <t>51.2</t>
  </si>
  <si>
    <t>51.3</t>
  </si>
  <si>
    <t>51.4</t>
  </si>
  <si>
    <t>51.5</t>
  </si>
  <si>
    <t>51.6</t>
  </si>
  <si>
    <t>51.7</t>
  </si>
  <si>
    <t>51.8</t>
  </si>
  <si>
    <t>51.9</t>
  </si>
  <si>
    <t>51.10</t>
  </si>
  <si>
    <t>51.11</t>
  </si>
  <si>
    <t>51.12</t>
  </si>
  <si>
    <t>51.13</t>
  </si>
  <si>
    <t>52.1</t>
  </si>
  <si>
    <t>52.2</t>
  </si>
  <si>
    <t>52.3</t>
  </si>
  <si>
    <t>52.4</t>
  </si>
  <si>
    <t>52.5</t>
  </si>
  <si>
    <t>53.1</t>
  </si>
  <si>
    <t>53.2</t>
  </si>
  <si>
    <t>53.3</t>
  </si>
  <si>
    <t>54.1</t>
  </si>
  <si>
    <t>55.1</t>
  </si>
  <si>
    <t>55.2</t>
  </si>
  <si>
    <t>55.3</t>
  </si>
  <si>
    <t>55.4</t>
  </si>
  <si>
    <t>55.5</t>
  </si>
  <si>
    <t>55.6</t>
  </si>
  <si>
    <t>55.7</t>
  </si>
  <si>
    <t>56.1</t>
  </si>
  <si>
    <t>56.2</t>
  </si>
  <si>
    <t>56.3</t>
  </si>
  <si>
    <t>56.4</t>
  </si>
  <si>
    <t>56.5</t>
  </si>
  <si>
    <t>56.6</t>
  </si>
  <si>
    <t>56.7</t>
  </si>
  <si>
    <t>57.1</t>
  </si>
  <si>
    <t>57.2</t>
  </si>
  <si>
    <t>57.3</t>
  </si>
  <si>
    <t>57.4</t>
  </si>
  <si>
    <t>57.5</t>
  </si>
  <si>
    <t>57.6</t>
  </si>
  <si>
    <t>57.7</t>
  </si>
  <si>
    <t>57.8</t>
  </si>
  <si>
    <t>57.9</t>
  </si>
  <si>
    <t>57.10</t>
  </si>
  <si>
    <t>57.11</t>
  </si>
  <si>
    <t>57.12</t>
  </si>
  <si>
    <t>57.13</t>
  </si>
  <si>
    <t>57.14</t>
  </si>
  <si>
    <t>57.15</t>
  </si>
  <si>
    <t>57.16</t>
  </si>
  <si>
    <t>57.17</t>
  </si>
  <si>
    <t>57.18</t>
  </si>
  <si>
    <t>57.19</t>
  </si>
  <si>
    <t>57.20</t>
  </si>
  <si>
    <t>57.21</t>
  </si>
  <si>
    <t>58.1</t>
  </si>
  <si>
    <t>58.2</t>
  </si>
  <si>
    <t>58.3</t>
  </si>
  <si>
    <t>58.4</t>
  </si>
  <si>
    <t>58.5</t>
  </si>
  <si>
    <t>59.1</t>
  </si>
  <si>
    <t>59.2</t>
  </si>
  <si>
    <t>59.3</t>
  </si>
  <si>
    <t>60.1</t>
  </si>
  <si>
    <t>60.2</t>
  </si>
  <si>
    <t>60.3</t>
  </si>
  <si>
    <t>60.4</t>
  </si>
  <si>
    <t>61.1</t>
  </si>
  <si>
    <t>61.2</t>
  </si>
  <si>
    <t>61.3</t>
  </si>
  <si>
    <t>61.4</t>
  </si>
  <si>
    <t>62.1</t>
  </si>
  <si>
    <t>62.2</t>
  </si>
  <si>
    <t>62.3</t>
  </si>
  <si>
    <t>62.4</t>
  </si>
  <si>
    <t>62.5</t>
  </si>
  <si>
    <t>62.6</t>
  </si>
  <si>
    <t>63.1</t>
  </si>
  <si>
    <t>64.1</t>
  </si>
  <si>
    <t>65.1</t>
  </si>
  <si>
    <t>65.2</t>
  </si>
  <si>
    <t>65.3</t>
  </si>
  <si>
    <t>65.4</t>
  </si>
  <si>
    <t>65.5</t>
  </si>
  <si>
    <t>65.6</t>
  </si>
  <si>
    <t>66.1</t>
  </si>
  <si>
    <t>66.2</t>
  </si>
  <si>
    <t>66.3</t>
  </si>
  <si>
    <t>66.4</t>
  </si>
  <si>
    <t>66.5</t>
  </si>
  <si>
    <t>66.6</t>
  </si>
  <si>
    <t>66.7</t>
  </si>
  <si>
    <t>66.8</t>
  </si>
  <si>
    <t>66.9</t>
  </si>
  <si>
    <t>66.10</t>
  </si>
  <si>
    <t>66.11</t>
  </si>
  <si>
    <t>66.12</t>
  </si>
  <si>
    <t>66.13</t>
  </si>
  <si>
    <t>66.14</t>
  </si>
  <si>
    <t>67.1</t>
  </si>
  <si>
    <t>67.2</t>
  </si>
  <si>
    <t>67.3</t>
  </si>
  <si>
    <t>68.1</t>
  </si>
  <si>
    <t>68.2</t>
  </si>
  <si>
    <t>68.3</t>
  </si>
  <si>
    <t>68.4</t>
  </si>
  <si>
    <t>69.1</t>
  </si>
  <si>
    <t>69.2</t>
  </si>
  <si>
    <t>69.3</t>
  </si>
  <si>
    <t>70.1</t>
  </si>
  <si>
    <t>70.2</t>
  </si>
  <si>
    <t>70.3</t>
  </si>
  <si>
    <t>71.1</t>
  </si>
  <si>
    <t>71.2</t>
  </si>
  <si>
    <t>71.3</t>
  </si>
  <si>
    <t>71.4</t>
  </si>
  <si>
    <t>72.1</t>
  </si>
  <si>
    <t>72.2</t>
  </si>
  <si>
    <t>72.3</t>
  </si>
  <si>
    <t>72.4</t>
  </si>
  <si>
    <t>72.5</t>
  </si>
  <si>
    <t>72.6</t>
  </si>
  <si>
    <t>72.7</t>
  </si>
  <si>
    <t>72.8</t>
  </si>
  <si>
    <t>72.9</t>
  </si>
  <si>
    <t>72.10</t>
  </si>
  <si>
    <t>72.11</t>
  </si>
  <si>
    <t>72.12</t>
  </si>
  <si>
    <t>72.13</t>
  </si>
  <si>
    <t>72.14</t>
  </si>
  <si>
    <t>72.15</t>
  </si>
  <si>
    <t>72.16</t>
  </si>
  <si>
    <t>72.17</t>
  </si>
  <si>
    <t>72.18</t>
  </si>
  <si>
    <t>72.19</t>
  </si>
  <si>
    <t>72.20</t>
  </si>
  <si>
    <t>72.21</t>
  </si>
  <si>
    <t>72.22</t>
  </si>
  <si>
    <t>72.23</t>
  </si>
  <si>
    <t>72.24</t>
  </si>
  <si>
    <t>72.25</t>
  </si>
  <si>
    <t>72.26</t>
  </si>
  <si>
    <t>72.27</t>
  </si>
  <si>
    <t>72.28</t>
  </si>
  <si>
    <t>72.29</t>
  </si>
  <si>
    <t>72.30</t>
  </si>
  <si>
    <t>72.31</t>
  </si>
  <si>
    <t>72.32</t>
  </si>
  <si>
    <t>72.33</t>
  </si>
  <si>
    <t>72.34</t>
  </si>
  <si>
    <t>72.35</t>
  </si>
  <si>
    <t>72.36</t>
  </si>
  <si>
    <t>72.37</t>
  </si>
  <si>
    <t>72.38</t>
  </si>
  <si>
    <t>72.39</t>
  </si>
  <si>
    <t>72.40</t>
  </si>
  <si>
    <t>72.41</t>
  </si>
  <si>
    <t>72.42</t>
  </si>
  <si>
    <t>73.1</t>
  </si>
  <si>
    <t>73.2</t>
  </si>
  <si>
    <t>73.3</t>
  </si>
  <si>
    <t>73.4</t>
  </si>
  <si>
    <t>73.5</t>
  </si>
  <si>
    <t>73.6</t>
  </si>
  <si>
    <t>73.7</t>
  </si>
  <si>
    <t>73.8</t>
  </si>
  <si>
    <t>74.1</t>
  </si>
  <si>
    <t>75.1</t>
  </si>
  <si>
    <t>75.2</t>
  </si>
  <si>
    <t>75.3</t>
  </si>
  <si>
    <t>75.4</t>
  </si>
  <si>
    <t>75.5</t>
  </si>
  <si>
    <t>76.1</t>
  </si>
  <si>
    <t>76.2</t>
  </si>
  <si>
    <t>76.3</t>
  </si>
  <si>
    <t>77.1</t>
  </si>
  <si>
    <t>77.2</t>
  </si>
  <si>
    <t>77.3</t>
  </si>
  <si>
    <t>77.4</t>
  </si>
  <si>
    <t>78.1</t>
  </si>
  <si>
    <t>78.2</t>
  </si>
  <si>
    <t>79.1</t>
  </si>
  <si>
    <t>79.2</t>
  </si>
  <si>
    <t>79.3</t>
  </si>
  <si>
    <t>79.4</t>
  </si>
  <si>
    <t>79.5</t>
  </si>
  <si>
    <t>79.6</t>
  </si>
  <si>
    <t>80.1</t>
  </si>
  <si>
    <t>80.2</t>
  </si>
  <si>
    <t>80.3</t>
  </si>
  <si>
    <t>80.4</t>
  </si>
  <si>
    <t>80.5</t>
  </si>
  <si>
    <t>81.1</t>
  </si>
  <si>
    <t>81.2</t>
  </si>
  <si>
    <t>81.3</t>
  </si>
  <si>
    <t>81.4</t>
  </si>
  <si>
    <t>82.1</t>
  </si>
  <si>
    <t>82.2</t>
  </si>
  <si>
    <t>82.3</t>
  </si>
  <si>
    <t>82.4</t>
  </si>
  <si>
    <t>83.1</t>
  </si>
  <si>
    <t>83.2</t>
  </si>
  <si>
    <t>83.3</t>
  </si>
  <si>
    <t>83.4</t>
  </si>
  <si>
    <t>83.5</t>
  </si>
  <si>
    <t>83.6</t>
  </si>
  <si>
    <t>84.1</t>
  </si>
  <si>
    <t>84.2</t>
  </si>
  <si>
    <t>84.3</t>
  </si>
  <si>
    <t>84.4</t>
  </si>
  <si>
    <t>84.5</t>
  </si>
  <si>
    <t>85.1</t>
  </si>
  <si>
    <t>85.2</t>
  </si>
  <si>
    <t>86.1</t>
  </si>
  <si>
    <t>86.2</t>
  </si>
  <si>
    <t>86.3</t>
  </si>
  <si>
    <t>86.4</t>
  </si>
  <si>
    <t>86.5</t>
  </si>
  <si>
    <t>87.1</t>
  </si>
  <si>
    <t>87.2</t>
  </si>
  <si>
    <t>87.3</t>
  </si>
  <si>
    <t>88.1</t>
  </si>
  <si>
    <t>88.2</t>
  </si>
  <si>
    <t>88.3</t>
  </si>
  <si>
    <t>88.4</t>
  </si>
  <si>
    <t>88.5</t>
  </si>
  <si>
    <t>88.6</t>
  </si>
  <si>
    <t>88.7</t>
  </si>
  <si>
    <t>88.8</t>
  </si>
  <si>
    <t>88.9</t>
  </si>
  <si>
    <t>88.10</t>
  </si>
  <si>
    <t>88.11</t>
  </si>
  <si>
    <t>88.12</t>
  </si>
  <si>
    <t>88.13</t>
  </si>
  <si>
    <t>88.14</t>
  </si>
  <si>
    <t>88.15</t>
  </si>
  <si>
    <t>88.16</t>
  </si>
  <si>
    <t>88.17</t>
  </si>
  <si>
    <t>88.18</t>
  </si>
  <si>
    <t>88.19</t>
  </si>
  <si>
    <t>88.20</t>
  </si>
  <si>
    <t>88.21</t>
  </si>
  <si>
    <t>88.22</t>
  </si>
  <si>
    <t>88.23</t>
  </si>
  <si>
    <t>88.24</t>
  </si>
  <si>
    <t>88.25</t>
  </si>
  <si>
    <t>88.26</t>
  </si>
  <si>
    <t>88.27</t>
  </si>
  <si>
    <t>88.28</t>
  </si>
  <si>
    <t>88.29</t>
  </si>
  <si>
    <t>88.30</t>
  </si>
  <si>
    <t>88.31</t>
  </si>
  <si>
    <t>88.32</t>
  </si>
  <si>
    <t>88.33</t>
  </si>
  <si>
    <t>88.34</t>
  </si>
  <si>
    <t>88.35</t>
  </si>
  <si>
    <t>88.36</t>
  </si>
  <si>
    <t>88.37</t>
  </si>
  <si>
    <t>88.38</t>
  </si>
  <si>
    <t>88.39</t>
  </si>
  <si>
    <t>88.40</t>
  </si>
  <si>
    <t>88.41</t>
  </si>
  <si>
    <t>88.42</t>
  </si>
  <si>
    <t>88.43</t>
  </si>
  <si>
    <t>88.44</t>
  </si>
  <si>
    <t>88.45</t>
  </si>
  <si>
    <t>88.46</t>
  </si>
  <si>
    <t>88.47</t>
  </si>
  <si>
    <t>88.48</t>
  </si>
  <si>
    <t>88.49</t>
  </si>
  <si>
    <t>88.50</t>
  </si>
  <si>
    <t>88.51</t>
  </si>
  <si>
    <t>88.52</t>
  </si>
  <si>
    <t>88.53</t>
  </si>
  <si>
    <t>88.54</t>
  </si>
  <si>
    <t>88.55</t>
  </si>
  <si>
    <t>88.56</t>
  </si>
  <si>
    <t>88.57</t>
  </si>
  <si>
    <t>88.58</t>
  </si>
  <si>
    <t>88.59</t>
  </si>
  <si>
    <t>88.60</t>
  </si>
  <si>
    <t>88.61</t>
  </si>
  <si>
    <t>88.62</t>
  </si>
  <si>
    <t>88.63</t>
  </si>
  <si>
    <t>88.64</t>
  </si>
  <si>
    <t>88.65</t>
  </si>
  <si>
    <t>88.66</t>
  </si>
  <si>
    <t>88.67</t>
  </si>
  <si>
    <t>88.68</t>
  </si>
  <si>
    <t>88.69</t>
  </si>
  <si>
    <t>88.70</t>
  </si>
  <si>
    <t>88.71</t>
  </si>
  <si>
    <t>88.72</t>
  </si>
  <si>
    <t>88.73</t>
  </si>
  <si>
    <t>88.74</t>
  </si>
  <si>
    <t>88.75</t>
  </si>
  <si>
    <t>88.76</t>
  </si>
  <si>
    <t>88.77</t>
  </si>
  <si>
    <t>88.78</t>
  </si>
  <si>
    <t>88.79</t>
  </si>
  <si>
    <t>88.80</t>
  </si>
  <si>
    <t>88.81</t>
  </si>
  <si>
    <t>88.82</t>
  </si>
  <si>
    <t>88.83</t>
  </si>
  <si>
    <t>88.84</t>
  </si>
  <si>
    <t>88.85</t>
  </si>
  <si>
    <t>88.86</t>
  </si>
  <si>
    <t>88.87</t>
  </si>
  <si>
    <t>88.88</t>
  </si>
  <si>
    <t>88.89</t>
  </si>
  <si>
    <t>88.90</t>
  </si>
  <si>
    <t>88.91</t>
  </si>
  <si>
    <t>88.92</t>
  </si>
  <si>
    <t>88.93</t>
  </si>
  <si>
    <t>88.94</t>
  </si>
  <si>
    <t>88.95</t>
  </si>
  <si>
    <t>88.96</t>
  </si>
  <si>
    <t>88.97</t>
  </si>
  <si>
    <t>88.98</t>
  </si>
  <si>
    <t>88.99</t>
  </si>
  <si>
    <t>88.100</t>
  </si>
  <si>
    <t>88.101</t>
  </si>
  <si>
    <t>88.102</t>
  </si>
  <si>
    <t>88.103</t>
  </si>
  <si>
    <t>88.104</t>
  </si>
  <si>
    <t>88.105</t>
  </si>
  <si>
    <t>88.106</t>
  </si>
  <si>
    <t>88.107</t>
  </si>
  <si>
    <t>88.108</t>
  </si>
  <si>
    <t>88.109</t>
  </si>
  <si>
    <t>88.110</t>
  </si>
  <si>
    <t>88.111</t>
  </si>
  <si>
    <t>88.112</t>
  </si>
  <si>
    <t>88.113</t>
  </si>
  <si>
    <t>88.114</t>
  </si>
  <si>
    <t>88.115</t>
  </si>
  <si>
    <t>88.116</t>
  </si>
  <si>
    <t>88.117</t>
  </si>
  <si>
    <t>88.118</t>
  </si>
  <si>
    <t>88.119</t>
  </si>
  <si>
    <t>88.120</t>
  </si>
  <si>
    <t>88.121</t>
  </si>
  <si>
    <t>88.122</t>
  </si>
  <si>
    <t>88.123</t>
  </si>
  <si>
    <t>88.124</t>
  </si>
  <si>
    <t>88.125</t>
  </si>
  <si>
    <t>88.126</t>
  </si>
  <si>
    <t>88.127</t>
  </si>
  <si>
    <t>88.128</t>
  </si>
  <si>
    <t>88.129</t>
  </si>
  <si>
    <t>88.130</t>
  </si>
  <si>
    <t>88.131</t>
  </si>
  <si>
    <t>88.132</t>
  </si>
  <si>
    <t>88.133</t>
  </si>
  <si>
    <t>88.134</t>
  </si>
  <si>
    <t>88.135</t>
  </si>
  <si>
    <t>88.136</t>
  </si>
  <si>
    <t>88.137</t>
  </si>
  <si>
    <t>88.138</t>
  </si>
  <si>
    <t>88.139</t>
  </si>
  <si>
    <t>88.140</t>
  </si>
  <si>
    <t>88.141</t>
  </si>
  <si>
    <t>88.142</t>
  </si>
  <si>
    <t>88.143</t>
  </si>
  <si>
    <t>88.144</t>
  </si>
  <si>
    <t>88.145</t>
  </si>
  <si>
    <t>88.146</t>
  </si>
  <si>
    <t>88.147</t>
  </si>
  <si>
    <t>88.148</t>
  </si>
  <si>
    <t>88.149</t>
  </si>
  <si>
    <t>88.150</t>
  </si>
  <si>
    <t>88.151</t>
  </si>
  <si>
    <t>88.152</t>
  </si>
  <si>
    <t>88.153</t>
  </si>
  <si>
    <t>88.154</t>
  </si>
  <si>
    <t>88.155</t>
  </si>
  <si>
    <t>88.156</t>
  </si>
  <si>
    <t>88.157</t>
  </si>
  <si>
    <t>88.158</t>
  </si>
  <si>
    <t>88.159</t>
  </si>
  <si>
    <t>88.160</t>
  </si>
  <si>
    <t>88.161</t>
  </si>
  <si>
    <t>88.162</t>
  </si>
  <si>
    <t>88.163</t>
  </si>
  <si>
    <t>88.164</t>
  </si>
  <si>
    <t>88.165</t>
  </si>
  <si>
    <t>88.166</t>
  </si>
  <si>
    <t>88.167</t>
  </si>
  <si>
    <t>88.168</t>
  </si>
  <si>
    <t>88.169</t>
  </si>
  <si>
    <t>88.170</t>
  </si>
  <si>
    <t>88.171</t>
  </si>
  <si>
    <t>88.172</t>
  </si>
  <si>
    <t>88.173</t>
  </si>
  <si>
    <t>88.174</t>
  </si>
  <si>
    <t>88.175</t>
  </si>
  <si>
    <t>88.176</t>
  </si>
  <si>
    <t>88.177</t>
  </si>
  <si>
    <t>88.178</t>
  </si>
  <si>
    <t>88.179</t>
  </si>
  <si>
    <t>88.180</t>
  </si>
  <si>
    <t>88.181</t>
  </si>
  <si>
    <t>88.182</t>
  </si>
  <si>
    <t>88.183</t>
  </si>
  <si>
    <t>88.184</t>
  </si>
  <si>
    <t>88.185</t>
  </si>
  <si>
    <t>88.186</t>
  </si>
  <si>
    <t>89.1</t>
  </si>
  <si>
    <t>89.2</t>
  </si>
  <si>
    <t>89.3</t>
  </si>
  <si>
    <t>89.4</t>
  </si>
  <si>
    <t>89.5</t>
  </si>
  <si>
    <t>89.6</t>
  </si>
  <si>
    <t>89.7</t>
  </si>
  <si>
    <t>89.8</t>
  </si>
  <si>
    <t>89.9</t>
  </si>
  <si>
    <t>89.10</t>
  </si>
  <si>
    <t>89.11</t>
  </si>
  <si>
    <t>89.12</t>
  </si>
  <si>
    <t>89.13</t>
  </si>
  <si>
    <t>89.14</t>
  </si>
  <si>
    <t>89.15</t>
  </si>
  <si>
    <t>89.16</t>
  </si>
  <si>
    <t>89.17</t>
  </si>
  <si>
    <t>89.18</t>
  </si>
  <si>
    <t>89.19</t>
  </si>
  <si>
    <t>89.20</t>
  </si>
  <si>
    <t>89.21</t>
  </si>
  <si>
    <t>89.22</t>
  </si>
  <si>
    <t>89.23</t>
  </si>
  <si>
    <t>89.24</t>
  </si>
  <si>
    <t>89.25</t>
  </si>
  <si>
    <t>89.26</t>
  </si>
  <si>
    <t>89.27</t>
  </si>
  <si>
    <t>89.28</t>
  </si>
  <si>
    <t>89.29</t>
  </si>
  <si>
    <t>89.30</t>
  </si>
  <si>
    <t>89.31</t>
  </si>
  <si>
    <t>89.32</t>
  </si>
  <si>
    <t>89.33</t>
  </si>
  <si>
    <t>89.34</t>
  </si>
  <si>
    <t>89.35</t>
  </si>
  <si>
    <t>89.36</t>
  </si>
  <si>
    <t>89.37</t>
  </si>
  <si>
    <t>89.38</t>
  </si>
  <si>
    <t>89.39</t>
  </si>
  <si>
    <t>89.40</t>
  </si>
  <si>
    <t>89.41</t>
  </si>
  <si>
    <t>89.42</t>
  </si>
  <si>
    <t>89.43</t>
  </si>
  <si>
    <t>89.44</t>
  </si>
  <si>
    <t>89.45</t>
  </si>
  <si>
    <t>89.46</t>
  </si>
  <si>
    <t>89.47</t>
  </si>
  <si>
    <t>89.48</t>
  </si>
  <si>
    <t>89.49</t>
  </si>
  <si>
    <t>89.50</t>
  </si>
  <si>
    <t>89.51</t>
  </si>
  <si>
    <t>89.52</t>
  </si>
  <si>
    <t>90.1</t>
  </si>
  <si>
    <t>90.2</t>
  </si>
  <si>
    <t>90.3</t>
  </si>
  <si>
    <t>90.4</t>
  </si>
  <si>
    <t>90.5</t>
  </si>
  <si>
    <t>90.6</t>
  </si>
  <si>
    <t>90.7</t>
  </si>
  <si>
    <t>90.8</t>
  </si>
  <si>
    <t>90.9</t>
  </si>
  <si>
    <t>90.10</t>
  </si>
  <si>
    <t>90.11</t>
  </si>
  <si>
    <t>90.12</t>
  </si>
  <si>
    <t>90.13</t>
  </si>
  <si>
    <t>90.14</t>
  </si>
  <si>
    <t>90.15</t>
  </si>
  <si>
    <t>90.16</t>
  </si>
  <si>
    <t>90.17</t>
  </si>
  <si>
    <t>90.18</t>
  </si>
  <si>
    <t>90.19</t>
  </si>
  <si>
    <t>90.20</t>
  </si>
  <si>
    <t>90.21</t>
  </si>
  <si>
    <t>90.22</t>
  </si>
  <si>
    <t>90.23</t>
  </si>
  <si>
    <t>90.24</t>
  </si>
  <si>
    <t>90.25</t>
  </si>
  <si>
    <t>90.26</t>
  </si>
  <si>
    <t>90.27</t>
  </si>
  <si>
    <t>90.28</t>
  </si>
  <si>
    <t>90.29</t>
  </si>
  <si>
    <t>90.30</t>
  </si>
  <si>
    <t>90.31</t>
  </si>
  <si>
    <t>90.32</t>
  </si>
  <si>
    <t>90.33</t>
  </si>
  <si>
    <t>90.34</t>
  </si>
  <si>
    <t>90.35</t>
  </si>
  <si>
    <t>90.36</t>
  </si>
  <si>
    <t>91.1</t>
  </si>
  <si>
    <t>91.2</t>
  </si>
  <si>
    <t>91.3</t>
  </si>
  <si>
    <t>91.4</t>
  </si>
  <si>
    <t>91.5</t>
  </si>
  <si>
    <t>91.6</t>
  </si>
  <si>
    <t>91.7</t>
  </si>
  <si>
    <t>91.8</t>
  </si>
  <si>
    <t>91.9</t>
  </si>
  <si>
    <t>91.10</t>
  </si>
  <si>
    <t>91.11</t>
  </si>
  <si>
    <t>91.12</t>
  </si>
  <si>
    <t>91.13</t>
  </si>
  <si>
    <t>91.14</t>
  </si>
  <si>
    <t>91.15</t>
  </si>
  <si>
    <t>91.16</t>
  </si>
  <si>
    <t>91.17</t>
  </si>
  <si>
    <t>91.18</t>
  </si>
  <si>
    <t>91.19</t>
  </si>
  <si>
    <t>91.20</t>
  </si>
  <si>
    <t>92.1</t>
  </si>
  <si>
    <t>92.2</t>
  </si>
  <si>
    <t>92.3</t>
  </si>
  <si>
    <t>92.4</t>
  </si>
  <si>
    <t>93.1</t>
  </si>
  <si>
    <t>93.2</t>
  </si>
  <si>
    <t>93.3</t>
  </si>
  <si>
    <t>93.4</t>
  </si>
  <si>
    <t>93.5</t>
  </si>
  <si>
    <t>93.6</t>
  </si>
  <si>
    <t>94.1</t>
  </si>
  <si>
    <t>94.2</t>
  </si>
  <si>
    <t>94.3</t>
  </si>
  <si>
    <t>94.4</t>
  </si>
  <si>
    <t>94.5</t>
  </si>
  <si>
    <t>94.6</t>
  </si>
  <si>
    <t>94.7</t>
  </si>
  <si>
    <t>94.8</t>
  </si>
  <si>
    <t>94.9</t>
  </si>
  <si>
    <t>94.10</t>
  </si>
  <si>
    <t>94.11</t>
  </si>
  <si>
    <t>94.12</t>
  </si>
  <si>
    <t>94.13</t>
  </si>
  <si>
    <t>94.14</t>
  </si>
  <si>
    <t>94.15</t>
  </si>
  <si>
    <t>94.16</t>
  </si>
  <si>
    <t>94.17</t>
  </si>
  <si>
    <t>94.18</t>
  </si>
  <si>
    <t>94.19</t>
  </si>
  <si>
    <t>95.1</t>
  </si>
  <si>
    <t>95.2</t>
  </si>
  <si>
    <t>95.3</t>
  </si>
  <si>
    <t>95.4</t>
  </si>
  <si>
    <t>95.5</t>
  </si>
  <si>
    <t>95.6</t>
  </si>
  <si>
    <t>95.7</t>
  </si>
  <si>
    <t>96.1</t>
  </si>
  <si>
    <t>96.2</t>
  </si>
  <si>
    <t>96.3</t>
  </si>
  <si>
    <t>96.4</t>
  </si>
  <si>
    <t>96.5</t>
  </si>
  <si>
    <t>97.1</t>
  </si>
  <si>
    <t>97.2</t>
  </si>
  <si>
    <t>97.3</t>
  </si>
  <si>
    <t>97.4</t>
  </si>
  <si>
    <t>97.5</t>
  </si>
  <si>
    <t>97.6</t>
  </si>
  <si>
    <t>97.7</t>
  </si>
  <si>
    <t>97.8</t>
  </si>
  <si>
    <t>97.9</t>
  </si>
  <si>
    <t>97.10</t>
  </si>
  <si>
    <t>97.11</t>
  </si>
  <si>
    <t>97.12</t>
  </si>
  <si>
    <t>97.13</t>
  </si>
  <si>
    <t>97.14</t>
  </si>
  <si>
    <t>97.15</t>
  </si>
  <si>
    <t>97.16</t>
  </si>
  <si>
    <t>97.17</t>
  </si>
  <si>
    <t>97.18</t>
  </si>
  <si>
    <t>97.19</t>
  </si>
  <si>
    <t>97.20</t>
  </si>
  <si>
    <t>97.21</t>
  </si>
  <si>
    <t>97.22</t>
  </si>
  <si>
    <t>97.23</t>
  </si>
  <si>
    <t>97.24</t>
  </si>
  <si>
    <t>97.25</t>
  </si>
  <si>
    <t>97.26</t>
  </si>
  <si>
    <t>97.27</t>
  </si>
  <si>
    <t>97.28</t>
  </si>
  <si>
    <t>97.29</t>
  </si>
  <si>
    <t>97.30</t>
  </si>
  <si>
    <t>97.31</t>
  </si>
  <si>
    <t>97.32</t>
  </si>
  <si>
    <t>97.33</t>
  </si>
  <si>
    <t>97.34</t>
  </si>
  <si>
    <t>97.35</t>
  </si>
  <si>
    <t>97.36</t>
  </si>
  <si>
    <t>97.37</t>
  </si>
  <si>
    <t>97.38</t>
  </si>
  <si>
    <t>97.39</t>
  </si>
  <si>
    <t>97.40</t>
  </si>
  <si>
    <t>97.41</t>
  </si>
  <si>
    <t>97.42</t>
  </si>
  <si>
    <t>97.43</t>
  </si>
  <si>
    <t>97.44</t>
  </si>
  <si>
    <t>97.45</t>
  </si>
  <si>
    <t>97.46</t>
  </si>
  <si>
    <t>97.47</t>
  </si>
  <si>
    <t>97.48</t>
  </si>
  <si>
    <t>97.49</t>
  </si>
  <si>
    <t>97.50</t>
  </si>
  <si>
    <t>97.51</t>
  </si>
  <si>
    <t>97.52</t>
  </si>
  <si>
    <t>97.53</t>
  </si>
  <si>
    <t>97.54</t>
  </si>
  <si>
    <t>97.55</t>
  </si>
  <si>
    <t>97.56</t>
  </si>
  <si>
    <t>97.57</t>
  </si>
  <si>
    <t>97.58</t>
  </si>
  <si>
    <t>97.59</t>
  </si>
  <si>
    <t>97.60</t>
  </si>
  <si>
    <t>97.61</t>
  </si>
  <si>
    <t>97.62</t>
  </si>
  <si>
    <t>97.63</t>
  </si>
  <si>
    <t>97.64</t>
  </si>
  <si>
    <t>97.65</t>
  </si>
  <si>
    <t>97.66</t>
  </si>
  <si>
    <t>97.67</t>
  </si>
  <si>
    <t>97.68</t>
  </si>
  <si>
    <t>97.69</t>
  </si>
  <si>
    <t>97.70</t>
  </si>
  <si>
    <t>97.71</t>
  </si>
  <si>
    <t>97.72</t>
  </si>
  <si>
    <t>97.73</t>
  </si>
  <si>
    <t>97.74</t>
  </si>
  <si>
    <t>97.75</t>
  </si>
  <si>
    <t>97.76</t>
  </si>
  <si>
    <t>97.77</t>
  </si>
  <si>
    <t>97.78</t>
  </si>
  <si>
    <t>97.79</t>
  </si>
  <si>
    <t>97.80</t>
  </si>
  <si>
    <t>97.81</t>
  </si>
  <si>
    <t>97.82</t>
  </si>
  <si>
    <t>97.83</t>
  </si>
  <si>
    <t>97.84</t>
  </si>
  <si>
    <t>97.85</t>
  </si>
  <si>
    <t>97.86</t>
  </si>
  <si>
    <t>97.87</t>
  </si>
  <si>
    <t>97.88</t>
  </si>
  <si>
    <t>97.89</t>
  </si>
  <si>
    <t>97.90</t>
  </si>
  <si>
    <t>97.91</t>
  </si>
  <si>
    <t>97.92</t>
  </si>
  <si>
    <t>97.93</t>
  </si>
  <si>
    <t>97.94</t>
  </si>
  <si>
    <t>97.95</t>
  </si>
  <si>
    <t>97.96</t>
  </si>
  <si>
    <t>97.97</t>
  </si>
  <si>
    <t>97.98</t>
  </si>
  <si>
    <t>97.99</t>
  </si>
  <si>
    <t>97.100</t>
  </si>
  <si>
    <t>97.101</t>
  </si>
  <si>
    <t>97.102</t>
  </si>
  <si>
    <t>97.103</t>
  </si>
  <si>
    <t>98.1</t>
  </si>
  <si>
    <t>98.2</t>
  </si>
  <si>
    <t>98.3</t>
  </si>
  <si>
    <t>98.4</t>
  </si>
  <si>
    <t>98.5</t>
  </si>
  <si>
    <t>99.1</t>
  </si>
  <si>
    <t>99.2</t>
  </si>
  <si>
    <t>99.3</t>
  </si>
  <si>
    <t>99.4</t>
  </si>
  <si>
    <t>99.5</t>
  </si>
  <si>
    <t>99.6</t>
  </si>
  <si>
    <t>99.7</t>
  </si>
  <si>
    <t>99.8</t>
  </si>
  <si>
    <t>99.9</t>
  </si>
  <si>
    <t>99.10</t>
  </si>
  <si>
    <t>99.11</t>
  </si>
  <si>
    <t>99.12</t>
  </si>
  <si>
    <t>99.13</t>
  </si>
  <si>
    <t>100.1</t>
  </si>
  <si>
    <t>100.2</t>
  </si>
  <si>
    <t>100.3</t>
  </si>
  <si>
    <t>100.4</t>
  </si>
  <si>
    <t>100.5</t>
  </si>
  <si>
    <t>100.6</t>
  </si>
  <si>
    <t>100.7</t>
  </si>
  <si>
    <t>100.8</t>
  </si>
  <si>
    <t>101.1</t>
  </si>
  <si>
    <t>102.1</t>
  </si>
  <si>
    <t>102.2</t>
  </si>
  <si>
    <t>102.3</t>
  </si>
  <si>
    <t>102.4</t>
  </si>
  <si>
    <t>103.1</t>
  </si>
  <si>
    <t>103.2</t>
  </si>
  <si>
    <t>103.3</t>
  </si>
  <si>
    <t>103.4</t>
  </si>
  <si>
    <t>104.1</t>
  </si>
  <si>
    <t>104.2</t>
  </si>
  <si>
    <t>104.3</t>
  </si>
  <si>
    <t>105.1</t>
  </si>
  <si>
    <t>105.2</t>
  </si>
  <si>
    <t>105.3</t>
  </si>
  <si>
    <t>105.4</t>
  </si>
  <si>
    <t>106.1</t>
  </si>
  <si>
    <t>106.2</t>
  </si>
  <si>
    <t>106.3</t>
  </si>
  <si>
    <t>106.4</t>
  </si>
  <si>
    <t>106.5</t>
  </si>
  <si>
    <t>107.1</t>
  </si>
  <si>
    <t>107.2</t>
  </si>
  <si>
    <t>107.3</t>
  </si>
  <si>
    <t>108.1</t>
  </si>
  <si>
    <t>109.1</t>
  </si>
  <si>
    <t>109.2</t>
  </si>
  <si>
    <t>109.3</t>
  </si>
  <si>
    <t>109.4</t>
  </si>
  <si>
    <t>110.1</t>
  </si>
  <si>
    <t>110.2</t>
  </si>
  <si>
    <t>110.3</t>
  </si>
  <si>
    <t>110.4</t>
  </si>
  <si>
    <t>110.5</t>
  </si>
  <si>
    <t>110.6</t>
  </si>
  <si>
    <t>110.7</t>
  </si>
  <si>
    <t>110.8</t>
  </si>
  <si>
    <t>111.1</t>
  </si>
  <si>
    <t>111.2</t>
  </si>
  <si>
    <t>111.3</t>
  </si>
  <si>
    <t>112.1</t>
  </si>
  <si>
    <t>112.2</t>
  </si>
  <si>
    <t>112.3</t>
  </si>
  <si>
    <t>112.4</t>
  </si>
  <si>
    <t>113.1</t>
  </si>
  <si>
    <t>113.2</t>
  </si>
  <si>
    <t>113.3</t>
  </si>
  <si>
    <t>114.1</t>
  </si>
  <si>
    <t>114.2</t>
  </si>
  <si>
    <t>114.3</t>
  </si>
  <si>
    <t>114.4</t>
  </si>
  <si>
    <t>115.1</t>
  </si>
  <si>
    <t>115.2</t>
  </si>
  <si>
    <t>115.3</t>
  </si>
  <si>
    <t>115.4</t>
  </si>
  <si>
    <t>116.1</t>
  </si>
  <si>
    <t>117.1</t>
  </si>
  <si>
    <t>117.2</t>
  </si>
  <si>
    <t>117.3</t>
  </si>
  <si>
    <t>117.4</t>
  </si>
  <si>
    <t>117.5</t>
  </si>
  <si>
    <t>118.1</t>
  </si>
  <si>
    <t>118.2</t>
  </si>
  <si>
    <t>118.3</t>
  </si>
  <si>
    <t>118.4</t>
  </si>
  <si>
    <t>118.5</t>
  </si>
  <si>
    <t>118.6</t>
  </si>
  <si>
    <t>118.7</t>
  </si>
  <si>
    <t>118.8</t>
  </si>
  <si>
    <t>118.9</t>
  </si>
  <si>
    <t>118.10</t>
  </si>
  <si>
    <t>118.11</t>
  </si>
  <si>
    <t>118.12</t>
  </si>
  <si>
    <t>118.13</t>
  </si>
  <si>
    <t>118.14</t>
  </si>
  <si>
    <t>118.15</t>
  </si>
  <si>
    <t>118.16</t>
  </si>
  <si>
    <t>118.17</t>
  </si>
  <si>
    <t>118.18</t>
  </si>
  <si>
    <t>118.19</t>
  </si>
  <si>
    <t>118.20</t>
  </si>
  <si>
    <t>118.21</t>
  </si>
  <si>
    <t>118.22</t>
  </si>
  <si>
    <t>118.23</t>
  </si>
  <si>
    <t>119.1</t>
  </si>
  <si>
    <t>119.2</t>
  </si>
  <si>
    <t>119.3</t>
  </si>
  <si>
    <t>120.1</t>
  </si>
  <si>
    <t>120.2</t>
  </si>
  <si>
    <t>120.3</t>
  </si>
  <si>
    <t>120.4</t>
  </si>
  <si>
    <t>121.1</t>
  </si>
  <si>
    <t>121.2</t>
  </si>
  <si>
    <t>121.3</t>
  </si>
  <si>
    <t>122.1</t>
  </si>
  <si>
    <t>123.1</t>
  </si>
  <si>
    <t>123.2</t>
  </si>
  <si>
    <t>123.3</t>
  </si>
  <si>
    <t>124.1</t>
  </si>
  <si>
    <t>125.1</t>
  </si>
  <si>
    <t>125.2</t>
  </si>
  <si>
    <t>125.3</t>
  </si>
  <si>
    <t>126.1</t>
  </si>
  <si>
    <t>126.2</t>
  </si>
  <si>
    <t>126.3</t>
  </si>
  <si>
    <t>127.1</t>
  </si>
  <si>
    <t>127.2</t>
  </si>
  <si>
    <t>127.3</t>
  </si>
  <si>
    <t>127.4</t>
  </si>
  <si>
    <t>127.5</t>
  </si>
  <si>
    <t>127.6</t>
  </si>
  <si>
    <t>127.7</t>
  </si>
  <si>
    <t>127.8</t>
  </si>
  <si>
    <t>127.9</t>
  </si>
  <si>
    <t>127.10</t>
  </si>
  <si>
    <t>127.11</t>
  </si>
  <si>
    <t>127.12</t>
  </si>
  <si>
    <t>127.13</t>
  </si>
  <si>
    <t>127.14</t>
  </si>
  <si>
    <t>127.15</t>
  </si>
  <si>
    <t>127.16</t>
  </si>
  <si>
    <t>127.17</t>
  </si>
  <si>
    <t>127.18</t>
  </si>
  <si>
    <t>127.19</t>
  </si>
  <si>
    <t>127.20</t>
  </si>
  <si>
    <t>127.21</t>
  </si>
  <si>
    <t>127.22</t>
  </si>
  <si>
    <t>127.23</t>
  </si>
  <si>
    <t>127.24</t>
  </si>
  <si>
    <t>127.25</t>
  </si>
  <si>
    <t>127.26</t>
  </si>
  <si>
    <t>127.27</t>
  </si>
  <si>
    <t>127.28</t>
  </si>
  <si>
    <t>127.29</t>
  </si>
  <si>
    <t>127.30</t>
  </si>
  <si>
    <t>127.31</t>
  </si>
  <si>
    <t>127.32</t>
  </si>
  <si>
    <t>127.33</t>
  </si>
  <si>
    <t>127.34</t>
  </si>
  <si>
    <t>127.35</t>
  </si>
  <si>
    <t>127.36</t>
  </si>
  <si>
    <t>127.37</t>
  </si>
  <si>
    <t>127.38</t>
  </si>
  <si>
    <t>127.39</t>
  </si>
  <si>
    <t>127.40</t>
  </si>
  <si>
    <t>127.41</t>
  </si>
  <si>
    <t>127.42</t>
  </si>
  <si>
    <t>127.43</t>
  </si>
  <si>
    <t>127.44</t>
  </si>
  <si>
    <t>127.45</t>
  </si>
  <si>
    <t>127.46</t>
  </si>
  <si>
    <t>127.47</t>
  </si>
  <si>
    <t>127.48</t>
  </si>
  <si>
    <t>127.49</t>
  </si>
  <si>
    <t>127.50</t>
  </si>
  <si>
    <t>127.51</t>
  </si>
  <si>
    <t>127.52</t>
  </si>
  <si>
    <t>127.53</t>
  </si>
  <si>
    <t>127.54</t>
  </si>
  <si>
    <t>127.55</t>
  </si>
  <si>
    <t>127.56</t>
  </si>
  <si>
    <t>127.57</t>
  </si>
  <si>
    <t>127.58</t>
  </si>
  <si>
    <t>127.59</t>
  </si>
  <si>
    <t>127.60</t>
  </si>
  <si>
    <t>127.61</t>
  </si>
  <si>
    <t>127.62</t>
  </si>
  <si>
    <t>127.63</t>
  </si>
  <si>
    <t>127.64</t>
  </si>
  <si>
    <t>127.65</t>
  </si>
  <si>
    <t>127.66</t>
  </si>
  <si>
    <t>127.67</t>
  </si>
  <si>
    <t>127.68</t>
  </si>
  <si>
    <t>128.1</t>
  </si>
  <si>
    <t>129.1</t>
  </si>
  <si>
    <t>129.2</t>
  </si>
  <si>
    <t>129.3</t>
  </si>
  <si>
    <t>129.4</t>
  </si>
  <si>
    <t>130.1</t>
  </si>
  <si>
    <t>130.2</t>
  </si>
  <si>
    <t>131.1</t>
  </si>
  <si>
    <t>131.2</t>
  </si>
  <si>
    <t>131.3</t>
  </si>
  <si>
    <t>132.1</t>
  </si>
  <si>
    <t>132.2</t>
  </si>
  <si>
    <t>132.3</t>
  </si>
  <si>
    <t>133.1</t>
  </si>
  <si>
    <t>133.2</t>
  </si>
  <si>
    <t>133.3</t>
  </si>
  <si>
    <t>133.4</t>
  </si>
  <si>
    <t>133.5</t>
  </si>
  <si>
    <t>133.6</t>
  </si>
  <si>
    <t>133.7</t>
  </si>
  <si>
    <t>133.8</t>
  </si>
  <si>
    <t>133.9</t>
  </si>
  <si>
    <t>133.10</t>
  </si>
  <si>
    <t>133.11</t>
  </si>
  <si>
    <t>133.12</t>
  </si>
  <si>
    <t>133.13</t>
  </si>
  <si>
    <t>133.14</t>
  </si>
  <si>
    <t>134.1</t>
  </si>
  <si>
    <t>134.2</t>
  </si>
  <si>
    <t>134.3</t>
  </si>
  <si>
    <t>134.4</t>
  </si>
  <si>
    <t>134.5</t>
  </si>
  <si>
    <t>134.6</t>
  </si>
  <si>
    <t>134.7</t>
  </si>
  <si>
    <t>134.8</t>
  </si>
  <si>
    <t>134.9</t>
  </si>
  <si>
    <t>135.1</t>
  </si>
  <si>
    <t>135.2</t>
  </si>
  <si>
    <t>135.3</t>
  </si>
  <si>
    <t>136.1</t>
  </si>
  <si>
    <t>136.2</t>
  </si>
  <si>
    <t>136.3</t>
  </si>
  <si>
    <t>136.4</t>
  </si>
  <si>
    <t>137.1</t>
  </si>
  <si>
    <t>137.2</t>
  </si>
  <si>
    <t>137.3</t>
  </si>
  <si>
    <t>137.4</t>
  </si>
  <si>
    <t>137.5</t>
  </si>
  <si>
    <t>137.6</t>
  </si>
  <si>
    <t>137.7</t>
  </si>
  <si>
    <t>137.8</t>
  </si>
  <si>
    <t>138.1</t>
  </si>
  <si>
    <t>138.2</t>
  </si>
  <si>
    <t>138.3</t>
  </si>
  <si>
    <t>139.1</t>
  </si>
  <si>
    <t>139.2</t>
  </si>
  <si>
    <t>139.3</t>
  </si>
  <si>
    <t>139.4</t>
  </si>
  <si>
    <t>139.5</t>
  </si>
  <si>
    <t>139.6</t>
  </si>
  <si>
    <t>140.1</t>
  </si>
  <si>
    <t>140.2</t>
  </si>
  <si>
    <t>140.3</t>
  </si>
  <si>
    <t>140.4</t>
  </si>
  <si>
    <t>141.1</t>
  </si>
  <si>
    <t>141.2</t>
  </si>
  <si>
    <t>141.3</t>
  </si>
  <si>
    <t>141.4</t>
  </si>
  <si>
    <t>142.1</t>
  </si>
  <si>
    <t>142.2</t>
  </si>
  <si>
    <t>142.3</t>
  </si>
  <si>
    <t>142.4</t>
  </si>
  <si>
    <t>142.5</t>
  </si>
  <si>
    <t>142.6</t>
  </si>
  <si>
    <t>142.7</t>
  </si>
  <si>
    <t>142.8</t>
  </si>
  <si>
    <t>142.9</t>
  </si>
  <si>
    <t>142.10</t>
  </si>
  <si>
    <t>142.11</t>
  </si>
  <si>
    <t>142.12</t>
  </si>
  <si>
    <t>142.13</t>
  </si>
  <si>
    <t>142.14</t>
  </si>
  <si>
    <t>142.15</t>
  </si>
  <si>
    <t>142.16</t>
  </si>
  <si>
    <t>142.17</t>
  </si>
  <si>
    <t>142.18</t>
  </si>
  <si>
    <t>142.19</t>
  </si>
  <si>
    <t>142.20</t>
  </si>
  <si>
    <t>142.21</t>
  </si>
  <si>
    <t>142.22</t>
  </si>
  <si>
    <t>142.23</t>
  </si>
  <si>
    <t>142.24</t>
  </si>
  <si>
    <t>142.25</t>
  </si>
  <si>
    <t>142.26</t>
  </si>
  <si>
    <t>142.27</t>
  </si>
  <si>
    <t>142.28</t>
  </si>
  <si>
    <t>142.29</t>
  </si>
  <si>
    <t>142.30</t>
  </si>
  <si>
    <t>142.31</t>
  </si>
  <si>
    <t>142.32</t>
  </si>
  <si>
    <t>142.33</t>
  </si>
  <si>
    <t>142.34</t>
  </si>
  <si>
    <t>142.35</t>
  </si>
  <si>
    <t>142.36</t>
  </si>
  <si>
    <t>142.37</t>
  </si>
  <si>
    <t>142.38</t>
  </si>
  <si>
    <t>142.39</t>
  </si>
  <si>
    <t>142.40</t>
  </si>
  <si>
    <t>142.41</t>
  </si>
  <si>
    <t>142.42</t>
  </si>
  <si>
    <t>142.43</t>
  </si>
  <si>
    <t>142.44</t>
  </si>
  <si>
    <t>142.45</t>
  </si>
  <si>
    <t>143.1</t>
  </si>
  <si>
    <t>143.2</t>
  </si>
  <si>
    <t>143.3</t>
  </si>
  <si>
    <t>143.4</t>
  </si>
  <si>
    <t>143.5</t>
  </si>
  <si>
    <t>143.6</t>
  </si>
  <si>
    <t>143.7</t>
  </si>
  <si>
    <t>143.8</t>
  </si>
  <si>
    <t>143.9</t>
  </si>
  <si>
    <t>143.10</t>
  </si>
  <si>
    <t>143.11</t>
  </si>
  <si>
    <t>143.12</t>
  </si>
  <si>
    <t>144.1</t>
  </si>
  <si>
    <t>145.1</t>
  </si>
  <si>
    <t>145.2</t>
  </si>
  <si>
    <t>145.3</t>
  </si>
  <si>
    <t>145.4</t>
  </si>
  <si>
    <t>145.5</t>
  </si>
  <si>
    <t>146.1</t>
  </si>
  <si>
    <t>146.2</t>
  </si>
  <si>
    <t>146.3</t>
  </si>
  <si>
    <t>146.4</t>
  </si>
  <si>
    <t>146.5</t>
  </si>
  <si>
    <t>147.1</t>
  </si>
  <si>
    <t>147.2</t>
  </si>
  <si>
    <t>147.3</t>
  </si>
  <si>
    <t>147.4</t>
  </si>
  <si>
    <t>147.5</t>
  </si>
  <si>
    <t>147.6</t>
  </si>
  <si>
    <t>147.7</t>
  </si>
  <si>
    <t>147.8</t>
  </si>
  <si>
    <t>147.9</t>
  </si>
  <si>
    <t>147.10</t>
  </si>
  <si>
    <t>147.11</t>
  </si>
  <si>
    <t>147.12</t>
  </si>
  <si>
    <t>147.13</t>
  </si>
  <si>
    <t>147.14</t>
  </si>
  <si>
    <t>147.15</t>
  </si>
  <si>
    <t>147.16</t>
  </si>
  <si>
    <t>147.17</t>
  </si>
  <si>
    <t>147.18</t>
  </si>
  <si>
    <t>147.19</t>
  </si>
  <si>
    <t>147.20</t>
  </si>
  <si>
    <t>147.21</t>
  </si>
  <si>
    <t>147.22</t>
  </si>
  <si>
    <t>147.23</t>
  </si>
  <si>
    <t>147.24</t>
  </si>
  <si>
    <t>147.25</t>
  </si>
  <si>
    <t>147.26</t>
  </si>
  <si>
    <t>147.27</t>
  </si>
  <si>
    <t>147.28</t>
  </si>
  <si>
    <t>147.29</t>
  </si>
  <si>
    <t>147.30</t>
  </si>
  <si>
    <t>148.1</t>
  </si>
  <si>
    <t>148.2</t>
  </si>
  <si>
    <t>148.3</t>
  </si>
  <si>
    <t>148.4</t>
  </si>
  <si>
    <t>148.5</t>
  </si>
  <si>
    <t>149.1</t>
  </si>
  <si>
    <t>149.2</t>
  </si>
  <si>
    <t>149.3</t>
  </si>
  <si>
    <t>149.4</t>
  </si>
  <si>
    <t>150.1</t>
  </si>
  <si>
    <t>150.2</t>
  </si>
  <si>
    <t>150.3</t>
  </si>
  <si>
    <t>150.4</t>
  </si>
  <si>
    <t>150.5</t>
  </si>
  <si>
    <t>151.1</t>
  </si>
  <si>
    <t>151.2</t>
  </si>
  <si>
    <t>151.3</t>
  </si>
  <si>
    <t>151.4</t>
  </si>
  <si>
    <t>151.5</t>
  </si>
  <si>
    <t>151.6</t>
  </si>
  <si>
    <t>151.7</t>
  </si>
  <si>
    <t>151.8</t>
  </si>
  <si>
    <t>151.9</t>
  </si>
  <si>
    <t>151.10</t>
  </si>
  <si>
    <t>151.11</t>
  </si>
  <si>
    <t>151.12</t>
  </si>
  <si>
    <t>151.13</t>
  </si>
  <si>
    <t>151.14</t>
  </si>
  <si>
    <t>151.15</t>
  </si>
  <si>
    <t>151.16</t>
  </si>
  <si>
    <t>151.17</t>
  </si>
  <si>
    <t>152.1</t>
  </si>
  <si>
    <t>152.2</t>
  </si>
  <si>
    <t>152.3</t>
  </si>
  <si>
    <t>152.4</t>
  </si>
  <si>
    <t>152.5</t>
  </si>
  <si>
    <t>152.6</t>
  </si>
  <si>
    <t>152.7</t>
  </si>
  <si>
    <t>152.8</t>
  </si>
  <si>
    <t>152.9</t>
  </si>
  <si>
    <t>152.10</t>
  </si>
  <si>
    <t>152.11</t>
  </si>
  <si>
    <t>152.12</t>
  </si>
  <si>
    <t>152.13</t>
  </si>
  <si>
    <t>152.14</t>
  </si>
  <si>
    <t>152.15</t>
  </si>
  <si>
    <t>152.16</t>
  </si>
  <si>
    <t>152.17</t>
  </si>
  <si>
    <t>152.18</t>
  </si>
  <si>
    <t>152.19</t>
  </si>
  <si>
    <t>152.20</t>
  </si>
  <si>
    <t>152.21</t>
  </si>
  <si>
    <t>152.22</t>
  </si>
  <si>
    <t>152.23</t>
  </si>
  <si>
    <t>152.24</t>
  </si>
  <si>
    <t>152.25</t>
  </si>
  <si>
    <t>152.26</t>
  </si>
  <si>
    <t>152.27</t>
  </si>
  <si>
    <t>152.28</t>
  </si>
  <si>
    <t>152.29</t>
  </si>
  <si>
    <t>152.30</t>
  </si>
  <si>
    <t>152.31</t>
  </si>
  <si>
    <t>152.32</t>
  </si>
  <si>
    <t>152.33</t>
  </si>
  <si>
    <t>153.1</t>
  </si>
  <si>
    <t>153.2</t>
  </si>
  <si>
    <t>153.3</t>
  </si>
  <si>
    <t>153.4</t>
  </si>
  <si>
    <t>153.5</t>
  </si>
  <si>
    <t>153.6</t>
  </si>
  <si>
    <t>153.7</t>
  </si>
  <si>
    <t>153.8</t>
  </si>
  <si>
    <t>153.9</t>
  </si>
  <si>
    <t>153.10</t>
  </si>
  <si>
    <t>153.11</t>
  </si>
  <si>
    <t>153.12</t>
  </si>
  <si>
    <t>153.13</t>
  </si>
  <si>
    <t>153.14</t>
  </si>
  <si>
    <t>153.15</t>
  </si>
  <si>
    <t>153.16</t>
  </si>
  <si>
    <t>153.17</t>
  </si>
  <si>
    <t>153.18</t>
  </si>
  <si>
    <t>153.19</t>
  </si>
  <si>
    <t>153.20</t>
  </si>
  <si>
    <t>154.1</t>
  </si>
  <si>
    <t>154.2</t>
  </si>
  <si>
    <t>154.3</t>
  </si>
  <si>
    <t>155.1</t>
  </si>
  <si>
    <t>155.2</t>
  </si>
  <si>
    <t>155.3</t>
  </si>
  <si>
    <t>155.4</t>
  </si>
  <si>
    <t>155.5</t>
  </si>
  <si>
    <t>156.1</t>
  </si>
  <si>
    <t>156.2</t>
  </si>
  <si>
    <t>156.3</t>
  </si>
  <si>
    <t>156.4</t>
  </si>
  <si>
    <t>156.5</t>
  </si>
  <si>
    <t>156.6</t>
  </si>
  <si>
    <t>157.1</t>
  </si>
  <si>
    <t>157.2</t>
  </si>
  <si>
    <t>157.3</t>
  </si>
  <si>
    <t>157.4</t>
  </si>
  <si>
    <t>158.1</t>
  </si>
  <si>
    <t>158.2</t>
  </si>
  <si>
    <t>158.3</t>
  </si>
  <si>
    <t>159.1</t>
  </si>
  <si>
    <t>159.2</t>
  </si>
  <si>
    <t>159.3</t>
  </si>
  <si>
    <t>159.4</t>
  </si>
  <si>
    <t>159.5</t>
  </si>
  <si>
    <t>159.6</t>
  </si>
  <si>
    <t>159.7</t>
  </si>
  <si>
    <t>159.8</t>
  </si>
  <si>
    <t>159.9</t>
  </si>
  <si>
    <t>159.10</t>
  </si>
  <si>
    <t>159.11</t>
  </si>
  <si>
    <t>159.12</t>
  </si>
  <si>
    <t>159.13</t>
  </si>
  <si>
    <t>159.14</t>
  </si>
  <si>
    <t>159.15</t>
  </si>
  <si>
    <t>160.1</t>
  </si>
  <si>
    <t>160.2</t>
  </si>
  <si>
    <t>160.3</t>
  </si>
  <si>
    <t>160.4</t>
  </si>
  <si>
    <t>160.5</t>
  </si>
  <si>
    <t>160.6</t>
  </si>
  <si>
    <t>160.7</t>
  </si>
  <si>
    <t>160.8</t>
  </si>
  <si>
    <t>160.9</t>
  </si>
  <si>
    <t>160.10</t>
  </si>
  <si>
    <t>160.11</t>
  </si>
  <si>
    <t>160.12</t>
  </si>
  <si>
    <t>160.13</t>
  </si>
  <si>
    <t>160.14</t>
  </si>
  <si>
    <t>160.15</t>
  </si>
  <si>
    <t>160.16</t>
  </si>
  <si>
    <t>160.17</t>
  </si>
  <si>
    <t>160.18</t>
  </si>
  <si>
    <t>160.19</t>
  </si>
  <si>
    <t>160.20</t>
  </si>
  <si>
    <t>160.21</t>
  </si>
  <si>
    <t>160.22</t>
  </si>
  <si>
    <t>160.23</t>
  </si>
  <si>
    <t>160.24</t>
  </si>
  <si>
    <t>160.25</t>
  </si>
  <si>
    <t>160.26</t>
  </si>
  <si>
    <t>160.27</t>
  </si>
  <si>
    <t>160.28</t>
  </si>
  <si>
    <t>160.29</t>
  </si>
  <si>
    <t>160.30</t>
  </si>
  <si>
    <t>160.31</t>
  </si>
  <si>
    <t>160.32</t>
  </si>
  <si>
    <t>160.33</t>
  </si>
  <si>
    <t>160.34</t>
  </si>
  <si>
    <t>160.35</t>
  </si>
  <si>
    <t>160.36</t>
  </si>
  <si>
    <t>160.37</t>
  </si>
  <si>
    <t>160.38</t>
  </si>
  <si>
    <t>160.39</t>
  </si>
  <si>
    <t>160.40</t>
  </si>
  <si>
    <t>160.41</t>
  </si>
  <si>
    <t>160.42</t>
  </si>
  <si>
    <t>160.43</t>
  </si>
  <si>
    <t>160.44</t>
  </si>
  <si>
    <t>160.45</t>
  </si>
  <si>
    <t>160.46</t>
  </si>
  <si>
    <t>160.47</t>
  </si>
  <si>
    <t>160.48</t>
  </si>
  <si>
    <t>160.49</t>
  </si>
  <si>
    <t>160.50</t>
  </si>
  <si>
    <t>160.51</t>
  </si>
  <si>
    <t>160.52</t>
  </si>
  <si>
    <t>160.53</t>
  </si>
  <si>
    <t>160.54</t>
  </si>
  <si>
    <t>160.55</t>
  </si>
  <si>
    <t>160.56</t>
  </si>
  <si>
    <t>160.57</t>
  </si>
  <si>
    <t>160.58</t>
  </si>
  <si>
    <t>160.59</t>
  </si>
  <si>
    <t>160.60</t>
  </si>
  <si>
    <t>160.61</t>
  </si>
  <si>
    <t>160.62</t>
  </si>
  <si>
    <t>160.63</t>
  </si>
  <si>
    <t>160.64</t>
  </si>
  <si>
    <t>160.65</t>
  </si>
  <si>
    <t>160.66</t>
  </si>
  <si>
    <t>160.67</t>
  </si>
  <si>
    <t>160.68</t>
  </si>
  <si>
    <t>160.69</t>
  </si>
  <si>
    <t>160.70</t>
  </si>
  <si>
    <t>160.71</t>
  </si>
  <si>
    <t>160.72</t>
  </si>
  <si>
    <t>160.73</t>
  </si>
  <si>
    <t>160.74</t>
  </si>
  <si>
    <t>160.75</t>
  </si>
  <si>
    <t>160.76</t>
  </si>
  <si>
    <t>160.77</t>
  </si>
  <si>
    <t>160.78</t>
  </si>
  <si>
    <t>160.79</t>
  </si>
  <si>
    <t>160.80</t>
  </si>
  <si>
    <t>160.81</t>
  </si>
  <si>
    <t>160.82</t>
  </si>
  <si>
    <t>160.83</t>
  </si>
  <si>
    <t>160.84</t>
  </si>
  <si>
    <t>160.85</t>
  </si>
  <si>
    <t>160.86</t>
  </si>
  <si>
    <t>160.87</t>
  </si>
  <si>
    <t>160.88</t>
  </si>
  <si>
    <t>160.89</t>
  </si>
  <si>
    <t>160.90</t>
  </si>
  <si>
    <t>160.91</t>
  </si>
  <si>
    <t>161.1</t>
  </si>
  <si>
    <t>161.2</t>
  </si>
  <si>
    <t>161.3</t>
  </si>
  <si>
    <t>162.1</t>
  </si>
  <si>
    <t>163.1</t>
  </si>
  <si>
    <t>164.1</t>
  </si>
  <si>
    <t>165.1</t>
  </si>
  <si>
    <t>165.2</t>
  </si>
  <si>
    <t>166.1</t>
  </si>
  <si>
    <t>166.2</t>
  </si>
  <si>
    <t>167.1</t>
  </si>
  <si>
    <t>168.1</t>
  </si>
  <si>
    <t>168.2</t>
  </si>
  <si>
    <t>168.3</t>
  </si>
  <si>
    <t>168.4</t>
  </si>
  <si>
    <t>168.5</t>
  </si>
  <si>
    <t>168.6</t>
  </si>
  <si>
    <t>168.7</t>
  </si>
  <si>
    <t>168.8</t>
  </si>
  <si>
    <t>168.9</t>
  </si>
  <si>
    <t>168.10</t>
  </si>
  <si>
    <t>168.11</t>
  </si>
  <si>
    <t>168.12</t>
  </si>
  <si>
    <t>168.13</t>
  </si>
  <si>
    <t>168.14</t>
  </si>
  <si>
    <t>168.15</t>
  </si>
  <si>
    <t>168.16</t>
  </si>
  <si>
    <t>168.17</t>
  </si>
  <si>
    <t>168.18</t>
  </si>
  <si>
    <t>169.1</t>
  </si>
  <si>
    <t>169.2</t>
  </si>
  <si>
    <t>169.3</t>
  </si>
  <si>
    <t>169.4</t>
  </si>
  <si>
    <t>169.5</t>
  </si>
  <si>
    <t>169.6</t>
  </si>
  <si>
    <t>170.1</t>
  </si>
  <si>
    <t>170.2</t>
  </si>
  <si>
    <t>170.3</t>
  </si>
  <si>
    <t>170.4</t>
  </si>
  <si>
    <t>170.5</t>
  </si>
  <si>
    <t>171.1</t>
  </si>
  <si>
    <t>171.2</t>
  </si>
  <si>
    <t>171.3</t>
  </si>
  <si>
    <t>171.4</t>
  </si>
  <si>
    <t>172.1</t>
  </si>
  <si>
    <t>173.1</t>
  </si>
  <si>
    <t>173.2</t>
  </si>
  <si>
    <t>173.3</t>
  </si>
  <si>
    <t>173.4</t>
  </si>
  <si>
    <t>173.5</t>
  </si>
  <si>
    <t>174.1</t>
  </si>
  <si>
    <t>174.2</t>
  </si>
  <si>
    <t>174.3</t>
  </si>
  <si>
    <t>174.4</t>
  </si>
  <si>
    <t>175.1</t>
  </si>
  <si>
    <t>175.2</t>
  </si>
  <si>
    <t>176.1</t>
  </si>
  <si>
    <t>176.2</t>
  </si>
  <si>
    <t>176.3</t>
  </si>
  <si>
    <t>176.4</t>
  </si>
  <si>
    <t>176.5</t>
  </si>
  <si>
    <t>176.6</t>
  </si>
  <si>
    <t>176.7</t>
  </si>
  <si>
    <t>177.1</t>
  </si>
  <si>
    <t>177.2</t>
  </si>
  <si>
    <t>177.3</t>
  </si>
  <si>
    <t>177.4</t>
  </si>
  <si>
    <t>177.5</t>
  </si>
  <si>
    <t>177.6</t>
  </si>
  <si>
    <t>177.7</t>
  </si>
  <si>
    <t>177.8</t>
  </si>
  <si>
    <t>177.9</t>
  </si>
  <si>
    <t>177.10</t>
  </si>
  <si>
    <t>177.11</t>
  </si>
  <si>
    <t>177.12</t>
  </si>
  <si>
    <t>177.13</t>
  </si>
  <si>
    <t>177.14</t>
  </si>
  <si>
    <t>177.15</t>
  </si>
  <si>
    <t>177.16</t>
  </si>
  <si>
    <t>177.17</t>
  </si>
  <si>
    <t>177.18</t>
  </si>
  <si>
    <t>177.19</t>
  </si>
  <si>
    <t>177.20</t>
  </si>
  <si>
    <t>177.21</t>
  </si>
  <si>
    <t>177.22</t>
  </si>
  <si>
    <t>177.23</t>
  </si>
  <si>
    <t>177.24</t>
  </si>
  <si>
    <t>177.25</t>
  </si>
  <si>
    <t>178.1</t>
  </si>
  <si>
    <t>178.2</t>
  </si>
  <si>
    <t>178.3</t>
  </si>
  <si>
    <t>178.4</t>
  </si>
  <si>
    <t>178.5</t>
  </si>
  <si>
    <t>178.6</t>
  </si>
  <si>
    <t>178.7</t>
  </si>
  <si>
    <t>178.8</t>
  </si>
  <si>
    <t>178.9</t>
  </si>
  <si>
    <t>178.10</t>
  </si>
  <si>
    <t>178.11</t>
  </si>
  <si>
    <t>178.12</t>
  </si>
  <si>
    <t>178.13</t>
  </si>
  <si>
    <t>178.14</t>
  </si>
  <si>
    <t>178.15</t>
  </si>
  <si>
    <t>178.16</t>
  </si>
  <si>
    <t>178.17</t>
  </si>
  <si>
    <t>178.18</t>
  </si>
  <si>
    <t>178.19</t>
  </si>
  <si>
    <t>178.20</t>
  </si>
  <si>
    <t>178.21</t>
  </si>
  <si>
    <t>178.22</t>
  </si>
  <si>
    <t>178.23</t>
  </si>
  <si>
    <t>178.24</t>
  </si>
  <si>
    <t>178.25</t>
  </si>
  <si>
    <t>178.26</t>
  </si>
  <si>
    <t>178.27</t>
  </si>
  <si>
    <t>178.28</t>
  </si>
  <si>
    <t>178.29</t>
  </si>
  <si>
    <t>178.30</t>
  </si>
  <si>
    <t>178.31</t>
  </si>
  <si>
    <t>179.1</t>
  </si>
  <si>
    <t>179.2</t>
  </si>
  <si>
    <t>179.3</t>
  </si>
  <si>
    <t>179.4</t>
  </si>
  <si>
    <t>179.5</t>
  </si>
  <si>
    <t>179.6</t>
  </si>
  <si>
    <t>179.7</t>
  </si>
  <si>
    <t>179.8</t>
  </si>
  <si>
    <t>179.9</t>
  </si>
  <si>
    <t>179.10</t>
  </si>
  <si>
    <t>179.11</t>
  </si>
  <si>
    <t>179.12</t>
  </si>
  <si>
    <t>179.13</t>
  </si>
  <si>
    <t>179.14</t>
  </si>
  <si>
    <t>179.15</t>
  </si>
  <si>
    <t>179.16</t>
  </si>
  <si>
    <t>179.17</t>
  </si>
  <si>
    <t>179.18</t>
  </si>
  <si>
    <t>179.19</t>
  </si>
  <si>
    <t>179.20</t>
  </si>
  <si>
    <t>179.21</t>
  </si>
  <si>
    <t>179.22</t>
  </si>
  <si>
    <t>179.23</t>
  </si>
  <si>
    <t>179.24</t>
  </si>
  <si>
    <t>179.25</t>
  </si>
  <si>
    <t>179.26</t>
  </si>
  <si>
    <t>179.27</t>
  </si>
  <si>
    <t>179.28</t>
  </si>
  <si>
    <t>179.29</t>
  </si>
  <si>
    <t>179.30</t>
  </si>
  <si>
    <t>180.1</t>
  </si>
  <si>
    <t>180.2</t>
  </si>
  <si>
    <t>180.3</t>
  </si>
  <si>
    <t>180.4</t>
  </si>
  <si>
    <t>180.5</t>
  </si>
  <si>
    <t>181.1</t>
  </si>
  <si>
    <t>181.2</t>
  </si>
  <si>
    <t>181.3</t>
  </si>
  <si>
    <t>181.4</t>
  </si>
  <si>
    <t>181.5</t>
  </si>
  <si>
    <t>181.6</t>
  </si>
  <si>
    <t>181.7</t>
  </si>
  <si>
    <t>181.8</t>
  </si>
  <si>
    <t>181.9</t>
  </si>
  <si>
    <t>181.10</t>
  </si>
  <si>
    <t>182.1</t>
  </si>
  <si>
    <t>182.2</t>
  </si>
  <si>
    <t>182.3</t>
  </si>
  <si>
    <t>183.1</t>
  </si>
  <si>
    <t>183.2</t>
  </si>
  <si>
    <t>183.3</t>
  </si>
  <si>
    <t>184.1</t>
  </si>
  <si>
    <t>184.2</t>
  </si>
  <si>
    <t>184.3</t>
  </si>
  <si>
    <t>184.4</t>
  </si>
  <si>
    <t>184.5</t>
  </si>
  <si>
    <t>184.6</t>
  </si>
  <si>
    <t>185.1</t>
  </si>
  <si>
    <t>185.2</t>
  </si>
  <si>
    <t>185.3</t>
  </si>
  <si>
    <t>186.1</t>
  </si>
  <si>
    <t>186.2</t>
  </si>
  <si>
    <t>186.3</t>
  </si>
  <si>
    <t>186.4</t>
  </si>
  <si>
    <t>186.5</t>
  </si>
  <si>
    <t>186.6</t>
  </si>
  <si>
    <t>186.7</t>
  </si>
  <si>
    <t>186.8</t>
  </si>
  <si>
    <t>186.9</t>
  </si>
  <si>
    <t>187.1</t>
  </si>
  <si>
    <t>187.2</t>
  </si>
  <si>
    <t>187.3</t>
  </si>
  <si>
    <t>188.1</t>
  </si>
  <si>
    <t>188.2</t>
  </si>
  <si>
    <t>188.3</t>
  </si>
  <si>
    <t>188.4</t>
  </si>
  <si>
    <t>188.5</t>
  </si>
  <si>
    <t>188.6</t>
  </si>
  <si>
    <t>189.1</t>
  </si>
  <si>
    <t>189.2</t>
  </si>
  <si>
    <t>189.3</t>
  </si>
  <si>
    <t>189.4</t>
  </si>
  <si>
    <t>190.1</t>
  </si>
  <si>
    <t>190.2</t>
  </si>
  <si>
    <t>190.3</t>
  </si>
  <si>
    <t>190.4</t>
  </si>
  <si>
    <t>190.5</t>
  </si>
  <si>
    <t>190.6</t>
  </si>
  <si>
    <t>190.7</t>
  </si>
  <si>
    <t>190.8</t>
  </si>
  <si>
    <t>190.9</t>
  </si>
  <si>
    <t>191.1</t>
  </si>
  <si>
    <t>191.2</t>
  </si>
  <si>
    <t>191.3</t>
  </si>
  <si>
    <t>191.4</t>
  </si>
  <si>
    <t>191.5</t>
  </si>
  <si>
    <t>191.6</t>
  </si>
  <si>
    <t>191.7</t>
  </si>
  <si>
    <t>191.8</t>
  </si>
  <si>
    <t>191.9</t>
  </si>
  <si>
    <t>192.1</t>
  </si>
  <si>
    <t>192.2</t>
  </si>
  <si>
    <t>192.3</t>
  </si>
  <si>
    <t>192.4</t>
  </si>
  <si>
    <t>193.1</t>
  </si>
  <si>
    <t>193.2</t>
  </si>
  <si>
    <t>193.3</t>
  </si>
  <si>
    <t>194.1</t>
  </si>
  <si>
    <t>194.2</t>
  </si>
  <si>
    <t>194.3</t>
  </si>
  <si>
    <t>194.4</t>
  </si>
  <si>
    <t>194.5</t>
  </si>
  <si>
    <t>195.1</t>
  </si>
  <si>
    <t>195.2</t>
  </si>
  <si>
    <t>195.3</t>
  </si>
  <si>
    <t>195.4</t>
  </si>
  <si>
    <t>195.5</t>
  </si>
  <si>
    <t>195.6</t>
  </si>
  <si>
    <t>195.7</t>
  </si>
  <si>
    <t>195.8</t>
  </si>
  <si>
    <t>195.9</t>
  </si>
  <si>
    <t>195.10</t>
  </si>
  <si>
    <t>195.11</t>
  </si>
  <si>
    <t>195.12</t>
  </si>
  <si>
    <t>195.13</t>
  </si>
  <si>
    <t>195.14</t>
  </si>
  <si>
    <t>195.15</t>
  </si>
  <si>
    <t>195.16</t>
  </si>
  <si>
    <t>195.17</t>
  </si>
  <si>
    <t>195.18</t>
  </si>
  <si>
    <t>195.19</t>
  </si>
  <si>
    <t>195.20</t>
  </si>
  <si>
    <t>195.21</t>
  </si>
  <si>
    <t>195.22</t>
  </si>
  <si>
    <t>195.23</t>
  </si>
  <si>
    <t>195.24</t>
  </si>
  <si>
    <t>195.25</t>
  </si>
  <si>
    <t>195.26</t>
  </si>
  <si>
    <t>195.27</t>
  </si>
  <si>
    <t>195.28</t>
  </si>
  <si>
    <t>195.29</t>
  </si>
  <si>
    <t>195.30</t>
  </si>
  <si>
    <t>195.31</t>
  </si>
  <si>
    <t>195.32</t>
  </si>
  <si>
    <t>195.33</t>
  </si>
  <si>
    <t>195.34</t>
  </si>
  <si>
    <t>195.35</t>
  </si>
  <si>
    <t>195.36</t>
  </si>
  <si>
    <t>195.37</t>
  </si>
  <si>
    <t>195.38</t>
  </si>
  <si>
    <t>196.1</t>
  </si>
  <si>
    <t>196.2</t>
  </si>
  <si>
    <t>196.3</t>
  </si>
  <si>
    <t>196.4</t>
  </si>
  <si>
    <t>196.5</t>
  </si>
  <si>
    <t>197.1</t>
  </si>
  <si>
    <t>197.2</t>
  </si>
  <si>
    <t>197.3</t>
  </si>
  <si>
    <t>197.4</t>
  </si>
  <si>
    <t>198.1</t>
  </si>
  <si>
    <t>198.2</t>
  </si>
  <si>
    <t>198.3</t>
  </si>
  <si>
    <t>198.4</t>
  </si>
  <si>
    <t>198.5</t>
  </si>
  <si>
    <t>198.6</t>
  </si>
  <si>
    <t>198.7</t>
  </si>
  <si>
    <t>198.8</t>
  </si>
  <si>
    <t>198.9</t>
  </si>
  <si>
    <t>198.10</t>
  </si>
  <si>
    <t>198.11</t>
  </si>
  <si>
    <t>198.12</t>
  </si>
  <si>
    <t>198.13</t>
  </si>
  <si>
    <t>198.14</t>
  </si>
  <si>
    <t>198.15</t>
  </si>
  <si>
    <t>198.16</t>
  </si>
  <si>
    <t>198.17</t>
  </si>
  <si>
    <t>198.18</t>
  </si>
  <si>
    <t>198.19</t>
  </si>
  <si>
    <t>198.20</t>
  </si>
  <si>
    <t>198.21</t>
  </si>
  <si>
    <t>198.22</t>
  </si>
  <si>
    <t>198.23</t>
  </si>
  <si>
    <t>198.24</t>
  </si>
  <si>
    <t>198.25</t>
  </si>
  <si>
    <t>198.26</t>
  </si>
  <si>
    <t>198.27</t>
  </si>
  <si>
    <t>198.28</t>
  </si>
  <si>
    <t>198.29</t>
  </si>
  <si>
    <t>198.30</t>
  </si>
  <si>
    <t>198.31</t>
  </si>
  <si>
    <t>198.32</t>
  </si>
  <si>
    <t>199.1</t>
  </si>
  <si>
    <t>199.2</t>
  </si>
  <si>
    <t>199.3</t>
  </si>
  <si>
    <t>199.4</t>
  </si>
  <si>
    <t>199.5</t>
  </si>
  <si>
    <t>199.6</t>
  </si>
  <si>
    <t>199.7</t>
  </si>
  <si>
    <t>199.8</t>
  </si>
  <si>
    <t>200.1</t>
  </si>
  <si>
    <t>200.2</t>
  </si>
  <si>
    <t>200.3</t>
  </si>
  <si>
    <t>200.4</t>
  </si>
  <si>
    <t>200.5</t>
  </si>
  <si>
    <t>200.6</t>
  </si>
  <si>
    <t>200.7</t>
  </si>
  <si>
    <t>200.8</t>
  </si>
  <si>
    <t>200.9</t>
  </si>
  <si>
    <t>200.10</t>
  </si>
  <si>
    <t>200.11</t>
  </si>
  <si>
    <t>200.12</t>
  </si>
  <si>
    <t>200.13</t>
  </si>
  <si>
    <t>200.14</t>
  </si>
  <si>
    <t>200.15</t>
  </si>
  <si>
    <t>200.16</t>
  </si>
  <si>
    <t>200.17</t>
  </si>
  <si>
    <t>200.18</t>
  </si>
  <si>
    <t>200.19</t>
  </si>
  <si>
    <t>200.20</t>
  </si>
  <si>
    <t>200.21</t>
  </si>
  <si>
    <t>200.22</t>
  </si>
  <si>
    <t>200.23</t>
  </si>
  <si>
    <t>200.24</t>
  </si>
  <si>
    <t>200.25</t>
  </si>
  <si>
    <t>201.1</t>
  </si>
  <si>
    <t>201.2</t>
  </si>
  <si>
    <t>201.3</t>
  </si>
  <si>
    <t>201.4</t>
  </si>
  <si>
    <t>201.5</t>
  </si>
  <si>
    <t>201.6</t>
  </si>
  <si>
    <t>201.7</t>
  </si>
  <si>
    <t>201.8</t>
  </si>
  <si>
    <t>201.9</t>
  </si>
  <si>
    <t>201.10</t>
  </si>
  <si>
    <t>201.11</t>
  </si>
  <si>
    <t>201.12</t>
  </si>
  <si>
    <t>201.13</t>
  </si>
  <si>
    <t>201.14</t>
  </si>
  <si>
    <t>201.15</t>
  </si>
  <si>
    <t>201.16</t>
  </si>
  <si>
    <t>201.17</t>
  </si>
  <si>
    <t>201.18</t>
  </si>
  <si>
    <t>201.19</t>
  </si>
  <si>
    <t>201.20</t>
  </si>
  <si>
    <t>201.21</t>
  </si>
  <si>
    <t>201.22</t>
  </si>
  <si>
    <t>201.23</t>
  </si>
  <si>
    <t>201.24</t>
  </si>
  <si>
    <t>201.25</t>
  </si>
  <si>
    <t>201.26</t>
  </si>
  <si>
    <t>201.27</t>
  </si>
  <si>
    <t>201.28</t>
  </si>
  <si>
    <t>201.29</t>
  </si>
  <si>
    <t>201.30</t>
  </si>
  <si>
    <t>201.31</t>
  </si>
  <si>
    <t>201.32</t>
  </si>
  <si>
    <t>201.33</t>
  </si>
  <si>
    <t>201.34</t>
  </si>
  <si>
    <t>201.35</t>
  </si>
  <si>
    <t>201.36</t>
  </si>
  <si>
    <t>201.37</t>
  </si>
  <si>
    <t>201.38</t>
  </si>
  <si>
    <t>201.39</t>
  </si>
  <si>
    <t>201.40</t>
  </si>
  <si>
    <t>201.41</t>
  </si>
  <si>
    <t>201.42</t>
  </si>
  <si>
    <t>201.43</t>
  </si>
  <si>
    <t>201.44</t>
  </si>
  <si>
    <t>201.45</t>
  </si>
  <si>
    <t>201.46</t>
  </si>
  <si>
    <t>201.47</t>
  </si>
  <si>
    <t>201.48</t>
  </si>
  <si>
    <t>201.49</t>
  </si>
  <si>
    <t>201.50</t>
  </si>
  <si>
    <t>201.51</t>
  </si>
  <si>
    <t>201.52</t>
  </si>
  <si>
    <t>201.53</t>
  </si>
  <si>
    <t>201.54</t>
  </si>
  <si>
    <t>201.55</t>
  </si>
  <si>
    <t>201.56</t>
  </si>
  <si>
    <t>201.57</t>
  </si>
  <si>
    <t>201.58</t>
  </si>
  <si>
    <t>201.59</t>
  </si>
  <si>
    <t>201.60</t>
  </si>
  <si>
    <t>201.61</t>
  </si>
  <si>
    <t>201.62</t>
  </si>
  <si>
    <t>201.63</t>
  </si>
  <si>
    <t>201.64</t>
  </si>
  <si>
    <t>201.65</t>
  </si>
  <si>
    <t>201.66</t>
  </si>
  <si>
    <t>201.67</t>
  </si>
  <si>
    <t>201.68</t>
  </si>
  <si>
    <t>201.69</t>
  </si>
  <si>
    <t>201.70</t>
  </si>
  <si>
    <t>201.71</t>
  </si>
  <si>
    <t>201.72</t>
  </si>
  <si>
    <t>201.73</t>
  </si>
  <si>
    <t>201.74</t>
  </si>
  <si>
    <t>201.75</t>
  </si>
  <si>
    <t>201.76</t>
  </si>
  <si>
    <t>201.77</t>
  </si>
  <si>
    <t>201.78</t>
  </si>
  <si>
    <t>201.79</t>
  </si>
  <si>
    <t>201.80</t>
  </si>
  <si>
    <t>201.81</t>
  </si>
  <si>
    <t>201.82</t>
  </si>
  <si>
    <t>201.83</t>
  </si>
  <si>
    <t>201.84</t>
  </si>
  <si>
    <t>201.85</t>
  </si>
  <si>
    <t>201.86</t>
  </si>
  <si>
    <t>201.87</t>
  </si>
  <si>
    <t>201.88</t>
  </si>
  <si>
    <t>201.89</t>
  </si>
  <si>
    <t>201.90</t>
  </si>
  <si>
    <t>201.91</t>
  </si>
  <si>
    <t>201.92</t>
  </si>
  <si>
    <t>201.93</t>
  </si>
  <si>
    <t>201.94</t>
  </si>
  <si>
    <t>201.95</t>
  </si>
  <si>
    <t>201.96</t>
  </si>
  <si>
    <t>201.97</t>
  </si>
  <si>
    <t>201.98</t>
  </si>
  <si>
    <t>201.99</t>
  </si>
  <si>
    <t>201.100</t>
  </si>
  <si>
    <t>201.101</t>
  </si>
  <si>
    <t>201.102</t>
  </si>
  <si>
    <t>201.103</t>
  </si>
  <si>
    <t>201.104</t>
  </si>
  <si>
    <t>201.105</t>
  </si>
  <si>
    <t>201.106</t>
  </si>
  <si>
    <t>201.107</t>
  </si>
  <si>
    <t>201.108</t>
  </si>
  <si>
    <t>202.1</t>
  </si>
  <si>
    <t>202.2</t>
  </si>
  <si>
    <t>202.3</t>
  </si>
  <si>
    <t>202.4</t>
  </si>
  <si>
    <t>203.1</t>
  </si>
  <si>
    <t>203.2</t>
  </si>
  <si>
    <t>203.3</t>
  </si>
  <si>
    <t>203.4</t>
  </si>
  <si>
    <t>203.5</t>
  </si>
  <si>
    <t>203.6</t>
  </si>
  <si>
    <t>203.7</t>
  </si>
  <si>
    <t>203.8</t>
  </si>
  <si>
    <t>203.9</t>
  </si>
  <si>
    <t>204.1</t>
  </si>
  <si>
    <t>204.2</t>
  </si>
  <si>
    <t>205.1</t>
  </si>
  <si>
    <t>205.2</t>
  </si>
  <si>
    <t>205.3</t>
  </si>
  <si>
    <t>205.4</t>
  </si>
  <si>
    <t>205.5</t>
  </si>
  <si>
    <t>205.6</t>
  </si>
  <si>
    <t>205.7</t>
  </si>
  <si>
    <t>205.8</t>
  </si>
  <si>
    <t>205.9</t>
  </si>
  <si>
    <t>205.10</t>
  </si>
  <si>
    <t>205.11</t>
  </si>
  <si>
    <t>205.12</t>
  </si>
  <si>
    <t>205.13</t>
  </si>
  <si>
    <t>205.14</t>
  </si>
  <si>
    <t>205.15</t>
  </si>
  <si>
    <t>205.16</t>
  </si>
  <si>
    <t>205.17</t>
  </si>
  <si>
    <t>205.18</t>
  </si>
  <si>
    <t>206.1</t>
  </si>
  <si>
    <t>206.2</t>
  </si>
  <si>
    <t>206.3</t>
  </si>
  <si>
    <t>206.4</t>
  </si>
  <si>
    <t>206.5</t>
  </si>
  <si>
    <t>206.6</t>
  </si>
  <si>
    <t>206.7</t>
  </si>
  <si>
    <t>206.8</t>
  </si>
  <si>
    <t>206.9</t>
  </si>
  <si>
    <t>206.10</t>
  </si>
  <si>
    <t>206.11</t>
  </si>
  <si>
    <t>206.12</t>
  </si>
  <si>
    <t>206.13</t>
  </si>
  <si>
    <t>207.1</t>
  </si>
  <si>
    <t>208.1</t>
  </si>
  <si>
    <t>209.1</t>
  </si>
  <si>
    <t>209.2</t>
  </si>
  <si>
    <t>209.3</t>
  </si>
  <si>
    <t>209.4</t>
  </si>
  <si>
    <t>209.5</t>
  </si>
  <si>
    <t>209.6</t>
  </si>
  <si>
    <t>209.7</t>
  </si>
  <si>
    <t>209.8</t>
  </si>
  <si>
    <t>210.1</t>
  </si>
  <si>
    <t>210.2</t>
  </si>
  <si>
    <t>210.3</t>
  </si>
  <si>
    <t>210.4</t>
  </si>
  <si>
    <t>210.5</t>
  </si>
  <si>
    <t>210.6</t>
  </si>
  <si>
    <t>211.1</t>
  </si>
  <si>
    <t>211.2</t>
  </si>
  <si>
    <t>211.3</t>
  </si>
  <si>
    <t>211.4</t>
  </si>
  <si>
    <t>211.5</t>
  </si>
  <si>
    <t>211.6</t>
  </si>
  <si>
    <t xml:space="preserve">Wait: </t>
  </si>
  <si>
    <t xml:space="preserve">Aguarde: </t>
  </si>
  <si>
    <t xml:space="preserve">Ready in </t>
  </si>
  <si>
    <t xml:space="preserve">Pronto em </t>
  </si>
  <si>
    <t>File Path</t>
  </si>
  <si>
    <t>GCal Path</t>
  </si>
  <si>
    <t>GCal Output File</t>
  </si>
  <si>
    <t>Xml Map Name</t>
  </si>
  <si>
    <t>calendar-rd</t>
  </si>
  <si>
    <t>Connection Name</t>
  </si>
  <si>
    <t>calendar-re</t>
  </si>
  <si>
    <t>MapsGoogle</t>
  </si>
  <si>
    <t>Value</t>
  </si>
  <si>
    <t>Aux.</t>
  </si>
  <si>
    <t>EventsPrintArea</t>
  </si>
  <si>
    <t>Folder Path</t>
  </si>
  <si>
    <t>GPlanPdfFileName</t>
  </si>
  <si>
    <t>Calendar Month</t>
  </si>
  <si>
    <t>First Day of Year</t>
  </si>
  <si>
    <t>First Sunday of Month</t>
  </si>
  <si>
    <t>First Monday of Year</t>
  </si>
  <si>
    <t>Monday of Week</t>
  </si>
  <si>
    <t>Caturmasya</t>
  </si>
  <si>
    <t>OptionsListMoon</t>
  </si>
  <si>
    <t>OptionsListGCal</t>
  </si>
  <si>
    <t>Time Diff</t>
  </si>
  <si>
    <t>Country abb.</t>
  </si>
  <si>
    <t>Holydays Worksheet Path</t>
  </si>
  <si>
    <t>Personal Data Worksheet Path</t>
  </si>
  <si>
    <t>Translation File</t>
  </si>
  <si>
    <t>cit_translation</t>
  </si>
  <si>
    <t>Translation</t>
  </si>
  <si>
    <t>Tradução</t>
  </si>
  <si>
    <t>dps_cFone</t>
  </si>
  <si>
    <t>cal_jan</t>
  </si>
  <si>
    <t>cal_feb</t>
  </si>
  <si>
    <t>cal_mar</t>
  </si>
  <si>
    <t>cal_apr</t>
  </si>
  <si>
    <t>cal_may</t>
  </si>
  <si>
    <t>cal_jun</t>
  </si>
  <si>
    <t>cal_jul</t>
  </si>
  <si>
    <t>cal_aug</t>
  </si>
  <si>
    <t>cal_sep</t>
  </si>
  <si>
    <t>cal_oct</t>
  </si>
  <si>
    <t>cal_nov</t>
  </si>
  <si>
    <t>cal_dec</t>
  </si>
  <si>
    <t>cal_dw1</t>
  </si>
  <si>
    <t>cal_dw2</t>
  </si>
  <si>
    <t>cal_dw3</t>
  </si>
  <si>
    <t>cal_dw4</t>
  </si>
  <si>
    <t>cal_dw5</t>
  </si>
  <si>
    <t>cal_dw6</t>
  </si>
  <si>
    <t>cal_dw7</t>
  </si>
  <si>
    <t>cal_AdvaitaApp</t>
  </si>
  <si>
    <t>cal_BalaramaApp</t>
  </si>
  <si>
    <t>cal_BhagavadGita</t>
  </si>
  <si>
    <t>cal_BhaktisiddhantaApp</t>
  </si>
  <si>
    <t>cal_BhaktivinodaApp</t>
  </si>
  <si>
    <t>cal_CaitanyaApp</t>
  </si>
  <si>
    <t>cal_Dipavali</t>
  </si>
  <si>
    <t>cal_GadadharaApp</t>
  </si>
  <si>
    <t>cal_GauraKisoraDis</t>
  </si>
  <si>
    <t>cal_GopalaBhattaApp</t>
  </si>
  <si>
    <t>cal_GovardhanaPuja</t>
  </si>
  <si>
    <t>cal_GundicaMarjana</t>
  </si>
  <si>
    <t>cal_ISKCON</t>
  </si>
  <si>
    <t>cal_JhulanaBeg</t>
  </si>
  <si>
    <t>cal_JivaApp</t>
  </si>
  <si>
    <t>cal_KrsnaApp</t>
  </si>
  <si>
    <t>cal_NityanandaApp</t>
  </si>
  <si>
    <t>cal_NrsimhadevaApp</t>
  </si>
  <si>
    <t>cal_PrabhupadaApp</t>
  </si>
  <si>
    <t>cal_PrabhupadaDis</t>
  </si>
  <si>
    <t>cal_PrabhupadaSannyasa</t>
  </si>
  <si>
    <t>cal_PrabhupadaUSAArr</t>
  </si>
  <si>
    <t>cal_PrabhupadaUSADep</t>
  </si>
  <si>
    <t>cal_RadhaKunda</t>
  </si>
  <si>
    <t>cal_RadharaniApp</t>
  </si>
  <si>
    <t>cal_RaghunathaBhattaDis</t>
  </si>
  <si>
    <t>cal_RaghunathaDasaApp</t>
  </si>
  <si>
    <t>cal_RamacandraApp</t>
  </si>
  <si>
    <t>cal_RamacandraVijayotsava</t>
  </si>
  <si>
    <t>cal_RathaYatra</t>
  </si>
  <si>
    <t>cal_RupaDis</t>
  </si>
  <si>
    <t>cal_SanatanaDis</t>
  </si>
  <si>
    <t>cal_SitaApp</t>
  </si>
  <si>
    <t>cal_SitaThakuraniApp</t>
  </si>
  <si>
    <t>cal_SnanaYatra</t>
  </si>
  <si>
    <t>cal_SriBalaramaRasayatra</t>
  </si>
  <si>
    <t>cal_SriKrsnaMadhuraUtsava</t>
  </si>
  <si>
    <t>cal_SriKrsnaPusyaAbhiseka</t>
  </si>
  <si>
    <t>cal_SriKrsnaRasayatra</t>
  </si>
  <si>
    <t>cal_SriKrsnaSaradiyaRasayatr</t>
  </si>
  <si>
    <t>cal_SrivasaApp</t>
  </si>
  <si>
    <t>cal_TotalFast</t>
  </si>
  <si>
    <t>cal_TulasiSaligrama</t>
  </si>
  <si>
    <t>cal_VamanadevaApp</t>
  </si>
  <si>
    <t>cal_VarahadevaApp</t>
  </si>
  <si>
    <t>fer_Halloween</t>
  </si>
  <si>
    <t>fer_Advent</t>
  </si>
  <si>
    <t>fer_Christmas</t>
  </si>
  <si>
    <t>fer_Childermas</t>
  </si>
  <si>
    <t>fer_Epiphany</t>
  </si>
  <si>
    <t>fer_Candlemas</t>
  </si>
  <si>
    <t>fer_Carnival</t>
  </si>
  <si>
    <t>fer_Easter</t>
  </si>
  <si>
    <t>fer_PalmSunday</t>
  </si>
  <si>
    <t>fer_AshWednesday</t>
  </si>
  <si>
    <t>fer_HolyThursday</t>
  </si>
  <si>
    <t>fer_GoodFriday</t>
  </si>
  <si>
    <t>fer_HolySaturday</t>
  </si>
  <si>
    <t>fer_EasterMonday</t>
  </si>
  <si>
    <t>fer_AscensionThursday</t>
  </si>
  <si>
    <t>fer_TrinitySunday</t>
  </si>
  <si>
    <t>fer_CorpusChristi</t>
  </si>
  <si>
    <t>fer_Assumption_of_Mary</t>
  </si>
  <si>
    <t>fer_WatchNight</t>
  </si>
  <si>
    <t>opt_section</t>
  </si>
  <si>
    <t>opt_plan</t>
  </si>
  <si>
    <t>opt_title</t>
  </si>
  <si>
    <t>opt_autogen</t>
  </si>
  <si>
    <t>opt_language</t>
  </si>
  <si>
    <t>opt_location</t>
  </si>
  <si>
    <t>opt_year</t>
  </si>
  <si>
    <t>opt_cityNameOnCover</t>
  </si>
  <si>
    <t>opt_horaInicial</t>
  </si>
  <si>
    <t>opt_horaInicialDet</t>
  </si>
  <si>
    <t>opt_edit</t>
  </si>
  <si>
    <t>opt_add</t>
  </si>
  <si>
    <t>opt_holiday</t>
  </si>
  <si>
    <t>opt_persdata</t>
  </si>
  <si>
    <t>opt_finweekback</t>
  </si>
  <si>
    <t>opt_updateExtData</t>
  </si>
  <si>
    <t>opt_cmdGenerate</t>
  </si>
  <si>
    <t>opt_cmdCalendarChange</t>
  </si>
  <si>
    <t>opt_msAutCalTit</t>
  </si>
  <si>
    <t>opt_msAutCalc</t>
  </si>
  <si>
    <t>opt_msAutGenTit</t>
  </si>
  <si>
    <t>opt_msPdfGenerate</t>
  </si>
  <si>
    <t>opt_msPdfCancel</t>
  </si>
  <si>
    <t>opt_msAutGen</t>
  </si>
  <si>
    <t>5</t>
  </si>
  <si>
    <t xml:space="preserve">Ocorreu um erro: </t>
  </si>
  <si>
    <t xml:space="preserve">Baixe a versão mais recente da Agenda Vaishnava Gplan em </t>
  </si>
  <si>
    <t>https://github.com/gopaladasa/GPlan/releases</t>
  </si>
  <si>
    <t>Não foi possível gerar todos os arquivos necessários para a criação da Agenda.</t>
  </si>
  <si>
    <t>It was not possible to generate all the files needed to create the Planner.</t>
  </si>
  <si>
    <t xml:space="preserve">Download the latest version of the Vaishnava Gplan Agenda in
</t>
  </si>
  <si>
    <t xml:space="preserve">Ocurrio un error: </t>
  </si>
  <si>
    <t>No fue posible generar todos los archivos necesarios para crear el Planificador.</t>
  </si>
  <si>
    <t xml:space="preserve">Descargue la última versión de la Agenda Vaishnava Gplan em </t>
  </si>
  <si>
    <t>sys_cstrError</t>
  </si>
  <si>
    <t>sys_cstrFileNotFound</t>
  </si>
  <si>
    <t>sys_cstrFileNotCreate</t>
  </si>
  <si>
    <t>sys_cstrGPlanDownloadSite</t>
  </si>
  <si>
    <t>sys_cstrDownloadGPlan</t>
  </si>
  <si>
    <t>sys_cstrErrorTitle</t>
  </si>
  <si>
    <t>During the previous check, it was not possible to find all the required files in the current folder.</t>
  </si>
  <si>
    <t>Durante la comprobación previo, no fue posible encontrar todos los archivos necesarios en la carpeta actual.</t>
  </si>
  <si>
    <t>sys_planPersonalities</t>
  </si>
  <si>
    <t>sys_planReunions</t>
  </si>
  <si>
    <t>sys_planUnitsConversion</t>
  </si>
  <si>
    <t>Reunioes</t>
  </si>
  <si>
    <t>Events</t>
  </si>
  <si>
    <t>Eventos</t>
  </si>
  <si>
    <t>sys_planEvents</t>
  </si>
  <si>
    <t>Sistema (Macros)</t>
  </si>
  <si>
    <t>System (Macros)</t>
  </si>
  <si>
    <t>Weekly</t>
  </si>
  <si>
    <t>sem_section</t>
  </si>
  <si>
    <t>sem_plan</t>
  </si>
  <si>
    <t>sem_semana</t>
  </si>
  <si>
    <t>sem_aperf</t>
  </si>
  <si>
    <t>sem_aperfItem1</t>
  </si>
  <si>
    <t>sem_aperfItem2</t>
  </si>
  <si>
    <t>sem_aperfItem3</t>
  </si>
  <si>
    <t>sem_aperfItem4</t>
  </si>
  <si>
    <t>sem_impot</t>
  </si>
  <si>
    <t>sem_areas</t>
  </si>
  <si>
    <t>sem_goals</t>
  </si>
  <si>
    <t>W</t>
  </si>
  <si>
    <t>Anotacoes</t>
  </si>
  <si>
    <t>Contacts</t>
  </si>
  <si>
    <t>Contactos</t>
  </si>
  <si>
    <t>Contatos</t>
  </si>
  <si>
    <t>Conversao Unidades</t>
  </si>
  <si>
    <t>Conversion Unidades</t>
  </si>
  <si>
    <t>Personalidades Eventos</t>
  </si>
  <si>
    <t>Personalities Events</t>
  </si>
  <si>
    <t>Calendar Data Automatic Updating</t>
  </si>
  <si>
    <t>Actualización automática de los datos del calendario</t>
  </si>
  <si>
    <t>Durante a checagem prévia, não foi possível encontrar todos os arquivos necessários na pasta atual.</t>
  </si>
  <si>
    <t>gcal.exe</t>
  </si>
  <si>
    <t>msxsl.exe</t>
  </si>
  <si>
    <t>cal-pers-events.xml</t>
  </si>
  <si>
    <t>tr-date-refer.xslt</t>
  </si>
  <si>
    <t>tr-gcal-merge.xslt</t>
  </si>
  <si>
    <t>tr-gcal-complements.xslt</t>
  </si>
  <si>
    <t>tr-holidays-merge.xslt</t>
  </si>
  <si>
    <t>tr-gplan-import.xslt</t>
  </si>
  <si>
    <t>tr-txt-calendar.xslt</t>
  </si>
  <si>
    <t>cal-gcal-cmdline.xml</t>
  </si>
  <si>
    <t>cal-moon-data.xml</t>
  </si>
  <si>
    <t>str-translation.xml</t>
  </si>
  <si>
    <t>cal-holidays-list.xml</t>
  </si>
  <si>
    <t>res-date-refer.xml</t>
  </si>
  <si>
    <t>res-gcal-merge.xml</t>
  </si>
  <si>
    <t>res-gcal-complements.xml</t>
  </si>
  <si>
    <t>res-holidays-merge.xml</t>
  </si>
  <si>
    <t>calendar-re.xml</t>
  </si>
  <si>
    <t>calendar.txt</t>
  </si>
  <si>
    <t>XML Folder</t>
  </si>
  <si>
    <t>xml</t>
  </si>
  <si>
    <t>Gcal Folder</t>
  </si>
  <si>
    <t>gcal</t>
  </si>
  <si>
    <t>Path Separator</t>
  </si>
  <si>
    <t>MSXSL Path</t>
  </si>
  <si>
    <t>MSXSL Command Line</t>
  </si>
  <si>
    <t>GCal Command Line</t>
  </si>
  <si>
    <t>Days Count</t>
  </si>
  <si>
    <t>O cálculo do calendário foi cancelado.</t>
  </si>
  <si>
    <t>Calendar calculation canceled.</t>
  </si>
  <si>
    <t>Cálculo del calendario cancelado.</t>
  </si>
  <si>
    <t>opt_msCalCalcCanceled</t>
  </si>
  <si>
    <t>Narayana</t>
  </si>
  <si>
    <t>Madhava</t>
  </si>
  <si>
    <t>Govinda</t>
  </si>
  <si>
    <t>Visnu</t>
  </si>
  <si>
    <t>Madhusudana</t>
  </si>
  <si>
    <t>Trivikrama</t>
  </si>
  <si>
    <t>Vamana</t>
  </si>
  <si>
    <t>Sridhara</t>
  </si>
  <si>
    <t>Hrsikesa</t>
  </si>
  <si>
    <t>Padmanabha</t>
  </si>
  <si>
    <t>Damodara</t>
  </si>
  <si>
    <t>Purusottama-adhika</t>
  </si>
  <si>
    <t>Gaura Paksa</t>
  </si>
  <si>
    <t>Tritiya Tithi</t>
  </si>
  <si>
    <t>Caturthi Tithi</t>
  </si>
  <si>
    <t>Pancami Tithi</t>
  </si>
  <si>
    <t>Sasti Tithi</t>
  </si>
  <si>
    <t>Saptami Tithi</t>
  </si>
  <si>
    <t>Astami Tithi</t>
  </si>
  <si>
    <t>Navami Tithi</t>
  </si>
  <si>
    <t>Dasami Tithi</t>
  </si>
  <si>
    <t>Dvadasi Tithi</t>
  </si>
  <si>
    <t>Trayodasi Tithi</t>
  </si>
  <si>
    <t>Caturdasi Tithi</t>
  </si>
  <si>
    <t>Amavasya Tithi</t>
  </si>
  <si>
    <t>Pratipat Tithi</t>
  </si>
  <si>
    <t>Ekadasi Tithi</t>
  </si>
  <si>
    <t>Purnima Tithi</t>
  </si>
  <si>
    <t>Dvitiya</t>
  </si>
  <si>
    <t>Tritiya</t>
  </si>
  <si>
    <t>Caturthi</t>
  </si>
  <si>
    <t>Pancami</t>
  </si>
  <si>
    <t>Sasti</t>
  </si>
  <si>
    <t>Saptami</t>
  </si>
  <si>
    <t>Astami</t>
  </si>
  <si>
    <t>Navami</t>
  </si>
  <si>
    <t>Dasami</t>
  </si>
  <si>
    <t>Ekadasi</t>
  </si>
  <si>
    <t>Dvadasi</t>
  </si>
  <si>
    <t>Trayodasi</t>
  </si>
  <si>
    <t>Caturdasi</t>
  </si>
  <si>
    <t>Amavasya</t>
  </si>
  <si>
    <t>Pratipat</t>
  </si>
  <si>
    <t>Purnima</t>
  </si>
  <si>
    <t>LQ</t>
  </si>
  <si>
    <t>Mrigasira</t>
  </si>
  <si>
    <t>Punarvasu</t>
  </si>
  <si>
    <t>Pusyami</t>
  </si>
  <si>
    <t>Aslesa</t>
  </si>
  <si>
    <t>Magha</t>
  </si>
  <si>
    <t>Purva-phalguni</t>
  </si>
  <si>
    <t>Uttara-phalguni</t>
  </si>
  <si>
    <t>Hasta</t>
  </si>
  <si>
    <t>Citra</t>
  </si>
  <si>
    <t>Swati</t>
  </si>
  <si>
    <t>Visakha</t>
  </si>
  <si>
    <t>Anuradha</t>
  </si>
  <si>
    <t>Jyestha</t>
  </si>
  <si>
    <t>Mula</t>
  </si>
  <si>
    <t>Purva-asadha</t>
  </si>
  <si>
    <t>Uttara-asadha</t>
  </si>
  <si>
    <t>Sravana</t>
  </si>
  <si>
    <t>Dhanista</t>
  </si>
  <si>
    <t>Satabhisa</t>
  </si>
  <si>
    <t>Purva-bhadra</t>
  </si>
  <si>
    <t>Uttara-bhadra</t>
  </si>
  <si>
    <t>Revati</t>
  </si>
  <si>
    <t>Asvini</t>
  </si>
  <si>
    <t>Bharani</t>
  </si>
  <si>
    <t>Krittika</t>
  </si>
  <si>
    <t>Ardra</t>
  </si>
  <si>
    <t>Sadhya</t>
  </si>
  <si>
    <t>Subha</t>
  </si>
  <si>
    <t>Sukla</t>
  </si>
  <si>
    <t>Brahma</t>
  </si>
  <si>
    <t>Vaidhriti</t>
  </si>
  <si>
    <t>Viskumba</t>
  </si>
  <si>
    <t>Priti</t>
  </si>
  <si>
    <t>Ayusmana</t>
  </si>
  <si>
    <t>Saubhagya</t>
  </si>
  <si>
    <t>Sobana</t>
  </si>
  <si>
    <t>Atiganda</t>
  </si>
  <si>
    <t>Sukarma</t>
  </si>
  <si>
    <t>Dhriti</t>
  </si>
  <si>
    <t>Sula</t>
  </si>
  <si>
    <t>Ganda</t>
  </si>
  <si>
    <t>Vriddhi</t>
  </si>
  <si>
    <t>Dhruva</t>
  </si>
  <si>
    <t>Vyagata</t>
  </si>
  <si>
    <t>Harsana</t>
  </si>
  <si>
    <t>Vajra</t>
  </si>
  <si>
    <t>Siddhi</t>
  </si>
  <si>
    <t>Vyatipata</t>
  </si>
  <si>
    <t>Variyana</t>
  </si>
  <si>
    <t>Parigha</t>
  </si>
  <si>
    <t>Siva</t>
  </si>
  <si>
    <t>Indra</t>
  </si>
  <si>
    <t>-1</t>
  </si>
  <si>
    <t>-8</t>
  </si>
  <si>
    <t>1</t>
  </si>
  <si>
    <t>2</t>
  </si>
  <si>
    <t>3</t>
  </si>
  <si>
    <t>0</t>
  </si>
  <si>
    <t>4</t>
  </si>
  <si>
    <t>-5</t>
  </si>
  <si>
    <t>-4</t>
  </si>
  <si>
    <t>-3</t>
  </si>
  <si>
    <t>-2</t>
  </si>
  <si>
    <t>SarangaDis</t>
  </si>
  <si>
    <t>Odanasasthi</t>
  </si>
  <si>
    <t>KatyayaniEnd|</t>
  </si>
  <si>
    <t>MahesaDis|UddharanaDis</t>
  </si>
  <si>
    <t>LocanaApp</t>
  </si>
  <si>
    <t>JivaDis|JagadisaDis</t>
  </si>
  <si>
    <t>GangaSagaraMela|</t>
  </si>
  <si>
    <t>JagadisaApp</t>
  </si>
  <si>
    <t>SriKrsnaPusyaAbhiseka|</t>
  </si>
  <si>
    <t>RamacandraKavirajaDis|GopalaBhattaApp</t>
  </si>
  <si>
    <t>JayadevaDis</t>
  </si>
  <si>
    <t>LocanaDis</t>
  </si>
  <si>
    <t>VasantaPancami|VisnupriyaApp|VisvanathaDis|PundarikaApp|RaghunandanaApp|RaghunathaDasaApp|SarasvatiPuja</t>
  </si>
  <si>
    <t>AdvaitaApp|FastTNoon</t>
  </si>
  <si>
    <t>MadhvacaryaDis</t>
  </si>
  <si>
    <t>SriKrsnaMadhuraUtsava|NarottamaApp|</t>
  </si>
  <si>
    <t>PurusottamaDis|BhaktisiddhantaApp|FastTNoon</t>
  </si>
  <si>
    <t>IsvaraDis</t>
  </si>
  <si>
    <t>SivaRatri</t>
  </si>
  <si>
    <t>JagannathaDasaDis|RasikanandaDis</t>
  </si>
  <si>
    <t>PurusottamaApp</t>
  </si>
  <si>
    <t>MadhavendraDis</t>
  </si>
  <si>
    <t>CaitanyaApp|</t>
  </si>
  <si>
    <t>JagannathaMisra|</t>
  </si>
  <si>
    <t>RamanujacaryaApp</t>
  </si>
  <si>
    <t>RamacandraApp|</t>
  </si>
  <si>
    <t>TulasiBeg|</t>
  </si>
  <si>
    <t>DamanakaropanaDvadasi</t>
  </si>
  <si>
    <t>SriBalaramaRasayatra|SriKrsnaVasantaRasa|VamsivadanaApp|SyamanandaApp|</t>
  </si>
  <si>
    <t>VrndavanaDis</t>
  </si>
  <si>
    <t>Candana</t>
  </si>
  <si>
    <t>TulasiEnd|</t>
  </si>
  <si>
    <t>JayanandaDis</t>
  </si>
  <si>
    <t>NrsimhadevaApp|FastTDusk</t>
  </si>
  <si>
    <t>KrsnaPhulaDola|SalilaVihara|ParamesvariDis|RadhaRamanaApp|MadhavendraApp|SrinivasaApp|</t>
  </si>
  <si>
    <t>RamanandaDis</t>
  </si>
  <si>
    <t>BaladevaDis|GangaPuja|GangamataApp|</t>
  </si>
  <si>
    <t>SnanaYatra|MukundaDis|SridharaDis|</t>
  </si>
  <si>
    <t>VakresvaraApp</t>
  </si>
  <si>
    <t>SrivasaDis</t>
  </si>
  <si>
    <t>GadadharaDis|BhaktivinodaDis|FastTNoon</t>
  </si>
  <si>
    <t>RathaYatra|SvarupaDis|SivanandaDis</t>
  </si>
  <si>
    <t>Guru(Vyasa)Purnima|SanatanaDis|</t>
  </si>
  <si>
    <t>GopalaBhattaDis</t>
  </si>
  <si>
    <t>LokanathaDis</t>
  </si>
  <si>
    <t>JhulanaBeg|</t>
  </si>
  <si>
    <t>JhulanaEnd|BalaramaApp|FastTNoon|</t>
  </si>
  <si>
    <t>PrabhupadaUSADep|</t>
  </si>
  <si>
    <t>KrsnaApp|</t>
  </si>
  <si>
    <t>Nandotsava|PrabhupadaApp|</t>
  </si>
  <si>
    <t>Lalitasasti</t>
  </si>
  <si>
    <t>AnantaCaturdasiVrata|HaridasaDis|</t>
  </si>
  <si>
    <t>SriVisvarupaMahotsava|PrabhupadaSannyasa|</t>
  </si>
  <si>
    <t>DurgaPuja</t>
  </si>
  <si>
    <t>RaghunathaDasaDis|RaghunathaBhattaDis|KrsnadasaDis</t>
  </si>
  <si>
    <t>SriKrsnaSaradiyaRasayatra|MurariDis|LaksmiPuja|</t>
  </si>
  <si>
    <t>RadhaKunda|Bahulastami</t>
  </si>
  <si>
    <t>VirabhadraApp</t>
  </si>
  <si>
    <t>VasudevaDis</t>
  </si>
  <si>
    <t>PrabhupadaDis|FastTNoon</t>
  </si>
  <si>
    <t>Gopastami|Gosthastami|GadadharaDasaDis|DhananjayaDis|SrinivasaDis</t>
  </si>
  <si>
    <t>JagaddhatriPuja</t>
  </si>
  <si>
    <t>BhugarbhaDis|KasisvaraDis|</t>
  </si>
  <si>
    <t>KatyayaniBeg|</t>
  </si>
  <si>
    <t>NarahariDis</t>
  </si>
  <si>
    <t>KaliyaDis</t>
  </si>
  <si>
    <t>BhaktisiddhantaDis|FastTNoon</t>
  </si>
  <si>
    <t>MahesaDis|UddharanaDis|</t>
  </si>
  <si>
    <t>RamanujacaryaDis</t>
  </si>
  <si>
    <t>FastTNoon</t>
  </si>
  <si>
    <t>VarahadevaApp|FeastToday</t>
  </si>
  <si>
    <t>NityanandaApp|FastTNoon</t>
  </si>
  <si>
    <t>PurusottamaDis|BhaktisiddhantaApp|FastTNoon|</t>
  </si>
  <si>
    <t>GadadharaApp|</t>
  </si>
  <si>
    <t>RukminiDvadasi</t>
  </si>
  <si>
    <t>PanihatiCidaDahiUtsava</t>
  </si>
  <si>
    <t>SrivasaDis|</t>
  </si>
  <si>
    <t>GadadharaDis|BhaktivinodaDis|FastTNoon|</t>
  </si>
  <si>
    <t>Hera|VakresvaraDis</t>
  </si>
  <si>
    <t>RathaReturn</t>
  </si>
  <si>
    <t>RupaDis|GauridasaDis</t>
  </si>
  <si>
    <t>FastTNoon|</t>
  </si>
  <si>
    <t>VamanadevaApp|FeastToday|JivaApp</t>
  </si>
  <si>
    <t>BhaktivinodaApp|FastTNoon</t>
  </si>
  <si>
    <t>RamacandraVijayotsava|MadhvacaryaApp|</t>
  </si>
  <si>
    <t>NarottamaDis</t>
  </si>
  <si>
    <t>VasudevaDis|</t>
  </si>
  <si>
    <t>date</t>
  </si>
  <si>
    <t>month</t>
  </si>
  <si>
    <t>wnum</t>
  </si>
  <si>
    <t>weekday</t>
  </si>
  <si>
    <t>masa</t>
  </si>
  <si>
    <t>paksa</t>
  </si>
  <si>
    <t>tnum</t>
  </si>
  <si>
    <t>tithi</t>
  </si>
  <si>
    <t>arunodayatithi</t>
  </si>
  <si>
    <t>vriddhi</t>
  </si>
  <si>
    <t>arunodaya</t>
  </si>
  <si>
    <t>sunrise</t>
  </si>
  <si>
    <t>noon</t>
  </si>
  <si>
    <t>sunset</t>
  </si>
  <si>
    <t>moontransit</t>
  </si>
  <si>
    <t>moonphase</t>
  </si>
  <si>
    <t>mooncode</t>
  </si>
  <si>
    <t>moontransl</t>
  </si>
  <si>
    <t>moonref</t>
  </si>
  <si>
    <t>naksatra</t>
  </si>
  <si>
    <t>yoga</t>
  </si>
  <si>
    <t>festivalref</t>
  </si>
  <si>
    <t>FM</t>
  </si>
  <si>
    <t>NM</t>
  </si>
  <si>
    <t>FQ</t>
  </si>
  <si>
    <t>festival1</t>
  </si>
  <si>
    <t>class1</t>
  </si>
  <si>
    <t>festival2</t>
  </si>
  <si>
    <t>class2</t>
  </si>
  <si>
    <t>festival3</t>
  </si>
  <si>
    <t>class3</t>
  </si>
  <si>
    <t>festival4</t>
  </si>
  <si>
    <t>class4</t>
  </si>
  <si>
    <t>festival5</t>
  </si>
  <si>
    <t>class5</t>
  </si>
  <si>
    <t>festival6</t>
  </si>
  <si>
    <t>class6</t>
  </si>
  <si>
    <t>festival7</t>
  </si>
  <si>
    <t>class7</t>
  </si>
  <si>
    <t>festival8</t>
  </si>
  <si>
    <t>class8</t>
  </si>
  <si>
    <t>festival9</t>
  </si>
  <si>
    <t>class9</t>
  </si>
  <si>
    <t>festival10</t>
  </si>
  <si>
    <t>class10</t>
  </si>
  <si>
    <t>festival11</t>
  </si>
  <si>
    <t>class11</t>
  </si>
  <si>
    <t>festival12</t>
  </si>
  <si>
    <t>class12</t>
  </si>
  <si>
    <t>caturmasya1</t>
  </si>
  <si>
    <t>caturmasya2</t>
  </si>
  <si>
    <t>doy</t>
  </si>
  <si>
    <t>nyc</t>
  </si>
  <si>
    <t> </t>
  </si>
  <si>
    <t>Day of Year</t>
  </si>
  <si>
    <t>New Year Countdown</t>
  </si>
  <si>
    <t>MoonTransitTime</t>
  </si>
  <si>
    <t>MoonRiseTime</t>
  </si>
  <si>
    <t>MoonSetTime</t>
  </si>
  <si>
    <t>2019.11.3</t>
  </si>
  <si>
    <t>2019.11.4</t>
  </si>
  <si>
    <t>2019.12.1</t>
  </si>
  <si>
    <t>2019.12.2</t>
  </si>
  <si>
    <t>2019.12.3</t>
  </si>
  <si>
    <t>2019.12.4</t>
  </si>
  <si>
    <t>2020.01.1</t>
  </si>
  <si>
    <t>2020.01.2</t>
  </si>
  <si>
    <t>2020.01.3</t>
  </si>
  <si>
    <t>2020.01.4</t>
  </si>
  <si>
    <t>2020.02.1</t>
  </si>
  <si>
    <t>2020.02.2</t>
  </si>
  <si>
    <t>2020.02.3</t>
  </si>
  <si>
    <t>2020.02.4</t>
  </si>
  <si>
    <t>2020.03.1</t>
  </si>
  <si>
    <t>2020.03.2</t>
  </si>
  <si>
    <t>2020.03.3</t>
  </si>
  <si>
    <t>2020.03.4</t>
  </si>
  <si>
    <t>2020.04.1</t>
  </si>
  <si>
    <t>2020.04.2</t>
  </si>
  <si>
    <t>2020.04.3</t>
  </si>
  <si>
    <t>2020.04.4</t>
  </si>
  <si>
    <t>2020.04.5</t>
  </si>
  <si>
    <t>2020.05.1</t>
  </si>
  <si>
    <t>2020.05.2</t>
  </si>
  <si>
    <t>2020.05.3</t>
  </si>
  <si>
    <t>2020.05.4</t>
  </si>
  <si>
    <t>2020.06.1</t>
  </si>
  <si>
    <t>2020.06.2</t>
  </si>
  <si>
    <t>2020.06.3</t>
  </si>
  <si>
    <t>2020.06.4</t>
  </si>
  <si>
    <t>2020.07.1</t>
  </si>
  <si>
    <t>2020.07.2</t>
  </si>
  <si>
    <t>2020.07.3</t>
  </si>
  <si>
    <t>2020.07.4</t>
  </si>
  <si>
    <t>2020.08.1</t>
  </si>
  <si>
    <t>2020.08.2</t>
  </si>
  <si>
    <t>2020.08.3</t>
  </si>
  <si>
    <t>2020.08.4</t>
  </si>
  <si>
    <t>2020.09.1</t>
  </si>
  <si>
    <t>2020.09.2</t>
  </si>
  <si>
    <t>2020.09.3</t>
  </si>
  <si>
    <t>2020.09.4</t>
  </si>
  <si>
    <t>2020.10.1</t>
  </si>
  <si>
    <t>2020.10.2</t>
  </si>
  <si>
    <t>2020.10.3</t>
  </si>
  <si>
    <t>2020.10.4</t>
  </si>
  <si>
    <t>2020.10.5</t>
  </si>
  <si>
    <t>2020.11.1</t>
  </si>
  <si>
    <t>2020.11.2</t>
  </si>
  <si>
    <t>2020.11.3</t>
  </si>
  <si>
    <t>2020.11.4</t>
  </si>
  <si>
    <t>2020.12.1</t>
  </si>
  <si>
    <t>2020.12.2</t>
  </si>
  <si>
    <t>2020.12.3</t>
  </si>
  <si>
    <t>2020.12.4</t>
  </si>
  <si>
    <t>2021.01.1</t>
  </si>
  <si>
    <t>2021.01.2</t>
  </si>
  <si>
    <t>2021.01.3</t>
  </si>
  <si>
    <t>2021.01.4</t>
  </si>
  <si>
    <t>Ref</t>
  </si>
  <si>
    <t>Feast Mark</t>
  </si>
  <si>
    <t>=$I$1:$J$2;$N$1:$O$2</t>
  </si>
  <si>
    <t>Fast Type</t>
  </si>
  <si>
    <t>TotalFast|</t>
  </si>
  <si>
    <t>RadharaniApp|FastTNoon|</t>
  </si>
  <si>
    <t>General Use</t>
  </si>
  <si>
    <t>PersPrintArea</t>
  </si>
  <si>
    <t>cte_p1</t>
  </si>
  <si>
    <t>cte_p2</t>
  </si>
  <si>
    <t>cte_p3</t>
  </si>
  <si>
    <t>ctd_p1</t>
  </si>
  <si>
    <t>ctd_p2</t>
  </si>
  <si>
    <t>ctd_p3</t>
  </si>
  <si>
    <t>Aguarde:  #|#  P: #p#  T: #t#  R: #r#  N:</t>
  </si>
  <si>
    <t>Wait:  #|#  P: #p#  T: #t#  R: #r#  N:</t>
  </si>
  <si>
    <t>sys_cstrGPlanTotalTime</t>
  </si>
  <si>
    <t>Sanitize</t>
  </si>
  <si>
    <t>AlphaNumbers and SanitizeText</t>
  </si>
  <si>
    <t>fer_AllSaintsDay</t>
  </si>
  <si>
    <t>fer_AllSoulsDay</t>
  </si>
  <si>
    <t>fer_Pentecost</t>
  </si>
  <si>
    <t>A geração automática da Agenda pode levar alguns minutos.</t>
  </si>
  <si>
    <t>Generación automática de la Agenda puede tardar varios minutos.</t>
  </si>
  <si>
    <t>Automatic generation of Planner may take several minutes.</t>
  </si>
  <si>
    <t>Hora de inicio</t>
  </si>
  <si>
    <t>VijayaMahadvadasi|VamanadevaApp|FastTNoon|JivaApp|FastTNoon|</t>
  </si>
  <si>
    <t>SyamanandaDis|</t>
  </si>
  <si>
    <t>Monday2</t>
  </si>
  <si>
    <t>Tuesday2</t>
  </si>
  <si>
    <t>Wednesday2</t>
  </si>
  <si>
    <t>Tursday2</t>
  </si>
  <si>
    <t>Friday2</t>
  </si>
  <si>
    <t>꙰</t>
  </si>
  <si>
    <t>Copyright (c) 2005-2020 PAULO SERGIO DE ARAUJO.</t>
  </si>
  <si>
    <r>
      <t>:</t>
    </r>
    <r>
      <rPr>
        <sz val="8"/>
        <rFont val="Calibri"/>
        <family val="2"/>
      </rPr>
      <t>·</t>
    </r>
    <r>
      <rPr>
        <sz val="8"/>
        <rFont val="Calibri"/>
        <family val="2"/>
        <scheme val="minor"/>
      </rPr>
      <t>:</t>
    </r>
  </si>
  <si>
    <r>
      <t>`</t>
    </r>
    <r>
      <rPr>
        <sz val="8"/>
        <rFont val="Calibri"/>
        <family val="2"/>
      </rPr>
      <t>ό</t>
    </r>
    <r>
      <rPr>
        <sz val="8"/>
        <rFont val="Calibri"/>
        <family val="2"/>
        <scheme val="minor"/>
      </rPr>
      <t>´</t>
    </r>
  </si>
  <si>
    <t xml:space="preserve"> ĉ</t>
  </si>
  <si>
    <t xml:space="preserve"> č</t>
  </si>
  <si>
    <t xml:space="preserve"> c</t>
  </si>
  <si>
    <t>´ō`</t>
  </si>
  <si>
    <t>24 Nov 2019</t>
  </si>
  <si>
    <t>2021.02.1</t>
  </si>
  <si>
    <t>2021.02.2</t>
  </si>
  <si>
    <t>2021.02.3</t>
  </si>
  <si>
    <t>2021.02.4</t>
  </si>
  <si>
    <t>2021.03.1</t>
  </si>
  <si>
    <t>2021.03.2</t>
  </si>
  <si>
    <t>2021.03.3</t>
  </si>
  <si>
    <t>2021.03.4</t>
  </si>
  <si>
    <t>2021.04.1</t>
  </si>
  <si>
    <t>2021.04.2</t>
  </si>
  <si>
    <t>2021.04.3</t>
  </si>
  <si>
    <t>2021.04.4</t>
  </si>
  <si>
    <t>2021.05.1</t>
  </si>
  <si>
    <t>2021.05.2</t>
  </si>
  <si>
    <t>2021.05.3</t>
  </si>
  <si>
    <t>2021.05.4</t>
  </si>
  <si>
    <t>2021.06.1</t>
  </si>
  <si>
    <t>2021.06.2</t>
  </si>
  <si>
    <t>2021.06.3</t>
  </si>
  <si>
    <t>2021.06.4</t>
  </si>
  <si>
    <t>2021.07.1</t>
  </si>
  <si>
    <t>2021.07.2</t>
  </si>
  <si>
    <t>2021.07.3</t>
  </si>
  <si>
    <t>2021.07.4</t>
  </si>
  <si>
    <t>2021.07.5</t>
  </si>
  <si>
    <t>2021.08.1</t>
  </si>
  <si>
    <t>2021.08.2</t>
  </si>
  <si>
    <t>2021.08.3</t>
  </si>
  <si>
    <t>2021.08.4</t>
  </si>
  <si>
    <t>2021.09.1</t>
  </si>
  <si>
    <t>2021.09.2</t>
  </si>
  <si>
    <t>2021.09.3</t>
  </si>
  <si>
    <t>2021.09.4</t>
  </si>
  <si>
    <t>2021.10.1</t>
  </si>
  <si>
    <t>2021.10.2</t>
  </si>
  <si>
    <t>2021.10.3</t>
  </si>
  <si>
    <t>2021.10.4</t>
  </si>
  <si>
    <t>2021.11.1</t>
  </si>
  <si>
    <t>2021.11.2</t>
  </si>
  <si>
    <t>2021.11.3</t>
  </si>
  <si>
    <t>2021.11.4</t>
  </si>
  <si>
    <t>2021.12.1</t>
  </si>
  <si>
    <t>2021.12.2</t>
  </si>
  <si>
    <t>2021.12.3</t>
  </si>
  <si>
    <t>2021.12.4</t>
  </si>
  <si>
    <t>2022.01.1</t>
  </si>
  <si>
    <t>2022.01.2</t>
  </si>
  <si>
    <t>2022.01.3</t>
  </si>
  <si>
    <t>2022.01.4</t>
  </si>
  <si>
    <t>2022.02.1</t>
  </si>
  <si>
    <t>SarangaDis|</t>
  </si>
  <si>
    <t>GovindaDis</t>
  </si>
  <si>
    <t>AbhiramaDis|</t>
  </si>
  <si>
    <t>TulasiEnd|Candana</t>
  </si>
  <si>
    <t>SitaApp|MadhuDis|JahnavaApp</t>
  </si>
  <si>
    <t>VakresvaraApp|</t>
  </si>
  <si>
    <t>VamanadevaApp|FeastToday|JivaApp|</t>
  </si>
  <si>
    <t>RaghunathaDasaDis|RaghunathaBhattaDis|KrsnadasaDis|</t>
  </si>
  <si>
    <t>RadhaKunda|Bahulastami|</t>
  </si>
  <si>
    <t>Dipadana|Dipavali|(KaliPuja)</t>
  </si>
  <si>
    <t>GoPuja|GoKrda|GovardhanaPuja||BaliDaityarajaPuja|RasikanandaApp</t>
  </si>
  <si>
    <t>PrabhupadaDis|FastTNoon|</t>
  </si>
  <si>
    <t>TrisprsaMahadvadasi|DevanandaDis</t>
  </si>
  <si>
    <t>GangaSagaraMela|JagadisaApp|</t>
  </si>
  <si>
    <t>Print Month</t>
  </si>
  <si>
    <t>Current Month</t>
  </si>
  <si>
    <t>Previous Month</t>
  </si>
  <si>
    <t>Month Print</t>
  </si>
  <si>
    <t>Month Current</t>
  </si>
  <si>
    <t>Month Previous</t>
  </si>
  <si>
    <t>LifePurposePrintArea</t>
  </si>
  <si>
    <t>DreamsPrintArea</t>
  </si>
  <si>
    <t>Squared</t>
  </si>
  <si>
    <t>MP</t>
  </si>
  <si>
    <t>Monthly Planning</t>
  </si>
  <si>
    <t>Planificación Mensual</t>
  </si>
  <si>
    <t>Planejamento Mensal</t>
  </si>
  <si>
    <t>Purpose and Dreams</t>
  </si>
  <si>
    <t>Propósito y Sueños</t>
  </si>
  <si>
    <t>Propósito e Sonhos</t>
  </si>
  <si>
    <t>Projects</t>
  </si>
  <si>
    <t>Proyectos</t>
  </si>
  <si>
    <t>Projetos</t>
  </si>
  <si>
    <t>Quadriculado</t>
  </si>
  <si>
    <t>opt_CheckBoxPersons</t>
  </si>
  <si>
    <t>opt_CheckBoxMonthly</t>
  </si>
  <si>
    <t>opt_CheckBoxPurpose</t>
  </si>
  <si>
    <t>opt_CheckBoxProjects</t>
  </si>
  <si>
    <t>opt_CheckBoxReunions</t>
  </si>
  <si>
    <t>opt_CheckBoxSquared</t>
  </si>
  <si>
    <t>Cuadrado</t>
  </si>
  <si>
    <t>Pronto! Quantidade de páginas: #p#. Tempo total: #t#.</t>
  </si>
  <si>
    <t>Ready! Number of pages: #p#. Total time: #t#.</t>
  </si>
  <si>
    <t>Listo! Numero de paginas: #p#. Tiempo total: #t#.</t>
  </si>
  <si>
    <t>Total</t>
  </si>
  <si>
    <t>Basic</t>
  </si>
  <si>
    <t>Purpose</t>
  </si>
  <si>
    <t>Persons</t>
  </si>
  <si>
    <t>PaksavardhiniMahadvadasi|VrndavanaApp</t>
  </si>
  <si>
    <t>Espere: #p# páginas creadas en #t#. Publicación en formato PDF ...</t>
  </si>
  <si>
    <t>Aguarde: #p# páginas criadas em #t#. Publicando no formato PDF...</t>
  </si>
  <si>
    <t>Espere:  #|#  P: #p#  T: #t#  R: #r#  N:</t>
  </si>
  <si>
    <t>Wait: #p# pages created in #t#. Publishing in PDF format...</t>
  </si>
  <si>
    <t>DevanandaDis|</t>
  </si>
  <si>
    <t>AbhiramaDis</t>
  </si>
  <si>
    <t>RaghunandanaDis|VamsidasaDis|</t>
  </si>
  <si>
    <t>Lalitasasti|</t>
  </si>
  <si>
    <t>RadharaniApp|FastTNoon</t>
  </si>
  <si>
    <t>Unmilani Mahadvadasi</t>
  </si>
  <si>
    <t>UnmilaniMahadvadasi|</t>
  </si>
  <si>
    <t>VrndavanaApp</t>
  </si>
  <si>
    <t>New York City</t>
  </si>
  <si>
    <t>-5:00 America/New_York</t>
  </si>
  <si>
    <t>Thursday</t>
  </si>
  <si>
    <t>Sri Saranga Thakura - Disappearance</t>
  </si>
  <si>
    <t>Fasting for Moksada Ekadasi</t>
  </si>
  <si>
    <t>Break fast 07:07 - 10:14</t>
  </si>
  <si>
    <t>Katyayani vrata ends</t>
  </si>
  <si>
    <t>Start of Narayaṇa (Pausha) masa</t>
  </si>
  <si>
    <t>Srila Bhaktisiddhanta Sarasvati Thakura - Disappearance</t>
  </si>
  <si>
    <t>Dhanus Sankranti (Sun enters Sagittarius on 16 Dec, 04:44)</t>
  </si>
  <si>
    <t>Sri Devananda Pandita - Disappearance</t>
  </si>
  <si>
    <t>Fasting for Saphala Ekadasi</t>
  </si>
  <si>
    <t>Break fast 07:17 - 10:22</t>
  </si>
  <si>
    <t>Sri Locana Dasa Thakura - Appearance</t>
  </si>
  <si>
    <t>Srila Jiva Gosvami - Disappearance</t>
  </si>
  <si>
    <t>[extensive tithi (vriddhi) - second day of tithi]</t>
  </si>
  <si>
    <t>Fasting for Putrada Ekadasi</t>
  </si>
  <si>
    <t>Break fast 07:20 - 10:28</t>
  </si>
  <si>
    <t>Start of Madhava (Magha) masa</t>
  </si>
  <si>
    <t>[suppressed tithi (ksaya) - tritiya tithi from 09:44 yesterday to 07:04 today]</t>
  </si>
  <si>
    <t>Sri Ramacandra Kaviraja - Disappearance</t>
  </si>
  <si>
    <t>Sri Locana Dasa Thakura - Disappearance</t>
  </si>
  <si>
    <t>Fasting for Sat-tila Ekadasi</t>
  </si>
  <si>
    <t>Break fast 07:15 - 10:29</t>
  </si>
  <si>
    <t>Sri Advaita Acarya - Appearance</t>
  </si>
  <si>
    <t>Sri Madhvacarya - Disappearance</t>
  </si>
  <si>
    <t>Sri Ramanujacarya - Disappearance</t>
  </si>
  <si>
    <t>Fasting for Bhaimi Ekadasi</t>
  </si>
  <si>
    <t>Break fast 07:01 - 09:55</t>
  </si>
  <si>
    <t>Nityananda Trayodasi: Appearance of Sri Nityananda Prabhu</t>
  </si>
  <si>
    <t>Start of Govinda (Phalguna) masa</t>
  </si>
  <si>
    <t>Sri Purusottama Dasa Thakura - Disappearance</t>
  </si>
  <si>
    <t>[suppressed tithi (ksaya) - saptami tithi from 07:53 yesterday to 06:01 today]</t>
  </si>
  <si>
    <t>Fasting for Vijaya Ekadasi</t>
  </si>
  <si>
    <t>Sri Isvara Puri - Disappearance</t>
  </si>
  <si>
    <t>Srila Jagannatha Dasa Babaji - Disappearance</t>
  </si>
  <si>
    <t>Sri Purusottama Dasa Thakura - Appearance</t>
  </si>
  <si>
    <t>Fasting for Amalaki vrata Ekadasi</t>
  </si>
  <si>
    <t>Break fast 06:44 - 10:12</t>
  </si>
  <si>
    <t>Gaura Purnima: Appearance of Sri Caitanya Mahaprabhu</t>
  </si>
  <si>
    <t>Festival of Jagannatha Misra</t>
  </si>
  <si>
    <t>[suppressed tithi (ksaya) - dvitiya tithi from 09:55 yesterday to 06:05 today]</t>
  </si>
  <si>
    <t>Mina Sankranti (Sun enters Pisces on 14 Mar, 02:17)</t>
  </si>
  <si>
    <t>Sri Srivasa Pandita - Appearance</t>
  </si>
  <si>
    <t>Fasting for Papamocani Ekadasi</t>
  </si>
  <si>
    <t>Break fast 06:58 - 11:01</t>
  </si>
  <si>
    <t>Sri Ramanujacarya - Appearance</t>
  </si>
  <si>
    <t>Rama Navami: Appearance of Lord Sri Ramacandra</t>
  </si>
  <si>
    <t>Fasting for Kamada Ekadasi</t>
  </si>
  <si>
    <t>Break fast 06:32 - 09:56</t>
  </si>
  <si>
    <t>[suppressed tithi (ksaya) - trayodasi tithi from 09:56 yesterday to 06:23 today]</t>
  </si>
  <si>
    <t>Start of Madhusudana (Vaishakha) masa</t>
  </si>
  <si>
    <t>Tulasi Jala Dan begins</t>
  </si>
  <si>
    <t>Sri Abhirama Thakura - Disappearance</t>
  </si>
  <si>
    <t>Srila Vrndavana Dasa Thakura - Disappearance</t>
  </si>
  <si>
    <t>Fasting for Varuthini Ekadasi</t>
  </si>
  <si>
    <t>Break fast 06:10 - 10:40</t>
  </si>
  <si>
    <t>Sri Gadadhara Pandita - Appearance</t>
  </si>
  <si>
    <t>Aksaya Trtiya. Candana Yatra starts. (Continues for 21 days)</t>
  </si>
  <si>
    <t>Srimati Sita Devi (consort of Lord Sri Rama) - Appearance</t>
  </si>
  <si>
    <t>Fasting for Mohini Ekadasi</t>
  </si>
  <si>
    <t>Break fast 05:50 - 10:32</t>
  </si>
  <si>
    <t>Sri Jayananda Prabhu - Disappearance</t>
  </si>
  <si>
    <t>Nrsimha Caturdasi: Appearance of Lord Nrsimhadeva</t>
  </si>
  <si>
    <t>Start of Trivikrama (Jyesta) masa</t>
  </si>
  <si>
    <t>Sri Ramananda Raya - Disappearance</t>
  </si>
  <si>
    <t>Tulasi Jala Dan ends</t>
  </si>
  <si>
    <t>Vrsabha Sankranti (Sun enters Taurus on 14 May, 07:38)</t>
  </si>
  <si>
    <t>Break fast 05:34 - 08:03</t>
  </si>
  <si>
    <t>Sri Baladeva Vidyabhusana - Disappearance</t>
  </si>
  <si>
    <t>Fasting for Pandava Nirjala Ekadasi</t>
  </si>
  <si>
    <t>Break fast 05:26 - 10:25</t>
  </si>
  <si>
    <t>Sri Syamananda Prabhu - Disappearance</t>
  </si>
  <si>
    <t>Sri Vakresvara Pandita - Appearance</t>
  </si>
  <si>
    <t>Sri Srivasa Pandita - Disappearance</t>
  </si>
  <si>
    <t>Fasting for Yogini Ekadasi</t>
  </si>
  <si>
    <t>Break fast 05:24 - 10:26</t>
  </si>
  <si>
    <t>Sri Gadadhara Pandita - Disappearance</t>
  </si>
  <si>
    <t>Hera Pancami (4 days after Ratha Yatra)</t>
  </si>
  <si>
    <t>Return Ratha (8 days after Ratha Yatra)</t>
  </si>
  <si>
    <t>Fasting for Sayana Ekadasi</t>
  </si>
  <si>
    <t>Break fast 05:29 - 05:49</t>
  </si>
  <si>
    <t>[suppressed tithi (ksaya) - trayodasi tithi from 05:49 yesterday to 03:48 today]</t>
  </si>
  <si>
    <t>Start of Sridhara (Sravana) masa</t>
  </si>
  <si>
    <t>Srila Gopala Bhatta Gosvami - Disappearance</t>
  </si>
  <si>
    <t>Srila Lokanatha Gosvami - Disappearance</t>
  </si>
  <si>
    <t>The incorporation of ISKCON in New York</t>
  </si>
  <si>
    <t>Fasting for Kamika Ekadasi</t>
  </si>
  <si>
    <t>Break fast 05:39 - 10:34</t>
  </si>
  <si>
    <t>Sri Raghunandana Thakura - Disappearance</t>
  </si>
  <si>
    <t>End of month 1 of Caturmasya [EKADASI SYSTEM]</t>
  </si>
  <si>
    <t>Fasting for Pavitraropana Ekadasi</t>
  </si>
  <si>
    <t>Break fast 05:52 - 10:38</t>
  </si>
  <si>
    <t>End of month 1 of Caturmasya [PURNIMA SYSTEM]</t>
  </si>
  <si>
    <t>Jhulana Yatra ends</t>
  </si>
  <si>
    <t>Srila Prabhupada's departure for the USA</t>
  </si>
  <si>
    <t>Sri Krsna Janmastami: Appearance of Lord Sri Krsna</t>
  </si>
  <si>
    <t>Fasting for Annada Ekadasi</t>
  </si>
  <si>
    <t>Break fast 06:07 - 10:42</t>
  </si>
  <si>
    <t>Srimati Sita Thakurani (Sri Advaita's consort) - Appearance</t>
  </si>
  <si>
    <t>Radhastami: Appearance of Srimati Radharani</t>
  </si>
  <si>
    <t>End of the month 2 of Caturmasya [EKADASI SYSTEM]</t>
  </si>
  <si>
    <t>Fasting for Parsva Ekadasi</t>
  </si>
  <si>
    <t>Break fast 06:20 - 10:44</t>
  </si>
  <si>
    <t>Srila Bhaktivinoda Thakura - Appearance</t>
  </si>
  <si>
    <t>Start of Padmanabha (Ashvina) masa</t>
  </si>
  <si>
    <t>Srila Prabhupada's arrival in the USA</t>
  </si>
  <si>
    <t>Fasting for Indira Ekadasi</t>
  </si>
  <si>
    <t>Break fast 06:36 - 10:46</t>
  </si>
  <si>
    <t>Kanya Sankranti (Sun enters Virgo on 16 Sep, 09:29)</t>
  </si>
  <si>
    <t>End of Padmanabha (Ashvina) masa</t>
  </si>
  <si>
    <t>Start of Purushottama-adhika (Dvitiya Jyestha) masa</t>
  </si>
  <si>
    <t>Fasting for Padmini Ekadasi</t>
  </si>
  <si>
    <t>Break fast 06:50 - 10:47</t>
  </si>
  <si>
    <t>Fasting for Parama Ekadasi</t>
  </si>
  <si>
    <t>Break fast 07:06 - 10:49</t>
  </si>
  <si>
    <t>End of Purushottama-adhika (Dvitiya Jyestha) masa</t>
  </si>
  <si>
    <t>Padmanabha (Ashvina) masa (Second half)</t>
  </si>
  <si>
    <t>[suppressed tithi (ksaya) - tritiya tithi from 07:59 yesterday to 04:40 today]</t>
  </si>
  <si>
    <t>Fasting for Pasankusa Ekadasi</t>
  </si>
  <si>
    <t>Break fast 07:50 - 10:53</t>
  </si>
  <si>
    <t>End of the month 3 of Caturmasya [PURNIMA SYSTEM]</t>
  </si>
  <si>
    <t>Start of Damodara (Kartika) masa</t>
  </si>
  <si>
    <t>Srila Narottama Dasa Thakura - Disappearance</t>
  </si>
  <si>
    <t>Appearance of Radha Kunda, snana dana</t>
  </si>
  <si>
    <t>Sri Virabhadra - Appearance</t>
  </si>
  <si>
    <t>Fasting for Rama Ekadasi</t>
  </si>
  <si>
    <t>Break fast 06:39 - 10:00</t>
  </si>
  <si>
    <t>Sri Vasudeva Ghosh - Disappearance</t>
  </si>
  <si>
    <t>Srila Prabhupada - Disappearance</t>
  </si>
  <si>
    <t>End of the month 4 of Caturmasya [EKADASI SYSTEM]</t>
  </si>
  <si>
    <t>Fasting for Utthana Ekadasi</t>
  </si>
  <si>
    <t>Break fast 06:55 - 10:07</t>
  </si>
  <si>
    <t>Sri Bhugarbha Gosvami - Disappearance</t>
  </si>
  <si>
    <t>Last day of Bhisma Pancaka</t>
  </si>
  <si>
    <t>Katyayani vrata begins</t>
  </si>
  <si>
    <t>[suppressed tithi (ksaya) - astami tithi from 08:19 yesterday to 06:50 today]</t>
  </si>
  <si>
    <t>Fasting for Utpanna Ekadasi</t>
  </si>
  <si>
    <t>Break fast 07:10 - 10:16</t>
  </si>
  <si>
    <t>Dhanus Sankranti (Sun enters Sagittarius on 15 Dec, 10:53)</t>
  </si>
  <si>
    <t>[suppressed tithi (ksaya) - dvitiya tithi from 08:38 yesterday to 06:26 today]</t>
  </si>
  <si>
    <t>Break fast 07:18 - 10:24</t>
  </si>
  <si>
    <t>Break fast 07:19 - 10:29</t>
  </si>
  <si>
    <t>Break fast 07:11 - 10:29</t>
  </si>
  <si>
    <t>Break fast 06:58 - 10:26</t>
  </si>
  <si>
    <t>Kumbha Sankranti (Sun enters Aquarius on 12 Feb, 10:34)</t>
  </si>
  <si>
    <t>Break fast 06:37 - 07:37</t>
  </si>
  <si>
    <t>[suppressed tithi (ksaya) - navami tithi from 07:42 yesterday to 06:19 today]</t>
  </si>
  <si>
    <t>Break fast 06:15 - 10:09</t>
  </si>
  <si>
    <t>Mina Sankranti (Sun enters Pisces on 14 Mar, 08:26)</t>
  </si>
  <si>
    <t>Break fast 06:50 - 10:58</t>
  </si>
  <si>
    <t>[suppressed tithi (ksaya) - tritiya tithi from 07:59 yesterday to 04:38 today]</t>
  </si>
  <si>
    <t>Break fast 06:27 - 10:48</t>
  </si>
  <si>
    <t>Break fast 06:03 - 09:49</t>
  </si>
  <si>
    <t>Break fast 05:45 - 07:53</t>
  </si>
  <si>
    <t>Vrsabha Sankranti (Sun enters Taurus on 14 May, 13:47)</t>
  </si>
  <si>
    <t>Break fast 05:32 - 10:26</t>
  </si>
  <si>
    <t>Break fast 05:25 - 10:25</t>
  </si>
  <si>
    <t>Mithuna Sankranti (Sun enters Gemini on 14 Jun, 20:24)</t>
  </si>
  <si>
    <t>Break fast 05:25 - 10:27</t>
  </si>
  <si>
    <t>Break fast 05:31 - 10:31</t>
  </si>
  <si>
    <t>Karka Sankranti (Sun enters Cancer on 16 Jul, 07:15)</t>
  </si>
  <si>
    <t>Break fast 05:42 - 06:58</t>
  </si>
  <si>
    <t>[suppressed tithi (ksaya) - trayodasi tithi from 06:58 yesterday to 04:05 today]</t>
  </si>
  <si>
    <t>Vyanjuli Mahadvadasi</t>
  </si>
  <si>
    <t>Break fast 05:56 - 07:42</t>
  </si>
  <si>
    <t>Break fast 06:10 - 10:42</t>
  </si>
  <si>
    <t>Break fast 06:25 - 10:45</t>
  </si>
  <si>
    <t>Break fast 06:38 - 10:46</t>
  </si>
  <si>
    <t>Break fast 06:54 - 10:48</t>
  </si>
  <si>
    <t>[suppressed tithi (ksaya) - pratipat tithi from 07:07 yesterday to 04:18 today]</t>
  </si>
  <si>
    <t>Break fast 07:09 - 08:11</t>
  </si>
  <si>
    <t>Break fast 09:26 - 10:55</t>
  </si>
  <si>
    <t>Break fast 06:43 - 10:01</t>
  </si>
  <si>
    <t>Vrscika Sankranti (Sun enters Scorpio on 16 Nov, 02:23)</t>
  </si>
  <si>
    <t>Break fast 07:00 - 10:10</t>
  </si>
  <si>
    <t>[suppressed tithi (ksaya) - caturdasi tithi from 09:59 yesterday to 06:28 today]</t>
  </si>
  <si>
    <t>Break fast 07:13 - 10:18</t>
  </si>
  <si>
    <t>Dhanus Sankranti (Sun enters Sagittarius on 15 Dec, 17:03)</t>
  </si>
  <si>
    <t>Break fast 07:19 - 10:26</t>
  </si>
  <si>
    <t>Break fast 07:18 - 10:29</t>
  </si>
  <si>
    <t>Sri Jayadeva Gosvami - Disappearance</t>
  </si>
  <si>
    <t>Break fast 07:08 - 10:10</t>
  </si>
  <si>
    <t>[suppressed tithi (ksaya) - trayodasi tithi from 10:10 yesterday to 07:01 today]</t>
  </si>
  <si>
    <t>End of Madhava (Magha) masa</t>
  </si>
  <si>
    <t>Start of Keshava (Margashirsha) masa</t>
  </si>
  <si>
    <t>(from 07:06 till tomorrow after sunrise)</t>
  </si>
  <si>
    <t>End of Keshava (Margashirsha) masa</t>
  </si>
  <si>
    <t>(Fast till noon)</t>
  </si>
  <si>
    <t>[suppressed tithi (ksaya) - dasami tithi from 08:49 yesterday to 06:47 today]</t>
  </si>
  <si>
    <t>(from 07:16 till tomorrow after sunrise)</t>
  </si>
  <si>
    <t>Sri Mahesa Pandita - Disappearance</t>
  </si>
  <si>
    <t>Sri Jagadisa Pandita - Disappearance</t>
  </si>
  <si>
    <t>(from 07:20 till tomorrow after sunrise)</t>
  </si>
  <si>
    <t>Sri Jagadisa Pandita - Appearance</t>
  </si>
  <si>
    <t>End of Narayaṇa (Pausha) masa</t>
  </si>
  <si>
    <t>Shishira Ritu - indian subcontinent Winter season [Madhava (Magha) and Govinda (Phalguna) months]</t>
  </si>
  <si>
    <t>Srila Gopala Bhatta Gosvami - Appearance</t>
  </si>
  <si>
    <t>(from 07:15 till tomorrow after sunrise)</t>
  </si>
  <si>
    <t>Srimati Visnupriya Devi - Appearance</t>
  </si>
  <si>
    <t>(from 07:02 till tomorrow after sunrise)</t>
  </si>
  <si>
    <t>Varaha Dvadasi: Appearance of Lord Varahadeva</t>
  </si>
  <si>
    <t>Srila Narottama Dasa Thakura - Appearance</t>
  </si>
  <si>
    <t>Srila Bhaktisiddhanta Sarasvati Thakura - Appearance</t>
  </si>
  <si>
    <t>(from 06:46 till tomorrow after sunrise)</t>
  </si>
  <si>
    <t>Sri Rasikananda - Disappearance</t>
  </si>
  <si>
    <t>(from 06:22 till tomorrow after sunrise)</t>
  </si>
  <si>
    <t>Sri Madhavendra Puri - Disappearance</t>
  </si>
  <si>
    <t>(Fast till moonrise)</t>
  </si>
  <si>
    <t>Start of Vishnu (Chaitra) masa</t>
  </si>
  <si>
    <t>(from 07:00 till tomorrow after sunrise)</t>
  </si>
  <si>
    <t>Sri Govinda Ghosh - Disappearance</t>
  </si>
  <si>
    <t>(Fast till sunset)</t>
  </si>
  <si>
    <t>(from 06:33 till tomorrow after sunrise)</t>
  </si>
  <si>
    <t>Mesa Sankranti (Sun enters Aries on 13 Apr, 10:46)</t>
  </si>
  <si>
    <t>(from 06:11 till tomorrow after sunrise)</t>
  </si>
  <si>
    <t>Sri Madhu Pandita - Disappearance</t>
  </si>
  <si>
    <t>(from 05:51 till tomorrow after sunrise)</t>
  </si>
  <si>
    <t>(Fast till dusk)</t>
  </si>
  <si>
    <t>Sri Paramesvari Dasa Thakura - Disappearance</t>
  </si>
  <si>
    <t>Grishma (Grishmarutu) Ritu - indian subcontinent Summer season [Trivikrama (Jyesta) and Vamana (Ashadha) months]</t>
  </si>
  <si>
    <t>Fasting for Apara Ekadasi</t>
  </si>
  <si>
    <t>Srila Vrndavana Dasa Thakura - Appearance</t>
  </si>
  <si>
    <t>(from 05:26 till tomorrow after sunrise)</t>
  </si>
  <si>
    <t>Sri Mukunda Datta - Disappearance</t>
  </si>
  <si>
    <t>Start of Vamana (Ashadha) masa</t>
  </si>
  <si>
    <t>Mithuna Sankranti (Sun enters Gemini on 14 Jun, 14:14)</t>
  </si>
  <si>
    <t>(from 05:24 till tomorrow after sunrise)</t>
  </si>
  <si>
    <t>Srila Bhaktivinoda Thakura - Disappearance</t>
  </si>
  <si>
    <t>Sri Svarupa Damodara Gosvami - Disappearance</t>
  </si>
  <si>
    <t>Sri Vakresvara Pandita - Disappearance</t>
  </si>
  <si>
    <t>(from 05:28 till tomorrow after sunrise)</t>
  </si>
  <si>
    <t>Srila Sanatana Gosvami - Disappearance</t>
  </si>
  <si>
    <t>Start of Month 1 of Caturmasya (green leafy vegetable fast for one month) [PRATIPAT SYSTEM]</t>
  </si>
  <si>
    <t>(from 05:38 till tomorrow after sunrise)</t>
  </si>
  <si>
    <t>Sri Vamsidasa Babaji - Disappearance</t>
  </si>
  <si>
    <t>Srila Rupa Gosvami - Disappearance</t>
  </si>
  <si>
    <t>Lord Balarama - Appearance</t>
  </si>
  <si>
    <t>Start of Hrishikesha (Bhadrapada) masa</t>
  </si>
  <si>
    <t>(Fast till midnight)</t>
  </si>
  <si>
    <t>Srila Prabhupada - Appearance</t>
  </si>
  <si>
    <t>(from 06:06 till tomorrow after sunrise)</t>
  </si>
  <si>
    <t>Simha Sankranti (Sun enters Leo on 16 Aug, 09:31)</t>
  </si>
  <si>
    <t>[suppressed tithi (ksaya) - sasti tithi from 07:36 yesterday to 05:03 today]</t>
  </si>
  <si>
    <t>(from 06:19 till tomorrow after sunrise)</t>
  </si>
  <si>
    <t>Sri Vamana Dvadasi: Appear. of Lord Vamanadeva</t>
  </si>
  <si>
    <t>Srila Haridasa Thakura - Disappearance</t>
  </si>
  <si>
    <t>Acceptance of sannyasa by Srila Prabhupada</t>
  </si>
  <si>
    <t>Start of Month 3 of Caturmasya (milk fast for one month) [PRATIPAT SYSTEM]</t>
  </si>
  <si>
    <t>(from 06:35 till tomorrow after sunrise)</t>
  </si>
  <si>
    <t>(Caturmasya is not observed during Purusottama Adhika Masa)</t>
  </si>
  <si>
    <t>(from 06:49 till tomorrow after sunrise)</t>
  </si>
  <si>
    <t>(from 07:05 till tomorrow after sunrise)</t>
  </si>
  <si>
    <t>Month 3 of Caturmasya continues</t>
  </si>
  <si>
    <t>Sri Madhvacarya - Appearance</t>
  </si>
  <si>
    <t>Srila Raghunatha Dasa Gosvami - Disappearance</t>
  </si>
  <si>
    <t>Sri Murari Gupta - Disappearance</t>
  </si>
  <si>
    <t>Start of Month 4 of Caturmasya (urad dal fast for one month) [PRATIPAT SYSTEM]</t>
  </si>
  <si>
    <t>(from 06:38 till tomorrow after sunrise)</t>
  </si>
  <si>
    <t>[suppressed tithi (ksaya) - caturdasi tithi from 07:31 yesterday to 03:50 today]</t>
  </si>
  <si>
    <t>Vrscika Sankranti (Sun enters Scorpio on 15 Nov, 20:14)</t>
  </si>
  <si>
    <t>Sri Gadadhara Dasa Gosvami - Disappearance</t>
  </si>
  <si>
    <t>(from 06:54 till tomorrow after sunrise)</t>
  </si>
  <si>
    <t>Sri Kasisvara Pandita - Disappearance</t>
  </si>
  <si>
    <t>(from 07:09 till tomorrow after sunrise)</t>
  </si>
  <si>
    <t>Sri Kaliya Krsnadasa - Disappearance</t>
  </si>
  <si>
    <t>(from 07:18 till tomorrow after sunrise)</t>
  </si>
  <si>
    <t>Makara Sankranti (Sun enters Capricorn on 13 Jan, 21:37)</t>
  </si>
  <si>
    <t>(from 07:12 till tomorrow after sunrise)</t>
  </si>
  <si>
    <t>(from 06:59 till tomorrow after sunrise)</t>
  </si>
  <si>
    <t>(from 06:16 till tomorrow after sunrise)</t>
  </si>
  <si>
    <t>(from 06:52 till tomorrow after sunrise)</t>
  </si>
  <si>
    <t>(from 06:29 till tomorrow after sunrise)</t>
  </si>
  <si>
    <t>Mesa Sankranti (Sun enters Aries on 13 Apr, 16:55)</t>
  </si>
  <si>
    <t>(from 06:05 till tomorrow after sunrise)</t>
  </si>
  <si>
    <t>[suppressed tithi (ksaya) - sasti tithi from 07:13 yesterday to 05:22 today]</t>
  </si>
  <si>
    <t>(from 05:47 till tomorrow after sunrise)</t>
  </si>
  <si>
    <t>(from 05:32 till tomorrow after sunrise)</t>
  </si>
  <si>
    <t>(from 05:25 till tomorrow after sunrise)</t>
  </si>
  <si>
    <t>[suppressed tithi (ksaya) - caturthi tithi from 06:26 yesterday to 04:48 today]</t>
  </si>
  <si>
    <t>(from 05:30 till tomorrow after sunrise)</t>
  </si>
  <si>
    <t>(from 05:42 till tomorrow after sunrise)</t>
  </si>
  <si>
    <t>Simha Sankranti (Sun enters Leo on 16 Aug, 15:41)</t>
  </si>
  <si>
    <t>(from 06:09 till tomorrow after sunrise)</t>
  </si>
  <si>
    <t>(from 06:24 till tomorrow after sunrise)</t>
  </si>
  <si>
    <t>(from 06:37 till tomorrow after sunrise)</t>
  </si>
  <si>
    <t>(from 06:53 till tomorrow after sunrise)</t>
  </si>
  <si>
    <t>(from 07:08 till tomorrow after sunrise)</t>
  </si>
  <si>
    <t>(from 07:25 till tomorrow after sunrise)</t>
  </si>
  <si>
    <t>(from 06:42 till tomorrow after sunrise)</t>
  </si>
  <si>
    <t>[suppressed tithi (ksaya) - dasami tithi from 07:42 yesterday to 05:45 today]</t>
  </si>
  <si>
    <t>(from 07:19 till tomorrow after sunrise)</t>
  </si>
  <si>
    <t>Hemanta Ritu - indian subcontinent Late Autumn season [Keshava (Margashirsha) and Narayaṇa (Pausha) months]</t>
  </si>
  <si>
    <t>Advent of Srimad Bhagavad-gita</t>
  </si>
  <si>
    <t>Sri Uddharana Datta Thakura - Disappearance</t>
  </si>
  <si>
    <t>Makara Sankranti (Sun enters Capricorn on 14 Jan, 15:27)</t>
  </si>
  <si>
    <t>Srila Visvanatha Cakravarti Thakura - Disappearance</t>
  </si>
  <si>
    <t>(Fasting till noon for Varahadeva, feast tomorrow)</t>
  </si>
  <si>
    <t>(Fasting was done yesterday, today is feast)</t>
  </si>
  <si>
    <t>End of Govinda (Phalguna) masa</t>
  </si>
  <si>
    <t>Vasanta Ritu - indian subcontinent Spring season [Vishnu (Chaitra) and Madhusudana (Vaishakha) months]</t>
  </si>
  <si>
    <t>Sri Vamsivadana Thakura - Appearance</t>
  </si>
  <si>
    <t>Srimati Jahnava Devi - Appearance</t>
  </si>
  <si>
    <t>Sri Sri Radha-Ramana Devaji - Appearance</t>
  </si>
  <si>
    <t>[suppressed tithi (ksaya) - pratipat tithi from 06:46 yesterday to 03:33 today]</t>
  </si>
  <si>
    <t>(from 05:35 till tomorrow after sunrise)</t>
  </si>
  <si>
    <t>Srimati Gangamata Gosvamini - Appearance</t>
  </si>
  <si>
    <t>(Total fast, even from water, if you have broken Ekadasi)</t>
  </si>
  <si>
    <t>Sri Sridhara Pandita - Disappearance</t>
  </si>
  <si>
    <t>Sri Sivananda Sena - Disappearance</t>
  </si>
  <si>
    <t>Start of Month 1 of Caturmasya (green leafy vegetable fast for one month) [EKADASI SYSTEM]</t>
  </si>
  <si>
    <t>Start of Month 1 of Caturmasya (green leafy vegetable fast for one month) [PURNIMA SYSTEM]</t>
  </si>
  <si>
    <t>Varsha Ritu - indian subcontinent Monsoon season [Sridhara (Sravana) and Hrishikesha (Bhadrapada) months]</t>
  </si>
  <si>
    <t>Karka Sankranti (Sun enters Cancer on 16 Jul, 01:06)</t>
  </si>
  <si>
    <t>[suppressed tithi (ksaya) - caturthi tithi from 07:35 yesterday to 05:06 today]</t>
  </si>
  <si>
    <t>Radha Govinda Jhulana Yatra begins</t>
  </si>
  <si>
    <t>Sri Gauridasa Pandita - Disappearance</t>
  </si>
  <si>
    <t>Start of Month 2 of Caturmasya (yogurt fast for one month) [PRATIPAT SYSTEM]</t>
  </si>
  <si>
    <t>(Fasting till noon for Vamanadeva, feast tomorrow)</t>
  </si>
  <si>
    <t>End of the month 2 of Caturmasya [PURNIMA SYSTEM]</t>
  </si>
  <si>
    <t>Start of Month 3 of Caturmasya (milk fast for one month) [PURNIMA SYSTEM]</t>
  </si>
  <si>
    <t>Sharad Ritu - indian subcontinent Early Autumn season [Padmanabha (Ashvina) and Damodara (Kartika) months]</t>
  </si>
  <si>
    <t>[suppressed tithi (ksaya) - pratipat tithi from 07:02 yesterday to 03:22 today]</t>
  </si>
  <si>
    <t>[suppressed tithi (ksaya) - ekadasi tithi from 07:11 yesterday to 05:08 today]</t>
  </si>
  <si>
    <t>Tula Sankranti (Sun enters Libra on 16 Oct, 21:26)</t>
  </si>
  <si>
    <t>End of the month 3 of Caturmasya [EKADASI SYSTEM]</t>
  </si>
  <si>
    <t>Start of Month 4 of Caturmasya (urad dal fast for one month) [EKADASI SYSTEM]</t>
  </si>
  <si>
    <t>Srila Raghunatha Bhatta Gosvami - Disappearance</t>
  </si>
  <si>
    <t>Sri Rasikananda - Appearance</t>
  </si>
  <si>
    <t>Sri Dhananjaya Pandita - Disappearance</t>
  </si>
  <si>
    <t>First day of Bhisma Pancaka</t>
  </si>
  <si>
    <t>End of the month 4 of Caturmasya [PURNIMA SYSTEM]</t>
  </si>
  <si>
    <t>Tulasi-Saligrama Vivaha (marriage)</t>
  </si>
  <si>
    <t>Sri Narahari Sarakara Thakura - Disappearance</t>
  </si>
  <si>
    <t>[suppressed tithi (ksaya) - pratipat tithi from 07:15 yesterday to 03:34 today]</t>
  </si>
  <si>
    <t>(from 05:55 till tomorrow after sunrise)</t>
  </si>
  <si>
    <t>[suppressed tithi (ksaya) - caturthi tithi from 07:26 yesterday to 05:57 today]</t>
  </si>
  <si>
    <t>[suppressed tithi (ksaya) - saptami tithi from 07:52 yesterday to 05:42 today]</t>
  </si>
  <si>
    <t>[suppressed tithi (ksaya) - tritiya tithi from 09:16 yesterday to 05:54 today]</t>
  </si>
  <si>
    <t>[suppressed tithi (ksaya) - dvitiya tithi from 10:04 yesterday to 06:51 today]</t>
  </si>
  <si>
    <t>Sri Pundarika Vidyanidhi - Appearance</t>
  </si>
  <si>
    <t>[suppressed tithi (ksaya) - caturdasi tithi from 08:03 yesterday to 05:33 today]</t>
  </si>
  <si>
    <t>Kumbha Sankranti (Sun enters Aquarius on 13 Feb, 04:26)</t>
  </si>
  <si>
    <t>Sri Syamananda Prabhu - Appearance</t>
  </si>
  <si>
    <t>Sri Madhavendra Puri - Appearance</t>
  </si>
  <si>
    <t>[suppressed tithi (ksaya) - ekadasi tithi from 05:29 yesterday to 02:36 today]</t>
  </si>
  <si>
    <t>End of Trivikrama (Jyesta) masa</t>
  </si>
  <si>
    <t>End of Vamana (Ashadha) masa</t>
  </si>
  <si>
    <t>Start of Month 2 of Caturmasya (yogurt fast for one month) [EKADASI SYSTEM]</t>
  </si>
  <si>
    <t>Start of Month 2 of Caturmasya (yogurt fast for one month) [PURNIMA SYSTEM]</t>
  </si>
  <si>
    <t>Start of Month 3 of Caturmasya (milk fast for one month) [EKADASI SYSTEM]</t>
  </si>
  <si>
    <t>Srila Jiva Gosvami - App.</t>
  </si>
  <si>
    <t>End of the month 2 of Caturmasya [PRATIPAT SYSTEM]</t>
  </si>
  <si>
    <t>Srila Krsnadasa Kaviraja Gosvami - Disappearance</t>
  </si>
  <si>
    <t>Start of Month 4 of Caturmasya (urad dal fast for one month) [PURNIMA SYSTEM]</t>
  </si>
  <si>
    <t>Sri Srinivasa Acarya - Disappearance</t>
  </si>
  <si>
    <t>(Fast all period)</t>
  </si>
  <si>
    <t>Sri Nimbarkacarya - Appearance</t>
  </si>
  <si>
    <t>[suppressed tithi (ksaya) - dvadasi tithi from 08:49 yesterday to 06:25 today]</t>
  </si>
  <si>
    <t>[suppressed tithi (ksaya) - pancami tithi from 07:57 yesterday to 05:51 today]</t>
  </si>
  <si>
    <t>[suppressed tithi (ksaya) - caturdasi tithi from 06:50 yesterday to 05:22 today]</t>
  </si>
  <si>
    <t>[suppressed tithi (ksaya) - ekadasi tithi from 06:53 yesterday to 04:03 today]</t>
  </si>
  <si>
    <t>Makara Sankranti (Sun enters Capricorn on 14 Jan, 03:46)</t>
  </si>
  <si>
    <t>Sri Raghunandana Thakura - Appearance</t>
  </si>
  <si>
    <t>End of Vishnu (Chaitra) masa</t>
  </si>
  <si>
    <t>Sri Srinivasa Acarya - Appearance</t>
  </si>
  <si>
    <t>End of month 1 of Caturmasya [PRATIPAT SYSTEM]</t>
  </si>
  <si>
    <t>End of Hrishikesha (Bhadrapada) masa</t>
  </si>
  <si>
    <t>End of the month 3 of Caturmasya [PRATIPAT SYSTEM]</t>
  </si>
  <si>
    <t>Srila Gaura Kisora Dasa Babaji - Disappearance</t>
  </si>
  <si>
    <t>End of the month 4 of Caturmasya [PRATIPAT SYSTEM]</t>
  </si>
  <si>
    <t>Kanya Sankranti (Sun enters Virgo on 16 Sep, 15:38)</t>
  </si>
  <si>
    <t>Tula Sankranti (Sun enters Libra on 17 Oct, 03:36)</t>
  </si>
  <si>
    <t>End of Madhusudana (Vaishakha) masa</t>
  </si>
  <si>
    <t>End of Sridhara (Sravana) masa</t>
  </si>
  <si>
    <t>(Fasting till noon, feast tomorrow)</t>
  </si>
  <si>
    <t>End of Damodara (Kartika) masa</t>
  </si>
  <si>
    <t>[suppressed tithi (ksaya) - caturdasi tithi from 06:45 yesterday to 03:16 today]</t>
  </si>
  <si>
    <t>GangaSagaraMela|JayadevaDis|</t>
  </si>
  <si>
    <t>GovindaDis|</t>
  </si>
  <si>
    <t>SitaApp|MadhuDis|JahnavaApp|</t>
  </si>
  <si>
    <t>BaladevaDis|GangaPuja|GangamataApp</t>
  </si>
  <si>
    <t>Dipadana|Dipavali|(KaliPuja)|</t>
  </si>
  <si>
    <t>GoPuja|GoKrda|GovardhanaPuja||BaliDaityarajaPuja|RasikanandaApp|</t>
  </si>
  <si>
    <t>BhismaFirst|GauraKisoraDis|FastTNoon</t>
  </si>
  <si>
    <t>BhismaLast|SriKrsnaRasayatra|TulasiSaligrama|NimbarkacaryaApp|</t>
  </si>
  <si>
    <t>BhagavadGita|</t>
  </si>
  <si>
    <t>RamacandraKavirajaDis|GopalaBhattaApp|JayadevaDis|</t>
  </si>
  <si>
    <t>VyanjuliMahadvadasi|</t>
  </si>
  <si>
    <t>DurgaPuja|</t>
  </si>
  <si>
    <t>JivaDis|JagadisaDis|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</si>
</sst>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d"/>
    <numFmt numFmtId="165" formatCode="00"/>
    <numFmt numFmtId="166" formatCode="dd/mm/yyyy;@"/>
    <numFmt numFmtId="167" formatCode="dd"/>
    <numFmt numFmtId="168" formatCode="[$-416]dd\-mmm;@"/>
    <numFmt numFmtId="169" formatCode="dd/mm/yyyy\ hh:mm:ss"/>
    <numFmt numFmtId="170" formatCode="mm/yyyy"/>
    <numFmt numFmtId="171" formatCode="[$-F400]h:mm:ss\ AM/PM"/>
    <numFmt numFmtId="172" formatCode="0.0"/>
    <numFmt numFmtId="173" formatCode="dd/mm/yy;@"/>
  </numFmts>
  <fonts count="61">
    <font>
      <sz val="11"/>
      <color theme="1"/>
      <name val="Calibri"/>
      <family val="2"/>
      <scheme val="minor"/>
    </font>
    <font>
      <b/>
      <sz val="11"/>
      <color theme="1"/>
      <name val="Calibri"/>
      <family val="2"/>
      <scheme val="minor"/>
    </font>
    <font>
      <sz val="11"/>
      <name val="Verdana"/>
      <family val="2"/>
    </font>
    <font>
      <b/>
      <sz val="16"/>
      <name val="Verdana"/>
      <family val="2"/>
    </font>
    <font>
      <b/>
      <sz val="11"/>
      <name val="Verdana"/>
      <family val="2"/>
    </font>
    <font>
      <u/>
      <sz val="10"/>
      <color indexed="12"/>
      <name val="Arial"/>
      <family val="2"/>
    </font>
    <font>
      <sz val="9"/>
      <name val="Verdana"/>
      <family val="2"/>
    </font>
    <font>
      <b/>
      <sz val="12"/>
      <name val="Verdana"/>
      <family val="2"/>
    </font>
    <font>
      <u/>
      <sz val="11"/>
      <color indexed="12"/>
      <name val="Verdana"/>
      <family val="2"/>
    </font>
    <font>
      <sz val="10"/>
      <name val="Arial"/>
      <family val="2"/>
    </font>
    <font>
      <sz val="10"/>
      <name val="Verdana"/>
      <family val="2"/>
    </font>
    <font>
      <sz val="11"/>
      <name val="Arial"/>
      <family val="2"/>
    </font>
    <font>
      <sz val="8"/>
      <name val="Verdana"/>
      <family val="2"/>
    </font>
    <font>
      <b/>
      <sz val="10"/>
      <name val="Arial"/>
      <family val="2"/>
    </font>
    <font>
      <b/>
      <sz val="36"/>
      <name val="Verdana"/>
      <family val="2"/>
    </font>
    <font>
      <sz val="15"/>
      <name val="Verdana"/>
      <family val="2"/>
    </font>
    <font>
      <b/>
      <sz val="10"/>
      <name val="Verdana"/>
      <family val="2"/>
    </font>
    <font>
      <sz val="14"/>
      <name val="Verdana"/>
      <family val="2"/>
    </font>
    <font>
      <sz val="12"/>
      <name val="Verdana"/>
      <family val="2"/>
    </font>
    <font>
      <sz val="16"/>
      <name val="Verdana"/>
      <family val="2"/>
    </font>
    <font>
      <i/>
      <sz val="10"/>
      <name val="Arial"/>
      <family val="2"/>
    </font>
    <font>
      <vertAlign val="superscript"/>
      <sz val="10"/>
      <name val="Arial"/>
      <family val="2"/>
    </font>
    <font>
      <b/>
      <sz val="14"/>
      <name val="Verdana"/>
      <family val="2"/>
    </font>
    <font>
      <b/>
      <sz val="14"/>
      <color indexed="9"/>
      <name val="Verdana"/>
      <family val="2"/>
    </font>
    <font>
      <b/>
      <sz val="8"/>
      <color indexed="9"/>
      <name val="Verdana"/>
      <family val="2"/>
    </font>
    <font>
      <b/>
      <sz val="10"/>
      <color indexed="9"/>
      <name val="Verdana"/>
      <family val="2"/>
    </font>
    <font>
      <sz val="8"/>
      <name val="Arial"/>
      <family val="2"/>
    </font>
    <font>
      <sz val="7"/>
      <name val="Verdana"/>
      <family val="2"/>
    </font>
    <font>
      <b/>
      <sz val="26"/>
      <name val="Verdana"/>
      <family val="2"/>
    </font>
    <font>
      <sz val="10"/>
      <color theme="1"/>
      <name val="Arial"/>
      <family val="2"/>
    </font>
    <font>
      <b/>
      <u/>
      <sz val="10"/>
      <name val="Verdana"/>
      <family val="2"/>
    </font>
    <font>
      <b/>
      <sz val="9"/>
      <name val="Verdana"/>
      <family val="2"/>
    </font>
    <font>
      <b/>
      <sz val="22"/>
      <name val="Verdana"/>
      <family val="2"/>
    </font>
    <font>
      <b/>
      <sz val="28"/>
      <name val="Verdana"/>
      <family val="2"/>
    </font>
    <font>
      <sz val="7"/>
      <name val="Tamal"/>
    </font>
    <font>
      <sz val="12"/>
      <name val="Symbol"/>
      <family val="1"/>
      <charset val="2"/>
    </font>
    <font>
      <b/>
      <sz val="8"/>
      <name val="Verdana"/>
      <family val="2"/>
    </font>
    <font>
      <sz val="6.5"/>
      <name val="Verdana"/>
      <family val="2"/>
    </font>
    <font>
      <sz val="7"/>
      <color indexed="23"/>
      <name val="Verdana"/>
      <family val="2"/>
    </font>
    <font>
      <b/>
      <sz val="10"/>
      <color indexed="23"/>
      <name val="Verdana"/>
      <family val="2"/>
    </font>
    <font>
      <sz val="10"/>
      <color theme="1"/>
      <name val="Verdana"/>
      <family val="2"/>
    </font>
    <font>
      <sz val="10"/>
      <name val="Wingdings 2"/>
      <family val="1"/>
      <charset val="2"/>
    </font>
    <font>
      <sz val="11"/>
      <color theme="1"/>
      <name val="Wingdings 2"/>
      <family val="1"/>
      <charset val="2"/>
    </font>
    <font>
      <sz val="14"/>
      <name val="Wingdings 2"/>
      <family val="1"/>
      <charset val="2"/>
    </font>
    <font>
      <sz val="8"/>
      <name val="Wingdings 2"/>
      <family val="1"/>
      <charset val="2"/>
    </font>
    <font>
      <sz val="8"/>
      <color indexed="23"/>
      <name val="Verdana"/>
      <family val="2"/>
    </font>
    <font>
      <sz val="7"/>
      <color rgb="FF808080"/>
      <name val="Verdana"/>
      <family val="2"/>
    </font>
    <font>
      <b/>
      <sz val="22"/>
      <color rgb="FF808080"/>
      <name val="Verdana"/>
      <family val="2"/>
    </font>
    <font>
      <sz val="10"/>
      <name val="Webdings"/>
      <family val="1"/>
      <charset val="2"/>
    </font>
    <font>
      <sz val="10"/>
      <name val="Wingdings"/>
      <charset val="2"/>
    </font>
    <font>
      <sz val="10"/>
      <name val="Arial"/>
      <family val="2"/>
      <charset val="2"/>
    </font>
    <font>
      <u/>
      <sz val="10"/>
      <name val="Verdana"/>
      <family val="2"/>
    </font>
    <font>
      <u/>
      <sz val="10"/>
      <name val="Arial"/>
      <family val="2"/>
    </font>
    <font>
      <u val="double"/>
      <sz val="10"/>
      <name val="Arial"/>
      <family val="2"/>
    </font>
    <font>
      <sz val="11"/>
      <color theme="1"/>
      <name val="Verdana"/>
      <family val="2"/>
    </font>
    <font>
      <b/>
      <sz val="11"/>
      <color theme="0"/>
      <name val="Calibri"/>
      <family val="2"/>
      <scheme val="minor"/>
    </font>
    <font>
      <sz val="10"/>
      <name val="Calibri"/>
      <family val="2"/>
      <scheme val="minor"/>
    </font>
    <font>
      <b/>
      <sz val="10"/>
      <name val="Calibri"/>
      <family val="2"/>
      <scheme val="minor"/>
    </font>
    <font>
      <sz val="8"/>
      <name val="Calibri"/>
      <family val="2"/>
      <scheme val="minor"/>
    </font>
    <font>
      <sz val="8"/>
      <name val="Calibri"/>
      <family val="2"/>
    </font>
    <font>
      <b/>
      <sz val="5"/>
      <name val="Verdana"/>
      <family val="2"/>
    </font>
  </fonts>
  <fills count="29">
    <fill>
      <patternFill patternType="none"/>
    </fill>
    <fill>
      <patternFill patternType="gray125"/>
    </fill>
    <fill>
      <patternFill patternType="solid">
        <fgColor rgb="FFFFFF00"/>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indexed="43"/>
        <bgColor indexed="64"/>
      </patternFill>
    </fill>
    <fill>
      <patternFill patternType="solid">
        <fgColor indexed="47"/>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indexed="55"/>
        <bgColor indexed="64"/>
      </patternFill>
    </fill>
    <fill>
      <patternFill patternType="solid">
        <fgColor indexed="22"/>
        <bgColor indexed="64"/>
      </patternFill>
    </fill>
    <fill>
      <patternFill patternType="solid">
        <fgColor indexed="46"/>
        <bgColor indexed="64"/>
      </patternFill>
    </fill>
    <fill>
      <patternFill patternType="solid">
        <fgColor rgb="FFFFFF66"/>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7" tint="0.59999389629810485"/>
        <bgColor indexed="64"/>
      </patternFill>
    </fill>
    <fill>
      <patternFill patternType="solid">
        <fgColor theme="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rgb="FFFFFFCC"/>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3"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9" tint="0.59999389629810485"/>
        <bgColor indexed="64"/>
      </patternFill>
    </fill>
    <fill>
      <patternFill patternType="solid">
        <fgColor theme="9" tint="-0.249977111117893"/>
        <bgColor indexed="64"/>
      </patternFill>
    </fill>
  </fills>
  <borders count="107">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22"/>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right style="thin">
        <color indexed="22"/>
      </right>
      <top/>
      <bottom/>
      <diagonal/>
    </border>
    <border>
      <left style="thin">
        <color indexed="22"/>
      </left>
      <right/>
      <top style="thin">
        <color indexed="22"/>
      </top>
      <bottom/>
      <diagonal/>
    </border>
    <border>
      <left/>
      <right/>
      <top style="thin">
        <color indexed="22"/>
      </top>
      <bottom/>
      <diagonal/>
    </border>
    <border>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dashed">
        <color indexed="64"/>
      </left>
      <right style="dotted">
        <color indexed="64"/>
      </right>
      <top style="dashed">
        <color indexed="64"/>
      </top>
      <bottom/>
      <diagonal/>
    </border>
    <border>
      <left style="dotted">
        <color indexed="64"/>
      </left>
      <right style="thin">
        <color indexed="64"/>
      </right>
      <top style="dotted">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dashed">
        <color indexed="64"/>
      </left>
      <right style="dotted">
        <color indexed="64"/>
      </right>
      <top/>
      <bottom/>
      <diagonal/>
    </border>
    <border>
      <left style="dotted">
        <color indexed="64"/>
      </left>
      <right style="thin">
        <color indexed="64"/>
      </right>
      <top/>
      <bottom/>
      <diagonal/>
    </border>
    <border>
      <left style="medium">
        <color indexed="64"/>
      </left>
      <right/>
      <top/>
      <bottom/>
      <diagonal/>
    </border>
    <border>
      <left/>
      <right style="medium">
        <color indexed="64"/>
      </right>
      <top/>
      <bottom/>
      <diagonal/>
    </border>
    <border>
      <left style="dashed">
        <color indexed="64"/>
      </left>
      <right style="dotted">
        <color indexed="64"/>
      </right>
      <top/>
      <bottom style="thin">
        <color indexed="64"/>
      </bottom>
      <diagonal/>
    </border>
    <border>
      <left style="dotted">
        <color indexed="64"/>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22"/>
      </left>
      <right style="thin">
        <color indexed="22"/>
      </right>
      <top/>
      <bottom/>
      <diagonal/>
    </border>
    <border>
      <left style="thin">
        <color indexed="22"/>
      </left>
      <right/>
      <top/>
      <bottom/>
      <diagonal/>
    </border>
    <border>
      <left style="thin">
        <color indexed="22"/>
      </left>
      <right style="thin">
        <color indexed="22"/>
      </right>
      <top style="medium">
        <color indexed="22"/>
      </top>
      <bottom/>
      <diagonal/>
    </border>
    <border>
      <left style="thin">
        <color indexed="22"/>
      </left>
      <right style="thin">
        <color indexed="22"/>
      </right>
      <top/>
      <bottom style="medium">
        <color indexed="22"/>
      </bottom>
      <diagonal/>
    </border>
    <border>
      <left/>
      <right/>
      <top/>
      <bottom style="medium">
        <color indexed="22"/>
      </bottom>
      <diagonal/>
    </border>
    <border>
      <left/>
      <right style="thin">
        <color indexed="22"/>
      </right>
      <top/>
      <bottom style="thin">
        <color indexed="22"/>
      </bottom>
      <diagonal/>
    </border>
    <border>
      <left style="thin">
        <color indexed="22"/>
      </left>
      <right/>
      <top/>
      <bottom style="thin">
        <color indexed="22"/>
      </bottom>
      <diagonal/>
    </border>
    <border>
      <left/>
      <right style="thin">
        <color indexed="22"/>
      </right>
      <top/>
      <bottom style="medium">
        <color indexed="22"/>
      </bottom>
      <diagonal/>
    </border>
    <border>
      <left style="thin">
        <color indexed="22"/>
      </left>
      <right/>
      <top/>
      <bottom style="medium">
        <color indexed="22"/>
      </bottom>
      <diagonal/>
    </border>
    <border>
      <left/>
      <right style="thin">
        <color indexed="22"/>
      </right>
      <top style="medium">
        <color indexed="22"/>
      </top>
      <bottom style="thin">
        <color indexed="22"/>
      </bottom>
      <diagonal/>
    </border>
    <border>
      <left style="thin">
        <color indexed="22"/>
      </left>
      <right/>
      <top style="medium">
        <color indexed="22"/>
      </top>
      <bottom style="thin">
        <color indexed="22"/>
      </bottom>
      <diagonal/>
    </border>
    <border>
      <left/>
      <right/>
      <top style="medium">
        <color indexed="22"/>
      </top>
      <bottom/>
      <diagonal/>
    </border>
    <border>
      <left/>
      <right style="thin">
        <color indexed="22"/>
      </right>
      <top style="medium">
        <color indexed="22"/>
      </top>
      <bottom style="medium">
        <color indexed="22"/>
      </bottom>
      <diagonal/>
    </border>
    <border>
      <left style="thin">
        <color indexed="22"/>
      </left>
      <right/>
      <top style="medium">
        <color indexed="22"/>
      </top>
      <bottom style="medium">
        <color indexed="22"/>
      </bottom>
      <diagonal/>
    </border>
    <border>
      <left/>
      <right/>
      <top style="medium">
        <color indexed="22"/>
      </top>
      <bottom style="medium">
        <color indexed="22"/>
      </bottom>
      <diagonal/>
    </border>
    <border>
      <left style="thin">
        <color indexed="64"/>
      </left>
      <right style="medium">
        <color indexed="64"/>
      </right>
      <top/>
      <bottom/>
      <diagonal/>
    </border>
    <border>
      <left style="thin">
        <color indexed="64"/>
      </left>
      <right/>
      <top style="medium">
        <color indexed="64"/>
      </top>
      <bottom/>
      <diagonal/>
    </border>
    <border>
      <left style="thin">
        <color indexed="22"/>
      </left>
      <right/>
      <top style="medium">
        <color indexed="22"/>
      </top>
      <bottom/>
      <diagonal/>
    </border>
    <border>
      <left/>
      <right style="thin">
        <color indexed="22"/>
      </right>
      <top style="medium">
        <color indexed="22"/>
      </top>
      <bottom/>
      <diagonal/>
    </border>
    <border>
      <left/>
      <right/>
      <top style="medium">
        <color indexed="22"/>
      </top>
      <bottom style="thin">
        <color indexed="22"/>
      </bottom>
      <diagonal/>
    </border>
    <border>
      <left/>
      <right/>
      <top style="thin">
        <color indexed="22"/>
      </top>
      <bottom/>
      <diagonal/>
    </border>
    <border>
      <left style="thin">
        <color indexed="64"/>
      </left>
      <right style="thin">
        <color indexed="64"/>
      </right>
      <top style="thin">
        <color indexed="64"/>
      </top>
      <bottom style="thin">
        <color indexed="64"/>
      </bottom>
      <diagonal/>
    </border>
    <border>
      <left/>
      <right/>
      <top style="thin">
        <color rgb="FFC0C0C0"/>
      </top>
      <bottom style="thin">
        <color rgb="FFC0C0C0"/>
      </bottom>
      <diagonal/>
    </border>
    <border>
      <left/>
      <right/>
      <top style="medium">
        <color rgb="FFC0C0C0"/>
      </top>
      <bottom style="thin">
        <color rgb="FFC0C0C0"/>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style="thin">
        <color theme="0"/>
      </top>
      <bottom style="thin">
        <color theme="0"/>
      </bottom>
      <diagonal/>
    </border>
    <border>
      <left style="thin">
        <color auto="1"/>
      </left>
      <right style="thin">
        <color auto="1"/>
      </right>
      <top style="thin">
        <color auto="1"/>
      </top>
      <bottom style="thin">
        <color auto="1"/>
      </bottom>
      <diagonal/>
    </border>
    <border>
      <left/>
      <right/>
      <top style="thin">
        <color theme="0"/>
      </top>
      <bottom style="thin">
        <color theme="0"/>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
      <left/>
      <right/>
      <top style="thin">
        <color indexed="22"/>
      </top>
      <bottom style="thin">
        <color indexed="22"/>
      </bottom>
      <diagonal/>
    </border>
    <border>
      <left style="thin">
        <color indexed="22"/>
      </left>
      <right/>
      <top style="thin">
        <color indexed="22"/>
      </top>
      <bottom/>
      <diagonal/>
    </border>
    <border>
      <left/>
      <right style="thin">
        <color indexed="22"/>
      </right>
      <top style="thin">
        <color indexed="22"/>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top style="thin">
        <color indexed="22"/>
      </top>
      <bottom style="medium">
        <color indexed="22"/>
      </bottom>
      <diagonal/>
    </border>
    <border>
      <left/>
      <right style="thin">
        <color indexed="22"/>
      </right>
      <top style="thin">
        <color indexed="22"/>
      </top>
      <bottom style="medium">
        <color indexed="22"/>
      </bottom>
      <diagonal/>
    </border>
    <border>
      <left/>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indexed="64"/>
      </right>
      <top style="thin">
        <color indexed="64"/>
      </top>
      <bottom/>
      <diagonal/>
    </border>
  </borders>
  <cellStyleXfs count="4">
    <xf numFmtId="0" fontId="0" fillId="0" borderId="0"/>
    <xf numFmtId="0" fontId="5" fillId="0" borderId="0" applyNumberFormat="0" applyFill="0" applyBorder="0" applyAlignment="0" applyProtection="0">
      <alignment vertical="top"/>
      <protection locked="0"/>
    </xf>
    <xf numFmtId="0" fontId="9" fillId="0" borderId="0"/>
    <xf numFmtId="0" fontId="10" fillId="0" borderId="0"/>
  </cellStyleXfs>
  <cellXfs count="742">
    <xf numFmtId="0" fontId="0" fillId="0" borderId="0" xfId="0"/>
    <xf numFmtId="0" fontId="1" fillId="0" borderId="0" xfId="0" applyFont="1" applyAlignment="1">
      <alignment horizontal="right"/>
    </xf>
    <xf numFmtId="0" fontId="0" fillId="0" borderId="0" xfId="0" applyAlignment="1">
      <alignment horizontal="right"/>
    </xf>
    <xf numFmtId="0" fontId="5" fillId="0" borderId="0" xfId="1" applyAlignment="1" applyProtection="1">
      <alignment horizontal="left" indent="1"/>
    </xf>
    <xf numFmtId="0" fontId="5" fillId="0" borderId="0" xfId="1" applyAlignment="1" applyProtection="1"/>
    <xf numFmtId="0" fontId="2" fillId="0" borderId="0" xfId="2" applyFont="1"/>
    <xf numFmtId="0" fontId="3" fillId="0" borderId="0" xfId="2" applyFont="1" applyAlignment="1">
      <alignment vertical="center"/>
    </xf>
    <xf numFmtId="0" fontId="9" fillId="0" borderId="0" xfId="2"/>
    <xf numFmtId="0" fontId="2" fillId="0" borderId="4" xfId="2" applyFont="1" applyBorder="1"/>
    <xf numFmtId="0" fontId="4" fillId="0" borderId="0" xfId="2" applyFont="1" applyAlignment="1">
      <alignment vertical="top" wrapText="1"/>
    </xf>
    <xf numFmtId="0" fontId="2" fillId="0" borderId="9" xfId="2" applyFont="1" applyBorder="1"/>
    <xf numFmtId="0" fontId="9" fillId="0" borderId="0" xfId="2" applyAlignment="1">
      <alignment horizontal="right"/>
    </xf>
    <xf numFmtId="0" fontId="9" fillId="0" borderId="9" xfId="2" applyBorder="1"/>
    <xf numFmtId="0" fontId="9" fillId="4" borderId="0" xfId="2" applyFill="1"/>
    <xf numFmtId="0" fontId="9" fillId="2" borderId="0" xfId="2" applyFill="1"/>
    <xf numFmtId="0" fontId="13" fillId="0" borderId="0" xfId="2" applyFont="1"/>
    <xf numFmtId="0" fontId="10" fillId="0" borderId="0" xfId="2" applyFont="1"/>
    <xf numFmtId="0" fontId="14" fillId="0" borderId="0" xfId="3" applyFont="1" applyAlignment="1">
      <alignment horizontal="left"/>
    </xf>
    <xf numFmtId="0" fontId="3" fillId="0" borderId="0" xfId="3" applyFont="1" applyAlignment="1">
      <alignment horizontal="center" vertical="center"/>
    </xf>
    <xf numFmtId="0" fontId="15" fillId="5" borderId="0" xfId="2" applyFont="1" applyFill="1"/>
    <xf numFmtId="164" fontId="16" fillId="0" borderId="0" xfId="3" applyNumberFormat="1" applyFont="1" applyAlignment="1">
      <alignment horizontal="left" vertical="center"/>
    </xf>
    <xf numFmtId="14" fontId="10" fillId="0" borderId="0" xfId="3" applyNumberFormat="1" applyAlignment="1">
      <alignment horizontal="left" vertical="center" wrapText="1"/>
    </xf>
    <xf numFmtId="164" fontId="16" fillId="0" borderId="17" xfId="3" applyNumberFormat="1" applyFont="1" applyBorder="1" applyAlignment="1">
      <alignment horizontal="left" vertical="center"/>
    </xf>
    <xf numFmtId="164" fontId="16" fillId="0" borderId="18" xfId="3" applyNumberFormat="1" applyFont="1" applyBorder="1" applyAlignment="1">
      <alignment horizontal="left" vertical="center"/>
    </xf>
    <xf numFmtId="164" fontId="16" fillId="0" borderId="18" xfId="3" applyNumberFormat="1" applyFont="1" applyBorder="1" applyAlignment="1" applyProtection="1">
      <alignment horizontal="left" vertical="center"/>
      <protection locked="0"/>
    </xf>
    <xf numFmtId="14" fontId="10" fillId="0" borderId="18" xfId="3" applyNumberFormat="1" applyBorder="1" applyAlignment="1" applyProtection="1">
      <alignment horizontal="left" vertical="center" wrapText="1"/>
      <protection locked="0"/>
    </xf>
    <xf numFmtId="164" fontId="16" fillId="0" borderId="19" xfId="3" applyNumberFormat="1" applyFont="1" applyBorder="1" applyAlignment="1" applyProtection="1">
      <alignment horizontal="left" vertical="center"/>
      <protection locked="0"/>
    </xf>
    <xf numFmtId="0" fontId="10" fillId="0" borderId="0" xfId="2" applyFont="1" applyProtection="1">
      <protection locked="0"/>
    </xf>
    <xf numFmtId="164" fontId="16" fillId="0" borderId="18" xfId="3" applyNumberFormat="1" applyFont="1" applyBorder="1" applyAlignment="1">
      <alignment vertical="center"/>
    </xf>
    <xf numFmtId="164" fontId="16" fillId="0" borderId="18" xfId="3" applyNumberFormat="1" applyFont="1" applyBorder="1" applyAlignment="1">
      <alignment horizontal="right" vertical="center"/>
    </xf>
    <xf numFmtId="164" fontId="16" fillId="0" borderId="18" xfId="3" applyNumberFormat="1" applyFont="1" applyBorder="1" applyAlignment="1" applyProtection="1">
      <alignment horizontal="right" vertical="center"/>
      <protection locked="0"/>
    </xf>
    <xf numFmtId="14" fontId="10" fillId="0" borderId="18" xfId="3" applyNumberFormat="1" applyBorder="1" applyAlignment="1">
      <alignment horizontal="left" vertical="center" wrapText="1"/>
    </xf>
    <xf numFmtId="164" fontId="16" fillId="0" borderId="0" xfId="3" applyNumberFormat="1" applyFont="1" applyAlignment="1" applyProtection="1">
      <alignment horizontal="left" vertical="center"/>
      <protection locked="0"/>
    </xf>
    <xf numFmtId="0" fontId="10" fillId="0" borderId="20" xfId="2" applyFont="1" applyBorder="1" applyProtection="1">
      <protection locked="0"/>
    </xf>
    <xf numFmtId="164" fontId="16" fillId="0" borderId="17" xfId="3" applyNumberFormat="1" applyFont="1" applyBorder="1" applyAlignment="1">
      <alignment vertical="center"/>
    </xf>
    <xf numFmtId="164" fontId="16" fillId="0" borderId="18" xfId="3" applyNumberFormat="1" applyFont="1" applyBorder="1" applyAlignment="1" applyProtection="1">
      <alignment vertical="center"/>
      <protection locked="0"/>
    </xf>
    <xf numFmtId="164" fontId="16" fillId="0" borderId="19" xfId="3" applyNumberFormat="1" applyFont="1" applyBorder="1" applyAlignment="1" applyProtection="1">
      <alignment vertical="center"/>
      <protection locked="0"/>
    </xf>
    <xf numFmtId="164" fontId="16" fillId="0" borderId="18" xfId="3" quotePrefix="1" applyNumberFormat="1" applyFont="1" applyBorder="1" applyAlignment="1">
      <alignment horizontal="center" vertical="center"/>
    </xf>
    <xf numFmtId="164" fontId="16" fillId="0" borderId="21" xfId="3" applyNumberFormat="1" applyFont="1" applyBorder="1" applyAlignment="1">
      <alignment horizontal="left" vertical="center"/>
    </xf>
    <xf numFmtId="164" fontId="16" fillId="0" borderId="22" xfId="3" applyNumberFormat="1" applyFont="1" applyBorder="1" applyAlignment="1">
      <alignment horizontal="left" vertical="center"/>
    </xf>
    <xf numFmtId="164" fontId="16" fillId="0" borderId="22" xfId="3" applyNumberFormat="1" applyFont="1" applyBorder="1" applyAlignment="1" applyProtection="1">
      <alignment horizontal="left" vertical="center"/>
      <protection locked="0"/>
    </xf>
    <xf numFmtId="14" fontId="10" fillId="0" borderId="22" xfId="3" applyNumberFormat="1" applyBorder="1" applyAlignment="1" applyProtection="1">
      <alignment horizontal="left" vertical="center" wrapText="1"/>
      <protection locked="0"/>
    </xf>
    <xf numFmtId="164" fontId="16" fillId="0" borderId="23" xfId="3" applyNumberFormat="1" applyFont="1" applyBorder="1" applyAlignment="1" applyProtection="1">
      <alignment vertical="center"/>
      <protection locked="0"/>
    </xf>
    <xf numFmtId="0" fontId="3" fillId="0" borderId="0" xfId="3" applyFont="1" applyAlignment="1">
      <alignment horizontal="left" vertical="center"/>
    </xf>
    <xf numFmtId="0" fontId="3" fillId="0" borderId="0" xfId="3" applyFont="1" applyAlignment="1">
      <alignment horizontal="right" vertical="center"/>
    </xf>
    <xf numFmtId="0" fontId="17" fillId="6" borderId="0" xfId="2" applyFont="1" applyFill="1"/>
    <xf numFmtId="0" fontId="3" fillId="0" borderId="16" xfId="3" applyFont="1" applyBorder="1" applyAlignment="1">
      <alignment vertical="center"/>
    </xf>
    <xf numFmtId="164" fontId="16" fillId="0" borderId="16" xfId="3" applyNumberFormat="1" applyFont="1" applyBorder="1" applyAlignment="1">
      <alignment horizontal="left" vertical="center"/>
    </xf>
    <xf numFmtId="14" fontId="10" fillId="0" borderId="16" xfId="3" applyNumberFormat="1" applyBorder="1" applyAlignment="1">
      <alignment horizontal="left" vertical="center" wrapText="1"/>
    </xf>
    <xf numFmtId="14" fontId="16" fillId="0" borderId="16" xfId="3" applyNumberFormat="1" applyFont="1" applyBorder="1" applyAlignment="1">
      <alignment horizontal="left" vertical="center"/>
    </xf>
    <xf numFmtId="14" fontId="16" fillId="0" borderId="16" xfId="3" applyNumberFormat="1" applyFont="1" applyBorder="1" applyAlignment="1">
      <alignment horizontal="left" vertical="center" wrapText="1"/>
    </xf>
    <xf numFmtId="14" fontId="16" fillId="0" borderId="16" xfId="3" applyNumberFormat="1" applyFont="1" applyBorder="1" applyAlignment="1" applyProtection="1">
      <alignment horizontal="left" vertical="center" wrapText="1"/>
      <protection locked="0"/>
    </xf>
    <xf numFmtId="164" fontId="16" fillId="0" borderId="19" xfId="3" applyNumberFormat="1" applyFont="1" applyBorder="1" applyAlignment="1">
      <alignment horizontal="left" vertical="center"/>
    </xf>
    <xf numFmtId="164" fontId="16" fillId="0" borderId="17" xfId="3" applyNumberFormat="1" applyFont="1" applyBorder="1" applyAlignment="1">
      <alignment horizontal="right" vertical="center"/>
    </xf>
    <xf numFmtId="164" fontId="16" fillId="0" borderId="18" xfId="3" applyNumberFormat="1" applyFont="1" applyBorder="1" applyAlignment="1" applyProtection="1">
      <alignment horizontal="left" vertical="top"/>
      <protection locked="0"/>
    </xf>
    <xf numFmtId="0" fontId="10" fillId="0" borderId="18" xfId="3" applyBorder="1" applyAlignment="1" applyProtection="1">
      <alignment horizontal="left" vertical="center"/>
      <protection locked="0"/>
    </xf>
    <xf numFmtId="0" fontId="10" fillId="0" borderId="19" xfId="3" applyBorder="1" applyAlignment="1" applyProtection="1">
      <alignment horizontal="left" vertical="center"/>
      <protection locked="0"/>
    </xf>
    <xf numFmtId="0" fontId="10" fillId="0" borderId="0" xfId="3" applyAlignment="1">
      <alignment horizontal="left" vertical="center" wrapText="1"/>
    </xf>
    <xf numFmtId="0" fontId="3" fillId="0" borderId="0" xfId="2" applyFont="1"/>
    <xf numFmtId="0" fontId="18" fillId="0" borderId="0" xfId="2" applyFont="1"/>
    <xf numFmtId="0" fontId="19" fillId="0" borderId="0" xfId="2" applyFont="1"/>
    <xf numFmtId="0" fontId="17" fillId="0" borderId="0" xfId="3" applyFont="1" applyAlignment="1">
      <alignment vertical="center"/>
    </xf>
    <xf numFmtId="0" fontId="9" fillId="7" borderId="13" xfId="2" applyFill="1" applyBorder="1"/>
    <xf numFmtId="0" fontId="9" fillId="7" borderId="9" xfId="2" applyFill="1" applyBorder="1"/>
    <xf numFmtId="0" fontId="7" fillId="0" borderId="24" xfId="2" applyFont="1" applyBorder="1" applyAlignment="1">
      <alignment horizontal="center" vertical="center"/>
    </xf>
    <xf numFmtId="0" fontId="7" fillId="0" borderId="24" xfId="2" applyFont="1" applyBorder="1" applyAlignment="1">
      <alignment horizontal="center" vertical="center" wrapText="1"/>
    </xf>
    <xf numFmtId="0" fontId="9" fillId="7" borderId="14" xfId="2" applyFill="1" applyBorder="1"/>
    <xf numFmtId="14" fontId="9" fillId="0" borderId="1" xfId="2" applyNumberFormat="1" applyBorder="1"/>
    <xf numFmtId="0" fontId="9" fillId="0" borderId="2" xfId="2" applyBorder="1"/>
    <xf numFmtId="0" fontId="9" fillId="0" borderId="3" xfId="2" applyBorder="1"/>
    <xf numFmtId="0" fontId="9" fillId="0" borderId="1" xfId="2" applyBorder="1"/>
    <xf numFmtId="0" fontId="16" fillId="0" borderId="17" xfId="2" applyFont="1" applyBorder="1"/>
    <xf numFmtId="0" fontId="16" fillId="0" borderId="18" xfId="2" applyFont="1" applyBorder="1"/>
    <xf numFmtId="0" fontId="16" fillId="0" borderId="19" xfId="2" applyFont="1" applyBorder="1"/>
    <xf numFmtId="14" fontId="9" fillId="0" borderId="4" xfId="2" applyNumberFormat="1" applyBorder="1"/>
    <xf numFmtId="0" fontId="9" fillId="0" borderId="8" xfId="2" applyBorder="1"/>
    <xf numFmtId="0" fontId="9" fillId="0" borderId="12" xfId="2" applyBorder="1"/>
    <xf numFmtId="0" fontId="9" fillId="0" borderId="4" xfId="2" applyBorder="1"/>
    <xf numFmtId="165" fontId="18" fillId="0" borderId="24" xfId="2" applyNumberFormat="1" applyFont="1" applyBorder="1" applyAlignment="1" applyProtection="1">
      <alignment horizontal="center"/>
      <protection locked="0"/>
    </xf>
    <xf numFmtId="166" fontId="18" fillId="0" borderId="24" xfId="2" applyNumberFormat="1" applyFont="1" applyBorder="1" applyAlignment="1">
      <alignment horizontal="center"/>
    </xf>
    <xf numFmtId="0" fontId="18" fillId="0" borderId="24" xfId="2" applyFont="1" applyBorder="1" applyProtection="1">
      <protection locked="0"/>
    </xf>
    <xf numFmtId="0" fontId="18" fillId="0" borderId="24" xfId="2" applyFont="1" applyBorder="1"/>
    <xf numFmtId="166" fontId="18" fillId="0" borderId="24" xfId="2" applyNumberFormat="1" applyFont="1" applyBorder="1" applyAlignment="1" applyProtection="1">
      <alignment horizontal="center"/>
      <protection locked="0"/>
    </xf>
    <xf numFmtId="14" fontId="9" fillId="0" borderId="0" xfId="2" applyNumberFormat="1"/>
    <xf numFmtId="0" fontId="9" fillId="7" borderId="15" xfId="2" applyFill="1" applyBorder="1"/>
    <xf numFmtId="0" fontId="9" fillId="0" borderId="0" xfId="2" applyAlignment="1">
      <alignment horizontal="center"/>
    </xf>
    <xf numFmtId="0" fontId="5" fillId="0" borderId="0" xfId="1" applyAlignment="1" applyProtection="1">
      <alignment horizontal="right"/>
    </xf>
    <xf numFmtId="14" fontId="9" fillId="0" borderId="10" xfId="2" applyNumberFormat="1" applyBorder="1"/>
    <xf numFmtId="0" fontId="9" fillId="0" borderId="11" xfId="2" applyBorder="1"/>
    <xf numFmtId="0" fontId="9" fillId="0" borderId="10" xfId="2" applyBorder="1"/>
    <xf numFmtId="0" fontId="13" fillId="0" borderId="9" xfId="2" applyFont="1" applyBorder="1" applyAlignment="1">
      <alignment horizontal="center" vertical="center"/>
    </xf>
    <xf numFmtId="0" fontId="9" fillId="0" borderId="9" xfId="2" applyBorder="1" applyAlignment="1">
      <alignment horizontal="center"/>
    </xf>
    <xf numFmtId="14" fontId="9" fillId="7" borderId="1" xfId="2" applyNumberFormat="1" applyFill="1" applyBorder="1"/>
    <xf numFmtId="14" fontId="9" fillId="7" borderId="2" xfId="2" applyNumberFormat="1" applyFill="1" applyBorder="1"/>
    <xf numFmtId="14" fontId="9" fillId="7" borderId="3" xfId="2" applyNumberFormat="1" applyFill="1" applyBorder="1"/>
    <xf numFmtId="14" fontId="9" fillId="0" borderId="2" xfId="2" applyNumberFormat="1" applyBorder="1"/>
    <xf numFmtId="0" fontId="10" fillId="0" borderId="1" xfId="2" applyFont="1" applyBorder="1" applyAlignment="1">
      <alignment horizontal="center"/>
    </xf>
    <xf numFmtId="0" fontId="5" fillId="0" borderId="2" xfId="1" applyBorder="1" applyAlignment="1" applyProtection="1">
      <alignment horizontal="right"/>
    </xf>
    <xf numFmtId="14" fontId="9" fillId="7" borderId="4" xfId="2" applyNumberFormat="1" applyFill="1" applyBorder="1"/>
    <xf numFmtId="14" fontId="9" fillId="7" borderId="0" xfId="2" applyNumberFormat="1" applyFill="1"/>
    <xf numFmtId="14" fontId="9" fillId="7" borderId="8" xfId="2" applyNumberFormat="1" applyFill="1" applyBorder="1"/>
    <xf numFmtId="0" fontId="10" fillId="0" borderId="4" xfId="2" applyFont="1" applyBorder="1" applyAlignment="1">
      <alignment horizontal="center"/>
    </xf>
    <xf numFmtId="0" fontId="5" fillId="0" borderId="0" xfId="1" applyAlignment="1" applyProtection="1">
      <alignment horizontal="left" vertical="center" indent="2"/>
    </xf>
    <xf numFmtId="0" fontId="5" fillId="0" borderId="0" xfId="1" applyAlignment="1" applyProtection="1">
      <alignment horizontal="left" vertical="center" indent="1"/>
    </xf>
    <xf numFmtId="0" fontId="18" fillId="0" borderId="24" xfId="2" applyFont="1" applyBorder="1" applyAlignment="1" applyProtection="1">
      <alignment horizontal="center"/>
      <protection locked="0"/>
    </xf>
    <xf numFmtId="0" fontId="5" fillId="0" borderId="8" xfId="1" applyBorder="1" applyAlignment="1" applyProtection="1">
      <alignment horizontal="left" vertical="center" indent="1"/>
    </xf>
    <xf numFmtId="0" fontId="9" fillId="0" borderId="0" xfId="2" applyAlignment="1">
      <alignment horizontal="left" indent="1"/>
    </xf>
    <xf numFmtId="0" fontId="9" fillId="0" borderId="0" xfId="2" applyAlignment="1">
      <alignment horizontal="left" vertical="center" indent="1"/>
    </xf>
    <xf numFmtId="14" fontId="9" fillId="7" borderId="10" xfId="2" applyNumberFormat="1" applyFill="1" applyBorder="1"/>
    <xf numFmtId="14" fontId="9" fillId="7" borderId="11" xfId="2" applyNumberFormat="1" applyFill="1" applyBorder="1"/>
    <xf numFmtId="14" fontId="9" fillId="7" borderId="12" xfId="2" applyNumberFormat="1" applyFill="1" applyBorder="1"/>
    <xf numFmtId="14" fontId="9" fillId="0" borderId="11" xfId="2" applyNumberFormat="1" applyBorder="1"/>
    <xf numFmtId="0" fontId="10" fillId="0" borderId="10" xfId="2" applyFont="1" applyBorder="1" applyAlignment="1">
      <alignment horizontal="center"/>
    </xf>
    <xf numFmtId="0" fontId="9" fillId="0" borderId="11" xfId="2" applyBorder="1" applyAlignment="1">
      <alignment horizontal="left" indent="1"/>
    </xf>
    <xf numFmtId="0" fontId="13" fillId="0" borderId="11" xfId="2" applyFont="1" applyBorder="1"/>
    <xf numFmtId="14" fontId="9" fillId="7" borderId="5" xfId="2" applyNumberFormat="1" applyFill="1" applyBorder="1"/>
    <xf numFmtId="14" fontId="9" fillId="7" borderId="6" xfId="2" applyNumberFormat="1" applyFill="1" applyBorder="1"/>
    <xf numFmtId="14" fontId="9" fillId="7" borderId="7" xfId="2" applyNumberFormat="1" applyFill="1" applyBorder="1"/>
    <xf numFmtId="14" fontId="9" fillId="0" borderId="6" xfId="2" applyNumberFormat="1" applyBorder="1"/>
    <xf numFmtId="0" fontId="9" fillId="0" borderId="6" xfId="2" applyBorder="1"/>
    <xf numFmtId="0" fontId="10" fillId="0" borderId="5" xfId="2" applyFont="1" applyBorder="1" applyAlignment="1">
      <alignment horizontal="center"/>
    </xf>
    <xf numFmtId="0" fontId="5" fillId="0" borderId="6" xfId="1" applyBorder="1" applyAlignment="1" applyProtection="1">
      <alignment horizontal="left" vertical="center" indent="1"/>
    </xf>
    <xf numFmtId="0" fontId="9" fillId="0" borderId="7" xfId="2" applyBorder="1"/>
    <xf numFmtId="0" fontId="5" fillId="0" borderId="2" xfId="1" applyBorder="1" applyAlignment="1" applyProtection="1">
      <alignment horizontal="left" indent="1"/>
    </xf>
    <xf numFmtId="0" fontId="13" fillId="0" borderId="2" xfId="2" applyFont="1" applyBorder="1"/>
    <xf numFmtId="0" fontId="16" fillId="0" borderId="19" xfId="2" applyFont="1" applyBorder="1" applyAlignment="1">
      <alignment horizontal="center"/>
    </xf>
    <xf numFmtId="165" fontId="18" fillId="0" borderId="24" xfId="2" applyNumberFormat="1" applyFont="1" applyBorder="1" applyAlignment="1">
      <alignment horizontal="center"/>
    </xf>
    <xf numFmtId="0" fontId="18" fillId="0" borderId="0" xfId="3" applyFont="1" applyAlignment="1">
      <alignment vertical="center"/>
    </xf>
    <xf numFmtId="0" fontId="5" fillId="0" borderId="11" xfId="1" applyBorder="1" applyAlignment="1" applyProtection="1">
      <alignment horizontal="left" vertical="center" indent="1"/>
    </xf>
    <xf numFmtId="0" fontId="18" fillId="0" borderId="24" xfId="2" applyFont="1" applyBorder="1" applyAlignment="1">
      <alignment horizontal="center"/>
    </xf>
    <xf numFmtId="0" fontId="14" fillId="0" borderId="0" xfId="2" applyFont="1" applyAlignment="1">
      <alignment vertical="center"/>
    </xf>
    <xf numFmtId="0" fontId="17" fillId="5" borderId="14" xfId="3" applyFont="1" applyFill="1" applyBorder="1" applyAlignment="1">
      <alignment vertical="center"/>
    </xf>
    <xf numFmtId="14" fontId="10" fillId="0" borderId="25" xfId="2" applyNumberFormat="1" applyFont="1" applyBorder="1"/>
    <xf numFmtId="0" fontId="23" fillId="9" borderId="26" xfId="3" applyFont="1" applyFill="1" applyBorder="1" applyAlignment="1">
      <alignment horizontal="center" vertical="center"/>
    </xf>
    <xf numFmtId="164" fontId="24" fillId="9" borderId="27" xfId="3" applyNumberFormat="1" applyFont="1" applyFill="1" applyBorder="1" applyAlignment="1">
      <alignment vertical="center"/>
    </xf>
    <xf numFmtId="0" fontId="24" fillId="9" borderId="27" xfId="3" applyFont="1" applyFill="1" applyBorder="1" applyAlignment="1">
      <alignment horizontal="center" vertical="center"/>
    </xf>
    <xf numFmtId="0" fontId="4" fillId="0" borderId="4" xfId="3" applyFont="1" applyBorder="1" applyAlignment="1">
      <alignment horizontal="center" vertical="center"/>
    </xf>
    <xf numFmtId="0" fontId="4" fillId="0" borderId="0" xfId="3" applyFont="1" applyAlignment="1">
      <alignment horizontal="center" vertical="center"/>
    </xf>
    <xf numFmtId="0" fontId="4" fillId="0" borderId="29" xfId="3" applyFont="1" applyBorder="1" applyAlignment="1">
      <alignment horizontal="center" vertical="center"/>
    </xf>
    <xf numFmtId="0" fontId="4" fillId="0" borderId="30" xfId="3" applyFont="1" applyBorder="1" applyAlignment="1">
      <alignment horizontal="center" vertical="center"/>
    </xf>
    <xf numFmtId="0" fontId="4" fillId="0" borderId="31" xfId="3" applyFont="1" applyBorder="1" applyAlignment="1">
      <alignment horizontal="center" vertical="center"/>
    </xf>
    <xf numFmtId="0" fontId="4" fillId="0" borderId="11" xfId="3" applyFont="1" applyBorder="1" applyAlignment="1">
      <alignment horizontal="center" vertical="center"/>
    </xf>
    <xf numFmtId="0" fontId="4" fillId="10" borderId="11" xfId="3" applyFont="1" applyFill="1" applyBorder="1" applyAlignment="1">
      <alignment horizontal="center" vertical="center"/>
    </xf>
    <xf numFmtId="0" fontId="4" fillId="10" borderId="32" xfId="3" applyFont="1" applyFill="1" applyBorder="1" applyAlignment="1">
      <alignment horizontal="center" vertical="center"/>
    </xf>
    <xf numFmtId="165" fontId="12" fillId="0" borderId="0" xfId="2" applyNumberFormat="1" applyFont="1" applyAlignment="1">
      <alignment horizontal="left" vertical="center"/>
    </xf>
    <xf numFmtId="164" fontId="10" fillId="0" borderId="4" xfId="3" applyNumberFormat="1" applyBorder="1" applyAlignment="1">
      <alignment horizontal="center" vertical="center"/>
    </xf>
    <xf numFmtId="164" fontId="10" fillId="0" borderId="0" xfId="3" applyNumberFormat="1" applyAlignment="1">
      <alignment horizontal="center" vertical="center"/>
    </xf>
    <xf numFmtId="164" fontId="10" fillId="0" borderId="33" xfId="3" applyNumberFormat="1" applyBorder="1" applyAlignment="1">
      <alignment horizontal="center" vertical="center"/>
    </xf>
    <xf numFmtId="164" fontId="10" fillId="0" borderId="34" xfId="3" applyNumberFormat="1" applyBorder="1" applyAlignment="1">
      <alignment horizontal="center" vertical="center"/>
    </xf>
    <xf numFmtId="0" fontId="12" fillId="0" borderId="0" xfId="3" applyFont="1" applyAlignment="1">
      <alignment horizontal="right" vertical="center"/>
    </xf>
    <xf numFmtId="0" fontId="10" fillId="0" borderId="35" xfId="3" applyBorder="1" applyAlignment="1">
      <alignment horizontal="center" vertical="center"/>
    </xf>
    <xf numFmtId="0" fontId="10" fillId="0" borderId="0" xfId="3" applyAlignment="1">
      <alignment horizontal="center" vertical="center"/>
    </xf>
    <xf numFmtId="0" fontId="10" fillId="10" borderId="0" xfId="3" applyFill="1" applyAlignment="1">
      <alignment horizontal="center" vertical="center"/>
    </xf>
    <xf numFmtId="0" fontId="10" fillId="10" borderId="36" xfId="3" applyFill="1" applyBorder="1" applyAlignment="1">
      <alignment horizontal="center" vertical="center"/>
    </xf>
    <xf numFmtId="165" fontId="12" fillId="0" borderId="0" xfId="2" applyNumberFormat="1" applyFont="1" applyAlignment="1">
      <alignment horizontal="left"/>
    </xf>
    <xf numFmtId="164" fontId="10" fillId="0" borderId="10" xfId="3" applyNumberFormat="1" applyBorder="1" applyAlignment="1">
      <alignment horizontal="center" vertical="center"/>
    </xf>
    <xf numFmtId="164" fontId="10" fillId="0" borderId="11" xfId="3" applyNumberFormat="1" applyBorder="1" applyAlignment="1">
      <alignment horizontal="center" vertical="center"/>
    </xf>
    <xf numFmtId="164" fontId="10" fillId="0" borderId="37" xfId="3" applyNumberFormat="1" applyBorder="1" applyAlignment="1">
      <alignment horizontal="center" vertical="center"/>
    </xf>
    <xf numFmtId="164" fontId="10" fillId="0" borderId="38" xfId="3" applyNumberFormat="1" applyBorder="1" applyAlignment="1">
      <alignment horizontal="center" vertical="center"/>
    </xf>
    <xf numFmtId="0" fontId="10" fillId="0" borderId="39" xfId="3" applyBorder="1" applyAlignment="1">
      <alignment horizontal="center" vertical="center"/>
    </xf>
    <xf numFmtId="0" fontId="10" fillId="0" borderId="25" xfId="3" applyBorder="1" applyAlignment="1">
      <alignment horizontal="center" vertical="center"/>
    </xf>
    <xf numFmtId="167" fontId="12" fillId="11" borderId="25" xfId="3" applyNumberFormat="1" applyFont="1" applyFill="1" applyBorder="1" applyAlignment="1">
      <alignment horizontal="center" vertical="center"/>
    </xf>
    <xf numFmtId="167" fontId="10" fillId="11" borderId="40" xfId="3" applyNumberFormat="1" applyFill="1" applyBorder="1" applyAlignment="1">
      <alignment horizontal="center" vertical="center"/>
    </xf>
    <xf numFmtId="0" fontId="12" fillId="0" borderId="0" xfId="2" applyFont="1" applyAlignment="1">
      <alignment horizontal="left" vertical="center"/>
    </xf>
    <xf numFmtId="0" fontId="12" fillId="0" borderId="0" xfId="2" applyFont="1" applyAlignment="1">
      <alignment horizontal="left"/>
    </xf>
    <xf numFmtId="0" fontId="10" fillId="0" borderId="11" xfId="3" applyBorder="1" applyAlignment="1">
      <alignment horizontal="center" vertical="center"/>
    </xf>
    <xf numFmtId="0" fontId="25" fillId="9" borderId="26" xfId="3" applyFont="1" applyFill="1" applyBorder="1" applyAlignment="1">
      <alignment horizontal="center" vertical="center"/>
    </xf>
    <xf numFmtId="0" fontId="10" fillId="0" borderId="0" xfId="3" applyAlignment="1">
      <alignment vertical="center"/>
    </xf>
    <xf numFmtId="0" fontId="27" fillId="5" borderId="14" xfId="3" applyFont="1" applyFill="1" applyBorder="1" applyAlignment="1">
      <alignment vertical="center"/>
    </xf>
    <xf numFmtId="0" fontId="10" fillId="0" borderId="0" xfId="2" applyFont="1" applyAlignment="1">
      <alignment horizontal="right"/>
    </xf>
    <xf numFmtId="168" fontId="12" fillId="0" borderId="0" xfId="2" applyNumberFormat="1" applyFont="1" applyAlignment="1">
      <alignment horizontal="center"/>
    </xf>
    <xf numFmtId="0" fontId="12" fillId="0" borderId="0" xfId="2" applyFont="1"/>
    <xf numFmtId="0" fontId="12" fillId="0" borderId="0" xfId="2" applyFont="1" applyAlignment="1">
      <alignment horizontal="right"/>
    </xf>
    <xf numFmtId="0" fontId="10" fillId="0" borderId="0" xfId="2" applyFont="1" applyAlignment="1">
      <alignment horizontal="center" vertical="top"/>
    </xf>
    <xf numFmtId="0" fontId="10" fillId="0" borderId="0" xfId="2" applyFont="1" applyAlignment="1">
      <alignment vertical="top"/>
    </xf>
    <xf numFmtId="14" fontId="0" fillId="0" borderId="0" xfId="0" applyNumberFormat="1"/>
    <xf numFmtId="0" fontId="9" fillId="8" borderId="9" xfId="2" applyFill="1" applyBorder="1" applyAlignment="1">
      <alignment horizontal="center" vertical="center"/>
    </xf>
    <xf numFmtId="169" fontId="0" fillId="0" borderId="0" xfId="0" applyNumberFormat="1"/>
    <xf numFmtId="0" fontId="1" fillId="13" borderId="0" xfId="0" applyFont="1" applyFill="1"/>
    <xf numFmtId="169" fontId="0" fillId="15" borderId="0" xfId="0" applyNumberFormat="1" applyFill="1"/>
    <xf numFmtId="0" fontId="0" fillId="15" borderId="0" xfId="0" applyFill="1"/>
    <xf numFmtId="0" fontId="10" fillId="0" borderId="0" xfId="2" applyFont="1" applyAlignment="1">
      <alignment horizontal="center" vertical="center"/>
    </xf>
    <xf numFmtId="0" fontId="12" fillId="0" borderId="0" xfId="2" applyFont="1" applyAlignment="1">
      <alignment horizontal="center" vertical="center"/>
    </xf>
    <xf numFmtId="170" fontId="0" fillId="0" borderId="0" xfId="0" applyNumberFormat="1"/>
    <xf numFmtId="0" fontId="12" fillId="0" borderId="0" xfId="2" applyFont="1" applyAlignment="1">
      <alignment vertical="top"/>
    </xf>
    <xf numFmtId="167" fontId="12" fillId="0" borderId="0" xfId="2" applyNumberFormat="1" applyFont="1" applyAlignment="1">
      <alignment vertical="top"/>
    </xf>
    <xf numFmtId="0" fontId="12" fillId="12" borderId="9" xfId="2" applyFont="1" applyFill="1" applyBorder="1" applyAlignment="1">
      <alignment horizontal="left" vertical="top"/>
    </xf>
    <xf numFmtId="0" fontId="12" fillId="13" borderId="9" xfId="2" applyFont="1" applyFill="1" applyBorder="1" applyAlignment="1">
      <alignment horizontal="left" vertical="top"/>
    </xf>
    <xf numFmtId="0" fontId="12" fillId="14" borderId="9" xfId="2" applyFont="1" applyFill="1" applyBorder="1" applyAlignment="1">
      <alignment horizontal="left" vertical="top"/>
    </xf>
    <xf numFmtId="0" fontId="12" fillId="13" borderId="9" xfId="2" applyFont="1" applyFill="1" applyBorder="1" applyAlignment="1">
      <alignment horizontal="right" vertical="top"/>
    </xf>
    <xf numFmtId="0" fontId="12" fillId="7" borderId="0" xfId="2" applyFont="1" applyFill="1"/>
    <xf numFmtId="0" fontId="7" fillId="0" borderId="0" xfId="2" applyFont="1"/>
    <xf numFmtId="0" fontId="9" fillId="7" borderId="3" xfId="2" applyFill="1" applyBorder="1" applyAlignment="1">
      <alignment horizontal="center"/>
    </xf>
    <xf numFmtId="0" fontId="9" fillId="7" borderId="8" xfId="2" applyFill="1" applyBorder="1" applyAlignment="1">
      <alignment horizontal="center"/>
    </xf>
    <xf numFmtId="0" fontId="9" fillId="7" borderId="12" xfId="2" applyFill="1" applyBorder="1" applyAlignment="1">
      <alignment horizontal="center"/>
    </xf>
    <xf numFmtId="0" fontId="13" fillId="0" borderId="9" xfId="2" applyFont="1" applyBorder="1"/>
    <xf numFmtId="0" fontId="17" fillId="5" borderId="8" xfId="3" applyFont="1" applyFill="1" applyBorder="1" applyAlignment="1">
      <alignment vertical="center"/>
    </xf>
    <xf numFmtId="0" fontId="27" fillId="0" borderId="4" xfId="3" applyFont="1" applyBorder="1" applyAlignment="1">
      <alignment horizontal="left" vertical="center" wrapText="1"/>
    </xf>
    <xf numFmtId="0" fontId="27" fillId="0" borderId="10" xfId="3" applyFont="1" applyBorder="1" applyAlignment="1">
      <alignment horizontal="left" vertical="center" wrapText="1"/>
    </xf>
    <xf numFmtId="0" fontId="10" fillId="0" borderId="10" xfId="2" applyFont="1" applyBorder="1"/>
    <xf numFmtId="0" fontId="10" fillId="0" borderId="4" xfId="2" applyFont="1" applyBorder="1"/>
    <xf numFmtId="0" fontId="18" fillId="0" borderId="4" xfId="3" applyFont="1" applyBorder="1" applyAlignment="1">
      <alignment horizontal="center" vertical="center"/>
    </xf>
    <xf numFmtId="164" fontId="7" fillId="0" borderId="4" xfId="3" applyNumberFormat="1" applyFont="1" applyBorder="1" applyAlignment="1">
      <alignment horizontal="left" vertical="center"/>
    </xf>
    <xf numFmtId="0" fontId="27" fillId="0" borderId="1" xfId="3" applyFont="1" applyBorder="1" applyAlignment="1">
      <alignment horizontal="left" vertical="center" wrapText="1"/>
    </xf>
    <xf numFmtId="0" fontId="10" fillId="16" borderId="12" xfId="3" applyFill="1" applyBorder="1" applyAlignment="1">
      <alignment horizontal="center" vertical="center"/>
    </xf>
    <xf numFmtId="0" fontId="10" fillId="16" borderId="10" xfId="3" applyFill="1" applyBorder="1" applyAlignment="1">
      <alignment horizontal="center" vertical="center"/>
    </xf>
    <xf numFmtId="0" fontId="10" fillId="16" borderId="11" xfId="3" applyFill="1" applyBorder="1" applyAlignment="1">
      <alignment horizontal="center" vertical="center"/>
    </xf>
    <xf numFmtId="0" fontId="10" fillId="0" borderId="10" xfId="3" applyBorder="1" applyAlignment="1">
      <alignment horizontal="center" vertical="center"/>
    </xf>
    <xf numFmtId="0" fontId="10" fillId="16" borderId="8" xfId="3" applyFill="1" applyBorder="1" applyAlignment="1">
      <alignment horizontal="center" vertical="center"/>
    </xf>
    <xf numFmtId="0" fontId="10" fillId="16" borderId="4" xfId="3" applyFill="1" applyBorder="1" applyAlignment="1">
      <alignment horizontal="center" vertical="center"/>
    </xf>
    <xf numFmtId="0" fontId="10" fillId="16" borderId="0" xfId="3" applyFill="1" applyAlignment="1">
      <alignment horizontal="center" vertical="center"/>
    </xf>
    <xf numFmtId="0" fontId="10" fillId="0" borderId="4" xfId="3" applyBorder="1" applyAlignment="1">
      <alignment horizontal="center" vertical="center"/>
    </xf>
    <xf numFmtId="0" fontId="10" fillId="0" borderId="8" xfId="2" applyFont="1" applyBorder="1"/>
    <xf numFmtId="0" fontId="4" fillId="16" borderId="7" xfId="3" applyFont="1" applyFill="1" applyBorder="1" applyAlignment="1">
      <alignment horizontal="center" vertical="center"/>
    </xf>
    <xf numFmtId="0" fontId="4" fillId="16" borderId="5" xfId="3" applyFont="1" applyFill="1" applyBorder="1" applyAlignment="1">
      <alignment horizontal="center" vertical="center"/>
    </xf>
    <xf numFmtId="0" fontId="4" fillId="16" borderId="6" xfId="3" applyFont="1" applyFill="1" applyBorder="1" applyAlignment="1">
      <alignment horizontal="center" vertical="center"/>
    </xf>
    <xf numFmtId="0" fontId="4" fillId="0" borderId="6" xfId="3" applyFont="1" applyBorder="1" applyAlignment="1">
      <alignment horizontal="center" vertical="center"/>
    </xf>
    <xf numFmtId="0" fontId="4" fillId="0" borderId="5" xfId="3" applyFont="1" applyBorder="1" applyAlignment="1">
      <alignment horizontal="center" vertical="center"/>
    </xf>
    <xf numFmtId="0" fontId="9" fillId="0" borderId="4" xfId="2" applyBorder="1" applyAlignment="1" applyProtection="1">
      <alignment vertical="center"/>
      <protection locked="0"/>
    </xf>
    <xf numFmtId="164" fontId="10" fillId="10" borderId="12" xfId="3" applyNumberFormat="1" applyFill="1" applyBorder="1" applyAlignment="1">
      <alignment horizontal="center" vertical="center"/>
    </xf>
    <xf numFmtId="164" fontId="10" fillId="10" borderId="10" xfId="3" applyNumberFormat="1" applyFill="1" applyBorder="1" applyAlignment="1">
      <alignment horizontal="center" vertical="center"/>
    </xf>
    <xf numFmtId="164" fontId="10" fillId="10" borderId="8" xfId="3" applyNumberFormat="1" applyFill="1" applyBorder="1" applyAlignment="1">
      <alignment horizontal="center" vertical="center"/>
    </xf>
    <xf numFmtId="164" fontId="10" fillId="10" borderId="4" xfId="3" applyNumberFormat="1" applyFill="1" applyBorder="1" applyAlignment="1">
      <alignment horizontal="center" vertical="center"/>
    </xf>
    <xf numFmtId="0" fontId="27" fillId="0" borderId="10" xfId="3" applyFont="1" applyBorder="1" applyAlignment="1">
      <alignment horizontal="left" vertical="top" wrapText="1"/>
    </xf>
    <xf numFmtId="164" fontId="10" fillId="10" borderId="3" xfId="3" applyNumberFormat="1" applyFill="1" applyBorder="1" applyAlignment="1">
      <alignment horizontal="center" vertical="center"/>
    </xf>
    <xf numFmtId="164" fontId="10" fillId="10" borderId="1" xfId="3" applyNumberFormat="1" applyFill="1" applyBorder="1" applyAlignment="1">
      <alignment horizontal="center" vertical="center"/>
    </xf>
    <xf numFmtId="164" fontId="10" fillId="0" borderId="2" xfId="3" applyNumberFormat="1" applyBorder="1" applyAlignment="1">
      <alignment horizontal="center" vertical="center"/>
    </xf>
    <xf numFmtId="164" fontId="10" fillId="0" borderId="1" xfId="3" applyNumberFormat="1" applyBorder="1" applyAlignment="1">
      <alignment horizontal="center" vertical="center"/>
    </xf>
    <xf numFmtId="0" fontId="4" fillId="10" borderId="7" xfId="3" applyFont="1" applyFill="1" applyBorder="1" applyAlignment="1">
      <alignment horizontal="center" vertical="center"/>
    </xf>
    <xf numFmtId="0" fontId="4" fillId="10" borderId="5" xfId="3" applyFont="1" applyFill="1" applyBorder="1" applyAlignment="1">
      <alignment horizontal="center" vertical="center"/>
    </xf>
    <xf numFmtId="164" fontId="10" fillId="0" borderId="0" xfId="2" applyNumberFormat="1" applyFont="1"/>
    <xf numFmtId="0" fontId="9" fillId="0" borderId="10" xfId="2" applyBorder="1" applyAlignment="1" applyProtection="1">
      <alignment vertical="center"/>
      <protection locked="0"/>
    </xf>
    <xf numFmtId="0" fontId="9" fillId="0" borderId="8" xfId="2" applyBorder="1" applyAlignment="1" applyProtection="1">
      <alignment horizontal="center" vertical="center"/>
      <protection locked="0"/>
    </xf>
    <xf numFmtId="0" fontId="10" fillId="0" borderId="9" xfId="3" applyBorder="1" applyAlignment="1">
      <alignment horizontal="center" vertical="center"/>
    </xf>
    <xf numFmtId="14" fontId="9" fillId="0" borderId="3" xfId="2" applyNumberFormat="1" applyBorder="1" applyAlignment="1" applyProtection="1">
      <alignment horizontal="center" vertical="center"/>
      <protection locked="0"/>
    </xf>
    <xf numFmtId="0" fontId="9" fillId="0" borderId="1" xfId="2" applyBorder="1" applyAlignment="1" applyProtection="1">
      <alignment vertical="center"/>
      <protection locked="0"/>
    </xf>
    <xf numFmtId="14" fontId="10" fillId="0" borderId="9" xfId="3" applyNumberFormat="1" applyBorder="1" applyAlignment="1">
      <alignment horizontal="center" vertical="center"/>
    </xf>
    <xf numFmtId="0" fontId="9" fillId="0" borderId="11" xfId="2" applyBorder="1" applyAlignment="1" applyProtection="1">
      <alignment horizontal="center" vertical="center"/>
      <protection locked="0"/>
    </xf>
    <xf numFmtId="0" fontId="9" fillId="0" borderId="11" xfId="2" applyBorder="1" applyAlignment="1" applyProtection="1">
      <alignment vertical="center"/>
      <protection locked="0"/>
    </xf>
    <xf numFmtId="0" fontId="10" fillId="0" borderId="0" xfId="3" applyAlignment="1">
      <alignment horizontal="right" vertical="center"/>
    </xf>
    <xf numFmtId="0" fontId="10" fillId="0" borderId="0" xfId="2" applyFont="1" applyAlignment="1">
      <alignment horizontal="left" vertical="center"/>
    </xf>
    <xf numFmtId="0" fontId="17" fillId="5" borderId="8" xfId="3" applyFont="1" applyFill="1" applyBorder="1" applyAlignment="1">
      <alignment horizontal="center" vertical="center"/>
    </xf>
    <xf numFmtId="0" fontId="7" fillId="0" borderId="4" xfId="3" applyFont="1" applyBorder="1" applyAlignment="1">
      <alignment horizontal="center" vertical="center"/>
    </xf>
    <xf numFmtId="0" fontId="7" fillId="0" borderId="3" xfId="3" applyFont="1" applyBorder="1" applyAlignment="1">
      <alignment horizontal="center" vertical="center"/>
    </xf>
    <xf numFmtId="0" fontId="7" fillId="0" borderId="1" xfId="3" applyFont="1" applyBorder="1" applyAlignment="1">
      <alignment horizontal="center" vertical="center"/>
    </xf>
    <xf numFmtId="0" fontId="7" fillId="0" borderId="13" xfId="2" applyFont="1" applyBorder="1" applyAlignment="1">
      <alignment horizontal="center" vertical="center"/>
    </xf>
    <xf numFmtId="0" fontId="27" fillId="0" borderId="8" xfId="3" applyFont="1" applyBorder="1" applyAlignment="1">
      <alignment horizontal="left" vertical="center" wrapText="1"/>
    </xf>
    <xf numFmtId="0" fontId="18" fillId="0" borderId="8" xfId="3" applyFont="1" applyBorder="1" applyAlignment="1">
      <alignment horizontal="center" vertical="center"/>
    </xf>
    <xf numFmtId="164" fontId="7" fillId="0" borderId="8" xfId="3" applyNumberFormat="1" applyFont="1" applyBorder="1" applyAlignment="1">
      <alignment horizontal="left" vertical="center"/>
    </xf>
    <xf numFmtId="0" fontId="10" fillId="10" borderId="12" xfId="3" applyFill="1" applyBorder="1" applyAlignment="1">
      <alignment horizontal="center" vertical="center"/>
    </xf>
    <xf numFmtId="0" fontId="10" fillId="10" borderId="10" xfId="3" applyFill="1" applyBorder="1" applyAlignment="1">
      <alignment horizontal="center" vertical="center"/>
    </xf>
    <xf numFmtId="0" fontId="10" fillId="10" borderId="8" xfId="3" applyFill="1" applyBorder="1" applyAlignment="1">
      <alignment horizontal="center" vertical="center"/>
    </xf>
    <xf numFmtId="0" fontId="10" fillId="10" borderId="4" xfId="3" applyFill="1" applyBorder="1" applyAlignment="1">
      <alignment horizontal="center" vertical="center"/>
    </xf>
    <xf numFmtId="0" fontId="7" fillId="0" borderId="2" xfId="3" applyFont="1" applyBorder="1" applyAlignment="1">
      <alignment horizontal="center" vertical="center"/>
    </xf>
    <xf numFmtId="0" fontId="7" fillId="0" borderId="8" xfId="3" applyFont="1" applyBorder="1" applyAlignment="1">
      <alignment horizontal="center" vertical="center"/>
    </xf>
    <xf numFmtId="49" fontId="9" fillId="0" borderId="3" xfId="2" applyNumberFormat="1" applyBorder="1" applyAlignment="1" applyProtection="1">
      <alignment horizontal="center" vertical="center"/>
      <protection locked="0"/>
    </xf>
    <xf numFmtId="171" fontId="10" fillId="0" borderId="0" xfId="3" applyNumberFormat="1" applyAlignment="1">
      <alignment vertical="center"/>
    </xf>
    <xf numFmtId="0" fontId="16" fillId="0" borderId="16" xfId="3" applyFont="1" applyBorder="1" applyAlignment="1">
      <alignment horizontal="right"/>
    </xf>
    <xf numFmtId="0" fontId="30" fillId="0" borderId="16" xfId="3" applyFont="1" applyBorder="1" applyAlignment="1">
      <alignment horizontal="right"/>
    </xf>
    <xf numFmtId="0" fontId="17" fillId="0" borderId="20" xfId="3" applyFont="1" applyBorder="1" applyAlignment="1">
      <alignment vertical="center"/>
    </xf>
    <xf numFmtId="0" fontId="17" fillId="0" borderId="42" xfId="3" applyFont="1" applyBorder="1" applyAlignment="1">
      <alignment vertical="center"/>
    </xf>
    <xf numFmtId="0" fontId="10" fillId="0" borderId="44" xfId="3" applyBorder="1" applyAlignment="1">
      <alignment vertical="center"/>
    </xf>
    <xf numFmtId="0" fontId="17" fillId="0" borderId="45" xfId="3" applyFont="1" applyBorder="1" applyAlignment="1">
      <alignment vertical="center"/>
    </xf>
    <xf numFmtId="0" fontId="17" fillId="0" borderId="44" xfId="3" applyFont="1" applyBorder="1" applyAlignment="1">
      <alignment vertical="center"/>
    </xf>
    <xf numFmtId="0" fontId="10" fillId="0" borderId="41" xfId="3" applyBorder="1" applyAlignment="1">
      <alignment vertical="center"/>
    </xf>
    <xf numFmtId="0" fontId="17" fillId="0" borderId="41" xfId="3" applyFont="1" applyBorder="1" applyAlignment="1">
      <alignment vertical="center"/>
    </xf>
    <xf numFmtId="0" fontId="17" fillId="0" borderId="46" xfId="3" applyFont="1" applyBorder="1" applyAlignment="1">
      <alignment vertical="center"/>
    </xf>
    <xf numFmtId="0" fontId="17" fillId="0" borderId="47" xfId="3" applyFont="1" applyBorder="1" applyAlignment="1">
      <alignment vertical="center"/>
    </xf>
    <xf numFmtId="0" fontId="10" fillId="0" borderId="16" xfId="3" applyBorder="1" applyAlignment="1">
      <alignment vertical="center"/>
    </xf>
    <xf numFmtId="0" fontId="30" fillId="0" borderId="0" xfId="3" applyFont="1" applyAlignment="1">
      <alignment horizontal="right"/>
    </xf>
    <xf numFmtId="0" fontId="17" fillId="0" borderId="48" xfId="3" applyFont="1" applyBorder="1" applyAlignment="1">
      <alignment vertical="center"/>
    </xf>
    <xf numFmtId="0" fontId="17" fillId="0" borderId="49" xfId="3" applyFont="1" applyBorder="1" applyAlignment="1">
      <alignment vertical="center"/>
    </xf>
    <xf numFmtId="0" fontId="17" fillId="0" borderId="50" xfId="3" applyFont="1" applyBorder="1" applyAlignment="1">
      <alignment vertical="center"/>
    </xf>
    <xf numFmtId="0" fontId="17" fillId="0" borderId="51" xfId="3" applyFont="1" applyBorder="1" applyAlignment="1">
      <alignment vertical="center"/>
    </xf>
    <xf numFmtId="0" fontId="10" fillId="0" borderId="43" xfId="3" applyBorder="1" applyAlignment="1">
      <alignment vertical="center"/>
    </xf>
    <xf numFmtId="0" fontId="17" fillId="0" borderId="52" xfId="3" applyFont="1" applyBorder="1" applyAlignment="1">
      <alignment vertical="center"/>
    </xf>
    <xf numFmtId="0" fontId="17" fillId="0" borderId="43" xfId="3" applyFont="1" applyBorder="1" applyAlignment="1">
      <alignment vertical="center"/>
    </xf>
    <xf numFmtId="0" fontId="10" fillId="0" borderId="12" xfId="3" applyBorder="1" applyAlignment="1">
      <alignment vertical="center"/>
    </xf>
    <xf numFmtId="0" fontId="10" fillId="0" borderId="10" xfId="3" applyBorder="1" applyAlignment="1">
      <alignment vertical="center"/>
    </xf>
    <xf numFmtId="0" fontId="10" fillId="0" borderId="8" xfId="3" applyBorder="1" applyAlignment="1">
      <alignment vertical="center"/>
    </xf>
    <xf numFmtId="0" fontId="10" fillId="0" borderId="4" xfId="3" applyBorder="1" applyAlignment="1">
      <alignment vertical="center"/>
    </xf>
    <xf numFmtId="0" fontId="27" fillId="0" borderId="0" xfId="3" applyFont="1" applyAlignment="1">
      <alignment vertical="center" wrapText="1"/>
    </xf>
    <xf numFmtId="0" fontId="10" fillId="0" borderId="0" xfId="3"/>
    <xf numFmtId="0" fontId="6" fillId="0" borderId="16" xfId="3" applyFont="1" applyBorder="1" applyAlignment="1">
      <alignment vertical="center"/>
    </xf>
    <xf numFmtId="0" fontId="22" fillId="0" borderId="16" xfId="3" applyFont="1" applyBorder="1" applyAlignment="1">
      <alignment horizontal="center" wrapText="1"/>
    </xf>
    <xf numFmtId="14" fontId="27" fillId="0" borderId="0" xfId="3" applyNumberFormat="1" applyFont="1" applyAlignment="1">
      <alignment horizontal="center" vertical="center"/>
    </xf>
    <xf numFmtId="0" fontId="17" fillId="0" borderId="8" xfId="3" applyFont="1" applyBorder="1" applyAlignment="1">
      <alignment vertical="center"/>
    </xf>
    <xf numFmtId="0" fontId="27" fillId="0" borderId="0" xfId="3" applyFont="1" applyAlignment="1">
      <alignment horizontal="justify" vertical="top" wrapText="1"/>
    </xf>
    <xf numFmtId="0" fontId="34" fillId="0" borderId="8" xfId="3" applyFont="1" applyBorder="1" applyAlignment="1">
      <alignment horizontal="center" vertical="top" wrapText="1"/>
    </xf>
    <xf numFmtId="164" fontId="10" fillId="0" borderId="0" xfId="3" applyNumberFormat="1" applyAlignment="1">
      <alignment vertical="center"/>
    </xf>
    <xf numFmtId="0" fontId="10" fillId="5" borderId="14" xfId="3" applyFill="1" applyBorder="1" applyAlignment="1">
      <alignment vertical="center"/>
    </xf>
    <xf numFmtId="0" fontId="10" fillId="10" borderId="40" xfId="3" applyFill="1" applyBorder="1" applyAlignment="1">
      <alignment horizontal="center" vertical="center"/>
    </xf>
    <xf numFmtId="0" fontId="10" fillId="10" borderId="39" xfId="3" applyFill="1" applyBorder="1" applyAlignment="1">
      <alignment horizontal="center" vertical="center"/>
    </xf>
    <xf numFmtId="164" fontId="12" fillId="0" borderId="46" xfId="3" applyNumberFormat="1" applyFont="1" applyBorder="1" applyAlignment="1">
      <alignment horizontal="center" vertical="center"/>
    </xf>
    <xf numFmtId="164" fontId="12" fillId="0" borderId="47" xfId="3" applyNumberFormat="1" applyFont="1" applyBorder="1" applyAlignment="1">
      <alignment horizontal="center" vertical="center"/>
    </xf>
    <xf numFmtId="164" fontId="12" fillId="0" borderId="16" xfId="3" applyNumberFormat="1" applyFont="1" applyBorder="1" applyAlignment="1">
      <alignment horizontal="center" vertical="center"/>
    </xf>
    <xf numFmtId="0" fontId="10" fillId="10" borderId="35" xfId="3" applyFill="1" applyBorder="1" applyAlignment="1">
      <alignment horizontal="center" vertical="center"/>
    </xf>
    <xf numFmtId="164" fontId="12" fillId="0" borderId="20" xfId="3" applyNumberFormat="1" applyFont="1" applyBorder="1" applyAlignment="1">
      <alignment horizontal="center" vertical="center"/>
    </xf>
    <xf numFmtId="164" fontId="12" fillId="0" borderId="42" xfId="3" applyNumberFormat="1" applyFont="1" applyBorder="1" applyAlignment="1">
      <alignment horizontal="center" vertical="center"/>
    </xf>
    <xf numFmtId="164" fontId="12" fillId="0" borderId="0" xfId="3" applyNumberFormat="1" applyFont="1" applyAlignment="1">
      <alignment horizontal="center" vertical="center"/>
    </xf>
    <xf numFmtId="0" fontId="27" fillId="0" borderId="16" xfId="3" applyFont="1" applyBorder="1" applyAlignment="1">
      <alignment horizontal="left" vertical="center"/>
    </xf>
    <xf numFmtId="0" fontId="4" fillId="10" borderId="36" xfId="3" applyFont="1" applyFill="1" applyBorder="1" applyAlignment="1">
      <alignment horizontal="center" vertical="center"/>
    </xf>
    <xf numFmtId="0" fontId="4" fillId="10" borderId="35" xfId="3" applyFont="1" applyFill="1" applyBorder="1" applyAlignment="1">
      <alignment horizontal="center" vertical="center"/>
    </xf>
    <xf numFmtId="0" fontId="4" fillId="0" borderId="35" xfId="3" applyFont="1" applyBorder="1" applyAlignment="1">
      <alignment horizontal="center" vertical="center"/>
    </xf>
    <xf numFmtId="0" fontId="4" fillId="0" borderId="20" xfId="3" applyFont="1" applyBorder="1" applyAlignment="1">
      <alignment horizontal="center" vertical="center"/>
    </xf>
    <xf numFmtId="0" fontId="4" fillId="0" borderId="42" xfId="3" applyFont="1" applyBorder="1" applyAlignment="1">
      <alignment horizontal="center" vertical="center"/>
    </xf>
    <xf numFmtId="0" fontId="27" fillId="0" borderId="0" xfId="3" applyFont="1" applyAlignment="1">
      <alignment vertical="center"/>
    </xf>
    <xf numFmtId="0" fontId="35" fillId="9" borderId="56" xfId="3" applyFont="1" applyFill="1" applyBorder="1" applyAlignment="1">
      <alignment horizontal="center" vertical="center"/>
    </xf>
    <xf numFmtId="164" fontId="36" fillId="0" borderId="20" xfId="3" applyNumberFormat="1" applyFont="1" applyBorder="1" applyAlignment="1">
      <alignment horizontal="center" vertical="center"/>
    </xf>
    <xf numFmtId="164" fontId="36" fillId="0" borderId="42" xfId="3" applyNumberFormat="1" applyFont="1" applyBorder="1" applyAlignment="1">
      <alignment horizontal="center" vertical="center"/>
    </xf>
    <xf numFmtId="164" fontId="36" fillId="0" borderId="0" xfId="3" applyNumberFormat="1" applyFont="1" applyAlignment="1">
      <alignment horizontal="center" vertical="center"/>
    </xf>
    <xf numFmtId="0" fontId="4" fillId="10" borderId="31" xfId="3" applyFont="1" applyFill="1" applyBorder="1" applyAlignment="1">
      <alignment horizontal="center" vertical="center"/>
    </xf>
    <xf numFmtId="0" fontId="27" fillId="0" borderId="0" xfId="3" applyFont="1" applyAlignment="1">
      <alignment horizontal="left" vertical="center"/>
    </xf>
    <xf numFmtId="0" fontId="4" fillId="0" borderId="46" xfId="3" applyFont="1" applyBorder="1" applyAlignment="1">
      <alignment horizontal="center" vertical="center"/>
    </xf>
    <xf numFmtId="0" fontId="4" fillId="0" borderId="16" xfId="3" applyFont="1" applyBorder="1" applyAlignment="1">
      <alignment horizontal="center" vertical="center"/>
    </xf>
    <xf numFmtId="0" fontId="4" fillId="0" borderId="47" xfId="3" applyFont="1" applyBorder="1" applyAlignment="1">
      <alignment horizontal="center" vertical="center"/>
    </xf>
    <xf numFmtId="0" fontId="27" fillId="0" borderId="16" xfId="3" applyFont="1" applyBorder="1" applyAlignment="1">
      <alignment vertical="center"/>
    </xf>
    <xf numFmtId="0" fontId="23" fillId="9" borderId="28" xfId="3" applyFont="1" applyFill="1" applyBorder="1" applyAlignment="1">
      <alignment horizontal="center" vertical="center"/>
    </xf>
    <xf numFmtId="0" fontId="23" fillId="9" borderId="27" xfId="3" applyFont="1" applyFill="1" applyBorder="1" applyAlignment="1">
      <alignment horizontal="center" vertical="center"/>
    </xf>
    <xf numFmtId="0" fontId="35" fillId="9" borderId="10" xfId="3" applyFont="1" applyFill="1" applyBorder="1" applyAlignment="1">
      <alignment horizontal="center" vertical="center"/>
    </xf>
    <xf numFmtId="0" fontId="17" fillId="9" borderId="56" xfId="3" applyFont="1" applyFill="1" applyBorder="1" applyAlignment="1">
      <alignment horizontal="center" vertical="center"/>
    </xf>
    <xf numFmtId="164" fontId="36" fillId="0" borderId="46" xfId="3" applyNumberFormat="1" applyFont="1" applyBorder="1" applyAlignment="1">
      <alignment horizontal="center" vertical="center"/>
    </xf>
    <xf numFmtId="164" fontId="36" fillId="0" borderId="47" xfId="3" applyNumberFormat="1" applyFont="1" applyBorder="1" applyAlignment="1">
      <alignment horizontal="center" vertical="center"/>
    </xf>
    <xf numFmtId="164" fontId="36" fillId="0" borderId="16" xfId="3" applyNumberFormat="1" applyFont="1" applyBorder="1" applyAlignment="1">
      <alignment horizontal="center" vertical="center"/>
    </xf>
    <xf numFmtId="0" fontId="23" fillId="9" borderId="57" xfId="3" applyFont="1" applyFill="1" applyBorder="1" applyAlignment="1">
      <alignment horizontal="center" vertical="center"/>
    </xf>
    <xf numFmtId="0" fontId="37" fillId="0" borderId="0" xfId="3" applyFont="1" applyAlignment="1">
      <alignment horizontal="right" vertical="center" wrapText="1"/>
    </xf>
    <xf numFmtId="0" fontId="37" fillId="0" borderId="45" xfId="3" applyFont="1" applyBorder="1" applyAlignment="1">
      <alignment horizontal="right" vertical="center" wrapText="1"/>
    </xf>
    <xf numFmtId="0" fontId="16" fillId="0" borderId="0" xfId="3" applyFont="1" applyAlignment="1">
      <alignment horizontal="right" vertical="center"/>
    </xf>
    <xf numFmtId="0" fontId="10" fillId="0" borderId="0" xfId="3" quotePrefix="1" applyAlignment="1">
      <alignment vertical="center"/>
    </xf>
    <xf numFmtId="14" fontId="17" fillId="0" borderId="11" xfId="3" applyNumberFormat="1" applyFont="1" applyBorder="1" applyAlignment="1">
      <alignment vertical="center"/>
    </xf>
    <xf numFmtId="0" fontId="17" fillId="0" borderId="0" xfId="3" applyFont="1" applyAlignment="1">
      <alignment vertical="top"/>
    </xf>
    <xf numFmtId="0" fontId="10" fillId="0" borderId="9" xfId="2" applyFont="1" applyBorder="1" applyAlignment="1">
      <alignment horizontal="center" vertical="center"/>
    </xf>
    <xf numFmtId="0" fontId="9" fillId="0" borderId="0" xfId="2" applyAlignment="1">
      <alignment horizontal="center" vertical="center"/>
    </xf>
    <xf numFmtId="0" fontId="10" fillId="0" borderId="0" xfId="2" applyFont="1" applyAlignment="1">
      <alignment vertical="center"/>
    </xf>
    <xf numFmtId="0" fontId="40" fillId="0" borderId="0" xfId="0" applyFont="1" applyAlignment="1">
      <alignment vertical="center"/>
    </xf>
    <xf numFmtId="0" fontId="42" fillId="0" borderId="0" xfId="0" applyFont="1"/>
    <xf numFmtId="0" fontId="26" fillId="0" borderId="0" xfId="3" applyFont="1" applyAlignment="1">
      <alignment horizontal="left" vertical="top"/>
    </xf>
    <xf numFmtId="0" fontId="26" fillId="0" borderId="0" xfId="3" applyFont="1" applyAlignment="1">
      <alignment vertical="top"/>
    </xf>
    <xf numFmtId="0" fontId="44" fillId="0" borderId="0" xfId="2" applyFont="1" applyAlignment="1">
      <alignment horizontal="right" vertical="top"/>
    </xf>
    <xf numFmtId="167" fontId="12" fillId="0" borderId="0" xfId="2" applyNumberFormat="1" applyFont="1" applyAlignment="1">
      <alignment horizontal="left" vertical="top"/>
    </xf>
    <xf numFmtId="0" fontId="12" fillId="0" borderId="0" xfId="2" applyFont="1" applyAlignment="1">
      <alignment horizontal="left" vertical="top"/>
    </xf>
    <xf numFmtId="164" fontId="12" fillId="0" borderId="0" xfId="2" applyNumberFormat="1" applyFont="1" applyAlignment="1">
      <alignment horizontal="left" vertical="top"/>
    </xf>
    <xf numFmtId="0" fontId="0" fillId="3" borderId="9" xfId="3" applyFont="1" applyFill="1" applyBorder="1" applyAlignment="1">
      <alignment horizontal="center" vertical="center"/>
    </xf>
    <xf numFmtId="0" fontId="9" fillId="3" borderId="9" xfId="2" applyFill="1" applyBorder="1" applyAlignment="1">
      <alignment horizontal="center" vertical="center"/>
    </xf>
    <xf numFmtId="0" fontId="9" fillId="0" borderId="12" xfId="2" applyBorder="1" applyAlignment="1">
      <alignment horizontal="center" vertical="center"/>
    </xf>
    <xf numFmtId="49" fontId="9" fillId="0" borderId="9" xfId="2" applyNumberFormat="1" applyBorder="1" applyAlignment="1" applyProtection="1">
      <alignment horizontal="center" vertical="center"/>
      <protection locked="0"/>
    </xf>
    <xf numFmtId="0" fontId="10" fillId="0" borderId="0" xfId="2" applyFont="1" applyAlignment="1">
      <alignment horizontal="left" vertical="top"/>
    </xf>
    <xf numFmtId="0" fontId="9" fillId="0" borderId="0" xfId="2" applyAlignment="1">
      <alignment vertical="center"/>
    </xf>
    <xf numFmtId="0" fontId="17" fillId="0" borderId="58" xfId="3" applyFont="1" applyBorder="1" applyAlignment="1">
      <alignment vertical="center"/>
    </xf>
    <xf numFmtId="0" fontId="17" fillId="0" borderId="59" xfId="3" applyFont="1" applyBorder="1" applyAlignment="1">
      <alignment vertical="center"/>
    </xf>
    <xf numFmtId="0" fontId="17" fillId="0" borderId="60" xfId="3" applyFont="1" applyBorder="1" applyAlignment="1">
      <alignment vertical="center"/>
    </xf>
    <xf numFmtId="0" fontId="10" fillId="0" borderId="60" xfId="3" applyBorder="1" applyAlignment="1">
      <alignment vertical="center"/>
    </xf>
    <xf numFmtId="0" fontId="39" fillId="0" borderId="52" xfId="3" applyFont="1" applyBorder="1" applyAlignment="1">
      <alignment vertical="center"/>
    </xf>
    <xf numFmtId="0" fontId="27" fillId="0" borderId="0" xfId="3" applyFont="1" applyAlignment="1">
      <alignment horizontal="right" vertical="center" wrapText="1"/>
    </xf>
    <xf numFmtId="0" fontId="16" fillId="0" borderId="0" xfId="3" applyFont="1" applyAlignment="1">
      <alignment vertical="center"/>
    </xf>
    <xf numFmtId="0" fontId="1" fillId="0" borderId="0" xfId="0" applyFont="1" applyAlignment="1">
      <alignment horizontal="center" vertical="center"/>
    </xf>
    <xf numFmtId="164" fontId="7" fillId="0" borderId="12" xfId="3" applyNumberFormat="1" applyFont="1" applyBorder="1" applyAlignment="1">
      <alignment horizontal="right" vertical="center"/>
    </xf>
    <xf numFmtId="0" fontId="43" fillId="0" borderId="0" xfId="3" applyFont="1" applyAlignment="1">
      <alignment horizontal="left" vertical="center"/>
    </xf>
    <xf numFmtId="14" fontId="5" fillId="0" borderId="0" xfId="1" applyNumberFormat="1" applyAlignment="1" applyProtection="1"/>
    <xf numFmtId="49" fontId="9" fillId="0" borderId="0" xfId="2" applyNumberFormat="1"/>
    <xf numFmtId="0" fontId="1" fillId="0" borderId="0" xfId="0" applyFont="1" applyAlignment="1">
      <alignment horizontal="center"/>
    </xf>
    <xf numFmtId="0" fontId="13" fillId="0" borderId="0" xfId="2" applyFont="1" applyAlignment="1">
      <alignment horizontal="center"/>
    </xf>
    <xf numFmtId="0" fontId="3" fillId="0" borderId="45" xfId="3" applyFont="1" applyBorder="1" applyAlignment="1">
      <alignment horizontal="center" vertical="center" wrapText="1"/>
    </xf>
    <xf numFmtId="171" fontId="12" fillId="0" borderId="45" xfId="3" applyNumberFormat="1" applyFont="1" applyBorder="1" applyAlignment="1">
      <alignment horizontal="left" vertical="center"/>
    </xf>
    <xf numFmtId="0" fontId="12" fillId="0" borderId="45" xfId="3" applyFont="1" applyBorder="1" applyAlignment="1">
      <alignment horizontal="left" vertical="center"/>
    </xf>
    <xf numFmtId="0" fontId="6" fillId="0" borderId="61" xfId="3" applyFont="1" applyBorder="1" applyAlignment="1">
      <alignment vertical="center"/>
    </xf>
    <xf numFmtId="0" fontId="17" fillId="0" borderId="61" xfId="3" applyFont="1" applyBorder="1" applyAlignment="1">
      <alignment vertical="center"/>
    </xf>
    <xf numFmtId="0" fontId="12" fillId="0" borderId="0" xfId="3" applyFont="1" applyAlignment="1">
      <alignment horizontal="justify" vertical="top" wrapText="1"/>
    </xf>
    <xf numFmtId="0" fontId="9" fillId="0" borderId="62" xfId="2" applyBorder="1"/>
    <xf numFmtId="0" fontId="2" fillId="0" borderId="0" xfId="2" applyFont="1" applyAlignment="1">
      <alignment horizontal="center"/>
    </xf>
    <xf numFmtId="0" fontId="41" fillId="17" borderId="0" xfId="2" applyFont="1" applyFill="1"/>
    <xf numFmtId="0" fontId="29" fillId="0" borderId="0" xfId="3" applyFont="1"/>
    <xf numFmtId="171" fontId="10" fillId="0" borderId="0" xfId="3" applyNumberFormat="1" applyAlignment="1">
      <alignment horizontal="right" vertical="center"/>
    </xf>
    <xf numFmtId="0" fontId="49" fillId="0" borderId="0" xfId="2" applyFont="1" applyAlignment="1">
      <alignment horizontal="center" vertical="center"/>
    </xf>
    <xf numFmtId="14" fontId="27" fillId="0" borderId="60" xfId="3" applyNumberFormat="1" applyFont="1" applyBorder="1" applyAlignment="1">
      <alignment vertical="center" wrapText="1"/>
    </xf>
    <xf numFmtId="0" fontId="50" fillId="0" borderId="0" xfId="2" applyFont="1"/>
    <xf numFmtId="0" fontId="41" fillId="0" borderId="0" xfId="2" applyFont="1" applyAlignment="1">
      <alignment horizontal="right" vertical="center"/>
    </xf>
    <xf numFmtId="0" fontId="48" fillId="0" borderId="0" xfId="2" applyFont="1" applyAlignment="1">
      <alignment horizontal="right" vertical="center"/>
    </xf>
    <xf numFmtId="0" fontId="49" fillId="0" borderId="0" xfId="2" applyFont="1" applyAlignment="1">
      <alignment horizontal="right" vertical="center"/>
    </xf>
    <xf numFmtId="0" fontId="51" fillId="0" borderId="0" xfId="2" applyFont="1" applyAlignment="1">
      <alignment horizontal="center" vertical="center"/>
    </xf>
    <xf numFmtId="0" fontId="52" fillId="0" borderId="0" xfId="2" applyFont="1" applyAlignment="1">
      <alignment horizontal="center" vertical="center"/>
    </xf>
    <xf numFmtId="0" fontId="53" fillId="0" borderId="0" xfId="2" applyFont="1" applyAlignment="1">
      <alignment horizontal="center" vertical="center"/>
    </xf>
    <xf numFmtId="0" fontId="9" fillId="0" borderId="0" xfId="2" applyAlignment="1">
      <alignment horizontal="left"/>
    </xf>
    <xf numFmtId="14" fontId="10" fillId="0" borderId="64" xfId="3" applyNumberFormat="1" applyBorder="1" applyAlignment="1">
      <alignment vertical="center" wrapText="1"/>
    </xf>
    <xf numFmtId="14" fontId="10" fillId="0" borderId="63" xfId="3" applyNumberFormat="1" applyBorder="1" applyAlignment="1">
      <alignment vertical="center" wrapText="1"/>
    </xf>
    <xf numFmtId="172" fontId="9" fillId="0" borderId="0" xfId="2" applyNumberFormat="1"/>
    <xf numFmtId="0" fontId="9" fillId="13" borderId="62" xfId="2" applyFill="1" applyBorder="1"/>
    <xf numFmtId="0" fontId="2" fillId="0" borderId="0" xfId="2" applyFont="1" applyAlignment="1">
      <alignment vertical="center"/>
    </xf>
    <xf numFmtId="0" fontId="2" fillId="19" borderId="4" xfId="2" applyFont="1" applyFill="1" applyBorder="1"/>
    <xf numFmtId="0" fontId="2" fillId="19" borderId="10" xfId="2" applyFont="1" applyFill="1" applyBorder="1"/>
    <xf numFmtId="0" fontId="2" fillId="19" borderId="11" xfId="2" applyFont="1" applyFill="1" applyBorder="1"/>
    <xf numFmtId="0" fontId="2" fillId="19" borderId="12" xfId="2" applyFont="1" applyFill="1" applyBorder="1"/>
    <xf numFmtId="0" fontId="5" fillId="19" borderId="4" xfId="1" applyFill="1" applyBorder="1" applyAlignment="1" applyProtection="1"/>
    <xf numFmtId="0" fontId="2" fillId="19" borderId="8" xfId="2" applyFont="1" applyFill="1" applyBorder="1" applyAlignment="1">
      <alignment vertical="center"/>
    </xf>
    <xf numFmtId="0" fontId="12" fillId="19" borderId="4" xfId="2" applyFont="1" applyFill="1" applyBorder="1" applyAlignment="1">
      <alignment horizontal="center" vertical="center"/>
    </xf>
    <xf numFmtId="0" fontId="2" fillId="19" borderId="8" xfId="2" applyFont="1" applyFill="1" applyBorder="1"/>
    <xf numFmtId="0" fontId="12" fillId="19" borderId="10" xfId="2" applyFont="1" applyFill="1" applyBorder="1" applyAlignment="1">
      <alignment horizontal="center" vertical="center"/>
    </xf>
    <xf numFmtId="0" fontId="12" fillId="19" borderId="0" xfId="2" applyFont="1" applyFill="1" applyAlignment="1">
      <alignment vertical="center"/>
    </xf>
    <xf numFmtId="0" fontId="2" fillId="19" borderId="68" xfId="2" applyFont="1" applyFill="1" applyBorder="1"/>
    <xf numFmtId="0" fontId="2" fillId="19" borderId="66" xfId="2" applyFont="1" applyFill="1" applyBorder="1"/>
    <xf numFmtId="0" fontId="2" fillId="19" borderId="67" xfId="2" applyFont="1" applyFill="1" applyBorder="1"/>
    <xf numFmtId="0" fontId="2" fillId="19" borderId="0" xfId="2" applyFont="1" applyFill="1"/>
    <xf numFmtId="0" fontId="2" fillId="19" borderId="0" xfId="2" applyFont="1" applyFill="1" applyAlignment="1">
      <alignment horizontal="right" vertical="center"/>
    </xf>
    <xf numFmtId="0" fontId="2" fillId="19" borderId="0" xfId="2" applyFont="1" applyFill="1" applyAlignment="1">
      <alignment horizontal="left"/>
    </xf>
    <xf numFmtId="0" fontId="2" fillId="19" borderId="0" xfId="2" applyFont="1" applyFill="1" applyAlignment="1">
      <alignment vertical="center"/>
    </xf>
    <xf numFmtId="0" fontId="4" fillId="19" borderId="0" xfId="2" applyFont="1" applyFill="1" applyAlignment="1">
      <alignment vertical="top" wrapText="1"/>
    </xf>
    <xf numFmtId="0" fontId="2" fillId="19" borderId="0" xfId="2" applyFont="1" applyFill="1" applyAlignment="1">
      <alignment horizontal="right"/>
    </xf>
    <xf numFmtId="0" fontId="8" fillId="19" borderId="0" xfId="1" applyFont="1" applyFill="1" applyAlignment="1">
      <protection locked="0"/>
    </xf>
    <xf numFmtId="0" fontId="6" fillId="19" borderId="0" xfId="2" applyFont="1" applyFill="1" applyAlignment="1">
      <alignment vertical="top"/>
    </xf>
    <xf numFmtId="0" fontId="2" fillId="19" borderId="12" xfId="2" applyFont="1" applyFill="1" applyBorder="1" applyAlignment="1">
      <alignment vertical="center"/>
    </xf>
    <xf numFmtId="0" fontId="3" fillId="19" borderId="67" xfId="2" applyFont="1" applyFill="1" applyBorder="1"/>
    <xf numFmtId="0" fontId="4" fillId="19" borderId="67" xfId="2" applyFont="1" applyFill="1" applyBorder="1" applyAlignment="1">
      <alignment horizontal="right"/>
    </xf>
    <xf numFmtId="0" fontId="2" fillId="0" borderId="0" xfId="2" applyFont="1" applyAlignment="1">
      <alignment horizontal="right" vertical="center"/>
    </xf>
    <xf numFmtId="0" fontId="2" fillId="0" borderId="65" xfId="2" applyFont="1" applyBorder="1" applyAlignment="1">
      <alignment horizontal="center" vertical="center"/>
    </xf>
    <xf numFmtId="0" fontId="2" fillId="0" borderId="14" xfId="2" applyFont="1" applyBorder="1" applyAlignment="1">
      <alignment horizontal="center" vertical="center"/>
    </xf>
    <xf numFmtId="0" fontId="2" fillId="0" borderId="15" xfId="2" applyFont="1" applyBorder="1" applyAlignment="1">
      <alignment horizontal="center" vertical="center"/>
    </xf>
    <xf numFmtId="0" fontId="2" fillId="0" borderId="62" xfId="2" applyFont="1" applyBorder="1" applyAlignment="1">
      <alignment vertical="center"/>
    </xf>
    <xf numFmtId="0" fontId="2" fillId="0" borderId="62" xfId="2" applyFont="1" applyBorder="1"/>
    <xf numFmtId="14" fontId="2" fillId="0" borderId="62" xfId="2" applyNumberFormat="1" applyFont="1" applyBorder="1" applyAlignment="1">
      <alignment vertical="center"/>
    </xf>
    <xf numFmtId="0" fontId="2" fillId="0" borderId="69" xfId="2" applyFont="1" applyBorder="1" applyAlignment="1">
      <alignment vertical="center"/>
    </xf>
    <xf numFmtId="0" fontId="2" fillId="0" borderId="62" xfId="2" applyFont="1" applyBorder="1" applyAlignment="1">
      <alignment horizontal="center" vertical="center"/>
    </xf>
    <xf numFmtId="0" fontId="2" fillId="18" borderId="62" xfId="2" applyFont="1" applyFill="1" applyBorder="1" applyAlignment="1">
      <alignment vertical="center"/>
    </xf>
    <xf numFmtId="0" fontId="2" fillId="8" borderId="62" xfId="2" applyFont="1" applyFill="1" applyBorder="1" applyAlignment="1">
      <alignment vertical="center"/>
    </xf>
    <xf numFmtId="0" fontId="2" fillId="0" borderId="62" xfId="2" applyFont="1" applyFill="1" applyBorder="1" applyAlignment="1">
      <alignment vertical="center"/>
    </xf>
    <xf numFmtId="0" fontId="2" fillId="0" borderId="62" xfId="2" applyFont="1" applyBorder="1" applyAlignment="1">
      <alignment horizontal="right" vertical="center"/>
    </xf>
    <xf numFmtId="0" fontId="2" fillId="0" borderId="62" xfId="2" applyFont="1" applyBorder="1" applyAlignment="1">
      <alignment horizontal="right"/>
    </xf>
    <xf numFmtId="0" fontId="2" fillId="0" borderId="62" xfId="2" applyFont="1" applyFill="1" applyBorder="1" applyAlignment="1">
      <alignment horizontal="center" vertical="center"/>
    </xf>
    <xf numFmtId="0" fontId="2" fillId="2" borderId="62" xfId="2" applyFont="1" applyFill="1" applyBorder="1" applyAlignment="1" applyProtection="1">
      <alignment vertical="center"/>
      <protection locked="0"/>
    </xf>
    <xf numFmtId="0" fontId="2" fillId="2" borderId="9" xfId="2" applyFont="1" applyFill="1" applyBorder="1" applyAlignment="1" applyProtection="1">
      <alignment horizontal="center" vertical="center"/>
      <protection locked="0"/>
    </xf>
    <xf numFmtId="0" fontId="12" fillId="2" borderId="62" xfId="2" applyFont="1" applyFill="1" applyBorder="1" applyAlignment="1" applyProtection="1">
      <alignment vertical="center"/>
      <protection locked="0"/>
    </xf>
    <xf numFmtId="0" fontId="9" fillId="8" borderId="9" xfId="2" applyFill="1" applyBorder="1" applyAlignment="1" applyProtection="1">
      <alignment horizontal="center" vertical="center"/>
      <protection locked="0"/>
    </xf>
    <xf numFmtId="0" fontId="2" fillId="13" borderId="9" xfId="2" applyFont="1" applyFill="1" applyBorder="1" applyAlignment="1">
      <alignment horizontal="center" vertical="center"/>
    </xf>
    <xf numFmtId="0" fontId="2" fillId="0" borderId="62" xfId="2" applyFont="1" applyBorder="1" applyAlignment="1">
      <alignment horizontal="left" vertical="center"/>
    </xf>
    <xf numFmtId="14" fontId="54" fillId="17" borderId="62" xfId="0" applyNumberFormat="1" applyFont="1" applyFill="1" applyBorder="1" applyAlignment="1">
      <alignment horizontal="center" vertical="center"/>
    </xf>
    <xf numFmtId="14" fontId="2" fillId="13" borderId="7" xfId="2" applyNumberFormat="1" applyFont="1" applyFill="1" applyBorder="1" applyAlignment="1">
      <alignment horizontal="left" vertical="center"/>
    </xf>
    <xf numFmtId="14" fontId="2" fillId="0" borderId="9" xfId="2" applyNumberFormat="1" applyFont="1" applyBorder="1" applyAlignment="1">
      <alignment vertical="center"/>
    </xf>
    <xf numFmtId="14" fontId="54" fillId="0" borderId="9" xfId="0" applyNumberFormat="1" applyFont="1" applyBorder="1" applyAlignment="1">
      <alignment vertical="center"/>
    </xf>
    <xf numFmtId="0" fontId="11" fillId="0" borderId="0" xfId="2" applyFont="1"/>
    <xf numFmtId="0" fontId="2" fillId="8" borderId="9" xfId="2" applyFont="1" applyFill="1" applyBorder="1" applyProtection="1">
      <protection locked="0"/>
    </xf>
    <xf numFmtId="0" fontId="11" fillId="0" borderId="9" xfId="2" applyFont="1" applyFill="1" applyBorder="1"/>
    <xf numFmtId="0" fontId="2" fillId="0" borderId="65" xfId="2" applyFont="1" applyFill="1" applyBorder="1" applyAlignment="1">
      <alignment horizontal="center" vertical="center"/>
    </xf>
    <xf numFmtId="172" fontId="2" fillId="0" borderId="7" xfId="2" applyNumberFormat="1" applyFont="1" applyFill="1" applyBorder="1" applyProtection="1">
      <protection locked="0"/>
    </xf>
    <xf numFmtId="2" fontId="0" fillId="0" borderId="0" xfId="0" applyNumberFormat="1" applyFill="1" applyBorder="1" applyAlignment="1"/>
    <xf numFmtId="0" fontId="0" fillId="8" borderId="9" xfId="0" applyFill="1" applyBorder="1" applyAlignment="1" applyProtection="1">
      <alignment horizontal="center" vertical="center"/>
      <protection locked="0"/>
    </xf>
    <xf numFmtId="0" fontId="9" fillId="0" borderId="0" xfId="2"/>
    <xf numFmtId="0" fontId="9" fillId="0" borderId="0" xfId="2"/>
    <xf numFmtId="0" fontId="9" fillId="20" borderId="0" xfId="2" applyFill="1"/>
    <xf numFmtId="0" fontId="9" fillId="21" borderId="0" xfId="2" applyFill="1"/>
    <xf numFmtId="0" fontId="9" fillId="22" borderId="0" xfId="2" applyFill="1"/>
    <xf numFmtId="0" fontId="9" fillId="0" borderId="0" xfId="2" applyFill="1"/>
    <xf numFmtId="0" fontId="9" fillId="15" borderId="0" xfId="2" applyFill="1"/>
    <xf numFmtId="0" fontId="9" fillId="18" borderId="0" xfId="2" applyFill="1"/>
    <xf numFmtId="0" fontId="9" fillId="7" borderId="0" xfId="2" applyFill="1"/>
    <xf numFmtId="0" fontId="9" fillId="17" borderId="0" xfId="2" applyFill="1"/>
    <xf numFmtId="0" fontId="9" fillId="23" borderId="0" xfId="2" applyFill="1"/>
    <xf numFmtId="0" fontId="9" fillId="13" borderId="0" xfId="2" applyFill="1"/>
    <xf numFmtId="0" fontId="9" fillId="18" borderId="0" xfId="2" applyFill="1" applyAlignment="1">
      <alignment wrapText="1"/>
    </xf>
    <xf numFmtId="0" fontId="9" fillId="21" borderId="0" xfId="2" applyFill="1" applyAlignment="1"/>
    <xf numFmtId="0" fontId="9" fillId="0" borderId="0" xfId="2"/>
    <xf numFmtId="0" fontId="2" fillId="0" borderId="9" xfId="2" applyFont="1" applyBorder="1" applyAlignment="1">
      <alignment horizontal="left"/>
    </xf>
    <xf numFmtId="0" fontId="2" fillId="18" borderId="9" xfId="2" applyFont="1" applyFill="1" applyBorder="1"/>
    <xf numFmtId="0" fontId="2" fillId="19" borderId="62" xfId="2" applyFont="1" applyFill="1" applyBorder="1" applyAlignment="1">
      <alignment horizontal="center" vertical="center"/>
    </xf>
    <xf numFmtId="0" fontId="2" fillId="19" borderId="62" xfId="2" applyFont="1" applyFill="1" applyBorder="1" applyAlignment="1">
      <alignment horizontal="left" vertical="center"/>
    </xf>
    <xf numFmtId="0" fontId="2" fillId="0" borderId="15" xfId="2" applyFont="1" applyBorder="1"/>
    <xf numFmtId="0" fontId="9" fillId="0" borderId="0" xfId="2"/>
    <xf numFmtId="0" fontId="9" fillId="13" borderId="0" xfId="2" applyFill="1" applyAlignment="1"/>
    <xf numFmtId="0" fontId="55" fillId="24" borderId="70" xfId="0" applyFont="1" applyFill="1" applyBorder="1"/>
    <xf numFmtId="0" fontId="55" fillId="24" borderId="71" xfId="0" applyFont="1" applyFill="1" applyBorder="1"/>
    <xf numFmtId="14" fontId="0" fillId="25" borderId="72" xfId="0" applyNumberFormat="1" applyFont="1" applyFill="1" applyBorder="1"/>
    <xf numFmtId="0" fontId="0" fillId="25" borderId="72" xfId="0" applyFont="1" applyFill="1" applyBorder="1"/>
    <xf numFmtId="49" fontId="0" fillId="25" borderId="72" xfId="0" applyNumberFormat="1" applyFont="1" applyFill="1" applyBorder="1"/>
    <xf numFmtId="21" fontId="0" fillId="25" borderId="72" xfId="0" applyNumberFormat="1" applyFont="1" applyFill="1" applyBorder="1"/>
    <xf numFmtId="0" fontId="17" fillId="0" borderId="0" xfId="3" applyFont="1" applyAlignment="1">
      <alignment vertical="center"/>
    </xf>
    <xf numFmtId="0" fontId="0" fillId="25" borderId="72" xfId="0" applyNumberFormat="1" applyFont="1" applyFill="1" applyBorder="1"/>
    <xf numFmtId="49" fontId="0" fillId="25" borderId="73" xfId="0" applyNumberFormat="1" applyFont="1" applyFill="1" applyBorder="1"/>
    <xf numFmtId="14" fontId="0" fillId="26" borderId="72" xfId="0" applyNumberFormat="1" applyFont="1" applyFill="1" applyBorder="1"/>
    <xf numFmtId="49" fontId="0" fillId="26" borderId="72" xfId="0" applyNumberFormat="1" applyFont="1" applyFill="1" applyBorder="1"/>
    <xf numFmtId="0" fontId="0" fillId="26" borderId="72" xfId="0" applyFont="1" applyFill="1" applyBorder="1"/>
    <xf numFmtId="0" fontId="0" fillId="26" borderId="72" xfId="0" applyNumberFormat="1" applyFont="1" applyFill="1" applyBorder="1"/>
    <xf numFmtId="21" fontId="0" fillId="26" borderId="72" xfId="0" applyNumberFormat="1" applyFont="1" applyFill="1" applyBorder="1"/>
    <xf numFmtId="49" fontId="0" fillId="26" borderId="73" xfId="0" applyNumberFormat="1" applyFont="1" applyFill="1" applyBorder="1"/>
    <xf numFmtId="14" fontId="0" fillId="26" borderId="74" xfId="0" applyNumberFormat="1" applyFont="1" applyFill="1" applyBorder="1"/>
    <xf numFmtId="49" fontId="0" fillId="26" borderId="74" xfId="0" applyNumberFormat="1" applyFont="1" applyFill="1" applyBorder="1"/>
    <xf numFmtId="0" fontId="0" fillId="26" borderId="74" xfId="0" applyFont="1" applyFill="1" applyBorder="1"/>
    <xf numFmtId="0" fontId="0" fillId="26" borderId="74" xfId="0" applyNumberFormat="1" applyFont="1" applyFill="1" applyBorder="1"/>
    <xf numFmtId="21" fontId="0" fillId="26" borderId="74" xfId="0" applyNumberFormat="1" applyFont="1" applyFill="1" applyBorder="1"/>
    <xf numFmtId="49" fontId="0" fillId="26" borderId="76" xfId="0" applyNumberFormat="1" applyFont="1" applyFill="1" applyBorder="1"/>
    <xf numFmtId="0" fontId="10" fillId="0" borderId="0" xfId="2" applyFont="1" applyAlignment="1">
      <alignment horizontal="center"/>
    </xf>
    <xf numFmtId="0" fontId="10" fillId="5" borderId="14" xfId="3" applyFont="1" applyFill="1" applyBorder="1" applyAlignment="1">
      <alignment vertical="center"/>
    </xf>
    <xf numFmtId="0" fontId="10" fillId="0" borderId="0" xfId="2" applyNumberFormat="1" applyFont="1" applyAlignment="1">
      <alignment horizontal="left" vertical="center"/>
    </xf>
    <xf numFmtId="164" fontId="10" fillId="27" borderId="75" xfId="2" applyNumberFormat="1" applyFont="1" applyFill="1" applyBorder="1" applyAlignment="1">
      <alignment horizontal="left" vertical="center"/>
    </xf>
    <xf numFmtId="0" fontId="10" fillId="0" borderId="0" xfId="3" applyFont="1" applyAlignment="1">
      <alignment vertical="center"/>
    </xf>
    <xf numFmtId="0" fontId="35" fillId="9" borderId="4" xfId="3" applyFont="1" applyFill="1" applyBorder="1" applyAlignment="1">
      <alignment horizontal="center" vertical="center"/>
    </xf>
    <xf numFmtId="164" fontId="10" fillId="28" borderId="75" xfId="2" applyNumberFormat="1" applyFont="1" applyFill="1" applyBorder="1" applyAlignment="1">
      <alignment horizontal="left" vertical="center"/>
    </xf>
    <xf numFmtId="0" fontId="10" fillId="0" borderId="0" xfId="2" applyFont="1" applyBorder="1" applyAlignment="1">
      <alignment vertical="center"/>
    </xf>
    <xf numFmtId="0" fontId="10" fillId="0" borderId="77" xfId="2" applyFont="1" applyBorder="1" applyAlignment="1">
      <alignment vertical="center"/>
    </xf>
    <xf numFmtId="0" fontId="10" fillId="0" borderId="78" xfId="2" applyFont="1" applyBorder="1" applyAlignment="1">
      <alignment vertical="center"/>
    </xf>
    <xf numFmtId="0" fontId="10" fillId="0" borderId="79" xfId="2" applyFont="1" applyBorder="1" applyAlignment="1">
      <alignment vertical="center"/>
    </xf>
    <xf numFmtId="0" fontId="10" fillId="0" borderId="80" xfId="2" applyFont="1" applyBorder="1" applyAlignment="1">
      <alignment vertical="center"/>
    </xf>
    <xf numFmtId="0" fontId="10" fillId="0" borderId="4" xfId="2" applyFont="1" applyBorder="1" applyAlignment="1">
      <alignment vertical="center"/>
    </xf>
    <xf numFmtId="0" fontId="10" fillId="0" borderId="8" xfId="2" applyFont="1" applyBorder="1" applyAlignment="1">
      <alignment vertical="center"/>
    </xf>
    <xf numFmtId="0" fontId="10" fillId="0" borderId="10" xfId="2" applyFont="1" applyBorder="1" applyAlignment="1">
      <alignment vertical="center"/>
    </xf>
    <xf numFmtId="0" fontId="10" fillId="0" borderId="11" xfId="2" applyFont="1" applyBorder="1" applyAlignment="1">
      <alignment vertical="center"/>
    </xf>
    <xf numFmtId="0" fontId="10" fillId="0" borderId="12" xfId="2" applyFont="1" applyBorder="1" applyAlignment="1">
      <alignment vertical="center"/>
    </xf>
    <xf numFmtId="0" fontId="10" fillId="0" borderId="81" xfId="3" applyFont="1" applyBorder="1" applyAlignment="1">
      <alignment vertical="center"/>
    </xf>
    <xf numFmtId="0" fontId="10" fillId="0" borderId="81" xfId="3" applyFont="1" applyBorder="1" applyAlignment="1">
      <alignment horizontal="center" vertical="center"/>
    </xf>
    <xf numFmtId="0" fontId="41" fillId="0" borderId="81" xfId="3" applyFont="1" applyBorder="1" applyAlignment="1">
      <alignment horizontal="center" vertical="center"/>
    </xf>
    <xf numFmtId="0" fontId="9" fillId="0" borderId="0" xfId="2" applyAlignment="1">
      <alignment horizontal="right" vertical="center"/>
    </xf>
    <xf numFmtId="171" fontId="10" fillId="0" borderId="0" xfId="3" applyNumberFormat="1" applyBorder="1" applyAlignment="1">
      <alignment horizontal="center" vertical="center"/>
    </xf>
    <xf numFmtId="171" fontId="10" fillId="0" borderId="8" xfId="3" applyNumberFormat="1" applyBorder="1" applyAlignment="1">
      <alignment horizontal="center" vertical="center"/>
    </xf>
    <xf numFmtId="171" fontId="10" fillId="0" borderId="11" xfId="3" applyNumberFormat="1" applyBorder="1" applyAlignment="1">
      <alignment horizontal="center" vertical="center"/>
    </xf>
    <xf numFmtId="171" fontId="10" fillId="0" borderId="12" xfId="3" applyNumberFormat="1" applyBorder="1" applyAlignment="1">
      <alignment horizontal="center" vertical="center"/>
    </xf>
    <xf numFmtId="171" fontId="10" fillId="0" borderId="4" xfId="3" applyNumberFormat="1" applyBorder="1" applyAlignment="1">
      <alignment horizontal="center" vertical="center"/>
    </xf>
    <xf numFmtId="171" fontId="10" fillId="0" borderId="10" xfId="3" applyNumberFormat="1" applyBorder="1" applyAlignment="1">
      <alignment horizontal="center" vertical="center"/>
    </xf>
    <xf numFmtId="172" fontId="12" fillId="0" borderId="4" xfId="2" applyNumberFormat="1" applyFont="1" applyBorder="1" applyAlignment="1">
      <alignment vertical="center"/>
    </xf>
    <xf numFmtId="172" fontId="12" fillId="0" borderId="0" xfId="2" applyNumberFormat="1" applyFont="1" applyBorder="1" applyAlignment="1">
      <alignment vertical="center"/>
    </xf>
    <xf numFmtId="172" fontId="12" fillId="0" borderId="8" xfId="2" applyNumberFormat="1" applyFont="1" applyBorder="1" applyAlignment="1">
      <alignment vertical="center"/>
    </xf>
    <xf numFmtId="172" fontId="12" fillId="0" borderId="10" xfId="2" applyNumberFormat="1" applyFont="1" applyBorder="1" applyAlignment="1">
      <alignment vertical="center"/>
    </xf>
    <xf numFmtId="172" fontId="12" fillId="0" borderId="11" xfId="2" applyNumberFormat="1" applyFont="1" applyBorder="1" applyAlignment="1">
      <alignment vertical="center"/>
    </xf>
    <xf numFmtId="172" fontId="12" fillId="0" borderId="12" xfId="2" applyNumberFormat="1" applyFont="1" applyBorder="1" applyAlignment="1">
      <alignment vertical="center"/>
    </xf>
    <xf numFmtId="0" fontId="9" fillId="0" borderId="0" xfId="2"/>
    <xf numFmtId="0" fontId="27" fillId="0" borderId="82" xfId="3" applyFont="1" applyBorder="1" applyAlignment="1">
      <alignment horizontal="left" vertical="center"/>
    </xf>
    <xf numFmtId="0" fontId="10" fillId="0" borderId="82" xfId="3" applyBorder="1" applyAlignment="1">
      <alignment vertical="center"/>
    </xf>
    <xf numFmtId="0" fontId="10" fillId="0" borderId="82" xfId="3" applyBorder="1" applyAlignment="1">
      <alignment horizontal="left" vertical="center"/>
    </xf>
    <xf numFmtId="167" fontId="10" fillId="10" borderId="85" xfId="3" applyNumberFormat="1" applyFill="1" applyBorder="1" applyAlignment="1">
      <alignment horizontal="center" vertical="center"/>
    </xf>
    <xf numFmtId="0" fontId="4" fillId="0" borderId="83" xfId="3" applyFont="1" applyBorder="1" applyAlignment="1">
      <alignment horizontal="center" vertical="center"/>
    </xf>
    <xf numFmtId="0" fontId="4" fillId="0" borderId="84" xfId="3" applyFont="1" applyBorder="1" applyAlignment="1">
      <alignment horizontal="center" vertical="center"/>
    </xf>
    <xf numFmtId="0" fontId="17" fillId="9" borderId="86" xfId="3" applyFont="1" applyFill="1" applyBorder="1" applyAlignment="1">
      <alignment horizontal="right" vertical="center"/>
    </xf>
    <xf numFmtId="167" fontId="10" fillId="0" borderId="85" xfId="3" applyNumberFormat="1" applyBorder="1" applyAlignment="1">
      <alignment horizontal="right" vertical="center"/>
    </xf>
    <xf numFmtId="0" fontId="10" fillId="27" borderId="87" xfId="3" applyFill="1" applyBorder="1" applyAlignment="1">
      <alignment horizontal="center" vertical="center"/>
    </xf>
    <xf numFmtId="0" fontId="10" fillId="27" borderId="88" xfId="3" applyFill="1" applyBorder="1" applyAlignment="1">
      <alignment horizontal="center" vertical="center"/>
    </xf>
    <xf numFmtId="0" fontId="10" fillId="0" borderId="85" xfId="3" applyFont="1" applyBorder="1" applyAlignment="1">
      <alignment horizontal="left" vertical="center"/>
    </xf>
    <xf numFmtId="0" fontId="10" fillId="0" borderId="85" xfId="3" applyBorder="1" applyAlignment="1">
      <alignment horizontal="center" vertical="center"/>
    </xf>
    <xf numFmtId="0" fontId="17" fillId="0" borderId="85" xfId="3" applyFont="1" applyBorder="1" applyAlignment="1">
      <alignment vertical="center"/>
    </xf>
    <xf numFmtId="14" fontId="10" fillId="0" borderId="85" xfId="3" applyNumberFormat="1" applyBorder="1" applyAlignment="1">
      <alignment horizontal="center" vertical="center"/>
    </xf>
    <xf numFmtId="14" fontId="10" fillId="0" borderId="85" xfId="3" applyNumberFormat="1" applyBorder="1" applyAlignment="1">
      <alignment vertical="center"/>
    </xf>
    <xf numFmtId="0" fontId="10" fillId="0" borderId="89" xfId="3" applyBorder="1" applyAlignment="1">
      <alignment vertical="center"/>
    </xf>
    <xf numFmtId="0" fontId="10" fillId="0" borderId="90" xfId="3" applyBorder="1" applyAlignment="1">
      <alignment vertical="center"/>
    </xf>
    <xf numFmtId="14" fontId="27" fillId="0" borderId="82" xfId="3" applyNumberFormat="1" applyFont="1" applyBorder="1" applyAlignment="1">
      <alignment vertical="center" wrapText="1"/>
    </xf>
    <xf numFmtId="0" fontId="27" fillId="0" borderId="61" xfId="3" applyFont="1" applyBorder="1" applyAlignment="1">
      <alignment vertical="center"/>
    </xf>
    <xf numFmtId="0" fontId="10" fillId="0" borderId="61" xfId="3" applyBorder="1" applyAlignment="1">
      <alignment vertical="center"/>
    </xf>
    <xf numFmtId="0" fontId="30" fillId="0" borderId="61" xfId="3" applyFont="1" applyBorder="1" applyAlignment="1">
      <alignment horizontal="right"/>
    </xf>
    <xf numFmtId="0" fontId="4" fillId="0" borderId="61" xfId="3" applyFont="1" applyBorder="1" applyAlignment="1">
      <alignment horizontal="center" vertical="center"/>
    </xf>
    <xf numFmtId="164" fontId="27" fillId="0" borderId="61" xfId="3" applyNumberFormat="1" applyFont="1" applyBorder="1" applyAlignment="1">
      <alignment horizontal="right" vertical="center" wrapText="1"/>
    </xf>
    <xf numFmtId="0" fontId="27" fillId="0" borderId="61" xfId="3" applyFont="1" applyBorder="1" applyAlignment="1">
      <alignment horizontal="right" vertical="center" wrapText="1"/>
    </xf>
    <xf numFmtId="0" fontId="9" fillId="0" borderId="0" xfId="2"/>
    <xf numFmtId="0" fontId="33" fillId="0" borderId="0" xfId="3" applyFont="1" applyAlignment="1">
      <alignment horizontal="center" vertical="center"/>
    </xf>
    <xf numFmtId="0" fontId="7" fillId="0" borderId="0" xfId="3" applyFont="1" applyAlignment="1">
      <alignment horizontal="center" vertical="center"/>
    </xf>
    <xf numFmtId="0" fontId="17" fillId="0" borderId="0" xfId="3" applyFont="1" applyAlignment="1">
      <alignment vertical="center"/>
    </xf>
    <xf numFmtId="0" fontId="17" fillId="0" borderId="16" xfId="3" applyFont="1" applyBorder="1" applyAlignment="1">
      <alignment vertical="center"/>
    </xf>
    <xf numFmtId="0" fontId="17" fillId="0" borderId="82" xfId="3" applyFont="1" applyBorder="1" applyAlignment="1">
      <alignment vertical="center"/>
    </xf>
    <xf numFmtId="0" fontId="16" fillId="0" borderId="0" xfId="3" applyFont="1" applyAlignment="1">
      <alignment horizontal="left" vertical="center"/>
    </xf>
    <xf numFmtId="0" fontId="27" fillId="0" borderId="0" xfId="3" applyFont="1" applyAlignment="1">
      <alignment horizontal="left" wrapText="1"/>
    </xf>
    <xf numFmtId="0" fontId="10" fillId="0" borderId="0" xfId="3" applyAlignment="1">
      <alignment horizontal="right" vertical="top"/>
    </xf>
    <xf numFmtId="0" fontId="40" fillId="0" borderId="0" xfId="0" applyFont="1" applyAlignment="1">
      <alignment vertical="top"/>
    </xf>
    <xf numFmtId="0" fontId="10" fillId="0" borderId="0" xfId="3" applyAlignment="1">
      <alignment vertical="top"/>
    </xf>
    <xf numFmtId="0" fontId="10" fillId="0" borderId="85" xfId="2" applyFont="1" applyBorder="1" applyAlignment="1">
      <alignment horizontal="center" vertical="center"/>
    </xf>
    <xf numFmtId="0" fontId="10" fillId="0" borderId="85" xfId="3" applyBorder="1" applyAlignment="1">
      <alignment horizontal="right" vertical="center"/>
    </xf>
    <xf numFmtId="0" fontId="6" fillId="0" borderId="82" xfId="3" applyFont="1" applyBorder="1" applyAlignment="1">
      <alignment vertical="center"/>
    </xf>
    <xf numFmtId="0" fontId="17" fillId="0" borderId="93" xfId="3" applyFont="1" applyBorder="1" applyAlignment="1">
      <alignment vertical="center"/>
    </xf>
    <xf numFmtId="0" fontId="9" fillId="0" borderId="85" xfId="2" applyBorder="1" applyAlignment="1">
      <alignment horizontal="center" vertical="center"/>
    </xf>
    <xf numFmtId="0" fontId="17" fillId="0" borderId="84" xfId="3" applyFont="1" applyBorder="1" applyAlignment="1">
      <alignment vertical="center"/>
    </xf>
    <xf numFmtId="0" fontId="10" fillId="0" borderId="85" xfId="3" applyBorder="1" applyAlignment="1">
      <alignment vertical="center"/>
    </xf>
    <xf numFmtId="0" fontId="9" fillId="8" borderId="85" xfId="2" applyFill="1" applyBorder="1" applyAlignment="1">
      <alignment horizontal="center" vertical="center"/>
    </xf>
    <xf numFmtId="0" fontId="17" fillId="0" borderId="92" xfId="3" applyFont="1" applyBorder="1" applyAlignment="1">
      <alignment vertical="center"/>
    </xf>
    <xf numFmtId="0" fontId="17" fillId="0" borderId="83" xfId="3" applyFont="1" applyBorder="1" applyAlignment="1">
      <alignment vertical="center"/>
    </xf>
    <xf numFmtId="0" fontId="17" fillId="0" borderId="94" xfId="3" applyFont="1" applyBorder="1" applyAlignment="1">
      <alignment vertical="center"/>
    </xf>
    <xf numFmtId="0" fontId="17" fillId="0" borderId="95" xfId="3" applyFont="1" applyBorder="1" applyAlignment="1">
      <alignment vertical="center"/>
    </xf>
    <xf numFmtId="171" fontId="10" fillId="0" borderId="96" xfId="3" applyNumberFormat="1" applyBorder="1" applyAlignment="1">
      <alignment horizontal="center" vertical="center"/>
    </xf>
    <xf numFmtId="171" fontId="10" fillId="0" borderId="90" xfId="3" applyNumberFormat="1" applyBorder="1" applyAlignment="1">
      <alignment horizontal="center" vertical="center"/>
    </xf>
    <xf numFmtId="171" fontId="10" fillId="0" borderId="97" xfId="3" applyNumberFormat="1" applyBorder="1" applyAlignment="1">
      <alignment horizontal="center" vertical="center"/>
    </xf>
    <xf numFmtId="171" fontId="10" fillId="0" borderId="98" xfId="3" applyNumberFormat="1" applyBorder="1" applyAlignment="1">
      <alignment horizontal="center" vertical="center"/>
    </xf>
    <xf numFmtId="0" fontId="10" fillId="0" borderId="14" xfId="3" applyFont="1" applyBorder="1" applyAlignment="1">
      <alignment horizontal="center" vertical="center"/>
    </xf>
    <xf numFmtId="172" fontId="12" fillId="0" borderId="98" xfId="2" applyNumberFormat="1" applyFont="1" applyBorder="1" applyAlignment="1">
      <alignment vertical="center"/>
    </xf>
    <xf numFmtId="172" fontId="12" fillId="0" borderId="99" xfId="2" applyNumberFormat="1" applyFont="1" applyBorder="1" applyAlignment="1">
      <alignment vertical="center"/>
    </xf>
    <xf numFmtId="172" fontId="12" fillId="0" borderId="97" xfId="2" applyNumberFormat="1" applyFont="1" applyBorder="1" applyAlignment="1">
      <alignment vertical="center"/>
    </xf>
    <xf numFmtId="173" fontId="10" fillId="0" borderId="81" xfId="3" applyNumberFormat="1" applyFont="1" applyBorder="1" applyAlignment="1">
      <alignment vertical="center"/>
    </xf>
    <xf numFmtId="0" fontId="9" fillId="0" borderId="100" xfId="2" applyBorder="1" applyAlignment="1">
      <alignment horizontal="center" vertical="center"/>
    </xf>
    <xf numFmtId="0" fontId="9" fillId="0" borderId="0" xfId="2"/>
    <xf numFmtId="0" fontId="17" fillId="0" borderId="0" xfId="3" applyFont="1" applyAlignment="1">
      <alignment vertical="center"/>
    </xf>
    <xf numFmtId="171" fontId="10" fillId="0" borderId="99" xfId="3" applyNumberFormat="1" applyBorder="1" applyAlignment="1">
      <alignment horizontal="center" vertical="center"/>
    </xf>
    <xf numFmtId="0" fontId="10" fillId="0" borderId="100" xfId="3" applyFont="1" applyBorder="1" applyAlignment="1">
      <alignment horizontal="center" vertical="center"/>
    </xf>
    <xf numFmtId="0" fontId="2" fillId="0" borderId="8" xfId="2" applyFont="1" applyBorder="1" applyAlignment="1">
      <alignment horizontal="right" vertical="center"/>
    </xf>
    <xf numFmtId="0" fontId="2" fillId="0" borderId="8" xfId="2" applyFont="1" applyFill="1" applyBorder="1" applyAlignment="1">
      <alignment horizontal="right" vertical="center"/>
    </xf>
    <xf numFmtId="0" fontId="10" fillId="0" borderId="35" xfId="2" applyFont="1" applyBorder="1" applyAlignment="1">
      <alignment horizontal="left" vertical="center"/>
    </xf>
    <xf numFmtId="14" fontId="12" fillId="0" borderId="0" xfId="2" applyNumberFormat="1" applyFont="1" applyAlignment="1">
      <alignment horizontal="right"/>
    </xf>
    <xf numFmtId="0" fontId="4" fillId="10" borderId="102" xfId="3" applyFont="1" applyFill="1" applyBorder="1" applyAlignment="1">
      <alignment horizontal="center" vertical="center"/>
    </xf>
    <xf numFmtId="0" fontId="10" fillId="4" borderId="101" xfId="2" applyFont="1" applyFill="1" applyBorder="1" applyAlignment="1">
      <alignment horizontal="left" vertical="center"/>
    </xf>
    <xf numFmtId="0" fontId="10" fillId="0" borderId="0" xfId="2" applyFont="1" applyAlignment="1"/>
    <xf numFmtId="0" fontId="25" fillId="9" borderId="27" xfId="3" applyFont="1" applyFill="1" applyBorder="1" applyAlignment="1">
      <alignment horizontal="center" vertical="center"/>
    </xf>
    <xf numFmtId="0" fontId="25" fillId="9" borderId="28" xfId="3" applyFont="1" applyFill="1" applyBorder="1" applyAlignment="1">
      <alignment horizontal="center" vertical="center"/>
    </xf>
    <xf numFmtId="0" fontId="9" fillId="0" borderId="0" xfId="2"/>
    <xf numFmtId="0" fontId="10" fillId="0" borderId="103" xfId="2" applyFont="1" applyBorder="1" applyAlignment="1">
      <alignment horizontal="center" vertical="center"/>
    </xf>
    <xf numFmtId="0" fontId="17" fillId="0" borderId="0" xfId="3" applyFont="1" applyAlignment="1">
      <alignment vertical="center"/>
    </xf>
    <xf numFmtId="0" fontId="10" fillId="0" borderId="0" xfId="3" applyFont="1" applyAlignment="1">
      <alignment horizontal="right" vertical="center"/>
    </xf>
    <xf numFmtId="173" fontId="10" fillId="0" borderId="104" xfId="3" applyNumberFormat="1" applyFont="1" applyBorder="1" applyAlignment="1">
      <alignment vertical="center"/>
    </xf>
    <xf numFmtId="0" fontId="10" fillId="0" borderId="104" xfId="3" applyFont="1" applyBorder="1" applyAlignment="1">
      <alignment horizontal="center" vertical="center"/>
    </xf>
    <xf numFmtId="0" fontId="10" fillId="0" borderId="104" xfId="3" applyFont="1" applyBorder="1" applyAlignment="1">
      <alignment vertical="center"/>
    </xf>
    <xf numFmtId="0" fontId="41" fillId="0" borderId="104" xfId="3" applyFont="1" applyBorder="1" applyAlignment="1">
      <alignment horizontal="center" vertical="center"/>
    </xf>
    <xf numFmtId="0" fontId="0" fillId="0" borderId="0" xfId="0" applyAlignment="1">
      <alignment horizontal="right" vertical="center"/>
    </xf>
    <xf numFmtId="0" fontId="14" fillId="0" borderId="0" xfId="3" applyFont="1" applyAlignment="1">
      <alignment horizontal="right" vertical="top"/>
    </xf>
    <xf numFmtId="0" fontId="14" fillId="0" borderId="16" xfId="3" applyFont="1" applyBorder="1" applyAlignment="1">
      <alignment horizontal="right" vertical="top"/>
    </xf>
    <xf numFmtId="164" fontId="16" fillId="0" borderId="18" xfId="3" applyNumberFormat="1" applyFont="1" applyBorder="1" applyAlignment="1" applyProtection="1">
      <alignment horizontal="center" vertical="center"/>
      <protection locked="0"/>
    </xf>
    <xf numFmtId="0" fontId="13" fillId="0" borderId="18" xfId="2" applyFont="1" applyBorder="1" applyAlignment="1" applyProtection="1">
      <alignment horizontal="center" vertical="center"/>
      <protection locked="0"/>
    </xf>
    <xf numFmtId="0" fontId="16" fillId="0" borderId="18" xfId="3" applyFont="1" applyBorder="1" applyAlignment="1" applyProtection="1">
      <alignment horizontal="center" vertical="center"/>
      <protection locked="0"/>
    </xf>
    <xf numFmtId="0" fontId="13" fillId="0" borderId="19" xfId="2" applyFont="1" applyBorder="1" applyAlignment="1" applyProtection="1">
      <alignment horizontal="center" vertical="center"/>
      <protection locked="0"/>
    </xf>
    <xf numFmtId="0" fontId="2" fillId="21" borderId="62" xfId="2" applyFont="1" applyFill="1" applyBorder="1" applyAlignment="1" applyProtection="1">
      <alignment horizontal="center" vertical="center"/>
      <protection locked="0"/>
    </xf>
    <xf numFmtId="0" fontId="3" fillId="0" borderId="0" xfId="3" applyFont="1" applyAlignment="1"/>
    <xf numFmtId="0" fontId="9" fillId="0" borderId="0" xfId="2"/>
    <xf numFmtId="0" fontId="2" fillId="15" borderId="104" xfId="2" applyFont="1" applyFill="1" applyBorder="1" applyAlignment="1">
      <alignment horizontal="left"/>
    </xf>
    <xf numFmtId="0" fontId="2" fillId="15" borderId="104" xfId="2" applyFont="1" applyFill="1" applyBorder="1"/>
    <xf numFmtId="0" fontId="9" fillId="0" borderId="0" xfId="2"/>
    <xf numFmtId="0" fontId="2" fillId="0" borderId="62" xfId="2" applyFont="1" applyFill="1" applyBorder="1" applyAlignment="1" applyProtection="1">
      <alignment vertical="center"/>
      <protection locked="0"/>
    </xf>
    <xf numFmtId="0" fontId="0" fillId="0" borderId="0" xfId="0" applyAlignment="1">
      <alignment vertical="center"/>
    </xf>
    <xf numFmtId="0" fontId="9" fillId="4" borderId="0" xfId="2" applyFill="1" applyAlignment="1">
      <alignment horizontal="center"/>
    </xf>
    <xf numFmtId="0" fontId="2" fillId="15" borderId="104" xfId="2" applyFont="1" applyFill="1" applyBorder="1" applyAlignment="1">
      <alignment horizontal="center"/>
    </xf>
    <xf numFmtId="0" fontId="12" fillId="0" borderId="0" xfId="2" applyFont="1" applyAlignment="1">
      <alignment vertical="center" wrapText="1"/>
    </xf>
    <xf numFmtId="0" fontId="17" fillId="0" borderId="0" xfId="3" applyFont="1" applyAlignment="1">
      <alignment vertical="center"/>
    </xf>
    <xf numFmtId="14" fontId="38" fillId="0" borderId="52" xfId="3" applyNumberFormat="1" applyFont="1" applyBorder="1" applyAlignment="1">
      <alignment horizontal="center" vertical="center"/>
    </xf>
    <xf numFmtId="0" fontId="9" fillId="0" borderId="0" xfId="2"/>
    <xf numFmtId="0" fontId="17" fillId="0" borderId="0" xfId="3" applyFont="1" applyAlignment="1">
      <alignment vertical="center"/>
    </xf>
    <xf numFmtId="0" fontId="10" fillId="0" borderId="0" xfId="3" applyFont="1" applyBorder="1" applyAlignment="1">
      <alignment vertical="center"/>
    </xf>
    <xf numFmtId="0" fontId="10" fillId="4" borderId="105" xfId="3" applyFont="1" applyFill="1" applyBorder="1" applyAlignment="1">
      <alignment vertical="center"/>
    </xf>
    <xf numFmtId="0" fontId="10" fillId="27" borderId="81" xfId="3" applyFont="1" applyFill="1" applyBorder="1" applyAlignment="1">
      <alignment vertical="center"/>
    </xf>
    <xf numFmtId="0" fontId="10" fillId="28" borderId="81" xfId="3" applyFont="1" applyFill="1" applyBorder="1" applyAlignment="1">
      <alignment vertical="center"/>
    </xf>
    <xf numFmtId="0" fontId="12" fillId="0" borderId="0" xfId="3" applyFont="1" applyAlignment="1">
      <alignment vertical="center"/>
    </xf>
    <xf numFmtId="0" fontId="56" fillId="0" borderId="91" xfId="3" applyFont="1" applyBorder="1" applyAlignment="1">
      <alignment horizontal="center" vertical="center"/>
    </xf>
    <xf numFmtId="0" fontId="56" fillId="0" borderId="14" xfId="3" applyFont="1" applyBorder="1" applyAlignment="1">
      <alignment horizontal="center" vertical="center"/>
    </xf>
    <xf numFmtId="0" fontId="56" fillId="0" borderId="15" xfId="3" applyFont="1" applyBorder="1" applyAlignment="1">
      <alignment horizontal="center" vertical="center"/>
    </xf>
    <xf numFmtId="0" fontId="57" fillId="0" borderId="91" xfId="3" applyFont="1" applyBorder="1" applyAlignment="1">
      <alignment horizontal="center" vertical="center"/>
    </xf>
    <xf numFmtId="0" fontId="57" fillId="0" borderId="14" xfId="3" applyFont="1" applyBorder="1" applyAlignment="1">
      <alignment horizontal="center" vertical="center"/>
    </xf>
    <xf numFmtId="0" fontId="57" fillId="0" borderId="15" xfId="3" applyFont="1" applyBorder="1" applyAlignment="1">
      <alignment horizontal="center" vertical="center"/>
    </xf>
    <xf numFmtId="171" fontId="10" fillId="0" borderId="4" xfId="3" applyNumberFormat="1" applyBorder="1" applyAlignment="1">
      <alignment vertical="center"/>
    </xf>
    <xf numFmtId="0" fontId="58" fillId="0" borderId="0" xfId="2" applyFont="1" applyAlignment="1">
      <alignment vertical="center"/>
    </xf>
    <xf numFmtId="0" fontId="58" fillId="0" borderId="0" xfId="2" applyFont="1" applyAlignment="1">
      <alignment horizontal="center" vertical="center"/>
    </xf>
    <xf numFmtId="0" fontId="58" fillId="0" borderId="97" xfId="2" applyFont="1" applyBorder="1" applyAlignment="1">
      <alignment horizontal="center" vertical="center"/>
    </xf>
    <xf numFmtId="0" fontId="58" fillId="0" borderId="4" xfId="2" applyFont="1" applyBorder="1" applyAlignment="1">
      <alignment horizontal="center" vertical="center"/>
    </xf>
    <xf numFmtId="0" fontId="58" fillId="0" borderId="10" xfId="2" applyFont="1" applyBorder="1" applyAlignment="1">
      <alignment horizontal="center" vertical="center"/>
    </xf>
    <xf numFmtId="0" fontId="58" fillId="0" borderId="8" xfId="2" applyFont="1" applyBorder="1" applyAlignment="1">
      <alignment horizontal="center" vertical="center"/>
    </xf>
    <xf numFmtId="0" fontId="12" fillId="0" borderId="89" xfId="2" applyFont="1" applyBorder="1" applyAlignment="1">
      <alignment horizontal="center" vertical="center"/>
    </xf>
    <xf numFmtId="0" fontId="12" fillId="0" borderId="4" xfId="2" applyFont="1" applyBorder="1" applyAlignment="1">
      <alignment horizontal="center" vertical="center"/>
    </xf>
    <xf numFmtId="0" fontId="12" fillId="0" borderId="97" xfId="2" applyFont="1" applyBorder="1" applyAlignment="1">
      <alignment horizontal="center" vertical="center"/>
    </xf>
    <xf numFmtId="0" fontId="58" fillId="0" borderId="106" xfId="2" applyFont="1" applyBorder="1" applyAlignment="1">
      <alignment horizontal="center" vertical="center"/>
    </xf>
    <xf numFmtId="0" fontId="58" fillId="0" borderId="12" xfId="2" applyFont="1" applyBorder="1" applyAlignment="1">
      <alignment horizontal="center" vertical="center"/>
    </xf>
    <xf numFmtId="0" fontId="2" fillId="0" borderId="0" xfId="2" applyFont="1" applyProtection="1">
      <protection locked="0"/>
    </xf>
    <xf numFmtId="0" fontId="9" fillId="0" borderId="0" xfId="2"/>
    <xf numFmtId="0" fontId="9" fillId="0" borderId="0" xfId="2"/>
    <xf numFmtId="0" fontId="2" fillId="13" borderId="9" xfId="2" applyFont="1" applyFill="1" applyBorder="1" applyAlignment="1">
      <alignment vertical="center"/>
    </xf>
    <xf numFmtId="0" fontId="10" fillId="0" borderId="4" xfId="2" applyFont="1" applyFill="1" applyBorder="1" applyAlignment="1">
      <alignment horizontal="left" vertical="center"/>
    </xf>
    <xf numFmtId="0" fontId="10" fillId="13" borderId="9" xfId="2" applyFont="1" applyFill="1" applyBorder="1" applyAlignment="1">
      <alignment horizontal="center" vertical="center"/>
    </xf>
    <xf numFmtId="0" fontId="10" fillId="13" borderId="9" xfId="2" applyFont="1" applyFill="1" applyBorder="1" applyAlignment="1">
      <alignment vertical="center"/>
    </xf>
    <xf numFmtId="0" fontId="10" fillId="0" borderId="9" xfId="2" applyFont="1" applyBorder="1" applyAlignment="1">
      <alignment vertical="center"/>
    </xf>
    <xf numFmtId="0" fontId="2" fillId="0" borderId="9" xfId="2" applyNumberFormat="1" applyFont="1" applyBorder="1"/>
    <xf numFmtId="0" fontId="10" fillId="18" borderId="62" xfId="2" applyFont="1" applyFill="1" applyBorder="1" applyAlignment="1">
      <alignment vertical="center"/>
    </xf>
    <xf numFmtId="0" fontId="0" fillId="0" borderId="0" xfId="0" applyAlignment="1">
      <alignment horizontal="center" vertical="center"/>
    </xf>
    <xf numFmtId="0" fontId="9" fillId="0" borderId="0" xfId="2"/>
    <xf numFmtId="0" fontId="60" fillId="2" borderId="62" xfId="2" applyFont="1" applyFill="1" applyBorder="1" applyAlignment="1" applyProtection="1">
      <alignment vertical="center"/>
      <protection locked="0"/>
    </xf>
    <xf numFmtId="0" fontId="2" fillId="19" borderId="0" xfId="2" applyFont="1" applyFill="1" applyBorder="1"/>
    <xf numFmtId="0" fontId="12" fillId="19" borderId="0" xfId="2" applyFont="1" applyFill="1" applyBorder="1" applyAlignment="1">
      <alignment vertical="center"/>
    </xf>
    <xf numFmtId="0" fontId="2" fillId="19" borderId="102" xfId="2" applyFont="1" applyFill="1" applyBorder="1"/>
    <xf numFmtId="0" fontId="12" fillId="19" borderId="102" xfId="2" applyFont="1" applyFill="1" applyBorder="1" applyAlignment="1">
      <alignment vertical="center"/>
    </xf>
    <xf numFmtId="0" fontId="9" fillId="22" borderId="0" xfId="2" applyFill="1" applyAlignment="1"/>
    <xf numFmtId="0" fontId="11" fillId="0" borderId="0" xfId="2" applyFont="1" applyAlignment="1">
      <alignment horizontal="left"/>
    </xf>
    <xf numFmtId="0" fontId="11" fillId="0" borderId="0" xfId="2" applyFont="1" applyAlignment="1"/>
    <xf numFmtId="0" fontId="2" fillId="2" borderId="105" xfId="2" applyFont="1" applyFill="1" applyBorder="1" applyAlignment="1" applyProtection="1">
      <alignment vertical="center"/>
      <protection locked="0"/>
    </xf>
    <xf numFmtId="0" fontId="2" fillId="0" borderId="105" xfId="2" applyFont="1" applyBorder="1"/>
    <xf numFmtId="0" fontId="2" fillId="19" borderId="66" xfId="2" applyFont="1" applyFill="1" applyBorder="1" applyAlignment="1">
      <alignment horizontal="center"/>
    </xf>
    <xf numFmtId="0" fontId="2" fillId="19" borderId="67" xfId="2" applyFont="1" applyFill="1" applyBorder="1" applyAlignment="1">
      <alignment horizontal="center"/>
    </xf>
    <xf numFmtId="0" fontId="2" fillId="19" borderId="68" xfId="2" applyFont="1" applyFill="1" applyBorder="1" applyAlignment="1">
      <alignment horizontal="center"/>
    </xf>
    <xf numFmtId="0" fontId="14" fillId="0" borderId="0" xfId="2" applyFont="1" applyAlignment="1">
      <alignment horizontal="right" vertical="center"/>
    </xf>
    <xf numFmtId="0" fontId="9" fillId="0" borderId="0" xfId="2"/>
    <xf numFmtId="164" fontId="12" fillId="0" borderId="11" xfId="3" applyNumberFormat="1" applyFont="1" applyBorder="1" applyAlignment="1">
      <alignment horizontal="left"/>
    </xf>
    <xf numFmtId="164" fontId="12" fillId="0" borderId="12" xfId="3" applyNumberFormat="1" applyFont="1" applyBorder="1" applyAlignment="1">
      <alignment horizontal="left"/>
    </xf>
    <xf numFmtId="0" fontId="22" fillId="0" borderId="1" xfId="3" applyFont="1" applyBorder="1" applyAlignment="1">
      <alignment horizontal="center" vertical="center"/>
    </xf>
    <xf numFmtId="0" fontId="22" fillId="0" borderId="2" xfId="3" applyFont="1" applyBorder="1" applyAlignment="1">
      <alignment horizontal="center" vertical="center"/>
    </xf>
    <xf numFmtId="0" fontId="22" fillId="0" borderId="3" xfId="3" applyFont="1" applyBorder="1" applyAlignment="1">
      <alignment horizontal="center" vertical="center"/>
    </xf>
    <xf numFmtId="0" fontId="12" fillId="0" borderId="11" xfId="3" applyFont="1" applyBorder="1" applyAlignment="1">
      <alignment horizontal="left"/>
    </xf>
    <xf numFmtId="0" fontId="12" fillId="0" borderId="12" xfId="3" applyFont="1" applyBorder="1" applyAlignment="1">
      <alignment horizontal="left"/>
    </xf>
    <xf numFmtId="168" fontId="12" fillId="0" borderId="0" xfId="2" applyNumberFormat="1" applyFont="1" applyAlignment="1">
      <alignment horizontal="left"/>
    </xf>
    <xf numFmtId="0" fontId="33" fillId="0" borderId="0" xfId="3" applyFont="1" applyAlignment="1">
      <alignment horizontal="center" vertical="center"/>
    </xf>
    <xf numFmtId="0" fontId="7" fillId="0" borderId="0" xfId="3" applyFont="1" applyAlignment="1">
      <alignment horizontal="center" vertical="center"/>
    </xf>
    <xf numFmtId="164" fontId="32" fillId="0" borderId="0" xfId="3" applyNumberFormat="1" applyFont="1" applyAlignment="1">
      <alignment horizontal="center" vertical="center"/>
    </xf>
    <xf numFmtId="0" fontId="16" fillId="0" borderId="0" xfId="3" applyFont="1" applyAlignment="1">
      <alignment horizontal="center" vertical="center"/>
    </xf>
    <xf numFmtId="0" fontId="12" fillId="0" borderId="61" xfId="3" applyFont="1" applyBorder="1" applyAlignment="1">
      <alignment vertical="top" wrapText="1"/>
    </xf>
    <xf numFmtId="0" fontId="12" fillId="0" borderId="0" xfId="3" applyFont="1" applyAlignment="1">
      <alignment vertical="top" wrapText="1"/>
    </xf>
    <xf numFmtId="0" fontId="12" fillId="0" borderId="0" xfId="3" applyFont="1" applyBorder="1" applyAlignment="1">
      <alignment vertical="top" wrapText="1"/>
    </xf>
    <xf numFmtId="0" fontId="12" fillId="0" borderId="45" xfId="3" applyFont="1" applyBorder="1" applyAlignment="1">
      <alignment vertical="top" wrapText="1"/>
    </xf>
    <xf numFmtId="0" fontId="22" fillId="0" borderId="54" xfId="3" applyFont="1" applyBorder="1" applyAlignment="1">
      <alignment horizontal="center" vertical="center"/>
    </xf>
    <xf numFmtId="0" fontId="22" fillId="0" borderId="55" xfId="3" applyFont="1" applyBorder="1" applyAlignment="1">
      <alignment horizontal="center" vertical="center"/>
    </xf>
    <xf numFmtId="0" fontId="22" fillId="0" borderId="53" xfId="3" applyFont="1" applyBorder="1" applyAlignment="1">
      <alignment horizontal="center" vertical="center"/>
    </xf>
    <xf numFmtId="0" fontId="6" fillId="0" borderId="47" xfId="3" applyFont="1" applyBorder="1" applyAlignment="1">
      <alignment horizontal="left" vertical="center"/>
    </xf>
    <xf numFmtId="0" fontId="6" fillId="0" borderId="16" xfId="3" applyFont="1" applyBorder="1" applyAlignment="1">
      <alignment horizontal="left" vertical="center"/>
    </xf>
    <xf numFmtId="0" fontId="6" fillId="0" borderId="92" xfId="3" applyFont="1" applyBorder="1" applyAlignment="1">
      <alignment horizontal="left" vertical="center"/>
    </xf>
    <xf numFmtId="0" fontId="6" fillId="0" borderId="82" xfId="3" applyFont="1" applyBorder="1" applyAlignment="1">
      <alignment horizontal="left" vertical="center"/>
    </xf>
    <xf numFmtId="0" fontId="6" fillId="0" borderId="83" xfId="3" applyFont="1" applyBorder="1" applyAlignment="1">
      <alignment horizontal="left" vertical="center"/>
    </xf>
    <xf numFmtId="0" fontId="6" fillId="0" borderId="61" xfId="3" applyFont="1" applyBorder="1" applyAlignment="1">
      <alignment horizontal="left" vertical="center"/>
    </xf>
    <xf numFmtId="0" fontId="3" fillId="0" borderId="0" xfId="3" applyFont="1" applyAlignment="1">
      <alignment horizontal="center" vertical="center" wrapText="1"/>
    </xf>
    <xf numFmtId="0" fontId="31" fillId="0" borderId="0" xfId="3" applyFont="1" applyAlignment="1">
      <alignment horizontal="center" vertical="center" wrapText="1"/>
    </xf>
    <xf numFmtId="0" fontId="22" fillId="0" borderId="0" xfId="3" applyFont="1" applyAlignment="1">
      <alignment horizontal="center" vertical="center" textRotation="90"/>
    </xf>
    <xf numFmtId="0" fontId="12" fillId="0" borderId="16" xfId="3" applyFont="1" applyBorder="1" applyAlignment="1">
      <alignment horizontal="left" vertical="center" wrapText="1"/>
    </xf>
    <xf numFmtId="0" fontId="12" fillId="0" borderId="42" xfId="3" applyFont="1" applyBorder="1" applyAlignment="1">
      <alignment horizontal="center" vertical="top" wrapText="1"/>
    </xf>
    <xf numFmtId="0" fontId="12" fillId="0" borderId="0" xfId="3" applyFont="1" applyAlignment="1">
      <alignment horizontal="center" vertical="top" wrapText="1"/>
    </xf>
    <xf numFmtId="0" fontId="12" fillId="0" borderId="20" xfId="3" applyFont="1" applyBorder="1" applyAlignment="1">
      <alignment horizontal="center" vertical="top" wrapText="1"/>
    </xf>
    <xf numFmtId="0" fontId="12" fillId="0" borderId="47" xfId="3" applyFont="1" applyBorder="1" applyAlignment="1">
      <alignment horizontal="center" vertical="top" wrapText="1"/>
    </xf>
    <xf numFmtId="0" fontId="12" fillId="0" borderId="16" xfId="3" applyFont="1" applyBorder="1" applyAlignment="1">
      <alignment horizontal="center" vertical="top" wrapText="1"/>
    </xf>
    <xf numFmtId="0" fontId="12" fillId="0" borderId="46" xfId="3" applyFont="1" applyBorder="1" applyAlignment="1">
      <alignment horizontal="center" vertical="top" wrapText="1"/>
    </xf>
    <xf numFmtId="0" fontId="27" fillId="0" borderId="0" xfId="3" applyFont="1" applyAlignment="1">
      <alignment horizontal="left" vertical="center" wrapText="1"/>
    </xf>
    <xf numFmtId="0" fontId="16" fillId="0" borderId="0" xfId="3" applyFont="1" applyAlignment="1">
      <alignment horizontal="left" vertical="center"/>
    </xf>
    <xf numFmtId="0" fontId="27" fillId="0" borderId="0" xfId="3" applyFont="1" applyAlignment="1">
      <alignment horizontal="left" wrapText="1"/>
    </xf>
    <xf numFmtId="0" fontId="27" fillId="0" borderId="82" xfId="3" applyFont="1" applyBorder="1" applyAlignment="1">
      <alignment vertical="center" wrapText="1"/>
    </xf>
    <xf numFmtId="0" fontId="27" fillId="0" borderId="45" xfId="3" applyFont="1" applyBorder="1" applyAlignment="1">
      <alignment vertical="center" wrapText="1"/>
    </xf>
    <xf numFmtId="0" fontId="17" fillId="0" borderId="82" xfId="3" applyFont="1" applyBorder="1" applyAlignment="1">
      <alignment vertical="center" wrapText="1"/>
    </xf>
    <xf numFmtId="164" fontId="47" fillId="0" borderId="52" xfId="3" applyNumberFormat="1" applyFont="1" applyBorder="1" applyAlignment="1">
      <alignment horizontal="center" vertical="center"/>
    </xf>
    <xf numFmtId="164" fontId="47" fillId="0" borderId="0" xfId="3" applyNumberFormat="1" applyFont="1" applyAlignment="1">
      <alignment horizontal="center" vertical="center"/>
    </xf>
    <xf numFmtId="0" fontId="46" fillId="0" borderId="0" xfId="3" applyFont="1" applyAlignment="1">
      <alignment vertical="center"/>
    </xf>
    <xf numFmtId="0" fontId="17" fillId="0" borderId="16" xfId="3" applyFont="1" applyBorder="1" applyAlignment="1">
      <alignment vertical="center"/>
    </xf>
    <xf numFmtId="0" fontId="45" fillId="0" borderId="16" xfId="3" applyFont="1" applyBorder="1" applyAlignment="1">
      <alignment horizontal="left" vertical="center" wrapText="1"/>
    </xf>
    <xf numFmtId="0" fontId="27" fillId="0" borderId="16" xfId="3" applyFont="1" applyBorder="1" applyAlignment="1">
      <alignment vertical="center" wrapText="1"/>
    </xf>
    <xf numFmtId="0" fontId="22" fillId="0" borderId="83" xfId="3" applyFont="1" applyBorder="1" applyAlignment="1">
      <alignment horizontal="center" vertical="center"/>
    </xf>
    <xf numFmtId="0" fontId="22" fillId="0" borderId="61" xfId="3" applyFont="1" applyBorder="1" applyAlignment="1">
      <alignment horizontal="center" vertical="center"/>
    </xf>
    <xf numFmtId="0" fontId="22" fillId="0" borderId="84" xfId="3" applyFont="1" applyBorder="1" applyAlignment="1">
      <alignment horizontal="center" vertical="center"/>
    </xf>
    <xf numFmtId="0" fontId="17" fillId="0" borderId="82" xfId="3" applyFont="1" applyBorder="1" applyAlignment="1">
      <alignment vertical="center"/>
    </xf>
    <xf numFmtId="0" fontId="17" fillId="0" borderId="0" xfId="3" applyFont="1" applyAlignment="1">
      <alignment vertical="center"/>
    </xf>
    <xf numFmtId="0" fontId="27" fillId="0" borderId="61" xfId="3" applyFont="1" applyBorder="1" applyAlignment="1">
      <alignment vertical="center" wrapText="1"/>
    </xf>
    <xf numFmtId="0" fontId="9" fillId="0" borderId="61" xfId="2" applyBorder="1" applyAlignment="1">
      <alignment vertical="center"/>
    </xf>
    <xf numFmtId="164" fontId="10" fillId="0" borderId="1" xfId="3" applyNumberFormat="1" applyBorder="1" applyAlignment="1">
      <alignment horizontal="left" vertical="top" wrapText="1"/>
    </xf>
    <xf numFmtId="0" fontId="10" fillId="0" borderId="3" xfId="3" applyBorder="1" applyAlignment="1">
      <alignment horizontal="left" vertical="top" wrapText="1"/>
    </xf>
    <xf numFmtId="0" fontId="10" fillId="0" borderId="4" xfId="3" applyBorder="1" applyAlignment="1">
      <alignment horizontal="left" vertical="top" wrapText="1"/>
    </xf>
    <xf numFmtId="0" fontId="10" fillId="0" borderId="8" xfId="3" applyBorder="1" applyAlignment="1">
      <alignment horizontal="left" vertical="top" wrapText="1"/>
    </xf>
    <xf numFmtId="0" fontId="28" fillId="0" borderId="8" xfId="2" applyFont="1" applyBorder="1" applyAlignment="1">
      <alignment horizontal="right" textRotation="90"/>
    </xf>
    <xf numFmtId="0" fontId="14" fillId="0" borderId="8" xfId="3" applyFont="1" applyBorder="1" applyAlignment="1" applyProtection="1">
      <alignment horizontal="left" vertical="top" textRotation="90"/>
      <protection locked="0"/>
    </xf>
    <xf numFmtId="0" fontId="14" fillId="0" borderId="8" xfId="3" applyFont="1" applyBorder="1" applyAlignment="1">
      <alignment horizontal="left" textRotation="90"/>
    </xf>
    <xf numFmtId="0" fontId="28" fillId="0" borderId="4" xfId="2" applyFont="1" applyBorder="1" applyAlignment="1">
      <alignment horizontal="left" textRotation="180"/>
    </xf>
    <xf numFmtId="164" fontId="10" fillId="0" borderId="3" xfId="3" applyNumberFormat="1" applyBorder="1" applyAlignment="1">
      <alignment horizontal="left" vertical="top" wrapText="1"/>
    </xf>
    <xf numFmtId="164" fontId="10" fillId="0" borderId="4" xfId="3" applyNumberFormat="1" applyBorder="1" applyAlignment="1">
      <alignment horizontal="left" vertical="top" wrapText="1"/>
    </xf>
    <xf numFmtId="164" fontId="10" fillId="0" borderId="8" xfId="3" applyNumberFormat="1" applyBorder="1" applyAlignment="1">
      <alignment horizontal="left" vertical="top" wrapText="1"/>
    </xf>
    <xf numFmtId="0" fontId="14" fillId="0" borderId="4" xfId="3" applyFont="1" applyBorder="1" applyAlignment="1">
      <alignment horizontal="right" textRotation="180"/>
    </xf>
    <xf numFmtId="164" fontId="10" fillId="0" borderId="1" xfId="3" applyNumberFormat="1" applyBorder="1" applyAlignment="1">
      <alignment vertical="top" wrapText="1"/>
    </xf>
    <xf numFmtId="0" fontId="10" fillId="0" borderId="3" xfId="3" applyBorder="1" applyAlignment="1">
      <alignment vertical="top" wrapText="1"/>
    </xf>
    <xf numFmtId="0" fontId="10" fillId="0" borderId="4" xfId="3" applyBorder="1" applyAlignment="1">
      <alignment vertical="top" wrapText="1"/>
    </xf>
    <xf numFmtId="0" fontId="10" fillId="0" borderId="8" xfId="3" applyBorder="1" applyAlignment="1">
      <alignment vertical="top" wrapText="1"/>
    </xf>
    <xf numFmtId="0" fontId="14" fillId="0" borderId="4" xfId="3" applyFont="1" applyBorder="1" applyAlignment="1" applyProtection="1">
      <alignment horizontal="right" vertical="top" textRotation="180"/>
      <protection locked="0"/>
    </xf>
  </cellXfs>
  <cellStyles count="4">
    <cellStyle name="Hiperlink" xfId="1" builtinId="8"/>
    <cellStyle name="Normal" xfId="0" builtinId="0"/>
    <cellStyle name="Normal 2" xfId="2" xr:uid="{00000000-0005-0000-0000-000002000000}"/>
    <cellStyle name="Normal_Agenda" xfId="3" xr:uid="{00000000-0005-0000-0000-000003000000}"/>
  </cellStyles>
  <dxfs count="115">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19" formatCode="dd/mm/yyyy"/>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dxf>
    <dxf>
      <border outline="0">
        <bottom style="thick">
          <color theme="0"/>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top style="thin">
          <color indexed="22"/>
        </top>
        <bottom style="thin">
          <color indexed="22"/>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s>
  <tableStyles count="0" defaultTableStyle="TableStyleMedium9" defaultPivotStyle="PivotStyleLight16"/>
  <colors>
    <mruColors>
      <color rgb="FFFFFFCC"/>
      <color rgb="FFFFFF00"/>
      <color rgb="FFFFFF99"/>
      <color rgb="FFC0C0C0"/>
      <color rgb="FFFAFECA"/>
      <color rgb="FF808080"/>
      <color rgb="FF0000FF"/>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3">
    <xs:schema xmlns:xs="http://www.w3.org/2001/XMLSchema" xmlns="" attributeFormDefault="unqualified" elementFormDefault="qualified">
      <xs:element name="xml">
        <xs:complexType>
          <xs:sequence>
            <xs:element name="request">
              <xs:complexType>
                <xs:sequence>
                  <xs:element type="xs:string" name="reqname"/>
                  <xs:element type="xs:string" name="reqversion"/>
                  <xs:element type="xs:float" name="reqlongitude"/>
                  <xs:element type="xs:float" name="reqlatitude"/>
                  <xs:element type="xs:float" name="reqtimezone"/>
                  <xs:element type="xs:string" name="reqstartdate"/>
                  <xs:element type="xs:short" name="reqdaycount"/>
                  <xs:element type="xs:byte" name="reqdst"/>
                  <xs:element type="xs:string" name="resname"/>
                  <xs:element type="xs:string" name="resdstsystem"/>
                </xs:sequence>
              </xs:complexType>
            </xs:element>
            <xs:element name="result">
              <xs:complexType>
                <xs:sequence>
                  <xs:element name="masa" maxOccurs="unbounded" minOccurs="0">
                    <xs:complexType>
                      <xs:sequence>
                        <xs:element name="msday" maxOccurs="unbounded" minOccurs="0">
                          <xs:complexType>
                            <xs:sequence>
                              <xs:element type="xs:date" name="date"/>
                              <xs:element type="xs:positiveInteger" name="doy"/>
                              <xs:element type="xs:positiveInteger" name="nyc"/>
                              <xs:element type="xs:string" name="month"/>
                              <xs:element type="xs:positiveInteger" name="wnum"/>
                              <xs:element type="xs:string" name="weekday"/>
                              <xs:element type="xs:positiveInteger" name="gyear"/>
                              <xs:element type="xs:string" name="masa"/>
                              <xs:element type="xs:string" name="paksa"/>
                              <xs:element type="xs:positiveInteger" name="tnum"/>
                              <xs:element type="xs:string" name="tithi"/>
                              <xs:element type="xs:string" name="arunodayatithi"/>
                              <xs:element type="xs:string" name="vriddhi" minOccurs="0"/>
                              <xs:element type="xs:float" name="dstoffset" minOccurs="0"/>
                              <xs:element type="xs:time" name="ksayafrom" minOccurs="0"/>
                              <xs:element type="xs:time" name="ksayato" minOccurs="0"/>
                              <xs:element type="xs:time" name="sankrantitime" minOccurs="0"/>
                              <xs:element type="xs:string" name="sankrantirasi" minOccurs="0"/>
                              <xs:element type="xs:time" name="arunodaya"/>
                              <xs:element type="xs:time" name="sunrise"/>
                              <xs:element type="xs:time" name="paranafrom" minOccurs="0"/>
                              <xs:element type="xs:time" name="paranato" minOccurs="0"/>
                              <xs:element type="xs:time" name="noon"/>
                              <xs:element type="xs:time" name="sunset"/>
                              <xs:element type="xs:time" name="moonrise"/>
                              <xs:element type="xs:time" name="moontransit"/>
                              <xs:element type="xs:time" name="moonset"/>
                              <xs:element type="xs:string" name="moonphase"/>
                              <xs:element type="xs:short" name="mooncode"/>
                              <xs:element type="xs:string" name="moontransl"/>
                              <xs:element type="xs:string" name="moonref" minOccurs="0"/>
                              <xs:element type="xs:float" name="tithielapse"/>
                              <xs:element type="xs:float" name="naksatraelapse"/>
                              <xs:element type="xs:string" name="naksatra"/>
                              <xs:element type="xs:string" name="yoga"/>
                              <xs:element type="xs:string" name="fasttype"/>
                              <xs:element type="xs:string" name="fastmark"/>
                              <xs:element type="xs:string" name="festival1" minOccurs="0"/>
                              <xs:element type="xs:string" name="class1" minOccurs="0"/>
                              <xs:element type="xs:string" name="festival2" minOccurs="0"/>
                              <xs:element type="xs:string" name="class2" minOccurs="0"/>
                              <xs:element type="xs:string" name="festival3" minOccurs="0"/>
                              <xs:element type="xs:string" name="class3" minOccurs="0"/>
                              <xs:element type="xs:string" name="festival4" minOccurs="0"/>
                              <xs:element type="xs:string" name="class4" minOccurs="0"/>
                              <xs:element type="xs:string" name="festival5" minOccurs="0"/>
                              <xs:element type="xs:string" name="class5" minOccurs="0"/>
                              <xs:element type="xs:string" name="festival6" minOccurs="0"/>
                              <xs:element type="xs:string" name="class6" minOccurs="0"/>
                              <xs:element type="xs:string" name="festival7" minOccurs="0"/>
                              <xs:element type="xs:string" name="class7" minOccurs="0"/>
                              <xs:element type="xs:string" name="festival8" minOccurs="0"/>
                              <xs:element type="xs:string" name="class8" minOccurs="0"/>
                              <xs:element type="xs:string" name="festival9" minOccurs="0"/>
                              <xs:element type="xs:string" name="class9" minOccurs="0"/>
                              <xs:element type="xs:string" name="festival10" minOccurs="0"/>
                              <xs:element type="xs:string" name="class10" minOccurs="0"/>
                              <xs:element type="xs:string" name="festival11" minOccurs="0"/>
                              <xs:element type="xs:string" name="class11" minOccurs="0"/>
                              <xs:element type="xs:string" name="festival12" minOccurs="0"/>
                              <xs:element type="xs:string" name="class12" minOccurs="0"/>
                              <xs:element type="xs:string" name="festivalref" minOccurs="0"/>
                              <xs:element type="xs:string" name="caturmasya1" minOccurs="0"/>
                              <xs:element type="xs:string" name="caturmasya2" minOccurs="0"/>
                            </xs:sequence>
                          </xs:complexType>
                        </xs:element>
                      </xs:sequence>
                      <xs:attribute type="xs:string" name="name" use="optional"/>
                      <xs:attribute type="xs:string" name="gyear" use="optional"/>
                    </xs:complexType>
                  </xs:element>
                </xs:sequence>
                <xs:attribute type="xs:string" name="name"/>
              </xs:complexType>
            </xs:element>
          </xs:sequence>
        </xs:complexType>
      </xs:element>
    </xs:schema>
  </Schema>
  <Map ID="12" Name="calendar-rd" RootElement="xml" SchemaID="Schema3" ShowImportExportValidationErrors="false" AutoFit="true" Append="false" PreserveSortAFLayout="true" PreserveFormat="true">
    <DataBinding FileBinding="true" ConnectionID="2"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Spin" dx="16" fmlaLink="Options!$W$2" max="3" min="1" page="10"/>
</file>

<file path=xl/ctrlProps/ctrlProp2.xml><?xml version="1.0" encoding="utf-8"?>
<formControlPr xmlns="http://schemas.microsoft.com/office/spreadsheetml/2009/9/main" objectType="Spin" dx="16" fmlaLink="Options!$W$4" max="53" min="1" page="10"/>
</file>

<file path=xl/ctrlProps/ctrlProp3.xml><?xml version="1.0" encoding="utf-8"?>
<formControlPr xmlns="http://schemas.microsoft.com/office/spreadsheetml/2009/9/main" objectType="Spin" dx="16" fmlaLink="Options!$W$2" max="3" min="1" page="10"/>
</file>

<file path=xl/ctrlProps/ctrlProp4.xml><?xml version="1.0" encoding="utf-8"?>
<formControlPr xmlns="http://schemas.microsoft.com/office/spreadsheetml/2009/9/main" objectType="Spin" dx="16" fmlaLink="Options!$W$4" max="53" min="1" page="10"/>
</file>

<file path=xl/ctrlProps/ctrlProp5.xml><?xml version="1.0" encoding="utf-8"?>
<formControlPr xmlns="http://schemas.microsoft.com/office/spreadsheetml/2009/9/main" objectType="Spin" dx="16" fmlaLink="Options!$W$3" max="12" min="1" page="10"/>
</file>

<file path=xl/ctrlProps/ctrlProp6.xml><?xml version="1.0" encoding="utf-8"?>
<formControlPr xmlns="http://schemas.microsoft.com/office/spreadsheetml/2009/9/main" objectType="Spin" dx="16" fmlaLink="Options!$W$3" max="12" min="1" page="10"/>
</file>

<file path=xl/drawings/_rels/drawing1.xml.rels><?xml version="1.0" encoding="UTF-8" standalone="yes"?>
<Relationships xmlns="http://schemas.openxmlformats.org/package/2006/relationships"><Relationship Id="rId1" Type="http://schemas.openxmlformats.org/officeDocument/2006/relationships/image" Target="../media/image1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hyperlink" Target="#Options!A1"/></Relationships>
</file>

<file path=xl/drawings/_rels/drawing3.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hyperlink" Target="#Options!A1"/></Relationships>
</file>

<file path=xl/drawings/_rels/drawing4.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hyperlink" Target="#Options!A1"/></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hyperlink" Target="#Options!A1"/><Relationship Id="rId6" Type="http://schemas.openxmlformats.org/officeDocument/2006/relationships/image" Target="../media/image16.png"/><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hyperlink" Target="#Options!A1"/></Relationships>
</file>

<file path=xl/drawings/_rels/drawing7.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hyperlink" Target="#Options!A1"/></Relationships>
</file>

<file path=xl/drawings/_rels/drawing8.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hyperlink" Target="#Options!A1"/></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1.emf"/><Relationship Id="rId1" Type="http://schemas.openxmlformats.org/officeDocument/2006/relationships/image" Target="../media/image2.emf"/><Relationship Id="rId6" Type="http://schemas.openxmlformats.org/officeDocument/2006/relationships/image" Target="../media/image6.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6</xdr:col>
      <xdr:colOff>742950</xdr:colOff>
      <xdr:row>9</xdr:row>
      <xdr:rowOff>49900</xdr:rowOff>
    </xdr:from>
    <xdr:to>
      <xdr:col>7</xdr:col>
      <xdr:colOff>838019</xdr:colOff>
      <xdr:row>12</xdr:row>
      <xdr:rowOff>9525</xdr:rowOff>
    </xdr:to>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val="0"/>
            </a:ext>
          </a:extLst>
        </a:blip>
        <a:stretch>
          <a:fillRect/>
        </a:stretch>
      </xdr:blipFill>
      <xdr:spPr>
        <a:xfrm>
          <a:off x="3076575" y="2154925"/>
          <a:ext cx="952319" cy="674000"/>
        </a:xfrm>
        <a:prstGeom prst="rect">
          <a:avLst/>
        </a:prstGeom>
        <a:ln w="19050">
          <a:solidFill>
            <a:schemeClr val="tx1">
              <a:lumMod val="50000"/>
              <a:lumOff val="50000"/>
            </a:schemeClr>
          </a:solidFill>
        </a:ln>
      </xdr:spPr>
    </xdr:pic>
    <xdr:clientData/>
  </xdr:twoCellAnchor>
  <mc:AlternateContent xmlns:mc="http://schemas.openxmlformats.org/markup-compatibility/2006">
    <mc:Choice xmlns:a14="http://schemas.microsoft.com/office/drawing/2010/main" Requires="a14">
      <xdr:twoCellAnchor editAs="oneCell">
        <xdr:from>
          <xdr:col>4</xdr:col>
          <xdr:colOff>628650</xdr:colOff>
          <xdr:row>4</xdr:row>
          <xdr:rowOff>76200</xdr:rowOff>
        </xdr:from>
        <xdr:to>
          <xdr:col>8</xdr:col>
          <xdr:colOff>9525</xdr:colOff>
          <xdr:row>5</xdr:row>
          <xdr:rowOff>161925</xdr:rowOff>
        </xdr:to>
        <xdr:sp macro="" textlink="">
          <xdr:nvSpPr>
            <xdr:cNvPr id="2081" name="CmdCalendarChange" hidden="1">
              <a:extLst>
                <a:ext uri="{63B3BB69-23CF-44E3-9099-C40C66FF867C}">
                  <a14:compatExt spid="_x0000_s2081"/>
                </a:ext>
                <a:ext uri="{FF2B5EF4-FFF2-40B4-BE49-F238E27FC236}">
                  <a16:creationId xmlns:a16="http://schemas.microsoft.com/office/drawing/2014/main" id="{00000000-0008-0000-0000-00002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6</xdr:row>
          <xdr:rowOff>219075</xdr:rowOff>
        </xdr:from>
        <xdr:to>
          <xdr:col>8</xdr:col>
          <xdr:colOff>0</xdr:colOff>
          <xdr:row>7</xdr:row>
          <xdr:rowOff>219075</xdr:rowOff>
        </xdr:to>
        <xdr:sp macro="" textlink="">
          <xdr:nvSpPr>
            <xdr:cNvPr id="2086" name="TextBoxCityCustomName" hidden="1">
              <a:extLst>
                <a:ext uri="{63B3BB69-23CF-44E3-9099-C40C66FF867C}">
                  <a14:compatExt spid="_x0000_s2086"/>
                </a:ext>
                <a:ext uri="{FF2B5EF4-FFF2-40B4-BE49-F238E27FC236}">
                  <a16:creationId xmlns:a16="http://schemas.microsoft.com/office/drawing/2014/main" id="{00000000-0008-0000-00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12</xdr:row>
          <xdr:rowOff>0</xdr:rowOff>
        </xdr:from>
        <xdr:to>
          <xdr:col>6</xdr:col>
          <xdr:colOff>628650</xdr:colOff>
          <xdr:row>13</xdr:row>
          <xdr:rowOff>19050</xdr:rowOff>
        </xdr:to>
        <xdr:sp macro="" textlink="">
          <xdr:nvSpPr>
            <xdr:cNvPr id="2088" name="CheckBoxPersons" hidden="1">
              <a:extLst>
                <a:ext uri="{63B3BB69-23CF-44E3-9099-C40C66FF867C}">
                  <a14:compatExt spid="_x0000_s2088"/>
                </a:ext>
                <a:ext uri="{FF2B5EF4-FFF2-40B4-BE49-F238E27FC236}">
                  <a16:creationId xmlns:a16="http://schemas.microsoft.com/office/drawing/2014/main" id="{00000000-0008-0000-0000-00002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15</xdr:row>
          <xdr:rowOff>161925</xdr:rowOff>
        </xdr:from>
        <xdr:to>
          <xdr:col>4</xdr:col>
          <xdr:colOff>771525</xdr:colOff>
          <xdr:row>16</xdr:row>
          <xdr:rowOff>180975</xdr:rowOff>
        </xdr:to>
        <xdr:sp macro="" textlink="">
          <xdr:nvSpPr>
            <xdr:cNvPr id="2089" name="CheckBoxReunions" hidden="1">
              <a:extLst>
                <a:ext uri="{63B3BB69-23CF-44E3-9099-C40C66FF867C}">
                  <a14:compatExt spid="_x0000_s2089"/>
                </a:ext>
                <a:ext uri="{FF2B5EF4-FFF2-40B4-BE49-F238E27FC236}">
                  <a16:creationId xmlns:a16="http://schemas.microsoft.com/office/drawing/2014/main" id="{00000000-0008-0000-0000-00002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876300</xdr:colOff>
          <xdr:row>15</xdr:row>
          <xdr:rowOff>95250</xdr:rowOff>
        </xdr:from>
        <xdr:to>
          <xdr:col>8</xdr:col>
          <xdr:colOff>9525</xdr:colOff>
          <xdr:row>17</xdr:row>
          <xdr:rowOff>85725</xdr:rowOff>
        </xdr:to>
        <xdr:sp macro="" textlink="">
          <xdr:nvSpPr>
            <xdr:cNvPr id="2091" name="CmdGPlanCreate" hidden="1">
              <a:extLst>
                <a:ext uri="{63B3BB69-23CF-44E3-9099-C40C66FF867C}">
                  <a14:compatExt spid="_x0000_s2091"/>
                </a:ext>
                <a:ext uri="{FF2B5EF4-FFF2-40B4-BE49-F238E27FC236}">
                  <a16:creationId xmlns:a16="http://schemas.microsoft.com/office/drawing/2014/main" id="{00000000-0008-0000-0000-00002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19050</xdr:rowOff>
        </xdr:from>
        <xdr:to>
          <xdr:col>5</xdr:col>
          <xdr:colOff>28575</xdr:colOff>
          <xdr:row>9</xdr:row>
          <xdr:rowOff>38100</xdr:rowOff>
        </xdr:to>
        <xdr:sp macro="" textlink="">
          <xdr:nvSpPr>
            <xdr:cNvPr id="2093" name="ComboBoxHours" hidden="1">
              <a:extLst>
                <a:ext uri="{63B3BB69-23CF-44E3-9099-C40C66FF867C}">
                  <a14:compatExt spid="_x0000_s2093"/>
                </a:ext>
                <a:ext uri="{FF2B5EF4-FFF2-40B4-BE49-F238E27FC236}">
                  <a16:creationId xmlns:a16="http://schemas.microsoft.com/office/drawing/2014/main" id="{00000000-0008-0000-0000-00002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14</xdr:row>
          <xdr:rowOff>180975</xdr:rowOff>
        </xdr:from>
        <xdr:to>
          <xdr:col>4</xdr:col>
          <xdr:colOff>771525</xdr:colOff>
          <xdr:row>15</xdr:row>
          <xdr:rowOff>200025</xdr:rowOff>
        </xdr:to>
        <xdr:sp macro="" textlink="">
          <xdr:nvSpPr>
            <xdr:cNvPr id="2094" name="CheckBoxProjects" hidden="1">
              <a:extLst>
                <a:ext uri="{63B3BB69-23CF-44E3-9099-C40C66FF867C}">
                  <a14:compatExt spid="_x0000_s2094"/>
                </a:ext>
                <a:ext uri="{FF2B5EF4-FFF2-40B4-BE49-F238E27FC236}">
                  <a16:creationId xmlns:a16="http://schemas.microsoft.com/office/drawing/2014/main" id="{00000000-0008-0000-0000-00002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16</xdr:row>
          <xdr:rowOff>142875</xdr:rowOff>
        </xdr:from>
        <xdr:to>
          <xdr:col>4</xdr:col>
          <xdr:colOff>771525</xdr:colOff>
          <xdr:row>17</xdr:row>
          <xdr:rowOff>161925</xdr:rowOff>
        </xdr:to>
        <xdr:sp macro="" textlink="">
          <xdr:nvSpPr>
            <xdr:cNvPr id="2095" name="CheckBoxSquared" hidden="1">
              <a:extLst>
                <a:ext uri="{63B3BB69-23CF-44E3-9099-C40C66FF867C}">
                  <a14:compatExt spid="_x0000_s2095"/>
                </a:ext>
                <a:ext uri="{FF2B5EF4-FFF2-40B4-BE49-F238E27FC236}">
                  <a16:creationId xmlns:a16="http://schemas.microsoft.com/office/drawing/2014/main" id="{00000000-0008-0000-0000-00002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13</xdr:row>
          <xdr:rowOff>180975</xdr:rowOff>
        </xdr:from>
        <xdr:to>
          <xdr:col>6</xdr:col>
          <xdr:colOff>628650</xdr:colOff>
          <xdr:row>14</xdr:row>
          <xdr:rowOff>200025</xdr:rowOff>
        </xdr:to>
        <xdr:sp macro="" textlink="">
          <xdr:nvSpPr>
            <xdr:cNvPr id="2096" name="CheckBoxPurpose" hidden="1">
              <a:extLst>
                <a:ext uri="{63B3BB69-23CF-44E3-9099-C40C66FF867C}">
                  <a14:compatExt spid="_x0000_s2096"/>
                </a:ext>
                <a:ext uri="{FF2B5EF4-FFF2-40B4-BE49-F238E27FC236}">
                  <a16:creationId xmlns:a16="http://schemas.microsoft.com/office/drawing/2014/main" id="{00000000-0008-0000-0000-00003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12</xdr:row>
          <xdr:rowOff>219075</xdr:rowOff>
        </xdr:from>
        <xdr:to>
          <xdr:col>6</xdr:col>
          <xdr:colOff>628650</xdr:colOff>
          <xdr:row>14</xdr:row>
          <xdr:rowOff>0</xdr:rowOff>
        </xdr:to>
        <xdr:sp macro="" textlink="">
          <xdr:nvSpPr>
            <xdr:cNvPr id="2097" name="CheckBoxMonthly" hidden="1">
              <a:extLst>
                <a:ext uri="{63B3BB69-23CF-44E3-9099-C40C66FF867C}">
                  <a14:compatExt spid="_x0000_s2097"/>
                </a:ext>
                <a:ext uri="{FF2B5EF4-FFF2-40B4-BE49-F238E27FC236}">
                  <a16:creationId xmlns:a16="http://schemas.microsoft.com/office/drawing/2014/main" id="{00000000-0008-0000-0000-00003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66675</xdr:colOff>
      <xdr:row>0</xdr:row>
      <xdr:rowOff>180975</xdr:rowOff>
    </xdr:from>
    <xdr:to>
      <xdr:col>0</xdr:col>
      <xdr:colOff>209550</xdr:colOff>
      <xdr:row>0</xdr:row>
      <xdr:rowOff>352425</xdr:rowOff>
    </xdr:to>
    <xdr:pic>
      <xdr:nvPicPr>
        <xdr:cNvPr id="2" name="Picture 42">
          <a:hlinkClick xmlns:r="http://schemas.openxmlformats.org/officeDocument/2006/relationships" r:id="rId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6675" y="438150"/>
          <a:ext cx="142875" cy="171450"/>
        </a:xfrm>
        <a:prstGeom prst="rect">
          <a:avLst/>
        </a:prstGeom>
        <a:noFill/>
        <a:ln w="9525">
          <a:noFill/>
          <a:miter lim="800000"/>
          <a:headEnd/>
          <a:tailEnd/>
        </a:ln>
      </xdr:spPr>
    </xdr:pic>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28575</xdr:colOff>
      <xdr:row>0</xdr:row>
      <xdr:rowOff>47625</xdr:rowOff>
    </xdr:from>
    <xdr:to>
      <xdr:col>0</xdr:col>
      <xdr:colOff>171450</xdr:colOff>
      <xdr:row>0</xdr:row>
      <xdr:rowOff>219075</xdr:rowOff>
    </xdr:to>
    <xdr:pic>
      <xdr:nvPicPr>
        <xdr:cNvPr id="2" name="Picture 25">
          <a:hlinkClick xmlns:r="http://schemas.openxmlformats.org/officeDocument/2006/relationships" r:id="rId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8575" y="47625"/>
          <a:ext cx="142875" cy="171450"/>
        </a:xfrm>
        <a:prstGeom prst="rect">
          <a:avLst/>
        </a:prstGeom>
        <a:noFill/>
        <a:ln w="9525">
          <a:noFill/>
          <a:miter lim="800000"/>
          <a:headEnd/>
          <a:tailEnd/>
        </a:ln>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xdr:col>
      <xdr:colOff>66675</xdr:colOff>
      <xdr:row>0</xdr:row>
      <xdr:rowOff>47625</xdr:rowOff>
    </xdr:from>
    <xdr:to>
      <xdr:col>1</xdr:col>
      <xdr:colOff>209550</xdr:colOff>
      <xdr:row>0</xdr:row>
      <xdr:rowOff>219075</xdr:rowOff>
    </xdr:to>
    <xdr:pic>
      <xdr:nvPicPr>
        <xdr:cNvPr id="2" name="Picture 92">
          <a:hlinkClick xmlns:r="http://schemas.openxmlformats.org/officeDocument/2006/relationships" r:id="rId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23850" y="47625"/>
          <a:ext cx="142875" cy="171450"/>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editAs="oneCell">
        <xdr:from>
          <xdr:col>18</xdr:col>
          <xdr:colOff>85725</xdr:colOff>
          <xdr:row>0</xdr:row>
          <xdr:rowOff>85725</xdr:rowOff>
        </xdr:from>
        <xdr:to>
          <xdr:col>19</xdr:col>
          <xdr:colOff>152400</xdr:colOff>
          <xdr:row>0</xdr:row>
          <xdr:rowOff>504825</xdr:rowOff>
        </xdr:to>
        <xdr:sp macro="" textlink="">
          <xdr:nvSpPr>
            <xdr:cNvPr id="3073" name="YearSelect2"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sp>
        <xdr:clientData fLocksWithSheet="0"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0</xdr:col>
      <xdr:colOff>28575</xdr:colOff>
      <xdr:row>3</xdr:row>
      <xdr:rowOff>47625</xdr:rowOff>
    </xdr:from>
    <xdr:ext cx="142875" cy="161925"/>
    <xdr:pic>
      <xdr:nvPicPr>
        <xdr:cNvPr id="2" name="Picture 98">
          <a:hlinkClick xmlns:r="http://schemas.openxmlformats.org/officeDocument/2006/relationships" r:id="rId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val="0"/>
            </a:ext>
          </a:extLst>
        </a:blip>
        <a:srcRect/>
        <a:stretch>
          <a:fillRect/>
        </a:stretch>
      </xdr:blipFill>
      <xdr:spPr bwMode="auto">
        <a:xfrm>
          <a:off x="28575" y="733425"/>
          <a:ext cx="142875" cy="161925"/>
        </a:xfrm>
        <a:prstGeom prst="rect">
          <a:avLst/>
        </a:prstGeom>
        <a:noFill/>
        <a:ln w="9525">
          <a:noFill/>
          <a:miter lim="800000"/>
          <a:headEnd/>
          <a:tailEnd/>
        </a:ln>
      </xdr:spPr>
    </xdr:pic>
    <xdr:clientData fPrintsWithSheet="0"/>
  </xdr:oneCellAnchor>
  <xdr:twoCellAnchor editAs="oneCell">
    <xdr:from>
      <xdr:col>0</xdr:col>
      <xdr:colOff>38100</xdr:colOff>
      <xdr:row>3</xdr:row>
      <xdr:rowOff>243495</xdr:rowOff>
    </xdr:from>
    <xdr:to>
      <xdr:col>0</xdr:col>
      <xdr:colOff>209550</xdr:colOff>
      <xdr:row>4</xdr:row>
      <xdr:rowOff>227484</xdr:rowOff>
    </xdr:to>
    <xdr:pic>
      <xdr:nvPicPr>
        <xdr:cNvPr id="3" name="Imagem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val="0"/>
            </a:ext>
          </a:extLst>
        </a:blip>
        <a:stretch>
          <a:fillRect/>
        </a:stretch>
      </xdr:blipFill>
      <xdr:spPr>
        <a:xfrm>
          <a:off x="38100" y="929295"/>
          <a:ext cx="171450" cy="231639"/>
        </a:xfrm>
        <a:prstGeom prst="rect">
          <a:avLst/>
        </a:prstGeom>
      </xdr:spPr>
    </xdr:pic>
    <xdr:clientData/>
  </xdr:twoCellAnchor>
  <xdr:twoCellAnchor editAs="oneCell">
    <xdr:from>
      <xdr:col>7</xdr:col>
      <xdr:colOff>38100</xdr:colOff>
      <xdr:row>4</xdr:row>
      <xdr:rowOff>13013</xdr:rowOff>
    </xdr:from>
    <xdr:to>
      <xdr:col>7</xdr:col>
      <xdr:colOff>295275</xdr:colOff>
      <xdr:row>4</xdr:row>
      <xdr:rowOff>190500</xdr:rowOff>
    </xdr:to>
    <xdr:pic>
      <xdr:nvPicPr>
        <xdr:cNvPr id="4" name="Imagem 3">
          <a:extLst>
            <a:ext uri="{FF2B5EF4-FFF2-40B4-BE49-F238E27FC236}">
              <a16:creationId xmlns:a16="http://schemas.microsoft.com/office/drawing/2014/main" id="{00000000-0008-0000-0400-000004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b="30986"/>
        <a:stretch/>
      </xdr:blipFill>
      <xdr:spPr>
        <a:xfrm>
          <a:off x="2190750" y="946463"/>
          <a:ext cx="257175" cy="177487"/>
        </a:xfrm>
        <a:prstGeom prst="rect">
          <a:avLst/>
        </a:prstGeom>
      </xdr:spPr>
    </xdr:pic>
    <xdr:clientData/>
  </xdr:twoCellAnchor>
  <xdr:twoCellAnchor editAs="oneCell">
    <xdr:from>
      <xdr:col>5</xdr:col>
      <xdr:colOff>47624</xdr:colOff>
      <xdr:row>3</xdr:row>
      <xdr:rowOff>217248</xdr:rowOff>
    </xdr:from>
    <xdr:to>
      <xdr:col>6</xdr:col>
      <xdr:colOff>156</xdr:colOff>
      <xdr:row>4</xdr:row>
      <xdr:rowOff>218534</xdr:rowOff>
    </xdr:to>
    <xdr:pic>
      <xdr:nvPicPr>
        <xdr:cNvPr id="5" name="Imagem 4">
          <a:extLst>
            <a:ext uri="{FF2B5EF4-FFF2-40B4-BE49-F238E27FC236}">
              <a16:creationId xmlns:a16="http://schemas.microsoft.com/office/drawing/2014/main" id="{00000000-0008-0000-0400-000005000000}"/>
            </a:ext>
          </a:extLst>
        </xdr:cNvPr>
        <xdr:cNvPicPr>
          <a:picLocks noChangeAspect="1"/>
        </xdr:cNvPicPr>
      </xdr:nvPicPr>
      <xdr:blipFill rotWithShape="1">
        <a:blip xmlns:r="http://schemas.openxmlformats.org/officeDocument/2006/relationships" r:embed="rId5" cstate="email">
          <a:extLst>
            <a:ext uri="{28A0092B-C50C-407E-A947-70E740481C1C}">
              <a14:useLocalDpi xmlns:a14="http://schemas.microsoft.com/office/drawing/2010/main" val="0"/>
            </a:ext>
          </a:extLst>
        </a:blip>
        <a:srcRect b="4907"/>
        <a:stretch/>
      </xdr:blipFill>
      <xdr:spPr>
        <a:xfrm>
          <a:off x="1466849" y="903048"/>
          <a:ext cx="255600" cy="248936"/>
        </a:xfrm>
        <a:prstGeom prst="rect">
          <a:avLst/>
        </a:prstGeom>
      </xdr:spPr>
    </xdr:pic>
    <xdr:clientData/>
  </xdr:twoCellAnchor>
  <xdr:twoCellAnchor editAs="oneCell">
    <xdr:from>
      <xdr:col>3</xdr:col>
      <xdr:colOff>40883</xdr:colOff>
      <xdr:row>4</xdr:row>
      <xdr:rowOff>9525</xdr:rowOff>
    </xdr:from>
    <xdr:to>
      <xdr:col>3</xdr:col>
      <xdr:colOff>296483</xdr:colOff>
      <xdr:row>4</xdr:row>
      <xdr:rowOff>186772</xdr:rowOff>
    </xdr:to>
    <xdr:pic>
      <xdr:nvPicPr>
        <xdr:cNvPr id="6" name="Imagem 5">
          <a:extLst>
            <a:ext uri="{FF2B5EF4-FFF2-40B4-BE49-F238E27FC236}">
              <a16:creationId xmlns:a16="http://schemas.microsoft.com/office/drawing/2014/main" id="{00000000-0008-0000-0400-000006000000}"/>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val="0"/>
            </a:ext>
          </a:extLst>
        </a:blip>
        <a:srcRect b="32293"/>
        <a:stretch/>
      </xdr:blipFill>
      <xdr:spPr>
        <a:xfrm>
          <a:off x="726683" y="942975"/>
          <a:ext cx="255600" cy="17724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57150</xdr:colOff>
          <xdr:row>1</xdr:row>
          <xdr:rowOff>19050</xdr:rowOff>
        </xdr:from>
        <xdr:to>
          <xdr:col>10</xdr:col>
          <xdr:colOff>0</xdr:colOff>
          <xdr:row>2</xdr:row>
          <xdr:rowOff>142875</xdr:rowOff>
        </xdr:to>
        <xdr:sp macro="" textlink="">
          <xdr:nvSpPr>
            <xdr:cNvPr id="104451" name="WeekSelect2" hidden="1">
              <a:extLst>
                <a:ext uri="{63B3BB69-23CF-44E3-9099-C40C66FF867C}">
                  <a14:compatExt spid="_x0000_s104451"/>
                </a:ext>
                <a:ext uri="{FF2B5EF4-FFF2-40B4-BE49-F238E27FC236}">
                  <a16:creationId xmlns:a16="http://schemas.microsoft.com/office/drawing/2014/main" id="{00000000-0008-0000-0400-00000398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0</xdr:row>
          <xdr:rowOff>47625</xdr:rowOff>
        </xdr:from>
        <xdr:to>
          <xdr:col>1</xdr:col>
          <xdr:colOff>19050</xdr:colOff>
          <xdr:row>1</xdr:row>
          <xdr:rowOff>180975</xdr:rowOff>
        </xdr:to>
        <xdr:sp macro="" textlink="">
          <xdr:nvSpPr>
            <xdr:cNvPr id="104452" name="YearSelect3" hidden="1">
              <a:extLst>
                <a:ext uri="{63B3BB69-23CF-44E3-9099-C40C66FF867C}">
                  <a14:compatExt spid="_x0000_s104452"/>
                </a:ext>
                <a:ext uri="{FF2B5EF4-FFF2-40B4-BE49-F238E27FC236}">
                  <a16:creationId xmlns:a16="http://schemas.microsoft.com/office/drawing/2014/main" id="{00000000-0008-0000-0400-00000498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0</xdr:col>
      <xdr:colOff>66675</xdr:colOff>
      <xdr:row>0</xdr:row>
      <xdr:rowOff>47625</xdr:rowOff>
    </xdr:from>
    <xdr:ext cx="142875" cy="171450"/>
    <xdr:pic>
      <xdr:nvPicPr>
        <xdr:cNvPr id="2" name="Picture 45">
          <a:hlinkClick xmlns:r="http://schemas.openxmlformats.org/officeDocument/2006/relationships" r:id="rId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6675" y="47625"/>
          <a:ext cx="142875" cy="171450"/>
        </a:xfrm>
        <a:prstGeom prst="rect">
          <a:avLst/>
        </a:prstGeom>
        <a:noFill/>
        <a:ln w="9525">
          <a:noFill/>
          <a:miter lim="800000"/>
          <a:headEnd/>
          <a:tailEnd/>
        </a:ln>
      </xdr:spPr>
    </xdr:pic>
    <xdr:clientData fPrintsWithSheet="0"/>
  </xdr:oneCellAnchor>
  <mc:AlternateContent xmlns:mc="http://schemas.openxmlformats.org/markup-compatibility/2006">
    <mc:Choice xmlns:a14="http://schemas.microsoft.com/office/drawing/2010/main" Requires="a14">
      <xdr:twoCellAnchor editAs="oneCell">
        <xdr:from>
          <xdr:col>0</xdr:col>
          <xdr:colOff>47625</xdr:colOff>
          <xdr:row>1</xdr:row>
          <xdr:rowOff>57150</xdr:rowOff>
        </xdr:from>
        <xdr:to>
          <xdr:col>1</xdr:col>
          <xdr:colOff>9525</xdr:colOff>
          <xdr:row>2</xdr:row>
          <xdr:rowOff>171450</xdr:rowOff>
        </xdr:to>
        <xdr:sp macro="" textlink="">
          <xdr:nvSpPr>
            <xdr:cNvPr id="98306" name="WeekSelect1" hidden="1">
              <a:extLst>
                <a:ext uri="{63B3BB69-23CF-44E3-9099-C40C66FF867C}">
                  <a14:compatExt spid="_x0000_s98306"/>
                </a:ext>
                <a:ext uri="{FF2B5EF4-FFF2-40B4-BE49-F238E27FC236}">
                  <a16:creationId xmlns:a16="http://schemas.microsoft.com/office/drawing/2014/main" id="{00000000-0008-0000-0500-00000280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1</xdr:col>
      <xdr:colOff>75412</xdr:colOff>
      <xdr:row>0</xdr:row>
      <xdr:rowOff>63500</xdr:rowOff>
    </xdr:from>
    <xdr:ext cx="232833" cy="279400"/>
    <xdr:pic>
      <xdr:nvPicPr>
        <xdr:cNvPr id="2" name="Picture 45">
          <a:hlinkClick xmlns:r="http://schemas.openxmlformats.org/officeDocument/2006/relationships" r:id="rId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65912" y="63500"/>
          <a:ext cx="232833" cy="279400"/>
        </a:xfrm>
        <a:prstGeom prst="rect">
          <a:avLst/>
        </a:prstGeom>
        <a:noFill/>
        <a:ln w="9525">
          <a:noFill/>
          <a:miter lim="800000"/>
          <a:headEnd/>
          <a:tailEnd/>
        </a:ln>
      </xdr:spPr>
    </xdr:pic>
    <xdr:clientData fPrintsWithSheet="0"/>
  </xdr:oneCellAnchor>
  <mc:AlternateContent xmlns:mc="http://schemas.openxmlformats.org/markup-compatibility/2006">
    <mc:Choice xmlns:a14="http://schemas.microsoft.com/office/drawing/2010/main" Requires="a14">
      <xdr:twoCellAnchor editAs="oneCell">
        <xdr:from>
          <xdr:col>11</xdr:col>
          <xdr:colOff>95250</xdr:colOff>
          <xdr:row>0</xdr:row>
          <xdr:rowOff>76200</xdr:rowOff>
        </xdr:from>
        <xdr:to>
          <xdr:col>11</xdr:col>
          <xdr:colOff>619125</xdr:colOff>
          <xdr:row>2</xdr:row>
          <xdr:rowOff>123825</xdr:rowOff>
        </xdr:to>
        <xdr:sp macro="" textlink="">
          <xdr:nvSpPr>
            <xdr:cNvPr id="19457" name="MonthSelect2" hidden="1">
              <a:extLst>
                <a:ext uri="{63B3BB69-23CF-44E3-9099-C40C66FF867C}">
                  <a14:compatExt spid="_x0000_s19457"/>
                </a:ext>
                <a:ext uri="{FF2B5EF4-FFF2-40B4-BE49-F238E27FC236}">
                  <a16:creationId xmlns:a16="http://schemas.microsoft.com/office/drawing/2014/main" id="{00000000-0008-0000-0600-0000014C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2</xdr:col>
      <xdr:colOff>38100</xdr:colOff>
      <xdr:row>0</xdr:row>
      <xdr:rowOff>25400</xdr:rowOff>
    </xdr:from>
    <xdr:ext cx="232833" cy="279400"/>
    <xdr:pic>
      <xdr:nvPicPr>
        <xdr:cNvPr id="2" name="Picture 45">
          <a:hlinkClick xmlns:r="http://schemas.openxmlformats.org/officeDocument/2006/relationships" r:id="rId1"/>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100" y="25400"/>
          <a:ext cx="232833" cy="279400"/>
        </a:xfrm>
        <a:prstGeom prst="rect">
          <a:avLst/>
        </a:prstGeom>
        <a:noFill/>
        <a:ln w="9525">
          <a:noFill/>
          <a:miter lim="800000"/>
          <a:headEnd/>
          <a:tailEnd/>
        </a:ln>
      </xdr:spPr>
    </xdr:pic>
    <xdr:clientData fPrintsWithSheet="0"/>
  </xdr:oneCellAnchor>
  <mc:AlternateContent xmlns:mc="http://schemas.openxmlformats.org/markup-compatibility/2006">
    <mc:Choice xmlns:a14="http://schemas.microsoft.com/office/drawing/2010/main" Requires="a14">
      <xdr:twoCellAnchor editAs="oneCell">
        <xdr:from>
          <xdr:col>0</xdr:col>
          <xdr:colOff>114300</xdr:colOff>
          <xdr:row>1</xdr:row>
          <xdr:rowOff>190500</xdr:rowOff>
        </xdr:from>
        <xdr:to>
          <xdr:col>2</xdr:col>
          <xdr:colOff>257175</xdr:colOff>
          <xdr:row>3</xdr:row>
          <xdr:rowOff>161925</xdr:rowOff>
        </xdr:to>
        <xdr:sp macro="" textlink="">
          <xdr:nvSpPr>
            <xdr:cNvPr id="20481" name="MonthSelect1" hidden="1">
              <a:extLst>
                <a:ext uri="{63B3BB69-23CF-44E3-9099-C40C66FF867C}">
                  <a14:compatExt spid="_x0000_s20481"/>
                </a:ext>
                <a:ext uri="{FF2B5EF4-FFF2-40B4-BE49-F238E27FC236}">
                  <a16:creationId xmlns:a16="http://schemas.microsoft.com/office/drawing/2014/main" id="{00000000-0008-0000-0700-0000015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A000000}" name="GCalXML" displayName="GCalXML" ref="A1:BL802" tableType="xml" totalsRowShown="0" headerRowDxfId="66" dataDxfId="64" headerRowBorderDxfId="65" connectionId="2">
  <autoFilter ref="A1:BL802" xr:uid="{00000000-0009-0000-0100-000001000000}"/>
  <tableColumns count="64">
    <tableColumn id="1" xr3:uid="{00000000-0010-0000-0A00-000001000000}" uniqueName="date" name="date" dataDxfId="63">
      <xmlColumnPr mapId="12" xpath="/xml/result/masa/msday/date" xmlDataType="date"/>
    </tableColumn>
    <tableColumn id="2" xr3:uid="{00000000-0010-0000-0A00-000002000000}" uniqueName="doy" name="doy" dataDxfId="62">
      <xmlColumnPr mapId="12" xpath="/xml/result/masa/msday/doy" xmlDataType="positiveInteger"/>
    </tableColumn>
    <tableColumn id="3" xr3:uid="{00000000-0010-0000-0A00-000003000000}" uniqueName="nyc" name="nyc" dataDxfId="61">
      <xmlColumnPr mapId="12" xpath="/xml/result/masa/msday/nyc" xmlDataType="positiveInteger"/>
    </tableColumn>
    <tableColumn id="4" xr3:uid="{00000000-0010-0000-0A00-000004000000}" uniqueName="month" name="month" dataDxfId="60">
      <xmlColumnPr mapId="12" xpath="/xml/result/masa/msday/month" xmlDataType="string"/>
    </tableColumn>
    <tableColumn id="5" xr3:uid="{00000000-0010-0000-0A00-000005000000}" uniqueName="wnum" name="wnum" dataDxfId="59">
      <xmlColumnPr mapId="12" xpath="/xml/result/masa/msday/wnum" xmlDataType="positiveInteger"/>
    </tableColumn>
    <tableColumn id="6" xr3:uid="{00000000-0010-0000-0A00-000006000000}" uniqueName="weekday" name="weekday" dataDxfId="58">
      <xmlColumnPr mapId="12" xpath="/xml/result/masa/msday/weekday" xmlDataType="string"/>
    </tableColumn>
    <tableColumn id="7" xr3:uid="{00000000-0010-0000-0A00-000007000000}" uniqueName="gyear" name="gyear" dataDxfId="57">
      <xmlColumnPr mapId="12" xpath="/xml/result/masa/msday/gyear" xmlDataType="positiveInteger"/>
    </tableColumn>
    <tableColumn id="8" xr3:uid="{00000000-0010-0000-0A00-000008000000}" uniqueName="masa" name="masa" dataDxfId="56">
      <xmlColumnPr mapId="12" xpath="/xml/result/masa/msday/masa" xmlDataType="string"/>
    </tableColumn>
    <tableColumn id="9" xr3:uid="{00000000-0010-0000-0A00-000009000000}" uniqueName="paksa" name="paksa" dataDxfId="55">
      <xmlColumnPr mapId="12" xpath="/xml/result/masa/msday/paksa" xmlDataType="string"/>
    </tableColumn>
    <tableColumn id="10" xr3:uid="{00000000-0010-0000-0A00-00000A000000}" uniqueName="tnum" name="tnum" dataDxfId="54">
      <xmlColumnPr mapId="12" xpath="/xml/result/masa/msday/tnum" xmlDataType="positiveInteger"/>
    </tableColumn>
    <tableColumn id="11" xr3:uid="{00000000-0010-0000-0A00-00000B000000}" uniqueName="tithi" name="tithi" dataDxfId="53">
      <xmlColumnPr mapId="12" xpath="/xml/result/masa/msday/tithi" xmlDataType="string"/>
    </tableColumn>
    <tableColumn id="12" xr3:uid="{00000000-0010-0000-0A00-00000C000000}" uniqueName="arunodayatithi" name="arunodayatithi" dataDxfId="52">
      <xmlColumnPr mapId="12" xpath="/xml/result/masa/msday/arunodayatithi" xmlDataType="string"/>
    </tableColumn>
    <tableColumn id="13" xr3:uid="{00000000-0010-0000-0A00-00000D000000}" uniqueName="vriddhi" name="vriddhi" dataDxfId="51">
      <xmlColumnPr mapId="12" xpath="/xml/result/masa/msday/vriddhi" xmlDataType="string"/>
    </tableColumn>
    <tableColumn id="14" xr3:uid="{00000000-0010-0000-0A00-00000E000000}" uniqueName="dstoffset" name="dstoffset" dataDxfId="50">
      <xmlColumnPr mapId="12" xpath="/xml/result/masa/msday/dstoffset" xmlDataType="float"/>
    </tableColumn>
    <tableColumn id="15" xr3:uid="{00000000-0010-0000-0A00-00000F000000}" uniqueName="ksayafrom" name="ksayafrom" dataDxfId="49">
      <xmlColumnPr mapId="12" xpath="/xml/result/masa/msday/ksayafrom" xmlDataType="time"/>
    </tableColumn>
    <tableColumn id="16" xr3:uid="{00000000-0010-0000-0A00-000010000000}" uniqueName="ksayato" name="ksayato" dataDxfId="48">
      <xmlColumnPr mapId="12" xpath="/xml/result/masa/msday/ksayato" xmlDataType="time"/>
    </tableColumn>
    <tableColumn id="17" xr3:uid="{00000000-0010-0000-0A00-000011000000}" uniqueName="sankrantitime" name="sankrantitime" dataDxfId="47">
      <xmlColumnPr mapId="12" xpath="/xml/result/masa/msday/sankrantitime" xmlDataType="time"/>
    </tableColumn>
    <tableColumn id="18" xr3:uid="{00000000-0010-0000-0A00-000012000000}" uniqueName="sankrantirasi" name="sankrantirasi" dataDxfId="46">
      <xmlColumnPr mapId="12" xpath="/xml/result/masa/msday/sankrantirasi" xmlDataType="string"/>
    </tableColumn>
    <tableColumn id="19" xr3:uid="{00000000-0010-0000-0A00-000013000000}" uniqueName="arunodaya" name="arunodaya" dataDxfId="45">
      <xmlColumnPr mapId="12" xpath="/xml/result/masa/msday/arunodaya" xmlDataType="time"/>
    </tableColumn>
    <tableColumn id="20" xr3:uid="{00000000-0010-0000-0A00-000014000000}" uniqueName="sunrise" name="sunrise" dataDxfId="44">
      <xmlColumnPr mapId="12" xpath="/xml/result/masa/msday/sunrise" xmlDataType="time"/>
    </tableColumn>
    <tableColumn id="21" xr3:uid="{00000000-0010-0000-0A00-000015000000}" uniqueName="paranafrom" name="paranafrom" dataDxfId="43">
      <xmlColumnPr mapId="12" xpath="/xml/result/masa/msday/paranafrom" xmlDataType="time"/>
    </tableColumn>
    <tableColumn id="22" xr3:uid="{00000000-0010-0000-0A00-000016000000}" uniqueName="paranato" name="paranato" dataDxfId="42">
      <xmlColumnPr mapId="12" xpath="/xml/result/masa/msday/paranato" xmlDataType="time"/>
    </tableColumn>
    <tableColumn id="23" xr3:uid="{00000000-0010-0000-0A00-000017000000}" uniqueName="noon" name="noon" dataDxfId="41">
      <xmlColumnPr mapId="12" xpath="/xml/result/masa/msday/noon" xmlDataType="time"/>
    </tableColumn>
    <tableColumn id="24" xr3:uid="{00000000-0010-0000-0A00-000018000000}" uniqueName="sunset" name="sunset" dataDxfId="40">
      <xmlColumnPr mapId="12" xpath="/xml/result/masa/msday/sunset" xmlDataType="time"/>
    </tableColumn>
    <tableColumn id="25" xr3:uid="{00000000-0010-0000-0A00-000019000000}" uniqueName="moonrise" name="moonrise" dataDxfId="39">
      <xmlColumnPr mapId="12" xpath="/xml/result/masa/msday/moonrise" xmlDataType="time"/>
    </tableColumn>
    <tableColumn id="26" xr3:uid="{00000000-0010-0000-0A00-00001A000000}" uniqueName="moontransit" name="moontransit" dataDxfId="38">
      <xmlColumnPr mapId="12" xpath="/xml/result/masa/msday/moontransit" xmlDataType="time"/>
    </tableColumn>
    <tableColumn id="27" xr3:uid="{00000000-0010-0000-0A00-00001B000000}" uniqueName="moonset" name="moonset" dataDxfId="37">
      <xmlColumnPr mapId="12" xpath="/xml/result/masa/msday/moonset" xmlDataType="time"/>
    </tableColumn>
    <tableColumn id="28" xr3:uid="{00000000-0010-0000-0A00-00001C000000}" uniqueName="moonphase" name="moonphase" dataDxfId="36">
      <xmlColumnPr mapId="12" xpath="/xml/result/masa/msday/moonphase" xmlDataType="string"/>
    </tableColumn>
    <tableColumn id="29" xr3:uid="{00000000-0010-0000-0A00-00001D000000}" uniqueName="mooncode" name="mooncode" dataDxfId="35">
      <xmlColumnPr mapId="12" xpath="/xml/result/masa/msday/mooncode" xmlDataType="short"/>
    </tableColumn>
    <tableColumn id="30" xr3:uid="{00000000-0010-0000-0A00-00001E000000}" uniqueName="moontransl" name="moontransl" dataDxfId="34">
      <xmlColumnPr mapId="12" xpath="/xml/result/masa/msday/moontransl" xmlDataType="string"/>
    </tableColumn>
    <tableColumn id="31" xr3:uid="{00000000-0010-0000-0A00-00001F000000}" uniqueName="moonref" name="moonref" dataDxfId="33">
      <xmlColumnPr mapId="12" xpath="/xml/result/masa/msday/moonref" xmlDataType="string"/>
    </tableColumn>
    <tableColumn id="32" xr3:uid="{00000000-0010-0000-0A00-000020000000}" uniqueName="tithielapse" name="tithielapse" dataDxfId="32">
      <xmlColumnPr mapId="12" xpath="/xml/result/masa/msday/tithielapse" xmlDataType="float"/>
    </tableColumn>
    <tableColumn id="33" xr3:uid="{00000000-0010-0000-0A00-000021000000}" uniqueName="naksatraelapse" name="naksatraelapse" dataDxfId="31">
      <xmlColumnPr mapId="12" xpath="/xml/result/masa/msday/naksatraelapse" xmlDataType="float"/>
    </tableColumn>
    <tableColumn id="34" xr3:uid="{00000000-0010-0000-0A00-000022000000}" uniqueName="naksatra" name="naksatra" dataDxfId="30">
      <xmlColumnPr mapId="12" xpath="/xml/result/masa/msday/naksatra" xmlDataType="string"/>
    </tableColumn>
    <tableColumn id="35" xr3:uid="{00000000-0010-0000-0A00-000023000000}" uniqueName="yoga" name="yoga" dataDxfId="29">
      <xmlColumnPr mapId="12" xpath="/xml/result/masa/msday/yoga" xmlDataType="string"/>
    </tableColumn>
    <tableColumn id="36" xr3:uid="{00000000-0010-0000-0A00-000024000000}" uniqueName="fasttype" name="fasttype" dataDxfId="28">
      <xmlColumnPr mapId="12" xpath="/xml/result/masa/msday/fasttype" xmlDataType="string"/>
    </tableColumn>
    <tableColumn id="37" xr3:uid="{00000000-0010-0000-0A00-000025000000}" uniqueName="fastmark" name="fastmark" dataDxfId="27">
      <xmlColumnPr mapId="12" xpath="/xml/result/masa/msday/fastmark" xmlDataType="string"/>
    </tableColumn>
    <tableColumn id="38" xr3:uid="{00000000-0010-0000-0A00-000026000000}" uniqueName="festival1" name="festival1" dataDxfId="26">
      <xmlColumnPr mapId="12" xpath="/xml/result/masa/msday/festival1" xmlDataType="string"/>
    </tableColumn>
    <tableColumn id="39" xr3:uid="{00000000-0010-0000-0A00-000027000000}" uniqueName="class1" name="class1" dataDxfId="25">
      <xmlColumnPr mapId="12" xpath="/xml/result/masa/msday/class1" xmlDataType="string"/>
    </tableColumn>
    <tableColumn id="40" xr3:uid="{00000000-0010-0000-0A00-000028000000}" uniqueName="festival2" name="festival2" dataDxfId="24">
      <xmlColumnPr mapId="12" xpath="/xml/result/masa/msday/festival2" xmlDataType="string"/>
    </tableColumn>
    <tableColumn id="41" xr3:uid="{00000000-0010-0000-0A00-000029000000}" uniqueName="class2" name="class2" dataDxfId="23">
      <xmlColumnPr mapId="12" xpath="/xml/result/masa/msday/class2" xmlDataType="string"/>
    </tableColumn>
    <tableColumn id="42" xr3:uid="{00000000-0010-0000-0A00-00002A000000}" uniqueName="festival3" name="festival3" dataDxfId="22">
      <xmlColumnPr mapId="12" xpath="/xml/result/masa/msday/festival3" xmlDataType="string"/>
    </tableColumn>
    <tableColumn id="43" xr3:uid="{00000000-0010-0000-0A00-00002B000000}" uniqueName="class3" name="class3" dataDxfId="21">
      <xmlColumnPr mapId="12" xpath="/xml/result/masa/msday/class3" xmlDataType="string"/>
    </tableColumn>
    <tableColumn id="44" xr3:uid="{00000000-0010-0000-0A00-00002C000000}" uniqueName="festival4" name="festival4" dataDxfId="20">
      <xmlColumnPr mapId="12" xpath="/xml/result/masa/msday/festival4" xmlDataType="string"/>
    </tableColumn>
    <tableColumn id="45" xr3:uid="{00000000-0010-0000-0A00-00002D000000}" uniqueName="class4" name="class4" dataDxfId="19">
      <xmlColumnPr mapId="12" xpath="/xml/result/masa/msday/class4" xmlDataType="string"/>
    </tableColumn>
    <tableColumn id="46" xr3:uid="{00000000-0010-0000-0A00-00002E000000}" uniqueName="festival5" name="festival5" dataDxfId="18">
      <xmlColumnPr mapId="12" xpath="/xml/result/masa/msday/festival5" xmlDataType="string"/>
    </tableColumn>
    <tableColumn id="47" xr3:uid="{00000000-0010-0000-0A00-00002F000000}" uniqueName="class5" name="class5" dataDxfId="17">
      <xmlColumnPr mapId="12" xpath="/xml/result/masa/msday/class5" xmlDataType="string"/>
    </tableColumn>
    <tableColumn id="48" xr3:uid="{00000000-0010-0000-0A00-000030000000}" uniqueName="festival6" name="festival6" dataDxfId="16">
      <xmlColumnPr mapId="12" xpath="/xml/result/masa/msday/festival6" xmlDataType="string"/>
    </tableColumn>
    <tableColumn id="49" xr3:uid="{00000000-0010-0000-0A00-000031000000}" uniqueName="class6" name="class6" dataDxfId="15">
      <xmlColumnPr mapId="12" xpath="/xml/result/masa/msday/class6" xmlDataType="string"/>
    </tableColumn>
    <tableColumn id="50" xr3:uid="{00000000-0010-0000-0A00-000032000000}" uniqueName="festival7" name="festival7" dataDxfId="14">
      <xmlColumnPr mapId="12" xpath="/xml/result/masa/msday/festival7" xmlDataType="string"/>
    </tableColumn>
    <tableColumn id="51" xr3:uid="{00000000-0010-0000-0A00-000033000000}" uniqueName="class7" name="class7" dataDxfId="13">
      <xmlColumnPr mapId="12" xpath="/xml/result/masa/msday/class7" xmlDataType="string"/>
    </tableColumn>
    <tableColumn id="52" xr3:uid="{00000000-0010-0000-0A00-000034000000}" uniqueName="festival8" name="festival8" dataDxfId="12">
      <xmlColumnPr mapId="12" xpath="/xml/result/masa/msday/festival8" xmlDataType="string"/>
    </tableColumn>
    <tableColumn id="53" xr3:uid="{00000000-0010-0000-0A00-000035000000}" uniqueName="class8" name="class8" dataDxfId="11">
      <xmlColumnPr mapId="12" xpath="/xml/result/masa/msday/class8" xmlDataType="string"/>
    </tableColumn>
    <tableColumn id="54" xr3:uid="{00000000-0010-0000-0A00-000036000000}" uniqueName="festival9" name="festival9" dataDxfId="10">
      <xmlColumnPr mapId="12" xpath="/xml/result/masa/msday/festival9" xmlDataType="string"/>
    </tableColumn>
    <tableColumn id="55" xr3:uid="{00000000-0010-0000-0A00-000037000000}" uniqueName="class9" name="class9" dataDxfId="9">
      <xmlColumnPr mapId="12" xpath="/xml/result/masa/msday/class9" xmlDataType="string"/>
    </tableColumn>
    <tableColumn id="56" xr3:uid="{00000000-0010-0000-0A00-000038000000}" uniqueName="festival10" name="festival10" dataDxfId="8">
      <xmlColumnPr mapId="12" xpath="/xml/result/masa/msday/festival10" xmlDataType="string"/>
    </tableColumn>
    <tableColumn id="57" xr3:uid="{00000000-0010-0000-0A00-000039000000}" uniqueName="class10" name="class10" dataDxfId="7">
      <xmlColumnPr mapId="12" xpath="/xml/result/masa/msday/class10" xmlDataType="string"/>
    </tableColumn>
    <tableColumn id="58" xr3:uid="{00000000-0010-0000-0A00-00003A000000}" uniqueName="festival11" name="festival11" dataDxfId="6">
      <xmlColumnPr mapId="12" xpath="/xml/result/masa/msday/festival11" xmlDataType="string"/>
    </tableColumn>
    <tableColumn id="59" xr3:uid="{00000000-0010-0000-0A00-00003B000000}" uniqueName="class11" name="class11" dataDxfId="5">
      <xmlColumnPr mapId="12" xpath="/xml/result/masa/msday/class11" xmlDataType="string"/>
    </tableColumn>
    <tableColumn id="60" xr3:uid="{00000000-0010-0000-0A00-00003C000000}" uniqueName="festival12" name="festival12" dataDxfId="4">
      <xmlColumnPr mapId="12" xpath="/xml/result/masa/msday/festival12" xmlDataType="string"/>
    </tableColumn>
    <tableColumn id="61" xr3:uid="{00000000-0010-0000-0A00-00003D000000}" uniqueName="class12" name="class12" dataDxfId="3">
      <xmlColumnPr mapId="12" xpath="/xml/result/masa/msday/class12" xmlDataType="string"/>
    </tableColumn>
    <tableColumn id="62" xr3:uid="{00000000-0010-0000-0A00-00003E000000}" uniqueName="festivalref" name="festivalref" dataDxfId="2">
      <xmlColumnPr mapId="12" xpath="/xml/result/masa/msday/festivalref" xmlDataType="string"/>
    </tableColumn>
    <tableColumn id="63" xr3:uid="{00000000-0010-0000-0A00-00003F000000}" uniqueName="caturmasya1" name="caturmasya1" dataDxfId="1">
      <xmlColumnPr mapId="12" xpath="/xml/result/masa/msday/caturmasya1" xmlDataType="string"/>
    </tableColumn>
    <tableColumn id="64" xr3:uid="{00000000-0010-0000-0A00-000040000000}" uniqueName="caturmasya2" name="caturmasya2" dataDxfId="0">
      <xmlColumnPr mapId="12" xpath="/xml/result/masa/msday/caturmasya2" xmlDataType="string"/>
    </tableColumn>
  </tableColumns>
  <tableStyleInfo name="TableStyleMedium9" showFirstColumn="0" showLastColumn="0" showRowStripes="1" showColumnStripes="0"/>
</table>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2" xr6:uid="{00000000-000C-0000-FFFF-FFFF00000000}" r="AE2" connectionId="2">
    <xmlCellPr id="1" xr6:uid="{00000000-0010-0000-0000-000001000000}" uniqueName="reqname">
      <xmlPr mapId="12" xpath="/xml/request/reqname" xmlDataType="string"/>
    </xmlCellPr>
  </singleXmlCell>
  <singleXmlCell id="3" xr6:uid="{00000000-000C-0000-FFFF-FFFF01000000}" r="AF2" connectionId="2">
    <xmlCellPr id="1" xr6:uid="{00000000-0010-0000-0100-000001000000}" uniqueName="reqversion">
      <xmlPr mapId="12" xpath="/xml/request/reqversion" xmlDataType="string"/>
    </xmlCellPr>
  </singleXmlCell>
  <singleXmlCell id="4" xr6:uid="{00000000-000C-0000-FFFF-FFFF02000000}" r="AG2" connectionId="2">
    <xmlCellPr id="1" xr6:uid="{00000000-0010-0000-0200-000001000000}" uniqueName="reqlongitude">
      <xmlPr mapId="12" xpath="/xml/request/reqlongitude" xmlDataType="float"/>
    </xmlCellPr>
  </singleXmlCell>
  <singleXmlCell id="5" xr6:uid="{00000000-000C-0000-FFFF-FFFF03000000}" r="AH2" connectionId="2">
    <xmlCellPr id="1" xr6:uid="{00000000-0010-0000-0300-000001000000}" uniqueName="reqlatitude">
      <xmlPr mapId="12" xpath="/xml/request/reqlatitude" xmlDataType="float"/>
    </xmlCellPr>
  </singleXmlCell>
  <singleXmlCell id="6" xr6:uid="{00000000-000C-0000-FFFF-FFFF04000000}" r="AI2" connectionId="2">
    <xmlCellPr id="1" xr6:uid="{00000000-0010-0000-0400-000001000000}" uniqueName="reqtimezone">
      <xmlPr mapId="12" xpath="/xml/request/reqtimezone" xmlDataType="float"/>
    </xmlCellPr>
  </singleXmlCell>
  <singleXmlCell id="7" xr6:uid="{00000000-000C-0000-FFFF-FFFF05000000}" r="AJ2" connectionId="2">
    <xmlCellPr id="1" xr6:uid="{00000000-0010-0000-0500-000001000000}" uniqueName="reqstartdate">
      <xmlPr mapId="12" xpath="/xml/request/reqstartdate" xmlDataType="string"/>
    </xmlCellPr>
  </singleXmlCell>
  <singleXmlCell id="8" xr6:uid="{00000000-000C-0000-FFFF-FFFF06000000}" r="AK2" connectionId="2">
    <xmlCellPr id="1" xr6:uid="{00000000-0010-0000-0600-000001000000}" uniqueName="reqdaycount">
      <xmlPr mapId="12" xpath="/xml/request/reqdaycount" xmlDataType="short"/>
    </xmlCellPr>
  </singleXmlCell>
  <singleXmlCell id="9" xr6:uid="{00000000-000C-0000-FFFF-FFFF07000000}" r="AL2" connectionId="2">
    <xmlCellPr id="1" xr6:uid="{00000000-0010-0000-0700-000001000000}" uniqueName="reqdst">
      <xmlPr mapId="12" xpath="/xml/request/reqdst" xmlDataType="byte"/>
    </xmlCellPr>
  </singleXmlCell>
  <singleXmlCell id="10" xr6:uid="{00000000-000C-0000-FFFF-FFFF08000000}" r="AM2" connectionId="2">
    <xmlCellPr id="1" xr6:uid="{00000000-0010-0000-0800-000001000000}" uniqueName="resname">
      <xmlPr mapId="12" xpath="/xml/request/resname" xmlDataType="string"/>
    </xmlCellPr>
  </singleXmlCell>
  <singleXmlCell id="11" xr6:uid="{00000000-000C-0000-FFFF-FFFF09000000}" r="AN2" connectionId="2">
    <xmlCellPr id="1" xr6:uid="{00000000-0010-0000-0900-000001000000}" uniqueName="resdstsystem">
      <xmlPr mapId="12" xpath="/xml/request/resdstsystem" xmlDataType="string"/>
    </xmlCellPr>
  </singleXmlCell>
</singleXmlCells>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tableSingleCells" Target="../tables/tableSingleCells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en.wikipedia.org/wiki/Easter_Triduum" TargetMode="External"/><Relationship Id="rId13" Type="http://schemas.openxmlformats.org/officeDocument/2006/relationships/hyperlink" Target="http://en.wikipedia.org/wiki/Halloween" TargetMode="External"/><Relationship Id="rId18" Type="http://schemas.openxmlformats.org/officeDocument/2006/relationships/hyperlink" Target="http://en.wikipedia.org/wiki/Holy_Week" TargetMode="External"/><Relationship Id="rId26" Type="http://schemas.openxmlformats.org/officeDocument/2006/relationships/hyperlink" Target="https://gurudoexcel.com/carnaval-feriados-e-calendario-perpetuo/" TargetMode="External"/><Relationship Id="rId3" Type="http://schemas.openxmlformats.org/officeDocument/2006/relationships/hyperlink" Target="http://en.wikipedia.org/wiki/All_Saints%27_Day" TargetMode="External"/><Relationship Id="rId21" Type="http://schemas.openxmlformats.org/officeDocument/2006/relationships/hyperlink" Target="http://en.wikipedia.org/wiki/Easter_Monday" TargetMode="External"/><Relationship Id="rId7" Type="http://schemas.openxmlformats.org/officeDocument/2006/relationships/hyperlink" Target="http://en.wikipedia.org/wiki/Childermas" TargetMode="External"/><Relationship Id="rId12" Type="http://schemas.openxmlformats.org/officeDocument/2006/relationships/hyperlink" Target="http://en.wikipedia.org/wiki/Western_Christianity" TargetMode="External"/><Relationship Id="rId17" Type="http://schemas.openxmlformats.org/officeDocument/2006/relationships/hyperlink" Target="http://en.wikipedia.org/wiki/Trinity_Sunday" TargetMode="External"/><Relationship Id="rId25" Type="http://schemas.openxmlformats.org/officeDocument/2006/relationships/hyperlink" Target="http://www.cpearson.com/excel/easter.aspx" TargetMode="External"/><Relationship Id="rId2" Type="http://schemas.openxmlformats.org/officeDocument/2006/relationships/hyperlink" Target="http://en.wikipedia.org/wiki/Advent" TargetMode="External"/><Relationship Id="rId16" Type="http://schemas.openxmlformats.org/officeDocument/2006/relationships/hyperlink" Target="http://en.wikipedia.org/wiki/Christmas" TargetMode="External"/><Relationship Id="rId20" Type="http://schemas.openxmlformats.org/officeDocument/2006/relationships/hyperlink" Target="http://en.wikipedia.org/wiki/Good_Friday" TargetMode="External"/><Relationship Id="rId29" Type="http://schemas.openxmlformats.org/officeDocument/2006/relationships/drawing" Target="../drawings/drawing3.xml"/><Relationship Id="rId1" Type="http://schemas.openxmlformats.org/officeDocument/2006/relationships/hyperlink" Target="http://en.wikipedia.org/wiki/Liturgical_year" TargetMode="External"/><Relationship Id="rId6" Type="http://schemas.openxmlformats.org/officeDocument/2006/relationships/hyperlink" Target="http://en.wikipedia.org/wiki/Candlemas" TargetMode="External"/><Relationship Id="rId11" Type="http://schemas.openxmlformats.org/officeDocument/2006/relationships/hyperlink" Target="http://en.wikipedia.org/wiki/Watch_Night" TargetMode="External"/><Relationship Id="rId24" Type="http://schemas.openxmlformats.org/officeDocument/2006/relationships/hyperlink" Target="http://en.wikipedia.org/wiki/Palm_Sunday" TargetMode="External"/><Relationship Id="rId5" Type="http://schemas.openxmlformats.org/officeDocument/2006/relationships/hyperlink" Target="http://en.wikipedia.org/wiki/Assumption_of_Mary" TargetMode="External"/><Relationship Id="rId15" Type="http://schemas.openxmlformats.org/officeDocument/2006/relationships/hyperlink" Target="http://en.wikipedia.org/wiki/Carnival" TargetMode="External"/><Relationship Id="rId23" Type="http://schemas.openxmlformats.org/officeDocument/2006/relationships/hyperlink" Target="http://en.wikipedia.org/wiki/Shrove_Tuesday" TargetMode="External"/><Relationship Id="rId28" Type="http://schemas.openxmlformats.org/officeDocument/2006/relationships/printerSettings" Target="../printerSettings/printerSettings3.bin"/><Relationship Id="rId10" Type="http://schemas.openxmlformats.org/officeDocument/2006/relationships/hyperlink" Target="http://en.wikipedia.org/wiki/Epiphany_%28feast%29" TargetMode="External"/><Relationship Id="rId19" Type="http://schemas.openxmlformats.org/officeDocument/2006/relationships/hyperlink" Target="http://en.wikipedia.org/wiki/Holy_Saturday" TargetMode="External"/><Relationship Id="rId4" Type="http://schemas.openxmlformats.org/officeDocument/2006/relationships/hyperlink" Target="http://en.wikipedia.org/wiki/All_Souls%27_Day" TargetMode="External"/><Relationship Id="rId9" Type="http://schemas.openxmlformats.org/officeDocument/2006/relationships/hyperlink" Target="http://en.wikipedia.org/wiki/Holy_Saturday" TargetMode="External"/><Relationship Id="rId14" Type="http://schemas.openxmlformats.org/officeDocument/2006/relationships/hyperlink" Target="http://en.wikipedia.org/wiki/Pentecost" TargetMode="External"/><Relationship Id="rId22" Type="http://schemas.openxmlformats.org/officeDocument/2006/relationships/hyperlink" Target="http://en.wikipedia.org/wiki/Lent" TargetMode="External"/><Relationship Id="rId27" Type="http://schemas.openxmlformats.org/officeDocument/2006/relationships/hyperlink" Target="http://www.excelfox.com/forum/showthread.php/398-Nth-Such-And-Such-Day-Of-The-Month"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ksOptions">
    <pageSetUpPr fitToPage="1"/>
  </sheetPr>
  <dimension ref="A1:AN51"/>
  <sheetViews>
    <sheetView showGridLines="0" tabSelected="1" workbookViewId="0"/>
  </sheetViews>
  <sheetFormatPr defaultColWidth="0" defaultRowHeight="15" zeroHeight="1"/>
  <cols>
    <col min="1" max="1" width="2.85546875" style="5" customWidth="1"/>
    <col min="2" max="2" width="1.42578125" style="5" customWidth="1"/>
    <col min="3" max="3" width="14.28515625" style="5" customWidth="1"/>
    <col min="4" max="4" width="1.42578125" style="5" customWidth="1"/>
    <col min="5" max="5" width="13.5703125" style="5" customWidth="1"/>
    <col min="6" max="6" width="1.42578125" style="5" customWidth="1"/>
    <col min="7" max="8" width="12.85546875" style="5" customWidth="1"/>
    <col min="9" max="9" width="1.42578125" style="5" customWidth="1"/>
    <col min="10" max="10" width="3.5703125" style="5" customWidth="1"/>
    <col min="11" max="12" width="11.42578125" style="5" customWidth="1"/>
    <col min="13" max="13" width="1.42578125" style="5" customWidth="1"/>
    <col min="14" max="14" width="3.5703125" style="5" customWidth="1"/>
    <col min="15" max="16" width="11.42578125" style="5" customWidth="1"/>
    <col min="17" max="17" width="1.42578125" style="5" customWidth="1"/>
    <col min="18" max="18" width="2.85546875" style="5" customWidth="1"/>
    <col min="19" max="19" width="9.140625" style="5" hidden="1" customWidth="1"/>
    <col min="20" max="20" width="5.7109375" style="5" hidden="1" customWidth="1"/>
    <col min="21" max="21" width="14.28515625" style="5" hidden="1" customWidth="1"/>
    <col min="22" max="22" width="20" hidden="1" customWidth="1"/>
    <col min="23" max="23" width="14.85546875" style="5" hidden="1" customWidth="1"/>
    <col min="24" max="24" width="15.140625" style="5" hidden="1" customWidth="1"/>
    <col min="25" max="25" width="9.140625" hidden="1" customWidth="1"/>
    <col min="26" max="26" width="9.140625" style="5" hidden="1" customWidth="1"/>
    <col min="27" max="27" width="28.5703125" style="5" hidden="1" customWidth="1"/>
    <col min="28" max="28" width="30.42578125" style="5" hidden="1" customWidth="1"/>
    <col min="29" max="30" width="9.140625" style="5" hidden="1" customWidth="1"/>
    <col min="31" max="31" width="8.28515625" style="5" hidden="1" customWidth="1"/>
    <col min="32" max="32" width="7.7109375" style="5" hidden="1" customWidth="1"/>
    <col min="33" max="33" width="9.5703125" style="5" hidden="1" customWidth="1"/>
    <col min="34" max="34" width="8.5703125" style="5" hidden="1" customWidth="1"/>
    <col min="35" max="35" width="2.5703125" style="5" hidden="1" customWidth="1"/>
    <col min="36" max="36" width="11.140625" style="5" hidden="1" customWidth="1"/>
    <col min="37" max="37" width="4" style="5" hidden="1" customWidth="1"/>
    <col min="38" max="38" width="3" style="5" hidden="1" customWidth="1"/>
    <col min="39" max="39" width="8.28515625" style="5" hidden="1" customWidth="1"/>
    <col min="40" max="40" width="18.5703125" style="5" hidden="1" customWidth="1"/>
    <col min="41" max="16384" width="9.140625" style="5" hidden="1"/>
  </cols>
  <sheetData>
    <row r="1" spans="1:40" ht="15" customHeight="1">
      <c r="A1" s="644"/>
      <c r="B1" s="387"/>
      <c r="C1" s="6"/>
      <c r="D1" s="6"/>
      <c r="E1" s="6"/>
      <c r="F1" s="6"/>
      <c r="G1" s="6"/>
      <c r="H1" s="6"/>
      <c r="I1" s="6"/>
      <c r="J1" s="6"/>
      <c r="Q1" s="412"/>
      <c r="R1" s="6"/>
      <c r="S1" s="606">
        <v>1</v>
      </c>
      <c r="T1" s="5" t="s">
        <v>6565</v>
      </c>
      <c r="U1" s="369" t="s">
        <v>133</v>
      </c>
      <c r="V1" s="582" t="s">
        <v>63</v>
      </c>
      <c r="W1" s="420" t="s">
        <v>6034</v>
      </c>
      <c r="X1" s="420" t="s">
        <v>63</v>
      </c>
      <c r="AA1" s="424" t="s">
        <v>63</v>
      </c>
      <c r="AB1" s="420" t="s">
        <v>6034</v>
      </c>
      <c r="AC1" s="420" t="s">
        <v>6033</v>
      </c>
      <c r="AE1" s="360" t="s">
        <v>34</v>
      </c>
      <c r="AF1" s="1" t="s">
        <v>35</v>
      </c>
      <c r="AG1" s="361" t="s">
        <v>27</v>
      </c>
      <c r="AH1" s="361" t="s">
        <v>28</v>
      </c>
      <c r="AI1" s="361" t="s">
        <v>29</v>
      </c>
      <c r="AJ1" s="361" t="s">
        <v>30</v>
      </c>
      <c r="AK1" s="361" t="s">
        <v>31</v>
      </c>
      <c r="AL1" s="361" t="s">
        <v>0</v>
      </c>
      <c r="AM1" s="360" t="s">
        <v>36</v>
      </c>
      <c r="AN1" s="360" t="s">
        <v>37</v>
      </c>
    </row>
    <row r="2" spans="1:40" ht="19.5">
      <c r="B2" s="399"/>
      <c r="C2" s="410" t="str">
        <f ca="1">'GPlan-Translations'!C26</f>
        <v>Vaishnava Planner Gplan</v>
      </c>
      <c r="D2" s="400"/>
      <c r="E2" s="400"/>
      <c r="F2" s="400"/>
      <c r="G2" s="400"/>
      <c r="H2" s="400"/>
      <c r="I2" s="400"/>
      <c r="J2" s="400"/>
      <c r="K2" s="400"/>
      <c r="L2" s="400"/>
      <c r="M2" s="400"/>
      <c r="N2" s="400"/>
      <c r="O2" s="400"/>
      <c r="P2" s="411" t="str">
        <f ca="1">'GPlan-Translations'!C27</f>
        <v>Automatically generate</v>
      </c>
      <c r="Q2" s="398"/>
      <c r="R2" s="8"/>
      <c r="S2" s="426">
        <f ca="1">MATCH(S3,LanguagesList,0)</f>
        <v>1</v>
      </c>
      <c r="U2" s="609" t="str">
        <f ca="1">X22</f>
        <v>Gaurabda 533 / 534</v>
      </c>
      <c r="V2" s="582" t="s">
        <v>841</v>
      </c>
      <c r="W2" s="430">
        <v>1</v>
      </c>
      <c r="X2" s="431">
        <f>Year - 1 + W2</f>
        <v>2020</v>
      </c>
      <c r="AA2" s="424" t="s">
        <v>6236</v>
      </c>
      <c r="AB2" s="416"/>
      <c r="AC2" s="423" t="str">
        <f ca="1">RIGHT(GPlanFolderPath,1)</f>
        <v>\</v>
      </c>
      <c r="AE2" s="359" t="s">
        <v>26</v>
      </c>
      <c r="AF2" s="359" t="s">
        <v>1001</v>
      </c>
      <c r="AG2" s="7">
        <v>-74.005970000000005</v>
      </c>
      <c r="AH2" s="7">
        <v>40.714269999999999</v>
      </c>
      <c r="AI2" s="7">
        <v>-5</v>
      </c>
      <c r="AJ2" s="359" t="s">
        <v>6600</v>
      </c>
      <c r="AK2" s="7">
        <v>801</v>
      </c>
      <c r="AL2" s="7">
        <v>355</v>
      </c>
      <c r="AM2" s="359" t="s">
        <v>26</v>
      </c>
      <c r="AN2" s="359" t="s">
        <v>6713</v>
      </c>
    </row>
    <row r="3" spans="1:40" ht="18.75" customHeight="1">
      <c r="B3" s="388"/>
      <c r="C3" s="401"/>
      <c r="D3" s="402" t="str">
        <f ca="1">'GPlan-Translations'!C28 &amp; ":"</f>
        <v>Language:</v>
      </c>
      <c r="E3" s="401" t="str">
        <f>S3</f>
        <v>English</v>
      </c>
      <c r="F3" s="401"/>
      <c r="G3" s="401"/>
      <c r="H3" s="401"/>
      <c r="I3" s="401"/>
      <c r="J3" s="401"/>
      <c r="K3" s="401"/>
      <c r="L3" s="401"/>
      <c r="M3" s="401"/>
      <c r="N3" s="401"/>
      <c r="O3" s="401"/>
      <c r="P3" s="401"/>
      <c r="Q3" s="395" t="s">
        <v>48</v>
      </c>
      <c r="R3" s="8"/>
      <c r="S3" s="427" t="s">
        <v>85</v>
      </c>
      <c r="U3" s="609" t="str">
        <f>CityCustomName</f>
        <v>New York City</v>
      </c>
      <c r="V3" s="582" t="s">
        <v>6038</v>
      </c>
      <c r="W3" s="430">
        <v>1</v>
      </c>
      <c r="X3" s="433">
        <f>DATE(X2,W3,1) - WEEKDAY(DATE(X2,W3,1),3) + 6</f>
        <v>43835</v>
      </c>
      <c r="Y3" s="432" t="s">
        <v>6040</v>
      </c>
      <c r="AE3" s="7"/>
      <c r="AF3" s="7"/>
      <c r="AG3" s="7"/>
      <c r="AH3" s="7"/>
      <c r="AI3" s="7"/>
      <c r="AJ3" s="7"/>
      <c r="AK3" s="7"/>
      <c r="AL3" s="7"/>
      <c r="AM3" s="7"/>
      <c r="AN3" s="7"/>
    </row>
    <row r="4" spans="1:40" ht="18.75" customHeight="1">
      <c r="A4" s="9"/>
      <c r="B4" s="388"/>
      <c r="C4" s="401"/>
      <c r="D4" s="402" t="str">
        <f ca="1">'GPlan-Translations'!C29 &amp; ":"</f>
        <v>Location:</v>
      </c>
      <c r="E4" s="401" t="str">
        <f>S4</f>
        <v>New York City|United States of America|US|-74.005974|40.714268|-5:00 America/New_York</v>
      </c>
      <c r="F4" s="401"/>
      <c r="G4" s="401"/>
      <c r="H4" s="401"/>
      <c r="I4" s="401"/>
      <c r="J4" s="401"/>
      <c r="K4" s="401"/>
      <c r="L4" s="401"/>
      <c r="M4" s="401"/>
      <c r="N4" s="401"/>
      <c r="O4" s="401"/>
      <c r="P4" s="401"/>
      <c r="Q4" s="395" t="s">
        <v>48</v>
      </c>
      <c r="R4" s="8"/>
      <c r="S4" s="427" t="s">
        <v>3525</v>
      </c>
      <c r="T4" s="5" t="s">
        <v>48</v>
      </c>
      <c r="U4" s="609">
        <f>S5</f>
        <v>2020</v>
      </c>
      <c r="V4" s="582" t="s">
        <v>842</v>
      </c>
      <c r="W4" s="443">
        <v>1</v>
      </c>
      <c r="X4" s="434">
        <f>W19 + (7 * (W4 - IF(WEEKDAY(W18,3) &lt; 3,1,0)))</f>
        <v>43829</v>
      </c>
      <c r="Y4" s="432" t="s">
        <v>6042</v>
      </c>
      <c r="AA4" s="424" t="s">
        <v>6028</v>
      </c>
      <c r="AB4" s="416"/>
      <c r="AC4" s="422" t="s">
        <v>6029</v>
      </c>
      <c r="AE4" s="85" t="str">
        <f t="shared" ref="AE4:AN4" si="0">AE2</f>
        <v>Calendar</v>
      </c>
      <c r="AF4" s="7" t="str">
        <f t="shared" si="0"/>
        <v>GCal 11</v>
      </c>
      <c r="AG4" s="7">
        <f t="shared" si="0"/>
        <v>-74.005970000000005</v>
      </c>
      <c r="AH4" s="7">
        <f t="shared" si="0"/>
        <v>40.714269999999999</v>
      </c>
      <c r="AI4" s="7">
        <f t="shared" si="0"/>
        <v>-5</v>
      </c>
      <c r="AJ4" s="7" t="str">
        <f t="shared" si="0"/>
        <v>24 Nov 2019</v>
      </c>
      <c r="AK4" s="7">
        <f t="shared" si="0"/>
        <v>801</v>
      </c>
      <c r="AL4" s="7">
        <f t="shared" si="0"/>
        <v>355</v>
      </c>
      <c r="AM4" s="7" t="str">
        <f t="shared" si="0"/>
        <v>Calendar</v>
      </c>
      <c r="AN4" s="7" t="str">
        <f t="shared" si="0"/>
        <v>-5:00 America/New_York</v>
      </c>
    </row>
    <row r="5" spans="1:40" ht="18.75" customHeight="1">
      <c r="B5" s="388"/>
      <c r="C5" s="401"/>
      <c r="D5" s="402" t="str">
        <f ca="1">'GPlan-Translations'!C30 &amp; ":"</f>
        <v>Year:</v>
      </c>
      <c r="E5" s="403">
        <f>Year</f>
        <v>2020</v>
      </c>
      <c r="F5" s="401"/>
      <c r="G5" s="401"/>
      <c r="H5" s="401"/>
      <c r="I5" s="401"/>
      <c r="J5" s="401"/>
      <c r="K5" s="401"/>
      <c r="L5" s="401"/>
      <c r="M5" s="401"/>
      <c r="N5" s="401"/>
      <c r="O5" s="401"/>
      <c r="P5" s="401"/>
      <c r="Q5" s="395" t="s">
        <v>48</v>
      </c>
      <c r="R5" s="8"/>
      <c r="S5" s="428">
        <v>2020</v>
      </c>
      <c r="U5" s="610" t="s">
        <v>3758</v>
      </c>
      <c r="V5" s="582" t="s">
        <v>6566</v>
      </c>
      <c r="W5" s="429" t="b">
        <v>1</v>
      </c>
      <c r="X5" s="653" t="str">
        <f ca="1">ADDRESS(1,$S$2*2,1) &amp; ":" &amp; ADDRESS(164,$S$2*2,1)</f>
        <v>$B$1:$B$164</v>
      </c>
      <c r="AA5" s="424" t="s">
        <v>6030</v>
      </c>
      <c r="AB5" s="416"/>
      <c r="AC5" s="422" t="s">
        <v>6031</v>
      </c>
    </row>
    <row r="6" spans="1:40" ht="18.75" customHeight="1">
      <c r="B6" s="389"/>
      <c r="C6" s="390"/>
      <c r="D6" s="390"/>
      <c r="E6" s="390"/>
      <c r="F6" s="390"/>
      <c r="G6" s="390"/>
      <c r="H6" s="390"/>
      <c r="I6" s="390"/>
      <c r="J6" s="390"/>
      <c r="K6" s="390"/>
      <c r="L6" s="390"/>
      <c r="M6" s="390"/>
      <c r="N6" s="390"/>
      <c r="O6" s="390"/>
      <c r="P6" s="390"/>
      <c r="Q6" s="391"/>
      <c r="R6" s="8"/>
      <c r="S6" s="656" t="b">
        <v>0</v>
      </c>
      <c r="T6" s="5" t="s">
        <v>6673</v>
      </c>
      <c r="V6" s="582" t="s">
        <v>6035</v>
      </c>
      <c r="W6" s="429" t="b">
        <v>0</v>
      </c>
      <c r="X6" s="653" t="str">
        <f ca="1">ADDRESS(1,$S$2*2,1) &amp; ":" &amp; ADDRESS(120,$S$2*2,1)</f>
        <v>$B$1:$B$120</v>
      </c>
      <c r="AA6" s="425" t="s">
        <v>6045</v>
      </c>
      <c r="AB6" s="417"/>
      <c r="AC6" s="421" t="str">
        <f ca="1">Year &amp; "|" &amp; S4 &amp; "|" &amp; 'GPlan-Translations'!C49</f>
        <v>2020|New York City|United States of America|US|-74.005974|40.714268|-5:00 America/New_York|Calculate the calendar data to the following location and year?</v>
      </c>
    </row>
    <row r="7" spans="1:40" ht="18.75" customHeight="1">
      <c r="A7" s="3"/>
      <c r="B7" s="388"/>
      <c r="C7" s="404" t="str">
        <f ca="1">'GPlan-Translations'!C31 &amp; ":"</f>
        <v>Name of the location on the Cover:</v>
      </c>
      <c r="D7" s="401"/>
      <c r="E7" s="401"/>
      <c r="F7" s="401"/>
      <c r="G7" s="401"/>
      <c r="H7" s="401"/>
      <c r="I7" s="401"/>
      <c r="J7" s="666" t="str">
        <f ca="1">'GPlan-Translations'!C38</f>
        <v>Previous Checklist</v>
      </c>
      <c r="K7" s="667"/>
      <c r="L7" s="667"/>
      <c r="M7" s="668"/>
      <c r="N7" s="666" t="str">
        <f ca="1">'GPlan-Translations'!C39</f>
        <v>Update</v>
      </c>
      <c r="O7" s="667"/>
      <c r="P7" s="667"/>
      <c r="Q7" s="668"/>
      <c r="R7" s="8"/>
      <c r="S7" s="421" t="str">
        <f>LEFT(S4,SEARCH("|",S4)-1)</f>
        <v>New York City</v>
      </c>
      <c r="T7" s="5" t="s">
        <v>48</v>
      </c>
      <c r="U7" s="369" t="s">
        <v>524</v>
      </c>
      <c r="V7" s="582" t="s">
        <v>6671</v>
      </c>
      <c r="W7" s="429" t="b">
        <v>1</v>
      </c>
      <c r="X7" s="653" t="str">
        <f ca="1">ADDRESS(1,Y7,1) &amp; ":" &amp; ADDRESS(46,Z7,1)</f>
        <v>$B$1:$AH$46</v>
      </c>
      <c r="Y7" s="654">
        <f ca="1">Z7-32</f>
        <v>2</v>
      </c>
      <c r="Z7" s="654">
        <f ca="1">$S$2*34</f>
        <v>34</v>
      </c>
      <c r="AA7" s="425" t="s">
        <v>6036</v>
      </c>
      <c r="AB7" s="417">
        <f ca="1">LEN(GPlanFolderPath)</f>
        <v>55</v>
      </c>
      <c r="AC7" s="421" t="str">
        <f ca="1">LEFT(AC17,AB17-1)</f>
        <v>C:\Users\Sergio\Documents\GPlan2020Testes\GPlan2020R2C\</v>
      </c>
    </row>
    <row r="8" spans="1:40" ht="18.75" customHeight="1">
      <c r="B8" s="388"/>
      <c r="C8" s="401"/>
      <c r="D8" s="401"/>
      <c r="E8" s="405"/>
      <c r="F8" s="405"/>
      <c r="G8" s="401"/>
      <c r="H8" s="401"/>
      <c r="I8" s="401"/>
      <c r="J8" s="394">
        <v>1</v>
      </c>
      <c r="K8" s="397" t="s">
        <v>6213</v>
      </c>
      <c r="L8" s="397"/>
      <c r="M8" s="395" t="s">
        <v>48</v>
      </c>
      <c r="N8" s="394">
        <v>1</v>
      </c>
      <c r="O8" s="397" t="s">
        <v>6222</v>
      </c>
      <c r="P8" s="397"/>
      <c r="Q8" s="393" t="s">
        <v>48</v>
      </c>
      <c r="R8" s="8"/>
      <c r="S8" s="427" t="s">
        <v>6712</v>
      </c>
      <c r="U8" s="609" t="str">
        <f>CityCustomName</f>
        <v>New York City</v>
      </c>
      <c r="V8" s="582" t="s">
        <v>6672</v>
      </c>
      <c r="W8" s="429" t="b">
        <v>0</v>
      </c>
      <c r="X8" s="653" t="str">
        <f ca="1">ADDRESS(1,Y8,1) &amp; ":" &amp; ADDRESS(46,Z8,1)</f>
        <v>$A$1:$E$46</v>
      </c>
      <c r="Y8" s="654">
        <f ca="1">Z8-4</f>
        <v>1</v>
      </c>
      <c r="Z8" s="654">
        <f ca="1">($S$2 * 5) + (($S$2-1) * 2)</f>
        <v>5</v>
      </c>
      <c r="AA8" s="425" t="s">
        <v>6026</v>
      </c>
      <c r="AB8" s="416" t="str">
        <f>K8</f>
        <v>gcal.exe</v>
      </c>
      <c r="AC8" s="417" t="str">
        <f ca="1">X28 &amp; AC2 &amp; AB8</f>
        <v>gcal\gcal.exe</v>
      </c>
    </row>
    <row r="9" spans="1:40" ht="18.75" customHeight="1">
      <c r="B9" s="388"/>
      <c r="C9" s="401"/>
      <c r="D9" s="406" t="str">
        <f ca="1">'GPlan-Translations'!C32 &amp; ":"</f>
        <v>Start hour:</v>
      </c>
      <c r="E9" s="401"/>
      <c r="F9" s="401"/>
      <c r="G9" s="401" t="str">
        <f ca="1">'GPlan-Translations'!C33</f>
        <v>(on week planner)</v>
      </c>
      <c r="H9" s="401"/>
      <c r="I9" s="401" t="s">
        <v>48</v>
      </c>
      <c r="J9" s="394">
        <v>1</v>
      </c>
      <c r="K9" s="397" t="s">
        <v>6214</v>
      </c>
      <c r="L9" s="397"/>
      <c r="M9" s="395" t="s">
        <v>48</v>
      </c>
      <c r="N9" s="394">
        <v>1</v>
      </c>
      <c r="O9" s="397" t="s">
        <v>6223</v>
      </c>
      <c r="P9" s="397"/>
      <c r="Q9" s="393" t="s">
        <v>48</v>
      </c>
      <c r="R9" s="8"/>
      <c r="S9" s="428" t="s">
        <v>6348</v>
      </c>
      <c r="U9" s="609">
        <f>S5</f>
        <v>2020</v>
      </c>
      <c r="V9" s="582" t="s">
        <v>6576</v>
      </c>
      <c r="W9" s="612" t="str">
        <f>SanitizeText(CityCustomName)</f>
        <v>New York City</v>
      </c>
      <c r="X9" s="423" t="str">
        <f>OnlyAlphaNumbers(SanitizeText(CityCustomName))</f>
        <v>New_York_City</v>
      </c>
      <c r="Y9" s="613" t="s">
        <v>6577</v>
      </c>
      <c r="AA9" s="425" t="s">
        <v>76</v>
      </c>
      <c r="AB9" s="417" t="s">
        <v>77</v>
      </c>
      <c r="AC9" s="417" t="str">
        <f>" -" &amp; AA9 &amp; " " &amp; AB9</f>
        <v xml:space="preserve"> -R calendar</v>
      </c>
    </row>
    <row r="10" spans="1:40" ht="18.75" customHeight="1">
      <c r="B10" s="388"/>
      <c r="C10" s="401"/>
      <c r="D10" s="406" t="str">
        <f ca="1">'GPlan-Translations'!C34 &amp; ":"</f>
        <v>Edit:</v>
      </c>
      <c r="E10" s="407" t="str">
        <f ca="1">HYPERLINK(X25,'GPlan-Translations'!C36)</f>
        <v>Holydays</v>
      </c>
      <c r="F10" s="401"/>
      <c r="G10" s="401"/>
      <c r="H10" s="401"/>
      <c r="I10" s="401"/>
      <c r="J10" s="394">
        <v>1</v>
      </c>
      <c r="K10" s="397" t="str">
        <f ca="1">LanguageFile</f>
        <v>str-en-us-translation.xml</v>
      </c>
      <c r="L10" s="397"/>
      <c r="M10" s="395" t="s">
        <v>48</v>
      </c>
      <c r="N10" s="394">
        <v>1</v>
      </c>
      <c r="O10" s="397" t="s">
        <v>6224</v>
      </c>
      <c r="P10" s="397"/>
      <c r="Q10" s="393" t="s">
        <v>48</v>
      </c>
      <c r="R10" s="8"/>
      <c r="S10" s="656" t="b">
        <v>1</v>
      </c>
      <c r="T10" s="5" t="s">
        <v>6674</v>
      </c>
      <c r="U10" s="609" t="str">
        <f>X11</f>
        <v>New York City</v>
      </c>
      <c r="V10" s="582" t="s">
        <v>6037</v>
      </c>
      <c r="W10" s="416">
        <v>0</v>
      </c>
      <c r="X10" s="421" t="str">
        <f>"GPlan-" &amp; Year &amp; "-" &amp; SUBSTITUTE(X9," ","_")</f>
        <v>GPlan-2020-New_York_City</v>
      </c>
      <c r="AA10" s="425" t="s">
        <v>79</v>
      </c>
      <c r="AB10" s="417" t="str">
        <f>X14 &amp; ";" &amp; X15</f>
        <v>-74.005974;40.714268</v>
      </c>
      <c r="AC10" s="417" t="str">
        <f>" -" &amp; AA10 &amp; " " &amp; AB10</f>
        <v xml:space="preserve"> -L -74.005974;40.714268</v>
      </c>
      <c r="AF10" s="387" t="s">
        <v>949</v>
      </c>
    </row>
    <row r="11" spans="1:40" ht="18.75" customHeight="1">
      <c r="B11" s="388"/>
      <c r="C11" s="401"/>
      <c r="D11" s="401"/>
      <c r="E11" s="407" t="str">
        <f ca="1">HYPERLINK(X26,'GPlan-Translations'!C37)</f>
        <v>Personal Data</v>
      </c>
      <c r="F11" s="401"/>
      <c r="G11" s="401"/>
      <c r="H11" s="401"/>
      <c r="I11" s="401"/>
      <c r="J11" s="394">
        <v>1</v>
      </c>
      <c r="K11" s="397" t="s">
        <v>6215</v>
      </c>
      <c r="L11" s="397"/>
      <c r="M11" s="395" t="s">
        <v>48</v>
      </c>
      <c r="N11" s="394">
        <v>1</v>
      </c>
      <c r="O11" s="397" t="s">
        <v>6225</v>
      </c>
      <c r="P11" s="397"/>
      <c r="Q11" s="393" t="s">
        <v>48</v>
      </c>
      <c r="R11" s="8"/>
      <c r="S11" s="369" t="s">
        <v>972</v>
      </c>
      <c r="U11" s="609">
        <f>AH2</f>
        <v>40.714269999999999</v>
      </c>
      <c r="V11" s="582" t="s">
        <v>67</v>
      </c>
      <c r="W11" s="419">
        <f>SEARCH("|",S4)</f>
        <v>14</v>
      </c>
      <c r="X11" s="416" t="str">
        <f t="shared" ref="X11:X17" si="1">MID($S$4,W10+1,W11-W10-1)</f>
        <v>New York City</v>
      </c>
      <c r="Y11" s="11" t="s">
        <v>883</v>
      </c>
      <c r="Z11" s="645" t="s">
        <v>518</v>
      </c>
      <c r="AA11" s="425" t="s">
        <v>78</v>
      </c>
      <c r="AB11" s="417" t="str">
        <f>X11 &amp; " - " &amp; X12</f>
        <v>New York City - United States of America</v>
      </c>
      <c r="AC11" s="417" t="str">
        <f>" -" &amp; AA11 &amp; " " &amp; CHAR(34) &amp; AB11 &amp; CHAR(34)</f>
        <v xml:space="preserve"> -N "New York City - United States of America"</v>
      </c>
      <c r="AF11" s="387" t="s">
        <v>32</v>
      </c>
    </row>
    <row r="12" spans="1:40" ht="18.75" customHeight="1">
      <c r="B12" s="392"/>
      <c r="C12" s="401"/>
      <c r="D12" s="406" t="str">
        <f ca="1">'GPlan-Translations'!C35</f>
        <v>Add:</v>
      </c>
      <c r="E12" s="408"/>
      <c r="F12" s="408"/>
      <c r="G12" s="408"/>
      <c r="H12" s="408"/>
      <c r="I12" s="401" t="s">
        <v>48</v>
      </c>
      <c r="J12" s="394">
        <v>1</v>
      </c>
      <c r="K12" s="397" t="s">
        <v>6216</v>
      </c>
      <c r="L12" s="397"/>
      <c r="M12" s="395" t="s">
        <v>48</v>
      </c>
      <c r="N12" s="394">
        <v>1</v>
      </c>
      <c r="O12" s="397" t="s">
        <v>6226</v>
      </c>
      <c r="P12" s="397"/>
      <c r="Q12" s="393" t="s">
        <v>48</v>
      </c>
      <c r="R12" s="8"/>
      <c r="S12" s="413">
        <v>2</v>
      </c>
      <c r="U12" s="609">
        <f>AG2</f>
        <v>-74.005970000000005</v>
      </c>
      <c r="V12" s="582" t="s">
        <v>65</v>
      </c>
      <c r="W12" s="419">
        <f>SEARCH("|",S4,W11+1)</f>
        <v>39</v>
      </c>
      <c r="X12" s="416" t="str">
        <f t="shared" si="1"/>
        <v>United States of America</v>
      </c>
      <c r="Y12" s="536">
        <v>1</v>
      </c>
      <c r="Z12" s="537" t="str">
        <f ca="1">'GPlan-Translations'!C205</f>
        <v>January</v>
      </c>
      <c r="AA12" s="425" t="s">
        <v>80</v>
      </c>
      <c r="AB12" s="417" t="str">
        <f>X16</f>
        <v>-5:00</v>
      </c>
      <c r="AC12" s="417" t="str">
        <f>" -" &amp; AA12 &amp; " " &amp; AB12</f>
        <v xml:space="preserve"> -TZ -5:00</v>
      </c>
      <c r="AF12" s="387" t="s">
        <v>33</v>
      </c>
    </row>
    <row r="13" spans="1:40" ht="18.75" customHeight="1">
      <c r="B13" s="388"/>
      <c r="C13" s="401"/>
      <c r="D13" s="401"/>
      <c r="E13" s="401"/>
      <c r="F13" s="401"/>
      <c r="G13" s="401"/>
      <c r="H13" s="401"/>
      <c r="I13" s="401" t="s">
        <v>48</v>
      </c>
      <c r="J13" s="394">
        <v>1</v>
      </c>
      <c r="K13" s="397" t="s">
        <v>6217</v>
      </c>
      <c r="L13" s="397"/>
      <c r="M13" s="395" t="s">
        <v>48</v>
      </c>
      <c r="N13" s="394">
        <v>1</v>
      </c>
      <c r="O13" s="397" t="s">
        <v>6227</v>
      </c>
      <c r="P13" s="397"/>
      <c r="Q13" s="393" t="s">
        <v>48</v>
      </c>
      <c r="R13" s="8"/>
      <c r="S13" s="414">
        <v>3</v>
      </c>
      <c r="U13" s="610" t="str">
        <f>X16</f>
        <v>-5:00</v>
      </c>
      <c r="V13" s="582" t="s">
        <v>6047</v>
      </c>
      <c r="W13" s="419">
        <f>SEARCH("|",S4,W12+1)</f>
        <v>42</v>
      </c>
      <c r="X13" s="416" t="str">
        <f t="shared" si="1"/>
        <v>US</v>
      </c>
      <c r="Y13" s="280">
        <v>2</v>
      </c>
      <c r="Z13" s="279" t="str">
        <f ca="1">'GPlan-Translations'!C206</f>
        <v>February</v>
      </c>
      <c r="AA13" s="425" t="s">
        <v>81</v>
      </c>
      <c r="AB13" s="417" t="str">
        <f>TEXT(X18,"d-m-aaaa")</f>
        <v>24-11-2019</v>
      </c>
      <c r="AC13" s="417" t="str">
        <f>" -" &amp; AA13 &amp; " " &amp; AB13</f>
        <v xml:space="preserve"> -SG 24-11-2019</v>
      </c>
    </row>
    <row r="14" spans="1:40" ht="18.75" customHeight="1">
      <c r="B14" s="388"/>
      <c r="C14" s="401"/>
      <c r="D14" s="401"/>
      <c r="E14" s="401"/>
      <c r="F14" s="401"/>
      <c r="G14" s="401"/>
      <c r="H14" s="401"/>
      <c r="I14" s="401" t="s">
        <v>48</v>
      </c>
      <c r="J14" s="394">
        <v>1</v>
      </c>
      <c r="K14" s="397" t="s">
        <v>6218</v>
      </c>
      <c r="L14" s="397"/>
      <c r="M14" s="395" t="s">
        <v>48</v>
      </c>
      <c r="N14" s="394">
        <v>1</v>
      </c>
      <c r="O14" s="397" t="s">
        <v>6228</v>
      </c>
      <c r="P14" s="397"/>
      <c r="Q14" s="393" t="s">
        <v>48</v>
      </c>
      <c r="R14" s="8"/>
      <c r="S14" s="414">
        <v>4</v>
      </c>
      <c r="V14" s="582" t="s">
        <v>39</v>
      </c>
      <c r="W14" s="419">
        <f>SEARCH("|",S4,W13+1)</f>
        <v>53</v>
      </c>
      <c r="X14" s="416" t="str">
        <f t="shared" si="1"/>
        <v>-74.005974</v>
      </c>
      <c r="Y14" s="280">
        <v>3</v>
      </c>
      <c r="Z14" s="279" t="str">
        <f ca="1">'GPlan-Translations'!C207</f>
        <v>March</v>
      </c>
      <c r="AA14" s="425" t="s">
        <v>82</v>
      </c>
      <c r="AB14" s="417" t="str">
        <f>TEXT(X19,"d-m-aaaa")</f>
        <v>2-2-2022</v>
      </c>
      <c r="AC14" s="417" t="str">
        <f>" -EG " &amp; AB14</f>
        <v xml:space="preserve"> -EG 2-2-2022</v>
      </c>
    </row>
    <row r="15" spans="1:40" ht="18.75" customHeight="1">
      <c r="B15" s="388"/>
      <c r="C15" s="401"/>
      <c r="D15" s="401"/>
      <c r="E15" s="401"/>
      <c r="F15" s="401"/>
      <c r="G15" s="401"/>
      <c r="H15" s="401"/>
      <c r="I15" s="401"/>
      <c r="J15" s="394">
        <v>1</v>
      </c>
      <c r="K15" s="397" t="s">
        <v>6219</v>
      </c>
      <c r="L15" s="397"/>
      <c r="M15" s="395" t="s">
        <v>48</v>
      </c>
      <c r="N15" s="394">
        <v>1</v>
      </c>
      <c r="O15" s="397" t="s">
        <v>6229</v>
      </c>
      <c r="P15" s="397"/>
      <c r="Q15" s="393" t="s">
        <v>48</v>
      </c>
      <c r="R15" s="8"/>
      <c r="S15" s="414">
        <v>5</v>
      </c>
      <c r="U15" s="369" t="s">
        <v>6052</v>
      </c>
      <c r="V15" s="582" t="s">
        <v>40</v>
      </c>
      <c r="W15" s="419">
        <f>SEARCH("|",S4,W14+1)</f>
        <v>63</v>
      </c>
      <c r="X15" s="416" t="str">
        <f t="shared" si="1"/>
        <v>40.714268</v>
      </c>
      <c r="Y15" s="280">
        <v>4</v>
      </c>
      <c r="Z15" s="279" t="str">
        <f ca="1">'GPlan-Translations'!C208</f>
        <v>April</v>
      </c>
      <c r="AA15" s="425" t="s">
        <v>41</v>
      </c>
      <c r="AB15" s="417" t="str">
        <f>X16 &amp; " " &amp; X17</f>
        <v>-5:00 America/New_York</v>
      </c>
      <c r="AC15" s="417" t="str">
        <f>" -" &amp; AA15 &amp; " " &amp; CHAR(34) &amp; AB15 &amp; CHAR(34)</f>
        <v xml:space="preserve"> -DST "-5:00 America/New_York"</v>
      </c>
    </row>
    <row r="16" spans="1:40" ht="18.75" customHeight="1">
      <c r="B16" s="388"/>
      <c r="C16" s="401"/>
      <c r="D16" s="401"/>
      <c r="E16" s="401"/>
      <c r="F16" s="401"/>
      <c r="G16" s="401"/>
      <c r="H16" s="401"/>
      <c r="I16" s="401"/>
      <c r="J16" s="394">
        <v>1</v>
      </c>
      <c r="K16" s="397" t="s">
        <v>6220</v>
      </c>
      <c r="L16" s="397"/>
      <c r="M16" s="395" t="s">
        <v>48</v>
      </c>
      <c r="N16" s="394">
        <v>1</v>
      </c>
      <c r="O16" s="397" t="s">
        <v>6230</v>
      </c>
      <c r="P16" s="397"/>
      <c r="Q16" s="393" t="s">
        <v>48</v>
      </c>
      <c r="R16" s="8"/>
      <c r="S16" s="414">
        <v>6</v>
      </c>
      <c r="U16" s="615">
        <f ca="1">S2</f>
        <v>1</v>
      </c>
      <c r="V16" s="582" t="s">
        <v>6046</v>
      </c>
      <c r="W16" s="419">
        <f>SEARCH(" ",S4,W15+1)</f>
        <v>69</v>
      </c>
      <c r="X16" s="416" t="str">
        <f t="shared" si="1"/>
        <v>-5:00</v>
      </c>
      <c r="Y16" s="280">
        <v>5</v>
      </c>
      <c r="Z16" s="279" t="str">
        <f ca="1">'GPlan-Translations'!C209</f>
        <v>May</v>
      </c>
      <c r="AA16" s="425" t="s">
        <v>83</v>
      </c>
      <c r="AB16" s="417"/>
      <c r="AC16" s="417" t="str">
        <f ca="1">" -" &amp; AA16 &amp; " " &amp; CHAR(34) &amp; X29 &amp; AC2 &amp; AB28 &amp; CHAR(34)</f>
        <v xml:space="preserve"> -O "xml\cal-gcal-cmdline.xml"</v>
      </c>
    </row>
    <row r="17" spans="2:32" ht="18.75" customHeight="1">
      <c r="B17" s="388"/>
      <c r="C17" s="657"/>
      <c r="D17" s="657"/>
      <c r="E17" s="657"/>
      <c r="F17" s="657"/>
      <c r="G17" s="657"/>
      <c r="H17" s="657"/>
      <c r="I17" s="657"/>
      <c r="J17" s="394">
        <v>1</v>
      </c>
      <c r="K17" s="658" t="s">
        <v>6221</v>
      </c>
      <c r="L17" s="658"/>
      <c r="M17" s="395" t="s">
        <v>48</v>
      </c>
      <c r="N17" s="394">
        <v>1</v>
      </c>
      <c r="O17" s="658" t="s">
        <v>6231</v>
      </c>
      <c r="P17" s="658"/>
      <c r="Q17" s="393" t="s">
        <v>48</v>
      </c>
      <c r="R17" s="8"/>
      <c r="S17" s="415">
        <v>7</v>
      </c>
      <c r="V17" s="582" t="s">
        <v>230</v>
      </c>
      <c r="W17" s="419">
        <f>LEN(S4)+1</f>
        <v>86</v>
      </c>
      <c r="X17" s="416" t="str">
        <f t="shared" si="1"/>
        <v>America/New_York</v>
      </c>
      <c r="Y17" s="280">
        <v>6</v>
      </c>
      <c r="Z17" s="279" t="str">
        <f ca="1">'GPlan-Translations'!C210</f>
        <v>June</v>
      </c>
      <c r="AA17" s="424" t="s">
        <v>6025</v>
      </c>
      <c r="AB17" s="416">
        <f ca="1">SEARCH("[",AC17)</f>
        <v>56</v>
      </c>
      <c r="AC17" s="416" t="str">
        <f ca="1">CELL("nome.arquivo",AC17)</f>
        <v>C:\Users\Sergio\Documents\GPlan2020Testes\GPlan2020R2C\[GPlan.xlsm]Options</v>
      </c>
    </row>
    <row r="18" spans="2:32" ht="14.25">
      <c r="B18" s="389"/>
      <c r="C18" s="659"/>
      <c r="D18" s="659"/>
      <c r="E18" s="659"/>
      <c r="F18" s="659"/>
      <c r="G18" s="659"/>
      <c r="H18" s="659"/>
      <c r="I18" s="659"/>
      <c r="J18" s="396"/>
      <c r="K18" s="660"/>
      <c r="L18" s="660"/>
      <c r="M18" s="391"/>
      <c r="N18" s="396"/>
      <c r="O18" s="660"/>
      <c r="P18" s="660"/>
      <c r="Q18" s="409"/>
      <c r="V18" s="582" t="s">
        <v>6039</v>
      </c>
      <c r="W18" s="435">
        <f>DATE(X2,1,1)</f>
        <v>43831</v>
      </c>
      <c r="X18" s="418">
        <f>DATE(Year-1,11,24)</f>
        <v>43793</v>
      </c>
      <c r="Y18" s="280">
        <v>7</v>
      </c>
      <c r="Z18" s="279" t="str">
        <f ca="1">'GPlan-Translations'!C211</f>
        <v>July</v>
      </c>
      <c r="AA18" s="424" t="s">
        <v>6032</v>
      </c>
      <c r="AB18" s="417"/>
      <c r="AC18" s="421" t="str">
        <f>"http://maps.google.com.br/maps?q=" &amp; X11 &amp; "-" &amp; X12 &amp; "&amp;bav=on.2,or.r_gc.r_pw.r_qf.,cf.osb&amp;biw=1138&amp;bih=553&amp;um=1&amp;ie=UTF-8&amp;sa=N&amp;tab=wl"</f>
        <v>http://maps.google.com.br/maps?q=New York City-United States of America&amp;bav=on.2,or.r_gc.r_pw.r_qf.,cf.osb&amp;biw=1138&amp;bih=553&amp;um=1&amp;ie=UTF-8&amp;sa=N&amp;tab=wl</v>
      </c>
    </row>
    <row r="19" spans="2:32" ht="14.25">
      <c r="S19" s="664">
        <f>SUM(S20:S26)</f>
        <v>223</v>
      </c>
      <c r="T19" s="5" t="s">
        <v>6695</v>
      </c>
      <c r="V19" s="582" t="s">
        <v>6041</v>
      </c>
      <c r="W19" s="436">
        <f>W18 - WEEKDAY(W18,3)</f>
        <v>43829</v>
      </c>
      <c r="X19" s="418">
        <f>DATE(Year + 2,2,2)</f>
        <v>44594</v>
      </c>
      <c r="Y19" s="280">
        <v>8</v>
      </c>
      <c r="Z19" s="279" t="str">
        <f ca="1">'GPlan-Translations'!C212</f>
        <v>August</v>
      </c>
      <c r="AA19" s="424" t="s">
        <v>45</v>
      </c>
      <c r="AB19" s="10" t="s">
        <v>55</v>
      </c>
      <c r="AC19" s="10" t="s">
        <v>56</v>
      </c>
    </row>
    <row r="20" spans="2:32" ht="14.25" hidden="1">
      <c r="S20" s="665">
        <v>132</v>
      </c>
      <c r="T20" s="5" t="s">
        <v>6696</v>
      </c>
      <c r="V20" s="582" t="s">
        <v>6240</v>
      </c>
      <c r="W20" s="417"/>
      <c r="X20" s="416">
        <f>X19-X18</f>
        <v>801</v>
      </c>
      <c r="Y20" s="280">
        <v>9</v>
      </c>
      <c r="Z20" s="279" t="str">
        <f ca="1">'GPlan-Translations'!C213</f>
        <v>September</v>
      </c>
      <c r="AB20" s="10" t="s">
        <v>57</v>
      </c>
      <c r="AC20" s="10" t="s">
        <v>58</v>
      </c>
      <c r="AD20" s="437"/>
      <c r="AE20" s="7"/>
      <c r="AF20" s="7"/>
    </row>
    <row r="21" spans="2:32" ht="14.25" hidden="1">
      <c r="S21" s="665">
        <f>IF(selectedSquared,8,0)</f>
        <v>0</v>
      </c>
      <c r="T21" s="5" t="s">
        <v>6673</v>
      </c>
      <c r="V21" s="582" t="s">
        <v>44</v>
      </c>
      <c r="W21" s="441">
        <f>IF(LEFT(X15,1)="-",-1,1)</f>
        <v>1</v>
      </c>
      <c r="X21" s="440" t="str">
        <f>IF(LEFT(X15,1)="-","south","north")</f>
        <v>north</v>
      </c>
      <c r="Y21" s="280">
        <v>10</v>
      </c>
      <c r="Z21" s="279" t="str">
        <f ca="1">'GPlan-Translations'!C214</f>
        <v>October</v>
      </c>
      <c r="AB21" s="10" t="s">
        <v>59</v>
      </c>
      <c r="AC21" s="10" t="s">
        <v>60</v>
      </c>
      <c r="AE21" s="7"/>
      <c r="AF21" s="7"/>
    </row>
    <row r="22" spans="2:32" hidden="1">
      <c r="S22" s="665">
        <f>IF(selectedReunions,12,0)</f>
        <v>0</v>
      </c>
      <c r="T22" s="5" t="s">
        <v>909</v>
      </c>
      <c r="V22" s="582" t="s">
        <v>75</v>
      </c>
      <c r="W22" s="417">
        <f ca="1">OFFSET('GCal-XML'!G1,1,0)</f>
        <v>533</v>
      </c>
      <c r="X22" s="416" t="str">
        <f ca="1">"Gaurabda" &amp; " " &amp; W22 &amp; " / " &amp; W22 + 1</f>
        <v>Gaurabda 533 / 534</v>
      </c>
      <c r="Y22" s="280">
        <v>11</v>
      </c>
      <c r="Z22" s="279" t="str">
        <f ca="1">'GPlan-Translations'!C215</f>
        <v>November</v>
      </c>
      <c r="AB22" s="416">
        <f ca="1">SEARCH("]",AC22)</f>
        <v>67</v>
      </c>
      <c r="AC22" s="416" t="str">
        <f ca="1">CELL("nome.arquivo",Holidays!A1)</f>
        <v>C:\Users\Sergio\Documents\GPlan2020Testes\GPlan2020R2C\[GPlan.xlsm]Holidays</v>
      </c>
      <c r="AE22"/>
      <c r="AF22"/>
    </row>
    <row r="23" spans="2:32" ht="14.25" hidden="1">
      <c r="S23" s="665">
        <f>IF(selectedDreams,12,0)</f>
        <v>0</v>
      </c>
      <c r="T23" s="662" t="s">
        <v>6681</v>
      </c>
      <c r="V23" s="582" t="s">
        <v>53</v>
      </c>
      <c r="W23" s="438">
        <v>1</v>
      </c>
      <c r="X23" s="439" t="str">
        <f>INDEX(AB19:AB21,W23)</f>
        <v>A B C D</v>
      </c>
      <c r="Y23" s="278">
        <v>12</v>
      </c>
      <c r="Z23" s="277" t="str">
        <f ca="1">'GPlan-Translations'!C216</f>
        <v>December</v>
      </c>
      <c r="AB23" s="416">
        <f ca="1">SEARCH("]",AC23)</f>
        <v>67</v>
      </c>
      <c r="AC23" s="416" t="str">
        <f ca="1">CELL("nome.arquivo",'Personal Data'!A1)</f>
        <v>C:\Users\Sergio\Documents\GPlan2020Testes\GPlan2020R2C\[GPlan.xlsm]Personal Data</v>
      </c>
    </row>
    <row r="24" spans="2:32" hidden="1">
      <c r="S24" s="665">
        <f>IF(selectedLifePurpose,6,2)</f>
        <v>6</v>
      </c>
      <c r="T24" s="663" t="s">
        <v>6697</v>
      </c>
      <c r="V24" s="582" t="s">
        <v>54</v>
      </c>
      <c r="W24" s="5">
        <f>selectedContact</f>
        <v>1</v>
      </c>
      <c r="X24" s="439" t="str">
        <f>INDEX(AC19:AC21,W24)</f>
        <v>E F G H</v>
      </c>
      <c r="AA24" s="424" t="s">
        <v>6237</v>
      </c>
      <c r="AB24" s="10" t="s">
        <v>6214</v>
      </c>
      <c r="AC24" s="10" t="str">
        <f ca="1">AB25 &amp;AB24</f>
        <v>xml\msxsl.exe</v>
      </c>
    </row>
    <row r="25" spans="2:32" hidden="1">
      <c r="S25" s="665">
        <f>IF(selectedMonthly,75,0)</f>
        <v>75</v>
      </c>
      <c r="T25" s="663" t="s">
        <v>226</v>
      </c>
      <c r="V25" s="582" t="s">
        <v>6048</v>
      </c>
      <c r="W25" s="10" t="str">
        <f ca="1">MID(AC22,AB7+1,AB22-AB7)</f>
        <v>[GPlan.xlsm]</v>
      </c>
      <c r="X25" s="10" t="str">
        <f ca="1">W$25 &amp; "'" &amp; RIGHT(AC22,LEN(AC22)-AB22) &amp;"'!"&amp;"A1"</f>
        <v>[GPlan.xlsm]'Holidays'!A1</v>
      </c>
      <c r="AA25" s="424" t="s">
        <v>6238</v>
      </c>
      <c r="AB25" s="10" t="str">
        <f ca="1">X29 &amp; AC2</f>
        <v>xml\</v>
      </c>
      <c r="AC25" s="10" t="str">
        <f ca="1">AC24 &amp; " -o " &amp; AB25</f>
        <v>xml\msxsl.exe -o xml\</v>
      </c>
    </row>
    <row r="26" spans="2:32" hidden="1">
      <c r="S26" s="665">
        <f>IF(selectedPersonalities,10,0)</f>
        <v>10</v>
      </c>
      <c r="T26" s="663" t="s">
        <v>6698</v>
      </c>
      <c r="V26" s="582" t="s">
        <v>6049</v>
      </c>
      <c r="W26" s="10"/>
      <c r="X26" s="10" t="str">
        <f ca="1">W$25 &amp; "'" &amp; RIGHT(AC23,LEN(AC23)-AB23) &amp;"'!"&amp;"A1"</f>
        <v>[GPlan.xlsm]'Personal Data'!A1</v>
      </c>
    </row>
    <row r="27" spans="2:32" hidden="1">
      <c r="V27" s="582" t="s">
        <v>6050</v>
      </c>
      <c r="W27" s="10"/>
      <c r="X27" s="10" t="str">
        <f ca="1">'GPlan-Translations'!C4</f>
        <v>str-en-us-translation.xml</v>
      </c>
      <c r="AB27" s="461" t="s">
        <v>6027</v>
      </c>
    </row>
    <row r="28" spans="2:32" hidden="1">
      <c r="V28" s="583" t="s">
        <v>6234</v>
      </c>
      <c r="W28" s="10"/>
      <c r="X28" s="10" t="s">
        <v>6235</v>
      </c>
      <c r="AA28" s="425" t="s">
        <v>6239</v>
      </c>
      <c r="AB28" s="462" t="str">
        <f>O8</f>
        <v>cal-gcal-cmdline.xml</v>
      </c>
      <c r="AC28" s="421" t="str">
        <f ca="1">AC8 &amp; AC9 &amp; AC10 &amp; AC11 &amp; AC12 &amp; AC13 &amp; AC14 &amp; AC15 &amp; AC16</f>
        <v>gcal\gcal.exe -R calendar -L -74.005974;40.714268 -N "New York City - United States of America" -TZ -5:00 -SG 24-11-2019 -EG 2-2-2022 -DST "-5:00 America/New_York" -O "xml\cal-gcal-cmdline.xml"</v>
      </c>
    </row>
    <row r="29" spans="2:32" hidden="1">
      <c r="T29" s="7"/>
      <c r="V29" s="583" t="s">
        <v>6232</v>
      </c>
      <c r="W29" s="10"/>
      <c r="X29" s="10" t="s">
        <v>6233</v>
      </c>
      <c r="AA29" s="10" t="str">
        <f t="shared" ref="AA29:AA34" si="2">K12</f>
        <v>tr-date-refer.xslt</v>
      </c>
      <c r="AB29" s="459" t="str">
        <f t="shared" ref="AB29:AB34" si="3">O12</f>
        <v>res-date-refer.xml</v>
      </c>
      <c r="AC29" s="460" t="str">
        <f t="shared" ref="AC29:AC34" ca="1" si="4">AC$25 &amp; AB29 &amp; " " &amp; AB$25 &amp; AB28 &amp; " " &amp; AB$25 &amp; AA29</f>
        <v>xml\msxsl.exe -o xml\res-date-refer.xml xml\cal-gcal-cmdline.xml xml\tr-date-refer.xslt</v>
      </c>
    </row>
    <row r="30" spans="2:32" hidden="1">
      <c r="T30" s="7"/>
      <c r="V30" s="583" t="s">
        <v>6668</v>
      </c>
      <c r="W30" s="652">
        <f>DAY(X4 + 6)</f>
        <v>5</v>
      </c>
      <c r="X30" s="431" t="str">
        <f>IF(AND(W30&gt;4,W30&lt;12),"S","N")</f>
        <v>S</v>
      </c>
      <c r="AA30" s="10" t="str">
        <f t="shared" si="2"/>
        <v>tr-gcal-merge.xslt</v>
      </c>
      <c r="AB30" s="459" t="str">
        <f t="shared" si="3"/>
        <v>res-gcal-merge.xml</v>
      </c>
      <c r="AC30" s="460" t="str">
        <f t="shared" ca="1" si="4"/>
        <v>xml\msxsl.exe -o xml\res-gcal-merge.xml xml\res-date-refer.xml xml\tr-gcal-merge.xslt</v>
      </c>
    </row>
    <row r="31" spans="2:32" hidden="1">
      <c r="V31" s="583" t="s">
        <v>6669</v>
      </c>
      <c r="W31" s="647">
        <f>MONTH(X4 + 6)</f>
        <v>1</v>
      </c>
      <c r="X31" s="647" t="str">
        <f ca="1">VLOOKUP(W31,$Y$12:$Z$23,2)</f>
        <v>January</v>
      </c>
      <c r="AA31" s="10" t="str">
        <f t="shared" si="2"/>
        <v>tr-gcal-complements.xslt</v>
      </c>
      <c r="AB31" s="459" t="str">
        <f t="shared" si="3"/>
        <v>res-gcal-complements.xml</v>
      </c>
      <c r="AC31" s="460" t="str">
        <f t="shared" ca="1" si="4"/>
        <v>xml\msxsl.exe -o xml\res-gcal-complements.xml xml\res-gcal-merge.xml xml\tr-gcal-complements.xslt</v>
      </c>
    </row>
    <row r="32" spans="2:32" hidden="1">
      <c r="V32" s="583" t="s">
        <v>6670</v>
      </c>
      <c r="W32" s="10">
        <f>IF(W31=1,12,W31-1)</f>
        <v>12</v>
      </c>
      <c r="X32" s="647" t="str">
        <f ca="1">VLOOKUP(W32,$Y$12:$Z$23,2)</f>
        <v>December</v>
      </c>
      <c r="AA32" s="10" t="str">
        <f t="shared" si="2"/>
        <v>tr-holidays-merge.xslt</v>
      </c>
      <c r="AB32" s="459" t="str">
        <f t="shared" si="3"/>
        <v>res-holidays-merge.xml</v>
      </c>
      <c r="AC32" s="460" t="str">
        <f t="shared" ca="1" si="4"/>
        <v>xml\msxsl.exe -o xml\res-holidays-merge.xml xml\res-gcal-complements.xml xml\tr-holidays-merge.xslt</v>
      </c>
    </row>
    <row r="33" spans="20:29" hidden="1">
      <c r="T33" s="7"/>
      <c r="U33" s="195" t="s">
        <v>830</v>
      </c>
      <c r="V33" s="195" t="s">
        <v>854</v>
      </c>
      <c r="W33" s="195" t="s">
        <v>858</v>
      </c>
      <c r="X33" s="195" t="s">
        <v>859</v>
      </c>
      <c r="Y33" t="s">
        <v>48</v>
      </c>
      <c r="AA33" s="10" t="str">
        <f t="shared" si="2"/>
        <v>tr-gplan-import.xslt</v>
      </c>
      <c r="AB33" s="459" t="str">
        <f t="shared" si="3"/>
        <v>calendar-re.xml</v>
      </c>
      <c r="AC33" s="460" t="str">
        <f t="shared" ca="1" si="4"/>
        <v>xml\msxsl.exe -o xml\calendar-re.xml xml\res-holidays-merge.xml xml\tr-gplan-import.xslt</v>
      </c>
    </row>
    <row r="34" spans="20:29" hidden="1">
      <c r="T34" s="7"/>
      <c r="U34" s="12" t="str">
        <f>""</f>
        <v/>
      </c>
      <c r="V34" s="12" t="str">
        <f>""</f>
        <v/>
      </c>
      <c r="W34" s="12" t="str">
        <f>""</f>
        <v/>
      </c>
      <c r="X34" s="12" t="s">
        <v>872</v>
      </c>
      <c r="AA34" s="10" t="str">
        <f t="shared" si="2"/>
        <v>tr-txt-calendar.xslt</v>
      </c>
      <c r="AB34" s="459" t="str">
        <f t="shared" si="3"/>
        <v>calendar.txt</v>
      </c>
      <c r="AC34" s="460" t="str">
        <f t="shared" ca="1" si="4"/>
        <v>xml\msxsl.exe -o xml\calendar.txt xml\calendar-re.xml xml\tr-txt-calendar.xslt</v>
      </c>
    </row>
    <row r="35" spans="20:29" hidden="1">
      <c r="T35" s="7">
        <v>-4</v>
      </c>
      <c r="U35" s="12" t="s">
        <v>13</v>
      </c>
      <c r="V35" s="12" t="s">
        <v>674</v>
      </c>
      <c r="W35" s="12">
        <v>-21</v>
      </c>
      <c r="X35" s="12" t="s">
        <v>968</v>
      </c>
      <c r="AA35" s="424" t="s">
        <v>6044</v>
      </c>
      <c r="AB35" s="417"/>
      <c r="AC35" s="421" t="str">
        <f>X18 &amp; "|" &amp; X20 &amp; "|" &amp; X9 &amp; "|" &amp; X14 &amp; "|" &amp; X15 &amp; "|" &amp; X16</f>
        <v>43793|801|New_York_City|-74.005974|40.714268|-5:00</v>
      </c>
    </row>
    <row r="36" spans="20:29" hidden="1">
      <c r="T36" s="7">
        <v>-3</v>
      </c>
      <c r="U36" s="12" t="str">
        <f>""</f>
        <v/>
      </c>
      <c r="V36" s="12" t="s">
        <v>871</v>
      </c>
      <c r="W36" s="12">
        <v>-11</v>
      </c>
      <c r="X36" s="12" t="s">
        <v>482</v>
      </c>
      <c r="AC36" s="463" t="str">
        <f ca="1">AC24 &amp; " -o  strXMLOutputFile strXMLInputFile strXSLTFile"</f>
        <v>xml\msxsl.exe -o  strXMLOutputFile strXMLInputFile strXSLTFile</v>
      </c>
    </row>
    <row r="37" spans="20:29" hidden="1">
      <c r="T37" s="7">
        <v>-2</v>
      </c>
      <c r="U37" s="12" t="s">
        <v>13</v>
      </c>
      <c r="V37" s="12" t="s">
        <v>8</v>
      </c>
      <c r="W37" s="12">
        <v>-2</v>
      </c>
      <c r="X37" s="12" t="s">
        <v>873</v>
      </c>
    </row>
    <row r="38" spans="20:29" hidden="1">
      <c r="T38" s="7">
        <v>-1</v>
      </c>
      <c r="U38" s="12" t="s">
        <v>13</v>
      </c>
      <c r="V38" s="12" t="s">
        <v>874</v>
      </c>
      <c r="W38" s="12">
        <v>-1</v>
      </c>
      <c r="X38" s="12" t="s">
        <v>857</v>
      </c>
    </row>
    <row r="39" spans="20:29" hidden="1">
      <c r="T39" s="7"/>
      <c r="U39" s="12" t="s">
        <v>13</v>
      </c>
      <c r="V39" s="12" t="s">
        <v>838</v>
      </c>
      <c r="W39" s="12">
        <v>-0.7</v>
      </c>
      <c r="X39" s="12" t="s">
        <v>870</v>
      </c>
    </row>
    <row r="40" spans="20:29" hidden="1">
      <c r="T40" s="7"/>
      <c r="U40" s="12" t="str">
        <f>""</f>
        <v/>
      </c>
      <c r="V40" s="12" t="s">
        <v>840</v>
      </c>
      <c r="W40" s="12">
        <v>-0.3</v>
      </c>
      <c r="X40" s="12" t="s">
        <v>869</v>
      </c>
    </row>
    <row r="41" spans="20:29" hidden="1">
      <c r="T41" s="7"/>
      <c r="U41" s="12" t="str">
        <f>""</f>
        <v/>
      </c>
      <c r="V41" s="12" t="s">
        <v>839</v>
      </c>
      <c r="W41" s="12">
        <v>0</v>
      </c>
      <c r="X41" s="12" t="s">
        <v>68</v>
      </c>
    </row>
    <row r="42" spans="20:29" hidden="1">
      <c r="T42" s="7"/>
      <c r="U42" s="12" t="str">
        <f>""</f>
        <v/>
      </c>
      <c r="V42" s="12" t="s">
        <v>839</v>
      </c>
      <c r="W42" s="12">
        <v>0.5</v>
      </c>
      <c r="X42" s="12" t="s">
        <v>856</v>
      </c>
    </row>
    <row r="43" spans="20:29" hidden="1">
      <c r="T43" s="7"/>
      <c r="U43" s="12" t="str">
        <f>""</f>
        <v/>
      </c>
      <c r="V43" s="12" t="s">
        <v>839</v>
      </c>
      <c r="W43" s="12">
        <v>1</v>
      </c>
      <c r="X43" s="12" t="s">
        <v>69</v>
      </c>
    </row>
    <row r="44" spans="20:29" hidden="1">
      <c r="T44" s="7"/>
      <c r="U44" s="12" t="str">
        <f>""</f>
        <v/>
      </c>
      <c r="V44" s="12" t="s">
        <v>839</v>
      </c>
      <c r="W44" s="12">
        <v>2</v>
      </c>
      <c r="X44" s="12" t="s">
        <v>70</v>
      </c>
    </row>
    <row r="45" spans="20:29" hidden="1">
      <c r="T45" s="7"/>
      <c r="U45" s="12" t="str">
        <f>""</f>
        <v/>
      </c>
      <c r="V45" s="12" t="s">
        <v>839</v>
      </c>
      <c r="W45" s="12">
        <v>3</v>
      </c>
      <c r="X45" s="12" t="s">
        <v>71</v>
      </c>
    </row>
    <row r="46" spans="20:29" hidden="1">
      <c r="T46" s="7"/>
      <c r="U46" s="12" t="str">
        <f>""</f>
        <v/>
      </c>
      <c r="V46" s="12" t="s">
        <v>839</v>
      </c>
      <c r="W46" s="12">
        <v>4</v>
      </c>
      <c r="X46" s="12" t="s">
        <v>73</v>
      </c>
    </row>
    <row r="47" spans="20:29" hidden="1">
      <c r="T47" s="7"/>
      <c r="U47" s="12" t="str">
        <f>""</f>
        <v/>
      </c>
      <c r="V47" s="12" t="s">
        <v>839</v>
      </c>
      <c r="W47" s="12">
        <v>5</v>
      </c>
      <c r="X47" s="12" t="s">
        <v>74</v>
      </c>
    </row>
    <row r="48" spans="20:29" hidden="1">
      <c r="T48" s="7"/>
      <c r="U48" s="12" t="str">
        <f>""</f>
        <v/>
      </c>
      <c r="V48" s="12" t="s">
        <v>839</v>
      </c>
      <c r="W48" s="12">
        <v>6</v>
      </c>
      <c r="X48" s="12" t="s">
        <v>855</v>
      </c>
    </row>
    <row r="49" spans="20:24" hidden="1">
      <c r="T49"/>
      <c r="U49" s="12"/>
      <c r="V49" s="12"/>
      <c r="W49" s="12">
        <v>7</v>
      </c>
      <c r="X49" s="368" t="s">
        <v>6043</v>
      </c>
    </row>
    <row r="50" spans="20:24" hidden="1">
      <c r="U50" s="12"/>
      <c r="V50" s="12"/>
      <c r="W50" s="12">
        <v>8</v>
      </c>
      <c r="X50" s="368" t="s">
        <v>976</v>
      </c>
    </row>
    <row r="51" spans="20:24" hidden="1">
      <c r="U51" s="12"/>
      <c r="V51" s="12"/>
      <c r="W51" s="12">
        <v>9</v>
      </c>
      <c r="X51" s="12" t="s">
        <v>856</v>
      </c>
    </row>
  </sheetData>
  <sheetProtection sheet="1" objects="1" scenarios="1" selectLockedCells="1"/>
  <mergeCells count="2">
    <mergeCell ref="J7:M7"/>
    <mergeCell ref="N7:Q7"/>
  </mergeCells>
  <conditionalFormatting sqref="N8:N15 N17">
    <cfRule type="iconSet" priority="349">
      <iconSet iconSet="3Symbols" showValue="0">
        <cfvo type="percent" val="0"/>
        <cfvo type="num" val="0"/>
        <cfvo type="num" val="0" gte="0"/>
      </iconSet>
    </cfRule>
  </conditionalFormatting>
  <conditionalFormatting sqref="N16">
    <cfRule type="iconSet" priority="4">
      <iconSet iconSet="3Symbols" showValue="0">
        <cfvo type="percent" val="0"/>
        <cfvo type="num" val="0"/>
        <cfvo type="num" val="0" gte="0"/>
      </iconSet>
    </cfRule>
  </conditionalFormatting>
  <conditionalFormatting sqref="J8:J15 J17">
    <cfRule type="iconSet" priority="355">
      <iconSet iconSet="3Symbols" showValue="0">
        <cfvo type="percent" val="0"/>
        <cfvo type="num" val="0"/>
        <cfvo type="num" val="0" gte="0"/>
      </iconSet>
    </cfRule>
  </conditionalFormatting>
  <conditionalFormatting sqref="J16">
    <cfRule type="iconSet" priority="3">
      <iconSet iconSet="3Symbols" showValue="0">
        <cfvo type="percent" val="0"/>
        <cfvo type="num" val="0"/>
        <cfvo type="num" val="0" gte="0"/>
      </iconSet>
    </cfRule>
  </conditionalFormatting>
  <conditionalFormatting sqref="N18">
    <cfRule type="iconSet" priority="1">
      <iconSet iconSet="3Symbols" showValue="0">
        <cfvo type="percent" val="0"/>
        <cfvo type="num" val="0"/>
        <cfvo type="num" val="0" gte="0"/>
      </iconSet>
    </cfRule>
  </conditionalFormatting>
  <conditionalFormatting sqref="J18">
    <cfRule type="iconSet" priority="2">
      <iconSet iconSet="3Symbols" showValue="0">
        <cfvo type="percent" val="0"/>
        <cfvo type="num" val="0"/>
        <cfvo type="num" val="0" gte="0"/>
      </iconSet>
    </cfRule>
  </conditionalFormatting>
  <dataValidations disablePrompts="1" count="1">
    <dataValidation allowBlank="1" showInputMessage="1" showErrorMessage="1" sqref="D8:D9" xr:uid="{00000000-0002-0000-0000-000000000000}"/>
  </dataValidations>
  <printOptions horizontalCentered="1" verticalCentered="1"/>
  <pageMargins left="0.78740157480314965" right="0.78740157480314965" top="0.98425196850393704" bottom="0.98425196850393704" header="0.51181102362204722" footer="0.51181102362204722"/>
  <pageSetup paperSize="9" scale="27" orientation="landscape" r:id="rId1"/>
  <headerFooter alignWithMargins="0"/>
  <ignoredErrors>
    <ignoredError sqref="E10:E11" unlockedFormula="1"/>
  </ignoredErrors>
  <drawing r:id="rId2"/>
  <legacyDrawing r:id="rId3"/>
  <controls>
    <mc:AlternateContent xmlns:mc="http://schemas.openxmlformats.org/markup-compatibility/2006">
      <mc:Choice Requires="x14">
        <control shapeId="2086" r:id="rId4" name="TextBoxCityCustomName">
          <controlPr locked="0" defaultSize="0" autoLine="0" autoPict="0" linkedCell="S8" r:id="rId5">
            <anchor moveWithCells="1">
              <from>
                <xdr:col>2</xdr:col>
                <xdr:colOff>104775</xdr:colOff>
                <xdr:row>6</xdr:row>
                <xdr:rowOff>219075</xdr:rowOff>
              </from>
              <to>
                <xdr:col>8</xdr:col>
                <xdr:colOff>0</xdr:colOff>
                <xdr:row>7</xdr:row>
                <xdr:rowOff>219075</xdr:rowOff>
              </to>
            </anchor>
          </controlPr>
        </control>
      </mc:Choice>
      <mc:Fallback>
        <control shapeId="2086" r:id="rId4" name="TextBoxCityCustomName"/>
      </mc:Fallback>
    </mc:AlternateContent>
    <mc:AlternateContent xmlns:mc="http://schemas.openxmlformats.org/markup-compatibility/2006">
      <mc:Choice Requires="x14">
        <control shapeId="2081" r:id="rId6" name="CmdCalendarChange">
          <controlPr locked="0" defaultSize="0" autoLine="0" r:id="rId7">
            <anchor moveWithCells="1">
              <from>
                <xdr:col>4</xdr:col>
                <xdr:colOff>628650</xdr:colOff>
                <xdr:row>4</xdr:row>
                <xdr:rowOff>76200</xdr:rowOff>
              </from>
              <to>
                <xdr:col>8</xdr:col>
                <xdr:colOff>9525</xdr:colOff>
                <xdr:row>5</xdr:row>
                <xdr:rowOff>161925</xdr:rowOff>
              </to>
            </anchor>
          </controlPr>
        </control>
      </mc:Choice>
      <mc:Fallback>
        <control shapeId="2081" r:id="rId6" name="CmdCalendarChange"/>
      </mc:Fallback>
    </mc:AlternateContent>
    <mc:AlternateContent xmlns:mc="http://schemas.openxmlformats.org/markup-compatibility/2006">
      <mc:Choice Requires="x14">
        <control shapeId="2088" r:id="rId8" name="CheckBoxPersons">
          <controlPr locked="0" defaultSize="0" autoLine="0" linkedCell="W5" r:id="rId9">
            <anchor moveWithCells="1">
              <from>
                <xdr:col>2</xdr:col>
                <xdr:colOff>104775</xdr:colOff>
                <xdr:row>12</xdr:row>
                <xdr:rowOff>0</xdr:rowOff>
              </from>
              <to>
                <xdr:col>6</xdr:col>
                <xdr:colOff>628650</xdr:colOff>
                <xdr:row>13</xdr:row>
                <xdr:rowOff>19050</xdr:rowOff>
              </to>
            </anchor>
          </controlPr>
        </control>
      </mc:Choice>
      <mc:Fallback>
        <control shapeId="2088" r:id="rId8" name="CheckBoxPersons"/>
      </mc:Fallback>
    </mc:AlternateContent>
    <mc:AlternateContent xmlns:mc="http://schemas.openxmlformats.org/markup-compatibility/2006">
      <mc:Choice Requires="x14">
        <control shapeId="2089" r:id="rId10" name="CheckBoxReunions">
          <controlPr locked="0" defaultSize="0" autoLine="0" linkedCell="W6" r:id="rId11">
            <anchor moveWithCells="1">
              <from>
                <xdr:col>2</xdr:col>
                <xdr:colOff>104775</xdr:colOff>
                <xdr:row>15</xdr:row>
                <xdr:rowOff>161925</xdr:rowOff>
              </from>
              <to>
                <xdr:col>4</xdr:col>
                <xdr:colOff>771525</xdr:colOff>
                <xdr:row>16</xdr:row>
                <xdr:rowOff>180975</xdr:rowOff>
              </to>
            </anchor>
          </controlPr>
        </control>
      </mc:Choice>
      <mc:Fallback>
        <control shapeId="2089" r:id="rId10" name="CheckBoxReunions"/>
      </mc:Fallback>
    </mc:AlternateContent>
    <mc:AlternateContent xmlns:mc="http://schemas.openxmlformats.org/markup-compatibility/2006">
      <mc:Choice Requires="x14">
        <control shapeId="2091" r:id="rId12" name="CmdGPlanCreate">
          <controlPr locked="0" defaultSize="0" autoLine="0" r:id="rId13">
            <anchor moveWithCells="1">
              <from>
                <xdr:col>4</xdr:col>
                <xdr:colOff>876300</xdr:colOff>
                <xdr:row>15</xdr:row>
                <xdr:rowOff>95250</xdr:rowOff>
              </from>
              <to>
                <xdr:col>8</xdr:col>
                <xdr:colOff>9525</xdr:colOff>
                <xdr:row>17</xdr:row>
                <xdr:rowOff>85725</xdr:rowOff>
              </to>
            </anchor>
          </controlPr>
        </control>
      </mc:Choice>
      <mc:Fallback>
        <control shapeId="2091" r:id="rId12" name="CmdGPlanCreate"/>
      </mc:Fallback>
    </mc:AlternateContent>
    <mc:AlternateContent xmlns:mc="http://schemas.openxmlformats.org/markup-compatibility/2006">
      <mc:Choice Requires="x14">
        <control shapeId="2093" r:id="rId14" name="ComboBoxHours">
          <controlPr locked="0" defaultSize="0" autoLine="0" linkedCell="S9" listFillRange="HoursList" r:id="rId15">
            <anchor moveWithCells="1">
              <from>
                <xdr:col>4</xdr:col>
                <xdr:colOff>0</xdr:colOff>
                <xdr:row>8</xdr:row>
                <xdr:rowOff>19050</xdr:rowOff>
              </from>
              <to>
                <xdr:col>5</xdr:col>
                <xdr:colOff>28575</xdr:colOff>
                <xdr:row>9</xdr:row>
                <xdr:rowOff>38100</xdr:rowOff>
              </to>
            </anchor>
          </controlPr>
        </control>
      </mc:Choice>
      <mc:Fallback>
        <control shapeId="2093" r:id="rId14" name="ComboBoxHours"/>
      </mc:Fallback>
    </mc:AlternateContent>
    <mc:AlternateContent xmlns:mc="http://schemas.openxmlformats.org/markup-compatibility/2006">
      <mc:Choice Requires="x14">
        <control shapeId="2094" r:id="rId16" name="CheckBoxProjects">
          <controlPr locked="0" defaultSize="0" autoLine="0" autoPict="0" linkedCell="W8" r:id="rId17">
            <anchor moveWithCells="1">
              <from>
                <xdr:col>2</xdr:col>
                <xdr:colOff>104775</xdr:colOff>
                <xdr:row>14</xdr:row>
                <xdr:rowOff>180975</xdr:rowOff>
              </from>
              <to>
                <xdr:col>4</xdr:col>
                <xdr:colOff>771525</xdr:colOff>
                <xdr:row>15</xdr:row>
                <xdr:rowOff>200025</xdr:rowOff>
              </to>
            </anchor>
          </controlPr>
        </control>
      </mc:Choice>
      <mc:Fallback>
        <control shapeId="2094" r:id="rId16" name="CheckBoxProjects"/>
      </mc:Fallback>
    </mc:AlternateContent>
    <mc:AlternateContent xmlns:mc="http://schemas.openxmlformats.org/markup-compatibility/2006">
      <mc:Choice Requires="x14">
        <control shapeId="2095" r:id="rId18" name="CheckBoxSquared">
          <controlPr locked="0" defaultSize="0" autoLine="0" autoPict="0" linkedCell="S6" r:id="rId19">
            <anchor moveWithCells="1">
              <from>
                <xdr:col>2</xdr:col>
                <xdr:colOff>104775</xdr:colOff>
                <xdr:row>16</xdr:row>
                <xdr:rowOff>142875</xdr:rowOff>
              </from>
              <to>
                <xdr:col>4</xdr:col>
                <xdr:colOff>771525</xdr:colOff>
                <xdr:row>17</xdr:row>
                <xdr:rowOff>161925</xdr:rowOff>
              </to>
            </anchor>
          </controlPr>
        </control>
      </mc:Choice>
      <mc:Fallback>
        <control shapeId="2095" r:id="rId18" name="CheckBoxSquared"/>
      </mc:Fallback>
    </mc:AlternateContent>
    <mc:AlternateContent xmlns:mc="http://schemas.openxmlformats.org/markup-compatibility/2006">
      <mc:Choice Requires="x14">
        <control shapeId="2096" r:id="rId20" name="CheckBoxPurpose">
          <controlPr locked="0" defaultSize="0" autoLine="0" autoPict="0" linkedCell="W7" r:id="rId21">
            <anchor moveWithCells="1">
              <from>
                <xdr:col>2</xdr:col>
                <xdr:colOff>104775</xdr:colOff>
                <xdr:row>13</xdr:row>
                <xdr:rowOff>180975</xdr:rowOff>
              </from>
              <to>
                <xdr:col>6</xdr:col>
                <xdr:colOff>628650</xdr:colOff>
                <xdr:row>14</xdr:row>
                <xdr:rowOff>200025</xdr:rowOff>
              </to>
            </anchor>
          </controlPr>
        </control>
      </mc:Choice>
      <mc:Fallback>
        <control shapeId="2096" r:id="rId20" name="CheckBoxPurpose"/>
      </mc:Fallback>
    </mc:AlternateContent>
    <mc:AlternateContent xmlns:mc="http://schemas.openxmlformats.org/markup-compatibility/2006">
      <mc:Choice Requires="x14">
        <control shapeId="2097" r:id="rId22" name="CheckBoxMonthly">
          <controlPr locked="0" defaultSize="0" autoLine="0" linkedCell="S10" r:id="rId23">
            <anchor moveWithCells="1">
              <from>
                <xdr:col>2</xdr:col>
                <xdr:colOff>104775</xdr:colOff>
                <xdr:row>12</xdr:row>
                <xdr:rowOff>219075</xdr:rowOff>
              </from>
              <to>
                <xdr:col>6</xdr:col>
                <xdr:colOff>628650</xdr:colOff>
                <xdr:row>14</xdr:row>
                <xdr:rowOff>0</xdr:rowOff>
              </to>
            </anchor>
          </controlPr>
        </control>
      </mc:Choice>
      <mc:Fallback>
        <control shapeId="2097" r:id="rId22" name="CheckBoxMonthly"/>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PersonalData">
    <pageSetUpPr fitToPage="1"/>
  </sheetPr>
  <dimension ref="B1:IO42"/>
  <sheetViews>
    <sheetView showGridLines="0" showRowColHeaders="0" workbookViewId="0"/>
  </sheetViews>
  <sheetFormatPr defaultColWidth="0" defaultRowHeight="12.75" customHeight="1" zeroHeight="1"/>
  <cols>
    <col min="1" max="1" width="11.42578125" style="16" customWidth="1"/>
    <col min="2" max="13" width="2.85546875" style="16" customWidth="1"/>
    <col min="14" max="15" width="3.28515625" style="16" customWidth="1"/>
    <col min="16" max="16" width="2.28515625" style="16" customWidth="1"/>
    <col min="17" max="32" width="2.85546875" style="16" customWidth="1"/>
    <col min="33" max="33" width="3.7109375" style="16" customWidth="1"/>
    <col min="34" max="34" width="3" style="16" hidden="1" customWidth="1"/>
    <col min="35" max="249" width="9.140625" style="16" hidden="1" customWidth="1"/>
    <col min="250" max="16384" width="0" style="16" hidden="1"/>
  </cols>
  <sheetData>
    <row r="1" spans="2:34" ht="40.5" customHeight="1">
      <c r="B1" s="607" t="str">
        <f ca="1">'GPlan-Translations'!C88</f>
        <v>PERSONAL DATA</v>
      </c>
      <c r="C1" s="17"/>
      <c r="D1" s="17"/>
      <c r="E1" s="17"/>
      <c r="F1" s="17"/>
      <c r="G1" s="17"/>
      <c r="H1" s="17"/>
      <c r="I1" s="17"/>
      <c r="J1" s="17"/>
      <c r="K1" s="17"/>
      <c r="L1" s="17"/>
      <c r="M1" s="17"/>
      <c r="N1" s="20"/>
      <c r="O1" s="20"/>
      <c r="P1" s="20"/>
      <c r="Q1" s="21"/>
      <c r="R1" s="21"/>
      <c r="S1" s="21"/>
      <c r="T1" s="21"/>
      <c r="U1" s="21"/>
      <c r="V1" s="21"/>
      <c r="X1" s="601"/>
      <c r="Y1" s="601"/>
      <c r="Z1" s="601"/>
      <c r="AA1" s="601"/>
      <c r="AB1" s="601"/>
      <c r="AC1" s="601"/>
      <c r="AD1" s="601"/>
      <c r="AE1" s="601"/>
      <c r="AF1" s="600" t="str">
        <f>TEXT(Calendar!U1,"0000")</f>
        <v>2020</v>
      </c>
      <c r="AH1" s="19"/>
    </row>
    <row r="2" spans="2:34" ht="20.25">
      <c r="B2" s="22" t="str">
        <f ca="1">'GPlan-Translations'!C91</f>
        <v>Name</v>
      </c>
      <c r="C2" s="23"/>
      <c r="D2" s="23"/>
      <c r="E2" s="24"/>
      <c r="F2" s="24"/>
      <c r="G2" s="24"/>
      <c r="H2" s="24"/>
      <c r="I2" s="24"/>
      <c r="J2" s="24"/>
      <c r="K2" s="24"/>
      <c r="L2" s="24"/>
      <c r="M2" s="25"/>
      <c r="N2" s="24"/>
      <c r="O2" s="24"/>
      <c r="P2" s="24"/>
      <c r="Q2" s="25"/>
      <c r="R2" s="25"/>
      <c r="S2" s="25"/>
      <c r="T2" s="25"/>
      <c r="U2" s="25"/>
      <c r="V2" s="25"/>
      <c r="W2" s="25"/>
      <c r="X2" s="25"/>
      <c r="Y2" s="25"/>
      <c r="Z2" s="25"/>
      <c r="AA2" s="25"/>
      <c r="AB2" s="25"/>
      <c r="AC2" s="25"/>
      <c r="AD2" s="24"/>
      <c r="AE2" s="24"/>
      <c r="AF2" s="26"/>
      <c r="AH2" s="19"/>
    </row>
    <row r="3" spans="2:34" ht="20.25">
      <c r="B3" s="22" t="str">
        <f ca="1">'GPlan-Translations'!C92</f>
        <v>Address</v>
      </c>
      <c r="C3" s="23"/>
      <c r="D3" s="23"/>
      <c r="E3" s="24"/>
      <c r="F3" s="24"/>
      <c r="G3" s="24"/>
      <c r="H3" s="24"/>
      <c r="I3" s="24"/>
      <c r="J3" s="24"/>
      <c r="K3" s="24"/>
      <c r="L3" s="24"/>
      <c r="M3" s="25"/>
      <c r="N3" s="24"/>
      <c r="O3" s="24"/>
      <c r="P3" s="24"/>
      <c r="Q3" s="25"/>
      <c r="R3" s="25"/>
      <c r="S3" s="25"/>
      <c r="T3" s="25"/>
      <c r="U3" s="25"/>
      <c r="V3" s="25"/>
      <c r="W3" s="25"/>
      <c r="X3" s="25"/>
      <c r="Y3" s="25"/>
      <c r="Z3" s="25"/>
      <c r="AA3" s="25"/>
      <c r="AB3" s="25"/>
      <c r="AC3" s="25"/>
      <c r="AD3" s="24"/>
      <c r="AE3" s="24"/>
      <c r="AF3" s="26"/>
      <c r="AH3" s="19"/>
    </row>
    <row r="4" spans="2:34" ht="20.25">
      <c r="B4" s="22" t="str">
        <f ca="1">'GPlan-Translations'!C93</f>
        <v>City</v>
      </c>
      <c r="C4" s="23"/>
      <c r="D4" s="24"/>
      <c r="E4" s="24"/>
      <c r="F4" s="24"/>
      <c r="G4" s="24"/>
      <c r="H4" s="24"/>
      <c r="I4" s="24"/>
      <c r="J4" s="24"/>
      <c r="K4" s="24"/>
      <c r="L4" s="24"/>
      <c r="M4" s="25"/>
      <c r="N4" s="25"/>
      <c r="O4" s="27"/>
      <c r="P4" s="24"/>
      <c r="Q4" s="28" t="str">
        <f ca="1">'GPlan-Translations'!C94</f>
        <v>Zip code</v>
      </c>
      <c r="R4" s="29"/>
      <c r="S4" s="30"/>
      <c r="T4" s="30"/>
      <c r="U4" s="30"/>
      <c r="V4" s="30"/>
      <c r="W4" s="27"/>
      <c r="X4" s="28" t="str">
        <f ca="1">'GPlan-Translations'!C95</f>
        <v>State</v>
      </c>
      <c r="Y4" s="29"/>
      <c r="Z4" s="29"/>
      <c r="AA4" s="30"/>
      <c r="AB4" s="30"/>
      <c r="AC4" s="30"/>
      <c r="AD4" s="30"/>
      <c r="AE4" s="30"/>
      <c r="AF4" s="26"/>
      <c r="AH4" s="19"/>
    </row>
    <row r="5" spans="2:34" ht="20.25">
      <c r="B5" s="22" t="str">
        <f ca="1">'GPlan-Translations'!C96</f>
        <v>Phone</v>
      </c>
      <c r="C5" s="23"/>
      <c r="D5" s="24"/>
      <c r="E5" s="24"/>
      <c r="F5" s="24"/>
      <c r="G5" s="24"/>
      <c r="H5" s="24"/>
      <c r="I5" s="24"/>
      <c r="J5" s="24"/>
      <c r="K5" s="24"/>
      <c r="L5" s="24"/>
      <c r="M5" s="25"/>
      <c r="N5" s="27"/>
      <c r="O5" s="30"/>
      <c r="P5" s="24"/>
      <c r="Q5" s="28" t="str">
        <f ca="1">'GPlan-Translations'!C97</f>
        <v>Mobile</v>
      </c>
      <c r="R5" s="31"/>
      <c r="S5" s="25"/>
      <c r="T5" s="25"/>
      <c r="U5" s="25"/>
      <c r="V5" s="25"/>
      <c r="W5" s="25"/>
      <c r="X5" s="27"/>
      <c r="Y5" s="24"/>
      <c r="Z5" s="24"/>
      <c r="AA5" s="24"/>
      <c r="AB5" s="24"/>
      <c r="AC5" s="24"/>
      <c r="AD5" s="24"/>
      <c r="AE5" s="24"/>
      <c r="AF5" s="26"/>
      <c r="AH5" s="19"/>
    </row>
    <row r="6" spans="2:34" ht="20.25">
      <c r="B6" s="22" t="str">
        <f ca="1">'GPlan-Translations'!C98</f>
        <v>E-mail</v>
      </c>
      <c r="C6" s="23"/>
      <c r="D6" s="24"/>
      <c r="E6" s="24"/>
      <c r="F6" s="24"/>
      <c r="G6" s="24"/>
      <c r="H6" s="24"/>
      <c r="I6" s="24"/>
      <c r="J6" s="24"/>
      <c r="K6" s="24"/>
      <c r="L6" s="24"/>
      <c r="M6" s="25"/>
      <c r="N6" s="24"/>
      <c r="O6" s="24"/>
      <c r="P6" s="24"/>
      <c r="Q6" s="25"/>
      <c r="R6" s="25"/>
      <c r="S6" s="25"/>
      <c r="T6" s="25"/>
      <c r="U6" s="25"/>
      <c r="V6" s="25"/>
      <c r="W6" s="25"/>
      <c r="X6" s="25"/>
      <c r="Y6" s="25"/>
      <c r="Z6" s="25"/>
      <c r="AA6" s="25"/>
      <c r="AB6" s="25"/>
      <c r="AC6" s="25"/>
      <c r="AD6" s="24"/>
      <c r="AE6" s="24"/>
      <c r="AF6" s="26"/>
      <c r="AH6" s="19"/>
    </row>
    <row r="7" spans="2:34" ht="20.25">
      <c r="B7" s="22" t="str">
        <f ca="1">'GPlan-Translations'!C99</f>
        <v>ID</v>
      </c>
      <c r="C7" s="24"/>
      <c r="D7" s="24"/>
      <c r="E7" s="24"/>
      <c r="F7" s="24"/>
      <c r="G7" s="24"/>
      <c r="H7" s="24"/>
      <c r="I7" s="24"/>
      <c r="J7" s="24"/>
      <c r="K7" s="24"/>
      <c r="L7" s="24"/>
      <c r="M7" s="25"/>
      <c r="N7" s="24"/>
      <c r="O7" s="24"/>
      <c r="P7" s="24"/>
      <c r="Q7" s="23" t="str">
        <f ca="1">'GPlan-Translations'!C100</f>
        <v>CPF</v>
      </c>
      <c r="R7" s="20"/>
      <c r="S7" s="32"/>
      <c r="T7" s="32"/>
      <c r="U7" s="32"/>
      <c r="V7" s="32"/>
      <c r="W7" s="32"/>
      <c r="X7" s="27"/>
      <c r="Y7" s="27"/>
      <c r="Z7" s="27"/>
      <c r="AA7" s="27"/>
      <c r="AB7" s="27"/>
      <c r="AC7" s="27"/>
      <c r="AD7" s="27"/>
      <c r="AE7" s="27"/>
      <c r="AF7" s="33"/>
      <c r="AH7" s="19"/>
    </row>
    <row r="8" spans="2:34" ht="20.25">
      <c r="B8" s="34" t="str">
        <f ca="1">'GPlan-Translations'!C101</f>
        <v>T. Elector</v>
      </c>
      <c r="C8" s="23"/>
      <c r="D8" s="23"/>
      <c r="E8" s="24"/>
      <c r="F8" s="24"/>
      <c r="G8" s="24"/>
      <c r="H8" s="24"/>
      <c r="I8" s="24"/>
      <c r="J8" s="24"/>
      <c r="K8" s="24"/>
      <c r="L8" s="24"/>
      <c r="M8" s="25"/>
      <c r="N8" s="27"/>
      <c r="O8" s="27"/>
      <c r="P8" s="27"/>
      <c r="Q8" s="28" t="str">
        <f ca="1">'GPlan-Translations'!C102</f>
        <v>Zone</v>
      </c>
      <c r="R8" s="29"/>
      <c r="S8" s="30"/>
      <c r="T8" s="30"/>
      <c r="U8" s="30"/>
      <c r="V8" s="30"/>
      <c r="W8" s="30"/>
      <c r="X8" s="28" t="str">
        <f ca="1">'GPlan-Translations'!C103</f>
        <v>Section</v>
      </c>
      <c r="Y8" s="29"/>
      <c r="Z8" s="30"/>
      <c r="AA8" s="30"/>
      <c r="AB8" s="30"/>
      <c r="AC8" s="30"/>
      <c r="AD8" s="35"/>
      <c r="AE8" s="35"/>
      <c r="AF8" s="36"/>
      <c r="AH8" s="19"/>
    </row>
    <row r="9" spans="2:34" ht="20.25">
      <c r="B9" s="22" t="str">
        <f ca="1">'GPlan-Translations'!C104</f>
        <v>Passport</v>
      </c>
      <c r="C9" s="23"/>
      <c r="D9" s="23"/>
      <c r="E9" s="23"/>
      <c r="F9" s="24"/>
      <c r="G9" s="24"/>
      <c r="H9" s="24"/>
      <c r="I9" s="24"/>
      <c r="J9" s="24"/>
      <c r="K9" s="24"/>
      <c r="L9" s="24"/>
      <c r="M9" s="25"/>
      <c r="N9" s="25"/>
      <c r="O9" s="25"/>
      <c r="P9" s="602"/>
      <c r="Q9" s="602"/>
      <c r="R9" s="30"/>
      <c r="S9" s="30"/>
      <c r="T9" s="30"/>
      <c r="U9" s="30"/>
      <c r="V9" s="29"/>
      <c r="W9" s="29" t="str">
        <f ca="1">'GPlan-Translations'!C105</f>
        <v>Validity</v>
      </c>
      <c r="X9" s="602"/>
      <c r="Y9" s="603"/>
      <c r="Z9" s="37" t="s">
        <v>721</v>
      </c>
      <c r="AA9" s="602"/>
      <c r="AB9" s="603"/>
      <c r="AC9" s="37" t="s">
        <v>721</v>
      </c>
      <c r="AD9" s="604"/>
      <c r="AE9" s="604"/>
      <c r="AF9" s="605"/>
      <c r="AH9" s="19"/>
    </row>
    <row r="10" spans="2:34" ht="20.25">
      <c r="B10" s="22" t="str">
        <f ca="1">'GPlan-Translations'!C106</f>
        <v>Cart. Military</v>
      </c>
      <c r="C10" s="23"/>
      <c r="D10" s="23"/>
      <c r="E10" s="24"/>
      <c r="F10" s="24"/>
      <c r="G10" s="24"/>
      <c r="H10" s="24"/>
      <c r="I10" s="24"/>
      <c r="J10" s="24"/>
      <c r="K10" s="24"/>
      <c r="L10" s="24"/>
      <c r="M10" s="25"/>
      <c r="N10" s="24"/>
      <c r="O10" s="24"/>
      <c r="P10" s="24"/>
      <c r="Q10" s="23" t="str">
        <f ca="1">'GPlan-Translations'!C107</f>
        <v>Certif. Reservist</v>
      </c>
      <c r="R10" s="23"/>
      <c r="S10" s="23"/>
      <c r="T10" s="23"/>
      <c r="U10" s="23"/>
      <c r="V10" s="24"/>
      <c r="W10" s="24"/>
      <c r="X10" s="24"/>
      <c r="Y10" s="24"/>
      <c r="Z10" s="24"/>
      <c r="AA10" s="24"/>
      <c r="AB10" s="24"/>
      <c r="AC10" s="24"/>
      <c r="AD10" s="24"/>
      <c r="AE10" s="24"/>
      <c r="AF10" s="36"/>
      <c r="AH10" s="19"/>
    </row>
    <row r="11" spans="2:34" ht="20.25">
      <c r="B11" s="22" t="str">
        <f ca="1">'GPlan-Translations'!C108</f>
        <v>License</v>
      </c>
      <c r="C11" s="23"/>
      <c r="D11" s="23"/>
      <c r="E11" s="24"/>
      <c r="F11" s="24"/>
      <c r="G11" s="24"/>
      <c r="H11" s="24"/>
      <c r="I11" s="24"/>
      <c r="J11" s="24"/>
      <c r="K11" s="24"/>
      <c r="L11" s="24"/>
      <c r="M11" s="25"/>
      <c r="N11" s="24"/>
      <c r="O11" s="24"/>
      <c r="P11" s="24"/>
      <c r="Q11" s="23" t="str">
        <f ca="1">'GPlan-Translations'!C109</f>
        <v>Vcto. Ex Health</v>
      </c>
      <c r="R11" s="23"/>
      <c r="S11" s="23"/>
      <c r="T11" s="23"/>
      <c r="U11" s="23"/>
      <c r="V11" s="23"/>
      <c r="W11" s="23"/>
      <c r="X11" s="602"/>
      <c r="Y11" s="603"/>
      <c r="Z11" s="37" t="s">
        <v>721</v>
      </c>
      <c r="AA11" s="602"/>
      <c r="AB11" s="603"/>
      <c r="AC11" s="37" t="s">
        <v>721</v>
      </c>
      <c r="AD11" s="604"/>
      <c r="AE11" s="604"/>
      <c r="AF11" s="605"/>
      <c r="AH11" s="19"/>
    </row>
    <row r="12" spans="2:34" ht="20.25">
      <c r="B12" s="22" t="str">
        <f ca="1">'GPlan-Translations'!C110</f>
        <v>Vehicle</v>
      </c>
      <c r="C12" s="23"/>
      <c r="D12" s="23"/>
      <c r="E12" s="24"/>
      <c r="F12" s="24"/>
      <c r="G12" s="24"/>
      <c r="H12" s="24"/>
      <c r="I12" s="24"/>
      <c r="J12" s="24"/>
      <c r="K12" s="24"/>
      <c r="L12" s="24"/>
      <c r="M12" s="25"/>
      <c r="N12" s="25"/>
      <c r="O12" s="25"/>
      <c r="P12" s="25"/>
      <c r="Q12" s="25"/>
      <c r="R12" s="25"/>
      <c r="S12" s="25"/>
      <c r="T12" s="25"/>
      <c r="U12" s="25"/>
      <c r="V12" s="25"/>
      <c r="W12" s="25"/>
      <c r="X12" s="28" t="str">
        <f ca="1">'GPlan-Translations'!C111</f>
        <v>Board</v>
      </c>
      <c r="Y12" s="28"/>
      <c r="Z12" s="24"/>
      <c r="AA12" s="24"/>
      <c r="AB12" s="24"/>
      <c r="AC12" s="24"/>
      <c r="AD12" s="24"/>
      <c r="AE12" s="24"/>
      <c r="AF12" s="36"/>
      <c r="AH12" s="19"/>
    </row>
    <row r="13" spans="2:34" ht="20.25">
      <c r="B13" s="38" t="str">
        <f ca="1">'GPlan-Translations'!C112</f>
        <v>Chassis No.</v>
      </c>
      <c r="C13" s="39"/>
      <c r="D13" s="39"/>
      <c r="E13" s="40"/>
      <c r="F13" s="40"/>
      <c r="G13" s="40"/>
      <c r="H13" s="40"/>
      <c r="I13" s="40"/>
      <c r="J13" s="40"/>
      <c r="K13" s="40"/>
      <c r="L13" s="40"/>
      <c r="M13" s="41"/>
      <c r="N13" s="41"/>
      <c r="O13" s="41"/>
      <c r="P13" s="41"/>
      <c r="Q13" s="23" t="str">
        <f ca="1">'GPlan-Translations'!C113</f>
        <v>Code Renavam</v>
      </c>
      <c r="R13" s="39"/>
      <c r="S13" s="39"/>
      <c r="T13" s="39"/>
      <c r="U13" s="39"/>
      <c r="V13" s="40"/>
      <c r="W13" s="40"/>
      <c r="X13" s="40"/>
      <c r="Y13" s="40"/>
      <c r="Z13" s="40"/>
      <c r="AA13" s="40"/>
      <c r="AB13" s="40"/>
      <c r="AC13" s="40"/>
      <c r="AD13" s="40"/>
      <c r="AE13" s="40"/>
      <c r="AF13" s="42"/>
      <c r="AH13" s="19"/>
    </row>
    <row r="14" spans="2:34" ht="20.25">
      <c r="B14" s="22" t="str">
        <f ca="1">'GPlan-Translations'!C114</f>
        <v>Insurance Co.</v>
      </c>
      <c r="C14" s="23"/>
      <c r="D14" s="23"/>
      <c r="E14" s="24"/>
      <c r="F14" s="24"/>
      <c r="G14" s="24"/>
      <c r="H14" s="24"/>
      <c r="I14" s="24"/>
      <c r="J14" s="24"/>
      <c r="K14" s="24"/>
      <c r="L14" s="24"/>
      <c r="M14" s="25"/>
      <c r="N14" s="24"/>
      <c r="O14" s="24"/>
      <c r="P14" s="24"/>
      <c r="Q14" s="28" t="str">
        <f ca="1">'GPlan-Translations'!C115</f>
        <v>Vcto. Insurance Obr.</v>
      </c>
      <c r="R14" s="29"/>
      <c r="S14" s="29"/>
      <c r="T14" s="29"/>
      <c r="U14" s="29"/>
      <c r="V14" s="29"/>
      <c r="W14" s="29"/>
      <c r="X14" s="602"/>
      <c r="Y14" s="603"/>
      <c r="Z14" s="37" t="s">
        <v>721</v>
      </c>
      <c r="AA14" s="602"/>
      <c r="AB14" s="603"/>
      <c r="AC14" s="37" t="s">
        <v>721</v>
      </c>
      <c r="AD14" s="604"/>
      <c r="AE14" s="604"/>
      <c r="AF14" s="605"/>
      <c r="AH14" s="19"/>
    </row>
    <row r="15" spans="2:34" ht="19.5">
      <c r="B15" s="43"/>
      <c r="C15" s="43"/>
      <c r="D15" s="43"/>
      <c r="E15" s="43"/>
      <c r="F15" s="43"/>
      <c r="G15" s="43"/>
      <c r="H15" s="43"/>
      <c r="I15" s="43"/>
      <c r="J15" s="43"/>
      <c r="K15" s="43"/>
      <c r="L15" s="43"/>
      <c r="M15" s="43"/>
      <c r="N15" s="18"/>
      <c r="O15" s="18"/>
      <c r="P15" s="18"/>
      <c r="X15" s="44"/>
      <c r="Y15" s="44"/>
      <c r="Z15" s="44"/>
      <c r="AA15" s="44"/>
      <c r="AB15" s="44"/>
      <c r="AC15" s="44"/>
      <c r="AD15" s="18"/>
      <c r="AE15" s="18"/>
      <c r="AH15" s="45"/>
    </row>
    <row r="16" spans="2:34" ht="20.25">
      <c r="B16" s="46" t="str">
        <f ca="1">'GPlan-Translations'!C89</f>
        <v>COMMERCIAL DATA</v>
      </c>
      <c r="C16" s="47"/>
      <c r="D16" s="47"/>
      <c r="E16" s="47"/>
      <c r="F16" s="47"/>
      <c r="G16" s="47"/>
      <c r="H16" s="47"/>
      <c r="I16" s="47"/>
      <c r="J16" s="47"/>
      <c r="K16" s="47"/>
      <c r="L16" s="47"/>
      <c r="M16" s="48"/>
      <c r="N16" s="47"/>
      <c r="O16" s="47"/>
      <c r="P16" s="47"/>
      <c r="Q16" s="48"/>
      <c r="R16" s="48"/>
      <c r="S16" s="48"/>
      <c r="T16" s="48"/>
      <c r="U16" s="48"/>
      <c r="V16" s="48"/>
      <c r="W16" s="48"/>
      <c r="X16" s="48"/>
      <c r="Y16" s="48"/>
      <c r="Z16" s="48"/>
      <c r="AA16" s="48"/>
      <c r="AB16" s="48"/>
      <c r="AC16" s="48"/>
      <c r="AD16" s="47"/>
      <c r="AE16" s="20"/>
      <c r="AH16" s="19"/>
    </row>
    <row r="17" spans="2:34" ht="20.25">
      <c r="B17" s="22" t="str">
        <f ca="1">'GPlan-Translations'!C116</f>
        <v>Name</v>
      </c>
      <c r="C17" s="23"/>
      <c r="D17" s="24"/>
      <c r="E17" s="24"/>
      <c r="F17" s="24"/>
      <c r="G17" s="24"/>
      <c r="H17" s="24"/>
      <c r="I17" s="24"/>
      <c r="J17" s="24"/>
      <c r="K17" s="24"/>
      <c r="L17" s="24"/>
      <c r="M17" s="25"/>
      <c r="N17" s="24"/>
      <c r="O17" s="24"/>
      <c r="P17" s="24"/>
      <c r="Q17" s="25"/>
      <c r="R17" s="25"/>
      <c r="S17" s="25"/>
      <c r="T17" s="25"/>
      <c r="U17" s="25"/>
      <c r="V17" s="25"/>
      <c r="W17" s="25"/>
      <c r="X17" s="25"/>
      <c r="Y17" s="25"/>
      <c r="Z17" s="25"/>
      <c r="AA17" s="25"/>
      <c r="AB17" s="25"/>
      <c r="AC17" s="25"/>
      <c r="AD17" s="24"/>
      <c r="AE17" s="24"/>
      <c r="AF17" s="26"/>
      <c r="AH17" s="19"/>
    </row>
    <row r="18" spans="2:34" ht="20.25">
      <c r="B18" s="22" t="str">
        <f ca="1">'GPlan-Translations'!C117</f>
        <v>Address</v>
      </c>
      <c r="C18" s="23"/>
      <c r="D18" s="24"/>
      <c r="E18" s="24"/>
      <c r="F18" s="24"/>
      <c r="G18" s="24"/>
      <c r="H18" s="24"/>
      <c r="I18" s="24"/>
      <c r="J18" s="24"/>
      <c r="K18" s="24"/>
      <c r="L18" s="24"/>
      <c r="M18" s="25"/>
      <c r="N18" s="24"/>
      <c r="O18" s="24"/>
      <c r="P18" s="24"/>
      <c r="Q18" s="25"/>
      <c r="R18" s="25"/>
      <c r="S18" s="25"/>
      <c r="T18" s="25"/>
      <c r="U18" s="25"/>
      <c r="V18" s="25"/>
      <c r="W18" s="25"/>
      <c r="X18" s="25"/>
      <c r="Y18" s="25"/>
      <c r="Z18" s="25"/>
      <c r="AA18" s="25"/>
      <c r="AB18" s="25"/>
      <c r="AC18" s="25"/>
      <c r="AD18" s="24"/>
      <c r="AE18" s="24"/>
      <c r="AF18" s="26"/>
      <c r="AH18" s="19"/>
    </row>
    <row r="19" spans="2:34" ht="20.25">
      <c r="B19" s="22" t="str">
        <f ca="1">'GPlan-Translations'!C118</f>
        <v>City</v>
      </c>
      <c r="C19" s="23"/>
      <c r="D19" s="24"/>
      <c r="E19" s="24"/>
      <c r="F19" s="24"/>
      <c r="G19" s="24"/>
      <c r="H19" s="24"/>
      <c r="I19" s="24"/>
      <c r="J19" s="24"/>
      <c r="K19" s="24"/>
      <c r="L19" s="24"/>
      <c r="M19" s="25"/>
      <c r="N19" s="27"/>
      <c r="O19" s="27"/>
      <c r="P19" s="24"/>
      <c r="Q19" s="28" t="str">
        <f ca="1">'GPlan-Translations'!C119</f>
        <v>Zip code</v>
      </c>
      <c r="R19" s="29"/>
      <c r="S19" s="30"/>
      <c r="T19" s="30"/>
      <c r="U19" s="30"/>
      <c r="V19" s="30"/>
      <c r="W19" s="27"/>
      <c r="X19" s="28" t="str">
        <f ca="1">'GPlan-Translations'!C120</f>
        <v>State</v>
      </c>
      <c r="Y19" s="29"/>
      <c r="Z19" s="30"/>
      <c r="AA19" s="30"/>
      <c r="AB19" s="30"/>
      <c r="AC19" s="30"/>
      <c r="AD19" s="30"/>
      <c r="AE19" s="30"/>
      <c r="AF19" s="26"/>
      <c r="AH19" s="19"/>
    </row>
    <row r="20" spans="2:34" ht="20.25">
      <c r="B20" s="22" t="str">
        <f ca="1">'GPlan-Translations'!C121</f>
        <v>Phone</v>
      </c>
      <c r="C20" s="24"/>
      <c r="D20" s="24"/>
      <c r="E20" s="24"/>
      <c r="F20" s="24"/>
      <c r="G20" s="24"/>
      <c r="H20" s="24"/>
      <c r="I20" s="24"/>
      <c r="J20" s="24"/>
      <c r="K20" s="24"/>
      <c r="L20" s="24"/>
      <c r="M20" s="25"/>
      <c r="N20" s="24"/>
      <c r="O20" s="24"/>
      <c r="P20" s="24"/>
      <c r="Q20" s="28" t="str">
        <f ca="1">'GPlan-Translations'!C122</f>
        <v>Fax</v>
      </c>
      <c r="R20" s="30"/>
      <c r="S20" s="30"/>
      <c r="T20" s="30"/>
      <c r="U20" s="30"/>
      <c r="V20" s="30"/>
      <c r="W20" s="30"/>
      <c r="X20" s="25"/>
      <c r="Y20" s="25"/>
      <c r="Z20" s="25"/>
      <c r="AA20" s="25"/>
      <c r="AB20" s="25"/>
      <c r="AC20" s="25"/>
      <c r="AD20" s="24"/>
      <c r="AE20" s="24"/>
      <c r="AF20" s="26"/>
      <c r="AH20" s="19"/>
    </row>
    <row r="21" spans="2:34" ht="20.25">
      <c r="B21" s="22" t="str">
        <f ca="1">'GPlan-Translations'!C123</f>
        <v>E-mail 1</v>
      </c>
      <c r="C21" s="23"/>
      <c r="D21" s="24"/>
      <c r="E21" s="24"/>
      <c r="F21" s="24"/>
      <c r="G21" s="24"/>
      <c r="H21" s="24"/>
      <c r="I21" s="24"/>
      <c r="J21" s="24"/>
      <c r="K21" s="24"/>
      <c r="L21" s="24"/>
      <c r="M21" s="25"/>
      <c r="N21" s="25"/>
      <c r="O21" s="25"/>
      <c r="P21" s="24"/>
      <c r="Q21" s="49" t="str">
        <f ca="1">'GPlan-Translations'!C124</f>
        <v>E-mail 2</v>
      </c>
      <c r="R21" s="50"/>
      <c r="S21" s="51"/>
      <c r="T21" s="51"/>
      <c r="U21" s="51"/>
      <c r="V21" s="51"/>
      <c r="W21" s="51"/>
      <c r="X21" s="25"/>
      <c r="Y21" s="25"/>
      <c r="Z21" s="25"/>
      <c r="AA21" s="25"/>
      <c r="AB21" s="25"/>
      <c r="AC21" s="25"/>
      <c r="AD21" s="24"/>
      <c r="AE21" s="24"/>
      <c r="AF21" s="26"/>
      <c r="AH21" s="19"/>
    </row>
    <row r="22" spans="2:34" ht="20.25">
      <c r="B22" s="22" t="str">
        <f ca="1">'GPlan-Translations'!C125</f>
        <v>WebSite</v>
      </c>
      <c r="C22" s="23"/>
      <c r="D22" s="24"/>
      <c r="E22" s="24"/>
      <c r="F22" s="24"/>
      <c r="G22" s="24"/>
      <c r="H22" s="24"/>
      <c r="I22" s="24"/>
      <c r="J22" s="24"/>
      <c r="K22" s="24"/>
      <c r="L22" s="24"/>
      <c r="M22" s="25"/>
      <c r="N22" s="25"/>
      <c r="O22" s="25"/>
      <c r="P22" s="24"/>
      <c r="Q22" s="51"/>
      <c r="R22" s="51"/>
      <c r="S22" s="51"/>
      <c r="T22" s="51"/>
      <c r="U22" s="51"/>
      <c r="V22" s="51"/>
      <c r="W22" s="51"/>
      <c r="X22" s="25"/>
      <c r="Y22" s="25"/>
      <c r="Z22" s="25"/>
      <c r="AA22" s="25"/>
      <c r="AB22" s="25"/>
      <c r="AC22" s="25"/>
      <c r="AD22" s="24"/>
      <c r="AE22" s="24"/>
      <c r="AF22" s="26"/>
      <c r="AH22" s="19"/>
    </row>
    <row r="23" spans="2:34" ht="20.25">
      <c r="B23" s="22" t="str">
        <f ca="1">'GPlan-Translations'!C126</f>
        <v>N.I.</v>
      </c>
      <c r="C23" s="24"/>
      <c r="D23" s="24"/>
      <c r="E23" s="24"/>
      <c r="F23" s="24"/>
      <c r="G23" s="24"/>
      <c r="H23" s="24"/>
      <c r="I23" s="24"/>
      <c r="J23" s="24"/>
      <c r="K23" s="24"/>
      <c r="L23" s="24"/>
      <c r="M23" s="25"/>
      <c r="N23" s="28" t="str">
        <f ca="1">'GPlan-Translations'!C127</f>
        <v>E.I.</v>
      </c>
      <c r="O23" s="30"/>
      <c r="P23" s="24"/>
      <c r="Q23" s="25"/>
      <c r="R23" s="25"/>
      <c r="S23" s="25"/>
      <c r="T23" s="25"/>
      <c r="U23" s="25"/>
      <c r="V23" s="25"/>
      <c r="W23" s="25"/>
      <c r="X23" s="23" t="str">
        <f ca="1">'GPlan-Translations'!C128</f>
        <v>C.I</v>
      </c>
      <c r="Y23" s="24"/>
      <c r="Z23" s="24"/>
      <c r="AA23" s="24"/>
      <c r="AB23" s="24"/>
      <c r="AC23" s="24"/>
      <c r="AD23" s="24"/>
      <c r="AE23" s="24"/>
      <c r="AF23" s="26"/>
      <c r="AH23" s="19"/>
    </row>
    <row r="24" spans="2:34" ht="19.5">
      <c r="B24" s="20"/>
      <c r="C24" s="20"/>
      <c r="D24" s="20"/>
      <c r="E24" s="20"/>
      <c r="F24" s="20"/>
      <c r="G24" s="20"/>
      <c r="H24" s="20"/>
      <c r="I24" s="20"/>
      <c r="J24" s="20"/>
      <c r="K24" s="20"/>
      <c r="L24" s="20"/>
      <c r="M24" s="21"/>
      <c r="N24" s="20"/>
      <c r="O24" s="20"/>
      <c r="P24" s="20"/>
      <c r="Q24" s="21"/>
      <c r="R24" s="21"/>
      <c r="S24" s="21"/>
      <c r="T24" s="21"/>
      <c r="U24" s="21"/>
      <c r="V24" s="21"/>
      <c r="W24" s="21"/>
      <c r="X24" s="44"/>
      <c r="Y24" s="44"/>
      <c r="Z24" s="44"/>
      <c r="AA24" s="44"/>
      <c r="AB24" s="44"/>
      <c r="AC24" s="44"/>
      <c r="AD24" s="20"/>
      <c r="AE24" s="20"/>
      <c r="AH24" s="45"/>
    </row>
    <row r="25" spans="2:34" ht="20.25">
      <c r="B25" s="46" t="str">
        <f ca="1">'GPlan-Translations'!C90</f>
        <v>EMERGENCY</v>
      </c>
      <c r="C25" s="47"/>
      <c r="D25" s="47"/>
      <c r="E25" s="47"/>
      <c r="F25" s="47"/>
      <c r="G25" s="47"/>
      <c r="H25" s="47"/>
      <c r="I25" s="47"/>
      <c r="J25" s="47"/>
      <c r="K25" s="47"/>
      <c r="L25" s="47"/>
      <c r="M25" s="48"/>
      <c r="N25" s="47"/>
      <c r="O25" s="47"/>
      <c r="P25" s="47"/>
      <c r="Q25" s="48"/>
      <c r="R25" s="48"/>
      <c r="S25" s="48"/>
      <c r="T25" s="48"/>
      <c r="U25" s="48"/>
      <c r="V25" s="48"/>
      <c r="W25" s="48"/>
      <c r="X25" s="48"/>
      <c r="Y25" s="48"/>
      <c r="Z25" s="48"/>
      <c r="AA25" s="48"/>
      <c r="AB25" s="48"/>
      <c r="AC25" s="48"/>
      <c r="AD25" s="47"/>
      <c r="AE25" s="20"/>
      <c r="AH25" s="19"/>
    </row>
    <row r="26" spans="2:34" ht="20.25">
      <c r="B26" s="22" t="str">
        <f ca="1">'GPlan-Translations'!C129</f>
        <v>Blood Group</v>
      </c>
      <c r="C26" s="23"/>
      <c r="D26" s="24"/>
      <c r="E26" s="24"/>
      <c r="F26" s="24"/>
      <c r="G26" s="24"/>
      <c r="H26" s="24"/>
      <c r="I26" s="24"/>
      <c r="J26" s="24"/>
      <c r="K26" s="24"/>
      <c r="L26" s="24"/>
      <c r="M26" s="25"/>
      <c r="N26" s="24"/>
      <c r="O26" s="24"/>
      <c r="P26" s="24"/>
      <c r="Q26" s="23" t="str">
        <f ca="1">'GPlan-Translations'!C130</f>
        <v>RH Type</v>
      </c>
      <c r="R26" s="23"/>
      <c r="S26" s="24"/>
      <c r="T26" s="24"/>
      <c r="U26" s="24"/>
      <c r="V26" s="24"/>
      <c r="W26" s="24"/>
      <c r="X26" s="25"/>
      <c r="Y26" s="25"/>
      <c r="Z26" s="25"/>
      <c r="AA26" s="25"/>
      <c r="AB26" s="25"/>
      <c r="AC26" s="25"/>
      <c r="AD26" s="24"/>
      <c r="AE26" s="24"/>
      <c r="AF26" s="26"/>
      <c r="AH26" s="19"/>
    </row>
    <row r="27" spans="2:34" ht="20.25">
      <c r="B27" s="22" t="str">
        <f ca="1">'GPlan-Translations'!C131</f>
        <v>Doctor</v>
      </c>
      <c r="C27" s="24"/>
      <c r="D27" s="24"/>
      <c r="E27" s="24"/>
      <c r="F27" s="24"/>
      <c r="G27" s="24"/>
      <c r="H27" s="24"/>
      <c r="I27" s="24"/>
      <c r="J27" s="24"/>
      <c r="K27" s="24"/>
      <c r="L27" s="24"/>
      <c r="M27" s="25"/>
      <c r="N27" s="24"/>
      <c r="O27" s="24"/>
      <c r="P27" s="24"/>
      <c r="Q27" s="23" t="str">
        <f ca="1">'GPlan-Translations'!C132</f>
        <v>Mobile</v>
      </c>
      <c r="R27" s="23"/>
      <c r="S27" s="24"/>
      <c r="T27" s="24"/>
      <c r="U27" s="24"/>
      <c r="V27" s="24"/>
      <c r="W27" s="24"/>
      <c r="X27" s="25"/>
      <c r="Y27" s="25"/>
      <c r="Z27" s="25"/>
      <c r="AA27" s="25"/>
      <c r="AB27" s="25"/>
      <c r="AC27" s="25"/>
      <c r="AD27" s="24"/>
      <c r="AE27" s="24"/>
      <c r="AF27" s="26"/>
      <c r="AH27" s="19"/>
    </row>
    <row r="28" spans="2:34" ht="20.25">
      <c r="B28" s="22" t="str">
        <f ca="1">'GPlan-Translations'!C133</f>
        <v>Phone Office</v>
      </c>
      <c r="C28" s="24"/>
      <c r="D28" s="24"/>
      <c r="E28" s="24"/>
      <c r="F28" s="24"/>
      <c r="G28" s="24"/>
      <c r="H28" s="24"/>
      <c r="I28" s="24"/>
      <c r="J28" s="24"/>
      <c r="K28" s="24"/>
      <c r="L28" s="24"/>
      <c r="M28" s="25"/>
      <c r="N28" s="27"/>
      <c r="O28" s="27"/>
      <c r="P28" s="24"/>
      <c r="Q28" s="23" t="str">
        <f ca="1">'GPlan-Translations'!C134</f>
        <v>Phone Residence</v>
      </c>
      <c r="R28" s="24"/>
      <c r="S28" s="24"/>
      <c r="T28" s="24"/>
      <c r="U28" s="24"/>
      <c r="V28" s="24"/>
      <c r="W28" s="24"/>
      <c r="X28" s="25"/>
      <c r="Y28" s="25"/>
      <c r="Z28" s="25"/>
      <c r="AA28" s="25"/>
      <c r="AB28" s="25"/>
      <c r="AC28" s="25"/>
      <c r="AD28" s="24"/>
      <c r="AE28" s="24"/>
      <c r="AF28" s="26"/>
      <c r="AH28" s="19"/>
    </row>
    <row r="29" spans="2:34" ht="20.25">
      <c r="B29" s="22" t="str">
        <f ca="1">'GPlan-Translations'!C135</f>
        <v>Health Security</v>
      </c>
      <c r="C29" s="24"/>
      <c r="D29" s="24"/>
      <c r="E29" s="24"/>
      <c r="F29" s="24"/>
      <c r="G29" s="24"/>
      <c r="H29" s="24"/>
      <c r="I29" s="24"/>
      <c r="J29" s="24"/>
      <c r="K29" s="24"/>
      <c r="L29" s="24"/>
      <c r="M29" s="25"/>
      <c r="N29" s="24"/>
      <c r="O29" s="24"/>
      <c r="P29" s="24"/>
      <c r="Q29" s="23" t="str">
        <f ca="1">'GPlan-Translations'!C136</f>
        <v>Phone</v>
      </c>
      <c r="R29" s="24"/>
      <c r="S29" s="24"/>
      <c r="T29" s="24"/>
      <c r="U29" s="24"/>
      <c r="V29" s="24"/>
      <c r="W29" s="24"/>
      <c r="X29" s="25"/>
      <c r="Y29" s="25"/>
      <c r="Z29" s="25"/>
      <c r="AA29" s="25"/>
      <c r="AB29" s="25"/>
      <c r="AC29" s="25"/>
      <c r="AD29" s="24"/>
      <c r="AE29" s="24"/>
      <c r="AF29" s="26"/>
      <c r="AH29" s="19"/>
    </row>
    <row r="30" spans="2:34" ht="20.25">
      <c r="B30" s="22" t="str">
        <f ca="1">'GPlan-Translations'!C137</f>
        <v>Hospital</v>
      </c>
      <c r="C30" s="24"/>
      <c r="D30" s="24"/>
      <c r="E30" s="24"/>
      <c r="F30" s="24"/>
      <c r="G30" s="24"/>
      <c r="H30" s="24"/>
      <c r="I30" s="24"/>
      <c r="J30" s="24"/>
      <c r="K30" s="24"/>
      <c r="L30" s="24"/>
      <c r="M30" s="25"/>
      <c r="N30" s="24"/>
      <c r="O30" s="24"/>
      <c r="P30" s="24"/>
      <c r="Q30" s="24"/>
      <c r="R30" s="24"/>
      <c r="S30" s="24"/>
      <c r="T30" s="24"/>
      <c r="U30" s="24"/>
      <c r="V30" s="24"/>
      <c r="W30" s="24"/>
      <c r="X30" s="25"/>
      <c r="Y30" s="25"/>
      <c r="Z30" s="25"/>
      <c r="AA30" s="25"/>
      <c r="AB30" s="25"/>
      <c r="AC30" s="25"/>
      <c r="AD30" s="24"/>
      <c r="AE30" s="24"/>
      <c r="AF30" s="26"/>
      <c r="AH30" s="19"/>
    </row>
    <row r="31" spans="2:34" ht="20.25">
      <c r="B31" s="22" t="str">
        <f ca="1">'GPlan-Translations'!C138</f>
        <v>I'm allergic to</v>
      </c>
      <c r="C31" s="24"/>
      <c r="D31" s="24"/>
      <c r="E31" s="24"/>
      <c r="F31" s="24"/>
      <c r="G31" s="24"/>
      <c r="H31" s="24"/>
      <c r="I31" s="24"/>
      <c r="J31" s="24"/>
      <c r="K31" s="24"/>
      <c r="L31" s="24"/>
      <c r="M31" s="25"/>
      <c r="N31" s="24"/>
      <c r="O31" s="24"/>
      <c r="P31" s="24"/>
      <c r="Q31" s="27"/>
      <c r="R31" s="27"/>
      <c r="S31" s="27"/>
      <c r="T31" s="27"/>
      <c r="U31" s="27"/>
      <c r="V31" s="27"/>
      <c r="W31" s="27"/>
      <c r="X31" s="25"/>
      <c r="Y31" s="25"/>
      <c r="Z31" s="25"/>
      <c r="AA31" s="25"/>
      <c r="AB31" s="25"/>
      <c r="AC31" s="25"/>
      <c r="AD31" s="24"/>
      <c r="AE31" s="24"/>
      <c r="AF31" s="26"/>
      <c r="AH31" s="19"/>
    </row>
    <row r="32" spans="2:34" ht="20.25">
      <c r="B32" s="22" t="str">
        <f ca="1">'GPlan-Translations'!C139</f>
        <v>Vaccination against tetanus:</v>
      </c>
      <c r="C32" s="23"/>
      <c r="D32" s="23"/>
      <c r="E32" s="23"/>
      <c r="F32" s="23"/>
      <c r="G32" s="23"/>
      <c r="H32" s="23"/>
      <c r="I32" s="23"/>
      <c r="J32" s="23"/>
      <c r="K32" s="23"/>
      <c r="L32" s="23"/>
      <c r="M32" s="31"/>
      <c r="N32" s="29" t="s">
        <v>722</v>
      </c>
      <c r="O32" s="602"/>
      <c r="P32" s="23" t="s">
        <v>723</v>
      </c>
      <c r="Q32" s="23" t="str">
        <f ca="1">'GPlan-Translations'!C140</f>
        <v>yes</v>
      </c>
      <c r="R32" s="23"/>
      <c r="S32" s="23"/>
      <c r="T32" s="23"/>
      <c r="U32" s="23"/>
      <c r="V32" s="23"/>
      <c r="W32" s="23"/>
      <c r="X32" s="29" t="s">
        <v>722</v>
      </c>
      <c r="Y32" s="602"/>
      <c r="Z32" s="23" t="s">
        <v>723</v>
      </c>
      <c r="AA32" s="23" t="str">
        <f ca="1">'GPlan-Translations'!C141</f>
        <v>not</v>
      </c>
      <c r="AB32" s="23"/>
      <c r="AC32" s="23"/>
      <c r="AD32" s="23"/>
      <c r="AE32" s="23"/>
      <c r="AF32" s="52"/>
      <c r="AH32" s="19"/>
    </row>
    <row r="33" spans="2:34" ht="20.25">
      <c r="B33" s="22" t="str">
        <f ca="1">'GPlan-Translations'!C142</f>
        <v>I suffer from:</v>
      </c>
      <c r="C33" s="23"/>
      <c r="D33" s="23"/>
      <c r="E33" s="23"/>
      <c r="F33" s="23"/>
      <c r="G33" s="23"/>
      <c r="H33" s="23"/>
      <c r="I33" s="23"/>
      <c r="J33" s="23"/>
      <c r="K33" s="23"/>
      <c r="L33" s="23"/>
      <c r="M33" s="31"/>
      <c r="N33" s="23"/>
      <c r="O33" s="23"/>
      <c r="P33" s="23"/>
      <c r="Q33" s="31"/>
      <c r="R33" s="31"/>
      <c r="S33" s="31"/>
      <c r="T33" s="31"/>
      <c r="U33" s="31"/>
      <c r="V33" s="31"/>
      <c r="W33" s="31"/>
      <c r="X33" s="31"/>
      <c r="Y33" s="31"/>
      <c r="Z33" s="31"/>
      <c r="AA33" s="31"/>
      <c r="AB33" s="31"/>
      <c r="AC33" s="31"/>
      <c r="AD33" s="23"/>
      <c r="AE33" s="23"/>
      <c r="AF33" s="52"/>
      <c r="AH33" s="19"/>
    </row>
    <row r="34" spans="2:34" ht="20.25">
      <c r="B34" s="53" t="s">
        <v>722</v>
      </c>
      <c r="C34" s="602"/>
      <c r="D34" s="23" t="s">
        <v>723</v>
      </c>
      <c r="E34" s="23" t="str">
        <f ca="1">'GPlan-Translations'!C143</f>
        <v>Heart</v>
      </c>
      <c r="F34" s="23"/>
      <c r="G34" s="23"/>
      <c r="H34" s="23"/>
      <c r="I34" s="23"/>
      <c r="J34" s="23"/>
      <c r="K34" s="20"/>
      <c r="L34" s="20"/>
      <c r="N34" s="29" t="s">
        <v>722</v>
      </c>
      <c r="O34" s="602"/>
      <c r="P34" s="23" t="s">
        <v>723</v>
      </c>
      <c r="Q34" s="23" t="str">
        <f ca="1">'GPlan-Translations'!C144</f>
        <v>Hemophilia</v>
      </c>
      <c r="R34" s="23"/>
      <c r="S34" s="23"/>
      <c r="T34" s="23"/>
      <c r="U34" s="23"/>
      <c r="V34" s="23"/>
      <c r="W34" s="23"/>
      <c r="X34" s="29" t="s">
        <v>722</v>
      </c>
      <c r="Y34" s="602"/>
      <c r="Z34" s="23" t="s">
        <v>723</v>
      </c>
      <c r="AA34" s="23"/>
      <c r="AB34" s="23"/>
      <c r="AC34" s="23"/>
      <c r="AD34" s="23"/>
      <c r="AE34" s="23"/>
      <c r="AF34" s="52"/>
      <c r="AH34" s="19"/>
    </row>
    <row r="35" spans="2:34" ht="20.25">
      <c r="B35" s="53" t="s">
        <v>722</v>
      </c>
      <c r="C35" s="602"/>
      <c r="D35" s="23" t="s">
        <v>723</v>
      </c>
      <c r="E35" s="23" t="str">
        <f ca="1">'GPlan-Translations'!C145</f>
        <v>Epilepsy report</v>
      </c>
      <c r="F35" s="23"/>
      <c r="G35" s="23"/>
      <c r="H35" s="23"/>
      <c r="I35" s="23"/>
      <c r="J35" s="23"/>
      <c r="K35" s="20"/>
      <c r="L35" s="20"/>
      <c r="N35" s="29" t="s">
        <v>722</v>
      </c>
      <c r="O35" s="602"/>
      <c r="P35" s="23" t="s">
        <v>723</v>
      </c>
      <c r="Q35" s="23" t="str">
        <f ca="1">'GPlan-Translations'!C146</f>
        <v>Diabetes</v>
      </c>
      <c r="R35" s="23"/>
      <c r="S35" s="23"/>
      <c r="T35" s="23"/>
      <c r="U35" s="23"/>
      <c r="V35" s="23"/>
      <c r="W35" s="23"/>
      <c r="X35" s="29" t="s">
        <v>722</v>
      </c>
      <c r="Y35" s="602"/>
      <c r="Z35" s="23" t="s">
        <v>723</v>
      </c>
      <c r="AA35" s="23"/>
      <c r="AB35" s="23"/>
      <c r="AC35" s="23"/>
      <c r="AD35" s="23"/>
      <c r="AE35" s="23"/>
      <c r="AF35" s="52"/>
      <c r="AH35" s="19"/>
    </row>
    <row r="36" spans="2:34" ht="20.25">
      <c r="B36" s="22" t="str">
        <f ca="1">'GPlan-Translations'!C147</f>
        <v>In case of emergency notify:</v>
      </c>
      <c r="C36" s="23"/>
      <c r="D36" s="23"/>
      <c r="E36" s="23"/>
      <c r="F36" s="23"/>
      <c r="G36" s="23"/>
      <c r="H36" s="23"/>
      <c r="I36" s="23"/>
      <c r="J36" s="23"/>
      <c r="K36" s="23"/>
      <c r="L36" s="23"/>
      <c r="M36" s="31"/>
      <c r="N36" s="23"/>
      <c r="O36" s="23"/>
      <c r="P36" s="23"/>
      <c r="Q36" s="31"/>
      <c r="R36" s="31"/>
      <c r="S36" s="31"/>
      <c r="T36" s="31"/>
      <c r="U36" s="31"/>
      <c r="V36" s="31"/>
      <c r="W36" s="31"/>
      <c r="X36" s="31"/>
      <c r="Y36" s="31"/>
      <c r="Z36" s="31"/>
      <c r="AA36" s="31"/>
      <c r="AB36" s="31"/>
      <c r="AC36" s="31"/>
      <c r="AD36" s="23"/>
      <c r="AE36" s="23"/>
      <c r="AF36" s="52"/>
      <c r="AH36" s="19"/>
    </row>
    <row r="37" spans="2:34" ht="20.25">
      <c r="B37" s="22" t="str">
        <f ca="1">'GPlan-Translations'!C148</f>
        <v>Name:</v>
      </c>
      <c r="C37" s="23"/>
      <c r="D37" s="24"/>
      <c r="E37" s="24"/>
      <c r="F37" s="24"/>
      <c r="G37" s="24"/>
      <c r="H37" s="24"/>
      <c r="I37" s="24"/>
      <c r="J37" s="24"/>
      <c r="K37" s="24"/>
      <c r="L37" s="24"/>
      <c r="M37" s="24"/>
      <c r="N37" s="24"/>
      <c r="O37" s="24"/>
      <c r="P37" s="24"/>
      <c r="Q37" s="23" t="str">
        <f ca="1">'GPlan-Translations'!C149</f>
        <v>Phone:</v>
      </c>
      <c r="R37" s="23"/>
      <c r="S37" s="24"/>
      <c r="T37" s="24"/>
      <c r="U37" s="24"/>
      <c r="V37" s="24"/>
      <c r="W37" s="24"/>
      <c r="X37" s="24"/>
      <c r="Y37" s="24"/>
      <c r="Z37" s="24"/>
      <c r="AA37" s="24"/>
      <c r="AB37" s="24"/>
      <c r="AC37" s="24"/>
      <c r="AD37" s="54"/>
      <c r="AE37" s="54"/>
      <c r="AF37" s="26"/>
      <c r="AH37" s="19"/>
    </row>
    <row r="38" spans="2:34" ht="20.25">
      <c r="B38" s="22" t="str">
        <f ca="1">'GPlan-Translations'!C150</f>
        <v>Name:</v>
      </c>
      <c r="C38" s="23"/>
      <c r="D38" s="24"/>
      <c r="E38" s="24"/>
      <c r="F38" s="24"/>
      <c r="G38" s="24"/>
      <c r="H38" s="24"/>
      <c r="I38" s="24"/>
      <c r="J38" s="24"/>
      <c r="K38" s="24"/>
      <c r="L38" s="24"/>
      <c r="M38" s="24"/>
      <c r="N38" s="24"/>
      <c r="O38" s="24"/>
      <c r="P38" s="24"/>
      <c r="Q38" s="23" t="str">
        <f ca="1">'GPlan-Translations'!C151</f>
        <v>Phone:</v>
      </c>
      <c r="R38" s="23"/>
      <c r="S38" s="24"/>
      <c r="T38" s="24"/>
      <c r="U38" s="24"/>
      <c r="V38" s="24"/>
      <c r="W38" s="24"/>
      <c r="X38" s="24"/>
      <c r="Y38" s="24"/>
      <c r="Z38" s="24"/>
      <c r="AA38" s="24"/>
      <c r="AB38" s="24"/>
      <c r="AC38" s="24"/>
      <c r="AD38" s="55"/>
      <c r="AE38" s="55"/>
      <c r="AF38" s="56"/>
      <c r="AH38" s="19"/>
    </row>
    <row r="39" spans="2:34">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57"/>
      <c r="AE39" s="57"/>
      <c r="AF39" s="57"/>
    </row>
    <row r="40" spans="2:34" hidden="1"/>
    <row r="41" spans="2:34" hidden="1"/>
    <row r="42" spans="2:34" ht="12.75" hidden="1" customHeight="1"/>
  </sheetData>
  <sheetProtection sheet="1" objects="1" scenarios="1"/>
  <pageMargins left="0.19685039370078741" right="0.19685039370078741" top="0.19685039370078741" bottom="0.19685039370078741" header="0.11811023622047245" footer="0.11811023622047245"/>
  <pageSetup paperSize="9" pageOrder="overThenDown"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wksHolidays">
    <pageSetUpPr fitToPage="1"/>
  </sheetPr>
  <dimension ref="A1:AF54"/>
  <sheetViews>
    <sheetView showGridLines="0" showRowColHeaders="0" workbookViewId="0"/>
  </sheetViews>
  <sheetFormatPr defaultColWidth="0" defaultRowHeight="0" customHeight="1" zeroHeight="1"/>
  <cols>
    <col min="1" max="1" width="2.85546875" style="61" customWidth="1"/>
    <col min="2" max="2" width="6.42578125" style="61" customWidth="1"/>
    <col min="3" max="3" width="9.140625" style="61" customWidth="1"/>
    <col min="4" max="4" width="14.85546875" style="61" customWidth="1"/>
    <col min="5" max="5" width="57.5703125" style="61" customWidth="1"/>
    <col min="6" max="6" width="14.140625" style="61" customWidth="1"/>
    <col min="7" max="7" width="12.28515625" style="61" bestFit="1" customWidth="1"/>
    <col min="8" max="8" width="2.85546875" style="61" customWidth="1"/>
    <col min="9" max="9" width="4.28515625" style="61" hidden="1" customWidth="1"/>
    <col min="10" max="12" width="10.7109375" hidden="1" customWidth="1"/>
    <col min="13" max="13" width="4.28515625" style="7" hidden="1" customWidth="1"/>
    <col min="14" max="14" width="3.5703125" style="7" hidden="1" customWidth="1"/>
    <col min="15" max="17" width="10.140625" style="7" hidden="1" customWidth="1"/>
    <col min="18" max="24" width="10.28515625" style="7" hidden="1" customWidth="1"/>
    <col min="25" max="26" width="9.140625" style="7" hidden="1" customWidth="1"/>
    <col min="27" max="27" width="10.28515625" style="7" hidden="1" customWidth="1"/>
    <col min="28" max="29" width="9.140625" style="7" hidden="1" customWidth="1"/>
    <col min="30" max="30" width="10.140625" style="7" hidden="1" customWidth="1"/>
    <col min="31" max="16384" width="9.140625" style="7" hidden="1"/>
  </cols>
  <sheetData>
    <row r="1" spans="2:32" ht="19.5">
      <c r="C1" s="59"/>
      <c r="D1" s="58" t="str">
        <f ca="1">'GPlan-Translations'!C154</f>
        <v>HOLYDAYS, CELEBRATIONS AND BIRTHDAYS</v>
      </c>
      <c r="E1" s="60"/>
      <c r="F1" s="58"/>
      <c r="G1" s="58">
        <f>Calendar!U1</f>
        <v>2020</v>
      </c>
      <c r="H1" s="59"/>
      <c r="J1" s="355">
        <f>$G1-1</f>
        <v>2019</v>
      </c>
      <c r="K1" s="355">
        <f>$G1+1</f>
        <v>2021</v>
      </c>
      <c r="L1" s="355">
        <f>$G1+2</f>
        <v>2022</v>
      </c>
      <c r="O1" s="11" t="s">
        <v>724</v>
      </c>
      <c r="P1" s="62">
        <f>O10</f>
        <v>2019</v>
      </c>
      <c r="S1" s="11" t="s">
        <v>725</v>
      </c>
      <c r="T1" s="63">
        <f ca="1">COUNTIF(D:D,"&gt;0")*4</f>
        <v>120</v>
      </c>
      <c r="V1" s="7" t="str">
        <f ca="1">'GPlan-Translations'!C160</f>
        <v>AUXILIAR WEEKDAY</v>
      </c>
    </row>
    <row r="2" spans="2:32" ht="18">
      <c r="B2" s="64" t="str">
        <f ca="1">'GPlan-Translations'!C161</f>
        <v>Day</v>
      </c>
      <c r="C2" s="64" t="str">
        <f ca="1">'GPlan-Translations'!C162</f>
        <v>Month</v>
      </c>
      <c r="D2" s="64" t="str">
        <f ca="1">'GPlan-Translations'!C163</f>
        <v>Date</v>
      </c>
      <c r="E2" s="64" t="str">
        <f ca="1">'GPlan-Translations'!C164</f>
        <v>Name</v>
      </c>
      <c r="F2" s="65" t="str">
        <f ca="1">'GPlan-Translations'!C165</f>
        <v>Week Day</v>
      </c>
      <c r="G2" s="65" t="str">
        <f ca="1">'GPlan-Translations'!C166</f>
        <v>Type</v>
      </c>
      <c r="H2" s="191" t="s">
        <v>48</v>
      </c>
      <c r="I2" s="354" t="s">
        <v>853</v>
      </c>
      <c r="J2" s="354" t="s">
        <v>890</v>
      </c>
      <c r="K2" s="354" t="s">
        <v>891</v>
      </c>
      <c r="L2" s="354" t="s">
        <v>892</v>
      </c>
      <c r="O2" s="11" t="s">
        <v>726</v>
      </c>
      <c r="P2" s="66">
        <f>P10</f>
        <v>2020</v>
      </c>
      <c r="S2" s="11" t="s">
        <v>727</v>
      </c>
      <c r="T2" s="62">
        <f>ROW(D3)</f>
        <v>3</v>
      </c>
      <c r="V2" s="67" t="str">
        <f ca="1">'GPlan-Translations'!C169</f>
        <v>Sunday</v>
      </c>
      <c r="W2" s="68" t="s">
        <v>539</v>
      </c>
      <c r="X2" s="69">
        <v>1</v>
      </c>
      <c r="Z2" s="12" t="str">
        <f ca="1">'GPlan-Translations'!C167</f>
        <v>Holyday</v>
      </c>
      <c r="AA2" s="12">
        <v>-9</v>
      </c>
      <c r="AB2" s="12" t="str">
        <f ca="1">X2 &amp; "-" &amp; Z2</f>
        <v>1-Holyday</v>
      </c>
      <c r="AD2" s="70">
        <v>7</v>
      </c>
      <c r="AE2" s="68" t="s">
        <v>728</v>
      </c>
      <c r="AF2" s="69" t="str">
        <f ca="1">'GPlan-Translations'!C169</f>
        <v>Sunday</v>
      </c>
    </row>
    <row r="3" spans="2:32" ht="18">
      <c r="B3" s="71"/>
      <c r="C3" s="72"/>
      <c r="D3" s="71" t="str">
        <f ca="1">'GPlan-Translations'!C156</f>
        <v>FIXED</v>
      </c>
      <c r="E3" s="72"/>
      <c r="F3" s="72"/>
      <c r="G3" s="73"/>
      <c r="H3" s="59"/>
      <c r="O3" s="11" t="s">
        <v>729</v>
      </c>
      <c r="P3" s="66">
        <f>Q10</f>
        <v>2021</v>
      </c>
      <c r="S3" s="7" t="s">
        <v>730</v>
      </c>
      <c r="T3" s="66">
        <f>ROW(D28)</f>
        <v>28</v>
      </c>
      <c r="V3" s="74" t="str">
        <f ca="1">'GPlan-Translations'!C170</f>
        <v>Monday</v>
      </c>
      <c r="W3" s="7" t="s">
        <v>540</v>
      </c>
      <c r="X3" s="75">
        <v>2</v>
      </c>
      <c r="Z3" s="12" t="str">
        <f ca="1">'GPlan-Translations'!C168</f>
        <v>Event</v>
      </c>
      <c r="AA3" s="12">
        <v>9</v>
      </c>
      <c r="AB3" s="12" t="str">
        <f ca="1">X3 &amp; "-" &amp; Z3</f>
        <v>2-Event</v>
      </c>
      <c r="AD3" s="77">
        <v>1</v>
      </c>
      <c r="AE3" s="7" t="s">
        <v>731</v>
      </c>
      <c r="AF3" s="75" t="str">
        <f ca="1">'GPlan-Translations'!C170</f>
        <v>Monday</v>
      </c>
    </row>
    <row r="4" spans="2:32" ht="18">
      <c r="B4" s="78">
        <v>1</v>
      </c>
      <c r="C4" s="78">
        <v>1</v>
      </c>
      <c r="D4" s="79">
        <f t="shared" ref="D4:D27" si="0">IF(OR(ISBLANK(B4),ISBLANK(C4)),"",DATE($G$1,C4,B4))</f>
        <v>43831</v>
      </c>
      <c r="E4" s="80" t="s">
        <v>732</v>
      </c>
      <c r="F4" s="81" t="str">
        <f ca="1">IF(D4="","",VLOOKUP(WEEKDAY(D4,2),Holidays!$AD$2:$AF$8,3,FALSE))</f>
        <v>Wednesday</v>
      </c>
      <c r="G4" s="82" t="s">
        <v>535</v>
      </c>
      <c r="H4" s="59"/>
      <c r="I4" s="85" t="str">
        <f t="shared" ref="I4:I35" ca="1" si="1">IFERROR(INDEX($AA$2:$AA$3,MATCH(G4,$Z$2:$Z$3,0)),"")</f>
        <v/>
      </c>
      <c r="J4" s="175">
        <f>IF($D4="","",DATE(J$1,$C4,$B4))</f>
        <v>43466</v>
      </c>
      <c r="K4" s="175">
        <f>IF($D4="","",DATE(K$1,$C4,$B4))</f>
        <v>44197</v>
      </c>
      <c r="L4" s="175">
        <f>IF($D4="","",DATE(L$1,$C4,$B4))</f>
        <v>44562</v>
      </c>
      <c r="N4" s="83"/>
      <c r="O4" s="11" t="s">
        <v>733</v>
      </c>
      <c r="P4" s="84">
        <f>R10</f>
        <v>2022</v>
      </c>
      <c r="S4" s="11" t="s">
        <v>734</v>
      </c>
      <c r="T4" s="66">
        <f>ROW(D42)</f>
        <v>42</v>
      </c>
      <c r="V4" s="74" t="str">
        <f ca="1">'GPlan-Translations'!C171</f>
        <v>Tuesday</v>
      </c>
      <c r="W4" s="7" t="s">
        <v>541</v>
      </c>
      <c r="X4" s="75">
        <v>3</v>
      </c>
      <c r="AD4" s="77">
        <v>2</v>
      </c>
      <c r="AE4" s="7" t="s">
        <v>735</v>
      </c>
      <c r="AF4" s="75" t="str">
        <f ca="1">'GPlan-Translations'!C171</f>
        <v>Tuesday</v>
      </c>
    </row>
    <row r="5" spans="2:32" ht="18">
      <c r="B5" s="78">
        <v>8</v>
      </c>
      <c r="C5" s="78">
        <v>3</v>
      </c>
      <c r="D5" s="79">
        <f t="shared" si="0"/>
        <v>43898</v>
      </c>
      <c r="E5" s="80" t="s">
        <v>736</v>
      </c>
      <c r="F5" s="81" t="str">
        <f ca="1">IF(D5="","",VLOOKUP(WEEKDAY(D5,2),Holidays!$AD$2:$AF$8,3,FALSE))</f>
        <v>Sunday</v>
      </c>
      <c r="G5" s="82" t="s">
        <v>538</v>
      </c>
      <c r="H5" s="59"/>
      <c r="I5" s="85" t="str">
        <f t="shared" ca="1" si="1"/>
        <v/>
      </c>
      <c r="J5" s="175">
        <f t="shared" ref="J5:L27" si="2">IF($D5="","",DATE(J$1,$C5,$B5))</f>
        <v>43532</v>
      </c>
      <c r="K5" s="175">
        <f t="shared" si="2"/>
        <v>44263</v>
      </c>
      <c r="L5" s="175">
        <f t="shared" si="2"/>
        <v>44628</v>
      </c>
      <c r="S5" s="11" t="s">
        <v>737</v>
      </c>
      <c r="T5" s="66">
        <f>ROW(D49)</f>
        <v>49</v>
      </c>
      <c r="V5" s="74" t="str">
        <f ca="1">'GPlan-Translations'!C172</f>
        <v>Wednesday</v>
      </c>
      <c r="W5" s="7" t="s">
        <v>542</v>
      </c>
      <c r="X5" s="75">
        <v>4</v>
      </c>
      <c r="AD5" s="77">
        <v>3</v>
      </c>
      <c r="AE5" s="7" t="s">
        <v>738</v>
      </c>
      <c r="AF5" s="75" t="str">
        <f ca="1">'GPlan-Translations'!C172</f>
        <v>Wednesday</v>
      </c>
    </row>
    <row r="6" spans="2:32" ht="18">
      <c r="B6" s="78">
        <v>18</v>
      </c>
      <c r="C6" s="78">
        <v>4</v>
      </c>
      <c r="D6" s="79">
        <f t="shared" si="0"/>
        <v>43939</v>
      </c>
      <c r="E6" s="80" t="s">
        <v>739</v>
      </c>
      <c r="F6" s="81" t="str">
        <f ca="1">IF(D6="","",VLOOKUP(WEEKDAY(D6,2),Holidays!$AD$2:$AF$8,3,FALSE))</f>
        <v>Saturday</v>
      </c>
      <c r="G6" s="82" t="s">
        <v>538</v>
      </c>
      <c r="H6" s="59"/>
      <c r="I6" s="85" t="str">
        <f t="shared" ca="1" si="1"/>
        <v/>
      </c>
      <c r="J6" s="175">
        <f t="shared" si="2"/>
        <v>43573</v>
      </c>
      <c r="K6" s="175">
        <f t="shared" si="2"/>
        <v>44304</v>
      </c>
      <c r="L6" s="175">
        <f t="shared" si="2"/>
        <v>44669</v>
      </c>
      <c r="M6" s="83"/>
      <c r="N6" s="83"/>
      <c r="S6" s="11" t="s">
        <v>740</v>
      </c>
      <c r="T6" s="84">
        <f>T5+4</f>
        <v>53</v>
      </c>
      <c r="V6" s="74" t="str">
        <f ca="1">'GPlan-Translations'!C173</f>
        <v>Tursday</v>
      </c>
      <c r="W6" s="7" t="s">
        <v>543</v>
      </c>
      <c r="X6" s="75">
        <v>5</v>
      </c>
      <c r="AD6" s="77">
        <v>4</v>
      </c>
      <c r="AE6" s="7" t="s">
        <v>741</v>
      </c>
      <c r="AF6" s="75" t="str">
        <f ca="1">'GPlan-Translations'!C173</f>
        <v>Tursday</v>
      </c>
    </row>
    <row r="7" spans="2:32" ht="18">
      <c r="B7" s="78">
        <v>19</v>
      </c>
      <c r="C7" s="78">
        <v>4</v>
      </c>
      <c r="D7" s="79">
        <f t="shared" si="0"/>
        <v>43940</v>
      </c>
      <c r="E7" s="80" t="s">
        <v>742</v>
      </c>
      <c r="F7" s="81" t="str">
        <f ca="1">IF(D7="","",VLOOKUP(WEEKDAY(D7,2),Holidays!$AD$2:$AF$8,3,FALSE))</f>
        <v>Sunday</v>
      </c>
      <c r="G7" s="82" t="s">
        <v>538</v>
      </c>
      <c r="H7" s="59"/>
      <c r="I7" s="85" t="str">
        <f t="shared" ca="1" si="1"/>
        <v/>
      </c>
      <c r="J7" s="175">
        <f t="shared" si="2"/>
        <v>43574</v>
      </c>
      <c r="K7" s="175">
        <f t="shared" si="2"/>
        <v>44305</v>
      </c>
      <c r="L7" s="175">
        <f t="shared" si="2"/>
        <v>44670</v>
      </c>
      <c r="O7" s="15" t="str">
        <f ca="1">'GPlan-Translations'!C155</f>
        <v>AUXILIARY EASTER</v>
      </c>
      <c r="S7" s="85"/>
      <c r="V7" s="74" t="str">
        <f ca="1">'GPlan-Translations'!C174</f>
        <v>Friday</v>
      </c>
      <c r="W7" s="7" t="s">
        <v>544</v>
      </c>
      <c r="X7" s="75">
        <v>6</v>
      </c>
      <c r="AD7" s="77">
        <v>5</v>
      </c>
      <c r="AE7" s="7" t="s">
        <v>743</v>
      </c>
      <c r="AF7" s="75" t="str">
        <f ca="1">'GPlan-Translations'!C174</f>
        <v>Friday</v>
      </c>
    </row>
    <row r="8" spans="2:32" ht="18">
      <c r="B8" s="78">
        <v>21</v>
      </c>
      <c r="C8" s="78">
        <v>4</v>
      </c>
      <c r="D8" s="79">
        <f t="shared" si="0"/>
        <v>43942</v>
      </c>
      <c r="E8" s="80" t="s">
        <v>744</v>
      </c>
      <c r="F8" s="81" t="str">
        <f ca="1">IF(D8="","",VLOOKUP(WEEKDAY(D8,2),Holidays!$AD$2:$AF$8,3,FALSE))</f>
        <v>Tuesday</v>
      </c>
      <c r="G8" s="82" t="s">
        <v>535</v>
      </c>
      <c r="H8" s="59"/>
      <c r="I8" s="85" t="str">
        <f t="shared" ca="1" si="1"/>
        <v/>
      </c>
      <c r="J8" s="175">
        <f t="shared" si="2"/>
        <v>43576</v>
      </c>
      <c r="K8" s="175">
        <f t="shared" si="2"/>
        <v>44307</v>
      </c>
      <c r="L8" s="175">
        <f t="shared" si="2"/>
        <v>44672</v>
      </c>
      <c r="S8" s="86" t="s">
        <v>745</v>
      </c>
      <c r="T8" s="7" t="s">
        <v>746</v>
      </c>
      <c r="V8" s="87" t="str">
        <f ca="1">'GPlan-Translations'!C175</f>
        <v>Saturday</v>
      </c>
      <c r="W8" s="88" t="s">
        <v>545</v>
      </c>
      <c r="X8" s="76">
        <v>7</v>
      </c>
      <c r="AD8" s="89">
        <v>6</v>
      </c>
      <c r="AE8" s="88" t="s">
        <v>747</v>
      </c>
      <c r="AF8" s="76" t="str">
        <f ca="1">'GPlan-Translations'!C175</f>
        <v>Saturday</v>
      </c>
    </row>
    <row r="9" spans="2:32" ht="18">
      <c r="B9" s="78">
        <v>22</v>
      </c>
      <c r="C9" s="78">
        <v>4</v>
      </c>
      <c r="D9" s="79">
        <f t="shared" si="0"/>
        <v>43943</v>
      </c>
      <c r="E9" s="80" t="s">
        <v>748</v>
      </c>
      <c r="F9" s="81" t="str">
        <f ca="1">IF(D9="","",VLOOKUP(WEEKDAY(D9,2),Holidays!$AD$2:$AF$8,3,FALSE))</f>
        <v>Wednesday</v>
      </c>
      <c r="G9" s="82" t="s">
        <v>538</v>
      </c>
      <c r="H9" s="7"/>
      <c r="I9" s="85" t="str">
        <f t="shared" ca="1" si="1"/>
        <v/>
      </c>
      <c r="J9" s="175">
        <f t="shared" si="2"/>
        <v>43577</v>
      </c>
      <c r="K9" s="175">
        <f t="shared" si="2"/>
        <v>44308</v>
      </c>
      <c r="L9" s="175">
        <f t="shared" si="2"/>
        <v>44673</v>
      </c>
      <c r="O9" s="90" t="s">
        <v>749</v>
      </c>
      <c r="T9" s="11" t="s">
        <v>750</v>
      </c>
      <c r="V9" s="4" t="s">
        <v>751</v>
      </c>
      <c r="Z9" s="7" t="s">
        <v>752</v>
      </c>
      <c r="AF9" s="7" t="s">
        <v>753</v>
      </c>
    </row>
    <row r="10" spans="2:32" ht="18">
      <c r="B10" s="78">
        <v>1</v>
      </c>
      <c r="C10" s="78">
        <v>5</v>
      </c>
      <c r="D10" s="79">
        <f t="shared" si="0"/>
        <v>43952</v>
      </c>
      <c r="E10" s="80" t="s">
        <v>754</v>
      </c>
      <c r="F10" s="81" t="str">
        <f ca="1">IF(D10="","",VLOOKUP(WEEKDAY(D10,2),Holidays!$AD$2:$AF$8,3,FALSE))</f>
        <v>Friday</v>
      </c>
      <c r="G10" s="82" t="s">
        <v>535</v>
      </c>
      <c r="H10" s="59"/>
      <c r="I10" s="85" t="str">
        <f t="shared" ca="1" si="1"/>
        <v/>
      </c>
      <c r="J10" s="175">
        <f t="shared" si="2"/>
        <v>43586</v>
      </c>
      <c r="K10" s="175">
        <f t="shared" si="2"/>
        <v>44317</v>
      </c>
      <c r="L10" s="175">
        <f t="shared" si="2"/>
        <v>44682</v>
      </c>
      <c r="O10" s="91">
        <f>P10-1</f>
        <v>2019</v>
      </c>
      <c r="P10" s="91">
        <f>Year</f>
        <v>2020</v>
      </c>
      <c r="Q10" s="91">
        <f>P10+1</f>
        <v>2021</v>
      </c>
      <c r="R10" s="91">
        <f>P10+2</f>
        <v>2022</v>
      </c>
      <c r="V10" s="4" t="s">
        <v>755</v>
      </c>
      <c r="W10" s="4" t="s">
        <v>756</v>
      </c>
      <c r="X10" s="7" t="s">
        <v>757</v>
      </c>
    </row>
    <row r="11" spans="2:32" ht="18">
      <c r="B11" s="78">
        <v>13</v>
      </c>
      <c r="C11" s="78">
        <v>5</v>
      </c>
      <c r="D11" s="79">
        <f t="shared" si="0"/>
        <v>43964</v>
      </c>
      <c r="E11" s="80" t="s">
        <v>758</v>
      </c>
      <c r="F11" s="81" t="str">
        <f ca="1">IF(D11="","",VLOOKUP(WEEKDAY(D11,2),Holidays!$AD$2:$AF$8,3,FALSE))</f>
        <v>Wednesday</v>
      </c>
      <c r="G11" s="82" t="s">
        <v>538</v>
      </c>
      <c r="H11" s="59"/>
      <c r="I11" s="85" t="str">
        <f t="shared" ca="1" si="1"/>
        <v/>
      </c>
      <c r="J11" s="175">
        <f t="shared" si="2"/>
        <v>43598</v>
      </c>
      <c r="K11" s="175">
        <f t="shared" si="2"/>
        <v>44329</v>
      </c>
      <c r="L11" s="175">
        <f t="shared" si="2"/>
        <v>44694</v>
      </c>
      <c r="O11" s="92">
        <f>O17-47</f>
        <v>43529</v>
      </c>
      <c r="P11" s="93">
        <f>P17-47</f>
        <v>43886</v>
      </c>
      <c r="Q11" s="93">
        <f>Q17-47</f>
        <v>44243</v>
      </c>
      <c r="R11" s="94">
        <f>R17-47</f>
        <v>44621</v>
      </c>
      <c r="S11" s="95" t="str">
        <f ca="1">VLOOKUP(T11,'GPlan-Translations'!$B$180:$C$201,2,FALSE)</f>
        <v>Carnival</v>
      </c>
      <c r="T11" s="68" t="str">
        <f>"fer_" &amp; SUBSTITUTE(V11," ","")</f>
        <v>fer_Carnival</v>
      </c>
      <c r="U11" s="96">
        <v>1</v>
      </c>
      <c r="V11" s="97" t="s">
        <v>579</v>
      </c>
      <c r="W11" s="68" t="s">
        <v>759</v>
      </c>
      <c r="X11" s="68"/>
      <c r="Y11" s="68"/>
      <c r="Z11" s="68"/>
      <c r="AA11" s="68"/>
      <c r="AB11" s="69"/>
    </row>
    <row r="12" spans="2:32" ht="18">
      <c r="B12" s="78">
        <v>12</v>
      </c>
      <c r="C12" s="78">
        <v>6</v>
      </c>
      <c r="D12" s="79">
        <f t="shared" si="0"/>
        <v>43994</v>
      </c>
      <c r="E12" s="80" t="s">
        <v>760</v>
      </c>
      <c r="F12" s="81" t="str">
        <f ca="1">IF(D12="","",VLOOKUP(WEEKDAY(D12,2),Holidays!$AD$2:$AF$8,3,FALSE))</f>
        <v>Friday</v>
      </c>
      <c r="G12" s="82" t="s">
        <v>538</v>
      </c>
      <c r="H12" s="59"/>
      <c r="I12" s="85" t="str">
        <f t="shared" ca="1" si="1"/>
        <v/>
      </c>
      <c r="J12" s="175">
        <f t="shared" si="2"/>
        <v>43628</v>
      </c>
      <c r="K12" s="175">
        <f t="shared" si="2"/>
        <v>44359</v>
      </c>
      <c r="L12" s="175">
        <f t="shared" si="2"/>
        <v>44724</v>
      </c>
      <c r="O12" s="98">
        <f>O17-46</f>
        <v>43530</v>
      </c>
      <c r="P12" s="99">
        <f>P17-46</f>
        <v>43887</v>
      </c>
      <c r="Q12" s="99">
        <f>Q17-46</f>
        <v>44244</v>
      </c>
      <c r="R12" s="100">
        <f>R17-46</f>
        <v>44622</v>
      </c>
      <c r="S12" s="83" t="str">
        <f ca="1">VLOOKUP(T12,'GPlan-Translations'!$B$180:$C$201,2,FALSE)</f>
        <v>Ash Wednesday</v>
      </c>
      <c r="T12" s="7" t="str">
        <f t="shared" ref="T12:T23" si="3">"fer_" &amp; SUBSTITUTE(V12," ","")</f>
        <v>fer_AshWednesday</v>
      </c>
      <c r="U12" s="101">
        <v>2</v>
      </c>
      <c r="V12" s="7" t="s">
        <v>581</v>
      </c>
      <c r="W12" s="15" t="s">
        <v>761</v>
      </c>
      <c r="AB12" s="75"/>
    </row>
    <row r="13" spans="2:32" ht="18">
      <c r="B13" s="78">
        <v>26</v>
      </c>
      <c r="C13" s="78">
        <v>7</v>
      </c>
      <c r="D13" s="79">
        <f t="shared" si="0"/>
        <v>44038</v>
      </c>
      <c r="E13" s="80" t="s">
        <v>762</v>
      </c>
      <c r="F13" s="81" t="str">
        <f ca="1">IF(D13="","",VLOOKUP(WEEKDAY(D13,2),Holidays!$AD$2:$AF$8,3,FALSE))</f>
        <v>Sunday</v>
      </c>
      <c r="G13" s="82" t="s">
        <v>538</v>
      </c>
      <c r="H13" s="59"/>
      <c r="I13" s="85" t="str">
        <f t="shared" ca="1" si="1"/>
        <v/>
      </c>
      <c r="J13" s="175">
        <f t="shared" si="2"/>
        <v>43672</v>
      </c>
      <c r="K13" s="175">
        <f t="shared" si="2"/>
        <v>44403</v>
      </c>
      <c r="L13" s="175">
        <f t="shared" si="2"/>
        <v>44768</v>
      </c>
      <c r="O13" s="98">
        <f>O17-7</f>
        <v>43569</v>
      </c>
      <c r="P13" s="99">
        <f>P17-7</f>
        <v>43926</v>
      </c>
      <c r="Q13" s="99">
        <f>Q17-7</f>
        <v>44283</v>
      </c>
      <c r="R13" s="100">
        <f>R17-7</f>
        <v>44661</v>
      </c>
      <c r="S13" s="83" t="str">
        <f ca="1">VLOOKUP(T13,'GPlan-Translations'!$B$180:$C$201,2,FALSE)</f>
        <v>Palm Sunday</v>
      </c>
      <c r="T13" s="7" t="str">
        <f t="shared" si="3"/>
        <v>fer_PalmSunday</v>
      </c>
      <c r="U13" s="101">
        <v>3</v>
      </c>
      <c r="V13" s="4" t="s">
        <v>576</v>
      </c>
      <c r="W13" s="15" t="s">
        <v>763</v>
      </c>
      <c r="AB13" s="75"/>
    </row>
    <row r="14" spans="2:32" ht="18">
      <c r="B14" s="78">
        <v>11</v>
      </c>
      <c r="C14" s="78">
        <v>8</v>
      </c>
      <c r="D14" s="79">
        <f t="shared" si="0"/>
        <v>44054</v>
      </c>
      <c r="E14" s="80" t="s">
        <v>764</v>
      </c>
      <c r="F14" s="81" t="str">
        <f ca="1">IF(D14="","",VLOOKUP(WEEKDAY(D14,2),Holidays!$AD$2:$AF$8,3,FALSE))</f>
        <v>Tuesday</v>
      </c>
      <c r="G14" s="82" t="s">
        <v>538</v>
      </c>
      <c r="H14" s="7"/>
      <c r="I14" s="85" t="str">
        <f t="shared" ca="1" si="1"/>
        <v/>
      </c>
      <c r="J14" s="175">
        <f t="shared" si="2"/>
        <v>43688</v>
      </c>
      <c r="K14" s="175">
        <f t="shared" si="2"/>
        <v>44419</v>
      </c>
      <c r="L14" s="175">
        <f t="shared" si="2"/>
        <v>44784</v>
      </c>
      <c r="O14" s="98">
        <f>O17-3</f>
        <v>43573</v>
      </c>
      <c r="P14" s="99">
        <f>P17-3</f>
        <v>43930</v>
      </c>
      <c r="Q14" s="99">
        <f>Q17-3</f>
        <v>44287</v>
      </c>
      <c r="R14" s="100">
        <f>R17-3</f>
        <v>44665</v>
      </c>
      <c r="S14" s="83" t="str">
        <f ca="1">VLOOKUP(T14,'GPlan-Translations'!$B$180:$C$201,2,FALSE)</f>
        <v>Holy Thursday</v>
      </c>
      <c r="T14" s="7" t="str">
        <f t="shared" si="3"/>
        <v>fer_HolyThursday</v>
      </c>
      <c r="U14" s="101">
        <v>4</v>
      </c>
      <c r="V14" s="102" t="s">
        <v>583</v>
      </c>
      <c r="W14" s="7" t="s">
        <v>765</v>
      </c>
      <c r="X14" s="15" t="s">
        <v>766</v>
      </c>
      <c r="Y14" s="103" t="s">
        <v>767</v>
      </c>
      <c r="Z14" s="7" t="s">
        <v>768</v>
      </c>
      <c r="AB14" s="75"/>
    </row>
    <row r="15" spans="2:32" ht="18">
      <c r="B15" s="78">
        <v>7</v>
      </c>
      <c r="C15" s="78">
        <v>9</v>
      </c>
      <c r="D15" s="79">
        <f>IF(OR(ISBLANK(B15),ISBLANK(C15)),"",DATE($G$1,C15,B15))</f>
        <v>44081</v>
      </c>
      <c r="E15" s="80" t="s">
        <v>769</v>
      </c>
      <c r="F15" s="81" t="str">
        <f ca="1">IF(D15="","",VLOOKUP(WEEKDAY(D15,2),Holidays!$AD$2:$AF$8,3,FALSE))</f>
        <v>Monday</v>
      </c>
      <c r="G15" s="104" t="s">
        <v>535</v>
      </c>
      <c r="H15" s="59"/>
      <c r="I15" s="85" t="str">
        <f t="shared" ca="1" si="1"/>
        <v/>
      </c>
      <c r="J15" s="175">
        <f t="shared" si="2"/>
        <v>43715</v>
      </c>
      <c r="K15" s="175">
        <f t="shared" si="2"/>
        <v>44446</v>
      </c>
      <c r="L15" s="175">
        <f t="shared" si="2"/>
        <v>44811</v>
      </c>
      <c r="O15" s="98">
        <f>O17-2</f>
        <v>43574</v>
      </c>
      <c r="P15" s="99">
        <f>P17-2</f>
        <v>43931</v>
      </c>
      <c r="Q15" s="99">
        <f>Q17-2</f>
        <v>44288</v>
      </c>
      <c r="R15" s="100">
        <f>R17-2</f>
        <v>44666</v>
      </c>
      <c r="S15" s="83" t="str">
        <f ca="1">VLOOKUP(T15,'GPlan-Translations'!$B$180:$C$201,2,FALSE)</f>
        <v>Good Friday</v>
      </c>
      <c r="T15" s="7" t="str">
        <f t="shared" si="3"/>
        <v>fer_GoodFriday</v>
      </c>
      <c r="U15" s="101">
        <v>5</v>
      </c>
      <c r="V15" s="102" t="s">
        <v>585</v>
      </c>
      <c r="W15" s="7" t="s">
        <v>770</v>
      </c>
      <c r="X15" s="15" t="s">
        <v>771</v>
      </c>
      <c r="Y15" s="103" t="s">
        <v>772</v>
      </c>
      <c r="Z15" s="15" t="s">
        <v>773</v>
      </c>
      <c r="AA15" s="4" t="s">
        <v>774</v>
      </c>
      <c r="AB15" s="105" t="s">
        <v>775</v>
      </c>
    </row>
    <row r="16" spans="2:32" ht="18">
      <c r="B16" s="78">
        <v>1</v>
      </c>
      <c r="C16" s="78">
        <v>10</v>
      </c>
      <c r="D16" s="79">
        <f t="shared" ref="D16:D24" si="4">IF(OR(ISBLANK(B16),ISBLANK(C16)),"",DATE($G$1,C16,B16))</f>
        <v>44105</v>
      </c>
      <c r="E16" s="80" t="s">
        <v>776</v>
      </c>
      <c r="F16" s="81" t="str">
        <f ca="1">IF(D16="","",VLOOKUP(WEEKDAY(D16,2),Holidays!$AD$2:$AF$8,3,FALSE))</f>
        <v>Tursday</v>
      </c>
      <c r="G16" s="104" t="s">
        <v>538</v>
      </c>
      <c r="H16" s="59"/>
      <c r="I16" s="85" t="str">
        <f t="shared" ca="1" si="1"/>
        <v/>
      </c>
      <c r="J16" s="175">
        <f t="shared" si="2"/>
        <v>43739</v>
      </c>
      <c r="K16" s="175">
        <f t="shared" si="2"/>
        <v>44470</v>
      </c>
      <c r="L16" s="175">
        <f t="shared" si="2"/>
        <v>44835</v>
      </c>
      <c r="O16" s="98">
        <f>O17-1</f>
        <v>43575</v>
      </c>
      <c r="P16" s="99">
        <f>P17-1</f>
        <v>43932</v>
      </c>
      <c r="Q16" s="99">
        <f>Q17-1</f>
        <v>44289</v>
      </c>
      <c r="R16" s="100">
        <f>R17-1</f>
        <v>44667</v>
      </c>
      <c r="S16" s="83" t="str">
        <f ca="1">VLOOKUP(T16,'GPlan-Translations'!$B$180:$C$201,2,FALSE)</f>
        <v>Holy Saturday</v>
      </c>
      <c r="T16" s="7" t="str">
        <f t="shared" si="3"/>
        <v>fer_HolySaturday</v>
      </c>
      <c r="U16" s="101">
        <v>6</v>
      </c>
      <c r="V16" s="102" t="s">
        <v>587</v>
      </c>
      <c r="W16" s="15" t="s">
        <v>777</v>
      </c>
      <c r="AB16" s="75"/>
    </row>
    <row r="17" spans="1:28" ht="18">
      <c r="B17" s="78">
        <v>12</v>
      </c>
      <c r="C17" s="78">
        <v>10</v>
      </c>
      <c r="D17" s="79">
        <f t="shared" si="4"/>
        <v>44116</v>
      </c>
      <c r="E17" s="80" t="s">
        <v>778</v>
      </c>
      <c r="F17" s="81" t="str">
        <f ca="1">IF(D17="","",VLOOKUP(WEEKDAY(D17,2),Holidays!$AD$2:$AF$8,3,FALSE))</f>
        <v>Monday</v>
      </c>
      <c r="G17" s="104" t="s">
        <v>535</v>
      </c>
      <c r="H17" s="59"/>
      <c r="I17" s="85" t="str">
        <f t="shared" ca="1" si="1"/>
        <v/>
      </c>
      <c r="J17" s="175">
        <f t="shared" si="2"/>
        <v>43750</v>
      </c>
      <c r="K17" s="175">
        <f t="shared" si="2"/>
        <v>44481</v>
      </c>
      <c r="L17" s="175">
        <f t="shared" si="2"/>
        <v>44846</v>
      </c>
      <c r="O17" s="98">
        <f>FLOOR(DATE(O10,5,DAY(MINUTE(O10/38)/2+56)),7)-34</f>
        <v>43576</v>
      </c>
      <c r="P17" s="99">
        <f>FLOOR(DATE(P10,5,DAY(MINUTE(P10/38)/2+56)),7)-34</f>
        <v>43933</v>
      </c>
      <c r="Q17" s="99">
        <f>FLOOR(DATE(Q10,5,DAY(MINUTE(Q10/38)/2+56)),7)-34</f>
        <v>44290</v>
      </c>
      <c r="R17" s="100">
        <f>FLOOR(DATE(R10,5,DAY(MINUTE(R10/38)/2+56)),7)-34</f>
        <v>44668</v>
      </c>
      <c r="S17" s="83" t="str">
        <f ca="1">VLOOKUP(T17,'GPlan-Translations'!$B$180:$C$201,2,FALSE)</f>
        <v>Easter</v>
      </c>
      <c r="T17" s="7" t="str">
        <f t="shared" si="3"/>
        <v>fer_Easter</v>
      </c>
      <c r="U17" s="101">
        <v>7</v>
      </c>
      <c r="V17" s="106" t="s">
        <v>779</v>
      </c>
      <c r="W17" s="15" t="s">
        <v>780</v>
      </c>
      <c r="X17" s="7" t="s">
        <v>781</v>
      </c>
      <c r="AB17" s="75"/>
    </row>
    <row r="18" spans="1:28" ht="18">
      <c r="B18" s="78">
        <v>15</v>
      </c>
      <c r="C18" s="78">
        <v>10</v>
      </c>
      <c r="D18" s="79">
        <f t="shared" si="4"/>
        <v>44119</v>
      </c>
      <c r="E18" s="80" t="s">
        <v>782</v>
      </c>
      <c r="F18" s="81" t="str">
        <f ca="1">IF(D18="","",VLOOKUP(WEEKDAY(D18,2),Holidays!$AD$2:$AF$8,3,FALSE))</f>
        <v>Tursday</v>
      </c>
      <c r="G18" s="104" t="s">
        <v>538</v>
      </c>
      <c r="H18" s="59"/>
      <c r="I18" s="85" t="str">
        <f t="shared" ca="1" si="1"/>
        <v/>
      </c>
      <c r="J18" s="175">
        <f t="shared" si="2"/>
        <v>43753</v>
      </c>
      <c r="K18" s="175">
        <f t="shared" si="2"/>
        <v>44484</v>
      </c>
      <c r="L18" s="175">
        <f t="shared" si="2"/>
        <v>44849</v>
      </c>
      <c r="O18" s="98">
        <f>O17+1</f>
        <v>43577</v>
      </c>
      <c r="P18" s="99">
        <f>P17+1</f>
        <v>43934</v>
      </c>
      <c r="Q18" s="99">
        <f>Q17+1</f>
        <v>44291</v>
      </c>
      <c r="R18" s="100">
        <f>R17+1</f>
        <v>44669</v>
      </c>
      <c r="S18" s="83" t="str">
        <f ca="1">VLOOKUP(T18,'GPlan-Translations'!$B$180:$C$201,2,FALSE)</f>
        <v>Easter Monday</v>
      </c>
      <c r="T18" s="7" t="str">
        <f t="shared" si="3"/>
        <v>fer_EasterMonday</v>
      </c>
      <c r="U18" s="101">
        <v>8</v>
      </c>
      <c r="V18" s="103" t="s">
        <v>591</v>
      </c>
      <c r="W18" s="15" t="s">
        <v>783</v>
      </c>
      <c r="X18" s="15" t="s">
        <v>784</v>
      </c>
      <c r="AB18" s="75"/>
    </row>
    <row r="19" spans="1:28" ht="18">
      <c r="B19" s="78">
        <v>28</v>
      </c>
      <c r="C19" s="78">
        <v>10</v>
      </c>
      <c r="D19" s="79">
        <f t="shared" si="4"/>
        <v>44132</v>
      </c>
      <c r="E19" s="80" t="s">
        <v>785</v>
      </c>
      <c r="F19" s="81" t="str">
        <f ca="1">IF(D19="","",VLOOKUP(WEEKDAY(D19,2),Holidays!$AD$2:$AF$8,3,FALSE))</f>
        <v>Wednesday</v>
      </c>
      <c r="G19" s="104" t="s">
        <v>538</v>
      </c>
      <c r="H19" s="59"/>
      <c r="I19" s="85" t="str">
        <f t="shared" ca="1" si="1"/>
        <v/>
      </c>
      <c r="J19" s="175">
        <f t="shared" si="2"/>
        <v>43766</v>
      </c>
      <c r="K19" s="175">
        <f t="shared" si="2"/>
        <v>44497</v>
      </c>
      <c r="L19" s="175">
        <f t="shared" si="2"/>
        <v>44862</v>
      </c>
      <c r="O19" s="98">
        <f>O17+39</f>
        <v>43615</v>
      </c>
      <c r="P19" s="99">
        <f>P17+39</f>
        <v>43972</v>
      </c>
      <c r="Q19" s="99">
        <f>Q17+39</f>
        <v>44329</v>
      </c>
      <c r="R19" s="100">
        <f>R17+39</f>
        <v>44707</v>
      </c>
      <c r="S19" s="83" t="str">
        <f ca="1">VLOOKUP(T19,'GPlan-Translations'!$B$180:$C$201,2,FALSE)</f>
        <v>Ascension Thursday</v>
      </c>
      <c r="T19" s="7" t="str">
        <f t="shared" si="3"/>
        <v>fer_AscensionThursday</v>
      </c>
      <c r="U19" s="101">
        <v>9</v>
      </c>
      <c r="V19" s="107" t="s">
        <v>593</v>
      </c>
      <c r="W19" s="7" t="s">
        <v>786</v>
      </c>
      <c r="X19" s="15"/>
      <c r="AB19" s="75"/>
    </row>
    <row r="20" spans="1:28" ht="18">
      <c r="B20" s="78">
        <v>30</v>
      </c>
      <c r="C20" s="78">
        <v>10</v>
      </c>
      <c r="D20" s="79">
        <f t="shared" si="4"/>
        <v>44134</v>
      </c>
      <c r="E20" s="80" t="s">
        <v>787</v>
      </c>
      <c r="F20" s="81" t="str">
        <f ca="1">IF(D20="","",VLOOKUP(WEEKDAY(D20,2),Holidays!$AD$2:$AF$8,3,FALSE))</f>
        <v>Friday</v>
      </c>
      <c r="G20" s="104" t="s">
        <v>538</v>
      </c>
      <c r="H20" s="59"/>
      <c r="I20" s="85" t="str">
        <f t="shared" ca="1" si="1"/>
        <v/>
      </c>
      <c r="J20" s="175">
        <f t="shared" si="2"/>
        <v>43768</v>
      </c>
      <c r="K20" s="175">
        <f t="shared" si="2"/>
        <v>44499</v>
      </c>
      <c r="L20" s="175">
        <f t="shared" si="2"/>
        <v>44864</v>
      </c>
      <c r="O20" s="98">
        <f>O17+50</f>
        <v>43626</v>
      </c>
      <c r="P20" s="99">
        <f>P17+50</f>
        <v>43983</v>
      </c>
      <c r="Q20" s="99">
        <f>Q17+50</f>
        <v>44340</v>
      </c>
      <c r="R20" s="100">
        <f>R17+50</f>
        <v>44718</v>
      </c>
      <c r="S20" s="83" t="e">
        <f>VLOOKUP(T20,'GPlan-Translations'!$B$180:$C$201,2,FALSE)</f>
        <v>#N/A</v>
      </c>
      <c r="T20" s="7" t="str">
        <f t="shared" si="3"/>
        <v>fer_PentecostorWhitsun</v>
      </c>
      <c r="U20" s="101">
        <v>10</v>
      </c>
      <c r="V20" s="103" t="s">
        <v>595</v>
      </c>
      <c r="W20" s="7" t="s">
        <v>788</v>
      </c>
      <c r="X20" s="15"/>
      <c r="AB20" s="75"/>
    </row>
    <row r="21" spans="1:28" ht="18">
      <c r="B21" s="78">
        <v>1</v>
      </c>
      <c r="C21" s="78">
        <v>11</v>
      </c>
      <c r="D21" s="79">
        <f t="shared" si="4"/>
        <v>44136</v>
      </c>
      <c r="E21" s="80" t="s">
        <v>789</v>
      </c>
      <c r="F21" s="81" t="str">
        <f ca="1">IF(D21="","",VLOOKUP(WEEKDAY(D21,2),Holidays!$AD$2:$AF$8,3,FALSE))</f>
        <v>Sunday</v>
      </c>
      <c r="G21" s="104" t="s">
        <v>538</v>
      </c>
      <c r="H21" s="59"/>
      <c r="I21" s="85" t="str">
        <f t="shared" ca="1" si="1"/>
        <v/>
      </c>
      <c r="J21" s="175">
        <f t="shared" si="2"/>
        <v>43770</v>
      </c>
      <c r="K21" s="175">
        <f t="shared" si="2"/>
        <v>44501</v>
      </c>
      <c r="L21" s="175">
        <f t="shared" si="2"/>
        <v>44866</v>
      </c>
      <c r="O21" s="98">
        <f>O17+56</f>
        <v>43632</v>
      </c>
      <c r="P21" s="99">
        <f>P17+56</f>
        <v>43989</v>
      </c>
      <c r="Q21" s="99">
        <f>Q17+56</f>
        <v>44346</v>
      </c>
      <c r="R21" s="100">
        <f>R17+56</f>
        <v>44724</v>
      </c>
      <c r="S21" s="83" t="str">
        <f ca="1">VLOOKUP(T21,'GPlan-Translations'!$B$180:$C$201,2,FALSE)</f>
        <v>Trinity Sunday</v>
      </c>
      <c r="T21" s="7" t="str">
        <f t="shared" si="3"/>
        <v>fer_TrinitySunday</v>
      </c>
      <c r="U21" s="101">
        <v>11</v>
      </c>
      <c r="V21" s="4" t="s">
        <v>790</v>
      </c>
      <c r="W21" s="15" t="s">
        <v>791</v>
      </c>
      <c r="AB21" s="75"/>
    </row>
    <row r="22" spans="1:28" ht="18">
      <c r="B22" s="78">
        <v>2</v>
      </c>
      <c r="C22" s="78">
        <v>11</v>
      </c>
      <c r="D22" s="79">
        <f t="shared" si="4"/>
        <v>44137</v>
      </c>
      <c r="E22" s="80" t="s">
        <v>565</v>
      </c>
      <c r="F22" s="81" t="str">
        <f ca="1">IF(D22="","",VLOOKUP(WEEKDAY(D22,2),Holidays!$AD$2:$AF$8,3,FALSE))</f>
        <v>Monday</v>
      </c>
      <c r="G22" s="104" t="s">
        <v>535</v>
      </c>
      <c r="H22" s="59"/>
      <c r="I22" s="85" t="str">
        <f t="shared" ca="1" si="1"/>
        <v/>
      </c>
      <c r="J22" s="175">
        <f t="shared" si="2"/>
        <v>43771</v>
      </c>
      <c r="K22" s="175">
        <f t="shared" si="2"/>
        <v>44502</v>
      </c>
      <c r="L22" s="175">
        <f t="shared" si="2"/>
        <v>44867</v>
      </c>
      <c r="O22" s="108">
        <f>O17+60</f>
        <v>43636</v>
      </c>
      <c r="P22" s="109">
        <f>P17+60</f>
        <v>43993</v>
      </c>
      <c r="Q22" s="109">
        <f>Q17+60</f>
        <v>44350</v>
      </c>
      <c r="R22" s="110">
        <f>R17+60</f>
        <v>44728</v>
      </c>
      <c r="S22" s="111" t="str">
        <f ca="1">VLOOKUP(T22,'GPlan-Translations'!$B$180:$C$201,2,FALSE)</f>
        <v>Corpus Christi</v>
      </c>
      <c r="T22" s="88" t="str">
        <f t="shared" si="3"/>
        <v>fer_CorpusChristi</v>
      </c>
      <c r="U22" s="112">
        <v>12</v>
      </c>
      <c r="V22" s="113" t="s">
        <v>599</v>
      </c>
      <c r="W22" s="88" t="s">
        <v>792</v>
      </c>
      <c r="X22" s="114"/>
      <c r="Y22" s="88"/>
      <c r="Z22" s="88"/>
      <c r="AA22" s="88"/>
      <c r="AB22" s="76"/>
    </row>
    <row r="23" spans="1:28" ht="18">
      <c r="B23" s="78">
        <v>15</v>
      </c>
      <c r="C23" s="78">
        <v>11</v>
      </c>
      <c r="D23" s="79">
        <f t="shared" si="4"/>
        <v>44150</v>
      </c>
      <c r="E23" s="80" t="s">
        <v>793</v>
      </c>
      <c r="F23" s="81" t="str">
        <f ca="1">IF(D23="","",VLOOKUP(WEEKDAY(D23,2),Holidays!$AD$2:$AF$8,3,FALSE))</f>
        <v>Sunday</v>
      </c>
      <c r="G23" s="104" t="s">
        <v>535</v>
      </c>
      <c r="H23" s="59"/>
      <c r="I23" s="85" t="str">
        <f t="shared" ca="1" si="1"/>
        <v/>
      </c>
      <c r="J23" s="175">
        <f t="shared" si="2"/>
        <v>43784</v>
      </c>
      <c r="K23" s="175">
        <f t="shared" si="2"/>
        <v>44515</v>
      </c>
      <c r="L23" s="175">
        <f t="shared" si="2"/>
        <v>44880</v>
      </c>
      <c r="O23" s="115">
        <f>DATE(O10,12,25)-(WEEKDAY(DATE(O10,12,25),1)-1)-21</f>
        <v>43800</v>
      </c>
      <c r="P23" s="116">
        <f>DATE(P10,12,25)-(WEEKDAY(DATE(P10,12,25),1)-1)-21</f>
        <v>44164</v>
      </c>
      <c r="Q23" s="116">
        <f>DATE(Q10,12,25)-(WEEKDAY(DATE(Q10,12,25),1)-1)-21</f>
        <v>44528</v>
      </c>
      <c r="R23" s="117">
        <f>DATE(R10,12,25)-(WEEKDAY(DATE(R10,12,25),1)-1)-21</f>
        <v>44899</v>
      </c>
      <c r="S23" s="118" t="str">
        <f ca="1">VLOOKUP(T23,'GPlan-Translations'!$B$180:$C$201,2,FALSE)</f>
        <v>Advent</v>
      </c>
      <c r="T23" s="119" t="str">
        <f t="shared" si="3"/>
        <v>fer_Advent</v>
      </c>
      <c r="U23" s="120">
        <v>13</v>
      </c>
      <c r="V23" s="121" t="s">
        <v>566</v>
      </c>
      <c r="W23" s="119" t="s">
        <v>794</v>
      </c>
      <c r="X23" s="119"/>
      <c r="Y23" s="119"/>
      <c r="Z23" s="119"/>
      <c r="AA23" s="119"/>
      <c r="AB23" s="122"/>
    </row>
    <row r="24" spans="1:28" ht="18">
      <c r="B24" s="78">
        <v>19</v>
      </c>
      <c r="C24" s="78">
        <v>11</v>
      </c>
      <c r="D24" s="79">
        <f t="shared" si="4"/>
        <v>44154</v>
      </c>
      <c r="E24" s="80" t="s">
        <v>795</v>
      </c>
      <c r="F24" s="81" t="str">
        <f ca="1">IF(D24="","",VLOOKUP(WEEKDAY(D24,2),Holidays!$AD$2:$AF$8,3,FALSE))</f>
        <v>Tursday</v>
      </c>
      <c r="G24" s="104" t="s">
        <v>538</v>
      </c>
      <c r="H24" s="59"/>
      <c r="I24" s="85" t="str">
        <f t="shared" ca="1" si="1"/>
        <v/>
      </c>
      <c r="J24" s="175">
        <f t="shared" si="2"/>
        <v>43788</v>
      </c>
      <c r="K24" s="175">
        <f t="shared" si="2"/>
        <v>44519</v>
      </c>
      <c r="L24" s="175">
        <f t="shared" si="2"/>
        <v>44884</v>
      </c>
    </row>
    <row r="25" spans="1:28" ht="18">
      <c r="B25" s="78">
        <v>20</v>
      </c>
      <c r="C25" s="78">
        <v>11</v>
      </c>
      <c r="D25" s="79">
        <f t="shared" si="0"/>
        <v>44155</v>
      </c>
      <c r="E25" s="80" t="s">
        <v>796</v>
      </c>
      <c r="F25" s="81" t="str">
        <f ca="1">IF(D25="","",VLOOKUP(WEEKDAY(D25,2),Holidays!$AD$2:$AF$8,3,FALSE))</f>
        <v>Friday</v>
      </c>
      <c r="G25" s="82" t="s">
        <v>538</v>
      </c>
      <c r="H25" s="59"/>
      <c r="I25" s="85" t="str">
        <f t="shared" ca="1" si="1"/>
        <v/>
      </c>
      <c r="J25" s="175">
        <f t="shared" si="2"/>
        <v>43789</v>
      </c>
      <c r="K25" s="175">
        <f t="shared" si="2"/>
        <v>44520</v>
      </c>
      <c r="L25" s="175">
        <f t="shared" si="2"/>
        <v>44885</v>
      </c>
    </row>
    <row r="26" spans="1:28" ht="18">
      <c r="B26" s="78">
        <v>25</v>
      </c>
      <c r="C26" s="78">
        <v>12</v>
      </c>
      <c r="D26" s="79">
        <f t="shared" si="0"/>
        <v>44190</v>
      </c>
      <c r="E26" s="80" t="s">
        <v>569</v>
      </c>
      <c r="F26" s="81" t="str">
        <f ca="1">IF(D26="","",VLOOKUP(WEEKDAY(D26,2),Holidays!$AD$2:$AF$8,3,FALSE))</f>
        <v>Friday</v>
      </c>
      <c r="G26" s="82" t="s">
        <v>535</v>
      </c>
      <c r="H26" s="59"/>
      <c r="I26" s="85" t="str">
        <f t="shared" ca="1" si="1"/>
        <v/>
      </c>
      <c r="J26" s="175">
        <f t="shared" si="2"/>
        <v>43824</v>
      </c>
      <c r="K26" s="175">
        <f t="shared" si="2"/>
        <v>44555</v>
      </c>
      <c r="L26" s="175">
        <f t="shared" si="2"/>
        <v>44920</v>
      </c>
      <c r="O26" s="7">
        <f>O10</f>
        <v>2019</v>
      </c>
      <c r="P26" s="7">
        <f>P10</f>
        <v>2020</v>
      </c>
      <c r="Q26" s="7">
        <f>Q10</f>
        <v>2021</v>
      </c>
      <c r="R26" s="7">
        <f>R10</f>
        <v>2022</v>
      </c>
    </row>
    <row r="27" spans="1:28" ht="18" customHeight="1">
      <c r="A27" s="59"/>
      <c r="B27" s="78"/>
      <c r="C27" s="78"/>
      <c r="D27" s="79" t="str">
        <f t="shared" si="0"/>
        <v/>
      </c>
      <c r="E27" s="80"/>
      <c r="F27" s="81" t="str">
        <f>IF(D27="","",VLOOKUP(WEEKDAY(D27,2),Holidays!$AD$2:$AF$8,3,FALSE))</f>
        <v/>
      </c>
      <c r="G27" s="82"/>
      <c r="H27" s="59"/>
      <c r="I27" s="85" t="str">
        <f t="shared" ca="1" si="1"/>
        <v/>
      </c>
      <c r="J27" s="175" t="str">
        <f t="shared" si="2"/>
        <v/>
      </c>
      <c r="K27" s="175" t="str">
        <f t="shared" si="2"/>
        <v/>
      </c>
      <c r="L27" s="175" t="str">
        <f t="shared" si="2"/>
        <v/>
      </c>
      <c r="O27" s="67">
        <f>DATE(O10,1,6)</f>
        <v>43471</v>
      </c>
      <c r="P27" s="95">
        <f>DATE(P10,1,6)</f>
        <v>43836</v>
      </c>
      <c r="Q27" s="95">
        <f>DATE(Q10,1,6)</f>
        <v>44202</v>
      </c>
      <c r="R27" s="95">
        <f>DATE(R10,1,6)</f>
        <v>44567</v>
      </c>
      <c r="S27" s="95" t="e">
        <f>TEXT(U27,"00") &amp; "-" &amp; VLOOKUP(T27,'GPlan-Translations'!$B$180:$C$201,2,FALSE)</f>
        <v>#N/A</v>
      </c>
      <c r="T27" s="68" t="s">
        <v>572</v>
      </c>
      <c r="U27" s="96">
        <v>1</v>
      </c>
      <c r="V27" s="123" t="s">
        <v>572</v>
      </c>
      <c r="W27" s="124" t="s">
        <v>797</v>
      </c>
      <c r="X27" s="68"/>
      <c r="Y27" s="68"/>
      <c r="Z27" s="68"/>
      <c r="AA27" s="68"/>
      <c r="AB27" s="69"/>
    </row>
    <row r="28" spans="1:28" ht="18" customHeight="1">
      <c r="A28" s="59"/>
      <c r="B28" s="71"/>
      <c r="C28" s="72"/>
      <c r="D28" s="71" t="str">
        <f ca="1">'GPlan-Translations'!C157</f>
        <v>MOBILE WITH EASTER</v>
      </c>
      <c r="E28" s="72"/>
      <c r="F28" s="72"/>
      <c r="G28" s="125"/>
      <c r="H28" s="59"/>
      <c r="I28" s="85" t="str">
        <f t="shared" ca="1" si="1"/>
        <v/>
      </c>
      <c r="J28" s="175"/>
      <c r="K28" s="175"/>
      <c r="L28" s="175"/>
      <c r="O28" s="74">
        <f>DATE(O10-1,12,25)+39</f>
        <v>43498</v>
      </c>
      <c r="P28" s="83">
        <f>DATE(P10-1,12,25)+39</f>
        <v>43863</v>
      </c>
      <c r="Q28" s="83">
        <f>DATE(Q10-1,12,25)+39</f>
        <v>44229</v>
      </c>
      <c r="R28" s="83">
        <f>DATE(R10-1,12,25)+39</f>
        <v>44594</v>
      </c>
      <c r="S28" s="83" t="e">
        <f>TEXT(U28,"00") &amp; "-" &amp; VLOOKUP(T28,'GPlan-Translations'!$B$180:$C$201,2,FALSE)</f>
        <v>#N/A</v>
      </c>
      <c r="T28" s="7" t="s">
        <v>574</v>
      </c>
      <c r="U28" s="101">
        <v>2</v>
      </c>
      <c r="V28" s="103" t="s">
        <v>574</v>
      </c>
      <c r="W28" s="7" t="s">
        <v>798</v>
      </c>
      <c r="AB28" s="75"/>
    </row>
    <row r="29" spans="1:28" ht="18" customHeight="1">
      <c r="A29" s="59"/>
      <c r="B29" s="126" t="str">
        <f t="shared" ref="B29:B41" ca="1" si="5">IF($D29="","",DAY($D29))</f>
        <v/>
      </c>
      <c r="C29" s="126" t="str">
        <f t="shared" ref="C29:C41" ca="1" si="6">IF($D29="","",MONTH($D29))</f>
        <v/>
      </c>
      <c r="D29" s="79" t="str">
        <f t="shared" ref="D29:D41" ca="1" si="7">IFERROR(INDEX($O$11:$R$23,MATCH(E29,$S$11:$S$23,0),MATCH($G$1,$O$10:$R$10,0)),"")</f>
        <v/>
      </c>
      <c r="E29" s="81" t="s">
        <v>580</v>
      </c>
      <c r="F29" s="81" t="str">
        <f ca="1">IF(D29="","",VLOOKUP(WEEKDAY(D29,2),Holidays!$AD$2:$AF$8,3,FALSE))</f>
        <v/>
      </c>
      <c r="G29" s="82" t="s">
        <v>535</v>
      </c>
      <c r="H29" s="7"/>
      <c r="I29" s="85" t="str">
        <f t="shared" ca="1" si="1"/>
        <v/>
      </c>
      <c r="J29" s="175" t="str">
        <f t="shared" ref="J29:L41" ca="1" si="8">IFERROR(INDEX($O$11:$R$23,MATCH($E29,$S$11:$S$23,0),MATCH(J$1,$O$10:$R$10,0)),"")</f>
        <v/>
      </c>
      <c r="K29" s="175" t="str">
        <f t="shared" ca="1" si="8"/>
        <v/>
      </c>
      <c r="L29" s="175" t="str">
        <f t="shared" ca="1" si="8"/>
        <v/>
      </c>
      <c r="M29" s="192" t="str">
        <f t="shared" ref="M29:M41" ca="1" si="9">IFERROR(MATCH(E29,$S$11:$S$23,0),"")</f>
        <v/>
      </c>
      <c r="O29" s="74">
        <f>DATE(O10,8,15)</f>
        <v>43692</v>
      </c>
      <c r="P29" s="83">
        <f>DATE(P10,8,15)</f>
        <v>44058</v>
      </c>
      <c r="Q29" s="83">
        <f>DATE(Q10,8,15)</f>
        <v>44423</v>
      </c>
      <c r="R29" s="83">
        <f>DATE(R10,8,15)</f>
        <v>44788</v>
      </c>
      <c r="S29" s="83" t="e">
        <f>TEXT(U29,"00") &amp; "-" &amp; VLOOKUP(T29,'GPlan-Translations'!$B$180:$C$201,2,FALSE)</f>
        <v>#N/A</v>
      </c>
      <c r="T29" s="7" t="s">
        <v>600</v>
      </c>
      <c r="U29" s="101">
        <v>3</v>
      </c>
      <c r="V29" s="103" t="s">
        <v>600</v>
      </c>
      <c r="W29" s="7" t="s">
        <v>799</v>
      </c>
      <c r="X29" s="15"/>
      <c r="AB29" s="75"/>
    </row>
    <row r="30" spans="1:28" ht="18" customHeight="1">
      <c r="A30" s="59"/>
      <c r="B30" s="126" t="str">
        <f t="shared" ca="1" si="5"/>
        <v/>
      </c>
      <c r="C30" s="126" t="str">
        <f t="shared" ca="1" si="6"/>
        <v/>
      </c>
      <c r="D30" s="79" t="str">
        <f t="shared" ca="1" si="7"/>
        <v/>
      </c>
      <c r="E30" s="81" t="s">
        <v>582</v>
      </c>
      <c r="F30" s="81" t="str">
        <f ca="1">IF(D30="","",VLOOKUP(WEEKDAY(D30,2),Holidays!$AD$2:$AF$8,3,FALSE))</f>
        <v/>
      </c>
      <c r="G30" s="82" t="s">
        <v>538</v>
      </c>
      <c r="H30" s="59"/>
      <c r="I30" s="85" t="str">
        <f t="shared" ca="1" si="1"/>
        <v/>
      </c>
      <c r="J30" s="175" t="str">
        <f t="shared" ca="1" si="8"/>
        <v/>
      </c>
      <c r="K30" s="175" t="str">
        <f t="shared" ca="1" si="8"/>
        <v/>
      </c>
      <c r="L30" s="175" t="str">
        <f t="shared" ca="1" si="8"/>
        <v/>
      </c>
      <c r="M30" s="193" t="str">
        <f t="shared" ca="1" si="9"/>
        <v/>
      </c>
      <c r="O30" s="74">
        <f>DATE(O10,10,31)</f>
        <v>43769</v>
      </c>
      <c r="P30" s="83">
        <f>DATE(P10,10,31)</f>
        <v>44135</v>
      </c>
      <c r="Q30" s="83">
        <f>DATE(Q10,10,31)</f>
        <v>44500</v>
      </c>
      <c r="R30" s="83">
        <f>DATE(R10,10,31)</f>
        <v>44865</v>
      </c>
      <c r="S30" s="83" t="e">
        <f>TEXT(U30,"00") &amp; "-" &amp; VLOOKUP(T30,'GPlan-Translations'!$B$180:$C$201,2,FALSE)</f>
        <v>#N/A</v>
      </c>
      <c r="T30" s="7" t="s">
        <v>561</v>
      </c>
      <c r="U30" s="101">
        <v>4</v>
      </c>
      <c r="V30" s="4" t="s">
        <v>561</v>
      </c>
      <c r="W30" s="15" t="s">
        <v>800</v>
      </c>
      <c r="AB30" s="75"/>
    </row>
    <row r="31" spans="1:28" ht="15.75">
      <c r="A31" s="59"/>
      <c r="B31" s="126" t="str">
        <f t="shared" ca="1" si="5"/>
        <v/>
      </c>
      <c r="C31" s="126" t="str">
        <f t="shared" ca="1" si="6"/>
        <v/>
      </c>
      <c r="D31" s="79" t="str">
        <f t="shared" ca="1" si="7"/>
        <v/>
      </c>
      <c r="E31" s="81" t="s">
        <v>578</v>
      </c>
      <c r="F31" s="81" t="str">
        <f ca="1">IF(D31="","",VLOOKUP(WEEKDAY(D31,2),Holidays!$AD$2:$AF$8,3,FALSE))</f>
        <v/>
      </c>
      <c r="G31" s="82" t="s">
        <v>538</v>
      </c>
      <c r="H31" s="127"/>
      <c r="I31" s="85" t="str">
        <f t="shared" ca="1" si="1"/>
        <v/>
      </c>
      <c r="J31" s="175" t="str">
        <f t="shared" ca="1" si="8"/>
        <v/>
      </c>
      <c r="K31" s="175" t="str">
        <f t="shared" ca="1" si="8"/>
        <v/>
      </c>
      <c r="L31" s="175" t="str">
        <f t="shared" ca="1" si="8"/>
        <v/>
      </c>
      <c r="M31" s="193" t="str">
        <f t="shared" ca="1" si="9"/>
        <v/>
      </c>
      <c r="O31" s="74">
        <f>DATE(O10,11,1)</f>
        <v>43770</v>
      </c>
      <c r="P31" s="83">
        <f>DATE(P10,11,1)</f>
        <v>44136</v>
      </c>
      <c r="Q31" s="83">
        <f>DATE(Q10,11,1)</f>
        <v>44501</v>
      </c>
      <c r="R31" s="83">
        <f>DATE(R10,11,1)</f>
        <v>44866</v>
      </c>
      <c r="S31" s="83" t="e">
        <f>TEXT(U31,"00") &amp; "-" &amp; VLOOKUP(T31,'GPlan-Translations'!$B$180:$C$201,2,FALSE)</f>
        <v>#N/A</v>
      </c>
      <c r="T31" s="7" t="s">
        <v>562</v>
      </c>
      <c r="U31" s="101">
        <v>5</v>
      </c>
      <c r="V31" s="103" t="s">
        <v>562</v>
      </c>
      <c r="W31" s="15" t="s">
        <v>801</v>
      </c>
      <c r="AB31" s="75"/>
    </row>
    <row r="32" spans="1:28" ht="18" customHeight="1">
      <c r="A32" s="59"/>
      <c r="B32" s="126" t="str">
        <f t="shared" ca="1" si="5"/>
        <v/>
      </c>
      <c r="C32" s="126" t="str">
        <f t="shared" ca="1" si="6"/>
        <v/>
      </c>
      <c r="D32" s="79" t="str">
        <f t="shared" ca="1" si="7"/>
        <v/>
      </c>
      <c r="E32" s="81" t="s">
        <v>586</v>
      </c>
      <c r="F32" s="81" t="str">
        <f ca="1">IF(D32="","",VLOOKUP(WEEKDAY(D32,2),Holidays!$AD$2:$AF$8,3,FALSE))</f>
        <v/>
      </c>
      <c r="G32" s="82" t="s">
        <v>535</v>
      </c>
      <c r="H32" s="127"/>
      <c r="I32" s="85" t="str">
        <f t="shared" ca="1" si="1"/>
        <v/>
      </c>
      <c r="J32" s="175" t="str">
        <f t="shared" ca="1" si="8"/>
        <v/>
      </c>
      <c r="K32" s="175" t="str">
        <f t="shared" ca="1" si="8"/>
        <v/>
      </c>
      <c r="L32" s="175" t="str">
        <f t="shared" ca="1" si="8"/>
        <v/>
      </c>
      <c r="M32" s="193" t="str">
        <f t="shared" ca="1" si="9"/>
        <v/>
      </c>
      <c r="O32" s="74">
        <f>DATE(O10,11,2)</f>
        <v>43771</v>
      </c>
      <c r="P32" s="83">
        <f>DATE(P10,11,2)</f>
        <v>44137</v>
      </c>
      <c r="Q32" s="83">
        <f>DATE(Q10,11,2)</f>
        <v>44502</v>
      </c>
      <c r="R32" s="83">
        <f>DATE(R10,11,2)</f>
        <v>44867</v>
      </c>
      <c r="S32" s="83" t="e">
        <f>TEXT(U32,"00") &amp; "-" &amp; VLOOKUP(T32,'GPlan-Translations'!$B$180:$C$201,2,FALSE)</f>
        <v>#N/A</v>
      </c>
      <c r="T32" s="7" t="s">
        <v>564</v>
      </c>
      <c r="U32" s="101">
        <v>6</v>
      </c>
      <c r="V32" s="103" t="s">
        <v>564</v>
      </c>
      <c r="W32" s="15" t="s">
        <v>802</v>
      </c>
      <c r="AB32" s="75"/>
    </row>
    <row r="33" spans="1:28" ht="18" customHeight="1">
      <c r="A33" s="59"/>
      <c r="B33" s="126" t="str">
        <f t="shared" ca="1" si="5"/>
        <v/>
      </c>
      <c r="C33" s="126" t="str">
        <f t="shared" ca="1" si="6"/>
        <v/>
      </c>
      <c r="D33" s="79" t="str">
        <f t="shared" ca="1" si="7"/>
        <v/>
      </c>
      <c r="E33" s="81" t="s">
        <v>588</v>
      </c>
      <c r="F33" s="81" t="str">
        <f ca="1">IF(D33="","",VLOOKUP(WEEKDAY(D33,2),Holidays!$AD$2:$AF$8,3,FALSE))</f>
        <v/>
      </c>
      <c r="G33" s="82" t="s">
        <v>538</v>
      </c>
      <c r="H33" s="127"/>
      <c r="I33" s="85" t="str">
        <f t="shared" ca="1" si="1"/>
        <v/>
      </c>
      <c r="J33" s="175" t="str">
        <f t="shared" ca="1" si="8"/>
        <v/>
      </c>
      <c r="K33" s="175" t="str">
        <f t="shared" ca="1" si="8"/>
        <v/>
      </c>
      <c r="L33" s="175" t="str">
        <f t="shared" ca="1" si="8"/>
        <v/>
      </c>
      <c r="M33" s="193" t="str">
        <f t="shared" ca="1" si="9"/>
        <v/>
      </c>
      <c r="O33" s="74">
        <f>DATE(O10,12,25)</f>
        <v>43824</v>
      </c>
      <c r="P33" s="83">
        <f>DATE(P10,12,25)</f>
        <v>44190</v>
      </c>
      <c r="Q33" s="83">
        <f>DATE(Q10,12,25)</f>
        <v>44555</v>
      </c>
      <c r="R33" s="83">
        <f>DATE(R10,12,25)</f>
        <v>44920</v>
      </c>
      <c r="S33" s="83" t="e">
        <f>TEXT(U33,"00") &amp; "-" &amp; VLOOKUP(T33,'GPlan-Translations'!$B$180:$C$201,2,FALSE)</f>
        <v>#N/A</v>
      </c>
      <c r="T33" s="7" t="s">
        <v>568</v>
      </c>
      <c r="U33" s="101">
        <v>7</v>
      </c>
      <c r="V33" s="103" t="s">
        <v>568</v>
      </c>
      <c r="W33" s="15" t="s">
        <v>803</v>
      </c>
      <c r="X33" s="7" t="s">
        <v>804</v>
      </c>
      <c r="AB33" s="75"/>
    </row>
    <row r="34" spans="1:28" ht="18" customHeight="1">
      <c r="A34" s="59"/>
      <c r="B34" s="126" t="str">
        <f t="shared" ca="1" si="5"/>
        <v/>
      </c>
      <c r="C34" s="126" t="str">
        <f t="shared" ca="1" si="6"/>
        <v/>
      </c>
      <c r="D34" s="79" t="str">
        <f t="shared" ca="1" si="7"/>
        <v/>
      </c>
      <c r="E34" s="81" t="s">
        <v>590</v>
      </c>
      <c r="F34" s="81" t="str">
        <f ca="1">IF(D34="","",VLOOKUP(WEEKDAY(D34,2),Holidays!$AD$2:$AF$8,3,FALSE))</f>
        <v/>
      </c>
      <c r="G34" s="82" t="s">
        <v>535</v>
      </c>
      <c r="H34" s="127"/>
      <c r="I34" s="85" t="str">
        <f t="shared" ca="1" si="1"/>
        <v/>
      </c>
      <c r="J34" s="175" t="str">
        <f t="shared" ca="1" si="8"/>
        <v/>
      </c>
      <c r="K34" s="175" t="str">
        <f t="shared" ca="1" si="8"/>
        <v/>
      </c>
      <c r="L34" s="175" t="str">
        <f t="shared" ca="1" si="8"/>
        <v/>
      </c>
      <c r="M34" s="193" t="str">
        <f t="shared" ca="1" si="9"/>
        <v/>
      </c>
      <c r="O34" s="74">
        <f>DATE(O10,12,28)</f>
        <v>43827</v>
      </c>
      <c r="P34" s="83">
        <f>DATE(P10,12,28)</f>
        <v>44193</v>
      </c>
      <c r="Q34" s="83">
        <f>DATE(Q10,12,28)</f>
        <v>44558</v>
      </c>
      <c r="R34" s="83">
        <f>DATE(R10,12,28)</f>
        <v>44923</v>
      </c>
      <c r="S34" s="83" t="e">
        <f>TEXT(U34,"00") &amp; "-" &amp; VLOOKUP(T34,'GPlan-Translations'!$B$180:$C$201,2,FALSE)</f>
        <v>#N/A</v>
      </c>
      <c r="T34" s="7" t="s">
        <v>570</v>
      </c>
      <c r="U34" s="101">
        <v>8</v>
      </c>
      <c r="V34" s="103" t="s">
        <v>570</v>
      </c>
      <c r="W34" s="7" t="s">
        <v>805</v>
      </c>
      <c r="AB34" s="75"/>
    </row>
    <row r="35" spans="1:28" ht="18" customHeight="1">
      <c r="A35" s="59"/>
      <c r="B35" s="126">
        <f t="shared" ca="1" si="5"/>
        <v>11</v>
      </c>
      <c r="C35" s="126">
        <f t="shared" ca="1" si="6"/>
        <v>6</v>
      </c>
      <c r="D35" s="79">
        <f t="shared" ca="1" si="7"/>
        <v>43993</v>
      </c>
      <c r="E35" s="81" t="s">
        <v>599</v>
      </c>
      <c r="F35" s="81" t="str">
        <f ca="1">IF(D35="","",VLOOKUP(WEEKDAY(D35,2),Holidays!$AD$2:$AF$8,3,FALSE))</f>
        <v>Tursday</v>
      </c>
      <c r="G35" s="82" t="s">
        <v>535</v>
      </c>
      <c r="H35" s="127"/>
      <c r="I35" s="85" t="str">
        <f t="shared" ca="1" si="1"/>
        <v/>
      </c>
      <c r="J35" s="175">
        <f t="shared" ca="1" si="8"/>
        <v>43636</v>
      </c>
      <c r="K35" s="175">
        <f t="shared" ca="1" si="8"/>
        <v>44350</v>
      </c>
      <c r="L35" s="175">
        <f t="shared" ca="1" si="8"/>
        <v>44728</v>
      </c>
      <c r="M35" s="193">
        <f t="shared" ca="1" si="9"/>
        <v>12</v>
      </c>
      <c r="O35" s="87">
        <f>DATE(O10,12,31)</f>
        <v>43830</v>
      </c>
      <c r="P35" s="111">
        <f>DATE(P10,12,31)</f>
        <v>44196</v>
      </c>
      <c r="Q35" s="111">
        <f>DATE(Q10,12,31)</f>
        <v>44561</v>
      </c>
      <c r="R35" s="111">
        <f>DATE(R10,12,31)</f>
        <v>44926</v>
      </c>
      <c r="S35" s="111" t="e">
        <f>TEXT(U35,"00") &amp; "-" &amp; VLOOKUP(T35,'GPlan-Translations'!$B$180:$C$201,2,FALSE)</f>
        <v>#N/A</v>
      </c>
      <c r="T35" s="88" t="s">
        <v>602</v>
      </c>
      <c r="U35" s="112">
        <v>9</v>
      </c>
      <c r="V35" s="128" t="s">
        <v>602</v>
      </c>
      <c r="W35" s="88" t="s">
        <v>806</v>
      </c>
      <c r="X35" s="88"/>
      <c r="Y35" s="88"/>
      <c r="Z35" s="88"/>
      <c r="AA35" s="88"/>
      <c r="AB35" s="76"/>
    </row>
    <row r="36" spans="1:28" ht="18" customHeight="1">
      <c r="A36" s="59"/>
      <c r="B36" s="126" t="str">
        <f t="shared" ca="1" si="5"/>
        <v/>
      </c>
      <c r="C36" s="126" t="str">
        <f t="shared" ca="1" si="6"/>
        <v/>
      </c>
      <c r="D36" s="79" t="str">
        <f t="shared" ca="1" si="7"/>
        <v/>
      </c>
      <c r="E36" s="81"/>
      <c r="F36" s="81" t="str">
        <f ca="1">IF(D36="","",VLOOKUP(WEEKDAY(D36,2),Holidays!$AD$2:$AF$8,3,FALSE))</f>
        <v/>
      </c>
      <c r="G36" s="82"/>
      <c r="H36" s="127"/>
      <c r="I36" s="85" t="str">
        <f t="shared" ref="I36:I53" ca="1" si="10">IFERROR(INDEX($AA$2:$AA$3,MATCH(G36,$Z$2:$Z$3,0)),"")</f>
        <v/>
      </c>
      <c r="J36" s="175" t="str">
        <f t="shared" ca="1" si="8"/>
        <v/>
      </c>
      <c r="K36" s="175" t="str">
        <f t="shared" ca="1" si="8"/>
        <v/>
      </c>
      <c r="L36" s="175" t="str">
        <f t="shared" ca="1" si="8"/>
        <v/>
      </c>
      <c r="M36" s="193" t="str">
        <f t="shared" ca="1" si="9"/>
        <v/>
      </c>
    </row>
    <row r="37" spans="1:28" ht="18" customHeight="1">
      <c r="A37" s="59"/>
      <c r="B37" s="126" t="str">
        <f t="shared" ca="1" si="5"/>
        <v/>
      </c>
      <c r="C37" s="126" t="str">
        <f t="shared" ca="1" si="6"/>
        <v/>
      </c>
      <c r="D37" s="79" t="str">
        <f t="shared" ca="1" si="7"/>
        <v/>
      </c>
      <c r="E37" s="81"/>
      <c r="F37" s="81" t="str">
        <f ca="1">IF(D37="","",VLOOKUP(WEEKDAY(D37,2),Holidays!$AD$2:$AF$8,3,FALSE))</f>
        <v/>
      </c>
      <c r="G37" s="82"/>
      <c r="H37" s="127"/>
      <c r="I37" s="85" t="str">
        <f t="shared" ca="1" si="10"/>
        <v/>
      </c>
      <c r="J37" s="175" t="str">
        <f t="shared" ca="1" si="8"/>
        <v/>
      </c>
      <c r="K37" s="175" t="str">
        <f t="shared" ca="1" si="8"/>
        <v/>
      </c>
      <c r="L37" s="175" t="str">
        <f t="shared" ca="1" si="8"/>
        <v/>
      </c>
      <c r="M37" s="193" t="str">
        <f t="shared" ca="1" si="9"/>
        <v/>
      </c>
    </row>
    <row r="38" spans="1:28" ht="18" customHeight="1">
      <c r="A38" s="59"/>
      <c r="B38" s="126" t="str">
        <f t="shared" ca="1" si="5"/>
        <v/>
      </c>
      <c r="C38" s="126" t="str">
        <f t="shared" ca="1" si="6"/>
        <v/>
      </c>
      <c r="D38" s="79" t="str">
        <f t="shared" ca="1" si="7"/>
        <v/>
      </c>
      <c r="E38" s="81"/>
      <c r="F38" s="81" t="str">
        <f ca="1">IF(D38="","",VLOOKUP(WEEKDAY(D38,2),Holidays!$AD$2:$AF$8,3,FALSE))</f>
        <v/>
      </c>
      <c r="G38" s="82"/>
      <c r="H38" s="127"/>
      <c r="I38" s="85" t="str">
        <f t="shared" ca="1" si="10"/>
        <v/>
      </c>
      <c r="J38" s="175" t="str">
        <f t="shared" ca="1" si="8"/>
        <v/>
      </c>
      <c r="K38" s="175" t="str">
        <f t="shared" ca="1" si="8"/>
        <v/>
      </c>
      <c r="L38" s="175" t="str">
        <f t="shared" ca="1" si="8"/>
        <v/>
      </c>
      <c r="M38" s="193" t="str">
        <f t="shared" ca="1" si="9"/>
        <v/>
      </c>
    </row>
    <row r="39" spans="1:28" ht="18" customHeight="1">
      <c r="A39" s="59"/>
      <c r="B39" s="126" t="str">
        <f t="shared" ca="1" si="5"/>
        <v/>
      </c>
      <c r="C39" s="126" t="str">
        <f t="shared" ca="1" si="6"/>
        <v/>
      </c>
      <c r="D39" s="79" t="str">
        <f t="shared" ca="1" si="7"/>
        <v/>
      </c>
      <c r="E39" s="81"/>
      <c r="F39" s="81" t="str">
        <f ca="1">IF(D39="","",VLOOKUP(WEEKDAY(D39,2),Holidays!$AD$2:$AF$8,3,FALSE))</f>
        <v/>
      </c>
      <c r="G39" s="82"/>
      <c r="H39" s="127"/>
      <c r="I39" s="85" t="str">
        <f t="shared" ca="1" si="10"/>
        <v/>
      </c>
      <c r="J39" s="175" t="str">
        <f t="shared" ca="1" si="8"/>
        <v/>
      </c>
      <c r="K39" s="175" t="str">
        <f t="shared" ca="1" si="8"/>
        <v/>
      </c>
      <c r="L39" s="175" t="str">
        <f t="shared" ca="1" si="8"/>
        <v/>
      </c>
      <c r="M39" s="193" t="str">
        <f t="shared" ca="1" si="9"/>
        <v/>
      </c>
    </row>
    <row r="40" spans="1:28" ht="18" customHeight="1">
      <c r="A40" s="59"/>
      <c r="B40" s="126" t="str">
        <f t="shared" ca="1" si="5"/>
        <v/>
      </c>
      <c r="C40" s="126" t="str">
        <f t="shared" ca="1" si="6"/>
        <v/>
      </c>
      <c r="D40" s="79" t="str">
        <f t="shared" ca="1" si="7"/>
        <v/>
      </c>
      <c r="E40" s="81"/>
      <c r="F40" s="81" t="str">
        <f ca="1">IF(D40="","",VLOOKUP(WEEKDAY(D40,2),Holidays!$AD$2:$AF$8,3,FALSE))</f>
        <v/>
      </c>
      <c r="G40" s="82"/>
      <c r="H40" s="127"/>
      <c r="I40" s="85" t="str">
        <f t="shared" ca="1" si="10"/>
        <v/>
      </c>
      <c r="J40" s="175" t="str">
        <f t="shared" ca="1" si="8"/>
        <v/>
      </c>
      <c r="K40" s="175" t="str">
        <f t="shared" ca="1" si="8"/>
        <v/>
      </c>
      <c r="L40" s="175" t="str">
        <f t="shared" ca="1" si="8"/>
        <v/>
      </c>
      <c r="M40" s="193" t="str">
        <f t="shared" ca="1" si="9"/>
        <v/>
      </c>
    </row>
    <row r="41" spans="1:28" ht="18" customHeight="1">
      <c r="A41" s="59"/>
      <c r="B41" s="126" t="str">
        <f t="shared" ca="1" si="5"/>
        <v/>
      </c>
      <c r="C41" s="126" t="str">
        <f t="shared" ca="1" si="6"/>
        <v/>
      </c>
      <c r="D41" s="79" t="str">
        <f t="shared" ca="1" si="7"/>
        <v/>
      </c>
      <c r="E41" s="81"/>
      <c r="F41" s="81" t="str">
        <f ca="1">IF(D41="","",VLOOKUP(WEEKDAY(D41,2),Holidays!$AD$2:$AF$8,3,FALSE))</f>
        <v/>
      </c>
      <c r="G41" s="82"/>
      <c r="H41" s="127"/>
      <c r="I41" s="85" t="str">
        <f t="shared" ca="1" si="10"/>
        <v/>
      </c>
      <c r="J41" s="175" t="str">
        <f t="shared" ca="1" si="8"/>
        <v/>
      </c>
      <c r="K41" s="175" t="str">
        <f t="shared" ca="1" si="8"/>
        <v/>
      </c>
      <c r="L41" s="175" t="str">
        <f t="shared" ca="1" si="8"/>
        <v/>
      </c>
      <c r="M41" s="194" t="str">
        <f t="shared" ca="1" si="9"/>
        <v/>
      </c>
    </row>
    <row r="42" spans="1:28" ht="18" customHeight="1">
      <c r="A42" s="59"/>
      <c r="B42" s="71"/>
      <c r="C42" s="72"/>
      <c r="D42" s="71" t="str">
        <f ca="1">'GPlan-Translations'!C158</f>
        <v>MOBILE - A PARTICULAR DAY WEEK FOR A PARTICULAR MONTH</v>
      </c>
      <c r="E42" s="72"/>
      <c r="F42" s="72"/>
      <c r="G42" s="125"/>
      <c r="H42" s="127"/>
      <c r="I42" s="85" t="str">
        <f t="shared" ca="1" si="10"/>
        <v/>
      </c>
      <c r="J42" s="358" t="s">
        <v>947</v>
      </c>
      <c r="K42" s="175"/>
      <c r="L42" s="175"/>
    </row>
    <row r="43" spans="1:28" ht="18" customHeight="1">
      <c r="A43" s="59"/>
      <c r="B43" s="78">
        <v>2</v>
      </c>
      <c r="C43" s="78">
        <v>5</v>
      </c>
      <c r="D43" s="79">
        <f t="shared" ref="D43:D48" si="11">IF(OR(ISBLANK(B43),ISBLANK(C43)),"",DATE(G$1,$C43,1+7*$B43)-WEEKDAY(DATE(G$1,$C43,9-$B43)))</f>
        <v>43961</v>
      </c>
      <c r="E43" s="80" t="s">
        <v>807</v>
      </c>
      <c r="F43" s="80" t="s">
        <v>107</v>
      </c>
      <c r="G43" s="104" t="s">
        <v>538</v>
      </c>
      <c r="H43" s="127"/>
      <c r="I43" s="85" t="str">
        <f t="shared" ca="1" si="10"/>
        <v/>
      </c>
      <c r="J43" s="175">
        <f>IF($D43="","",DATE(J$1,$C43,1+7*$B43)-WEEKDAY(DATE(J$1,$C43,9-$B43)))</f>
        <v>43597</v>
      </c>
      <c r="K43" s="175">
        <f>IF($D43="","",DATE(K$1,$C43,1+7*$B43)-WEEKDAY(DATE(K$1,$C43,9-$B43)))</f>
        <v>44325</v>
      </c>
      <c r="L43" s="175">
        <f>IF($D43="","",DATE(L$1,$C43,1+7*$B43)-WEEKDAY(DATE(L$1,$C43,9-$B43)))</f>
        <v>44689</v>
      </c>
    </row>
    <row r="44" spans="1:28" ht="18" customHeight="1">
      <c r="A44" s="59"/>
      <c r="B44" s="78">
        <v>2</v>
      </c>
      <c r="C44" s="78">
        <v>8</v>
      </c>
      <c r="D44" s="79">
        <f t="shared" si="11"/>
        <v>44052</v>
      </c>
      <c r="E44" s="80" t="s">
        <v>808</v>
      </c>
      <c r="F44" s="80" t="s">
        <v>107</v>
      </c>
      <c r="G44" s="104" t="s">
        <v>538</v>
      </c>
      <c r="H44" s="127"/>
      <c r="I44" s="85" t="str">
        <f t="shared" ca="1" si="10"/>
        <v/>
      </c>
      <c r="J44" s="175">
        <f t="shared" ref="J44:L48" si="12">IF($D44="","",DATE(J$1,$C44,1+7*$B44)-WEEKDAY(DATE(J$1,$C44,9-$B44)))</f>
        <v>43688</v>
      </c>
      <c r="K44" s="175">
        <f t="shared" si="12"/>
        <v>44416</v>
      </c>
      <c r="L44" s="175">
        <f t="shared" si="12"/>
        <v>44787</v>
      </c>
    </row>
    <row r="45" spans="1:28" ht="18" customHeight="1">
      <c r="A45" s="59"/>
      <c r="B45" s="126"/>
      <c r="C45" s="126"/>
      <c r="D45" s="79" t="str">
        <f t="shared" si="11"/>
        <v/>
      </c>
      <c r="E45" s="80"/>
      <c r="F45" s="80"/>
      <c r="G45" s="104"/>
      <c r="H45" s="59"/>
      <c r="I45" s="85" t="str">
        <f t="shared" ca="1" si="10"/>
        <v/>
      </c>
      <c r="J45" s="175" t="str">
        <f t="shared" si="12"/>
        <v/>
      </c>
      <c r="K45" s="175" t="str">
        <f t="shared" si="12"/>
        <v/>
      </c>
      <c r="L45" s="175" t="str">
        <f t="shared" si="12"/>
        <v/>
      </c>
    </row>
    <row r="46" spans="1:28" ht="18" customHeight="1">
      <c r="A46" s="59"/>
      <c r="B46" s="126"/>
      <c r="C46" s="126"/>
      <c r="D46" s="79" t="str">
        <f t="shared" si="11"/>
        <v/>
      </c>
      <c r="E46" s="80"/>
      <c r="F46" s="80"/>
      <c r="G46" s="104"/>
      <c r="H46" s="59"/>
      <c r="I46" s="85" t="str">
        <f t="shared" ca="1" si="10"/>
        <v/>
      </c>
      <c r="J46" s="175" t="str">
        <f t="shared" si="12"/>
        <v/>
      </c>
      <c r="K46" s="175" t="str">
        <f t="shared" si="12"/>
        <v/>
      </c>
      <c r="L46" s="175" t="str">
        <f t="shared" si="12"/>
        <v/>
      </c>
    </row>
    <row r="47" spans="1:28" ht="18" customHeight="1">
      <c r="A47" s="59"/>
      <c r="B47" s="78"/>
      <c r="C47" s="78"/>
      <c r="D47" s="79" t="str">
        <f t="shared" si="11"/>
        <v/>
      </c>
      <c r="E47" s="80"/>
      <c r="F47" s="80"/>
      <c r="G47" s="104"/>
      <c r="H47" s="59"/>
      <c r="I47" s="85" t="str">
        <f t="shared" ca="1" si="10"/>
        <v/>
      </c>
      <c r="J47" s="175" t="str">
        <f t="shared" si="12"/>
        <v/>
      </c>
      <c r="K47" s="175" t="str">
        <f t="shared" si="12"/>
        <v/>
      </c>
      <c r="L47" s="175" t="str">
        <f t="shared" si="12"/>
        <v/>
      </c>
    </row>
    <row r="48" spans="1:28" ht="18" customHeight="1">
      <c r="A48" s="59"/>
      <c r="B48" s="78"/>
      <c r="C48" s="78"/>
      <c r="D48" s="79" t="str">
        <f t="shared" si="11"/>
        <v/>
      </c>
      <c r="E48" s="80"/>
      <c r="F48" s="80"/>
      <c r="G48" s="104"/>
      <c r="H48" s="59"/>
      <c r="I48" s="85" t="str">
        <f t="shared" ca="1" si="10"/>
        <v/>
      </c>
      <c r="J48" s="175" t="str">
        <f t="shared" si="12"/>
        <v/>
      </c>
      <c r="K48" s="175" t="str">
        <f t="shared" si="12"/>
        <v/>
      </c>
      <c r="L48" s="175" t="str">
        <f t="shared" si="12"/>
        <v/>
      </c>
    </row>
    <row r="49" spans="2:12" ht="18">
      <c r="C49" s="72"/>
      <c r="D49" s="71" t="str">
        <f ca="1">'GPlan-Translations'!C159</f>
        <v>SEASONS OF THE YEAR</v>
      </c>
      <c r="E49" s="72"/>
      <c r="F49" s="72"/>
      <c r="G49" s="125"/>
      <c r="H49" s="59"/>
      <c r="I49" s="85" t="str">
        <f t="shared" ca="1" si="10"/>
        <v/>
      </c>
      <c r="J49" s="175"/>
      <c r="K49" s="175"/>
      <c r="L49" s="175"/>
    </row>
    <row r="50" spans="2:12" ht="18">
      <c r="B50" s="126">
        <v>20</v>
      </c>
      <c r="C50" s="126">
        <v>3</v>
      </c>
      <c r="D50" s="79">
        <f>IF(OR(ISBLANK(B50),ISBLANK(C50)),"",DATE($G$1,C50,B50))</f>
        <v>43910</v>
      </c>
      <c r="E50" s="81" t="str">
        <f ca="1">IF(Options!X21="north",'GPlan-Translations'!C178,'GPlan-Translations'!C176)</f>
        <v>Spring</v>
      </c>
      <c r="F50" s="81" t="str">
        <f ca="1">IF(D50="","",VLOOKUP(WEEKDAY(D50,2),Holidays!$AD$2:$AF$8,3,FALSE))</f>
        <v>Friday</v>
      </c>
      <c r="G50" s="129" t="s">
        <v>538</v>
      </c>
      <c r="H50" s="59"/>
      <c r="I50" s="85" t="str">
        <f t="shared" ca="1" si="10"/>
        <v/>
      </c>
      <c r="J50" s="175">
        <f t="shared" ref="J50:L53" ca="1" si="13">IF(E50="","",DATE(J$1,$C50,$B50))</f>
        <v>43544</v>
      </c>
      <c r="K50" s="175">
        <f t="shared" ca="1" si="13"/>
        <v>44275</v>
      </c>
      <c r="L50" s="175">
        <f t="shared" si="13"/>
        <v>44640</v>
      </c>
    </row>
    <row r="51" spans="2:12" ht="18">
      <c r="B51" s="126">
        <v>20</v>
      </c>
      <c r="C51" s="126">
        <v>6</v>
      </c>
      <c r="D51" s="79">
        <f>IF(OR(ISBLANK(B51),ISBLANK(C51)),"",DATE($G$1,C51,B51))</f>
        <v>44002</v>
      </c>
      <c r="E51" s="81" t="str">
        <f ca="1">IF(Options!X21="north",'GPlan-Translations'!C179,'GPlan-Translations'!C177)</f>
        <v>Summer</v>
      </c>
      <c r="F51" s="81" t="str">
        <f ca="1">IF(D51="","",VLOOKUP(WEEKDAY(D51,2),Holidays!$AD$2:$AF$8,3,FALSE))</f>
        <v>Saturday</v>
      </c>
      <c r="G51" s="129" t="s">
        <v>538</v>
      </c>
      <c r="H51" s="59"/>
      <c r="I51" s="85" t="str">
        <f t="shared" ca="1" si="10"/>
        <v/>
      </c>
      <c r="J51" s="175">
        <f t="shared" ca="1" si="13"/>
        <v>43636</v>
      </c>
      <c r="K51" s="175">
        <f t="shared" ca="1" si="13"/>
        <v>44367</v>
      </c>
      <c r="L51" s="175">
        <f t="shared" si="13"/>
        <v>44732</v>
      </c>
    </row>
    <row r="52" spans="2:12" ht="18">
      <c r="B52" s="126">
        <v>22</v>
      </c>
      <c r="C52" s="126">
        <v>9</v>
      </c>
      <c r="D52" s="79">
        <f>IF(OR(ISBLANK(B52),ISBLANK(C52)),"",DATE($G$1,C52,B52))</f>
        <v>44096</v>
      </c>
      <c r="E52" s="81" t="str">
        <f ca="1">IF(Options!X21="north",'GPlan-Translations'!C176,'GPlan-Translations'!C178)</f>
        <v>Autumn</v>
      </c>
      <c r="F52" s="81" t="str">
        <f ca="1">IF(D52="","",VLOOKUP(WEEKDAY(D52,2),Holidays!$AD$2:$AF$8,3,FALSE))</f>
        <v>Tuesday</v>
      </c>
      <c r="G52" s="129" t="s">
        <v>538</v>
      </c>
      <c r="H52" s="59"/>
      <c r="I52" s="85" t="str">
        <f t="shared" ca="1" si="10"/>
        <v/>
      </c>
      <c r="J52" s="175">
        <f t="shared" ca="1" si="13"/>
        <v>43730</v>
      </c>
      <c r="K52" s="175">
        <f t="shared" ca="1" si="13"/>
        <v>44461</v>
      </c>
      <c r="L52" s="175">
        <f t="shared" si="13"/>
        <v>44826</v>
      </c>
    </row>
    <row r="53" spans="2:12" ht="18">
      <c r="B53" s="126">
        <v>21</v>
      </c>
      <c r="C53" s="126">
        <v>12</v>
      </c>
      <c r="D53" s="79">
        <f>IF(OR(ISBLANK(B53),ISBLANK(C53)),"",DATE($G$1,C53,B53))</f>
        <v>44186</v>
      </c>
      <c r="E53" s="81" t="str">
        <f ca="1">IF(Options!X21="north",'GPlan-Translations'!C177,'GPlan-Translations'!C179)</f>
        <v>Winter</v>
      </c>
      <c r="F53" s="81" t="str">
        <f ca="1">IF(D53="","",VLOOKUP(WEEKDAY(D53,2),Holidays!$AD$2:$AF$8,3,FALSE))</f>
        <v>Monday</v>
      </c>
      <c r="G53" s="129" t="s">
        <v>538</v>
      </c>
      <c r="H53" s="59"/>
      <c r="I53" s="85" t="str">
        <f t="shared" ca="1" si="10"/>
        <v/>
      </c>
      <c r="J53" s="175">
        <f t="shared" ca="1" si="13"/>
        <v>43820</v>
      </c>
      <c r="K53" s="175">
        <f t="shared" ca="1" si="13"/>
        <v>44551</v>
      </c>
      <c r="L53" s="175">
        <f t="shared" si="13"/>
        <v>44916</v>
      </c>
    </row>
    <row r="54" spans="2:12" ht="18"/>
  </sheetData>
  <sheetProtection sheet="1" objects="1" scenarios="1"/>
  <dataValidations count="3">
    <dataValidation type="list" allowBlank="1" showInputMessage="1" showErrorMessage="1" sqref="G4:G27 G29:G41 G43:G48 G50:G53" xr:uid="{00000000-0002-0000-0200-000000000000}">
      <formula1>$Z$2:$Z$3</formula1>
    </dataValidation>
    <dataValidation type="list" allowBlank="1" showInputMessage="1" showErrorMessage="1" sqref="E29:E41" xr:uid="{00000000-0002-0000-0200-000001000000}">
      <formula1>$S$10:$S$23</formula1>
    </dataValidation>
    <dataValidation type="list" allowBlank="1" showInputMessage="1" showErrorMessage="1" sqref="F43:F48" xr:uid="{00000000-0002-0000-0200-000002000000}">
      <formula1>$V$2:$V$8</formula1>
    </dataValidation>
  </dataValidations>
  <hyperlinks>
    <hyperlink ref="W10" r:id="rId1" tooltip="Liturgical year" display="http://en.wikipedia.org/wiki/Liturgical_year" xr:uid="{00000000-0004-0000-0200-000000000000}"/>
    <hyperlink ref="V23" r:id="rId2" tooltip="Advent" display="http://en.wikipedia.org/wiki/Advent" xr:uid="{00000000-0004-0000-0200-000001000000}"/>
    <hyperlink ref="V31" r:id="rId3" tooltip="All Saints' Day" display="http://en.wikipedia.org/wiki/All_Saints%27_Day" xr:uid="{00000000-0004-0000-0200-000002000000}"/>
    <hyperlink ref="V32" r:id="rId4" tooltip="All Souls' Day" display="http://en.wikipedia.org/wiki/All_Souls%27_Day" xr:uid="{00000000-0004-0000-0200-000003000000}"/>
    <hyperlink ref="V29" r:id="rId5" tooltip="Assumption of Mary" display="http://en.wikipedia.org/wiki/Assumption_of_Mary" xr:uid="{00000000-0004-0000-0200-000004000000}"/>
    <hyperlink ref="V28" r:id="rId6" tooltip="Candlemas" display="http://en.wikipedia.org/wiki/Candlemas" xr:uid="{00000000-0004-0000-0200-000005000000}"/>
    <hyperlink ref="V34" r:id="rId7" tooltip="Childermas" display="http://en.wikipedia.org/wiki/Childermas" xr:uid="{00000000-0004-0000-0200-000006000000}"/>
    <hyperlink ref="AB15" r:id="rId8" tooltip="Easter Triduum" display="http://en.wikipedia.org/wiki/Easter_Triduum" xr:uid="{00000000-0004-0000-0200-000007000000}"/>
    <hyperlink ref="V16" r:id="rId9" tooltip="Holy Saturday" display="http://en.wikipedia.org/wiki/Holy_Saturday" xr:uid="{00000000-0004-0000-0200-000008000000}"/>
    <hyperlink ref="V27" r:id="rId10" tooltip="Epiphany (feast)" display="http://en.wikipedia.org/wiki/Epiphany_%28feast%29" xr:uid="{00000000-0004-0000-0200-000009000000}"/>
    <hyperlink ref="V35" r:id="rId11" tooltip="Watch Night" display="http://en.wikipedia.org/wiki/Watch_Night" xr:uid="{00000000-0004-0000-0200-00000A000000}"/>
    <hyperlink ref="V10" r:id="rId12" tooltip="Western Christianity" display="http://en.wikipedia.org/wiki/Western_Christianity" xr:uid="{00000000-0004-0000-0200-00000B000000}"/>
    <hyperlink ref="V30" r:id="rId13" tooltip="Halloween" display="http://en.wikipedia.org/wiki/Halloween" xr:uid="{00000000-0004-0000-0200-00000C000000}"/>
    <hyperlink ref="V20" r:id="rId14" display="Pentecost or Whitsun (Descent of the Holy Spirit upon the disciples of Jesus)" xr:uid="{00000000-0004-0000-0200-00000D000000}"/>
    <hyperlink ref="V11" r:id="rId15" xr:uid="{00000000-0004-0000-0200-00000E000000}"/>
    <hyperlink ref="V33" r:id="rId16" display="Christmas (Birth of Jesus)" xr:uid="{00000000-0004-0000-0200-00000F000000}"/>
    <hyperlink ref="V21" r:id="rId17" xr:uid="{00000000-0004-0000-0200-000010000000}"/>
    <hyperlink ref="AA15" r:id="rId18" tooltip="Holy Week" display="http://en.wikipedia.org/wiki/Holy_Week" xr:uid="{00000000-0004-0000-0200-000011000000}"/>
    <hyperlink ref="V14" r:id="rId19" display="Holy Thursday (Celebration of The Last Supper)" xr:uid="{00000000-0004-0000-0200-000012000000}"/>
    <hyperlink ref="V15" r:id="rId20" display="Good Friday (Death of Jesus)" xr:uid="{00000000-0004-0000-0200-000013000000}"/>
    <hyperlink ref="V18" r:id="rId21" display="Easter Monday (Monday following Easter Sunday, not part of the Easter Triduum)" xr:uid="{00000000-0004-0000-0200-000014000000}"/>
    <hyperlink ref="Y15" r:id="rId22" xr:uid="{00000000-0004-0000-0200-000015000000}"/>
    <hyperlink ref="Y14" r:id="rId23" xr:uid="{00000000-0004-0000-0200-000016000000}"/>
    <hyperlink ref="V13" r:id="rId24" xr:uid="{00000000-0004-0000-0200-000017000000}"/>
    <hyperlink ref="V9" r:id="rId25" xr:uid="{00000000-0004-0000-0200-000018000000}"/>
    <hyperlink ref="S8" r:id="rId26" xr:uid="{00000000-0004-0000-0200-000019000000}"/>
    <hyperlink ref="J42" r:id="rId27" xr:uid="{00000000-0004-0000-0200-00001A000000}"/>
  </hyperlinks>
  <printOptions horizontalCentered="1" verticalCentered="1"/>
  <pageMargins left="0.78740157480314965" right="0.78740157480314965" top="0.19685039370078741" bottom="0.19685039370078741" header="0.51181102362204722" footer="0.51181102362204722"/>
  <pageSetup paperSize="9" scale="86" orientation="portrait" r:id="rId28"/>
  <headerFooter alignWithMargins="0"/>
  <drawing r:id="rId29"/>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wksCalendar">
    <pageSetUpPr fitToPage="1"/>
  </sheetPr>
  <dimension ref="A1:BI57"/>
  <sheetViews>
    <sheetView showGridLines="0" workbookViewId="0"/>
  </sheetViews>
  <sheetFormatPr defaultColWidth="9.140625" defaultRowHeight="12.75" customHeight="1" zeroHeight="1"/>
  <cols>
    <col min="1" max="28" width="3.85546875" style="16" customWidth="1"/>
    <col min="29" max="29" width="3.7109375" style="16" customWidth="1"/>
    <col min="30" max="30" width="4.42578125" style="16" customWidth="1"/>
    <col min="31" max="37" width="3.7109375" style="16" customWidth="1"/>
    <col min="38" max="38" width="4.28515625" style="16" customWidth="1"/>
    <col min="39" max="39" width="4.42578125" style="16" customWidth="1"/>
    <col min="40" max="46" width="3.7109375" style="16" customWidth="1"/>
    <col min="47" max="47" width="4.28515625" style="16" customWidth="1"/>
    <col min="48" max="48" width="4.42578125" style="16" customWidth="1"/>
    <col min="49" max="55" width="3.7109375" style="16" customWidth="1"/>
    <col min="56" max="56" width="4.28515625" style="16" customWidth="1"/>
    <col min="57" max="59" width="3.7109375" style="16" customWidth="1"/>
    <col min="60" max="60" width="5" style="16" customWidth="1"/>
    <col min="61" max="61" width="9.140625" style="16" customWidth="1"/>
    <col min="62" max="62" width="2.85546875" style="16" customWidth="1"/>
    <col min="63" max="16384" width="9.140625" style="16"/>
  </cols>
  <sheetData>
    <row r="1" spans="1:61" ht="45.75">
      <c r="C1" s="130" t="str">
        <f ca="1">'GPlan-Translations'!C204</f>
        <v>Calendar</v>
      </c>
      <c r="U1" s="669">
        <f>BI1</f>
        <v>2020</v>
      </c>
      <c r="V1" s="670"/>
      <c r="W1" s="670"/>
      <c r="X1" s="670"/>
      <c r="Y1" s="670"/>
      <c r="Z1" s="670"/>
      <c r="AA1" s="670"/>
      <c r="AC1" s="131"/>
      <c r="AE1" s="487">
        <v>-6</v>
      </c>
      <c r="AF1" s="487">
        <v>-5</v>
      </c>
      <c r="AG1" s="487">
        <v>-4</v>
      </c>
      <c r="AH1" s="487">
        <v>-3</v>
      </c>
      <c r="AI1" s="487">
        <v>-2</v>
      </c>
      <c r="AJ1" s="487">
        <v>-1</v>
      </c>
      <c r="AK1" s="487">
        <v>0</v>
      </c>
      <c r="AN1" s="487">
        <v>-6</v>
      </c>
      <c r="AO1" s="487">
        <v>-5</v>
      </c>
      <c r="AP1" s="487">
        <v>-4</v>
      </c>
      <c r="AQ1" s="487">
        <v>-3</v>
      </c>
      <c r="AR1" s="487">
        <v>-2</v>
      </c>
      <c r="AS1" s="487">
        <v>-1</v>
      </c>
      <c r="AT1" s="487">
        <v>0</v>
      </c>
      <c r="AW1" s="487">
        <v>-6</v>
      </c>
      <c r="AX1" s="487">
        <v>-5</v>
      </c>
      <c r="AY1" s="487">
        <v>-4</v>
      </c>
      <c r="AZ1" s="487">
        <v>-3</v>
      </c>
      <c r="BA1" s="487">
        <v>-2</v>
      </c>
      <c r="BB1" s="487">
        <v>-1</v>
      </c>
      <c r="BC1" s="487">
        <v>0</v>
      </c>
      <c r="BI1" s="176">
        <f>Options!X2</f>
        <v>2020</v>
      </c>
    </row>
    <row r="2" spans="1:61" ht="18.75" thickBot="1">
      <c r="AC2" s="131"/>
      <c r="AF2" s="132"/>
      <c r="AG2" s="181">
        <v>1</v>
      </c>
      <c r="AH2" s="181">
        <v>2</v>
      </c>
      <c r="AI2" s="181">
        <v>3</v>
      </c>
      <c r="AJ2" s="181">
        <v>4</v>
      </c>
      <c r="AK2" s="181">
        <v>5</v>
      </c>
      <c r="AO2" s="132"/>
      <c r="AP2" s="181">
        <v>1</v>
      </c>
      <c r="AQ2" s="181">
        <v>2</v>
      </c>
      <c r="AR2" s="181">
        <v>3</v>
      </c>
      <c r="AS2" s="181">
        <v>4</v>
      </c>
      <c r="AT2" s="181">
        <v>5</v>
      </c>
      <c r="AX2" s="132"/>
      <c r="AY2" s="181">
        <v>1</v>
      </c>
      <c r="AZ2" s="181">
        <v>2</v>
      </c>
      <c r="BA2" s="181">
        <v>3</v>
      </c>
      <c r="BB2" s="181">
        <v>4</v>
      </c>
      <c r="BC2" s="181">
        <v>5</v>
      </c>
    </row>
    <row r="3" spans="1:61" ht="18">
      <c r="A3" s="61"/>
      <c r="C3" s="673" t="str">
        <f ca="1">UPPER('GPlan-Translations'!C205)</f>
        <v>JANUARY</v>
      </c>
      <c r="D3" s="674"/>
      <c r="E3" s="674"/>
      <c r="F3" s="674"/>
      <c r="G3" s="674"/>
      <c r="H3" s="674"/>
      <c r="I3" s="675"/>
      <c r="L3" s="673" t="str">
        <f ca="1">UPPER('GPlan-Translations'!C206)</f>
        <v>FEBRUARY</v>
      </c>
      <c r="M3" s="674"/>
      <c r="N3" s="674"/>
      <c r="O3" s="674"/>
      <c r="P3" s="674"/>
      <c r="Q3" s="674"/>
      <c r="R3" s="675"/>
      <c r="S3" s="61"/>
      <c r="T3" s="61"/>
      <c r="U3" s="673" t="str">
        <f ca="1">UPPER('GPlan-Translations'!C207)</f>
        <v>MARCH</v>
      </c>
      <c r="V3" s="674"/>
      <c r="W3" s="674"/>
      <c r="X3" s="674"/>
      <c r="Y3" s="674"/>
      <c r="Z3" s="674"/>
      <c r="AA3" s="675"/>
      <c r="AB3" s="61"/>
      <c r="AC3" s="131"/>
      <c r="AD3" s="182" t="str">
        <f>TEXT(AE3,"00")</f>
        <v>01</v>
      </c>
      <c r="AE3" s="133">
        <v>1</v>
      </c>
      <c r="AF3" s="134">
        <f>DATE(AJ3,AE3,1)</f>
        <v>43831</v>
      </c>
      <c r="AG3" s="134">
        <f>DATE(AJ3,AE3+1,1)-1</f>
        <v>43861</v>
      </c>
      <c r="AH3" s="134">
        <f>WEEKDAY(AF3,2)</f>
        <v>3</v>
      </c>
      <c r="AI3" s="135"/>
      <c r="AJ3" s="589">
        <f>$U$1</f>
        <v>2020</v>
      </c>
      <c r="AK3" s="590"/>
      <c r="AL3" s="489">
        <f>(AG3 - I5)  +  (R5-AO3 + 1)</f>
        <v>28</v>
      </c>
      <c r="AM3" s="182" t="str">
        <f>TEXT(AN3,"00")</f>
        <v>02</v>
      </c>
      <c r="AN3" s="133">
        <f>AE3+1</f>
        <v>2</v>
      </c>
      <c r="AO3" s="134">
        <f>DATE(AS3,AN3,1)</f>
        <v>43862</v>
      </c>
      <c r="AP3" s="134">
        <f>DATE(AS3,AN3+1,1)-1</f>
        <v>43890</v>
      </c>
      <c r="AQ3" s="134">
        <f>WEEKDAY(AO3,2)</f>
        <v>6</v>
      </c>
      <c r="AR3" s="135"/>
      <c r="AS3" s="589">
        <f>$U$1</f>
        <v>2020</v>
      </c>
      <c r="AT3" s="590"/>
      <c r="AU3" s="489">
        <f>(AP3 - R5)  +  (AA5-AX3 + 1)</f>
        <v>28</v>
      </c>
      <c r="AV3" s="182" t="str">
        <f>TEXT(AW3,"00")</f>
        <v>03</v>
      </c>
      <c r="AW3" s="133">
        <f>AN3+1</f>
        <v>3</v>
      </c>
      <c r="AX3" s="134">
        <f>DATE(BB3,AW3,1)</f>
        <v>43891</v>
      </c>
      <c r="AY3" s="134">
        <f>DATE(BB3,AW3+1,1)-1</f>
        <v>43921</v>
      </c>
      <c r="AZ3" s="134">
        <f>WEEKDAY(AX3,2)</f>
        <v>7</v>
      </c>
      <c r="BA3" s="135"/>
      <c r="BB3" s="589">
        <f>$U$1</f>
        <v>2020</v>
      </c>
      <c r="BC3" s="589"/>
      <c r="BD3" s="490">
        <f>(AY3 - AA5)  +  (H14-BG3 + 1)</f>
        <v>34</v>
      </c>
      <c r="BE3" s="182"/>
      <c r="BG3" s="493">
        <f>AF12</f>
        <v>43922</v>
      </c>
    </row>
    <row r="4" spans="1:61" ht="18">
      <c r="A4" s="61"/>
      <c r="C4" s="136" t="str">
        <f ca="1">'GPlan-Translations'!$C$218</f>
        <v>Mo</v>
      </c>
      <c r="D4" s="137" t="str">
        <f ca="1">'GPlan-Translations'!$C$219</f>
        <v>Tu</v>
      </c>
      <c r="E4" s="137" t="str">
        <f ca="1">'GPlan-Translations'!$C$220</f>
        <v>We</v>
      </c>
      <c r="F4" s="137" t="str">
        <f ca="1">'GPlan-Translations'!$C$221</f>
        <v>Th</v>
      </c>
      <c r="G4" s="137" t="str">
        <f ca="1">'GPlan-Translations'!$C$222</f>
        <v>Fr</v>
      </c>
      <c r="H4" s="138" t="str">
        <f ca="1">'GPlan-Translations'!$C$223</f>
        <v>Sa</v>
      </c>
      <c r="I4" s="139" t="str">
        <f ca="1">'GPlan-Translations'!$C$217</f>
        <v>Su</v>
      </c>
      <c r="L4" s="136" t="str">
        <f ca="1">'GPlan-Translations'!$C$218</f>
        <v>Mo</v>
      </c>
      <c r="M4" s="137" t="str">
        <f ca="1">'GPlan-Translations'!$C$219</f>
        <v>Tu</v>
      </c>
      <c r="N4" s="137" t="str">
        <f ca="1">'GPlan-Translations'!$C$220</f>
        <v>We</v>
      </c>
      <c r="O4" s="137" t="str">
        <f ca="1">'GPlan-Translations'!$C$221</f>
        <v>Th</v>
      </c>
      <c r="P4" s="137" t="str">
        <f ca="1">'GPlan-Translations'!$C$222</f>
        <v>Fr</v>
      </c>
      <c r="Q4" s="138" t="str">
        <f ca="1">'GPlan-Translations'!$C$223</f>
        <v>Sa</v>
      </c>
      <c r="R4" s="139" t="str">
        <f ca="1">'GPlan-Translations'!$C$217</f>
        <v>Su</v>
      </c>
      <c r="S4" s="61"/>
      <c r="T4" s="61"/>
      <c r="U4" s="136" t="str">
        <f ca="1">'GPlan-Translations'!$C$218</f>
        <v>Mo</v>
      </c>
      <c r="V4" s="137" t="str">
        <f ca="1">'GPlan-Translations'!$C$219</f>
        <v>Tu</v>
      </c>
      <c r="W4" s="137" t="str">
        <f ca="1">'GPlan-Translations'!$C$220</f>
        <v>We</v>
      </c>
      <c r="X4" s="137" t="str">
        <f ca="1">'GPlan-Translations'!$C$221</f>
        <v>Th</v>
      </c>
      <c r="Y4" s="137" t="str">
        <f ca="1">'GPlan-Translations'!$C$222</f>
        <v>Fr</v>
      </c>
      <c r="Z4" s="138" t="str">
        <f ca="1">'GPlan-Translations'!$C$223</f>
        <v>Sa</v>
      </c>
      <c r="AA4" s="139" t="str">
        <f ca="1">'GPlan-Translations'!$C$217</f>
        <v>Su</v>
      </c>
      <c r="AB4" s="61"/>
      <c r="AC4" s="131"/>
      <c r="AD4" s="592">
        <f>INDEX(GCalXML[wnum],MATCH(C6,GCalXML[date],0))</f>
        <v>2</v>
      </c>
      <c r="AE4" s="140" t="str">
        <f t="shared" ref="AE4:AK4" ca="1" si="0">C4</f>
        <v>Mo</v>
      </c>
      <c r="AF4" s="141" t="str">
        <f t="shared" ca="1" si="0"/>
        <v>Tu</v>
      </c>
      <c r="AG4" s="141" t="str">
        <f t="shared" ca="1" si="0"/>
        <v>We</v>
      </c>
      <c r="AH4" s="141" t="str">
        <f t="shared" ca="1" si="0"/>
        <v>Th</v>
      </c>
      <c r="AI4" s="141" t="str">
        <f t="shared" ca="1" si="0"/>
        <v>Fr</v>
      </c>
      <c r="AJ4" s="142" t="str">
        <f t="shared" ca="1" si="0"/>
        <v>Sa</v>
      </c>
      <c r="AK4" s="143" t="str">
        <f t="shared" ca="1" si="0"/>
        <v>Su</v>
      </c>
      <c r="AL4" s="584">
        <f>MATCH(I5,GCalXML[date],0)</f>
        <v>43</v>
      </c>
      <c r="AM4" s="592">
        <f>INDEX(GCalXML[wnum],MATCH(L6,GCalXML[date],0))</f>
        <v>6</v>
      </c>
      <c r="AN4" s="140" t="str">
        <f t="shared" ref="AN4:AT4" ca="1" si="1">L4</f>
        <v>Mo</v>
      </c>
      <c r="AO4" s="141" t="str">
        <f t="shared" ca="1" si="1"/>
        <v>Tu</v>
      </c>
      <c r="AP4" s="141" t="str">
        <f t="shared" ca="1" si="1"/>
        <v>We</v>
      </c>
      <c r="AQ4" s="141" t="str">
        <f t="shared" ca="1" si="1"/>
        <v>Th</v>
      </c>
      <c r="AR4" s="141" t="str">
        <f t="shared" ca="1" si="1"/>
        <v>Fr</v>
      </c>
      <c r="AS4" s="142" t="str">
        <f t="shared" ca="1" si="1"/>
        <v>Sa</v>
      </c>
      <c r="AT4" s="143" t="str">
        <f t="shared" ca="1" si="1"/>
        <v>Su</v>
      </c>
      <c r="AU4" s="584">
        <f>MATCH(R5,GCalXML[date],0)</f>
        <v>71</v>
      </c>
      <c r="AV4" s="592">
        <f>INDEX(GCalXML[wnum],MATCH(U6,GCalXML[date],0))</f>
        <v>10</v>
      </c>
      <c r="AW4" s="140" t="str">
        <f t="shared" ref="AW4:BC4" ca="1" si="2">U4</f>
        <v>Mo</v>
      </c>
      <c r="AX4" s="141" t="str">
        <f t="shared" ca="1" si="2"/>
        <v>Tu</v>
      </c>
      <c r="AY4" s="141" t="str">
        <f t="shared" ca="1" si="2"/>
        <v>We</v>
      </c>
      <c r="AZ4" s="141" t="str">
        <f t="shared" ca="1" si="2"/>
        <v>Th</v>
      </c>
      <c r="BA4" s="141" t="str">
        <f t="shared" ca="1" si="2"/>
        <v>Fr</v>
      </c>
      <c r="BB4" s="142" t="str">
        <f t="shared" ca="1" si="2"/>
        <v>Sa</v>
      </c>
      <c r="BC4" s="586" t="str">
        <f t="shared" ca="1" si="2"/>
        <v>Su</v>
      </c>
      <c r="BD4" s="587">
        <f>MATCH(AA5,GCalXML[date],0)</f>
        <v>99</v>
      </c>
    </row>
    <row r="5" spans="1:61" ht="18">
      <c r="A5" s="61"/>
      <c r="B5" s="144">
        <f>B6-1</f>
        <v>1</v>
      </c>
      <c r="C5" s="145" t="str">
        <f>IF(AH3=1,AF3," ")</f>
        <v xml:space="preserve"> </v>
      </c>
      <c r="D5" s="146" t="str">
        <f>IF(AH3=2,AF3,IF(C5=" "," ",C5+1))</f>
        <v xml:space="preserve"> </v>
      </c>
      <c r="E5" s="146">
        <f>IF(AH3=3,AF3,IF(D5=" "," ",D5+1))</f>
        <v>43831</v>
      </c>
      <c r="F5" s="146">
        <f>IF(AH3=4,AF3,IF(E5=" "," ",E5+1))</f>
        <v>43832</v>
      </c>
      <c r="G5" s="146">
        <f>IF(AH3=5,AF3,IF(F5=" "," ",F5+1))</f>
        <v>43833</v>
      </c>
      <c r="H5" s="147">
        <f>IF(AH3=6,AF3,IF(G5=" "," ",G5+1))</f>
        <v>43834</v>
      </c>
      <c r="I5" s="148">
        <f>IF(AH3=7,AF3,H5+1)</f>
        <v>43835</v>
      </c>
      <c r="K5" s="144">
        <f>K6-1</f>
        <v>5</v>
      </c>
      <c r="L5" s="145" t="str">
        <f>IF(AQ3=1,AO3," ")</f>
        <v xml:space="preserve"> </v>
      </c>
      <c r="M5" s="146" t="str">
        <f>IF(AQ3=2,AO3,IF(L5=" "," ",L5+1))</f>
        <v xml:space="preserve"> </v>
      </c>
      <c r="N5" s="146" t="str">
        <f>IF(AQ3=3,AO3,IF(M5=" "," ",M5+1))</f>
        <v xml:space="preserve"> </v>
      </c>
      <c r="O5" s="146" t="str">
        <f>IF(AQ3=4,AO3,IF(N5=" "," ",N5+1))</f>
        <v xml:space="preserve"> </v>
      </c>
      <c r="P5" s="146" t="str">
        <f>IF(AQ3=5,AO3,IF(O5=" "," ",O5+1))</f>
        <v xml:space="preserve"> </v>
      </c>
      <c r="Q5" s="147">
        <f>IF(AQ3=6,AO3,IF(P5=" "," ",P5+1))</f>
        <v>43862</v>
      </c>
      <c r="R5" s="148">
        <f>IF(AQ3=7,AO3,Q5+1)</f>
        <v>43863</v>
      </c>
      <c r="S5" s="61"/>
      <c r="T5" s="144">
        <f>T6-1</f>
        <v>9</v>
      </c>
      <c r="U5" s="145" t="str">
        <f>IF(AZ3=1,AX3," ")</f>
        <v xml:space="preserve"> </v>
      </c>
      <c r="V5" s="146" t="str">
        <f>IF(AZ3=2,AX3,IF(U5=" "," ",U5+1))</f>
        <v xml:space="preserve"> </v>
      </c>
      <c r="W5" s="146" t="str">
        <f>IF(AZ3=3,AX3,IF(V5=" "," ",V5+1))</f>
        <v xml:space="preserve"> </v>
      </c>
      <c r="X5" s="146" t="str">
        <f>IF(AZ3=4,AX3,IF(W5=" "," ",W5+1))</f>
        <v xml:space="preserve"> </v>
      </c>
      <c r="Y5" s="146" t="str">
        <f>IF(AZ3=5,AX3,IF(X5=" "," ",X5+1))</f>
        <v xml:space="preserve"> </v>
      </c>
      <c r="Z5" s="147" t="str">
        <f>IF(AZ3=6,AX3,IF(Y5=" "," ",Y5+1))</f>
        <v xml:space="preserve"> </v>
      </c>
      <c r="AA5" s="148">
        <f>IF(AZ3=7,AX3,Z5+1)</f>
        <v>43891</v>
      </c>
      <c r="AB5" s="61"/>
      <c r="AC5" s="488">
        <v>0</v>
      </c>
      <c r="AD5" s="149" t="str">
        <f>AD3 &amp; "." &amp;AG$2</f>
        <v>01.1</v>
      </c>
      <c r="AE5" s="150" t="str">
        <f>IFERROR(IF(C5=" ","",INDEX(GCalXML[fasttype],$AL$4+$AC5+AE$1)),"")</f>
        <v/>
      </c>
      <c r="AF5" s="151" t="str">
        <f>IFERROR(IF(D5=" ","",INDEX(GCalXML[fasttype],$AL$4+$AC5+AF$1)),"")</f>
        <v/>
      </c>
      <c r="AG5" s="151" t="str">
        <f>IFERROR(IF(E5=" ","",INDEX(GCalXML[fasttype],$AL$4+$AC5+AG$1)),"")</f>
        <v> </v>
      </c>
      <c r="AH5" s="151" t="str">
        <f>IFERROR(IF(F5=" ","",INDEX(GCalXML[fasttype],$AL$4+$AC5+AH$1)),"")</f>
        <v> </v>
      </c>
      <c r="AI5" s="151" t="str">
        <f>IFERROR(IF(G5=" ","",INDEX(GCalXML[fasttype],$AL$4+$AC5+AI$1)),"")</f>
        <v> </v>
      </c>
      <c r="AJ5" s="152" t="str">
        <f>IFERROR(IF(H5=" ","",INDEX(GCalXML[fasttype],$AL$4+$AC5+AJ$1)),"")</f>
        <v> </v>
      </c>
      <c r="AK5" s="153" t="str">
        <f>IFERROR(IF(I5=" ","",INDEX(GCalXML[fasttype],$AL$4+$AC5+AK$1)),"")</f>
        <v> </v>
      </c>
      <c r="AL5" s="182">
        <f>IFERROR(MATCH($U$1 &amp; "." &amp; AD5,'Moon Calendar'!$I$2:$I$65,0),"")</f>
        <v>10</v>
      </c>
      <c r="AM5" s="149" t="str">
        <f>AM3 &amp; "." &amp;AP$2</f>
        <v>02.1</v>
      </c>
      <c r="AN5" s="150" t="str">
        <f>IFERROR(IF(L5=" ","",INDEX(GCalXML[fasttype],$AU$4+$AC5+AN$1)),"")</f>
        <v/>
      </c>
      <c r="AO5" s="151" t="str">
        <f>IFERROR(IF(M5=" ","",INDEX(GCalXML[fasttype],$AU$4+$AC5+AO$1)),"")</f>
        <v/>
      </c>
      <c r="AP5" s="151" t="str">
        <f>IFERROR(IF(N5=" ","",INDEX(GCalXML[fasttype],$AU$4+$AC5+AP$1)),"")</f>
        <v/>
      </c>
      <c r="AQ5" s="151" t="str">
        <f>IFERROR(IF(O5=" ","",INDEX(GCalXML[fasttype],$AU$4+$AC5+AQ$1)),"")</f>
        <v/>
      </c>
      <c r="AR5" s="151" t="str">
        <f>IFERROR(IF(P5=" ","",INDEX(GCalXML[fasttype],$AU$4+$AC5+AR$1)),"")</f>
        <v/>
      </c>
      <c r="AS5" s="152" t="str">
        <f>IFERROR(IF(Q5=" ","",INDEX(GCalXML[fasttype],$AU$4+$AC5+AS$1)),"")</f>
        <v> </v>
      </c>
      <c r="AT5" s="153" t="str">
        <f>IFERROR(IF(R5=" ","",INDEX(GCalXML[fasttype],$AU$4+$AC5+AT$1)),"")</f>
        <v>C</v>
      </c>
      <c r="AU5" s="182">
        <f>IFERROR(MATCH($U$1 &amp; "." &amp; AM5,'Moon Calendar'!$I$2:$I$65,0),"")</f>
        <v>14</v>
      </c>
      <c r="AV5" s="149" t="str">
        <f>AV3 &amp; "." &amp;AY$2</f>
        <v>03.1</v>
      </c>
      <c r="AW5" s="150" t="str">
        <f>IFERROR(IF(U5=" ","",INDEX(GCalXML[fasttype],$BD$4+$AC5+AW$1)),"")</f>
        <v/>
      </c>
      <c r="AX5" s="151" t="str">
        <f>IFERROR(IF(V5=" ","",INDEX(GCalXML[fasttype],$BD$4+$AC5+AX$1)),"")</f>
        <v/>
      </c>
      <c r="AY5" s="151" t="str">
        <f>IFERROR(IF(W5=" ","",INDEX(GCalXML[fasttype],$BD$4+$AC5+AY$1)),"")</f>
        <v/>
      </c>
      <c r="AZ5" s="151" t="str">
        <f>IFERROR(IF(X5=" ","",INDEX(GCalXML[fasttype],$BD$4+$AC5+AZ$1)),"")</f>
        <v/>
      </c>
      <c r="BA5" s="151" t="str">
        <f>IFERROR(IF(Y5=" ","",INDEX(GCalXML[fasttype],$BD$4+$AC5+BA$1)),"")</f>
        <v/>
      </c>
      <c r="BB5" s="152" t="str">
        <f>IFERROR(IF(Z5=" ","",INDEX(GCalXML[fasttype],$BD$4+$AC5+BB$1)),"")</f>
        <v/>
      </c>
      <c r="BC5" s="153" t="str">
        <f>IFERROR(IF(AA5=" ","",INDEX(GCalXML[fasttype],$BD$4+$AC5+BC$1)),"")</f>
        <v> </v>
      </c>
      <c r="BD5" s="182">
        <f>IFERROR(MATCH($U$1 &amp; "." &amp; AV5,'Moon Calendar'!$I$2:$I$65,0),"")</f>
        <v>18</v>
      </c>
    </row>
    <row r="6" spans="1:61" ht="18">
      <c r="A6" s="61"/>
      <c r="B6" s="144">
        <f>AD4</f>
        <v>2</v>
      </c>
      <c r="C6" s="145">
        <f>I5+1</f>
        <v>43836</v>
      </c>
      <c r="D6" s="146">
        <f t="shared" ref="D6:I8" si="3">C6+1</f>
        <v>43837</v>
      </c>
      <c r="E6" s="146">
        <f t="shared" si="3"/>
        <v>43838</v>
      </c>
      <c r="F6" s="146">
        <f t="shared" si="3"/>
        <v>43839</v>
      </c>
      <c r="G6" s="146">
        <f t="shared" si="3"/>
        <v>43840</v>
      </c>
      <c r="H6" s="147">
        <f t="shared" si="3"/>
        <v>43841</v>
      </c>
      <c r="I6" s="148">
        <f t="shared" si="3"/>
        <v>43842</v>
      </c>
      <c r="K6" s="144">
        <f>AM4</f>
        <v>6</v>
      </c>
      <c r="L6" s="145">
        <f>R5+1</f>
        <v>43864</v>
      </c>
      <c r="M6" s="146">
        <f t="shared" ref="M6:R8" si="4">L6+1</f>
        <v>43865</v>
      </c>
      <c r="N6" s="146">
        <f t="shared" si="4"/>
        <v>43866</v>
      </c>
      <c r="O6" s="146">
        <f t="shared" si="4"/>
        <v>43867</v>
      </c>
      <c r="P6" s="146">
        <f t="shared" si="4"/>
        <v>43868</v>
      </c>
      <c r="Q6" s="147">
        <f t="shared" si="4"/>
        <v>43869</v>
      </c>
      <c r="R6" s="148">
        <f t="shared" si="4"/>
        <v>43870</v>
      </c>
      <c r="S6" s="61"/>
      <c r="T6" s="144">
        <f>AV4</f>
        <v>10</v>
      </c>
      <c r="U6" s="145">
        <f>AA5+1</f>
        <v>43892</v>
      </c>
      <c r="V6" s="146">
        <f t="shared" ref="V6:AA8" si="5">U6+1</f>
        <v>43893</v>
      </c>
      <c r="W6" s="146">
        <f t="shared" si="5"/>
        <v>43894</v>
      </c>
      <c r="X6" s="146">
        <f t="shared" si="5"/>
        <v>43895</v>
      </c>
      <c r="Y6" s="146">
        <f t="shared" si="5"/>
        <v>43896</v>
      </c>
      <c r="Z6" s="147">
        <f t="shared" si="5"/>
        <v>43897</v>
      </c>
      <c r="AA6" s="148">
        <f t="shared" si="5"/>
        <v>43898</v>
      </c>
      <c r="AB6" s="61"/>
      <c r="AC6" s="488">
        <v>7</v>
      </c>
      <c r="AD6" s="149" t="str">
        <f>AD3 &amp; "." &amp;AH$2</f>
        <v>01.2</v>
      </c>
      <c r="AE6" s="150" t="str">
        <f>IFERROR(IF(C6=" ","",INDEX(GCalXML[fasttype],$AL$4+$AC6+AE$1)),"")</f>
        <v>E</v>
      </c>
      <c r="AF6" s="151" t="str">
        <f>IFERROR(IF(D6=" ","",INDEX(GCalXML[fasttype],$AL$4+$AC6+AF$1)),"")</f>
        <v>C</v>
      </c>
      <c r="AG6" s="151" t="str">
        <f>IFERROR(IF(E6=" ","",INDEX(GCalXML[fasttype],$AL$4+$AC6+AG$1)),"")</f>
        <v> </v>
      </c>
      <c r="AH6" s="151" t="str">
        <f>IFERROR(IF(F6=" ","",INDEX(GCalXML[fasttype],$AL$4+$AC6+AH$1)),"")</f>
        <v> </v>
      </c>
      <c r="AI6" s="151" t="str">
        <f>IFERROR(IF(G6=" ","",INDEX(GCalXML[fasttype],$AL$4+$AC6+AI$1)),"")</f>
        <v>C</v>
      </c>
      <c r="AJ6" s="152" t="str">
        <f>IFERROR(IF(H6=" ","",INDEX(GCalXML[fasttype],$AL$4+$AC6+AJ$1)),"")</f>
        <v> </v>
      </c>
      <c r="AK6" s="153" t="str">
        <f>IFERROR(IF(I6=" ","",INDEX(GCalXML[fasttype],$AL$4+$AC6+AK$1)),"")</f>
        <v> </v>
      </c>
      <c r="AL6" s="182">
        <f>IFERROR(MATCH($U$1 &amp; "." &amp; AD6,'Moon Calendar'!$I$2:$I$65,0),"")</f>
        <v>11</v>
      </c>
      <c r="AM6" s="149" t="str">
        <f>AM3 &amp; "." &amp;AQ$2</f>
        <v>02.2</v>
      </c>
      <c r="AN6" s="150" t="str">
        <f>IFERROR(IF(L6=" ","",INDEX(GCalXML[fasttype],$AU$4+$AC6+AN$1)),"")</f>
        <v>C</v>
      </c>
      <c r="AO6" s="151" t="str">
        <f>IFERROR(IF(M6=" ","",INDEX(GCalXML[fasttype],$AU$4+$AC6+AO$1)),"")</f>
        <v>C</v>
      </c>
      <c r="AP6" s="151" t="str">
        <f>IFERROR(IF(N6=" ","",INDEX(GCalXML[fasttype],$AU$4+$AC6+AP$1)),"")</f>
        <v>K</v>
      </c>
      <c r="AQ6" s="151" t="str">
        <f>IFERROR(IF(O6=" ","",INDEX(GCalXML[fasttype],$AU$4+$AC6+AQ$1)),"")</f>
        <v>F</v>
      </c>
      <c r="AR6" s="151" t="str">
        <f>IFERROR(IF(P6=" ","",INDEX(GCalXML[fasttype],$AU$4+$AC6+AR$1)),"")</f>
        <v>P</v>
      </c>
      <c r="AS6" s="152" t="str">
        <f>IFERROR(IF(Q6=" ","",INDEX(GCalXML[fasttype],$AU$4+$AC6+AS$1)),"")</f>
        <v>C</v>
      </c>
      <c r="AT6" s="153" t="str">
        <f>IFERROR(IF(R6=" ","",INDEX(GCalXML[fasttype],$AU$4+$AC6+AT$1)),"")</f>
        <v> </v>
      </c>
      <c r="AU6" s="182">
        <f>IFERROR(MATCH($U$1 &amp; "." &amp; AM6,'Moon Calendar'!$I$2:$I$65,0),"")</f>
        <v>15</v>
      </c>
      <c r="AV6" s="149" t="str">
        <f>AV3 &amp; "." &amp;AZ$2</f>
        <v>03.2</v>
      </c>
      <c r="AW6" s="150" t="str">
        <f>IFERROR(IF(U6=" ","",INDEX(GCalXML[fasttype],$BD$4+$AC6+AW$1)),"")</f>
        <v> </v>
      </c>
      <c r="AX6" s="151" t="str">
        <f>IFERROR(IF(V6=" ","",INDEX(GCalXML[fasttype],$BD$4+$AC6+AX$1)),"")</f>
        <v> </v>
      </c>
      <c r="AY6" s="151" t="str">
        <f>IFERROR(IF(W6=" ","",INDEX(GCalXML[fasttype],$BD$4+$AC6+AY$1)),"")</f>
        <v> </v>
      </c>
      <c r="AZ6" s="151" t="str">
        <f>IFERROR(IF(X6=" ","",INDEX(GCalXML[fasttype],$BD$4+$AC6+AZ$1)),"")</f>
        <v>E</v>
      </c>
      <c r="BA6" s="151" t="str">
        <f>IFERROR(IF(Y6=" ","",INDEX(GCalXML[fasttype],$BD$4+$AC6+BA$1)),"")</f>
        <v>C</v>
      </c>
      <c r="BB6" s="152" t="str">
        <f>IFERROR(IF(Z6=" ","",INDEX(GCalXML[fasttype],$BD$4+$AC6+BB$1)),"")</f>
        <v> </v>
      </c>
      <c r="BC6" s="153" t="str">
        <f>IFERROR(IF(AA6=" ","",INDEX(GCalXML[fasttype],$BD$4+$AC6+BC$1)),"")</f>
        <v> </v>
      </c>
      <c r="BD6" s="182">
        <f>IFERROR(MATCH($U$1 &amp; "." &amp; AV6,'Moon Calendar'!$I$2:$I$65,0),"")</f>
        <v>19</v>
      </c>
    </row>
    <row r="7" spans="1:61" ht="18">
      <c r="A7" s="61"/>
      <c r="B7" s="144">
        <f>B6+1</f>
        <v>3</v>
      </c>
      <c r="C7" s="145">
        <f>I6+1</f>
        <v>43843</v>
      </c>
      <c r="D7" s="146">
        <f t="shared" si="3"/>
        <v>43844</v>
      </c>
      <c r="E7" s="146">
        <f t="shared" si="3"/>
        <v>43845</v>
      </c>
      <c r="F7" s="146">
        <f t="shared" si="3"/>
        <v>43846</v>
      </c>
      <c r="G7" s="146">
        <f t="shared" si="3"/>
        <v>43847</v>
      </c>
      <c r="H7" s="147">
        <f t="shared" si="3"/>
        <v>43848</v>
      </c>
      <c r="I7" s="148">
        <f t="shared" si="3"/>
        <v>43849</v>
      </c>
      <c r="K7" s="144">
        <f>K6+1</f>
        <v>7</v>
      </c>
      <c r="L7" s="145">
        <f>R6+1</f>
        <v>43871</v>
      </c>
      <c r="M7" s="146">
        <f t="shared" si="4"/>
        <v>43872</v>
      </c>
      <c r="N7" s="146">
        <f t="shared" si="4"/>
        <v>43873</v>
      </c>
      <c r="O7" s="146">
        <f t="shared" si="4"/>
        <v>43874</v>
      </c>
      <c r="P7" s="146">
        <f t="shared" si="4"/>
        <v>43875</v>
      </c>
      <c r="Q7" s="147">
        <f t="shared" si="4"/>
        <v>43876</v>
      </c>
      <c r="R7" s="148">
        <f t="shared" si="4"/>
        <v>43877</v>
      </c>
      <c r="S7" s="61"/>
      <c r="T7" s="144">
        <f>T6+1</f>
        <v>11</v>
      </c>
      <c r="U7" s="145">
        <f>AA6+1</f>
        <v>43899</v>
      </c>
      <c r="V7" s="146">
        <f t="shared" si="5"/>
        <v>43900</v>
      </c>
      <c r="W7" s="146">
        <f t="shared" si="5"/>
        <v>43901</v>
      </c>
      <c r="X7" s="146">
        <f t="shared" si="5"/>
        <v>43902</v>
      </c>
      <c r="Y7" s="146">
        <f t="shared" si="5"/>
        <v>43903</v>
      </c>
      <c r="Z7" s="147">
        <f t="shared" si="5"/>
        <v>43904</v>
      </c>
      <c r="AA7" s="148">
        <f t="shared" si="5"/>
        <v>43905</v>
      </c>
      <c r="AB7" s="61"/>
      <c r="AC7" s="488">
        <v>14</v>
      </c>
      <c r="AD7" s="149" t="str">
        <f>AD3 &amp; "." &amp;AI$2</f>
        <v>01.3</v>
      </c>
      <c r="AE7" s="150" t="str">
        <f>IFERROR(IF(C7=" ","",INDEX(GCalXML[fasttype],$AL$4+$AC7+AE$1)),"")</f>
        <v> </v>
      </c>
      <c r="AF7" s="151" t="str">
        <f>IFERROR(IF(D7=" ","",INDEX(GCalXML[fasttype],$AL$4+$AC7+AF$1)),"")</f>
        <v>C</v>
      </c>
      <c r="AG7" s="151" t="str">
        <f>IFERROR(IF(E7=" ","",INDEX(GCalXML[fasttype],$AL$4+$AC7+AG$1)),"")</f>
        <v>C</v>
      </c>
      <c r="AH7" s="151" t="str">
        <f>IFERROR(IF(F7=" ","",INDEX(GCalXML[fasttype],$AL$4+$AC7+AH$1)),"")</f>
        <v>C</v>
      </c>
      <c r="AI7" s="151" t="str">
        <f>IFERROR(IF(G7=" ","",INDEX(GCalXML[fasttype],$AL$4+$AC7+AI$1)),"")</f>
        <v> </v>
      </c>
      <c r="AJ7" s="152" t="str">
        <f>IFERROR(IF(H7=" ","",INDEX(GCalXML[fasttype],$AL$4+$AC7+AJ$1)),"")</f>
        <v> </v>
      </c>
      <c r="AK7" s="153" t="str">
        <f>IFERROR(IF(I7=" ","",INDEX(GCalXML[fasttype],$AL$4+$AC7+AK$1)),"")</f>
        <v> </v>
      </c>
      <c r="AL7" s="182">
        <f>IFERROR(MATCH($U$1 &amp; "." &amp; AD7,'Moon Calendar'!$I$2:$I$65,0),"")</f>
        <v>12</v>
      </c>
      <c r="AM7" s="149" t="str">
        <f>AM3 &amp; "." &amp;AR$2</f>
        <v>02.3</v>
      </c>
      <c r="AN7" s="150" t="str">
        <f>IFERROR(IF(L7=" ","",INDEX(GCalXML[fasttype],$AU$4+$AC7+AN$1)),"")</f>
        <v> </v>
      </c>
      <c r="AO7" s="151" t="str">
        <f>IFERROR(IF(M7=" ","",INDEX(GCalXML[fasttype],$AU$4+$AC7+AO$1)),"")</f>
        <v> </v>
      </c>
      <c r="AP7" s="151" t="str">
        <f>IFERROR(IF(N7=" ","",INDEX(GCalXML[fasttype],$AU$4+$AC7+AP$1)),"")</f>
        <v> </v>
      </c>
      <c r="AQ7" s="151" t="str">
        <f>IFERROR(IF(O7=" ","",INDEX(GCalXML[fasttype],$AU$4+$AC7+AQ$1)),"")</f>
        <v>P</v>
      </c>
      <c r="AR7" s="151" t="str">
        <f>IFERROR(IF(P7=" ","",INDEX(GCalXML[fasttype],$AU$4+$AC7+AR$1)),"")</f>
        <v> </v>
      </c>
      <c r="AS7" s="152" t="str">
        <f>IFERROR(IF(Q7=" ","",INDEX(GCalXML[fasttype],$AU$4+$AC7+AS$1)),"")</f>
        <v> </v>
      </c>
      <c r="AT7" s="153" t="str">
        <f>IFERROR(IF(R7=" ","",INDEX(GCalXML[fasttype],$AU$4+$AC7+AT$1)),"")</f>
        <v> </v>
      </c>
      <c r="AU7" s="182">
        <f>IFERROR(MATCH($U$1 &amp; "." &amp; AM7,'Moon Calendar'!$I$2:$I$65,0),"")</f>
        <v>16</v>
      </c>
      <c r="AV7" s="149" t="str">
        <f>AV3 &amp; "." &amp;BA$2</f>
        <v>03.3</v>
      </c>
      <c r="AW7" s="150" t="str">
        <f>IFERROR(IF(U7=" ","",INDEX(GCalXML[fasttype],$BD$4+$AC7+AW$1)),"")</f>
        <v>P</v>
      </c>
      <c r="AX7" s="151" t="str">
        <f>IFERROR(IF(V7=" ","",INDEX(GCalXML[fasttype],$BD$4+$AC7+AX$1)),"")</f>
        <v>C</v>
      </c>
      <c r="AY7" s="151" t="str">
        <f>IFERROR(IF(W7=" ","",INDEX(GCalXML[fasttype],$BD$4+$AC7+AY$1)),"")</f>
        <v> </v>
      </c>
      <c r="AZ7" s="151" t="str">
        <f>IFERROR(IF(X7=" ","",INDEX(GCalXML[fasttype],$BD$4+$AC7+AZ$1)),"")</f>
        <v> </v>
      </c>
      <c r="BA7" s="151" t="str">
        <f>IFERROR(IF(Y7=" ","",INDEX(GCalXML[fasttype],$BD$4+$AC7+BA$1)),"")</f>
        <v> </v>
      </c>
      <c r="BB7" s="152" t="str">
        <f>IFERROR(IF(Z7=" ","",INDEX(GCalXML[fasttype],$BD$4+$AC7+BB$1)),"")</f>
        <v> </v>
      </c>
      <c r="BC7" s="153" t="str">
        <f>IFERROR(IF(AA7=" ","",INDEX(GCalXML[fasttype],$BD$4+$AC7+BC$1)),"")</f>
        <v> </v>
      </c>
      <c r="BD7" s="182">
        <f>IFERROR(MATCH($U$1 &amp; "." &amp; AV7,'Moon Calendar'!$I$2:$I$65,0),"")</f>
        <v>20</v>
      </c>
    </row>
    <row r="8" spans="1:61" ht="18">
      <c r="A8" s="61"/>
      <c r="B8" s="144">
        <f>B7+1</f>
        <v>4</v>
      </c>
      <c r="C8" s="145">
        <f>I7+1</f>
        <v>43850</v>
      </c>
      <c r="D8" s="146">
        <f t="shared" si="3"/>
        <v>43851</v>
      </c>
      <c r="E8" s="146">
        <f t="shared" si="3"/>
        <v>43852</v>
      </c>
      <c r="F8" s="146">
        <f t="shared" si="3"/>
        <v>43853</v>
      </c>
      <c r="G8" s="146">
        <f t="shared" si="3"/>
        <v>43854</v>
      </c>
      <c r="H8" s="147">
        <f t="shared" si="3"/>
        <v>43855</v>
      </c>
      <c r="I8" s="148">
        <f t="shared" si="3"/>
        <v>43856</v>
      </c>
      <c r="K8" s="144">
        <f>K7+1</f>
        <v>8</v>
      </c>
      <c r="L8" s="145">
        <f>R7+1</f>
        <v>43878</v>
      </c>
      <c r="M8" s="146">
        <f t="shared" si="4"/>
        <v>43879</v>
      </c>
      <c r="N8" s="146">
        <f t="shared" si="4"/>
        <v>43880</v>
      </c>
      <c r="O8" s="146">
        <f t="shared" si="4"/>
        <v>43881</v>
      </c>
      <c r="P8" s="146">
        <f t="shared" si="4"/>
        <v>43882</v>
      </c>
      <c r="Q8" s="147">
        <f t="shared" si="4"/>
        <v>43883</v>
      </c>
      <c r="R8" s="148">
        <f t="shared" si="4"/>
        <v>43884</v>
      </c>
      <c r="S8" s="61"/>
      <c r="T8" s="144">
        <f>T7+1</f>
        <v>12</v>
      </c>
      <c r="U8" s="145">
        <f>AA7+1</f>
        <v>43906</v>
      </c>
      <c r="V8" s="146">
        <f t="shared" si="5"/>
        <v>43907</v>
      </c>
      <c r="W8" s="146">
        <f t="shared" si="5"/>
        <v>43908</v>
      </c>
      <c r="X8" s="146">
        <f t="shared" si="5"/>
        <v>43909</v>
      </c>
      <c r="Y8" s="146">
        <f t="shared" si="5"/>
        <v>43910</v>
      </c>
      <c r="Z8" s="147">
        <f t="shared" si="5"/>
        <v>43911</v>
      </c>
      <c r="AA8" s="148">
        <f t="shared" si="5"/>
        <v>43912</v>
      </c>
      <c r="AB8" s="61"/>
      <c r="AC8" s="488">
        <v>21</v>
      </c>
      <c r="AD8" s="149" t="str">
        <f>AD3 &amp; "." &amp;AJ$2</f>
        <v>01.4</v>
      </c>
      <c r="AE8" s="150" t="str">
        <f>IFERROR(IF(C8=" ","",INDEX(GCalXML[fasttype],$AL$4+$AC8+AE$1)),"")</f>
        <v>E</v>
      </c>
      <c r="AF8" s="151" t="str">
        <f>IFERROR(IF(D8=" ","",INDEX(GCalXML[fasttype],$AL$4+$AC8+AF$1)),"")</f>
        <v>C</v>
      </c>
      <c r="AG8" s="151" t="str">
        <f>IFERROR(IF(E8=" ","",INDEX(GCalXML[fasttype],$AL$4+$AC8+AG$1)),"")</f>
        <v> </v>
      </c>
      <c r="AH8" s="151" t="str">
        <f>IFERROR(IF(F8=" ","",INDEX(GCalXML[fasttype],$AL$4+$AC8+AH$1)),"")</f>
        <v> </v>
      </c>
      <c r="AI8" s="151" t="str">
        <f>IFERROR(IF(G8=" ","",INDEX(GCalXML[fasttype],$AL$4+$AC8+AI$1)),"")</f>
        <v> </v>
      </c>
      <c r="AJ8" s="152" t="str">
        <f>IFERROR(IF(H8=" ","",INDEX(GCalXML[fasttype],$AL$4+$AC8+AJ$1)),"")</f>
        <v> </v>
      </c>
      <c r="AK8" s="153" t="str">
        <f>IFERROR(IF(I8=" ","",INDEX(GCalXML[fasttype],$AL$4+$AC8+AK$1)),"")</f>
        <v> </v>
      </c>
      <c r="AL8" s="182">
        <f>IFERROR(MATCH($U$1 &amp; "." &amp; AD8,'Moon Calendar'!$I$2:$I$65,0),"")</f>
        <v>13</v>
      </c>
      <c r="AM8" s="149" t="str">
        <f>AM3 &amp; "." &amp;AS$2</f>
        <v>02.4</v>
      </c>
      <c r="AN8" s="150" t="str">
        <f>IFERROR(IF(L8=" ","",INDEX(GCalXML[fasttype],$AU$4+$AC8+AN$1)),"")</f>
        <v> </v>
      </c>
      <c r="AO8" s="151" t="str">
        <f>IFERROR(IF(M8=" ","",INDEX(GCalXML[fasttype],$AU$4+$AC8+AO$1)),"")</f>
        <v>E</v>
      </c>
      <c r="AP8" s="151" t="str">
        <f>IFERROR(IF(N8=" ","",INDEX(GCalXML[fasttype],$AU$4+$AC8+AP$1)),"")</f>
        <v>C</v>
      </c>
      <c r="AQ8" s="151" t="str">
        <f>IFERROR(IF(O8=" ","",INDEX(GCalXML[fasttype],$AU$4+$AC8+AQ$1)),"")</f>
        <v> </v>
      </c>
      <c r="AR8" s="151" t="str">
        <f>IFERROR(IF(P8=" ","",INDEX(GCalXML[fasttype],$AU$4+$AC8+AR$1)),"")</f>
        <v> </v>
      </c>
      <c r="AS8" s="152" t="str">
        <f>IFERROR(IF(Q8=" ","",INDEX(GCalXML[fasttype],$AU$4+$AC8+AS$1)),"")</f>
        <v>C</v>
      </c>
      <c r="AT8" s="153" t="str">
        <f>IFERROR(IF(R8=" ","",INDEX(GCalXML[fasttype],$AU$4+$AC8+AT$1)),"")</f>
        <v> </v>
      </c>
      <c r="AU8" s="182">
        <f>IFERROR(MATCH($U$1 &amp; "." &amp; AM8,'Moon Calendar'!$I$2:$I$65,0),"")</f>
        <v>17</v>
      </c>
      <c r="AV8" s="149" t="str">
        <f>AV3 &amp; "." &amp;BB$2</f>
        <v>03.4</v>
      </c>
      <c r="AW8" s="150" t="str">
        <f>IFERROR(IF(U8=" ","",INDEX(GCalXML[fasttype],$BD$4+$AC8+AW$1)),"")</f>
        <v>C</v>
      </c>
      <c r="AX8" s="151" t="str">
        <f>IFERROR(IF(V8=" ","",INDEX(GCalXML[fasttype],$BD$4+$AC8+AX$1)),"")</f>
        <v> </v>
      </c>
      <c r="AY8" s="151" t="str">
        <f>IFERROR(IF(W8=" ","",INDEX(GCalXML[fasttype],$BD$4+$AC8+AY$1)),"")</f>
        <v> </v>
      </c>
      <c r="AZ8" s="151" t="str">
        <f>IFERROR(IF(X8=" ","",INDEX(GCalXML[fasttype],$BD$4+$AC8+AZ$1)),"")</f>
        <v>E</v>
      </c>
      <c r="BA8" s="151" t="str">
        <f>IFERROR(IF(Y8=" ","",INDEX(GCalXML[fasttype],$BD$4+$AC8+BA$1)),"")</f>
        <v>C</v>
      </c>
      <c r="BB8" s="152" t="str">
        <f>IFERROR(IF(Z8=" ","",INDEX(GCalXML[fasttype],$BD$4+$AC8+BB$1)),"")</f>
        <v> </v>
      </c>
      <c r="BC8" s="153" t="str">
        <f>IFERROR(IF(AA8=" ","",INDEX(GCalXML[fasttype],$BD$4+$AC8+BC$1)),"")</f>
        <v> </v>
      </c>
      <c r="BD8" s="182">
        <f>IFERROR(MATCH($U$1 &amp; "." &amp; AV8,'Moon Calendar'!$I$2:$I$65,0),"")</f>
        <v>21</v>
      </c>
    </row>
    <row r="9" spans="1:61" ht="18">
      <c r="A9" s="61"/>
      <c r="B9" s="144">
        <f>IF(C9=" ","",B8+1)</f>
        <v>5</v>
      </c>
      <c r="C9" s="145">
        <f>IF(I8+1&lt;=AG3,I8+1," ")</f>
        <v>43857</v>
      </c>
      <c r="D9" s="146">
        <f>IF(C9=" "," ",IF(C9+1&lt;=AG3,C9+1," "))</f>
        <v>43858</v>
      </c>
      <c r="E9" s="146">
        <f>IF(D9=" "," ",IF(D9+1&lt;=AG3,D9+1," "))</f>
        <v>43859</v>
      </c>
      <c r="F9" s="146">
        <f>IF(E9=" "," ",IF(E9+1&lt;=AG3,E9+1," "))</f>
        <v>43860</v>
      </c>
      <c r="G9" s="146">
        <f>IF(F9=" "," ",IF(F9+1&lt;=AG3,F9+1," "))</f>
        <v>43861</v>
      </c>
      <c r="H9" s="147" t="str">
        <f>IF(G9=" "," ",IF(G9+1&lt;=AG3,G9+1," "))</f>
        <v xml:space="preserve"> </v>
      </c>
      <c r="I9" s="148" t="str">
        <f>IF(H9=" "," ",IF(H9+1&lt;=AG3,H9+1," "))</f>
        <v xml:space="preserve"> </v>
      </c>
      <c r="K9" s="154">
        <f>IF(L9=" ","",K8+1)</f>
        <v>9</v>
      </c>
      <c r="L9" s="145">
        <f>IF(R8+1&lt;=AP3,R8+1," ")</f>
        <v>43885</v>
      </c>
      <c r="M9" s="146">
        <f>IF(L9=" "," ",IF(L9+1&lt;=AP3,L9+1," "))</f>
        <v>43886</v>
      </c>
      <c r="N9" s="146">
        <f>IF(M9=" "," ",IF(M9+1&lt;=AP3,M9+1," "))</f>
        <v>43887</v>
      </c>
      <c r="O9" s="146">
        <f>IF(N9=" "," ",IF(N9+1&lt;=AP3,N9+1," "))</f>
        <v>43888</v>
      </c>
      <c r="P9" s="146">
        <f>IF(O9=" "," ",IF(O9+1&lt;=AP3,O9+1," "))</f>
        <v>43889</v>
      </c>
      <c r="Q9" s="147">
        <f>IF(P9=" "," ",IF(P9+1&lt;=AP3,P9+1," "))</f>
        <v>43890</v>
      </c>
      <c r="R9" s="148" t="str">
        <f>IF(Q9=" "," ",IF(Q9+1&lt;=AP3,Q9+1," "))</f>
        <v xml:space="preserve"> </v>
      </c>
      <c r="S9" s="61"/>
      <c r="T9" s="144">
        <f>IF(U9=" ","",T8+1)</f>
        <v>13</v>
      </c>
      <c r="U9" s="145">
        <f>IF(AA8+1&lt;=AY3,AA8+1," ")</f>
        <v>43913</v>
      </c>
      <c r="V9" s="146">
        <f>IF(U9=" "," ",IF(U9+1&lt;=AY3,U9+1," "))</f>
        <v>43914</v>
      </c>
      <c r="W9" s="146">
        <f>IF(V9=" "," ",IF(V9+1&lt;=AY3,V9+1," "))</f>
        <v>43915</v>
      </c>
      <c r="X9" s="146">
        <f>IF(W9=" "," ",IF(W9+1&lt;=AY3,W9+1," "))</f>
        <v>43916</v>
      </c>
      <c r="Y9" s="146">
        <f>IF(X9=" "," ",IF(X9+1&lt;=AY3,X9+1," "))</f>
        <v>43917</v>
      </c>
      <c r="Z9" s="147">
        <f>IF(Y9=" "," ",IF(Y9+1&lt;=AY3,Y9+1," "))</f>
        <v>43918</v>
      </c>
      <c r="AA9" s="148">
        <f>IF(Z9=" "," ",IF(Z9+1&lt;=AY3,Z9+1," "))</f>
        <v>43919</v>
      </c>
      <c r="AB9" s="61"/>
      <c r="AC9" s="488">
        <v>28</v>
      </c>
      <c r="AD9" s="149" t="str">
        <f>AD3 &amp; "." &amp;AK$2</f>
        <v>01.5</v>
      </c>
      <c r="AE9" s="150" t="str">
        <f>IFERROR(IF(C9=" ","",INDEX(GCalXML[fasttype],$AL$4+$AC9+AE$1)),"")</f>
        <v> </v>
      </c>
      <c r="AF9" s="151" t="str">
        <f>IFERROR(IF(D9=" ","",INDEX(GCalXML[fasttype],$AL$4+$AC9+AF$1)),"")</f>
        <v> </v>
      </c>
      <c r="AG9" s="151" t="str">
        <f>IFERROR(IF(E9=" ","",INDEX(GCalXML[fasttype],$AL$4+$AC9+AG$1)),"")</f>
        <v>C</v>
      </c>
      <c r="AH9" s="151" t="str">
        <f>IFERROR(IF(F9=" ","",INDEX(GCalXML[fasttype],$AL$4+$AC9+AH$1)),"")</f>
        <v> </v>
      </c>
      <c r="AI9" s="151" t="str">
        <f>IFERROR(IF(G9=" ","",INDEX(GCalXML[fasttype],$AL$4+$AC9+AI$1)),"")</f>
        <v>P</v>
      </c>
      <c r="AJ9" s="152" t="str">
        <f>IFERROR(IF(H9=" ","",INDEX(GCalXML[fasttype],$AL$4+$AC9+AJ$1)),"")</f>
        <v/>
      </c>
      <c r="AK9" s="153" t="str">
        <f>IFERROR(IF(I9=" ","",INDEX(GCalXML[fasttype],$AL$4+$AC9+AK$1)),"")</f>
        <v/>
      </c>
      <c r="AL9" s="182" t="str">
        <f>IFERROR(MATCH($U$1 &amp; "." &amp; AD9,'Moon Calendar'!$I$2:$I$65,0),"")</f>
        <v/>
      </c>
      <c r="AM9" s="149" t="str">
        <f>AM3 &amp; "." &amp;AT$2</f>
        <v>02.5</v>
      </c>
      <c r="AN9" s="150" t="str">
        <f>IFERROR(IF(L9=" ","",INDEX(GCalXML[fasttype],$AU$4+$AC9+AN$1)),"")</f>
        <v>C</v>
      </c>
      <c r="AO9" s="151" t="str">
        <f>IFERROR(IF(M9=" ","",INDEX(GCalXML[fasttype],$AU$4+$AC9+AO$1)),"")</f>
        <v> </v>
      </c>
      <c r="AP9" s="151" t="str">
        <f>IFERROR(IF(N9=" ","",INDEX(GCalXML[fasttype],$AU$4+$AC9+AP$1)),"")</f>
        <v> </v>
      </c>
      <c r="AQ9" s="151" t="str">
        <f>IFERROR(IF(O9=" ","",INDEX(GCalXML[fasttype],$AU$4+$AC9+AQ$1)),"")</f>
        <v>C</v>
      </c>
      <c r="AR9" s="151" t="str">
        <f>IFERROR(IF(P9=" ","",INDEX(GCalXML[fasttype],$AU$4+$AC9+AR$1)),"")</f>
        <v> </v>
      </c>
      <c r="AS9" s="152" t="str">
        <f>IFERROR(IF(Q9=" ","",INDEX(GCalXML[fasttype],$AU$4+$AC9+AS$1)),"")</f>
        <v> </v>
      </c>
      <c r="AT9" s="153" t="str">
        <f>IFERROR(IF(R9=" ","",INDEX(GCalXML[fasttype],$AU$4+$AC9+AT$1)),"")</f>
        <v/>
      </c>
      <c r="AU9" s="182" t="str">
        <f>IFERROR(MATCH($U$1 &amp; "." &amp; AM9,'Moon Calendar'!$I$2:$I$65,0),"")</f>
        <v/>
      </c>
      <c r="AV9" s="149" t="str">
        <f>AV3 &amp; "." &amp;BC$2</f>
        <v>03.5</v>
      </c>
      <c r="AW9" s="150" t="str">
        <f>IFERROR(IF(U9=" ","",INDEX(GCalXML[fasttype],$BD$4+$AC9+AW$1)),"")</f>
        <v> </v>
      </c>
      <c r="AX9" s="151" t="str">
        <f>IFERROR(IF(V9=" ","",INDEX(GCalXML[fasttype],$BD$4+$AC9+AX$1)),"")</f>
        <v> </v>
      </c>
      <c r="AY9" s="151" t="str">
        <f>IFERROR(IF(W9=" ","",INDEX(GCalXML[fasttype],$BD$4+$AC9+AY$1)),"")</f>
        <v> </v>
      </c>
      <c r="AZ9" s="151" t="str">
        <f>IFERROR(IF(X9=" ","",INDEX(GCalXML[fasttype],$BD$4+$AC9+AZ$1)),"")</f>
        <v> </v>
      </c>
      <c r="BA9" s="151" t="str">
        <f>IFERROR(IF(Y9=" ","",INDEX(GCalXML[fasttype],$BD$4+$AC9+BA$1)),"")</f>
        <v> </v>
      </c>
      <c r="BB9" s="152" t="str">
        <f>IFERROR(IF(Z9=" ","",INDEX(GCalXML[fasttype],$BD$4+$AC9+BB$1)),"")</f>
        <v> </v>
      </c>
      <c r="BC9" s="153" t="str">
        <f>IFERROR(IF(AA9=" ","",INDEX(GCalXML[fasttype],$BD$4+$AC9+BC$1)),"")</f>
        <v>C</v>
      </c>
      <c r="BD9" s="182" t="str">
        <f>IFERROR(MATCH($U$1 &amp; "." &amp; AV9,'Moon Calendar'!$I$2:$I$65,0),"")</f>
        <v/>
      </c>
    </row>
    <row r="10" spans="1:61" ht="18.75" thickBot="1">
      <c r="A10" s="61"/>
      <c r="B10" s="144" t="str">
        <f>IF(C10=" ","",B9+1)</f>
        <v/>
      </c>
      <c r="C10" s="155" t="str">
        <f>IF(I9=" "," ",IF(I9+1&lt;=AG3,I9+1," "))</f>
        <v xml:space="preserve"> </v>
      </c>
      <c r="D10" s="156" t="str">
        <f>IF(C10=" "," ",IF(C10+1&lt;=AG3,C10+1," "))</f>
        <v xml:space="preserve"> </v>
      </c>
      <c r="E10" s="156"/>
      <c r="F10" s="156"/>
      <c r="G10" s="156"/>
      <c r="H10" s="157"/>
      <c r="I10" s="158"/>
      <c r="K10" s="154" t="str">
        <f>IF(L10=" ","",K9+1)</f>
        <v/>
      </c>
      <c r="L10" s="155" t="str">
        <f>IF(R9=" "," ",IF(R9+1&lt;=AP3,R9+1," "))</f>
        <v xml:space="preserve"> </v>
      </c>
      <c r="M10" s="156" t="str">
        <f>IF(L10=" "," ",IF(L10+1&lt;=AP3,L10+1," "))</f>
        <v xml:space="preserve"> </v>
      </c>
      <c r="N10" s="156"/>
      <c r="O10" s="156"/>
      <c r="P10" s="156"/>
      <c r="Q10" s="157"/>
      <c r="R10" s="158"/>
      <c r="S10" s="61"/>
      <c r="T10" s="154">
        <f>IF(U10=" ","",T9+1)</f>
        <v>14</v>
      </c>
      <c r="U10" s="155">
        <f>IF(AA9=" "," ",IF(AA9+1&lt;=AY3,AA9+1," "))</f>
        <v>43920</v>
      </c>
      <c r="V10" s="156">
        <f>IF(U10=" "," ",IF(U10+1&lt;=AY3,U10+1," "))</f>
        <v>43921</v>
      </c>
      <c r="W10" s="156"/>
      <c r="X10" s="671" t="str">
        <f ca="1">"20 - " &amp; 'GPlan-Translations'!C176</f>
        <v>20 - Autumn</v>
      </c>
      <c r="Y10" s="671"/>
      <c r="Z10" s="671"/>
      <c r="AA10" s="672"/>
      <c r="AB10" s="61"/>
      <c r="AC10" s="488">
        <v>35</v>
      </c>
      <c r="AE10" s="159" t="str">
        <f>IFERROR(IF(C10=" ","",INDEX(GCalXML[fasttype],$AL$4+$AC10+AE$1)),"")</f>
        <v/>
      </c>
      <c r="AF10" s="160" t="str">
        <f>IFERROR(IF(D10=" ","",INDEX(GCalXML[fasttype],$AL$4+$AC10+AF$1)),"")</f>
        <v/>
      </c>
      <c r="AG10" s="161">
        <f>IFERROR(INDEX('Moon Calendar'!$F$2:$F$65,AL5),"")</f>
        <v>43832</v>
      </c>
      <c r="AH10" s="161">
        <f>IFERROR(INDEX('Moon Calendar'!$F$2:$F$65,AL6),"")</f>
        <v>43840</v>
      </c>
      <c r="AI10" s="161">
        <f>IFERROR(INDEX('Moon Calendar'!$F$2:$F$65,AL7),"")</f>
        <v>43847</v>
      </c>
      <c r="AJ10" s="161">
        <f>IFERROR(INDEX('Moon Calendar'!$F$2:$F$65,AL8),"")</f>
        <v>43854</v>
      </c>
      <c r="AK10" s="162" t="str">
        <f>IFERROR(INDEX('Moon Calendar'!$F$2:$F$65,AL9),"")</f>
        <v/>
      </c>
      <c r="AL10" s="336" t="str">
        <f ca="1">AD11 &amp; " " &amp; AE11  &amp; AL11 &amp; AF11 &amp; " " &amp; AG11 &amp; AL11 &amp; AH11 &amp; " " &amp; AI11 &amp; IF(AJ11&lt;&gt;"",AL11 &amp; AJ11 &amp; " " &amp; AK11,"")</f>
        <v> 2           10           17           24</v>
      </c>
      <c r="AN10" s="159" t="str">
        <f>IFERROR(IF(L10=" ","",INDEX(GCalXML[fasttype],$AU$4+$AC10+AN$1)),"")</f>
        <v/>
      </c>
      <c r="AO10" s="160" t="str">
        <f>IFERROR(IF(M10=" ","",INDEX(GCalXML[fasttype],$AU$4+$AC10+AO$1)),"")</f>
        <v/>
      </c>
      <c r="AP10" s="161">
        <f>IFERROR(INDEX('Moon Calendar'!$F$2:$F$65,AU5),"")</f>
        <v>43862</v>
      </c>
      <c r="AQ10" s="161">
        <f>IFERROR(INDEX('Moon Calendar'!$F$2:$F$65,AU6),"")</f>
        <v>43870</v>
      </c>
      <c r="AR10" s="161">
        <f>IFERROR(INDEX('Moon Calendar'!$F$2:$F$65,AU7),"")</f>
        <v>43876</v>
      </c>
      <c r="AS10" s="161">
        <f>IFERROR(INDEX('Moon Calendar'!$F$2:$F$65,AU8),"")</f>
        <v>43884</v>
      </c>
      <c r="AT10" s="162" t="str">
        <f>IFERROR(INDEX('Moon Calendar'!$F$2:$F$65,AU9),"")</f>
        <v/>
      </c>
      <c r="AU10" s="337" t="str">
        <f ca="1">AM11 &amp; " " &amp; AN11  &amp; AU11 &amp; AO11 &amp; " " &amp; AP11 &amp; AU11 &amp; AQ11 &amp; " " &amp; AR11 &amp; IF(AS11&lt;&gt;"",AU11 &amp; AS11 &amp; " " &amp; AT11,"")</f>
        <v> 1           9           15           23</v>
      </c>
      <c r="AW10" s="159" t="str">
        <f>IFERROR(IF(U10=" ","",INDEX(GCalXML[fasttype],$BD$4+$AC10+AW$1)),"")</f>
        <v> </v>
      </c>
      <c r="AX10" s="160" t="str">
        <f>IFERROR(IF(V10=" ","",INDEX(GCalXML[fasttype],$BD$4+$AC10+AX$1)),"")</f>
        <v> </v>
      </c>
      <c r="AY10" s="161">
        <f>IFERROR(INDEX('Moon Calendar'!$F$2:$F$65,BD5),"")</f>
        <v>43892</v>
      </c>
      <c r="AZ10" s="161">
        <f>IFERROR(INDEX('Moon Calendar'!$F$2:$F$65,BD6),"")</f>
        <v>43899</v>
      </c>
      <c r="BA10" s="161">
        <f>IFERROR(INDEX('Moon Calendar'!$F$2:$F$65,BD7),"")</f>
        <v>43906</v>
      </c>
      <c r="BB10" s="161">
        <f>IFERROR(INDEX('Moon Calendar'!$F$2:$F$65,BD8),"")</f>
        <v>43914</v>
      </c>
      <c r="BC10" s="162" t="str">
        <f>IFERROR(INDEX('Moon Calendar'!$F$2:$F$65,BD9),"")</f>
        <v/>
      </c>
      <c r="BD10" s="337" t="str">
        <f ca="1">AV11 &amp; " " &amp; AW11  &amp; BD11 &amp; AX11 &amp; " " &amp; AY11 &amp; BD11 &amp; AZ11 &amp; " " &amp; BA11 &amp; IF(BB11&lt;&gt;"",BD11 &amp; BB11 &amp; " " &amp; BC11,"")</f>
        <v> 2           9           16           24</v>
      </c>
      <c r="BH10" s="588"/>
    </row>
    <row r="11" spans="1:61" ht="18.75" thickBot="1">
      <c r="B11" s="338" t="str">
        <f ca="1">AD11</f>
        <v></v>
      </c>
      <c r="C11" s="340" t="str">
        <f t="shared" ref="C11:I11" si="6">AE11</f>
        <v>2</v>
      </c>
      <c r="D11" s="338" t="str">
        <f t="shared" ca="1" si="6"/>
        <v></v>
      </c>
      <c r="E11" s="339">
        <f t="shared" si="6"/>
        <v>10</v>
      </c>
      <c r="F11" s="338" t="str">
        <f t="shared" ca="1" si="6"/>
        <v></v>
      </c>
      <c r="G11" s="339">
        <f t="shared" si="6"/>
        <v>17</v>
      </c>
      <c r="H11" s="338" t="str">
        <f t="shared" ca="1" si="6"/>
        <v></v>
      </c>
      <c r="I11" s="339">
        <f t="shared" si="6"/>
        <v>24</v>
      </c>
      <c r="K11" s="338" t="str">
        <f t="shared" ref="K11:R11" ca="1" si="7">AM11</f>
        <v></v>
      </c>
      <c r="L11" s="340" t="str">
        <f t="shared" si="7"/>
        <v>1</v>
      </c>
      <c r="M11" s="338" t="str">
        <f t="shared" ca="1" si="7"/>
        <v></v>
      </c>
      <c r="N11" s="339">
        <f t="shared" si="7"/>
        <v>9</v>
      </c>
      <c r="O11" s="338" t="str">
        <f t="shared" ca="1" si="7"/>
        <v></v>
      </c>
      <c r="P11" s="339">
        <f t="shared" si="7"/>
        <v>15</v>
      </c>
      <c r="Q11" s="338" t="str">
        <f t="shared" ca="1" si="7"/>
        <v></v>
      </c>
      <c r="R11" s="339">
        <f t="shared" si="7"/>
        <v>23</v>
      </c>
      <c r="T11" s="338" t="str">
        <f t="shared" ref="T11:AA11" ca="1" si="8">AV11</f>
        <v></v>
      </c>
      <c r="U11" s="340" t="str">
        <f t="shared" si="8"/>
        <v>2</v>
      </c>
      <c r="V11" s="338" t="str">
        <f t="shared" ca="1" si="8"/>
        <v></v>
      </c>
      <c r="W11" s="339">
        <f t="shared" si="8"/>
        <v>9</v>
      </c>
      <c r="X11" s="338" t="str">
        <f t="shared" ca="1" si="8"/>
        <v></v>
      </c>
      <c r="Y11" s="339">
        <f t="shared" si="8"/>
        <v>16</v>
      </c>
      <c r="Z11" s="338" t="str">
        <f t="shared" ca="1" si="8"/>
        <v></v>
      </c>
      <c r="AA11" s="339">
        <f t="shared" si="8"/>
        <v>24</v>
      </c>
      <c r="AC11" s="131"/>
      <c r="AD11" s="338" t="str">
        <f ca="1">IFERROR(INDEX('Moon Calendar'!$N$2:$N$65,AL5),"")</f>
        <v></v>
      </c>
      <c r="AE11" s="184" t="str">
        <f>IF(AG10="","",DAY(AG10) &amp; IF(AK10&lt;&gt;"","/" &amp; DAY(AK10),""))</f>
        <v>2</v>
      </c>
      <c r="AF11" s="338" t="str">
        <f ca="1">IFERROR(INDEX('Moon Calendar'!$N$2:$N$65,AL6),"")</f>
        <v></v>
      </c>
      <c r="AG11" s="185">
        <f>IFERROR(DAY(AH10),"")</f>
        <v>10</v>
      </c>
      <c r="AH11" s="338" t="str">
        <f ca="1">IFERROR(INDEX('Moon Calendar'!$N$2:$N$65,AL7),"")</f>
        <v></v>
      </c>
      <c r="AI11" s="185">
        <f>IFERROR(DAY(AI10),"")</f>
        <v>17</v>
      </c>
      <c r="AJ11" s="338" t="str">
        <f ca="1">IFERROR(INDEX('Moon Calendar'!$N$2:$N$65,AL8),"")</f>
        <v></v>
      </c>
      <c r="AK11" s="185">
        <f>IFERROR(DAY(AJ10),"")</f>
        <v>24</v>
      </c>
      <c r="AL11" s="186" t="str">
        <f>REPT(CHAR(160),10)</f>
        <v>          </v>
      </c>
      <c r="AM11" s="338" t="str">
        <f ca="1">IFERROR(INDEX('Moon Calendar'!$N$2:$N$65,AU5),"")</f>
        <v></v>
      </c>
      <c r="AN11" s="184" t="str">
        <f>IF(AP10="","",DAY(AP10) &amp; IF(AT10&lt;&gt;"","/" &amp; DAY(AT10),""))</f>
        <v>1</v>
      </c>
      <c r="AO11" s="338" t="str">
        <f ca="1">IFERROR(INDEX('Moon Calendar'!$N$2:$N$65,AU6),"")</f>
        <v></v>
      </c>
      <c r="AP11" s="185">
        <f>IFERROR(DAY(AQ10),"")</f>
        <v>9</v>
      </c>
      <c r="AQ11" s="338" t="str">
        <f ca="1">IFERROR(INDEX('Moon Calendar'!$N$2:$N$65,AU7),"")</f>
        <v></v>
      </c>
      <c r="AR11" s="185">
        <f>IFERROR(DAY(AR10),"")</f>
        <v>15</v>
      </c>
      <c r="AS11" s="338" t="str">
        <f ca="1">IFERROR(INDEX('Moon Calendar'!$N$2:$N$65,AU8),"")</f>
        <v></v>
      </c>
      <c r="AT11" s="185">
        <f>IFERROR(DAY(AS10),"")</f>
        <v>23</v>
      </c>
      <c r="AU11" s="187" t="str">
        <f>AL11</f>
        <v>          </v>
      </c>
      <c r="AV11" s="338" t="str">
        <f ca="1">IFERROR(INDEX('Moon Calendar'!$N$2:$N$65,BD5),"")</f>
        <v></v>
      </c>
      <c r="AW11" s="184" t="str">
        <f>IF(AY10="","",DAY(AY10) &amp; IF(BC10&lt;&gt;"","/" &amp; DAY(BC10),""))</f>
        <v>2</v>
      </c>
      <c r="AX11" s="338" t="str">
        <f ca="1">IFERROR(INDEX('Moon Calendar'!$N$2:$N$65,BD6),"")</f>
        <v></v>
      </c>
      <c r="AY11" s="185">
        <f>IFERROR(DAY(AZ10),"")</f>
        <v>9</v>
      </c>
      <c r="AZ11" s="338" t="str">
        <f ca="1">IFERROR(INDEX('Moon Calendar'!$N$2:$N$65,BD7),"")</f>
        <v></v>
      </c>
      <c r="BA11" s="185">
        <f>IFERROR(DAY(BA10),"")</f>
        <v>16</v>
      </c>
      <c r="BB11" s="338" t="str">
        <f ca="1">IFERROR(INDEX('Moon Calendar'!$N$2:$N$65,BD8),"")</f>
        <v></v>
      </c>
      <c r="BC11" s="185">
        <f>IFERROR(DAY(BB10),"")</f>
        <v>24</v>
      </c>
      <c r="BD11" s="189" t="str">
        <f>AL11</f>
        <v>          </v>
      </c>
    </row>
    <row r="12" spans="1:61" ht="18">
      <c r="A12" s="61"/>
      <c r="C12" s="673" t="str">
        <f ca="1">UPPER('GPlan-Translations'!C208)</f>
        <v>APRIL</v>
      </c>
      <c r="D12" s="674"/>
      <c r="E12" s="674"/>
      <c r="F12" s="674"/>
      <c r="G12" s="674"/>
      <c r="H12" s="674"/>
      <c r="I12" s="675"/>
      <c r="L12" s="673" t="str">
        <f ca="1">UPPER('GPlan-Translations'!C209)</f>
        <v>MAY</v>
      </c>
      <c r="M12" s="674"/>
      <c r="N12" s="674"/>
      <c r="O12" s="674"/>
      <c r="P12" s="674"/>
      <c r="Q12" s="674"/>
      <c r="R12" s="675"/>
      <c r="S12" s="61"/>
      <c r="T12" s="61"/>
      <c r="U12" s="673" t="str">
        <f ca="1">UPPER('GPlan-Translations'!C210)</f>
        <v>JUNE</v>
      </c>
      <c r="V12" s="674"/>
      <c r="W12" s="674"/>
      <c r="X12" s="674"/>
      <c r="Y12" s="674"/>
      <c r="Z12" s="674"/>
      <c r="AA12" s="675"/>
      <c r="AB12" s="61"/>
      <c r="AC12" s="131"/>
      <c r="AD12" s="182" t="str">
        <f>TEXT(AE12,"00")</f>
        <v>04</v>
      </c>
      <c r="AE12" s="133">
        <v>4</v>
      </c>
      <c r="AF12" s="134">
        <f>DATE(AJ12,AE12,1)</f>
        <v>43922</v>
      </c>
      <c r="AG12" s="134">
        <f>DATE(AJ12,AE12+1,1)-1</f>
        <v>43951</v>
      </c>
      <c r="AH12" s="134">
        <f>WEEKDAY(AF12,2)</f>
        <v>3</v>
      </c>
      <c r="AI12" s="135"/>
      <c r="AJ12" s="589">
        <f>$U$1</f>
        <v>2020</v>
      </c>
      <c r="AK12" s="590"/>
      <c r="AL12" s="489">
        <f>(AG12 - I14)  +  (R14-AO12 + 1)</f>
        <v>28</v>
      </c>
      <c r="AM12" s="182" t="str">
        <f>TEXT(AN12,"00")</f>
        <v>05</v>
      </c>
      <c r="AN12" s="133">
        <f>AE12+1</f>
        <v>5</v>
      </c>
      <c r="AO12" s="134">
        <f>DATE(AS12,AN12,1)</f>
        <v>43952</v>
      </c>
      <c r="AP12" s="134">
        <f>DATE(AS12,AN12+1,1)-1</f>
        <v>43982</v>
      </c>
      <c r="AQ12" s="134">
        <f>WEEKDAY(AO12,2)</f>
        <v>5</v>
      </c>
      <c r="AR12" s="135"/>
      <c r="AS12" s="589">
        <f>$U$1</f>
        <v>2020</v>
      </c>
      <c r="AT12" s="590"/>
      <c r="AU12" s="489">
        <f>(AP12 - R14)  +  (AA14-AX12 + 1)</f>
        <v>35</v>
      </c>
      <c r="AV12" s="182" t="str">
        <f>TEXT(AW12,"00")</f>
        <v>06</v>
      </c>
      <c r="AW12" s="133">
        <f>AN12+1</f>
        <v>6</v>
      </c>
      <c r="AX12" s="134">
        <f>DATE(BB12,AW12,1)</f>
        <v>43983</v>
      </c>
      <c r="AY12" s="134">
        <f>DATE(BB12,AW12+1,1)-1</f>
        <v>44012</v>
      </c>
      <c r="AZ12" s="134">
        <f>WEEKDAY(AX12,2)</f>
        <v>1</v>
      </c>
      <c r="BA12" s="135"/>
      <c r="BB12" s="589">
        <f>$U$1</f>
        <v>2020</v>
      </c>
      <c r="BC12" s="590"/>
      <c r="BD12" s="490">
        <f>(AY12 - AA14)  +  (H23-BG12 + 1)</f>
        <v>27</v>
      </c>
      <c r="BE12" s="182"/>
      <c r="BG12" s="493">
        <f>AF21</f>
        <v>44013</v>
      </c>
    </row>
    <row r="13" spans="1:61" ht="18">
      <c r="A13" s="61"/>
      <c r="C13" s="136" t="str">
        <f ca="1">'GPlan-Translations'!$C$218</f>
        <v>Mo</v>
      </c>
      <c r="D13" s="137" t="str">
        <f ca="1">'GPlan-Translations'!$C$219</f>
        <v>Tu</v>
      </c>
      <c r="E13" s="137" t="str">
        <f ca="1">'GPlan-Translations'!$C$220</f>
        <v>We</v>
      </c>
      <c r="F13" s="137" t="str">
        <f ca="1">'GPlan-Translations'!$C$221</f>
        <v>Th</v>
      </c>
      <c r="G13" s="137" t="str">
        <f ca="1">'GPlan-Translations'!$C$222</f>
        <v>Fr</v>
      </c>
      <c r="H13" s="138" t="str">
        <f ca="1">'GPlan-Translations'!$C$223</f>
        <v>Sa</v>
      </c>
      <c r="I13" s="139" t="str">
        <f ca="1">'GPlan-Translations'!$C$217</f>
        <v>Su</v>
      </c>
      <c r="L13" s="136" t="str">
        <f ca="1">'GPlan-Translations'!$C$218</f>
        <v>Mo</v>
      </c>
      <c r="M13" s="137" t="str">
        <f ca="1">'GPlan-Translations'!$C$219</f>
        <v>Tu</v>
      </c>
      <c r="N13" s="137" t="str">
        <f ca="1">'GPlan-Translations'!$C$220</f>
        <v>We</v>
      </c>
      <c r="O13" s="137" t="str">
        <f ca="1">'GPlan-Translations'!$C$221</f>
        <v>Th</v>
      </c>
      <c r="P13" s="137" t="str">
        <f ca="1">'GPlan-Translations'!$C$222</f>
        <v>Fr</v>
      </c>
      <c r="Q13" s="138" t="str">
        <f ca="1">'GPlan-Translations'!$C$223</f>
        <v>Sa</v>
      </c>
      <c r="R13" s="139" t="str">
        <f ca="1">'GPlan-Translations'!$C$217</f>
        <v>Su</v>
      </c>
      <c r="S13" s="61"/>
      <c r="T13" s="61"/>
      <c r="U13" s="136" t="str">
        <f ca="1">'GPlan-Translations'!$C$218</f>
        <v>Mo</v>
      </c>
      <c r="V13" s="137" t="str">
        <f ca="1">'GPlan-Translations'!$C$219</f>
        <v>Tu</v>
      </c>
      <c r="W13" s="137" t="str">
        <f ca="1">'GPlan-Translations'!$C$220</f>
        <v>We</v>
      </c>
      <c r="X13" s="137" t="str">
        <f ca="1">'GPlan-Translations'!$C$221</f>
        <v>Th</v>
      </c>
      <c r="Y13" s="137" t="str">
        <f ca="1">'GPlan-Translations'!$C$222</f>
        <v>Fr</v>
      </c>
      <c r="Z13" s="138" t="str">
        <f ca="1">'GPlan-Translations'!$C$223</f>
        <v>Sa</v>
      </c>
      <c r="AA13" s="139" t="str">
        <f ca="1">'GPlan-Translations'!$C$217</f>
        <v>Su</v>
      </c>
      <c r="AB13" s="61"/>
      <c r="AC13" s="131"/>
      <c r="AD13" s="592">
        <f>INDEX(GCalXML[wnum],MATCH(C15,GCalXML[date],0))</f>
        <v>15</v>
      </c>
      <c r="AE13" s="140" t="str">
        <f t="shared" ref="AE13:AK13" ca="1" si="9">C13</f>
        <v>Mo</v>
      </c>
      <c r="AF13" s="141" t="str">
        <f t="shared" ca="1" si="9"/>
        <v>Tu</v>
      </c>
      <c r="AG13" s="141" t="str">
        <f t="shared" ca="1" si="9"/>
        <v>We</v>
      </c>
      <c r="AH13" s="141" t="str">
        <f t="shared" ca="1" si="9"/>
        <v>Th</v>
      </c>
      <c r="AI13" s="141" t="str">
        <f t="shared" ca="1" si="9"/>
        <v>Fr</v>
      </c>
      <c r="AJ13" s="142" t="str">
        <f t="shared" ca="1" si="9"/>
        <v>Sa</v>
      </c>
      <c r="AK13" s="143" t="str">
        <f t="shared" ca="1" si="9"/>
        <v>Su</v>
      </c>
      <c r="AL13" s="584">
        <f>MATCH(I14,GCalXML[date],0)</f>
        <v>134</v>
      </c>
      <c r="AM13" s="592">
        <f>INDEX(GCalXML[wnum],MATCH(L15,GCalXML[date],0))</f>
        <v>19</v>
      </c>
      <c r="AN13" s="140" t="str">
        <f t="shared" ref="AN13:AT13" ca="1" si="10">L13</f>
        <v>Mo</v>
      </c>
      <c r="AO13" s="141" t="str">
        <f t="shared" ca="1" si="10"/>
        <v>Tu</v>
      </c>
      <c r="AP13" s="141" t="str">
        <f t="shared" ca="1" si="10"/>
        <v>We</v>
      </c>
      <c r="AQ13" s="141" t="str">
        <f t="shared" ca="1" si="10"/>
        <v>Th</v>
      </c>
      <c r="AR13" s="141" t="str">
        <f t="shared" ca="1" si="10"/>
        <v>Fr</v>
      </c>
      <c r="AS13" s="142" t="str">
        <f t="shared" ca="1" si="10"/>
        <v>Sa</v>
      </c>
      <c r="AT13" s="143" t="str">
        <f t="shared" ca="1" si="10"/>
        <v>Su</v>
      </c>
      <c r="AU13" s="584">
        <f>MATCH(R14,GCalXML[date],0)</f>
        <v>162</v>
      </c>
      <c r="AV13" s="592">
        <f>INDEX(GCalXML[wnum],MATCH(U15,GCalXML[date],0))</f>
        <v>24</v>
      </c>
      <c r="AW13" s="140" t="str">
        <f t="shared" ref="AW13:BC13" ca="1" si="11">U13</f>
        <v>Mo</v>
      </c>
      <c r="AX13" s="141" t="str">
        <f t="shared" ca="1" si="11"/>
        <v>Tu</v>
      </c>
      <c r="AY13" s="141" t="str">
        <f t="shared" ca="1" si="11"/>
        <v>We</v>
      </c>
      <c r="AZ13" s="141" t="str">
        <f t="shared" ca="1" si="11"/>
        <v>Th</v>
      </c>
      <c r="BA13" s="141" t="str">
        <f t="shared" ca="1" si="11"/>
        <v>Fr</v>
      </c>
      <c r="BB13" s="142" t="str">
        <f t="shared" ca="1" si="11"/>
        <v>Sa</v>
      </c>
      <c r="BC13" s="586" t="str">
        <f t="shared" ca="1" si="11"/>
        <v>Su</v>
      </c>
      <c r="BD13" s="587">
        <f>MATCH(AA14,GCalXML[date],0)</f>
        <v>197</v>
      </c>
    </row>
    <row r="14" spans="1:61" ht="18">
      <c r="A14" s="61"/>
      <c r="B14" s="163">
        <f>B15-1</f>
        <v>14</v>
      </c>
      <c r="C14" s="145" t="str">
        <f>IF(AH12=1,AF12," ")</f>
        <v xml:space="preserve"> </v>
      </c>
      <c r="D14" s="146" t="str">
        <f>IF(AH12=2,AF12,IF(C14=" "," ",C14+1))</f>
        <v xml:space="preserve"> </v>
      </c>
      <c r="E14" s="146">
        <f>IF(AH12=3,AF12,IF(D14=" "," ",D14+1))</f>
        <v>43922</v>
      </c>
      <c r="F14" s="146">
        <f>IF(AH12=4,AF12,IF(E14=" "," ",E14+1))</f>
        <v>43923</v>
      </c>
      <c r="G14" s="146">
        <f>IF(AH12=5,AF12,IF(F14=" "," ",F14+1))</f>
        <v>43924</v>
      </c>
      <c r="H14" s="147">
        <f>IF(AH12=6,AF12,IF(G14=" "," ",G14+1))</f>
        <v>43925</v>
      </c>
      <c r="I14" s="148">
        <f>IF(AH12=7,AF12,H14+1)</f>
        <v>43926</v>
      </c>
      <c r="K14" s="144">
        <f>K15-1</f>
        <v>18</v>
      </c>
      <c r="L14" s="145" t="str">
        <f>IF(AQ12=1,AO12," ")</f>
        <v xml:space="preserve"> </v>
      </c>
      <c r="M14" s="146" t="str">
        <f>IF(AQ12=2,AO12,IF(L14=" "," ",L14+1))</f>
        <v xml:space="preserve"> </v>
      </c>
      <c r="N14" s="146" t="str">
        <f>IF(AQ12=3,AO12,IF(M14=" "," ",M14+1))</f>
        <v xml:space="preserve"> </v>
      </c>
      <c r="O14" s="146" t="str">
        <f>IF(AQ12=4,AO12,IF(N14=" "," ",N14+1))</f>
        <v xml:space="preserve"> </v>
      </c>
      <c r="P14" s="146">
        <f>IF(AQ12=5,AO12,IF(O14=" "," ",O14+1))</f>
        <v>43952</v>
      </c>
      <c r="Q14" s="147">
        <f>IF(AQ12=6,AO12,IF(P14=" "," ",P14+1))</f>
        <v>43953</v>
      </c>
      <c r="R14" s="148">
        <f>IF(AQ12=7,AO12,Q14+1)</f>
        <v>43954</v>
      </c>
      <c r="S14" s="61"/>
      <c r="T14" s="163">
        <f>T15-1</f>
        <v>23</v>
      </c>
      <c r="U14" s="145">
        <f>IF(AZ12=1,AX12," ")</f>
        <v>43983</v>
      </c>
      <c r="V14" s="146">
        <f>IF(AZ12=2,AX12,IF(U14=" "," ",U14+1))</f>
        <v>43984</v>
      </c>
      <c r="W14" s="146">
        <f>IF(AZ12=3,AX12,IF(V14=" "," ",V14+1))</f>
        <v>43985</v>
      </c>
      <c r="X14" s="146">
        <f>IF(AZ12=4,AX12,IF(W14=" "," ",W14+1))</f>
        <v>43986</v>
      </c>
      <c r="Y14" s="146">
        <f>IF(AZ12=5,AX12,IF(X14=" "," ",X14+1))</f>
        <v>43987</v>
      </c>
      <c r="Z14" s="147">
        <f>IF(AZ12=6,AX12,IF(Y14=" "," ",Y14+1))</f>
        <v>43988</v>
      </c>
      <c r="AA14" s="148">
        <f>IF(AZ12=7,AX12,Z14+1)</f>
        <v>43989</v>
      </c>
      <c r="AB14" s="61"/>
      <c r="AC14" s="488">
        <v>0</v>
      </c>
      <c r="AD14" s="149" t="str">
        <f>AD12 &amp; "." &amp;AG$2</f>
        <v>04.1</v>
      </c>
      <c r="AE14" s="150" t="str">
        <f>IFERROR(IF(C14=" ","",INDEX(GCalXML[fasttype],$AL$13+$AC14+AE$1)),"")</f>
        <v/>
      </c>
      <c r="AF14" s="151" t="str">
        <f>IFERROR(IF(D14=" ","",INDEX(GCalXML[fasttype],$AL$13+$AC14+AF$1)),"")</f>
        <v/>
      </c>
      <c r="AG14" s="151" t="str">
        <f>IFERROR(IF(E14=" ","",INDEX(GCalXML[fasttype],$AL$13+$AC14+AG$1)),"")</f>
        <v> </v>
      </c>
      <c r="AH14" s="151" t="str">
        <f>IFERROR(IF(F14=" ","",INDEX(GCalXML[fasttype],$AL$13+$AC14+AH$1)),"")</f>
        <v>P</v>
      </c>
      <c r="AI14" s="151" t="str">
        <f>IFERROR(IF(G14=" ","",INDEX(GCalXML[fasttype],$AL$13+$AC14+AI$1)),"")</f>
        <v> </v>
      </c>
      <c r="AJ14" s="152" t="str">
        <f>IFERROR(IF(H14=" ","",INDEX(GCalXML[fasttype],$AL$13+$AC14+AJ$1)),"")</f>
        <v>E</v>
      </c>
      <c r="AK14" s="153" t="str">
        <f>IFERROR(IF(I14=" ","",INDEX(GCalXML[fasttype],$AL$13+$AC14+AK$1)),"")</f>
        <v>C</v>
      </c>
      <c r="AL14" s="182">
        <f>IFERROR(MATCH($U$1 &amp; "." &amp; AD14,'Moon Calendar'!$I$2:$I$65,0),"")</f>
        <v>22</v>
      </c>
      <c r="AM14" s="149" t="str">
        <f>AM12 &amp; "." &amp;AP$2</f>
        <v>05.1</v>
      </c>
      <c r="AN14" s="150" t="str">
        <f>IFERROR(IF(L14=" ","",INDEX(GCalXML[fasttype],$AU$13+$AC14+AN$1)),"")</f>
        <v/>
      </c>
      <c r="AO14" s="151" t="str">
        <f>IFERROR(IF(M14=" ","",INDEX(GCalXML[fasttype],$AU$13+$AC14+AO$1)),"")</f>
        <v/>
      </c>
      <c r="AP14" s="151" t="str">
        <f>IFERROR(IF(N14=" ","",INDEX(GCalXML[fasttype],$AU$13+$AC14+AP$1)),"")</f>
        <v/>
      </c>
      <c r="AQ14" s="151" t="str">
        <f>IFERROR(IF(O14=" ","",INDEX(GCalXML[fasttype],$AU$13+$AC14+AQ$1)),"")</f>
        <v/>
      </c>
      <c r="AR14" s="151" t="str">
        <f>IFERROR(IF(P14=" ","",INDEX(GCalXML[fasttype],$AU$13+$AC14+AR$1)),"")</f>
        <v>C</v>
      </c>
      <c r="AS14" s="152" t="str">
        <f>IFERROR(IF(Q14=" ","",INDEX(GCalXML[fasttype],$AU$13+$AC14+AS$1)),"")</f>
        <v> </v>
      </c>
      <c r="AT14" s="153" t="str">
        <f>IFERROR(IF(R14=" ","",INDEX(GCalXML[fasttype],$AU$13+$AC14+AT$1)),"")</f>
        <v>E</v>
      </c>
      <c r="AU14" s="182">
        <f>IFERROR(MATCH($U$1 &amp; "." &amp; AM14,'Moon Calendar'!$I$2:$I$65,0),"")</f>
        <v>27</v>
      </c>
      <c r="AV14" s="149" t="str">
        <f>AV12 &amp; "." &amp;AY$2</f>
        <v>06.1</v>
      </c>
      <c r="AW14" s="150" t="str">
        <f>IFERROR(IF(U14=" ","",INDEX(GCalXML[fasttype],$BD$13+$AC14+AW$1)),"")</f>
        <v>C</v>
      </c>
      <c r="AX14" s="151" t="str">
        <f>IFERROR(IF(V14=" ","",INDEX(GCalXML[fasttype],$BD$13+$AC14+AX$1)),"")</f>
        <v>E</v>
      </c>
      <c r="AY14" s="151" t="str">
        <f>IFERROR(IF(W14=" ","",INDEX(GCalXML[fasttype],$BD$13+$AC14+AY$1)),"")</f>
        <v>C</v>
      </c>
      <c r="AZ14" s="151" t="str">
        <f>IFERROR(IF(X14=" ","",INDEX(GCalXML[fasttype],$BD$13+$AC14+AZ$1)),"")</f>
        <v> </v>
      </c>
      <c r="BA14" s="151" t="str">
        <f>IFERROR(IF(Y14=" ","",INDEX(GCalXML[fasttype],$BD$13+$AC14+BA$1)),"")</f>
        <v>C</v>
      </c>
      <c r="BB14" s="152" t="str">
        <f>IFERROR(IF(Z14=" ","",INDEX(GCalXML[fasttype],$BD$13+$AC14+BB$1)),"")</f>
        <v>C</v>
      </c>
      <c r="BC14" s="153" t="str">
        <f>IFERROR(IF(AA14=" ","",INDEX(GCalXML[fasttype],$BD$13+$AC14+BC$1)),"")</f>
        <v> </v>
      </c>
      <c r="BD14" s="182">
        <f>IFERROR(MATCH($U$1 &amp; "." &amp; AV14,'Moon Calendar'!$I$2:$I$65,0),"")</f>
        <v>31</v>
      </c>
    </row>
    <row r="15" spans="1:61" ht="18">
      <c r="A15" s="61"/>
      <c r="B15" s="144">
        <f>AD13</f>
        <v>15</v>
      </c>
      <c r="C15" s="145">
        <f>I14+1</f>
        <v>43927</v>
      </c>
      <c r="D15" s="146">
        <f t="shared" ref="D15:I17" si="12">C15+1</f>
        <v>43928</v>
      </c>
      <c r="E15" s="146">
        <f t="shared" si="12"/>
        <v>43929</v>
      </c>
      <c r="F15" s="146">
        <f t="shared" si="12"/>
        <v>43930</v>
      </c>
      <c r="G15" s="146">
        <f t="shared" si="12"/>
        <v>43931</v>
      </c>
      <c r="H15" s="147">
        <f t="shared" si="12"/>
        <v>43932</v>
      </c>
      <c r="I15" s="148">
        <f t="shared" si="12"/>
        <v>43933</v>
      </c>
      <c r="K15" s="144">
        <f>INDEX(GCalXML[wnum],MATCH(L15,GCalXML[date],0))</f>
        <v>19</v>
      </c>
      <c r="L15" s="145">
        <f>R14+1</f>
        <v>43955</v>
      </c>
      <c r="M15" s="146">
        <f t="shared" ref="M15:R17" si="13">L15+1</f>
        <v>43956</v>
      </c>
      <c r="N15" s="146">
        <f t="shared" si="13"/>
        <v>43957</v>
      </c>
      <c r="O15" s="146">
        <f t="shared" si="13"/>
        <v>43958</v>
      </c>
      <c r="P15" s="146">
        <f t="shared" si="13"/>
        <v>43959</v>
      </c>
      <c r="Q15" s="147">
        <f t="shared" si="13"/>
        <v>43960</v>
      </c>
      <c r="R15" s="148">
        <f t="shared" si="13"/>
        <v>43961</v>
      </c>
      <c r="S15" s="61"/>
      <c r="T15" s="144">
        <f>AV13</f>
        <v>24</v>
      </c>
      <c r="U15" s="145">
        <f>AA14+1</f>
        <v>43990</v>
      </c>
      <c r="V15" s="146">
        <f t="shared" ref="V15:AA17" si="14">U15+1</f>
        <v>43991</v>
      </c>
      <c r="W15" s="146">
        <f t="shared" si="14"/>
        <v>43992</v>
      </c>
      <c r="X15" s="146">
        <f t="shared" si="14"/>
        <v>43993</v>
      </c>
      <c r="Y15" s="146">
        <f t="shared" si="14"/>
        <v>43994</v>
      </c>
      <c r="Z15" s="147">
        <f t="shared" si="14"/>
        <v>43995</v>
      </c>
      <c r="AA15" s="148">
        <f t="shared" si="14"/>
        <v>43996</v>
      </c>
      <c r="AB15" s="61"/>
      <c r="AC15" s="488">
        <v>7</v>
      </c>
      <c r="AD15" s="149" t="str">
        <f>AD12 &amp; "." &amp;AH$2</f>
        <v>04.2</v>
      </c>
      <c r="AE15" s="150" t="str">
        <f>IFERROR(IF(C15=" ","",INDEX(GCalXML[fasttype],$AL$13+$AC15+AE$1)),"")</f>
        <v> </v>
      </c>
      <c r="AF15" s="151" t="str">
        <f>IFERROR(IF(D15=" ","",INDEX(GCalXML[fasttype],$AL$13+$AC15+AF$1)),"")</f>
        <v>C</v>
      </c>
      <c r="AG15" s="151" t="str">
        <f>IFERROR(IF(E15=" ","",INDEX(GCalXML[fasttype],$AL$13+$AC15+AG$1)),"")</f>
        <v> </v>
      </c>
      <c r="AH15" s="151" t="str">
        <f>IFERROR(IF(F15=" ","",INDEX(GCalXML[fasttype],$AL$13+$AC15+AH$1)),"")</f>
        <v> </v>
      </c>
      <c r="AI15" s="151" t="str">
        <f>IFERROR(IF(G15=" ","",INDEX(GCalXML[fasttype],$AL$13+$AC15+AI$1)),"")</f>
        <v> </v>
      </c>
      <c r="AJ15" s="152" t="str">
        <f>IFERROR(IF(H15=" ","",INDEX(GCalXML[fasttype],$AL$13+$AC15+AJ$1)),"")</f>
        <v> </v>
      </c>
      <c r="AK15" s="153" t="str">
        <f>IFERROR(IF(I15=" ","",INDEX(GCalXML[fasttype],$AL$13+$AC15+AK$1)),"")</f>
        <v> </v>
      </c>
      <c r="AL15" s="182">
        <f>IFERROR(MATCH($U$1 &amp; "." &amp; AD15,'Moon Calendar'!$I$2:$I$65,0),"")</f>
        <v>23</v>
      </c>
      <c r="AM15" s="149" t="str">
        <f>AM12 &amp; "." &amp;AQ$2</f>
        <v>05.2</v>
      </c>
      <c r="AN15" s="150" t="str">
        <f>IFERROR(IF(L15=" ","",INDEX(GCalXML[fasttype],$AU$13+$AC15+AN$1)),"")</f>
        <v>C</v>
      </c>
      <c r="AO15" s="151" t="str">
        <f>IFERROR(IF(M15=" ","",INDEX(GCalXML[fasttype],$AU$13+$AC15+AO$1)),"")</f>
        <v>C</v>
      </c>
      <c r="AP15" s="151" t="str">
        <f>IFERROR(IF(N15=" ","",INDEX(GCalXML[fasttype],$AU$13+$AC15+AP$1)),"")</f>
        <v>P</v>
      </c>
      <c r="AQ15" s="151" t="str">
        <f>IFERROR(IF(O15=" ","",INDEX(GCalXML[fasttype],$AU$13+$AC15+AQ$1)),"")</f>
        <v>C</v>
      </c>
      <c r="AR15" s="151" t="str">
        <f>IFERROR(IF(P15=" ","",INDEX(GCalXML[fasttype],$AU$13+$AC15+AR$1)),"")</f>
        <v> </v>
      </c>
      <c r="AS15" s="152" t="str">
        <f>IFERROR(IF(Q15=" ","",INDEX(GCalXML[fasttype],$AU$13+$AC15+AS$1)),"")</f>
        <v> </v>
      </c>
      <c r="AT15" s="153" t="str">
        <f>IFERROR(IF(R15=" ","",INDEX(GCalXML[fasttype],$AU$13+$AC15+AT$1)),"")</f>
        <v> </v>
      </c>
      <c r="AU15" s="182">
        <f>IFERROR(MATCH($U$1 &amp; "." &amp; AM15,'Moon Calendar'!$I$2:$I$65,0),"")</f>
        <v>28</v>
      </c>
      <c r="AV15" s="149" t="str">
        <f>AV12 &amp; "." &amp;AZ$2</f>
        <v>06.2</v>
      </c>
      <c r="AW15" s="150" t="str">
        <f>IFERROR(IF(U15=" ","",INDEX(GCalXML[fasttype],$BD$13+$AC15+AW$1)),"")</f>
        <v> </v>
      </c>
      <c r="AX15" s="151" t="str">
        <f>IFERROR(IF(V15=" ","",INDEX(GCalXML[fasttype],$BD$13+$AC15+AX$1)),"")</f>
        <v> </v>
      </c>
      <c r="AY15" s="151" t="str">
        <f>IFERROR(IF(W15=" ","",INDEX(GCalXML[fasttype],$BD$13+$AC15+AY$1)),"")</f>
        <v>C</v>
      </c>
      <c r="AZ15" s="151" t="str">
        <f>IFERROR(IF(X15=" ","",INDEX(GCalXML[fasttype],$BD$13+$AC15+AZ$1)),"")</f>
        <v> </v>
      </c>
      <c r="BA15" s="151" t="str">
        <f>IFERROR(IF(Y15=" ","",INDEX(GCalXML[fasttype],$BD$13+$AC15+BA$1)),"")</f>
        <v> </v>
      </c>
      <c r="BB15" s="152" t="str">
        <f>IFERROR(IF(Z15=" ","",INDEX(GCalXML[fasttype],$BD$13+$AC15+BB$1)),"")</f>
        <v> </v>
      </c>
      <c r="BC15" s="153" t="str">
        <f>IFERROR(IF(AA15=" ","",INDEX(GCalXML[fasttype],$BD$13+$AC15+BC$1)),"")</f>
        <v> </v>
      </c>
      <c r="BD15" s="182">
        <f>IFERROR(MATCH($U$1 &amp; "." &amp; AV15,'Moon Calendar'!$I$2:$I$65,0),"")</f>
        <v>32</v>
      </c>
    </row>
    <row r="16" spans="1:61" ht="18">
      <c r="A16" s="61"/>
      <c r="B16" s="163">
        <f>B15+1</f>
        <v>16</v>
      </c>
      <c r="C16" s="145">
        <f>I15+1</f>
        <v>43934</v>
      </c>
      <c r="D16" s="146">
        <f t="shared" si="12"/>
        <v>43935</v>
      </c>
      <c r="E16" s="146">
        <f t="shared" si="12"/>
        <v>43936</v>
      </c>
      <c r="F16" s="146">
        <f t="shared" si="12"/>
        <v>43937</v>
      </c>
      <c r="G16" s="146">
        <f t="shared" si="12"/>
        <v>43938</v>
      </c>
      <c r="H16" s="147">
        <f t="shared" si="12"/>
        <v>43939</v>
      </c>
      <c r="I16" s="148">
        <f t="shared" si="12"/>
        <v>43940</v>
      </c>
      <c r="K16" s="144">
        <f>K15+1</f>
        <v>20</v>
      </c>
      <c r="L16" s="145">
        <f>R15+1</f>
        <v>43962</v>
      </c>
      <c r="M16" s="146">
        <f t="shared" si="13"/>
        <v>43963</v>
      </c>
      <c r="N16" s="146">
        <f t="shared" si="13"/>
        <v>43964</v>
      </c>
      <c r="O16" s="146">
        <f t="shared" si="13"/>
        <v>43965</v>
      </c>
      <c r="P16" s="146">
        <f t="shared" si="13"/>
        <v>43966</v>
      </c>
      <c r="Q16" s="147">
        <f t="shared" si="13"/>
        <v>43967</v>
      </c>
      <c r="R16" s="148">
        <f t="shared" si="13"/>
        <v>43968</v>
      </c>
      <c r="S16" s="61"/>
      <c r="T16" s="163">
        <f>T15+1</f>
        <v>25</v>
      </c>
      <c r="U16" s="145">
        <f>AA15+1</f>
        <v>43997</v>
      </c>
      <c r="V16" s="146">
        <f t="shared" si="14"/>
        <v>43998</v>
      </c>
      <c r="W16" s="146">
        <f t="shared" si="14"/>
        <v>43999</v>
      </c>
      <c r="X16" s="146">
        <f t="shared" si="14"/>
        <v>44000</v>
      </c>
      <c r="Y16" s="146">
        <f t="shared" si="14"/>
        <v>44001</v>
      </c>
      <c r="Z16" s="147">
        <f t="shared" si="14"/>
        <v>44002</v>
      </c>
      <c r="AA16" s="148">
        <f t="shared" si="14"/>
        <v>44003</v>
      </c>
      <c r="AB16" s="61"/>
      <c r="AC16" s="488">
        <v>14</v>
      </c>
      <c r="AD16" s="149" t="str">
        <f>AD12 &amp; "." &amp;AI$2</f>
        <v>04.3</v>
      </c>
      <c r="AE16" s="150" t="str">
        <f>IFERROR(IF(C16=" ","",INDEX(GCalXML[fasttype],$AL$13+$AC16+AE$1)),"")</f>
        <v>C</v>
      </c>
      <c r="AF16" s="151" t="str">
        <f>IFERROR(IF(D16=" ","",INDEX(GCalXML[fasttype],$AL$13+$AC16+AF$1)),"")</f>
        <v>C</v>
      </c>
      <c r="AG16" s="151" t="str">
        <f>IFERROR(IF(E16=" ","",INDEX(GCalXML[fasttype],$AL$13+$AC16+AG$1)),"")</f>
        <v> </v>
      </c>
      <c r="AH16" s="151" t="str">
        <f>IFERROR(IF(F16=" ","",INDEX(GCalXML[fasttype],$AL$13+$AC16+AH$1)),"")</f>
        <v> </v>
      </c>
      <c r="AI16" s="151" t="str">
        <f>IFERROR(IF(G16=" ","",INDEX(GCalXML[fasttype],$AL$13+$AC16+AI$1)),"")</f>
        <v>C</v>
      </c>
      <c r="AJ16" s="152" t="str">
        <f>IFERROR(IF(H16=" ","",INDEX(GCalXML[fasttype],$AL$13+$AC16+AJ$1)),"")</f>
        <v>E</v>
      </c>
      <c r="AK16" s="153" t="str">
        <f>IFERROR(IF(I16=" ","",INDEX(GCalXML[fasttype],$AL$13+$AC16+AK$1)),"")</f>
        <v>C</v>
      </c>
      <c r="AL16" s="182">
        <f>IFERROR(MATCH($U$1 &amp; "." &amp; AD16,'Moon Calendar'!$I$2:$I$65,0),"")</f>
        <v>24</v>
      </c>
      <c r="AM16" s="149" t="str">
        <f>AM12 &amp; "." &amp;AR$2</f>
        <v>05.3</v>
      </c>
      <c r="AN16" s="150" t="str">
        <f>IFERROR(IF(L16=" ","",INDEX(GCalXML[fasttype],$AU$13+$AC16+AN$1)),"")</f>
        <v>C</v>
      </c>
      <c r="AO16" s="151" t="str">
        <f>IFERROR(IF(M16=" ","",INDEX(GCalXML[fasttype],$AU$13+$AC16+AO$1)),"")</f>
        <v> </v>
      </c>
      <c r="AP16" s="151" t="str">
        <f>IFERROR(IF(N16=" ","",INDEX(GCalXML[fasttype],$AU$13+$AC16+AP$1)),"")</f>
        <v>C</v>
      </c>
      <c r="AQ16" s="151" t="str">
        <f>IFERROR(IF(O16=" ","",INDEX(GCalXML[fasttype],$AU$13+$AC16+AQ$1)),"")</f>
        <v> </v>
      </c>
      <c r="AR16" s="151" t="str">
        <f>IFERROR(IF(P16=" ","",INDEX(GCalXML[fasttype],$AU$13+$AC16+AR$1)),"")</f>
        <v> </v>
      </c>
      <c r="AS16" s="152" t="str">
        <f>IFERROR(IF(Q16=" ","",INDEX(GCalXML[fasttype],$AU$13+$AC16+AS$1)),"")</f>
        <v> </v>
      </c>
      <c r="AT16" s="153" t="str">
        <f>IFERROR(IF(R16=" ","",INDEX(GCalXML[fasttype],$AU$13+$AC16+AT$1)),"")</f>
        <v> </v>
      </c>
      <c r="AU16" s="182">
        <f>IFERROR(MATCH($U$1 &amp; "." &amp; AM16,'Moon Calendar'!$I$2:$I$65,0),"")</f>
        <v>29</v>
      </c>
      <c r="AV16" s="149" t="str">
        <f>AV12 &amp; "." &amp;BA$2</f>
        <v>06.3</v>
      </c>
      <c r="AW16" s="150" t="str">
        <f>IFERROR(IF(U16=" ","",INDEX(GCalXML[fasttype],$BD$13+$AC16+AW$1)),"")</f>
        <v>C</v>
      </c>
      <c r="AX16" s="151" t="str">
        <f>IFERROR(IF(V16=" ","",INDEX(GCalXML[fasttype],$BD$13+$AC16+AX$1)),"")</f>
        <v>E</v>
      </c>
      <c r="AY16" s="151" t="str">
        <f>IFERROR(IF(W16=" ","",INDEX(GCalXML[fasttype],$BD$13+$AC16+AY$1)),"")</f>
        <v>C</v>
      </c>
      <c r="AZ16" s="151" t="str">
        <f>IFERROR(IF(X16=" ","",INDEX(GCalXML[fasttype],$BD$13+$AC16+AZ$1)),"")</f>
        <v> </v>
      </c>
      <c r="BA16" s="151" t="str">
        <f>IFERROR(IF(Y16=" ","",INDEX(GCalXML[fasttype],$BD$13+$AC16+BA$1)),"")</f>
        <v> </v>
      </c>
      <c r="BB16" s="152" t="str">
        <f>IFERROR(IF(Z16=" ","",INDEX(GCalXML[fasttype],$BD$13+$AC16+BB$1)),"")</f>
        <v>P</v>
      </c>
      <c r="BC16" s="153" t="str">
        <f>IFERROR(IF(AA16=" ","",INDEX(GCalXML[fasttype],$BD$13+$AC16+BC$1)),"")</f>
        <v>C</v>
      </c>
      <c r="BD16" s="182">
        <f>IFERROR(MATCH($U$1 &amp; "." &amp; AV16,'Moon Calendar'!$I$2:$I$65,0),"")</f>
        <v>33</v>
      </c>
    </row>
    <row r="17" spans="1:61" ht="18">
      <c r="A17" s="61"/>
      <c r="B17" s="163">
        <f>B16+1</f>
        <v>17</v>
      </c>
      <c r="C17" s="145">
        <f>I16+1</f>
        <v>43941</v>
      </c>
      <c r="D17" s="146">
        <f t="shared" si="12"/>
        <v>43942</v>
      </c>
      <c r="E17" s="146">
        <f t="shared" si="12"/>
        <v>43943</v>
      </c>
      <c r="F17" s="146">
        <f t="shared" si="12"/>
        <v>43944</v>
      </c>
      <c r="G17" s="146">
        <f t="shared" si="12"/>
        <v>43945</v>
      </c>
      <c r="H17" s="147">
        <f t="shared" si="12"/>
        <v>43946</v>
      </c>
      <c r="I17" s="148">
        <f t="shared" si="12"/>
        <v>43947</v>
      </c>
      <c r="K17" s="144">
        <f>K16+1</f>
        <v>21</v>
      </c>
      <c r="L17" s="145">
        <f>R16+1</f>
        <v>43969</v>
      </c>
      <c r="M17" s="146">
        <f t="shared" si="13"/>
        <v>43970</v>
      </c>
      <c r="N17" s="146">
        <f t="shared" si="13"/>
        <v>43971</v>
      </c>
      <c r="O17" s="146">
        <f t="shared" si="13"/>
        <v>43972</v>
      </c>
      <c r="P17" s="146">
        <f t="shared" si="13"/>
        <v>43973</v>
      </c>
      <c r="Q17" s="147">
        <f t="shared" si="13"/>
        <v>43974</v>
      </c>
      <c r="R17" s="148">
        <f t="shared" si="13"/>
        <v>43975</v>
      </c>
      <c r="S17" s="61"/>
      <c r="T17" s="163">
        <f>T16+1</f>
        <v>26</v>
      </c>
      <c r="U17" s="145">
        <f>AA16+1</f>
        <v>44004</v>
      </c>
      <c r="V17" s="146">
        <f t="shared" si="14"/>
        <v>44005</v>
      </c>
      <c r="W17" s="146">
        <f t="shared" si="14"/>
        <v>44006</v>
      </c>
      <c r="X17" s="146">
        <f t="shared" si="14"/>
        <v>44007</v>
      </c>
      <c r="Y17" s="146">
        <f t="shared" si="14"/>
        <v>44008</v>
      </c>
      <c r="Z17" s="147">
        <f t="shared" si="14"/>
        <v>44009</v>
      </c>
      <c r="AA17" s="148">
        <f t="shared" si="14"/>
        <v>44010</v>
      </c>
      <c r="AB17" s="61"/>
      <c r="AC17" s="488">
        <v>21</v>
      </c>
      <c r="AD17" s="149" t="str">
        <f>AD12 &amp; "." &amp;AJ$2</f>
        <v>04.4</v>
      </c>
      <c r="AE17" s="150" t="str">
        <f>IFERROR(IF(C17=" ","",INDEX(GCalXML[fasttype],$AL$13+$AC17+AE$1)),"")</f>
        <v> </v>
      </c>
      <c r="AF17" s="151" t="str">
        <f>IFERROR(IF(D17=" ","",INDEX(GCalXML[fasttype],$AL$13+$AC17+AF$1)),"")</f>
        <v> </v>
      </c>
      <c r="AG17" s="151" t="str">
        <f>IFERROR(IF(E17=" ","",INDEX(GCalXML[fasttype],$AL$13+$AC17+AG$1)),"")</f>
        <v>C</v>
      </c>
      <c r="AH17" s="151" t="str">
        <f>IFERROR(IF(F17=" ","",INDEX(GCalXML[fasttype],$AL$13+$AC17+AH$1)),"")</f>
        <v> </v>
      </c>
      <c r="AI17" s="151" t="str">
        <f>IFERROR(IF(G17=" ","",INDEX(GCalXML[fasttype],$AL$13+$AC17+AI$1)),"")</f>
        <v> </v>
      </c>
      <c r="AJ17" s="152" t="str">
        <f>IFERROR(IF(H17=" ","",INDEX(GCalXML[fasttype],$AL$13+$AC17+AJ$1)),"")</f>
        <v>C</v>
      </c>
      <c r="AK17" s="153" t="str">
        <f>IFERROR(IF(I17=" ","",INDEX(GCalXML[fasttype],$AL$13+$AC17+AK$1)),"")</f>
        <v> </v>
      </c>
      <c r="AL17" s="182">
        <f>IFERROR(MATCH($U$1 &amp; "." &amp; AD17,'Moon Calendar'!$I$2:$I$65,0),"")</f>
        <v>25</v>
      </c>
      <c r="AM17" s="149" t="str">
        <f>AM12 &amp; "." &amp;AS$2</f>
        <v>05.4</v>
      </c>
      <c r="AN17" s="150" t="str">
        <f>IFERROR(IF(L17=" ","",INDEX(GCalXML[fasttype],$AU$13+$AC17+AN$1)),"")</f>
        <v>E</v>
      </c>
      <c r="AO17" s="151" t="str">
        <f>IFERROR(IF(M17=" ","",INDEX(GCalXML[fasttype],$AU$13+$AC17+AO$1)),"")</f>
        <v>C</v>
      </c>
      <c r="AP17" s="151" t="str">
        <f>IFERROR(IF(N17=" ","",INDEX(GCalXML[fasttype],$AU$13+$AC17+AP$1)),"")</f>
        <v> </v>
      </c>
      <c r="AQ17" s="151" t="str">
        <f>IFERROR(IF(O17=" ","",INDEX(GCalXML[fasttype],$AU$13+$AC17+AQ$1)),"")</f>
        <v> </v>
      </c>
      <c r="AR17" s="151" t="str">
        <f>IFERROR(IF(P17=" ","",INDEX(GCalXML[fasttype],$AU$13+$AC17+AR$1)),"")</f>
        <v> </v>
      </c>
      <c r="AS17" s="152" t="str">
        <f>IFERROR(IF(Q17=" ","",INDEX(GCalXML[fasttype],$AU$13+$AC17+AS$1)),"")</f>
        <v> </v>
      </c>
      <c r="AT17" s="153" t="str">
        <f>IFERROR(IF(R17=" ","",INDEX(GCalXML[fasttype],$AU$13+$AC17+AT$1)),"")</f>
        <v> </v>
      </c>
      <c r="AU17" s="182">
        <f>IFERROR(MATCH($U$1 &amp; "." &amp; AM17,'Moon Calendar'!$I$2:$I$65,0),"")</f>
        <v>30</v>
      </c>
      <c r="AV17" s="149" t="str">
        <f>AV12 &amp; "." &amp;BB$2</f>
        <v>06.4</v>
      </c>
      <c r="AW17" s="150" t="str">
        <f>IFERROR(IF(U17=" ","",INDEX(GCalXML[fasttype],$BD$13+$AC17+AW$1)),"")</f>
        <v>C</v>
      </c>
      <c r="AX17" s="151" t="str">
        <f>IFERROR(IF(V17=" ","",INDEX(GCalXML[fasttype],$BD$13+$AC17+AX$1)),"")</f>
        <v> </v>
      </c>
      <c r="AY17" s="151" t="str">
        <f>IFERROR(IF(W17=" ","",INDEX(GCalXML[fasttype],$BD$13+$AC17+AY$1)),"")</f>
        <v> </v>
      </c>
      <c r="AZ17" s="151" t="str">
        <f>IFERROR(IF(X17=" ","",INDEX(GCalXML[fasttype],$BD$13+$AC17+AZ$1)),"")</f>
        <v> </v>
      </c>
      <c r="BA17" s="151" t="str">
        <f>IFERROR(IF(Y17=" ","",INDEX(GCalXML[fasttype],$BD$13+$AC17+BA$1)),"")</f>
        <v>C</v>
      </c>
      <c r="BB17" s="152" t="str">
        <f>IFERROR(IF(Z17=" ","",INDEX(GCalXML[fasttype],$BD$13+$AC17+BB$1)),"")</f>
        <v> </v>
      </c>
      <c r="BC17" s="153" t="str">
        <f>IFERROR(IF(AA17=" ","",INDEX(GCalXML[fasttype],$BD$13+$AC17+BC$1)),"")</f>
        <v> </v>
      </c>
      <c r="BD17" s="182">
        <f>IFERROR(MATCH($U$1 &amp; "." &amp; AV17,'Moon Calendar'!$I$2:$I$65,0),"")</f>
        <v>34</v>
      </c>
    </row>
    <row r="18" spans="1:61" ht="18">
      <c r="A18" s="61"/>
      <c r="B18" s="163">
        <f>IF(C18=" ","",B17+1)</f>
        <v>18</v>
      </c>
      <c r="C18" s="145">
        <f>IF(I17+1&lt;=AG12,I17+1," ")</f>
        <v>43948</v>
      </c>
      <c r="D18" s="146">
        <f>IF(C18=" "," ",IF(C18+1&lt;=AG12,C18+1," "))</f>
        <v>43949</v>
      </c>
      <c r="E18" s="146">
        <f>IF(D18=" "," ",IF(D18+1&lt;=AG12,D18+1," "))</f>
        <v>43950</v>
      </c>
      <c r="F18" s="146">
        <f>IF(E18=" "," ",IF(E18+1&lt;=AG12,E18+1," "))</f>
        <v>43951</v>
      </c>
      <c r="G18" s="146" t="str">
        <f>IF(F18=" "," ",IF(F18+1&lt;=AG12,F18+1," "))</f>
        <v xml:space="preserve"> </v>
      </c>
      <c r="H18" s="147" t="str">
        <f>IF(G18=" "," ",IF(G18+1&lt;=AG12,G18+1," "))</f>
        <v xml:space="preserve"> </v>
      </c>
      <c r="I18" s="148" t="str">
        <f>IF(H18=" "," ",IF(H18+1&lt;=AG12,H18+1," "))</f>
        <v xml:space="preserve"> </v>
      </c>
      <c r="K18" s="154">
        <f>IF(L18=" ","",K17+1)</f>
        <v>22</v>
      </c>
      <c r="L18" s="145">
        <f>IF(R17+1&lt;=AP12,R17+1," ")</f>
        <v>43976</v>
      </c>
      <c r="M18" s="146">
        <f>IF(L18=" "," ",IF(L18+1&lt;=AP12,L18+1," "))</f>
        <v>43977</v>
      </c>
      <c r="N18" s="146">
        <f>IF(M18=" "," ",IF(M18+1&lt;=AP12,M18+1," "))</f>
        <v>43978</v>
      </c>
      <c r="O18" s="146">
        <f>IF(N18=" "," ",IF(N18+1&lt;=AP12,N18+1," "))</f>
        <v>43979</v>
      </c>
      <c r="P18" s="146">
        <f>IF(O18=" "," ",IF(O18+1&lt;=AP12,O18+1," "))</f>
        <v>43980</v>
      </c>
      <c r="Q18" s="147">
        <f>IF(P18=" "," ",IF(P18+1&lt;=AP12,P18+1," "))</f>
        <v>43981</v>
      </c>
      <c r="R18" s="148">
        <f>IF(Q18=" "," ",IF(Q18+1&lt;=AP12,Q18+1," "))</f>
        <v>43982</v>
      </c>
      <c r="S18" s="61"/>
      <c r="T18" s="163">
        <f>IF(U18=" ","",T17+1)</f>
        <v>27</v>
      </c>
      <c r="U18" s="145">
        <f>IF(AA17+1&lt;=AY12,AA17+1," ")</f>
        <v>44011</v>
      </c>
      <c r="V18" s="146">
        <f>IF(U18=" "," ",IF(U18+1&lt;=AY12,U18+1," "))</f>
        <v>44012</v>
      </c>
      <c r="W18" s="146" t="str">
        <f>IF(V18=" "," ",IF(V18+1&lt;=AY12,V18+1," "))</f>
        <v xml:space="preserve"> </v>
      </c>
      <c r="X18" s="146" t="str">
        <f>IF(W18=" "," ",IF(W18+1&lt;=AY12,W18+1," "))</f>
        <v xml:space="preserve"> </v>
      </c>
      <c r="Y18" s="146" t="str">
        <f>IF(X18=" "," ",IF(X18+1&lt;=AY12,X18+1," "))</f>
        <v xml:space="preserve"> </v>
      </c>
      <c r="Z18" s="147" t="str">
        <f>IF(Y18=" "," ",IF(Y18+1&lt;=AY12,Y18+1," "))</f>
        <v xml:space="preserve"> </v>
      </c>
      <c r="AA18" s="148" t="str">
        <f>IF(Z18=" "," ",IF(Z18+1&lt;=AY12,Z18+1," "))</f>
        <v xml:space="preserve"> </v>
      </c>
      <c r="AB18" s="61"/>
      <c r="AC18" s="488">
        <v>28</v>
      </c>
      <c r="AD18" s="149" t="str">
        <f>AD12 &amp; "." &amp;AK$2</f>
        <v>04.5</v>
      </c>
      <c r="AE18" s="150" t="str">
        <f>IFERROR(IF(C18=" ","",INDEX(GCalXML[fasttype],$AL$13+$AC18+AE$1)),"")</f>
        <v> </v>
      </c>
      <c r="AF18" s="151" t="str">
        <f>IFERROR(IF(D18=" ","",INDEX(GCalXML[fasttype],$AL$13+$AC18+AF$1)),"")</f>
        <v> </v>
      </c>
      <c r="AG18" s="151" t="str">
        <f>IFERROR(IF(E18=" ","",INDEX(GCalXML[fasttype],$AL$13+$AC18+AG$1)),"")</f>
        <v> </v>
      </c>
      <c r="AH18" s="151" t="str">
        <f>IFERROR(IF(F18=" ","",INDEX(GCalXML[fasttype],$AL$13+$AC18+AH$1)),"")</f>
        <v> </v>
      </c>
      <c r="AI18" s="151" t="str">
        <f>IFERROR(IF(G18=" ","",INDEX(GCalXML[fasttype],$AL$13+$AC18+AI$1)),"")</f>
        <v/>
      </c>
      <c r="AJ18" s="152" t="str">
        <f>IFERROR(IF(H18=" ","",INDEX(GCalXML[fasttype],$AL$13+$AC18+AJ$1)),"")</f>
        <v/>
      </c>
      <c r="AK18" s="153" t="str">
        <f>IFERROR(IF(I18=" ","",INDEX(GCalXML[fasttype],$AL$13+$AC18+AK$1)),"")</f>
        <v/>
      </c>
      <c r="AL18" s="182">
        <f>IFERROR(MATCH($U$1 &amp; "." &amp; AD18,'Moon Calendar'!$I$2:$I$65,0),"")</f>
        <v>26</v>
      </c>
      <c r="AM18" s="149" t="str">
        <f>AM12 &amp; "." &amp;AT$2</f>
        <v>05.5</v>
      </c>
      <c r="AN18" s="150" t="str">
        <f>IFERROR(IF(L18=" ","",INDEX(GCalXML[fasttype],$AU$13+$AC18+AN$1)),"")</f>
        <v> </v>
      </c>
      <c r="AO18" s="151" t="str">
        <f>IFERROR(IF(M18=" ","",INDEX(GCalXML[fasttype],$AU$13+$AC18+AO$1)),"")</f>
        <v> </v>
      </c>
      <c r="AP18" s="151" t="str">
        <f>IFERROR(IF(N18=" ","",INDEX(GCalXML[fasttype],$AU$13+$AC18+AP$1)),"")</f>
        <v> </v>
      </c>
      <c r="AQ18" s="151" t="str">
        <f>IFERROR(IF(O18=" ","",INDEX(GCalXML[fasttype],$AU$13+$AC18+AQ$1)),"")</f>
        <v> </v>
      </c>
      <c r="AR18" s="151" t="str">
        <f>IFERROR(IF(P18=" ","",INDEX(GCalXML[fasttype],$AU$13+$AC18+AR$1)),"")</f>
        <v> </v>
      </c>
      <c r="AS18" s="152" t="str">
        <f>IFERROR(IF(Q18=" ","",INDEX(GCalXML[fasttype],$AU$13+$AC18+AS$1)),"")</f>
        <v> </v>
      </c>
      <c r="AT18" s="153" t="str">
        <f>IFERROR(IF(R18=" ","",INDEX(GCalXML[fasttype],$AU$13+$AC18+AT$1)),"")</f>
        <v> </v>
      </c>
      <c r="AU18" s="182" t="str">
        <f>IFERROR(MATCH($U$1 &amp; "." &amp; AM18,'Moon Calendar'!$I$2:$I$65,0),"")</f>
        <v/>
      </c>
      <c r="AV18" s="149" t="str">
        <f>AV12 &amp; "." &amp;BC$2</f>
        <v>06.5</v>
      </c>
      <c r="AW18" s="150" t="str">
        <f>IFERROR(IF(U18=" ","",INDEX(GCalXML[fasttype],$BD$13+$AC18+AW$1)),"")</f>
        <v> </v>
      </c>
      <c r="AX18" s="151" t="str">
        <f>IFERROR(IF(V18=" ","",INDEX(GCalXML[fasttype],$BD$13+$AC18+AX$1)),"")</f>
        <v>C</v>
      </c>
      <c r="AY18" s="151" t="str">
        <f>IFERROR(IF(W18=" ","",INDEX(GCalXML[fasttype],$BD$13+$AC18+AY$1)),"")</f>
        <v/>
      </c>
      <c r="AZ18" s="151" t="str">
        <f>IFERROR(IF(X18=" ","",INDEX(GCalXML[fasttype],$BD$13+$AC18+AZ$1)),"")</f>
        <v/>
      </c>
      <c r="BA18" s="151" t="str">
        <f>IFERROR(IF(Y18=" ","",INDEX(GCalXML[fasttype],$BD$13+$AC18+BA$1)),"")</f>
        <v/>
      </c>
      <c r="BB18" s="152" t="str">
        <f>IFERROR(IF(Z18=" ","",INDEX(GCalXML[fasttype],$BD$13+$AC18+BB$1)),"")</f>
        <v/>
      </c>
      <c r="BC18" s="153" t="str">
        <f>IFERROR(IF(AA18=" ","",INDEX(GCalXML[fasttype],$BD$13+$AC18+BC$1)),"")</f>
        <v/>
      </c>
      <c r="BD18" s="182" t="str">
        <f>IFERROR(MATCH($U$1 &amp; "." &amp; AV18,'Moon Calendar'!$I$2:$I$65,0),"")</f>
        <v/>
      </c>
    </row>
    <row r="19" spans="1:61" ht="18.75" thickBot="1">
      <c r="A19" s="61"/>
      <c r="B19" s="164" t="str">
        <f>IF(C19=" ","",B18+1)</f>
        <v/>
      </c>
      <c r="C19" s="155" t="str">
        <f>IF(I18=" "," ",IF(I18+1&lt;=AG12,I18+1," "))</f>
        <v xml:space="preserve"> </v>
      </c>
      <c r="D19" s="156" t="str">
        <f>IF(C19=" "," ",IF(C19+1&lt;=AG12,C19+1," "))</f>
        <v xml:space="preserve"> </v>
      </c>
      <c r="E19" s="156"/>
      <c r="F19" s="156"/>
      <c r="G19" s="156"/>
      <c r="H19" s="157"/>
      <c r="I19" s="158"/>
      <c r="K19" s="154" t="str">
        <f>IF(L19=" ","",K18+1)</f>
        <v/>
      </c>
      <c r="L19" s="155" t="str">
        <f>IF(R18=" "," ",IF(R18+1&lt;=AP12,R18+1," "))</f>
        <v xml:space="preserve"> </v>
      </c>
      <c r="M19" s="156" t="str">
        <f>IF(L19=" "," ",IF(L19+1&lt;=AP12,L19+1," "))</f>
        <v xml:space="preserve"> </v>
      </c>
      <c r="N19" s="156"/>
      <c r="O19" s="156"/>
      <c r="P19" s="156"/>
      <c r="Q19" s="157"/>
      <c r="R19" s="158"/>
      <c r="S19" s="61"/>
      <c r="T19" s="164" t="str">
        <f>IF(U19=" ","",T18+1)</f>
        <v/>
      </c>
      <c r="U19" s="155" t="str">
        <f>IF(AA18=" "," ",IF(AA18+1&lt;=AY12,AA18+1," "))</f>
        <v xml:space="preserve"> </v>
      </c>
      <c r="V19" s="156" t="str">
        <f>IF(U19=" "," ",IF(U19+1&lt;=AY12,U19+1," "))</f>
        <v xml:space="preserve"> </v>
      </c>
      <c r="W19" s="165"/>
      <c r="X19" s="676" t="str">
        <f ca="1">"20- " &amp; 'GPlan-Translations'!C177</f>
        <v>20- Winter</v>
      </c>
      <c r="Y19" s="676"/>
      <c r="Z19" s="676"/>
      <c r="AA19" s="677"/>
      <c r="AB19" s="61"/>
      <c r="AC19" s="488">
        <v>35</v>
      </c>
      <c r="AE19" s="159" t="str">
        <f>IFERROR(IF(C19=" ","",INDEX(GCalXML[fasttype],$AL$13+$AC19+AE$1)),"")</f>
        <v/>
      </c>
      <c r="AF19" s="160" t="str">
        <f>IFERROR(IF(D19=" ","",INDEX(GCalXML[fasttype],$AL$13+$AC19+AF$1)),"")</f>
        <v/>
      </c>
      <c r="AG19" s="161">
        <f>IFERROR(INDEX('Moon Calendar'!$F$2:$F$65,AL14),"")</f>
        <v>43922</v>
      </c>
      <c r="AH19" s="161">
        <f>IFERROR(INDEX('Moon Calendar'!$F$2:$F$65,AL15),"")</f>
        <v>43928</v>
      </c>
      <c r="AI19" s="161">
        <f>IFERROR(INDEX('Moon Calendar'!$F$2:$F$65,AL16),"")</f>
        <v>43935</v>
      </c>
      <c r="AJ19" s="161">
        <f>IFERROR(INDEX('Moon Calendar'!$F$2:$F$65,AL17),"")</f>
        <v>43943</v>
      </c>
      <c r="AK19" s="162">
        <f>IFERROR(INDEX('Moon Calendar'!$F$2:$F$65,AL18),"")</f>
        <v>43951</v>
      </c>
      <c r="AL19" s="337" t="str">
        <f ca="1">AD20 &amp; " " &amp; AE20  &amp; AL20 &amp; AF20 &amp; " " &amp; AG20 &amp; AL20 &amp; AH20 &amp; " " &amp; AI20 &amp; IF(AJ20&lt;&gt;"",AL20 &amp; AJ20 &amp; " " &amp; AK20,"")</f>
        <v> 1/30           7           14           22</v>
      </c>
      <c r="AN19" s="159" t="str">
        <f>IFERROR(IF(L19=" ","",INDEX(GCalXML[fasttype],$AU$13+$AC19+AN$1)),"")</f>
        <v/>
      </c>
      <c r="AO19" s="160" t="str">
        <f>IFERROR(IF(M19=" ","",INDEX(GCalXML[fasttype],$AU$13+$AC19+AO$1)),"")</f>
        <v/>
      </c>
      <c r="AP19" s="161">
        <f>IFERROR(INDEX('Moon Calendar'!$F$2:$F$65,AU14),"")</f>
        <v>43958</v>
      </c>
      <c r="AQ19" s="161">
        <f>IFERROR(INDEX('Moon Calendar'!$F$2:$F$65,AU15),"")</f>
        <v>43965</v>
      </c>
      <c r="AR19" s="161">
        <f>IFERROR(INDEX('Moon Calendar'!$F$2:$F$65,AU16),"")</f>
        <v>43973</v>
      </c>
      <c r="AS19" s="161">
        <f>IFERROR(INDEX('Moon Calendar'!$F$2:$F$65,AU17),"")</f>
        <v>43980</v>
      </c>
      <c r="AT19" s="162" t="str">
        <f>IFERROR(INDEX('Moon Calendar'!$F$2:$F$65,AU18),"")</f>
        <v/>
      </c>
      <c r="AU19" s="337" t="str">
        <f ca="1">AM20 &amp; " " &amp; AN20  &amp; AU20 &amp; AO20 &amp; " " &amp; AP20 &amp; AU20 &amp; AQ20 &amp; " " &amp; AR20 &amp; IF(AS20&lt;&gt;"",AU20 &amp; AS20 &amp; " " &amp; AT20,"")</f>
        <v> 7           14           22           29</v>
      </c>
      <c r="AW19" s="159" t="str">
        <f>IFERROR(IF(U19=" ","",INDEX(GCalXML[fasttype],$BD$13+$AC19+AW$1)),"")</f>
        <v/>
      </c>
      <c r="AX19" s="160" t="str">
        <f>IFERROR(IF(V19=" ","",INDEX(GCalXML[fasttype],$BD$13+$AC19+AX$1)),"")</f>
        <v/>
      </c>
      <c r="AY19" s="161">
        <f>IFERROR(INDEX('Moon Calendar'!$F$2:$F$65,BD14),"")</f>
        <v>43987</v>
      </c>
      <c r="AZ19" s="161">
        <f>IFERROR(INDEX('Moon Calendar'!$F$2:$F$65,BD15),"")</f>
        <v>43995</v>
      </c>
      <c r="BA19" s="161">
        <f>IFERROR(INDEX('Moon Calendar'!$F$2:$F$65,BD16),"")</f>
        <v>44003</v>
      </c>
      <c r="BB19" s="161">
        <f>IFERROR(INDEX('Moon Calendar'!$F$2:$F$65,BD17),"")</f>
        <v>44010</v>
      </c>
      <c r="BC19" s="162" t="str">
        <f>IFERROR(INDEX('Moon Calendar'!$F$2:$F$65,BD18),"")</f>
        <v/>
      </c>
      <c r="BD19" s="337" t="str">
        <f ca="1">AV20 &amp; " " &amp; AW20  &amp; BD20 &amp; AX20 &amp; " " &amp; AY20 &amp; BD20 &amp; AZ20 &amp; " " &amp; BA20 &amp; IF(BB20&lt;&gt;"",BD20 &amp; BB20 &amp; " " &amp; BC20,"")</f>
        <v> 5           13           21           28</v>
      </c>
    </row>
    <row r="20" spans="1:61" ht="18.75" thickBot="1">
      <c r="B20" s="338" t="str">
        <f t="shared" ref="B20:I20" ca="1" si="15">AD20</f>
        <v></v>
      </c>
      <c r="C20" s="341" t="str">
        <f t="shared" si="15"/>
        <v>1/30</v>
      </c>
      <c r="D20" s="338" t="str">
        <f t="shared" ca="1" si="15"/>
        <v></v>
      </c>
      <c r="E20" s="341">
        <f t="shared" si="15"/>
        <v>7</v>
      </c>
      <c r="F20" s="338" t="str">
        <f t="shared" ca="1" si="15"/>
        <v></v>
      </c>
      <c r="G20" s="341">
        <f t="shared" si="15"/>
        <v>14</v>
      </c>
      <c r="H20" s="338" t="str">
        <f t="shared" ca="1" si="15"/>
        <v></v>
      </c>
      <c r="I20" s="341">
        <f t="shared" si="15"/>
        <v>22</v>
      </c>
      <c r="K20" s="338" t="str">
        <f t="shared" ref="K20:R20" ca="1" si="16">AM20</f>
        <v></v>
      </c>
      <c r="L20" s="341" t="str">
        <f t="shared" si="16"/>
        <v>7</v>
      </c>
      <c r="M20" s="338" t="str">
        <f t="shared" ca="1" si="16"/>
        <v></v>
      </c>
      <c r="N20" s="341">
        <f t="shared" si="16"/>
        <v>14</v>
      </c>
      <c r="O20" s="338" t="str">
        <f t="shared" ca="1" si="16"/>
        <v></v>
      </c>
      <c r="P20" s="341">
        <f t="shared" si="16"/>
        <v>22</v>
      </c>
      <c r="Q20" s="338" t="str">
        <f t="shared" ca="1" si="16"/>
        <v></v>
      </c>
      <c r="R20" s="341">
        <f t="shared" si="16"/>
        <v>29</v>
      </c>
      <c r="T20" s="338" t="str">
        <f t="shared" ref="T20:AA20" ca="1" si="17">AV20</f>
        <v></v>
      </c>
      <c r="U20" s="341" t="str">
        <f t="shared" si="17"/>
        <v>5</v>
      </c>
      <c r="V20" s="338" t="str">
        <f t="shared" ca="1" si="17"/>
        <v></v>
      </c>
      <c r="W20" s="341">
        <f t="shared" si="17"/>
        <v>13</v>
      </c>
      <c r="X20" s="338" t="str">
        <f t="shared" ca="1" si="17"/>
        <v></v>
      </c>
      <c r="Y20" s="341">
        <f t="shared" si="17"/>
        <v>21</v>
      </c>
      <c r="Z20" s="338" t="str">
        <f t="shared" ca="1" si="17"/>
        <v></v>
      </c>
      <c r="AA20" s="341">
        <f t="shared" si="17"/>
        <v>28</v>
      </c>
      <c r="AC20" s="131"/>
      <c r="AD20" s="338" t="str">
        <f ca="1">IFERROR(INDEX('Moon Calendar'!$N$2:$N$65,AL14),"")</f>
        <v></v>
      </c>
      <c r="AE20" s="184" t="str">
        <f>IF(AG19="","",DAY(AG19) &amp; IF(AK19&lt;&gt;"","/" &amp; DAY(AK19),""))</f>
        <v>1/30</v>
      </c>
      <c r="AF20" s="338" t="str">
        <f ca="1">IFERROR(INDEX('Moon Calendar'!$N$2:$N$65,AL15),"")</f>
        <v></v>
      </c>
      <c r="AG20" s="185">
        <f>IFERROR(DAY(AH19),"")</f>
        <v>7</v>
      </c>
      <c r="AH20" s="338" t="str">
        <f ca="1">IFERROR(INDEX('Moon Calendar'!$N$2:$N$65,AL16),"")</f>
        <v></v>
      </c>
      <c r="AI20" s="185">
        <f>IFERROR(DAY(AI19),"")</f>
        <v>14</v>
      </c>
      <c r="AJ20" s="338" t="str">
        <f ca="1">IFERROR(INDEX('Moon Calendar'!$N$2:$N$65,AL17),"")</f>
        <v></v>
      </c>
      <c r="AK20" s="185">
        <f>IFERROR(DAY(AJ19),"")</f>
        <v>22</v>
      </c>
      <c r="AL20" s="188" t="str">
        <f>AL11</f>
        <v>          </v>
      </c>
      <c r="AM20" s="338" t="str">
        <f ca="1">IFERROR(INDEX('Moon Calendar'!$N$2:$N$65,AU14),"")</f>
        <v></v>
      </c>
      <c r="AN20" s="184" t="str">
        <f>IF(AP19="","",DAY(AP19) &amp; IF(AT19&lt;&gt;"","/" &amp; DAY(AT19),""))</f>
        <v>7</v>
      </c>
      <c r="AO20" s="338" t="str">
        <f ca="1">IFERROR(INDEX('Moon Calendar'!$N$2:$N$65,AU15),"")</f>
        <v></v>
      </c>
      <c r="AP20" s="185">
        <f>IFERROR(DAY(AQ19),"")</f>
        <v>14</v>
      </c>
      <c r="AQ20" s="338" t="str">
        <f ca="1">IFERROR(INDEX('Moon Calendar'!$N$2:$N$65,AU16),"")</f>
        <v></v>
      </c>
      <c r="AR20" s="185">
        <f>IFERROR(DAY(AR19),"")</f>
        <v>22</v>
      </c>
      <c r="AS20" s="338" t="str">
        <f ca="1">IFERROR(INDEX('Moon Calendar'!$N$2:$N$65,AU17),"")</f>
        <v></v>
      </c>
      <c r="AT20" s="185">
        <f>IFERROR(DAY(AS19),"")</f>
        <v>29</v>
      </c>
      <c r="AU20" s="187" t="str">
        <f>AL20</f>
        <v>          </v>
      </c>
      <c r="AV20" s="338" t="str">
        <f ca="1">IFERROR(INDEX('Moon Calendar'!$N$2:$N$65,BD14),"")</f>
        <v></v>
      </c>
      <c r="AW20" s="184" t="str">
        <f>IF(AY19="","",DAY(AY19) &amp; IF(BC19&lt;&gt;"","/" &amp; DAY(BC19),""))</f>
        <v>5</v>
      </c>
      <c r="AX20" s="338" t="str">
        <f ca="1">IFERROR(INDEX('Moon Calendar'!$N$2:$N$65,BD15),"")</f>
        <v></v>
      </c>
      <c r="AY20" s="185">
        <f>IFERROR(DAY(AZ19),"")</f>
        <v>13</v>
      </c>
      <c r="AZ20" s="338" t="str">
        <f ca="1">IFERROR(INDEX('Moon Calendar'!$N$2:$N$65,BD16),"")</f>
        <v></v>
      </c>
      <c r="BA20" s="185">
        <f>IFERROR(DAY(BA19),"")</f>
        <v>21</v>
      </c>
      <c r="BB20" s="338" t="str">
        <f ca="1">IFERROR(INDEX('Moon Calendar'!$N$2:$N$65,BD17),"")</f>
        <v></v>
      </c>
      <c r="BC20" s="185">
        <f>IFERROR(DAY(BB19),"")</f>
        <v>28</v>
      </c>
      <c r="BD20" s="189" t="str">
        <f>AU20</f>
        <v>          </v>
      </c>
    </row>
    <row r="21" spans="1:61" ht="18">
      <c r="A21" s="61"/>
      <c r="C21" s="673" t="str">
        <f ca="1">UPPER('GPlan-Translations'!C211)</f>
        <v>JULY</v>
      </c>
      <c r="D21" s="674"/>
      <c r="E21" s="674"/>
      <c r="F21" s="674"/>
      <c r="G21" s="674"/>
      <c r="H21" s="674"/>
      <c r="I21" s="675"/>
      <c r="L21" s="673" t="str">
        <f ca="1">UPPER('GPlan-Translations'!C212)</f>
        <v>AUGUST</v>
      </c>
      <c r="M21" s="674"/>
      <c r="N21" s="674"/>
      <c r="O21" s="674"/>
      <c r="P21" s="674"/>
      <c r="Q21" s="674"/>
      <c r="R21" s="675"/>
      <c r="S21" s="61"/>
      <c r="T21" s="61"/>
      <c r="U21" s="673" t="str">
        <f ca="1">UPPER('GPlan-Translations'!C213)</f>
        <v>SEPTEMBER</v>
      </c>
      <c r="V21" s="674"/>
      <c r="W21" s="674"/>
      <c r="X21" s="674"/>
      <c r="Y21" s="674"/>
      <c r="Z21" s="674"/>
      <c r="AA21" s="675"/>
      <c r="AB21" s="61"/>
      <c r="AC21" s="131"/>
      <c r="AD21" s="182" t="str">
        <f>TEXT(AE21,"00")</f>
        <v>07</v>
      </c>
      <c r="AE21" s="133">
        <v>7</v>
      </c>
      <c r="AF21" s="134">
        <f>DATE(AJ21,AE21,1)</f>
        <v>44013</v>
      </c>
      <c r="AG21" s="134">
        <f>DATE(AJ21,AE21+1,1)-1</f>
        <v>44043</v>
      </c>
      <c r="AH21" s="134">
        <f>WEEKDAY(AF21,2)</f>
        <v>3</v>
      </c>
      <c r="AI21" s="135"/>
      <c r="AJ21" s="589">
        <f>$U$1</f>
        <v>2020</v>
      </c>
      <c r="AK21" s="590"/>
      <c r="AL21" s="489">
        <f>(AG21 - I23)  +  (R23-AO21 + 1)</f>
        <v>28</v>
      </c>
      <c r="AM21" s="182" t="str">
        <f>TEXT(AN21,"00")</f>
        <v>08</v>
      </c>
      <c r="AN21" s="133">
        <f>AE21+1</f>
        <v>8</v>
      </c>
      <c r="AO21" s="134">
        <f>DATE(AS21,AN21,1)</f>
        <v>44044</v>
      </c>
      <c r="AP21" s="134">
        <f>DATE(AS21,AN21+1,1)-1</f>
        <v>44074</v>
      </c>
      <c r="AQ21" s="134">
        <f>WEEKDAY(AO21,2)</f>
        <v>6</v>
      </c>
      <c r="AR21" s="135"/>
      <c r="AS21" s="589">
        <f>$U$1</f>
        <v>2020</v>
      </c>
      <c r="AT21" s="590"/>
      <c r="AU21" s="489">
        <f>(AP21 - R23)  +  (AA23-AX21 + 1)</f>
        <v>35</v>
      </c>
      <c r="AV21" s="182" t="str">
        <f>TEXT(AW21,"00")</f>
        <v>09</v>
      </c>
      <c r="AW21" s="133">
        <f>AN21+1</f>
        <v>9</v>
      </c>
      <c r="AX21" s="134">
        <f>DATE(BB21,AW21,1)</f>
        <v>44075</v>
      </c>
      <c r="AY21" s="134">
        <f>DATE(BB21,AW21+1,1)-1</f>
        <v>44104</v>
      </c>
      <c r="AZ21" s="134">
        <f>WEEKDAY(AX21,2)</f>
        <v>2</v>
      </c>
      <c r="BA21" s="135"/>
      <c r="BB21" s="589">
        <f>$U$1</f>
        <v>2020</v>
      </c>
      <c r="BC21" s="590"/>
      <c r="BD21" s="490">
        <f>(AY21 - AA23)  +  (H32-BG21 + 1)</f>
        <v>27</v>
      </c>
      <c r="BE21" s="182"/>
      <c r="BG21" s="493">
        <f>AF30</f>
        <v>44105</v>
      </c>
    </row>
    <row r="22" spans="1:61" ht="18">
      <c r="A22" s="61"/>
      <c r="C22" s="136" t="str">
        <f ca="1">'GPlan-Translations'!$C$218</f>
        <v>Mo</v>
      </c>
      <c r="D22" s="137" t="str">
        <f ca="1">'GPlan-Translations'!$C$219</f>
        <v>Tu</v>
      </c>
      <c r="E22" s="137" t="str">
        <f ca="1">'GPlan-Translations'!$C$220</f>
        <v>We</v>
      </c>
      <c r="F22" s="137" t="str">
        <f ca="1">'GPlan-Translations'!$C$221</f>
        <v>Th</v>
      </c>
      <c r="G22" s="137" t="str">
        <f ca="1">'GPlan-Translations'!$C$222</f>
        <v>Fr</v>
      </c>
      <c r="H22" s="138" t="str">
        <f ca="1">'GPlan-Translations'!$C$223</f>
        <v>Sa</v>
      </c>
      <c r="I22" s="139" t="str">
        <f ca="1">'GPlan-Translations'!$C$217</f>
        <v>Su</v>
      </c>
      <c r="L22" s="136" t="str">
        <f ca="1">'GPlan-Translations'!$C$218</f>
        <v>Mo</v>
      </c>
      <c r="M22" s="137" t="str">
        <f ca="1">'GPlan-Translations'!$C$219</f>
        <v>Tu</v>
      </c>
      <c r="N22" s="137" t="str">
        <f ca="1">'GPlan-Translations'!$C$220</f>
        <v>We</v>
      </c>
      <c r="O22" s="137" t="str">
        <f ca="1">'GPlan-Translations'!$C$221</f>
        <v>Th</v>
      </c>
      <c r="P22" s="137" t="str">
        <f ca="1">'GPlan-Translations'!$C$222</f>
        <v>Fr</v>
      </c>
      <c r="Q22" s="138" t="str">
        <f ca="1">'GPlan-Translations'!$C$223</f>
        <v>Sa</v>
      </c>
      <c r="R22" s="139" t="str">
        <f ca="1">'GPlan-Translations'!$C$217</f>
        <v>Su</v>
      </c>
      <c r="S22" s="61"/>
      <c r="T22" s="61"/>
      <c r="U22" s="136" t="str">
        <f ca="1">'GPlan-Translations'!$C$218</f>
        <v>Mo</v>
      </c>
      <c r="V22" s="137" t="str">
        <f ca="1">'GPlan-Translations'!$C$219</f>
        <v>Tu</v>
      </c>
      <c r="W22" s="137" t="str">
        <f ca="1">'GPlan-Translations'!$C$220</f>
        <v>We</v>
      </c>
      <c r="X22" s="137" t="str">
        <f ca="1">'GPlan-Translations'!$C$221</f>
        <v>Th</v>
      </c>
      <c r="Y22" s="137" t="str">
        <f ca="1">'GPlan-Translations'!$C$222</f>
        <v>Fr</v>
      </c>
      <c r="Z22" s="138" t="str">
        <f ca="1">'GPlan-Translations'!$C$223</f>
        <v>Sa</v>
      </c>
      <c r="AA22" s="139" t="str">
        <f ca="1">'GPlan-Translations'!$C$217</f>
        <v>Su</v>
      </c>
      <c r="AB22" s="61"/>
      <c r="AC22" s="131"/>
      <c r="AD22" s="592">
        <f>INDEX(GCalXML[wnum],MATCH(C24,GCalXML[date],0))</f>
        <v>28</v>
      </c>
      <c r="AE22" s="140" t="str">
        <f t="shared" ref="AE22:AK22" ca="1" si="18">C22</f>
        <v>Mo</v>
      </c>
      <c r="AF22" s="141" t="str">
        <f t="shared" ca="1" si="18"/>
        <v>Tu</v>
      </c>
      <c r="AG22" s="141" t="str">
        <f t="shared" ca="1" si="18"/>
        <v>We</v>
      </c>
      <c r="AH22" s="141" t="str">
        <f t="shared" ca="1" si="18"/>
        <v>Th</v>
      </c>
      <c r="AI22" s="141" t="str">
        <f t="shared" ca="1" si="18"/>
        <v>Fr</v>
      </c>
      <c r="AJ22" s="142" t="str">
        <f t="shared" ca="1" si="18"/>
        <v>Sa</v>
      </c>
      <c r="AK22" s="143" t="str">
        <f t="shared" ca="1" si="18"/>
        <v>Su</v>
      </c>
      <c r="AL22" s="584">
        <f>MATCH(I23,GCalXML[date],0)</f>
        <v>225</v>
      </c>
      <c r="AM22" s="592">
        <f>INDEX(GCalXML[wnum],MATCH(L24,GCalXML[date],0))</f>
        <v>32</v>
      </c>
      <c r="AN22" s="140" t="str">
        <f t="shared" ref="AN22:AT22" ca="1" si="19">L22</f>
        <v>Mo</v>
      </c>
      <c r="AO22" s="141" t="str">
        <f t="shared" ca="1" si="19"/>
        <v>Tu</v>
      </c>
      <c r="AP22" s="141" t="str">
        <f t="shared" ca="1" si="19"/>
        <v>We</v>
      </c>
      <c r="AQ22" s="141" t="str">
        <f t="shared" ca="1" si="19"/>
        <v>Th</v>
      </c>
      <c r="AR22" s="141" t="str">
        <f t="shared" ca="1" si="19"/>
        <v>Fr</v>
      </c>
      <c r="AS22" s="142" t="str">
        <f t="shared" ca="1" si="19"/>
        <v>Sa</v>
      </c>
      <c r="AT22" s="143" t="str">
        <f t="shared" ca="1" si="19"/>
        <v>Su</v>
      </c>
      <c r="AU22" s="584">
        <f>MATCH(R23,GCalXML[date],0)</f>
        <v>253</v>
      </c>
      <c r="AV22" s="592">
        <f>INDEX(GCalXML[wnum],MATCH(U24,GCalXML[date],0))</f>
        <v>37</v>
      </c>
      <c r="AW22" s="140" t="str">
        <f t="shared" ref="AW22:BC22" ca="1" si="20">U22</f>
        <v>Mo</v>
      </c>
      <c r="AX22" s="141" t="str">
        <f t="shared" ca="1" si="20"/>
        <v>Tu</v>
      </c>
      <c r="AY22" s="141" t="str">
        <f t="shared" ca="1" si="20"/>
        <v>We</v>
      </c>
      <c r="AZ22" s="141" t="str">
        <f t="shared" ca="1" si="20"/>
        <v>Th</v>
      </c>
      <c r="BA22" s="141" t="str">
        <f t="shared" ca="1" si="20"/>
        <v>Fr</v>
      </c>
      <c r="BB22" s="142" t="str">
        <f t="shared" ca="1" si="20"/>
        <v>Sa</v>
      </c>
      <c r="BC22" s="586" t="str">
        <f t="shared" ca="1" si="20"/>
        <v>Su</v>
      </c>
      <c r="BD22" s="587">
        <f>MATCH(AA23,GCalXML[date],0)</f>
        <v>288</v>
      </c>
    </row>
    <row r="23" spans="1:61" ht="18">
      <c r="A23" s="61"/>
      <c r="B23" s="163">
        <f>B24-1</f>
        <v>27</v>
      </c>
      <c r="C23" s="145" t="str">
        <f>IF(AH21=1,AF21," ")</f>
        <v xml:space="preserve"> </v>
      </c>
      <c r="D23" s="146" t="str">
        <f>IF(AH21=2,AF21,IF(C23=" "," ",C23+1))</f>
        <v xml:space="preserve"> </v>
      </c>
      <c r="E23" s="146">
        <f>IF(AH21=3,AF21,IF(D23=" "," ",D23+1))</f>
        <v>44013</v>
      </c>
      <c r="F23" s="146">
        <f>IF(AH21=4,AF21,IF(E23=" "," ",E23+1))</f>
        <v>44014</v>
      </c>
      <c r="G23" s="146">
        <f>IF(AH21=5,AF21,IF(F23=" "," ",F23+1))</f>
        <v>44015</v>
      </c>
      <c r="H23" s="147">
        <f>IF(AH21=6,AF21,IF(G23=" "," ",G23+1))</f>
        <v>44016</v>
      </c>
      <c r="I23" s="148">
        <f>IF(AH21=7,AF21,H23+1)</f>
        <v>44017</v>
      </c>
      <c r="K23" s="144">
        <f>K24-1</f>
        <v>31</v>
      </c>
      <c r="L23" s="145" t="str">
        <f>IF(AQ21=1,AO21," ")</f>
        <v xml:space="preserve"> </v>
      </c>
      <c r="M23" s="146" t="str">
        <f>IF(AQ21=2,AO21,IF(L23=" "," ",L23+1))</f>
        <v xml:space="preserve"> </v>
      </c>
      <c r="N23" s="146" t="str">
        <f>IF(AQ21=3,AO21,IF(M23=" "," ",M23+1))</f>
        <v xml:space="preserve"> </v>
      </c>
      <c r="O23" s="146" t="str">
        <f>IF(AQ21=4,AO21,IF(N23=" "," ",N23+1))</f>
        <v xml:space="preserve"> </v>
      </c>
      <c r="P23" s="146" t="str">
        <f>IF(AQ21=5,AO21,IF(O23=" "," ",O23+1))</f>
        <v xml:space="preserve"> </v>
      </c>
      <c r="Q23" s="147">
        <f>IF(AQ21=6,AO21,IF(P23=" "," ",P23+1))</f>
        <v>44044</v>
      </c>
      <c r="R23" s="148">
        <f>IF(AQ21=7,AO21,Q23+1)</f>
        <v>44045</v>
      </c>
      <c r="S23" s="61"/>
      <c r="T23" s="163">
        <f>T24-1</f>
        <v>36</v>
      </c>
      <c r="U23" s="145" t="str">
        <f>IF(AZ21=1,AX21," ")</f>
        <v xml:space="preserve"> </v>
      </c>
      <c r="V23" s="146">
        <f>IF(AZ21=2,AX21,IF(U23=" "," ",U23+1))</f>
        <v>44075</v>
      </c>
      <c r="W23" s="146">
        <f>IF(AZ21=3,AX21,IF(V23=" "," ",V23+1))</f>
        <v>44076</v>
      </c>
      <c r="X23" s="146">
        <f>IF(AZ21=4,AX21,IF(W23=" "," ",W23+1))</f>
        <v>44077</v>
      </c>
      <c r="Y23" s="146">
        <f>IF(AZ21=5,AX21,IF(X23=" "," ",X23+1))</f>
        <v>44078</v>
      </c>
      <c r="Z23" s="147">
        <f>IF(AZ21=6,AX21,IF(Y23=" "," ",Y23+1))</f>
        <v>44079</v>
      </c>
      <c r="AA23" s="148">
        <f>IF(AZ21=7,AX21,Z23+1)</f>
        <v>44080</v>
      </c>
      <c r="AB23" s="61"/>
      <c r="AC23" s="488">
        <v>0</v>
      </c>
      <c r="AD23" s="149" t="str">
        <f>AD21 &amp; "." &amp;AG$2</f>
        <v>07.1</v>
      </c>
      <c r="AE23" s="150" t="str">
        <f>IFERROR(IF(C23=" ","",INDEX(GCalXML[fasttype],$AL$22+$AC23+AE$1)),"")</f>
        <v/>
      </c>
      <c r="AF23" s="151" t="str">
        <f>IFERROR(IF(D23=" ","",INDEX(GCalXML[fasttype],$AL$22+$AC23+AF$1)),"")</f>
        <v/>
      </c>
      <c r="AG23" s="151" t="str">
        <f>IFERROR(IF(E23=" ","",INDEX(GCalXML[fasttype],$AL$22+$AC23+AG$1)),"")</f>
        <v>E</v>
      </c>
      <c r="AH23" s="151" t="str">
        <f>IFERROR(IF(F23=" ","",INDEX(GCalXML[fasttype],$AL$22+$AC23+AH$1)),"")</f>
        <v>C</v>
      </c>
      <c r="AI23" s="151" t="str">
        <f>IFERROR(IF(G23=" ","",INDEX(GCalXML[fasttype],$AL$22+$AC23+AI$1)),"")</f>
        <v> </v>
      </c>
      <c r="AJ23" s="152" t="str">
        <f>IFERROR(IF(H23=" ","",INDEX(GCalXML[fasttype],$AL$22+$AC23+AJ$1)),"")</f>
        <v>C</v>
      </c>
      <c r="AK23" s="153" t="str">
        <f>IFERROR(IF(I23=" ","",INDEX(GCalXML[fasttype],$AL$22+$AC23+AK$1)),"")</f>
        <v>C</v>
      </c>
      <c r="AL23" s="182">
        <f>IFERROR(MATCH($U$1 &amp; "." &amp; AD23,'Moon Calendar'!$I$2:$I$65,0),"")</f>
        <v>35</v>
      </c>
      <c r="AM23" s="149" t="str">
        <f>AM21 &amp; "." &amp;AP$2</f>
        <v>08.1</v>
      </c>
      <c r="AN23" s="150" t="str">
        <f>IFERROR(IF(L23=" ","",INDEX(GCalXML[fasttype],$AU$22+$AC23+AN$1)),"")</f>
        <v/>
      </c>
      <c r="AO23" s="151" t="str">
        <f>IFERROR(IF(M23=" ","",INDEX(GCalXML[fasttype],$AU$22+$AC23+AO$1)),"")</f>
        <v/>
      </c>
      <c r="AP23" s="151" t="str">
        <f>IFERROR(IF(N23=" ","",INDEX(GCalXML[fasttype],$AU$22+$AC23+AP$1)),"")</f>
        <v/>
      </c>
      <c r="AQ23" s="151" t="str">
        <f>IFERROR(IF(O23=" ","",INDEX(GCalXML[fasttype],$AU$22+$AC23+AQ$1)),"")</f>
        <v/>
      </c>
      <c r="AR23" s="151" t="str">
        <f>IFERROR(IF(P23=" ","",INDEX(GCalXML[fasttype],$AU$22+$AC23+AR$1)),"")</f>
        <v/>
      </c>
      <c r="AS23" s="152" t="str">
        <f>IFERROR(IF(Q23=" ","",INDEX(GCalXML[fasttype],$AU$22+$AC23+AS$1)),"")</f>
        <v> </v>
      </c>
      <c r="AT23" s="153" t="str">
        <f>IFERROR(IF(R23=" ","",INDEX(GCalXML[fasttype],$AU$22+$AC23+AT$1)),"")</f>
        <v>C</v>
      </c>
      <c r="AU23" s="182">
        <f>IFERROR(MATCH($U$1 &amp; "." &amp; AM23,'Moon Calendar'!$I$2:$I$65,0),"")</f>
        <v>39</v>
      </c>
      <c r="AV23" s="149" t="str">
        <f>AV21 &amp; "." &amp;AY$2</f>
        <v>09.1</v>
      </c>
      <c r="AW23" s="150" t="str">
        <f>IFERROR(IF(U23=" ","",INDEX(GCalXML[fasttype],$BD$22+$AC23+AW$1)),"")</f>
        <v/>
      </c>
      <c r="AX23" s="151" t="str">
        <f>IFERROR(IF(V23=" ","",INDEX(GCalXML[fasttype],$BD$22+$AC23+AX$1)),"")</f>
        <v>C</v>
      </c>
      <c r="AY23" s="151" t="str">
        <f>IFERROR(IF(W23=" ","",INDEX(GCalXML[fasttype],$BD$22+$AC23+AY$1)),"")</f>
        <v>C</v>
      </c>
      <c r="AZ23" s="151" t="str">
        <f>IFERROR(IF(X23=" ","",INDEX(GCalXML[fasttype],$BD$22+$AC23+AZ$1)),"")</f>
        <v> </v>
      </c>
      <c r="BA23" s="151" t="str">
        <f>IFERROR(IF(Y23=" ","",INDEX(GCalXML[fasttype],$BD$22+$AC23+BA$1)),"")</f>
        <v> </v>
      </c>
      <c r="BB23" s="152" t="str">
        <f>IFERROR(IF(Z23=" ","",INDEX(GCalXML[fasttype],$BD$22+$AC23+BB$1)),"")</f>
        <v> </v>
      </c>
      <c r="BC23" s="153" t="str">
        <f>IFERROR(IF(AA23=" ","",INDEX(GCalXML[fasttype],$BD$22+$AC23+BC$1)),"")</f>
        <v> </v>
      </c>
      <c r="BD23" s="182">
        <f>IFERROR(MATCH($U$1 &amp; "." &amp; AV23,'Moon Calendar'!$I$2:$I$65,0),"")</f>
        <v>43</v>
      </c>
    </row>
    <row r="24" spans="1:61" ht="18">
      <c r="A24" s="61"/>
      <c r="B24" s="144">
        <f>AD22</f>
        <v>28</v>
      </c>
      <c r="C24" s="145">
        <f>I23+1</f>
        <v>44018</v>
      </c>
      <c r="D24" s="146">
        <f t="shared" ref="D24:I26" si="21">C24+1</f>
        <v>44019</v>
      </c>
      <c r="E24" s="146">
        <f t="shared" si="21"/>
        <v>44020</v>
      </c>
      <c r="F24" s="146">
        <f t="shared" si="21"/>
        <v>44021</v>
      </c>
      <c r="G24" s="146">
        <f t="shared" si="21"/>
        <v>44022</v>
      </c>
      <c r="H24" s="147">
        <f t="shared" si="21"/>
        <v>44023</v>
      </c>
      <c r="I24" s="148">
        <f t="shared" si="21"/>
        <v>44024</v>
      </c>
      <c r="K24" s="144">
        <f>AM22</f>
        <v>32</v>
      </c>
      <c r="L24" s="145">
        <f>R23+1</f>
        <v>44046</v>
      </c>
      <c r="M24" s="146">
        <f t="shared" ref="M24:R26" si="22">L24+1</f>
        <v>44047</v>
      </c>
      <c r="N24" s="146">
        <f t="shared" si="22"/>
        <v>44048</v>
      </c>
      <c r="O24" s="146">
        <f t="shared" si="22"/>
        <v>44049</v>
      </c>
      <c r="P24" s="146">
        <f t="shared" si="22"/>
        <v>44050</v>
      </c>
      <c r="Q24" s="147">
        <f t="shared" si="22"/>
        <v>44051</v>
      </c>
      <c r="R24" s="148">
        <f t="shared" si="22"/>
        <v>44052</v>
      </c>
      <c r="S24" s="61"/>
      <c r="T24" s="144">
        <f>AV22</f>
        <v>37</v>
      </c>
      <c r="U24" s="145">
        <f>AA23+1</f>
        <v>44081</v>
      </c>
      <c r="V24" s="146">
        <f t="shared" ref="V24:AA26" si="23">U24+1</f>
        <v>44082</v>
      </c>
      <c r="W24" s="146">
        <f t="shared" si="23"/>
        <v>44083</v>
      </c>
      <c r="X24" s="146">
        <f t="shared" si="23"/>
        <v>44084</v>
      </c>
      <c r="Y24" s="146">
        <f t="shared" si="23"/>
        <v>44085</v>
      </c>
      <c r="Z24" s="147">
        <f t="shared" si="23"/>
        <v>44086</v>
      </c>
      <c r="AA24" s="148">
        <f t="shared" si="23"/>
        <v>44087</v>
      </c>
      <c r="AB24" s="61"/>
      <c r="AC24" s="488">
        <v>7</v>
      </c>
      <c r="AD24" s="149" t="str">
        <f>AD21 &amp; "." &amp;AH$2</f>
        <v>07.2</v>
      </c>
      <c r="AE24" s="150" t="str">
        <f>IFERROR(IF(C24=" ","",INDEX(GCalXML[fasttype],$AL$22+$AC24+AE$1)),"")</f>
        <v> </v>
      </c>
      <c r="AF24" s="151" t="str">
        <f>IFERROR(IF(D24=" ","",INDEX(GCalXML[fasttype],$AL$22+$AC24+AF$1)),"")</f>
        <v> </v>
      </c>
      <c r="AG24" s="151" t="str">
        <f>IFERROR(IF(E24=" ","",INDEX(GCalXML[fasttype],$AL$22+$AC24+AG$1)),"")</f>
        <v> </v>
      </c>
      <c r="AH24" s="151" t="str">
        <f>IFERROR(IF(F24=" ","",INDEX(GCalXML[fasttype],$AL$22+$AC24+AH$1)),"")</f>
        <v>C</v>
      </c>
      <c r="AI24" s="151" t="str">
        <f>IFERROR(IF(G24=" ","",INDEX(GCalXML[fasttype],$AL$22+$AC24+AI$1)),"")</f>
        <v> </v>
      </c>
      <c r="AJ24" s="152" t="str">
        <f>IFERROR(IF(H24=" ","",INDEX(GCalXML[fasttype],$AL$22+$AC24+AJ$1)),"")</f>
        <v> </v>
      </c>
      <c r="AK24" s="153" t="str">
        <f>IFERROR(IF(I24=" ","",INDEX(GCalXML[fasttype],$AL$22+$AC24+AK$1)),"")</f>
        <v> </v>
      </c>
      <c r="AL24" s="182">
        <f>IFERROR(MATCH($U$1 &amp; "." &amp; AD24,'Moon Calendar'!$I$2:$I$65,0),"")</f>
        <v>36</v>
      </c>
      <c r="AM24" s="149" t="str">
        <f>AM21 &amp; "." &amp;AQ$2</f>
        <v>08.2</v>
      </c>
      <c r="AN24" s="150" t="str">
        <f>IFERROR(IF(L24=" ","",INDEX(GCalXML[fasttype],$AU$22+$AC24+AN$1)),"")</f>
        <v>P</v>
      </c>
      <c r="AO24" s="151" t="str">
        <f>IFERROR(IF(M24=" ","",INDEX(GCalXML[fasttype],$AU$22+$AC24+AO$1)),"")</f>
        <v>C</v>
      </c>
      <c r="AP24" s="151" t="str">
        <f>IFERROR(IF(N24=" ","",INDEX(GCalXML[fasttype],$AU$22+$AC24+AP$1)),"")</f>
        <v> </v>
      </c>
      <c r="AQ24" s="151" t="str">
        <f>IFERROR(IF(O24=" ","",INDEX(GCalXML[fasttype],$AU$22+$AC24+AQ$1)),"")</f>
        <v> </v>
      </c>
      <c r="AR24" s="151" t="str">
        <f>IFERROR(IF(P24=" ","",INDEX(GCalXML[fasttype],$AU$22+$AC24+AR$1)),"")</f>
        <v> </v>
      </c>
      <c r="AS24" s="152" t="str">
        <f>IFERROR(IF(Q24=" ","",INDEX(GCalXML[fasttype],$AU$22+$AC24+AS$1)),"")</f>
        <v> </v>
      </c>
      <c r="AT24" s="153" t="str">
        <f>IFERROR(IF(R24=" ","",INDEX(GCalXML[fasttype],$AU$22+$AC24+AT$1)),"")</f>
        <v> </v>
      </c>
      <c r="AU24" s="182">
        <f>IFERROR(MATCH($U$1 &amp; "." &amp; AM24,'Moon Calendar'!$I$2:$I$65,0),"")</f>
        <v>40</v>
      </c>
      <c r="AV24" s="149" t="str">
        <f>AV21 &amp; "." &amp;AZ$2</f>
        <v>09.2</v>
      </c>
      <c r="AW24" s="150" t="str">
        <f>IFERROR(IF(U24=" ","",INDEX(GCalXML[fasttype],$BD$22+$AC24+AW$1)),"")</f>
        <v> </v>
      </c>
      <c r="AX24" s="151" t="str">
        <f>IFERROR(IF(V24=" ","",INDEX(GCalXML[fasttype],$BD$22+$AC24+AX$1)),"")</f>
        <v> </v>
      </c>
      <c r="AY24" s="151" t="str">
        <f>IFERROR(IF(W24=" ","",INDEX(GCalXML[fasttype],$BD$22+$AC24+AY$1)),"")</f>
        <v>C</v>
      </c>
      <c r="AZ24" s="151" t="str">
        <f>IFERROR(IF(X24=" ","",INDEX(GCalXML[fasttype],$BD$22+$AC24+AZ$1)),"")</f>
        <v> </v>
      </c>
      <c r="BA24" s="151" t="str">
        <f>IFERROR(IF(Y24=" ","",INDEX(GCalXML[fasttype],$BD$22+$AC24+BA$1)),"")</f>
        <v> </v>
      </c>
      <c r="BB24" s="152" t="str">
        <f>IFERROR(IF(Z24=" ","",INDEX(GCalXML[fasttype],$BD$22+$AC24+BB$1)),"")</f>
        <v> </v>
      </c>
      <c r="BC24" s="153" t="str">
        <f>IFERROR(IF(AA24=" ","",INDEX(GCalXML[fasttype],$BD$22+$AC24+BC$1)),"")</f>
        <v>E</v>
      </c>
      <c r="BD24" s="182">
        <f>IFERROR(MATCH($U$1 &amp; "." &amp; AV24,'Moon Calendar'!$I$2:$I$65,0),"")</f>
        <v>44</v>
      </c>
    </row>
    <row r="25" spans="1:61" ht="18">
      <c r="A25" s="61"/>
      <c r="B25" s="163">
        <f>B24+1</f>
        <v>29</v>
      </c>
      <c r="C25" s="145">
        <f>I24+1</f>
        <v>44025</v>
      </c>
      <c r="D25" s="146">
        <f t="shared" si="21"/>
        <v>44026</v>
      </c>
      <c r="E25" s="146">
        <f t="shared" si="21"/>
        <v>44027</v>
      </c>
      <c r="F25" s="146">
        <f t="shared" si="21"/>
        <v>44028</v>
      </c>
      <c r="G25" s="146">
        <f t="shared" si="21"/>
        <v>44029</v>
      </c>
      <c r="H25" s="147">
        <f t="shared" si="21"/>
        <v>44030</v>
      </c>
      <c r="I25" s="148">
        <f t="shared" si="21"/>
        <v>44031</v>
      </c>
      <c r="K25" s="144">
        <f>K24+1</f>
        <v>33</v>
      </c>
      <c r="L25" s="145">
        <f>R24+1</f>
        <v>44053</v>
      </c>
      <c r="M25" s="146">
        <f t="shared" si="22"/>
        <v>44054</v>
      </c>
      <c r="N25" s="146">
        <f t="shared" si="22"/>
        <v>44055</v>
      </c>
      <c r="O25" s="146">
        <f t="shared" si="22"/>
        <v>44056</v>
      </c>
      <c r="P25" s="146">
        <f t="shared" si="22"/>
        <v>44057</v>
      </c>
      <c r="Q25" s="147">
        <f t="shared" si="22"/>
        <v>44058</v>
      </c>
      <c r="R25" s="148">
        <f t="shared" si="22"/>
        <v>44059</v>
      </c>
      <c r="S25" s="61"/>
      <c r="T25" s="163">
        <f>T24+1</f>
        <v>38</v>
      </c>
      <c r="U25" s="145">
        <f>AA24+1</f>
        <v>44088</v>
      </c>
      <c r="V25" s="146">
        <f t="shared" si="23"/>
        <v>44089</v>
      </c>
      <c r="W25" s="146">
        <f t="shared" si="23"/>
        <v>44090</v>
      </c>
      <c r="X25" s="146">
        <f t="shared" si="23"/>
        <v>44091</v>
      </c>
      <c r="Y25" s="146">
        <f t="shared" si="23"/>
        <v>44092</v>
      </c>
      <c r="Z25" s="147">
        <f t="shared" si="23"/>
        <v>44093</v>
      </c>
      <c r="AA25" s="148">
        <f t="shared" si="23"/>
        <v>44094</v>
      </c>
      <c r="AB25" s="61"/>
      <c r="AC25" s="488">
        <v>14</v>
      </c>
      <c r="AD25" s="149" t="str">
        <f>AD21 &amp; "." &amp;AI$2</f>
        <v>07.3</v>
      </c>
      <c r="AE25" s="150" t="str">
        <f>IFERROR(IF(C25=" ","",INDEX(GCalXML[fasttype],$AL$22+$AC25+AE$1)),"")</f>
        <v>C</v>
      </c>
      <c r="AF25" s="151" t="str">
        <f>IFERROR(IF(D25=" ","",INDEX(GCalXML[fasttype],$AL$22+$AC25+AF$1)),"")</f>
        <v>C</v>
      </c>
      <c r="AG25" s="151" t="str">
        <f>IFERROR(IF(E25=" ","",INDEX(GCalXML[fasttype],$AL$22+$AC25+AG$1)),"")</f>
        <v> </v>
      </c>
      <c r="AH25" s="151" t="str">
        <f>IFERROR(IF(F25=" ","",INDEX(GCalXML[fasttype],$AL$22+$AC25+AH$1)),"")</f>
        <v>E</v>
      </c>
      <c r="AI25" s="151" t="str">
        <f>IFERROR(IF(G25=" ","",INDEX(GCalXML[fasttype],$AL$22+$AC25+AI$1)),"")</f>
        <v>C</v>
      </c>
      <c r="AJ25" s="152" t="str">
        <f>IFERROR(IF(H25=" ","",INDEX(GCalXML[fasttype],$AL$22+$AC25+AJ$1)),"")</f>
        <v> </v>
      </c>
      <c r="AK25" s="153" t="str">
        <f>IFERROR(IF(I25=" ","",INDEX(GCalXML[fasttype],$AL$22+$AC25+AK$1)),"")</f>
        <v> </v>
      </c>
      <c r="AL25" s="182">
        <f>IFERROR(MATCH($U$1 &amp; "." &amp; AD25,'Moon Calendar'!$I$2:$I$65,0),"")</f>
        <v>37</v>
      </c>
      <c r="AM25" s="149" t="str">
        <f>AM21 &amp; "." &amp;AR$2</f>
        <v>08.3</v>
      </c>
      <c r="AN25" s="150" t="str">
        <f>IFERROR(IF(L25=" ","",INDEX(GCalXML[fasttype],$AU$22+$AC25+AN$1)),"")</f>
        <v> </v>
      </c>
      <c r="AO25" s="151" t="str">
        <f>IFERROR(IF(M25=" ","",INDEX(GCalXML[fasttype],$AU$22+$AC25+AO$1)),"")</f>
        <v>P</v>
      </c>
      <c r="AP25" s="151" t="str">
        <f>IFERROR(IF(N25=" ","",INDEX(GCalXML[fasttype],$AU$22+$AC25+AP$1)),"")</f>
        <v>P</v>
      </c>
      <c r="AQ25" s="151" t="str">
        <f>IFERROR(IF(O25=" ","",INDEX(GCalXML[fasttype],$AU$22+$AC25+AQ$1)),"")</f>
        <v> </v>
      </c>
      <c r="AR25" s="151" t="str">
        <f>IFERROR(IF(P25=" ","",INDEX(GCalXML[fasttype],$AU$22+$AC25+AR$1)),"")</f>
        <v> </v>
      </c>
      <c r="AS25" s="152" t="str">
        <f>IFERROR(IF(Q25=" ","",INDEX(GCalXML[fasttype],$AU$22+$AC25+AS$1)),"")</f>
        <v>E</v>
      </c>
      <c r="AT25" s="153" t="str">
        <f>IFERROR(IF(R25=" ","",INDEX(GCalXML[fasttype],$AU$22+$AC25+AT$1)),"")</f>
        <v>C</v>
      </c>
      <c r="AU25" s="182">
        <f>IFERROR(MATCH($U$1 &amp; "." &amp; AM25,'Moon Calendar'!$I$2:$I$65,0),"")</f>
        <v>41</v>
      </c>
      <c r="AV25" s="149" t="str">
        <f>AV21 &amp; "." &amp;BA$2</f>
        <v>09.3</v>
      </c>
      <c r="AW25" s="150" t="str">
        <f>IFERROR(IF(U25=" ","",INDEX(GCalXML[fasttype],$BD$22+$AC25+AW$1)),"")</f>
        <v>C</v>
      </c>
      <c r="AX25" s="151" t="str">
        <f>IFERROR(IF(V25=" ","",INDEX(GCalXML[fasttype],$BD$22+$AC25+AX$1)),"")</f>
        <v> </v>
      </c>
      <c r="AY25" s="151" t="str">
        <f>IFERROR(IF(W25=" ","",INDEX(GCalXML[fasttype],$BD$22+$AC25+AY$1)),"")</f>
        <v> </v>
      </c>
      <c r="AZ25" s="151" t="str">
        <f>IFERROR(IF(X25=" ","",INDEX(GCalXML[fasttype],$BD$22+$AC25+AZ$1)),"")</f>
        <v> </v>
      </c>
      <c r="BA25" s="151" t="str">
        <f>IFERROR(IF(Y25=" ","",INDEX(GCalXML[fasttype],$BD$22+$AC25+BA$1)),"")</f>
        <v> </v>
      </c>
      <c r="BB25" s="152" t="str">
        <f>IFERROR(IF(Z25=" ","",INDEX(GCalXML[fasttype],$BD$22+$AC25+BB$1)),"")</f>
        <v> </v>
      </c>
      <c r="BC25" s="153" t="str">
        <f>IFERROR(IF(AA25=" ","",INDEX(GCalXML[fasttype],$BD$22+$AC25+BC$1)),"")</f>
        <v> </v>
      </c>
      <c r="BD25" s="182">
        <f>IFERROR(MATCH($U$1 &amp; "." &amp; AV25,'Moon Calendar'!$I$2:$I$65,0),"")</f>
        <v>45</v>
      </c>
    </row>
    <row r="26" spans="1:61" ht="18">
      <c r="A26" s="61"/>
      <c r="B26" s="163">
        <f>B25+1</f>
        <v>30</v>
      </c>
      <c r="C26" s="145">
        <f>I25+1</f>
        <v>44032</v>
      </c>
      <c r="D26" s="146">
        <f t="shared" si="21"/>
        <v>44033</v>
      </c>
      <c r="E26" s="146">
        <f t="shared" si="21"/>
        <v>44034</v>
      </c>
      <c r="F26" s="146">
        <f t="shared" si="21"/>
        <v>44035</v>
      </c>
      <c r="G26" s="146">
        <f t="shared" si="21"/>
        <v>44036</v>
      </c>
      <c r="H26" s="147">
        <f t="shared" si="21"/>
        <v>44037</v>
      </c>
      <c r="I26" s="148">
        <f t="shared" si="21"/>
        <v>44038</v>
      </c>
      <c r="K26" s="144">
        <f>K25+1</f>
        <v>34</v>
      </c>
      <c r="L26" s="145">
        <f>R25+1</f>
        <v>44060</v>
      </c>
      <c r="M26" s="146">
        <f t="shared" si="22"/>
        <v>44061</v>
      </c>
      <c r="N26" s="146">
        <f t="shared" si="22"/>
        <v>44062</v>
      </c>
      <c r="O26" s="146">
        <f t="shared" si="22"/>
        <v>44063</v>
      </c>
      <c r="P26" s="146">
        <f t="shared" si="22"/>
        <v>44064</v>
      </c>
      <c r="Q26" s="147">
        <f t="shared" si="22"/>
        <v>44065</v>
      </c>
      <c r="R26" s="148">
        <f t="shared" si="22"/>
        <v>44066</v>
      </c>
      <c r="S26" s="61"/>
      <c r="T26" s="163">
        <f>T25+1</f>
        <v>39</v>
      </c>
      <c r="U26" s="145">
        <f>AA25+1</f>
        <v>44095</v>
      </c>
      <c r="V26" s="146">
        <f t="shared" si="23"/>
        <v>44096</v>
      </c>
      <c r="W26" s="146">
        <f t="shared" si="23"/>
        <v>44097</v>
      </c>
      <c r="X26" s="146">
        <f t="shared" si="23"/>
        <v>44098</v>
      </c>
      <c r="Y26" s="146">
        <f t="shared" si="23"/>
        <v>44099</v>
      </c>
      <c r="Z26" s="147">
        <f t="shared" si="23"/>
        <v>44100</v>
      </c>
      <c r="AA26" s="148">
        <f t="shared" si="23"/>
        <v>44101</v>
      </c>
      <c r="AB26" s="61"/>
      <c r="AC26" s="488">
        <v>21</v>
      </c>
      <c r="AD26" s="149" t="str">
        <f>AD21 &amp; "." &amp;AJ$2</f>
        <v>07.4</v>
      </c>
      <c r="AE26" s="150" t="str">
        <f>IFERROR(IF(C26=" ","",INDEX(GCalXML[fasttype],$AL$22+$AC26+AE$1)),"")</f>
        <v> </v>
      </c>
      <c r="AF26" s="151" t="str">
        <f>IFERROR(IF(D26=" ","",INDEX(GCalXML[fasttype],$AL$22+$AC26+AF$1)),"")</f>
        <v> </v>
      </c>
      <c r="AG26" s="151" t="str">
        <f>IFERROR(IF(E26=" ","",INDEX(GCalXML[fasttype],$AL$22+$AC26+AG$1)),"")</f>
        <v> </v>
      </c>
      <c r="AH26" s="151" t="str">
        <f>IFERROR(IF(F26=" ","",INDEX(GCalXML[fasttype],$AL$22+$AC26+AH$1)),"")</f>
        <v> </v>
      </c>
      <c r="AI26" s="151" t="str">
        <f>IFERROR(IF(G26=" ","",INDEX(GCalXML[fasttype],$AL$22+$AC26+AI$1)),"")</f>
        <v>C</v>
      </c>
      <c r="AJ26" s="152" t="str">
        <f>IFERROR(IF(H26=" ","",INDEX(GCalXML[fasttype],$AL$22+$AC26+AJ$1)),"")</f>
        <v> </v>
      </c>
      <c r="AK26" s="153" t="str">
        <f>IFERROR(IF(I26=" ","",INDEX(GCalXML[fasttype],$AL$22+$AC26+AK$1)),"")</f>
        <v> </v>
      </c>
      <c r="AL26" s="182">
        <f>IFERROR(MATCH($U$1 &amp; "." &amp; AD26,'Moon Calendar'!$I$2:$I$65,0),"")</f>
        <v>38</v>
      </c>
      <c r="AM26" s="149" t="str">
        <f>AM21 &amp; "." &amp;AS$2</f>
        <v>08.4</v>
      </c>
      <c r="AN26" s="150" t="str">
        <f>IFERROR(IF(L26=" ","",INDEX(GCalXML[fasttype],$AU$22+$AC26+AN$1)),"")</f>
        <v> </v>
      </c>
      <c r="AO26" s="151" t="str">
        <f>IFERROR(IF(M26=" ","",INDEX(GCalXML[fasttype],$AU$22+$AC26+AO$1)),"")</f>
        <v> </v>
      </c>
      <c r="AP26" s="151" t="str">
        <f>IFERROR(IF(N26=" ","",INDEX(GCalXML[fasttype],$AU$22+$AC26+AP$1)),"")</f>
        <v> </v>
      </c>
      <c r="AQ26" s="151" t="str">
        <f>IFERROR(IF(O26=" ","",INDEX(GCalXML[fasttype],$AU$22+$AC26+AQ$1)),"")</f>
        <v> </v>
      </c>
      <c r="AR26" s="151" t="str">
        <f>IFERROR(IF(P26=" ","",INDEX(GCalXML[fasttype],$AU$22+$AC26+AR$1)),"")</f>
        <v> </v>
      </c>
      <c r="AS26" s="152" t="str">
        <f>IFERROR(IF(Q26=" ","",INDEX(GCalXML[fasttype],$AU$22+$AC26+AS$1)),"")</f>
        <v> </v>
      </c>
      <c r="AT26" s="153" t="str">
        <f>IFERROR(IF(R26=" ","",INDEX(GCalXML[fasttype],$AU$22+$AC26+AT$1)),"")</f>
        <v>C</v>
      </c>
      <c r="AU26" s="182">
        <f>IFERROR(MATCH($U$1 &amp; "." &amp; AM26,'Moon Calendar'!$I$2:$I$65,0),"")</f>
        <v>42</v>
      </c>
      <c r="AV26" s="149" t="str">
        <f>AV21 &amp; "." &amp;BB$2</f>
        <v>09.4</v>
      </c>
      <c r="AW26" s="150" t="str">
        <f>IFERROR(IF(U26=" ","",INDEX(GCalXML[fasttype],$BD$22+$AC26+AW$1)),"")</f>
        <v> </v>
      </c>
      <c r="AX26" s="151" t="str">
        <f>IFERROR(IF(V26=" ","",INDEX(GCalXML[fasttype],$BD$22+$AC26+AX$1)),"")</f>
        <v> </v>
      </c>
      <c r="AY26" s="151" t="str">
        <f>IFERROR(IF(W26=" ","",INDEX(GCalXML[fasttype],$BD$22+$AC26+AY$1)),"")</f>
        <v> </v>
      </c>
      <c r="AZ26" s="151" t="str">
        <f>IFERROR(IF(X26=" ","",INDEX(GCalXML[fasttype],$BD$22+$AC26+AZ$1)),"")</f>
        <v> </v>
      </c>
      <c r="BA26" s="151" t="str">
        <f>IFERROR(IF(Y26=" ","",INDEX(GCalXML[fasttype],$BD$22+$AC26+BA$1)),"")</f>
        <v> </v>
      </c>
      <c r="BB26" s="152" t="str">
        <f>IFERROR(IF(Z26=" ","",INDEX(GCalXML[fasttype],$BD$22+$AC26+BB$1)),"")</f>
        <v> </v>
      </c>
      <c r="BC26" s="153" t="str">
        <f>IFERROR(IF(AA26=" ","",INDEX(GCalXML[fasttype],$BD$22+$AC26+BC$1)),"")</f>
        <v>E</v>
      </c>
      <c r="BD26" s="182">
        <f>IFERROR(MATCH($U$1 &amp; "." &amp; AV26,'Moon Calendar'!$I$2:$I$65,0),"")</f>
        <v>46</v>
      </c>
    </row>
    <row r="27" spans="1:61" ht="18">
      <c r="A27" s="61"/>
      <c r="B27" s="163">
        <f>IF(C27=" ","",B26+1)</f>
        <v>31</v>
      </c>
      <c r="C27" s="145">
        <f>IF(I26+1&lt;=AG21,I26+1," ")</f>
        <v>44039</v>
      </c>
      <c r="D27" s="146">
        <f>IF(C27=" "," ",IF(C27+1&lt;=AG21,C27+1," "))</f>
        <v>44040</v>
      </c>
      <c r="E27" s="146">
        <f>IF(D27=" "," ",IF(D27+1&lt;=AG21,D27+1," "))</f>
        <v>44041</v>
      </c>
      <c r="F27" s="146">
        <f>IF(E27=" "," ",IF(E27+1&lt;=AG21,E27+1," "))</f>
        <v>44042</v>
      </c>
      <c r="G27" s="146">
        <f>IF(F27=" "," ",IF(F27+1&lt;=AG21,F27+1," "))</f>
        <v>44043</v>
      </c>
      <c r="H27" s="147" t="str">
        <f>IF(G27=" "," ",IF(G27+1&lt;=AG21,G27+1," "))</f>
        <v xml:space="preserve"> </v>
      </c>
      <c r="I27" s="148" t="str">
        <f>IF(H27=" "," ",IF(H27+1&lt;=AG21,H27+1," "))</f>
        <v xml:space="preserve"> </v>
      </c>
      <c r="K27" s="154">
        <f>IF(L27=" ","",K26+1)</f>
        <v>35</v>
      </c>
      <c r="L27" s="145">
        <f>IF(R26+1&lt;=AP21,R26+1," ")</f>
        <v>44067</v>
      </c>
      <c r="M27" s="146">
        <f>IF(L27=" "," ",IF(L27+1&lt;=AP21,L27+1," "))</f>
        <v>44068</v>
      </c>
      <c r="N27" s="146">
        <f>IF(M27=" "," ",IF(M27+1&lt;=AP21,M27+1," "))</f>
        <v>44069</v>
      </c>
      <c r="O27" s="146">
        <f>IF(N27=" "," ",IF(N27+1&lt;=AP21,N27+1," "))</f>
        <v>44070</v>
      </c>
      <c r="P27" s="146">
        <f>IF(O27=" "," ",IF(O27+1&lt;=AP21,O27+1," "))</f>
        <v>44071</v>
      </c>
      <c r="Q27" s="147">
        <f>IF(P27=" "," ",IF(P27+1&lt;=AP21,P27+1," "))</f>
        <v>44072</v>
      </c>
      <c r="R27" s="148">
        <f>IF(Q27=" "," ",IF(Q27+1&lt;=AP21,Q27+1," "))</f>
        <v>44073</v>
      </c>
      <c r="S27" s="61"/>
      <c r="T27" s="163">
        <f>IF(U27=" ","",T26+1)</f>
        <v>40</v>
      </c>
      <c r="U27" s="145">
        <f>IF(AA26+1&lt;=AY21,AA26+1," ")</f>
        <v>44102</v>
      </c>
      <c r="V27" s="146">
        <f>IF(U27=" "," ",IF(U27+1&lt;=AY21,U27+1," "))</f>
        <v>44103</v>
      </c>
      <c r="W27" s="146">
        <f>IF(V27=" "," ",IF(V27+1&lt;=AY21,V27+1," "))</f>
        <v>44104</v>
      </c>
      <c r="X27" s="146" t="str">
        <f>IF(W27=" "," ",IF(W27+1&lt;=AY21,W27+1," "))</f>
        <v xml:space="preserve"> </v>
      </c>
      <c r="Y27" s="146" t="str">
        <f>IF(X27=" "," ",IF(X27+1&lt;=AY21,X27+1," "))</f>
        <v xml:space="preserve"> </v>
      </c>
      <c r="Z27" s="147" t="str">
        <f>IF(Y27=" "," ",IF(Y27+1&lt;=AY21,Y27+1," "))</f>
        <v xml:space="preserve"> </v>
      </c>
      <c r="AA27" s="148" t="str">
        <f>IF(Z27=" "," ",IF(Z27+1&lt;=AY21,Z27+1," "))</f>
        <v xml:space="preserve"> </v>
      </c>
      <c r="AB27" s="61"/>
      <c r="AC27" s="488">
        <v>28</v>
      </c>
      <c r="AD27" s="149" t="str">
        <f>AD21 &amp; "." &amp;AK$2</f>
        <v>07.5</v>
      </c>
      <c r="AE27" s="150" t="str">
        <f>IFERROR(IF(C27=" ","",INDEX(GCalXML[fasttype],$AL$22+$AC27+AE$1)),"")</f>
        <v> </v>
      </c>
      <c r="AF27" s="151" t="str">
        <f>IFERROR(IF(D27=" ","",INDEX(GCalXML[fasttype],$AL$22+$AC27+AF$1)),"")</f>
        <v> </v>
      </c>
      <c r="AG27" s="151" t="str">
        <f>IFERROR(IF(E27=" ","",INDEX(GCalXML[fasttype],$AL$22+$AC27+AG$1)),"")</f>
        <v>C</v>
      </c>
      <c r="AH27" s="151" t="str">
        <f>IFERROR(IF(F27=" ","",INDEX(GCalXML[fasttype],$AL$22+$AC27+AH$1)),"")</f>
        <v>E</v>
      </c>
      <c r="AI27" s="151" t="str">
        <f>IFERROR(IF(G27=" ","",INDEX(GCalXML[fasttype],$AL$22+$AC27+AI$1)),"")</f>
        <v>C</v>
      </c>
      <c r="AJ27" s="152" t="str">
        <f>IFERROR(IF(H27=" ","",INDEX(GCalXML[fasttype],$AL$22+$AC27+AJ$1)),"")</f>
        <v/>
      </c>
      <c r="AK27" s="153" t="str">
        <f>IFERROR(IF(I27=" ","",INDEX(GCalXML[fasttype],$AL$22+$AC27+AK$1)),"")</f>
        <v/>
      </c>
      <c r="AL27" s="182" t="str">
        <f>IFERROR(MATCH($U$1 &amp; "." &amp; AD27,'Moon Calendar'!$I$2:$I$65,0),"")</f>
        <v/>
      </c>
      <c r="AM27" s="149" t="str">
        <f>AM21 &amp; "." &amp;AT$2</f>
        <v>08.5</v>
      </c>
      <c r="AN27" s="150" t="str">
        <f>IFERROR(IF(L27=" ","",INDEX(GCalXML[fasttype],$AU$22+$AC27+AN$1)),"")</f>
        <v>C</v>
      </c>
      <c r="AO27" s="151" t="str">
        <f>IFERROR(IF(M27=" ","",INDEX(GCalXML[fasttype],$AU$22+$AC27+AO$1)),"")</f>
        <v>P</v>
      </c>
      <c r="AP27" s="151" t="str">
        <f>IFERROR(IF(N27=" ","",INDEX(GCalXML[fasttype],$AU$22+$AC27+AP$1)),"")</f>
        <v> </v>
      </c>
      <c r="AQ27" s="151" t="str">
        <f>IFERROR(IF(O27=" ","",INDEX(GCalXML[fasttype],$AU$22+$AC27+AQ$1)),"")</f>
        <v>C</v>
      </c>
      <c r="AR27" s="151" t="str">
        <f>IFERROR(IF(P27=" ","",INDEX(GCalXML[fasttype],$AU$22+$AC27+AR$1)),"")</f>
        <v>K</v>
      </c>
      <c r="AS27" s="152" t="str">
        <f>IFERROR(IF(Q27=" ","",INDEX(GCalXML[fasttype],$AU$22+$AC27+AS$1)),"")</f>
        <v>F</v>
      </c>
      <c r="AT27" s="153" t="str">
        <f>IFERROR(IF(R27=" ","",INDEX(GCalXML[fasttype],$AU$22+$AC27+AT$1)),"")</f>
        <v>P</v>
      </c>
      <c r="AU27" s="182" t="str">
        <f>IFERROR(MATCH($U$1 &amp; "." &amp; AM27,'Moon Calendar'!$I$2:$I$65,0),"")</f>
        <v/>
      </c>
      <c r="AV27" s="149" t="str">
        <f>AV21 &amp; "." &amp;BC$2</f>
        <v>09.5</v>
      </c>
      <c r="AW27" s="150" t="str">
        <f>IFERROR(IF(U27=" ","",INDEX(GCalXML[fasttype],$BD$22+$AC27+AW$1)),"")</f>
        <v>C</v>
      </c>
      <c r="AX27" s="151" t="str">
        <f>IFERROR(IF(V27=" ","",INDEX(GCalXML[fasttype],$BD$22+$AC27+AX$1)),"")</f>
        <v> </v>
      </c>
      <c r="AY27" s="151" t="str">
        <f>IFERROR(IF(W27=" ","",INDEX(GCalXML[fasttype],$BD$22+$AC27+AY$1)),"")</f>
        <v> </v>
      </c>
      <c r="AZ27" s="151" t="str">
        <f>IFERROR(IF(X27=" ","",INDEX(GCalXML[fasttype],$BD$22+$AC27+AZ$1)),"")</f>
        <v/>
      </c>
      <c r="BA27" s="151" t="str">
        <f>IFERROR(IF(Y27=" ","",INDEX(GCalXML[fasttype],$BD$22+$AC27+BA$1)),"")</f>
        <v/>
      </c>
      <c r="BB27" s="152" t="str">
        <f>IFERROR(IF(Z27=" ","",INDEX(GCalXML[fasttype],$BD$22+$AC27+BB$1)),"")</f>
        <v/>
      </c>
      <c r="BC27" s="153" t="str">
        <f>IFERROR(IF(AA27=" ","",INDEX(GCalXML[fasttype],$BD$22+$AC27+BC$1)),"")</f>
        <v/>
      </c>
      <c r="BD27" s="182" t="str">
        <f>IFERROR(MATCH($U$1 &amp; "." &amp; AV27,'Moon Calendar'!$I$2:$I$65,0),"")</f>
        <v/>
      </c>
    </row>
    <row r="28" spans="1:61" ht="18.75" thickBot="1">
      <c r="A28" s="61"/>
      <c r="B28" s="164" t="str">
        <f>IF(C28=" ","",B27+1)</f>
        <v/>
      </c>
      <c r="C28" s="155" t="str">
        <f>IF(I27=" "," ",IF(I27+1&lt;=AG21,I27+1," "))</f>
        <v xml:space="preserve"> </v>
      </c>
      <c r="D28" s="156" t="str">
        <f>IF(C28=" "," ",IF(C28+1&lt;=AG21,C28+1," "))</f>
        <v xml:space="preserve"> </v>
      </c>
      <c r="E28" s="156"/>
      <c r="F28" s="156"/>
      <c r="G28" s="156"/>
      <c r="H28" s="157"/>
      <c r="I28" s="158"/>
      <c r="K28" s="154">
        <f>IF(L28=" ","",K27+1)</f>
        <v>36</v>
      </c>
      <c r="L28" s="155">
        <f>IF(R27=" "," ",IF(R27+1&lt;=AP21,R27+1," "))</f>
        <v>44074</v>
      </c>
      <c r="M28" s="156" t="str">
        <f>IF(L28=" "," ",IF(L28+1&lt;=AP21,L28+1," "))</f>
        <v xml:space="preserve"> </v>
      </c>
      <c r="N28" s="156"/>
      <c r="O28" s="156"/>
      <c r="P28" s="156"/>
      <c r="Q28" s="157"/>
      <c r="R28" s="158"/>
      <c r="S28" s="61"/>
      <c r="T28" s="164" t="str">
        <f>IF(U28=" ","",T27+1)</f>
        <v/>
      </c>
      <c r="U28" s="155" t="str">
        <f>IF(AA27=" "," ",IF(AA27+1&lt;=AY21,AA27+1," "))</f>
        <v xml:space="preserve"> </v>
      </c>
      <c r="V28" s="156" t="str">
        <f>IF(U28=" "," ",IF(U28+1&lt;=AY21,U28+1," "))</f>
        <v xml:space="preserve"> </v>
      </c>
      <c r="W28" s="165"/>
      <c r="X28" s="676" t="str">
        <f ca="1">"22 - " &amp; 'GPlan-Translations'!C178</f>
        <v>22 - Spring</v>
      </c>
      <c r="Y28" s="676"/>
      <c r="Z28" s="676"/>
      <c r="AA28" s="677"/>
      <c r="AB28" s="61"/>
      <c r="AC28" s="488">
        <v>35</v>
      </c>
      <c r="AE28" s="159" t="str">
        <f>IFERROR(IF(C28=" ","",INDEX(GCalXML[fasttype],$AL$22+$AC28+AE$1)),"")</f>
        <v/>
      </c>
      <c r="AF28" s="160" t="str">
        <f>IFERROR(IF(D28=" ","",INDEX(GCalXML[fasttype],$AL$22+$AC28+AF$1)),"")</f>
        <v/>
      </c>
      <c r="AG28" s="161">
        <f>IFERROR(INDEX('Moon Calendar'!$F$2:$F$65,AL23),"")</f>
        <v>44016</v>
      </c>
      <c r="AH28" s="161">
        <f>IFERROR(INDEX('Moon Calendar'!$F$2:$F$65,AL24),"")</f>
        <v>44024</v>
      </c>
      <c r="AI28" s="161">
        <f>IFERROR(INDEX('Moon Calendar'!$F$2:$F$65,AL25),"")</f>
        <v>44032</v>
      </c>
      <c r="AJ28" s="161">
        <f>IFERROR(INDEX('Moon Calendar'!$F$2:$F$65,AL26),"")</f>
        <v>44039</v>
      </c>
      <c r="AK28" s="162" t="str">
        <f>IFERROR(INDEX('Moon Calendar'!$F$2:$F$65,AL27),"")</f>
        <v/>
      </c>
      <c r="AL28" s="337" t="str">
        <f ca="1">AD29 &amp; " " &amp; AE29  &amp; AL29 &amp; AF29 &amp; " " &amp; AG29 &amp; AL29 &amp; AH29 &amp; " " &amp; AI29 &amp; IF(AJ29&lt;&gt;"",AL29 &amp; AJ29 &amp; " " &amp; AK29,"")</f>
        <v> 4           12           20           27</v>
      </c>
      <c r="AN28" s="159" t="str">
        <f>IFERROR(IF(L28=" ","",INDEX(GCalXML[fasttype],$AU$22+$AC28+AN$1)),"")</f>
        <v>C</v>
      </c>
      <c r="AO28" s="160" t="str">
        <f>IFERROR(IF(M28=" ","",INDEX(GCalXML[fasttype],$AU$22+$AC28+AO$1)),"")</f>
        <v/>
      </c>
      <c r="AP28" s="161">
        <f>IFERROR(INDEX('Moon Calendar'!$F$2:$F$65,AU23),"")</f>
        <v>44046</v>
      </c>
      <c r="AQ28" s="161">
        <f>IFERROR(INDEX('Moon Calendar'!$F$2:$F$65,AU24),"")</f>
        <v>44054</v>
      </c>
      <c r="AR28" s="161">
        <f>IFERROR(INDEX('Moon Calendar'!$F$2:$F$65,AU25),"")</f>
        <v>44061</v>
      </c>
      <c r="AS28" s="161">
        <f>IFERROR(INDEX('Moon Calendar'!$F$2:$F$65,AU26),"")</f>
        <v>44068</v>
      </c>
      <c r="AT28" s="162" t="str">
        <f>IFERROR(INDEX('Moon Calendar'!$F$2:$F$65,AU27),"")</f>
        <v/>
      </c>
      <c r="AU28" s="337" t="str">
        <f ca="1">AM29 &amp; " " &amp; AN29  &amp; AU29 &amp; AO29 &amp; " " &amp; AP29 &amp; AU29 &amp; AQ29 &amp; " " &amp; AR29 &amp; IF(AS29&lt;&gt;"",AU29 &amp; AS29 &amp; " " &amp; AT29,"")</f>
        <v> 3           11           18           25</v>
      </c>
      <c r="AW28" s="159" t="str">
        <f>IFERROR(IF(U28=" ","",INDEX(GCalXML[fasttype],$BD$22+$AC28+AW$1)),"")</f>
        <v/>
      </c>
      <c r="AX28" s="160" t="str">
        <f>IFERROR(IF(V28=" ","",INDEX(GCalXML[fasttype],$BD$22+$AC28+AX$1)),"")</f>
        <v/>
      </c>
      <c r="AY28" s="161">
        <f>IFERROR(INDEX('Moon Calendar'!$F$2:$F$65,BD23),"")</f>
        <v>44076</v>
      </c>
      <c r="AZ28" s="161">
        <f>IFERROR(INDEX('Moon Calendar'!$F$2:$F$65,BD24),"")</f>
        <v>44084</v>
      </c>
      <c r="BA28" s="161">
        <f>IFERROR(INDEX('Moon Calendar'!$F$2:$F$65,BD25),"")</f>
        <v>44091</v>
      </c>
      <c r="BB28" s="161">
        <f>IFERROR(INDEX('Moon Calendar'!$F$2:$F$65,BD26),"")</f>
        <v>44097</v>
      </c>
      <c r="BC28" s="162" t="str">
        <f>IFERROR(INDEX('Moon Calendar'!$F$2:$F$65,BD27),"")</f>
        <v/>
      </c>
      <c r="BD28" s="337" t="str">
        <f ca="1">AV29 &amp; " " &amp; AW29  &amp; BD29 &amp; AX29 &amp; " " &amp; AY29 &amp; BD29 &amp; AZ29 &amp; " " &amp; BA29 &amp; IF(BB29&lt;&gt;"",BD29 &amp; BB29 &amp; " " &amp; BC29,"")</f>
        <v> 2           10           17           23</v>
      </c>
    </row>
    <row r="29" spans="1:61" ht="18.75" thickBot="1">
      <c r="B29" s="338" t="str">
        <f t="shared" ref="B29:I29" ca="1" si="24">AD29</f>
        <v></v>
      </c>
      <c r="C29" s="341" t="str">
        <f t="shared" si="24"/>
        <v>4</v>
      </c>
      <c r="D29" s="338" t="str">
        <f t="shared" ca="1" si="24"/>
        <v></v>
      </c>
      <c r="E29" s="341">
        <f t="shared" si="24"/>
        <v>12</v>
      </c>
      <c r="F29" s="338" t="str">
        <f t="shared" ca="1" si="24"/>
        <v></v>
      </c>
      <c r="G29" s="341">
        <f t="shared" si="24"/>
        <v>20</v>
      </c>
      <c r="H29" s="338" t="str">
        <f t="shared" ca="1" si="24"/>
        <v></v>
      </c>
      <c r="I29" s="341">
        <f t="shared" si="24"/>
        <v>27</v>
      </c>
      <c r="K29" s="338" t="str">
        <f t="shared" ref="K29:R29" ca="1" si="25">AM29</f>
        <v></v>
      </c>
      <c r="L29" s="341" t="str">
        <f t="shared" si="25"/>
        <v>3</v>
      </c>
      <c r="M29" s="338" t="str">
        <f t="shared" ca="1" si="25"/>
        <v></v>
      </c>
      <c r="N29" s="341">
        <f t="shared" si="25"/>
        <v>11</v>
      </c>
      <c r="O29" s="338" t="str">
        <f t="shared" ca="1" si="25"/>
        <v></v>
      </c>
      <c r="P29" s="341">
        <f t="shared" si="25"/>
        <v>18</v>
      </c>
      <c r="Q29" s="338" t="str">
        <f t="shared" ca="1" si="25"/>
        <v></v>
      </c>
      <c r="R29" s="341">
        <f t="shared" si="25"/>
        <v>25</v>
      </c>
      <c r="T29" s="338" t="str">
        <f t="shared" ref="T29:AA29" ca="1" si="26">AV29</f>
        <v></v>
      </c>
      <c r="U29" s="341" t="str">
        <f t="shared" si="26"/>
        <v>2</v>
      </c>
      <c r="V29" s="338" t="str">
        <f t="shared" ca="1" si="26"/>
        <v></v>
      </c>
      <c r="W29" s="341">
        <f t="shared" si="26"/>
        <v>10</v>
      </c>
      <c r="X29" s="338" t="str">
        <f t="shared" ca="1" si="26"/>
        <v></v>
      </c>
      <c r="Y29" s="341">
        <f t="shared" si="26"/>
        <v>17</v>
      </c>
      <c r="Z29" s="338" t="str">
        <f t="shared" ca="1" si="26"/>
        <v></v>
      </c>
      <c r="AA29" s="341">
        <f t="shared" si="26"/>
        <v>23</v>
      </c>
      <c r="AC29" s="131"/>
      <c r="AD29" s="338" t="str">
        <f ca="1">IFERROR(INDEX('Moon Calendar'!$N$2:$N$65,AL23),"")</f>
        <v></v>
      </c>
      <c r="AE29" s="184" t="str">
        <f>IF(AG28="","",DAY(AG28) &amp; IF(AK28&lt;&gt;"","/" &amp; DAY(AK28),""))</f>
        <v>4</v>
      </c>
      <c r="AF29" s="338" t="str">
        <f ca="1">IFERROR(INDEX('Moon Calendar'!$N$2:$N$65,AL24),"")</f>
        <v></v>
      </c>
      <c r="AG29" s="185">
        <f>IFERROR(DAY(AH28),"")</f>
        <v>12</v>
      </c>
      <c r="AH29" s="338" t="str">
        <f ca="1">IFERROR(INDEX('Moon Calendar'!$N$2:$N$65,AL25),"")</f>
        <v></v>
      </c>
      <c r="AI29" s="185">
        <f>IFERROR(DAY(AI28),"")</f>
        <v>20</v>
      </c>
      <c r="AJ29" s="338" t="str">
        <f ca="1">IFERROR(INDEX('Moon Calendar'!$N$2:$N$65,AL26),"")</f>
        <v></v>
      </c>
      <c r="AK29" s="185">
        <f>IFERROR(DAY(AJ28),"")</f>
        <v>27</v>
      </c>
      <c r="AL29" s="188" t="str">
        <f>AL20</f>
        <v>          </v>
      </c>
      <c r="AM29" s="338" t="str">
        <f ca="1">IFERROR(INDEX('Moon Calendar'!$N$2:$N$65,AU23),"")</f>
        <v></v>
      </c>
      <c r="AN29" s="184" t="str">
        <f>IF(AP28="","",DAY(AP28) &amp; IF(AT28&lt;&gt;"","/" &amp; DAY(AT28),""))</f>
        <v>3</v>
      </c>
      <c r="AO29" s="338" t="str">
        <f ca="1">IFERROR(INDEX('Moon Calendar'!$N$2:$N$65,AU24),"")</f>
        <v></v>
      </c>
      <c r="AP29" s="185">
        <f>IFERROR(DAY(AQ28),"")</f>
        <v>11</v>
      </c>
      <c r="AQ29" s="338" t="str">
        <f ca="1">IFERROR(INDEX('Moon Calendar'!$N$2:$N$65,AU25),"")</f>
        <v></v>
      </c>
      <c r="AR29" s="185">
        <f>IFERROR(DAY(AR28),"")</f>
        <v>18</v>
      </c>
      <c r="AS29" s="338" t="str">
        <f ca="1">IFERROR(INDEX('Moon Calendar'!$N$2:$N$65,AU26),"")</f>
        <v></v>
      </c>
      <c r="AT29" s="185">
        <f>IFERROR(DAY(AS28),"")</f>
        <v>25</v>
      </c>
      <c r="AU29" s="187" t="str">
        <f>AL29</f>
        <v>          </v>
      </c>
      <c r="AV29" s="338" t="str">
        <f ca="1">IFERROR(INDEX('Moon Calendar'!$N$2:$N$65,BD23),"")</f>
        <v></v>
      </c>
      <c r="AW29" s="184" t="str">
        <f>IF(AY28="","",DAY(AY28) &amp; IF(BC28&lt;&gt;"","/" &amp; DAY(BC28),""))</f>
        <v>2</v>
      </c>
      <c r="AX29" s="338" t="str">
        <f ca="1">IFERROR(INDEX('Moon Calendar'!$N$2:$N$65,BD24),"")</f>
        <v></v>
      </c>
      <c r="AY29" s="185">
        <f>IFERROR(DAY(AZ28),"")</f>
        <v>10</v>
      </c>
      <c r="AZ29" s="338" t="str">
        <f ca="1">IFERROR(INDEX('Moon Calendar'!$N$2:$N$65,BD25),"")</f>
        <v></v>
      </c>
      <c r="BA29" s="185">
        <f>IFERROR(DAY(BA28),"")</f>
        <v>17</v>
      </c>
      <c r="BB29" s="338" t="str">
        <f ca="1">IFERROR(INDEX('Moon Calendar'!$N$2:$N$65,BD26),"")</f>
        <v></v>
      </c>
      <c r="BC29" s="185">
        <f>IFERROR(DAY(BB28),"")</f>
        <v>23</v>
      </c>
      <c r="BD29" s="189" t="str">
        <f>AU29</f>
        <v>          </v>
      </c>
    </row>
    <row r="30" spans="1:61" ht="18">
      <c r="A30" s="61"/>
      <c r="C30" s="673" t="str">
        <f ca="1">UPPER('GPlan-Translations'!C214)</f>
        <v>OCTOBER</v>
      </c>
      <c r="D30" s="674"/>
      <c r="E30" s="674"/>
      <c r="F30" s="674"/>
      <c r="G30" s="674"/>
      <c r="H30" s="674"/>
      <c r="I30" s="675"/>
      <c r="L30" s="673" t="str">
        <f ca="1">UPPER('GPlan-Translations'!C215)</f>
        <v>NOVEMBER</v>
      </c>
      <c r="M30" s="674"/>
      <c r="N30" s="674"/>
      <c r="O30" s="674"/>
      <c r="P30" s="674"/>
      <c r="Q30" s="674"/>
      <c r="R30" s="675"/>
      <c r="S30" s="61"/>
      <c r="T30" s="61"/>
      <c r="U30" s="673" t="str">
        <f ca="1">UPPER('GPlan-Translations'!C216)</f>
        <v>DECEMBER</v>
      </c>
      <c r="V30" s="674"/>
      <c r="W30" s="674"/>
      <c r="X30" s="674"/>
      <c r="Y30" s="674"/>
      <c r="Z30" s="674"/>
      <c r="AA30" s="675"/>
      <c r="AB30" s="61"/>
      <c r="AC30" s="131"/>
      <c r="AD30" s="182" t="str">
        <f>TEXT(AE30,"00")</f>
        <v>10</v>
      </c>
      <c r="AE30" s="166">
        <v>10</v>
      </c>
      <c r="AF30" s="134">
        <f>DATE(AJ30,AE30,1)</f>
        <v>44105</v>
      </c>
      <c r="AG30" s="134">
        <f>DATE(AJ30,AE30+1,1)-1</f>
        <v>44135</v>
      </c>
      <c r="AH30" s="134">
        <f>WEEKDAY(AF30,2)</f>
        <v>4</v>
      </c>
      <c r="AI30" s="135"/>
      <c r="AJ30" s="589">
        <f>$U$1</f>
        <v>2020</v>
      </c>
      <c r="AK30" s="590"/>
      <c r="AL30" s="489">
        <f>(AG30 - I32)  +  (R32-AO30 + 1)</f>
        <v>28</v>
      </c>
      <c r="AM30" s="182" t="str">
        <f>TEXT(AN30,"00")</f>
        <v>11</v>
      </c>
      <c r="AN30" s="166">
        <f>AE30+1</f>
        <v>11</v>
      </c>
      <c r="AO30" s="134">
        <f>DATE(AS30,AN30,1)</f>
        <v>44136</v>
      </c>
      <c r="AP30" s="134">
        <f>DATE(AS30,AN30+1,1)-1</f>
        <v>44165</v>
      </c>
      <c r="AQ30" s="134">
        <f>WEEKDAY(AO30,2)</f>
        <v>7</v>
      </c>
      <c r="AR30" s="135"/>
      <c r="AS30" s="589">
        <f>$U$1</f>
        <v>2020</v>
      </c>
      <c r="AT30" s="590"/>
      <c r="AU30" s="489">
        <f>(AP30 - R32)  +  (AA32-AX30 + 1)</f>
        <v>35</v>
      </c>
      <c r="AV30" s="182" t="str">
        <f>TEXT(AW30,"00")</f>
        <v>12</v>
      </c>
      <c r="AW30" s="166">
        <f>AN30+1</f>
        <v>12</v>
      </c>
      <c r="AX30" s="134">
        <f>DATE(BB30,AW30,1)</f>
        <v>44166</v>
      </c>
      <c r="AY30" s="134">
        <f>DATE(BB30,AW30+1,1)-1</f>
        <v>44196</v>
      </c>
      <c r="AZ30" s="134">
        <f>WEEKDAY(AX30,2)</f>
        <v>2</v>
      </c>
      <c r="BA30" s="135"/>
      <c r="BB30" s="589">
        <f>$U$1</f>
        <v>2020</v>
      </c>
      <c r="BC30" s="590"/>
      <c r="BD30" s="490">
        <f>(AY30 - AA32)  +  (H41-BG30 + 1)</f>
        <v>26</v>
      </c>
      <c r="BE30" s="182"/>
      <c r="BG30" s="493">
        <f>AF39</f>
        <v>0</v>
      </c>
      <c r="BI30" s="591" t="s">
        <v>71</v>
      </c>
    </row>
    <row r="31" spans="1:61" ht="18">
      <c r="A31" s="61"/>
      <c r="C31" s="136" t="str">
        <f ca="1">'GPlan-Translations'!$C$218</f>
        <v>Mo</v>
      </c>
      <c r="D31" s="137" t="str">
        <f ca="1">'GPlan-Translations'!$C$219</f>
        <v>Tu</v>
      </c>
      <c r="E31" s="137" t="str">
        <f ca="1">'GPlan-Translations'!$C$220</f>
        <v>We</v>
      </c>
      <c r="F31" s="137" t="str">
        <f ca="1">'GPlan-Translations'!$C$221</f>
        <v>Th</v>
      </c>
      <c r="G31" s="137" t="str">
        <f ca="1">'GPlan-Translations'!$C$222</f>
        <v>Fr</v>
      </c>
      <c r="H31" s="138" t="str">
        <f ca="1">'GPlan-Translations'!$C$223</f>
        <v>Sa</v>
      </c>
      <c r="I31" s="139" t="str">
        <f ca="1">'GPlan-Translations'!$C$217</f>
        <v>Su</v>
      </c>
      <c r="L31" s="136" t="str">
        <f ca="1">'GPlan-Translations'!$C$218</f>
        <v>Mo</v>
      </c>
      <c r="M31" s="137" t="str">
        <f ca="1">'GPlan-Translations'!$C$219</f>
        <v>Tu</v>
      </c>
      <c r="N31" s="137" t="str">
        <f ca="1">'GPlan-Translations'!$C$220</f>
        <v>We</v>
      </c>
      <c r="O31" s="137" t="str">
        <f ca="1">'GPlan-Translations'!$C$221</f>
        <v>Th</v>
      </c>
      <c r="P31" s="137" t="str">
        <f ca="1">'GPlan-Translations'!$C$222</f>
        <v>Fr</v>
      </c>
      <c r="Q31" s="138" t="str">
        <f ca="1">'GPlan-Translations'!$C$223</f>
        <v>Sa</v>
      </c>
      <c r="R31" s="139" t="str">
        <f ca="1">'GPlan-Translations'!$C$217</f>
        <v>Su</v>
      </c>
      <c r="S31" s="61"/>
      <c r="T31" s="61"/>
      <c r="U31" s="136" t="str">
        <f ca="1">'GPlan-Translations'!$C$218</f>
        <v>Mo</v>
      </c>
      <c r="V31" s="137" t="str">
        <f ca="1">'GPlan-Translations'!$C$219</f>
        <v>Tu</v>
      </c>
      <c r="W31" s="137" t="str">
        <f ca="1">'GPlan-Translations'!$C$220</f>
        <v>We</v>
      </c>
      <c r="X31" s="137" t="str">
        <f ca="1">'GPlan-Translations'!$C$221</f>
        <v>Th</v>
      </c>
      <c r="Y31" s="137" t="str">
        <f ca="1">'GPlan-Translations'!$C$222</f>
        <v>Fr</v>
      </c>
      <c r="Z31" s="138" t="str">
        <f ca="1">'GPlan-Translations'!$C$223</f>
        <v>Sa</v>
      </c>
      <c r="AA31" s="139" t="str">
        <f ca="1">'GPlan-Translations'!$C$217</f>
        <v>Su</v>
      </c>
      <c r="AB31" s="61"/>
      <c r="AC31" s="131"/>
      <c r="AD31" s="592">
        <f>INDEX(GCalXML[wnum],MATCH(C33,GCalXML[date],0))</f>
        <v>41</v>
      </c>
      <c r="AE31" s="140" t="str">
        <f t="shared" ref="AE31:AK31" ca="1" si="27">C31</f>
        <v>Mo</v>
      </c>
      <c r="AF31" s="141" t="str">
        <f t="shared" ca="1" si="27"/>
        <v>Tu</v>
      </c>
      <c r="AG31" s="141" t="str">
        <f t="shared" ca="1" si="27"/>
        <v>We</v>
      </c>
      <c r="AH31" s="141" t="str">
        <f t="shared" ca="1" si="27"/>
        <v>Th</v>
      </c>
      <c r="AI31" s="141" t="str">
        <f t="shared" ca="1" si="27"/>
        <v>Fr</v>
      </c>
      <c r="AJ31" s="142" t="str">
        <f t="shared" ca="1" si="27"/>
        <v>Sa</v>
      </c>
      <c r="AK31" s="143" t="str">
        <f t="shared" ca="1" si="27"/>
        <v>Su</v>
      </c>
      <c r="AL31" s="584">
        <f>MATCH(I32,GCalXML[date],0)</f>
        <v>316</v>
      </c>
      <c r="AM31" s="592">
        <f>INDEX(GCalXML[wnum],MATCH(L33,GCalXML[date],0))</f>
        <v>45</v>
      </c>
      <c r="AN31" s="140" t="str">
        <f t="shared" ref="AN31:AT31" ca="1" si="28">L31</f>
        <v>Mo</v>
      </c>
      <c r="AO31" s="141" t="str">
        <f t="shared" ca="1" si="28"/>
        <v>Tu</v>
      </c>
      <c r="AP31" s="141" t="str">
        <f t="shared" ca="1" si="28"/>
        <v>We</v>
      </c>
      <c r="AQ31" s="141" t="str">
        <f t="shared" ca="1" si="28"/>
        <v>Th</v>
      </c>
      <c r="AR31" s="141" t="str">
        <f t="shared" ca="1" si="28"/>
        <v>Fr</v>
      </c>
      <c r="AS31" s="142" t="str">
        <f t="shared" ca="1" si="28"/>
        <v>Sa</v>
      </c>
      <c r="AT31" s="143" t="str">
        <f t="shared" ca="1" si="28"/>
        <v>Su</v>
      </c>
      <c r="AU31" s="584">
        <f>MATCH(R32,GCalXML[date],0)</f>
        <v>344</v>
      </c>
      <c r="AV31" s="592">
        <f>INDEX(GCalXML[wnum],MATCH(U33,GCalXML[date],0))</f>
        <v>50</v>
      </c>
      <c r="AW31" s="140" t="str">
        <f t="shared" ref="AW31:BC31" ca="1" si="29">U31</f>
        <v>Mo</v>
      </c>
      <c r="AX31" s="141" t="str">
        <f t="shared" ca="1" si="29"/>
        <v>Tu</v>
      </c>
      <c r="AY31" s="141" t="str">
        <f t="shared" ca="1" si="29"/>
        <v>We</v>
      </c>
      <c r="AZ31" s="141" t="str">
        <f t="shared" ca="1" si="29"/>
        <v>Th</v>
      </c>
      <c r="BA31" s="141" t="str">
        <f t="shared" ca="1" si="29"/>
        <v>Fr</v>
      </c>
      <c r="BB31" s="142" t="str">
        <f t="shared" ca="1" si="29"/>
        <v>Sa</v>
      </c>
      <c r="BC31" s="586" t="str">
        <f t="shared" ca="1" si="29"/>
        <v>Su</v>
      </c>
      <c r="BD31" s="587">
        <f>MATCH(AA32,GCalXML[date],0)</f>
        <v>379</v>
      </c>
      <c r="BI31" s="591" t="s">
        <v>70</v>
      </c>
    </row>
    <row r="32" spans="1:61" ht="18">
      <c r="A32" s="61"/>
      <c r="B32" s="163">
        <f>B33-1</f>
        <v>40</v>
      </c>
      <c r="C32" s="145" t="str">
        <f>IF(AH30=1,AF30," ")</f>
        <v xml:space="preserve"> </v>
      </c>
      <c r="D32" s="146" t="str">
        <f>IF(AH30=2,AF30,IF(C32=" "," ",C32+1))</f>
        <v xml:space="preserve"> </v>
      </c>
      <c r="E32" s="146" t="str">
        <f>IF(AH30=3,AF30,IF(D32=" "," ",D32+1))</f>
        <v xml:space="preserve"> </v>
      </c>
      <c r="F32" s="146">
        <f>IF(AH30=4,AF30,IF(E32=" "," ",E32+1))</f>
        <v>44105</v>
      </c>
      <c r="G32" s="146">
        <f>IF(AH30=5,AF30,IF(F32=" "," ",F32+1))</f>
        <v>44106</v>
      </c>
      <c r="H32" s="147">
        <f>IF(AH30=6,AF30,IF(G32=" "," ",G32+1))</f>
        <v>44107</v>
      </c>
      <c r="I32" s="148">
        <f>IF(AH30=7,AF30,H32+1)</f>
        <v>44108</v>
      </c>
      <c r="K32" s="163">
        <f>K33-1</f>
        <v>44</v>
      </c>
      <c r="L32" s="145" t="str">
        <f>IF(AQ30=1,AO30," ")</f>
        <v xml:space="preserve"> </v>
      </c>
      <c r="M32" s="146" t="str">
        <f>IF(AQ30=2,AO30,IF(L32=" "," ",L32+1))</f>
        <v xml:space="preserve"> </v>
      </c>
      <c r="N32" s="146" t="str">
        <f>IF(AQ30=3,AO30,IF(M32=" "," ",M32+1))</f>
        <v xml:space="preserve"> </v>
      </c>
      <c r="O32" s="146" t="str">
        <f>IF(AQ30=4,AO30,IF(N32=" "," ",N32+1))</f>
        <v xml:space="preserve"> </v>
      </c>
      <c r="P32" s="146" t="str">
        <f>IF(AQ30=5,AO30,IF(O32=" "," ",O32+1))</f>
        <v xml:space="preserve"> </v>
      </c>
      <c r="Q32" s="147" t="str">
        <f>IF(AQ30=6,AO30,IF(P32=" "," ",P32+1))</f>
        <v xml:space="preserve"> </v>
      </c>
      <c r="R32" s="148">
        <f>IF(AQ30=7,AO30,Q32+1)</f>
        <v>44136</v>
      </c>
      <c r="S32" s="61"/>
      <c r="T32" s="163">
        <f>T33-1</f>
        <v>49</v>
      </c>
      <c r="U32" s="145" t="str">
        <f>IF(AZ30=1,AX30," ")</f>
        <v xml:space="preserve"> </v>
      </c>
      <c r="V32" s="146">
        <f>IF(AZ30=2,AX30,IF(U32=" "," ",U32+1))</f>
        <v>44166</v>
      </c>
      <c r="W32" s="146">
        <f>IF(AZ30=3,AX30,IF(V32=" "," ",V32+1))</f>
        <v>44167</v>
      </c>
      <c r="X32" s="146">
        <f>IF(AZ30=4,AX30,IF(W32=" "," ",W32+1))</f>
        <v>44168</v>
      </c>
      <c r="Y32" s="146">
        <f>IF(AZ30=5,AX30,IF(X32=" "," ",X32+1))</f>
        <v>44169</v>
      </c>
      <c r="Z32" s="147">
        <f>IF(AZ30=6,AX30,IF(Y32=" "," ",Y32+1))</f>
        <v>44170</v>
      </c>
      <c r="AA32" s="148">
        <f>IF(AZ30=7,AX30,Z32+1)</f>
        <v>44171</v>
      </c>
      <c r="AB32" s="61"/>
      <c r="AC32" s="488">
        <v>0</v>
      </c>
      <c r="AD32" s="149" t="str">
        <f>AD30 &amp; "." &amp;AG$2</f>
        <v>10.1</v>
      </c>
      <c r="AE32" s="150" t="str">
        <f>IFERROR(IF(C32=" ","",INDEX(GCalXML[fasttype],$AL$31+$AC32+AE$1)),"")</f>
        <v/>
      </c>
      <c r="AF32" s="151" t="str">
        <f>IFERROR(IF(D32=" ","",INDEX(GCalXML[fasttype],$AL$31+$AC32+AF$1)),"")</f>
        <v/>
      </c>
      <c r="AG32" s="151" t="str">
        <f>IFERROR(IF(E32=" ","",INDEX(GCalXML[fasttype],$AL$31+$AC32+AG$1)),"")</f>
        <v/>
      </c>
      <c r="AH32" s="151" t="str">
        <f>IFERROR(IF(F32=" ","",INDEX(GCalXML[fasttype],$AL$31+$AC32+AH$1)),"")</f>
        <v> </v>
      </c>
      <c r="AI32" s="151" t="str">
        <f>IFERROR(IF(G32=" ","",INDEX(GCalXML[fasttype],$AL$31+$AC32+AI$1)),"")</f>
        <v> </v>
      </c>
      <c r="AJ32" s="152" t="str">
        <f>IFERROR(IF(H32=" ","",INDEX(GCalXML[fasttype],$AL$31+$AC32+AJ$1)),"")</f>
        <v> </v>
      </c>
      <c r="AK32" s="153" t="str">
        <f>IFERROR(IF(I32=" ","",INDEX(GCalXML[fasttype],$AL$31+$AC32+AK$1)),"")</f>
        <v> </v>
      </c>
      <c r="AL32" s="182">
        <f>IFERROR(MATCH($U$1 &amp; "." &amp; AD32,'Moon Calendar'!$I$2:$I$65,0),"")</f>
        <v>47</v>
      </c>
      <c r="AM32" s="149" t="str">
        <f>AM30 &amp; "." &amp;AP$2</f>
        <v>11.1</v>
      </c>
      <c r="AN32" s="150" t="str">
        <f>IFERROR(IF(L32=" ","",INDEX(GCalXML[fasttype],$AU$31+$AC32+AN$1)),"")</f>
        <v/>
      </c>
      <c r="AO32" s="151" t="str">
        <f>IFERROR(IF(M32=" ","",INDEX(GCalXML[fasttype],$AU$31+$AC32+AO$1)),"")</f>
        <v/>
      </c>
      <c r="AP32" s="151" t="str">
        <f>IFERROR(IF(N32=" ","",INDEX(GCalXML[fasttype],$AU$31+$AC32+AP$1)),"")</f>
        <v/>
      </c>
      <c r="AQ32" s="151" t="str">
        <f>IFERROR(IF(O32=" ","",INDEX(GCalXML[fasttype],$AU$31+$AC32+AQ$1)),"")</f>
        <v/>
      </c>
      <c r="AR32" s="151" t="str">
        <f>IFERROR(IF(P32=" ","",INDEX(GCalXML[fasttype],$AU$31+$AC32+AR$1)),"")</f>
        <v/>
      </c>
      <c r="AS32" s="152" t="str">
        <f>IFERROR(IF(Q32=" ","",INDEX(GCalXML[fasttype],$AU$31+$AC32+AS$1)),"")</f>
        <v/>
      </c>
      <c r="AT32" s="153" t="str">
        <f>IFERROR(IF(R32=" ","",INDEX(GCalXML[fasttype],$AU$31+$AC32+AT$1)),"")</f>
        <v>C</v>
      </c>
      <c r="AU32" s="182">
        <f>IFERROR(MATCH($U$1 &amp; "." &amp; AM32,'Moon Calendar'!$I$2:$I$65,0),"")</f>
        <v>52</v>
      </c>
      <c r="AV32" s="149" t="str">
        <f>AV30 &amp; "." &amp;AY$2</f>
        <v>12.1</v>
      </c>
      <c r="AW32" s="150" t="str">
        <f>IFERROR(IF(U32=" ","",INDEX(GCalXML[fasttype],$BD$31+$AC32+AW$1)),"")</f>
        <v/>
      </c>
      <c r="AX32" s="151" t="str">
        <f>IFERROR(IF(V32=" ","",INDEX(GCalXML[fasttype],$BD$31+$AC32+AX$1)),"")</f>
        <v> </v>
      </c>
      <c r="AY32" s="151" t="str">
        <f>IFERROR(IF(W32=" ","",INDEX(GCalXML[fasttype],$BD$31+$AC32+AY$1)),"")</f>
        <v> </v>
      </c>
      <c r="AZ32" s="151" t="str">
        <f>IFERROR(IF(X32=" ","",INDEX(GCalXML[fasttype],$BD$31+$AC32+AZ$1)),"")</f>
        <v> </v>
      </c>
      <c r="BA32" s="151" t="str">
        <f>IFERROR(IF(Y32=" ","",INDEX(GCalXML[fasttype],$BD$31+$AC32+BA$1)),"")</f>
        <v> </v>
      </c>
      <c r="BB32" s="152" t="str">
        <f>IFERROR(IF(Z32=" ","",INDEX(GCalXML[fasttype],$BD$31+$AC32+BB$1)),"")</f>
        <v> </v>
      </c>
      <c r="BC32" s="153" t="str">
        <f>IFERROR(IF(AA32=" ","",INDEX(GCalXML[fasttype],$BD$31+$AC32+BC$1)),"")</f>
        <v> </v>
      </c>
      <c r="BD32" s="182">
        <f>IFERROR(MATCH($U$1 &amp; "." &amp; AV32,'Moon Calendar'!$I$2:$I$65,0),"")</f>
        <v>56</v>
      </c>
      <c r="BI32" s="591" t="s">
        <v>68</v>
      </c>
    </row>
    <row r="33" spans="1:61" ht="18">
      <c r="A33" s="61"/>
      <c r="B33" s="144">
        <f>AD31</f>
        <v>41</v>
      </c>
      <c r="C33" s="145">
        <f>I32+1</f>
        <v>44109</v>
      </c>
      <c r="D33" s="146">
        <f t="shared" ref="D33:I35" si="30">C33+1</f>
        <v>44110</v>
      </c>
      <c r="E33" s="146">
        <f t="shared" si="30"/>
        <v>44111</v>
      </c>
      <c r="F33" s="146">
        <f t="shared" si="30"/>
        <v>44112</v>
      </c>
      <c r="G33" s="146">
        <f t="shared" si="30"/>
        <v>44113</v>
      </c>
      <c r="H33" s="147">
        <f t="shared" si="30"/>
        <v>44114</v>
      </c>
      <c r="I33" s="148">
        <f t="shared" si="30"/>
        <v>44115</v>
      </c>
      <c r="K33" s="144">
        <f>AM31</f>
        <v>45</v>
      </c>
      <c r="L33" s="145">
        <f>R32+1</f>
        <v>44137</v>
      </c>
      <c r="M33" s="146">
        <f t="shared" ref="M33:R35" si="31">L33+1</f>
        <v>44138</v>
      </c>
      <c r="N33" s="146">
        <f t="shared" si="31"/>
        <v>44139</v>
      </c>
      <c r="O33" s="146">
        <f t="shared" si="31"/>
        <v>44140</v>
      </c>
      <c r="P33" s="146">
        <f t="shared" si="31"/>
        <v>44141</v>
      </c>
      <c r="Q33" s="147">
        <f t="shared" si="31"/>
        <v>44142</v>
      </c>
      <c r="R33" s="148">
        <f t="shared" si="31"/>
        <v>44143</v>
      </c>
      <c r="S33" s="61"/>
      <c r="T33" s="144">
        <f>AV31</f>
        <v>50</v>
      </c>
      <c r="U33" s="145">
        <f>AA32+1</f>
        <v>44172</v>
      </c>
      <c r="V33" s="146">
        <f t="shared" ref="V33:AA35" si="32">U33+1</f>
        <v>44173</v>
      </c>
      <c r="W33" s="146">
        <f t="shared" si="32"/>
        <v>44174</v>
      </c>
      <c r="X33" s="146">
        <f t="shared" si="32"/>
        <v>44175</v>
      </c>
      <c r="Y33" s="146">
        <f t="shared" si="32"/>
        <v>44176</v>
      </c>
      <c r="Z33" s="147">
        <f t="shared" si="32"/>
        <v>44177</v>
      </c>
      <c r="AA33" s="148">
        <f t="shared" si="32"/>
        <v>44178</v>
      </c>
      <c r="AB33" s="61"/>
      <c r="AC33" s="488">
        <v>7</v>
      </c>
      <c r="AD33" s="149" t="str">
        <f>AD30 &amp; "." &amp;AH$2</f>
        <v>10.2</v>
      </c>
      <c r="AE33" s="150" t="str">
        <f>IFERROR(IF(C33=" ","",INDEX(GCalXML[fasttype],$AL$31+$AC33+AE$1)),"")</f>
        <v> </v>
      </c>
      <c r="AF33" s="151" t="str">
        <f>IFERROR(IF(D33=" ","",INDEX(GCalXML[fasttype],$AL$31+$AC33+AF$1)),"")</f>
        <v> </v>
      </c>
      <c r="AG33" s="151" t="str">
        <f>IFERROR(IF(E33=" ","",INDEX(GCalXML[fasttype],$AL$31+$AC33+AG$1)),"")</f>
        <v> </v>
      </c>
      <c r="AH33" s="151" t="str">
        <f>IFERROR(IF(F33=" ","",INDEX(GCalXML[fasttype],$AL$31+$AC33+AH$1)),"")</f>
        <v> </v>
      </c>
      <c r="AI33" s="151" t="str">
        <f>IFERROR(IF(G33=" ","",INDEX(GCalXML[fasttype],$AL$31+$AC33+AI$1)),"")</f>
        <v> </v>
      </c>
      <c r="AJ33" s="152" t="str">
        <f>IFERROR(IF(H33=" ","",INDEX(GCalXML[fasttype],$AL$31+$AC33+AJ$1)),"")</f>
        <v> </v>
      </c>
      <c r="AK33" s="153" t="str">
        <f>IFERROR(IF(I33=" ","",INDEX(GCalXML[fasttype],$AL$31+$AC33+AK$1)),"")</f>
        <v> </v>
      </c>
      <c r="AL33" s="182">
        <f>IFERROR(MATCH($U$1 &amp; "." &amp; AD33,'Moon Calendar'!$I$2:$I$65,0),"")</f>
        <v>48</v>
      </c>
      <c r="AM33" s="149" t="str">
        <f>AM30 &amp; "." &amp;AQ$2</f>
        <v>11.2</v>
      </c>
      <c r="AN33" s="150" t="str">
        <f>IFERROR(IF(L33=" ","",INDEX(GCalXML[fasttype],$AU$31+$AC33+AN$1)),"")</f>
        <v> </v>
      </c>
      <c r="AO33" s="151" t="str">
        <f>IFERROR(IF(M33=" ","",INDEX(GCalXML[fasttype],$AU$31+$AC33+AO$1)),"")</f>
        <v> </v>
      </c>
      <c r="AP33" s="151" t="str">
        <f>IFERROR(IF(N33=" ","",INDEX(GCalXML[fasttype],$AU$31+$AC33+AP$1)),"")</f>
        <v> </v>
      </c>
      <c r="AQ33" s="151" t="str">
        <f>IFERROR(IF(O33=" ","",INDEX(GCalXML[fasttype],$AU$31+$AC33+AQ$1)),"")</f>
        <v>C</v>
      </c>
      <c r="AR33" s="151" t="str">
        <f>IFERROR(IF(P33=" ","",INDEX(GCalXML[fasttype],$AU$31+$AC33+AR$1)),"")</f>
        <v> </v>
      </c>
      <c r="AS33" s="152" t="str">
        <f>IFERROR(IF(Q33=" ","",INDEX(GCalXML[fasttype],$AU$31+$AC33+AS$1)),"")</f>
        <v> </v>
      </c>
      <c r="AT33" s="153" t="str">
        <f>IFERROR(IF(R33=" ","",INDEX(GCalXML[fasttype],$AU$31+$AC33+AT$1)),"")</f>
        <v>C</v>
      </c>
      <c r="AU33" s="182">
        <f>IFERROR(MATCH($U$1 &amp; "." &amp; AM33,'Moon Calendar'!$I$2:$I$65,0),"")</f>
        <v>53</v>
      </c>
      <c r="AV33" s="149" t="str">
        <f>AV30 &amp; "." &amp;AZ$2</f>
        <v>12.2</v>
      </c>
      <c r="AW33" s="150" t="str">
        <f>IFERROR(IF(U33=" ","",INDEX(GCalXML[fasttype],$BD$31+$AC33+AW$1)),"")</f>
        <v> </v>
      </c>
      <c r="AX33" s="151" t="str">
        <f>IFERROR(IF(V33=" ","",INDEX(GCalXML[fasttype],$BD$31+$AC33+AX$1)),"")</f>
        <v> </v>
      </c>
      <c r="AY33" s="151" t="str">
        <f>IFERROR(IF(W33=" ","",INDEX(GCalXML[fasttype],$BD$31+$AC33+AY$1)),"")</f>
        <v> </v>
      </c>
      <c r="AZ33" s="151" t="str">
        <f>IFERROR(IF(X33=" ","",INDEX(GCalXML[fasttype],$BD$31+$AC33+AZ$1)),"")</f>
        <v>E</v>
      </c>
      <c r="BA33" s="151" t="str">
        <f>IFERROR(IF(Y33=" ","",INDEX(GCalXML[fasttype],$BD$31+$AC33+BA$1)),"")</f>
        <v>C</v>
      </c>
      <c r="BB33" s="152" t="str">
        <f>IFERROR(IF(Z33=" ","",INDEX(GCalXML[fasttype],$BD$31+$AC33+BB$1)),"")</f>
        <v>C</v>
      </c>
      <c r="BC33" s="153" t="str">
        <f>IFERROR(IF(AA33=" ","",INDEX(GCalXML[fasttype],$BD$31+$AC33+BC$1)),"")</f>
        <v> </v>
      </c>
      <c r="BD33" s="182">
        <f>IFERROR(MATCH($U$1 &amp; "." &amp; AV33,'Moon Calendar'!$I$2:$I$65,0),"")</f>
        <v>57</v>
      </c>
      <c r="BI33" s="591" t="s">
        <v>74</v>
      </c>
    </row>
    <row r="34" spans="1:61" ht="18">
      <c r="A34" s="61"/>
      <c r="B34" s="163">
        <f>B33+1</f>
        <v>42</v>
      </c>
      <c r="C34" s="145">
        <f>I33+1</f>
        <v>44116</v>
      </c>
      <c r="D34" s="146">
        <f t="shared" si="30"/>
        <v>44117</v>
      </c>
      <c r="E34" s="146">
        <f t="shared" si="30"/>
        <v>44118</v>
      </c>
      <c r="F34" s="146">
        <f t="shared" si="30"/>
        <v>44119</v>
      </c>
      <c r="G34" s="146">
        <f t="shared" si="30"/>
        <v>44120</v>
      </c>
      <c r="H34" s="147">
        <f t="shared" si="30"/>
        <v>44121</v>
      </c>
      <c r="I34" s="148">
        <f t="shared" si="30"/>
        <v>44122</v>
      </c>
      <c r="K34" s="163">
        <f>K33+1</f>
        <v>46</v>
      </c>
      <c r="L34" s="145">
        <f>R33+1</f>
        <v>44144</v>
      </c>
      <c r="M34" s="146">
        <f t="shared" si="31"/>
        <v>44145</v>
      </c>
      <c r="N34" s="146">
        <f t="shared" si="31"/>
        <v>44146</v>
      </c>
      <c r="O34" s="146">
        <f t="shared" si="31"/>
        <v>44147</v>
      </c>
      <c r="P34" s="146">
        <f t="shared" si="31"/>
        <v>44148</v>
      </c>
      <c r="Q34" s="147">
        <f t="shared" si="31"/>
        <v>44149</v>
      </c>
      <c r="R34" s="148">
        <f t="shared" si="31"/>
        <v>44150</v>
      </c>
      <c r="S34" s="61"/>
      <c r="T34" s="163">
        <f>T33+1</f>
        <v>51</v>
      </c>
      <c r="U34" s="145">
        <f>AA33+1</f>
        <v>44179</v>
      </c>
      <c r="V34" s="146">
        <f t="shared" si="32"/>
        <v>44180</v>
      </c>
      <c r="W34" s="146">
        <f t="shared" si="32"/>
        <v>44181</v>
      </c>
      <c r="X34" s="146">
        <f t="shared" si="32"/>
        <v>44182</v>
      </c>
      <c r="Y34" s="146">
        <f t="shared" si="32"/>
        <v>44183</v>
      </c>
      <c r="Z34" s="147">
        <f t="shared" si="32"/>
        <v>44184</v>
      </c>
      <c r="AA34" s="148">
        <f t="shared" si="32"/>
        <v>44185</v>
      </c>
      <c r="AB34" s="61"/>
      <c r="AC34" s="488">
        <v>14</v>
      </c>
      <c r="AD34" s="149" t="str">
        <f>AD30 &amp; "." &amp;AI$2</f>
        <v>10.3</v>
      </c>
      <c r="AE34" s="150" t="str">
        <f>IFERROR(IF(C34=" ","",INDEX(GCalXML[fasttype],$AL$31+$AC34+AE$1)),"")</f>
        <v> </v>
      </c>
      <c r="AF34" s="151" t="str">
        <f>IFERROR(IF(D34=" ","",INDEX(GCalXML[fasttype],$AL$31+$AC34+AF$1)),"")</f>
        <v>E</v>
      </c>
      <c r="AG34" s="151" t="str">
        <f>IFERROR(IF(E34=" ","",INDEX(GCalXML[fasttype],$AL$31+$AC34+AG$1)),"")</f>
        <v>C</v>
      </c>
      <c r="AH34" s="151" t="str">
        <f>IFERROR(IF(F34=" ","",INDEX(GCalXML[fasttype],$AL$31+$AC34+AH$1)),"")</f>
        <v> </v>
      </c>
      <c r="AI34" s="151" t="str">
        <f>IFERROR(IF(G34=" ","",INDEX(GCalXML[fasttype],$AL$31+$AC34+AI$1)),"")</f>
        <v> </v>
      </c>
      <c r="AJ34" s="152" t="str">
        <f>IFERROR(IF(H34=" ","",INDEX(GCalXML[fasttype],$AL$31+$AC34+AJ$1)),"")</f>
        <v> </v>
      </c>
      <c r="AK34" s="153" t="str">
        <f>IFERROR(IF(I34=" ","",INDEX(GCalXML[fasttype],$AL$31+$AC34+AK$1)),"")</f>
        <v> </v>
      </c>
      <c r="AL34" s="182">
        <f>IFERROR(MATCH($U$1 &amp; "." &amp; AD34,'Moon Calendar'!$I$2:$I$65,0),"")</f>
        <v>49</v>
      </c>
      <c r="AM34" s="149" t="str">
        <f>AM30 &amp; "." &amp;AR$2</f>
        <v>11.3</v>
      </c>
      <c r="AN34" s="150" t="str">
        <f>IFERROR(IF(L34=" ","",INDEX(GCalXML[fasttype],$AU$31+$AC34+AN$1)),"")</f>
        <v>C</v>
      </c>
      <c r="AO34" s="151" t="str">
        <f>IFERROR(IF(M34=" ","",INDEX(GCalXML[fasttype],$AU$31+$AC34+AO$1)),"")</f>
        <v> </v>
      </c>
      <c r="AP34" s="151" t="str">
        <f>IFERROR(IF(N34=" ","",INDEX(GCalXML[fasttype],$AU$31+$AC34+AP$1)),"")</f>
        <v>E</v>
      </c>
      <c r="AQ34" s="151" t="str">
        <f>IFERROR(IF(O34=" ","",INDEX(GCalXML[fasttype],$AU$31+$AC34+AQ$1)),"")</f>
        <v>C</v>
      </c>
      <c r="AR34" s="151" t="str">
        <f>IFERROR(IF(P34=" ","",INDEX(GCalXML[fasttype],$AU$31+$AC34+AR$1)),"")</f>
        <v> </v>
      </c>
      <c r="AS34" s="152" t="str">
        <f>IFERROR(IF(Q34=" ","",INDEX(GCalXML[fasttype],$AU$31+$AC34+AS$1)),"")</f>
        <v>C</v>
      </c>
      <c r="AT34" s="153" t="str">
        <f>IFERROR(IF(R34=" ","",INDEX(GCalXML[fasttype],$AU$31+$AC34+AT$1)),"")</f>
        <v>C</v>
      </c>
      <c r="AU34" s="182">
        <f>IFERROR(MATCH($U$1 &amp; "." &amp; AM34,'Moon Calendar'!$I$2:$I$65,0),"")</f>
        <v>54</v>
      </c>
      <c r="AV34" s="149" t="str">
        <f>AV30 &amp; "." &amp;BA$2</f>
        <v>12.3</v>
      </c>
      <c r="AW34" s="150" t="str">
        <f>IFERROR(IF(U34=" ","",INDEX(GCalXML[fasttype],$BD$31+$AC34+AW$1)),"")</f>
        <v> </v>
      </c>
      <c r="AX34" s="151" t="str">
        <f>IFERROR(IF(V34=" ","",INDEX(GCalXML[fasttype],$BD$31+$AC34+AX$1)),"")</f>
        <v> </v>
      </c>
      <c r="AY34" s="151" t="str">
        <f>IFERROR(IF(W34=" ","",INDEX(GCalXML[fasttype],$BD$31+$AC34+AY$1)),"")</f>
        <v> </v>
      </c>
      <c r="AZ34" s="151" t="str">
        <f>IFERROR(IF(X34=" ","",INDEX(GCalXML[fasttype],$BD$31+$AC34+AZ$1)),"")</f>
        <v> </v>
      </c>
      <c r="BA34" s="151" t="str">
        <f>IFERROR(IF(Y34=" ","",INDEX(GCalXML[fasttype],$BD$31+$AC34+BA$1)),"")</f>
        <v> </v>
      </c>
      <c r="BB34" s="152" t="str">
        <f>IFERROR(IF(Z34=" ","",INDEX(GCalXML[fasttype],$BD$31+$AC34+BB$1)),"")</f>
        <v>C</v>
      </c>
      <c r="BC34" s="153" t="str">
        <f>IFERROR(IF(AA34=" ","",INDEX(GCalXML[fasttype],$BD$31+$AC34+BC$1)),"")</f>
        <v> </v>
      </c>
      <c r="BD34" s="182">
        <f>IFERROR(MATCH($U$1 &amp; "." &amp; AV34,'Moon Calendar'!$I$2:$I$65,0),"")</f>
        <v>58</v>
      </c>
      <c r="BI34" s="591" t="s">
        <v>69</v>
      </c>
    </row>
    <row r="35" spans="1:61" ht="18">
      <c r="A35" s="61"/>
      <c r="B35" s="163">
        <f>B34+1</f>
        <v>43</v>
      </c>
      <c r="C35" s="145">
        <f>I34+1</f>
        <v>44123</v>
      </c>
      <c r="D35" s="146">
        <f t="shared" si="30"/>
        <v>44124</v>
      </c>
      <c r="E35" s="146">
        <f t="shared" si="30"/>
        <v>44125</v>
      </c>
      <c r="F35" s="146">
        <f t="shared" si="30"/>
        <v>44126</v>
      </c>
      <c r="G35" s="146">
        <f t="shared" si="30"/>
        <v>44127</v>
      </c>
      <c r="H35" s="147">
        <f t="shared" si="30"/>
        <v>44128</v>
      </c>
      <c r="I35" s="148">
        <f t="shared" si="30"/>
        <v>44129</v>
      </c>
      <c r="K35" s="163">
        <f>K34+1</f>
        <v>47</v>
      </c>
      <c r="L35" s="145">
        <f>R34+1</f>
        <v>44151</v>
      </c>
      <c r="M35" s="146">
        <f t="shared" si="31"/>
        <v>44152</v>
      </c>
      <c r="N35" s="146">
        <f t="shared" si="31"/>
        <v>44153</v>
      </c>
      <c r="O35" s="146">
        <f t="shared" si="31"/>
        <v>44154</v>
      </c>
      <c r="P35" s="146">
        <f t="shared" si="31"/>
        <v>44155</v>
      </c>
      <c r="Q35" s="147">
        <f t="shared" si="31"/>
        <v>44156</v>
      </c>
      <c r="R35" s="148">
        <f t="shared" si="31"/>
        <v>44157</v>
      </c>
      <c r="S35" s="61"/>
      <c r="T35" s="163">
        <f>T34+1</f>
        <v>52</v>
      </c>
      <c r="U35" s="145">
        <f>AA34+1</f>
        <v>44186</v>
      </c>
      <c r="V35" s="146">
        <f t="shared" si="32"/>
        <v>44187</v>
      </c>
      <c r="W35" s="146">
        <f t="shared" si="32"/>
        <v>44188</v>
      </c>
      <c r="X35" s="146">
        <f t="shared" si="32"/>
        <v>44189</v>
      </c>
      <c r="Y35" s="146">
        <f t="shared" si="32"/>
        <v>44190</v>
      </c>
      <c r="Z35" s="147">
        <f t="shared" si="32"/>
        <v>44191</v>
      </c>
      <c r="AA35" s="148">
        <f t="shared" si="32"/>
        <v>44192</v>
      </c>
      <c r="AB35" s="61"/>
      <c r="AC35" s="488">
        <v>21</v>
      </c>
      <c r="AD35" s="149" t="str">
        <f>AD30 &amp; "." &amp;AJ$2</f>
        <v>10.4</v>
      </c>
      <c r="AE35" s="150" t="str">
        <f>IFERROR(IF(C35=" ","",INDEX(GCalXML[fasttype],$AL$31+$AC35+AE$1)),"")</f>
        <v> </v>
      </c>
      <c r="AF35" s="151" t="str">
        <f>IFERROR(IF(D35=" ","",INDEX(GCalXML[fasttype],$AL$31+$AC35+AF$1)),"")</f>
        <v> </v>
      </c>
      <c r="AG35" s="151" t="str">
        <f>IFERROR(IF(E35=" ","",INDEX(GCalXML[fasttype],$AL$31+$AC35+AG$1)),"")</f>
        <v> </v>
      </c>
      <c r="AH35" s="151" t="str">
        <f>IFERROR(IF(F35=" ","",INDEX(GCalXML[fasttype],$AL$31+$AC35+AH$1)),"")</f>
        <v>C</v>
      </c>
      <c r="AI35" s="151" t="str">
        <f>IFERROR(IF(G35=" ","",INDEX(GCalXML[fasttype],$AL$31+$AC35+AI$1)),"")</f>
        <v> </v>
      </c>
      <c r="AJ35" s="152" t="str">
        <f>IFERROR(IF(H35=" ","",INDEX(GCalXML[fasttype],$AL$31+$AC35+AJ$1)),"")</f>
        <v> </v>
      </c>
      <c r="AK35" s="153" t="str">
        <f>IFERROR(IF(I35=" ","",INDEX(GCalXML[fasttype],$AL$31+$AC35+AK$1)),"")</f>
        <v>C</v>
      </c>
      <c r="AL35" s="182">
        <f>IFERROR(MATCH($U$1 &amp; "." &amp; AD35,'Moon Calendar'!$I$2:$I$65,0),"")</f>
        <v>50</v>
      </c>
      <c r="AM35" s="149" t="str">
        <f>AM30 &amp; "." &amp;AS$2</f>
        <v>11.4</v>
      </c>
      <c r="AN35" s="150" t="str">
        <f>IFERROR(IF(L35=" ","",INDEX(GCalXML[fasttype],$AU$31+$AC35+AN$1)),"")</f>
        <v>C</v>
      </c>
      <c r="AO35" s="151" t="str">
        <f>IFERROR(IF(M35=" ","",INDEX(GCalXML[fasttype],$AU$31+$AC35+AO$1)),"")</f>
        <v> </v>
      </c>
      <c r="AP35" s="151" t="str">
        <f>IFERROR(IF(N35=" ","",INDEX(GCalXML[fasttype],$AU$31+$AC35+AP$1)),"")</f>
        <v>P</v>
      </c>
      <c r="AQ35" s="151" t="str">
        <f>IFERROR(IF(O35=" ","",INDEX(GCalXML[fasttype],$AU$31+$AC35+AQ$1)),"")</f>
        <v> </v>
      </c>
      <c r="AR35" s="151" t="str">
        <f>IFERROR(IF(P35=" ","",INDEX(GCalXML[fasttype],$AU$31+$AC35+AR$1)),"")</f>
        <v> </v>
      </c>
      <c r="AS35" s="152" t="str">
        <f>IFERROR(IF(Q35=" ","",INDEX(GCalXML[fasttype],$AU$31+$AC35+AS$1)),"")</f>
        <v> </v>
      </c>
      <c r="AT35" s="153" t="str">
        <f>IFERROR(IF(R35=" ","",INDEX(GCalXML[fasttype],$AU$31+$AC35+AT$1)),"")</f>
        <v>C</v>
      </c>
      <c r="AU35" s="182">
        <f>IFERROR(MATCH($U$1 &amp; "." &amp; AM35,'Moon Calendar'!$I$2:$I$65,0),"")</f>
        <v>55</v>
      </c>
      <c r="AV35" s="149" t="str">
        <f>AV30 &amp; "." &amp;BB$2</f>
        <v>12.4</v>
      </c>
      <c r="AW35" s="150" t="str">
        <f>IFERROR(IF(U35=" ","",INDEX(GCalXML[fasttype],$BD$31+$AC35+AW$1)),"")</f>
        <v> </v>
      </c>
      <c r="AX35" s="151" t="str">
        <f>IFERROR(IF(V35=" ","",INDEX(GCalXML[fasttype],$BD$31+$AC35+AX$1)),"")</f>
        <v> </v>
      </c>
      <c r="AY35" s="151" t="str">
        <f>IFERROR(IF(W35=" ","",INDEX(GCalXML[fasttype],$BD$31+$AC35+AY$1)),"")</f>
        <v> </v>
      </c>
      <c r="AZ35" s="151" t="str">
        <f>IFERROR(IF(X35=" ","",INDEX(GCalXML[fasttype],$BD$31+$AC35+AZ$1)),"")</f>
        <v> </v>
      </c>
      <c r="BA35" s="151" t="str">
        <f>IFERROR(IF(Y35=" ","",INDEX(GCalXML[fasttype],$BD$31+$AC35+BA$1)),"")</f>
        <v>E</v>
      </c>
      <c r="BB35" s="152" t="str">
        <f>IFERROR(IF(Z35=" ","",INDEX(GCalXML[fasttype],$BD$31+$AC35+BB$1)),"")</f>
        <v>C</v>
      </c>
      <c r="BC35" s="153" t="str">
        <f>IFERROR(IF(AA35=" ","",INDEX(GCalXML[fasttype],$BD$31+$AC35+BC$1)),"")</f>
        <v> </v>
      </c>
      <c r="BD35" s="182">
        <f>IFERROR(MATCH($U$1 &amp; "." &amp; AV35,'Moon Calendar'!$I$2:$I$65,0),"")</f>
        <v>59</v>
      </c>
      <c r="BI35" s="591" t="s">
        <v>73</v>
      </c>
    </row>
    <row r="36" spans="1:61" ht="18">
      <c r="A36" s="61"/>
      <c r="B36" s="163">
        <f>IF(C36=" ","",B35+1)</f>
        <v>44</v>
      </c>
      <c r="C36" s="145">
        <f>IF(I35+1&lt;=AG30,I35+1," ")</f>
        <v>44130</v>
      </c>
      <c r="D36" s="146">
        <f>IF(C36=" "," ",IF(C36+1&lt;=AG30,C36+1," "))</f>
        <v>44131</v>
      </c>
      <c r="E36" s="146">
        <f>IF(D36=" "," ",IF(D36+1&lt;=AG30,D36+1," "))</f>
        <v>44132</v>
      </c>
      <c r="F36" s="146">
        <f>IF(E36=" "," ",IF(E36+1&lt;=AG30,E36+1," "))</f>
        <v>44133</v>
      </c>
      <c r="G36" s="146">
        <f>IF(F36=" "," ",IF(F36+1&lt;=AG30,F36+1," "))</f>
        <v>44134</v>
      </c>
      <c r="H36" s="147">
        <f>IF(G36=" "," ",IF(G36+1&lt;=AG30,G36+1," "))</f>
        <v>44135</v>
      </c>
      <c r="I36" s="148" t="str">
        <f>IF(H36=" "," ",IF(H36+1&lt;=AG30,H36+1," "))</f>
        <v xml:space="preserve"> </v>
      </c>
      <c r="K36" s="164">
        <f>IF(L36=" ","",K35+1)</f>
        <v>48</v>
      </c>
      <c r="L36" s="145">
        <f>IF(R35+1&lt;=AP30,R35+1," ")</f>
        <v>44158</v>
      </c>
      <c r="M36" s="146">
        <f>IF(L36=" "," ",IF(L36+1&lt;=AP30,L36+1," "))</f>
        <v>44159</v>
      </c>
      <c r="N36" s="146">
        <f>IF(M36=" "," ",IF(M36+1&lt;=AP30,M36+1," "))</f>
        <v>44160</v>
      </c>
      <c r="O36" s="146">
        <f>IF(N36=" "," ",IF(N36+1&lt;=AP30,N36+1," "))</f>
        <v>44161</v>
      </c>
      <c r="P36" s="146">
        <f>IF(O36=" "," ",IF(O36+1&lt;=AP30,O36+1," "))</f>
        <v>44162</v>
      </c>
      <c r="Q36" s="147">
        <f>IF(P36=" "," ",IF(P36+1&lt;=AP30,P36+1," "))</f>
        <v>44163</v>
      </c>
      <c r="R36" s="148">
        <f>IF(Q36=" "," ",IF(Q36+1&lt;=AP30,Q36+1," "))</f>
        <v>44164</v>
      </c>
      <c r="S36" s="61"/>
      <c r="T36" s="163">
        <f>IF(U36=" ","",T35+1)</f>
        <v>53</v>
      </c>
      <c r="U36" s="145">
        <f>IF(AA35+1&lt;=AY30,AA35+1," ")</f>
        <v>44193</v>
      </c>
      <c r="V36" s="146">
        <f>IF(U36=" "," ",IF(U36+1&lt;=AY30,U36+1," "))</f>
        <v>44194</v>
      </c>
      <c r="W36" s="146">
        <f>IF(V36=" "," ",IF(V36+1&lt;=AY30,V36+1," "))</f>
        <v>44195</v>
      </c>
      <c r="X36" s="146">
        <f>IF(W36=" "," ",IF(W36+1&lt;=AY30,W36+1," "))</f>
        <v>44196</v>
      </c>
      <c r="Y36" s="146" t="str">
        <f>IF(X36=" "," ",IF(X36+1&lt;=AY30,X36+1," "))</f>
        <v xml:space="preserve"> </v>
      </c>
      <c r="Z36" s="147" t="str">
        <f>IF(Y36=" "," ",IF(Y36+1&lt;=AY30,Y36+1," "))</f>
        <v xml:space="preserve"> </v>
      </c>
      <c r="AA36" s="148" t="str">
        <f>IF(Z36=" "," ",IF(Z36+1&lt;=AY30,Z36+1," "))</f>
        <v xml:space="preserve"> </v>
      </c>
      <c r="AB36" s="61"/>
      <c r="AC36" s="488">
        <v>28</v>
      </c>
      <c r="AD36" s="149" t="str">
        <f>AD30 &amp; "." &amp;AK$2</f>
        <v>10.5</v>
      </c>
      <c r="AE36" s="150" t="str">
        <f>IFERROR(IF(C36=" ","",INDEX(GCalXML[fasttype],$AL$31+$AC36+AE$1)),"")</f>
        <v>E</v>
      </c>
      <c r="AF36" s="151" t="str">
        <f>IFERROR(IF(D36=" ","",INDEX(GCalXML[fasttype],$AL$31+$AC36+AF$1)),"")</f>
        <v>C</v>
      </c>
      <c r="AG36" s="151" t="str">
        <f>IFERROR(IF(E36=" ","",INDEX(GCalXML[fasttype],$AL$31+$AC36+AG$1)),"")</f>
        <v> </v>
      </c>
      <c r="AH36" s="151" t="str">
        <f>IFERROR(IF(F36=" ","",INDEX(GCalXML[fasttype],$AL$31+$AC36+AH$1)),"")</f>
        <v> </v>
      </c>
      <c r="AI36" s="151" t="str">
        <f>IFERROR(IF(G36=" ","",INDEX(GCalXML[fasttype],$AL$31+$AC36+AI$1)),"")</f>
        <v>C</v>
      </c>
      <c r="AJ36" s="152" t="str">
        <f>IFERROR(IF(H36=" ","",INDEX(GCalXML[fasttype],$AL$31+$AC36+AJ$1)),"")</f>
        <v>C</v>
      </c>
      <c r="AK36" s="153" t="str">
        <f>IFERROR(IF(I36=" ","",INDEX(GCalXML[fasttype],$AL$31+$AC36+AK$1)),"")</f>
        <v/>
      </c>
      <c r="AL36" s="182">
        <f>IFERROR(MATCH($U$1 &amp; "." &amp; AD36,'Moon Calendar'!$I$2:$I$65,0),"")</f>
        <v>51</v>
      </c>
      <c r="AM36" s="149" t="str">
        <f>AM30 &amp; "." &amp;AT$2</f>
        <v>11.5</v>
      </c>
      <c r="AN36" s="150" t="str">
        <f>IFERROR(IF(L36=" ","",INDEX(GCalXML[fasttype],$AU$31+$AC36+AN$1)),"")</f>
        <v>C</v>
      </c>
      <c r="AO36" s="151" t="str">
        <f>IFERROR(IF(M36=" ","",INDEX(GCalXML[fasttype],$AU$31+$AC36+AO$1)),"")</f>
        <v>C</v>
      </c>
      <c r="AP36" s="151" t="str">
        <f>IFERROR(IF(N36=" ","",INDEX(GCalXML[fasttype],$AU$31+$AC36+AP$1)),"")</f>
        <v>K</v>
      </c>
      <c r="AQ36" s="151" t="str">
        <f>IFERROR(IF(O36=" ","",INDEX(GCalXML[fasttype],$AU$31+$AC36+AQ$1)),"")</f>
        <v>C</v>
      </c>
      <c r="AR36" s="151" t="str">
        <f>IFERROR(IF(P36=" ","",INDEX(GCalXML[fasttype],$AU$31+$AC36+AR$1)),"")</f>
        <v> </v>
      </c>
      <c r="AS36" s="152" t="str">
        <f>IFERROR(IF(Q36=" ","",INDEX(GCalXML[fasttype],$AU$31+$AC36+AS$1)),"")</f>
        <v>C</v>
      </c>
      <c r="AT36" s="153" t="str">
        <f>IFERROR(IF(R36=" ","",INDEX(GCalXML[fasttype],$AU$31+$AC36+AT$1)),"")</f>
        <v>C</v>
      </c>
      <c r="AU36" s="182" t="str">
        <f>IFERROR(MATCH($U$1 &amp; "." &amp; AM36,'Moon Calendar'!$I$2:$I$65,0),"")</f>
        <v/>
      </c>
      <c r="AV36" s="149" t="str">
        <f>AV30 &amp; "." &amp;BC$2</f>
        <v>12.5</v>
      </c>
      <c r="AW36" s="150" t="str">
        <f>IFERROR(IF(U36=" ","",INDEX(GCalXML[fasttype],$BD$31+$AC36+AW$1)),"")</f>
        <v> </v>
      </c>
      <c r="AX36" s="151" t="str">
        <f>IFERROR(IF(V36=" ","",INDEX(GCalXML[fasttype],$BD$31+$AC36+AX$1)),"")</f>
        <v>C</v>
      </c>
      <c r="AY36" s="151" t="str">
        <f>IFERROR(IF(W36=" ","",INDEX(GCalXML[fasttype],$BD$31+$AC36+AY$1)),"")</f>
        <v> </v>
      </c>
      <c r="AZ36" s="151" t="str">
        <f>IFERROR(IF(X36=" ","",INDEX(GCalXML[fasttype],$BD$31+$AC36+AZ$1)),"")</f>
        <v> </v>
      </c>
      <c r="BA36" s="151" t="str">
        <f>IFERROR(IF(Y36=" ","",INDEX(GCalXML[fasttype],$BD$31+$AC36+BA$1)),"")</f>
        <v/>
      </c>
      <c r="BB36" s="152" t="str">
        <f>IFERROR(IF(Z36=" ","",INDEX(GCalXML[fasttype],$BD$31+$AC36+BB$1)),"")</f>
        <v/>
      </c>
      <c r="BC36" s="153" t="str">
        <f>IFERROR(IF(AA36=" ","",INDEX(GCalXML[fasttype],$BD$31+$AC36+BC$1)),"")</f>
        <v/>
      </c>
      <c r="BD36" s="182" t="str">
        <f>IFERROR(MATCH($U$1 &amp; "." &amp; AV36,'Moon Calendar'!$I$2:$I$65,0),"")</f>
        <v/>
      </c>
    </row>
    <row r="37" spans="1:61" ht="18.75" thickBot="1">
      <c r="A37" s="61"/>
      <c r="B37" s="164" t="str">
        <f>IF(C37=" ","",B36+1)</f>
        <v/>
      </c>
      <c r="C37" s="155" t="str">
        <f>IF(I36=" "," ",IF(I36+1&lt;=AG30,I36+1," "))</f>
        <v xml:space="preserve"> </v>
      </c>
      <c r="D37" s="156" t="str">
        <f>IF(C37=" "," ",IF(C37+1&lt;=AG30,C37+1," "))</f>
        <v xml:space="preserve"> </v>
      </c>
      <c r="E37" s="156"/>
      <c r="F37" s="156"/>
      <c r="G37" s="156"/>
      <c r="H37" s="157"/>
      <c r="I37" s="158"/>
      <c r="K37" s="164">
        <f>IF(L37=" ","",K36+1)</f>
        <v>49</v>
      </c>
      <c r="L37" s="155">
        <f>IF(R36=" "," ",IF(R36+1&lt;=AP30,R36+1," "))</f>
        <v>44165</v>
      </c>
      <c r="M37" s="156" t="str">
        <f>IF(L37=" "," ",IF(L37+1&lt;=AP30,L37+1," "))</f>
        <v xml:space="preserve"> </v>
      </c>
      <c r="N37" s="156"/>
      <c r="O37" s="156"/>
      <c r="P37" s="156"/>
      <c r="Q37" s="157"/>
      <c r="R37" s="158"/>
      <c r="S37" s="61"/>
      <c r="T37" s="164" t="str">
        <f>IF(U37=" ","",T36+1)</f>
        <v/>
      </c>
      <c r="U37" s="155" t="str">
        <f>IF(AA36=" "," ",IF(AA36+1&lt;=AY30,AA36+1," "))</f>
        <v xml:space="preserve"> </v>
      </c>
      <c r="V37" s="156" t="str">
        <f>IF(U37=" "," ",IF(U37+1&lt;=AY30,U37+1," "))</f>
        <v xml:space="preserve"> </v>
      </c>
      <c r="W37" s="165"/>
      <c r="X37" s="676" t="str">
        <f ca="1">"21 - " &amp; 'GPlan-Translations'!C179</f>
        <v>21 - Summer</v>
      </c>
      <c r="Y37" s="676"/>
      <c r="Z37" s="676"/>
      <c r="AA37" s="677"/>
      <c r="AB37" s="61"/>
      <c r="AC37" s="488">
        <v>35</v>
      </c>
      <c r="AE37" s="159" t="str">
        <f>IFERROR(IF(C37=" ","",INDEX(GCalXML[fasttype],$AL$31+$AC37+AE$1)),"")</f>
        <v/>
      </c>
      <c r="AF37" s="160" t="str">
        <f>IFERROR(IF(D37=" ","",INDEX(GCalXML[fasttype],$AL$31+$AC37+AF$1)),"")</f>
        <v/>
      </c>
      <c r="AG37" s="161">
        <f>IFERROR(INDEX('Moon Calendar'!$F$2:$F$65,AL32),"")</f>
        <v>44105</v>
      </c>
      <c r="AH37" s="161">
        <f>IFERROR(INDEX('Moon Calendar'!$F$2:$F$65,AL33),"")</f>
        <v>44113</v>
      </c>
      <c r="AI37" s="161">
        <f>IFERROR(INDEX('Moon Calendar'!$F$2:$F$65,AL34),"")</f>
        <v>44120</v>
      </c>
      <c r="AJ37" s="161">
        <f>IFERROR(INDEX('Moon Calendar'!$F$2:$F$65,AL35),"")</f>
        <v>44127</v>
      </c>
      <c r="AK37" s="162">
        <f>IFERROR(INDEX('Moon Calendar'!$F$2:$F$65,AL36),"")</f>
        <v>44135</v>
      </c>
      <c r="AL37" s="337" t="str">
        <f ca="1">AD38 &amp; " " &amp; AE38  &amp; AL38 &amp; AF38 &amp; " " &amp; AG38 &amp; AL38 &amp; AH38 &amp; " " &amp; AI38 &amp; IF(AJ38&lt;&gt;"",AL38 &amp; AJ38 &amp; " " &amp; AK38,"")</f>
        <v> 1/31           9           16           23</v>
      </c>
      <c r="AN37" s="159" t="str">
        <f>IFERROR(IF(L37=" ","",INDEX(GCalXML[fasttype],$AU$31+$AC37+AN$1)),"")</f>
        <v>C</v>
      </c>
      <c r="AO37" s="160" t="str">
        <f>IFERROR(IF(M37=" ","",INDEX(GCalXML[fasttype],$AU$31+$AC37+AO$1)),"")</f>
        <v/>
      </c>
      <c r="AP37" s="161">
        <f>IFERROR(INDEX('Moon Calendar'!$F$2:$F$65,AU32),"")</f>
        <v>44143</v>
      </c>
      <c r="AQ37" s="161">
        <f>IFERROR(INDEX('Moon Calendar'!$F$2:$F$65,AU33),"")</f>
        <v>44150</v>
      </c>
      <c r="AR37" s="161">
        <f>IFERROR(INDEX('Moon Calendar'!$F$2:$F$65,AU34),"")</f>
        <v>44156</v>
      </c>
      <c r="AS37" s="161">
        <f>IFERROR(INDEX('Moon Calendar'!$F$2:$F$65,AU35),"")</f>
        <v>44165</v>
      </c>
      <c r="AT37" s="162" t="str">
        <f>IFERROR(INDEX('Moon Calendar'!$F$2:$F$65,AU36),"")</f>
        <v/>
      </c>
      <c r="AU37" s="337" t="str">
        <f ca="1">AM38 &amp; " " &amp; AN38  &amp; AU38 &amp; AO38 &amp; " " &amp; AP38 &amp; AU38 &amp; AQ38 &amp; " " &amp; AR38 &amp; IF(AS38&lt;&gt;"",AU38 &amp; AS38 &amp; " " &amp; AT38,"")</f>
        <v> 8           15           21           30</v>
      </c>
      <c r="AV37" s="167"/>
      <c r="AW37" s="159" t="str">
        <f>IFERROR(IF(U37=" ","",INDEX(GCalXML[fasttype],$BD$31+$AC37+AW$1)),"")</f>
        <v/>
      </c>
      <c r="AX37" s="160" t="str">
        <f>IFERROR(IF(V37=" ","",INDEX(GCalXML[fasttype],$BD$31+$AC37+AX$1)),"")</f>
        <v/>
      </c>
      <c r="AY37" s="161">
        <f>IFERROR(INDEX('Moon Calendar'!$F$2:$F$65,BD32),"")</f>
        <v>44172</v>
      </c>
      <c r="AZ37" s="161">
        <f>IFERROR(INDEX('Moon Calendar'!$F$2:$F$65,BD33),"")</f>
        <v>44179</v>
      </c>
      <c r="BA37" s="161">
        <f>IFERROR(INDEX('Moon Calendar'!$F$2:$F$65,BD34),"")</f>
        <v>44186</v>
      </c>
      <c r="BB37" s="161">
        <f>IFERROR(INDEX('Moon Calendar'!$F$2:$F$65,BD35),"")</f>
        <v>44194</v>
      </c>
      <c r="BC37" s="162" t="str">
        <f>IFERROR(INDEX('Moon Calendar'!$F$2:$F$65,BD36),"")</f>
        <v/>
      </c>
      <c r="BD37" s="337" t="str">
        <f ca="1">AV38 &amp; " " &amp; AW38  &amp; BD38 &amp; AX38 &amp; " " &amp; AY38 &amp; BD38 &amp; AZ38 &amp; " " &amp; BA38 &amp; IF(BB38&lt;&gt;"",BD38 &amp; BB38 &amp; " " &amp; BC38,"")</f>
        <v> 7           14           21           29</v>
      </c>
    </row>
    <row r="38" spans="1:61">
      <c r="B38" s="338" t="str">
        <f t="shared" ref="B38:I38" ca="1" si="33">AD38</f>
        <v></v>
      </c>
      <c r="C38" s="341" t="str">
        <f t="shared" si="33"/>
        <v>1/31</v>
      </c>
      <c r="D38" s="338" t="str">
        <f t="shared" ca="1" si="33"/>
        <v></v>
      </c>
      <c r="E38" s="341">
        <f t="shared" si="33"/>
        <v>9</v>
      </c>
      <c r="F38" s="338" t="str">
        <f t="shared" ca="1" si="33"/>
        <v></v>
      </c>
      <c r="G38" s="341">
        <f t="shared" si="33"/>
        <v>16</v>
      </c>
      <c r="H38" s="338" t="str">
        <f t="shared" ca="1" si="33"/>
        <v></v>
      </c>
      <c r="I38" s="341">
        <f t="shared" si="33"/>
        <v>23</v>
      </c>
      <c r="K38" s="338" t="str">
        <f t="shared" ref="K38:R38" ca="1" si="34">AM38</f>
        <v></v>
      </c>
      <c r="L38" s="341" t="str">
        <f t="shared" si="34"/>
        <v>8</v>
      </c>
      <c r="M38" s="338" t="str">
        <f t="shared" ca="1" si="34"/>
        <v></v>
      </c>
      <c r="N38" s="341">
        <f t="shared" si="34"/>
        <v>15</v>
      </c>
      <c r="O38" s="338" t="str">
        <f t="shared" ca="1" si="34"/>
        <v></v>
      </c>
      <c r="P38" s="341">
        <f t="shared" si="34"/>
        <v>21</v>
      </c>
      <c r="Q38" s="338" t="str">
        <f t="shared" ca="1" si="34"/>
        <v></v>
      </c>
      <c r="R38" s="341">
        <f t="shared" si="34"/>
        <v>30</v>
      </c>
      <c r="T38" s="338" t="str">
        <f t="shared" ref="T38:AA38" ca="1" si="35">AV38</f>
        <v></v>
      </c>
      <c r="U38" s="341" t="str">
        <f t="shared" si="35"/>
        <v>7</v>
      </c>
      <c r="V38" s="338" t="str">
        <f t="shared" ca="1" si="35"/>
        <v></v>
      </c>
      <c r="W38" s="341">
        <f t="shared" si="35"/>
        <v>14</v>
      </c>
      <c r="X38" s="338" t="str">
        <f t="shared" ca="1" si="35"/>
        <v></v>
      </c>
      <c r="Y38" s="341">
        <f t="shared" si="35"/>
        <v>21</v>
      </c>
      <c r="Z38" s="338" t="str">
        <f t="shared" ca="1" si="35"/>
        <v></v>
      </c>
      <c r="AA38" s="341">
        <f t="shared" si="35"/>
        <v>29</v>
      </c>
      <c r="AC38" s="168"/>
      <c r="AD38" s="338" t="str">
        <f ca="1">IFERROR(INDEX('Moon Calendar'!$N$2:$N$65,AL32),"")</f>
        <v></v>
      </c>
      <c r="AE38" s="184" t="str">
        <f>IF(AG37="","",DAY(AG37) &amp; IF(AK37&lt;&gt;"","/" &amp; DAY(AK37),""))</f>
        <v>1/31</v>
      </c>
      <c r="AF38" s="338" t="str">
        <f ca="1">IFERROR(INDEX('Moon Calendar'!$N$2:$N$65,AL33),"")</f>
        <v></v>
      </c>
      <c r="AG38" s="185">
        <f>IFERROR(DAY(AH37),"")</f>
        <v>9</v>
      </c>
      <c r="AH38" s="338" t="str">
        <f ca="1">IFERROR(INDEX('Moon Calendar'!$N$2:$N$65,AL34),"")</f>
        <v></v>
      </c>
      <c r="AI38" s="185">
        <f>IFERROR(DAY(AI37),"")</f>
        <v>16</v>
      </c>
      <c r="AJ38" s="338" t="str">
        <f ca="1">IFERROR(INDEX('Moon Calendar'!$N$2:$N$65,AL35),"")</f>
        <v></v>
      </c>
      <c r="AK38" s="185">
        <f>IFERROR(DAY(AJ37),"")</f>
        <v>23</v>
      </c>
      <c r="AL38" s="188" t="str">
        <f>AL29</f>
        <v>          </v>
      </c>
      <c r="AM38" s="338" t="str">
        <f ca="1">IFERROR(INDEX('Moon Calendar'!$N$2:$N$65,AU32),"")</f>
        <v></v>
      </c>
      <c r="AN38" s="184" t="str">
        <f>IF(AP37="","",DAY(AP37) &amp; IF(AT37&lt;&gt;"","/" &amp; DAY(AT37),""))</f>
        <v>8</v>
      </c>
      <c r="AO38" s="338" t="str">
        <f ca="1">IFERROR(INDEX('Moon Calendar'!$N$2:$N$65,AU33),"")</f>
        <v></v>
      </c>
      <c r="AP38" s="185">
        <f>IFERROR(DAY(AQ37),"")</f>
        <v>15</v>
      </c>
      <c r="AQ38" s="338" t="str">
        <f ca="1">IFERROR(INDEX('Moon Calendar'!$N$2:$N$65,AU34),"")</f>
        <v></v>
      </c>
      <c r="AR38" s="185">
        <f>IFERROR(DAY(AR37),"")</f>
        <v>21</v>
      </c>
      <c r="AS38" s="338" t="str">
        <f ca="1">IFERROR(INDEX('Moon Calendar'!$N$2:$N$65,AU35),"")</f>
        <v></v>
      </c>
      <c r="AT38" s="185">
        <f>IFERROR(DAY(AS37),"")</f>
        <v>30</v>
      </c>
      <c r="AU38" s="187" t="str">
        <f>AL38</f>
        <v>          </v>
      </c>
      <c r="AV38" s="338" t="str">
        <f ca="1">IFERROR(INDEX('Moon Calendar'!$N$2:$N$65,BD32),"")</f>
        <v></v>
      </c>
      <c r="AW38" s="184" t="str">
        <f>IF(AY37="","",DAY(AY37) &amp; IF(BC37&lt;&gt;"","/" &amp; DAY(BC37),""))</f>
        <v>7</v>
      </c>
      <c r="AX38" s="338" t="str">
        <f ca="1">IFERROR(INDEX('Moon Calendar'!$N$2:$N$65,BD33),"")</f>
        <v></v>
      </c>
      <c r="AY38" s="185">
        <f>IFERROR(DAY(AZ37),"")</f>
        <v>14</v>
      </c>
      <c r="AZ38" s="338" t="str">
        <f ca="1">IFERROR(INDEX('Moon Calendar'!$N$2:$N$65,BD34),"")</f>
        <v></v>
      </c>
      <c r="BA38" s="185">
        <f>IFERROR(DAY(BA37),"")</f>
        <v>21</v>
      </c>
      <c r="BB38" s="338" t="str">
        <f ca="1">IFERROR(INDEX('Moon Calendar'!$N$2:$N$65,BD35),"")</f>
        <v></v>
      </c>
      <c r="BC38" s="185">
        <f>IFERROR(DAY(BB37),"")</f>
        <v>29</v>
      </c>
      <c r="BD38" s="189" t="str">
        <f>AU38</f>
        <v>          </v>
      </c>
    </row>
    <row r="39" spans="1:61" ht="3.75" customHeight="1">
      <c r="A39" s="169"/>
      <c r="B39" s="170"/>
      <c r="C39" s="170"/>
      <c r="D39" s="171"/>
      <c r="J39" s="172"/>
      <c r="K39" s="170"/>
      <c r="L39" s="170"/>
      <c r="M39" s="171"/>
      <c r="S39" s="172"/>
      <c r="T39" s="170"/>
      <c r="U39" s="170"/>
      <c r="V39" s="171"/>
      <c r="AC39" s="131"/>
      <c r="AD39" s="173"/>
      <c r="AE39" s="173"/>
      <c r="AF39" s="173"/>
      <c r="AG39" s="173"/>
      <c r="AH39" s="173"/>
      <c r="AI39" s="173"/>
      <c r="AJ39" s="173"/>
      <c r="AK39" s="173"/>
      <c r="AL39" s="173"/>
      <c r="AM39" s="173"/>
      <c r="AO39" s="174"/>
      <c r="AR39" s="171"/>
      <c r="AS39" s="171"/>
      <c r="AU39" s="149"/>
      <c r="AV39" s="174"/>
      <c r="AX39" s="174"/>
      <c r="BA39" s="171"/>
      <c r="BB39" s="171"/>
      <c r="BD39" s="149"/>
    </row>
    <row r="40" spans="1:61" ht="12.75" customHeight="1">
      <c r="A40" s="172"/>
      <c r="B40" s="678">
        <f t="shared" ref="B40:B54" si="36">IFERROR(AF40,"")</f>
        <v>43840</v>
      </c>
      <c r="C40" s="678"/>
      <c r="D40" s="171" t="str">
        <f t="shared" ref="D40:D54" ca="1" si="37">AJ40</f>
        <v>Sri Krsna Pusya Abhiseka</v>
      </c>
      <c r="J40" s="172" t="s">
        <v>13</v>
      </c>
      <c r="K40" s="678">
        <f t="shared" ref="K40:K54" si="38">IFERROR(AO40,"")</f>
        <v>43984</v>
      </c>
      <c r="L40" s="678"/>
      <c r="M40" s="171" t="str">
        <f t="shared" ref="M40:M54" ca="1" si="39">AS40</f>
        <v>Pandava Nirjala Ekadasi</v>
      </c>
      <c r="S40" s="172"/>
      <c r="T40" s="678">
        <f t="shared" ref="T40:T54" si="40">IFERROR(AX40,"")</f>
        <v>44072</v>
      </c>
      <c r="U40" s="678"/>
      <c r="V40" s="171" t="str">
        <f t="shared" ref="V40:V54" ca="1" si="41">BB40</f>
        <v>Jiva Gosvami - App.</v>
      </c>
      <c r="AC40" s="131"/>
      <c r="AE40" s="171"/>
      <c r="AF40" s="585">
        <f>DateRef(AI40,$U$1)</f>
        <v>43840</v>
      </c>
      <c r="AG40" s="585"/>
      <c r="AH40" s="585"/>
      <c r="AI40" s="16" t="s">
        <v>1054</v>
      </c>
      <c r="AJ40" s="16" t="str">
        <f ca="1">'GPlan-Translations'!C261</f>
        <v>Sri Krsna Pusya Abhiseka</v>
      </c>
      <c r="AM40" s="173" t="s">
        <v>48</v>
      </c>
      <c r="AN40" s="190"/>
      <c r="AO40" s="585">
        <f>DateRef(AR40,$U$1)</f>
        <v>43984</v>
      </c>
      <c r="AP40" s="585"/>
      <c r="AQ40" s="585"/>
      <c r="AR40" s="16" t="s">
        <v>1052</v>
      </c>
      <c r="AS40" s="16" t="str">
        <f ca="1">'GPlan-Translations'!C265</f>
        <v>Pandava Nirjala Ekadasi</v>
      </c>
      <c r="AU40" s="149"/>
      <c r="AV40" s="174" t="s">
        <v>48</v>
      </c>
      <c r="AW40" s="171"/>
      <c r="AX40" s="585">
        <f>DateRef(BA40,$U$1)</f>
        <v>44072</v>
      </c>
      <c r="AY40" s="585"/>
      <c r="AZ40" s="585"/>
      <c r="BA40" s="16" t="s">
        <v>1019</v>
      </c>
      <c r="BB40" s="16" t="str">
        <f ca="1">'GPlan-Translations'!C238</f>
        <v>Jiva Gosvami - App.</v>
      </c>
      <c r="BD40" s="149"/>
    </row>
    <row r="41" spans="1:61" ht="12.75" customHeight="1">
      <c r="A41" s="172"/>
      <c r="B41" s="678">
        <f t="shared" si="36"/>
        <v>43844</v>
      </c>
      <c r="C41" s="678"/>
      <c r="D41" s="171" t="str">
        <f t="shared" ca="1" si="37"/>
        <v>Gopala Bhatta G. - App.</v>
      </c>
      <c r="J41" s="172"/>
      <c r="K41" s="678">
        <f t="shared" si="38"/>
        <v>43987</v>
      </c>
      <c r="L41" s="678"/>
      <c r="M41" s="171" t="str">
        <f t="shared" ca="1" si="39"/>
        <v>Snana Yatra</v>
      </c>
      <c r="S41" s="172"/>
      <c r="T41" s="678">
        <f t="shared" si="40"/>
        <v>44073</v>
      </c>
      <c r="U41" s="678"/>
      <c r="V41" s="171" t="str">
        <f t="shared" ca="1" si="41"/>
        <v>Bhaktivinoda Thakura - App.</v>
      </c>
      <c r="AC41" s="131"/>
      <c r="AE41" s="171"/>
      <c r="AF41" s="585">
        <f t="shared" ref="AF41:AF54" si="42">DateRef(AI41,$U$1)</f>
        <v>43844</v>
      </c>
      <c r="AG41" s="585"/>
      <c r="AH41" s="585"/>
      <c r="AI41" s="16" t="s">
        <v>1017</v>
      </c>
      <c r="AJ41" s="16" t="str">
        <f ca="1">'GPlan-Translations'!C233</f>
        <v>Gopala Bhatta G. - App.</v>
      </c>
      <c r="AL41" s="149"/>
      <c r="AM41" s="173" t="s">
        <v>48</v>
      </c>
      <c r="AN41" s="171"/>
      <c r="AO41" s="585">
        <f t="shared" ref="AO41:AO54" si="43">DateRef(AR41,$U$1)</f>
        <v>43987</v>
      </c>
      <c r="AP41" s="585"/>
      <c r="AQ41" s="585"/>
      <c r="AR41" s="16" t="s">
        <v>1060</v>
      </c>
      <c r="AS41" s="16" t="str">
        <f ca="1">'GPlan-Translations'!C258</f>
        <v>Snana Yatra</v>
      </c>
      <c r="AU41" s="149"/>
      <c r="AV41" s="174" t="s">
        <v>48</v>
      </c>
      <c r="AW41" s="171"/>
      <c r="AX41" s="585">
        <f t="shared" ref="AX41:AX54" si="44">DateRef(BA41,$U$1)</f>
        <v>44073</v>
      </c>
      <c r="AY41" s="585"/>
      <c r="AZ41" s="585"/>
      <c r="BA41" s="16" t="s">
        <v>1014</v>
      </c>
      <c r="BB41" s="16" t="str">
        <f ca="1">'GPlan-Translations'!C228</f>
        <v>Bhaktivinoda Thakura - App.</v>
      </c>
      <c r="BD41" s="149"/>
    </row>
    <row r="42" spans="1:61" ht="12.75" customHeight="1">
      <c r="A42" s="172"/>
      <c r="B42" s="678">
        <f t="shared" si="36"/>
        <v>43859</v>
      </c>
      <c r="C42" s="678"/>
      <c r="D42" s="171" t="str">
        <f t="shared" ca="1" si="37"/>
        <v>Srila Raghunatha Dasa Gosvami - Appearance</v>
      </c>
      <c r="J42" s="172"/>
      <c r="K42" s="678">
        <f t="shared" si="38"/>
        <v>44003</v>
      </c>
      <c r="L42" s="678"/>
      <c r="M42" s="171" t="str">
        <f t="shared" ca="1" si="39"/>
        <v>Gundica Marjana</v>
      </c>
      <c r="S42" s="172"/>
      <c r="T42" s="678">
        <f t="shared" si="40"/>
        <v>44075</v>
      </c>
      <c r="U42" s="678"/>
      <c r="V42" s="171" t="str">
        <f t="shared" ca="1" si="41"/>
        <v>Prabhupada - Sannyasa Accep.</v>
      </c>
      <c r="AC42" s="131"/>
      <c r="AE42" s="171"/>
      <c r="AF42" s="585">
        <f t="shared" si="42"/>
        <v>43859</v>
      </c>
      <c r="AG42" s="585"/>
      <c r="AH42" s="585"/>
      <c r="AI42" s="16" t="s">
        <v>1027</v>
      </c>
      <c r="AJ42" s="16" t="str">
        <f ca="1">'GPlan-Translations'!C250</f>
        <v>Srila Raghunatha Dasa Gosvami - Appearance</v>
      </c>
      <c r="AL42" s="149"/>
      <c r="AM42" s="173" t="s">
        <v>48</v>
      </c>
      <c r="AN42" s="171"/>
      <c r="AO42" s="585">
        <f t="shared" si="43"/>
        <v>44003</v>
      </c>
      <c r="AP42" s="585"/>
      <c r="AQ42" s="585"/>
      <c r="AR42" s="16" t="s">
        <v>1053</v>
      </c>
      <c r="AS42" s="16" t="str">
        <f ca="1">'GPlan-Translations'!C235</f>
        <v>Gundica Marjana</v>
      </c>
      <c r="AU42" s="149"/>
      <c r="AV42" s="174" t="s">
        <v>48</v>
      </c>
      <c r="AW42" s="171"/>
      <c r="AX42" s="585">
        <f t="shared" si="44"/>
        <v>44075</v>
      </c>
      <c r="AY42" s="585"/>
      <c r="AZ42" s="585"/>
      <c r="BA42" s="16" t="s">
        <v>1005</v>
      </c>
      <c r="BB42" s="16" t="str">
        <f ca="1">'GPlan-Translations'!C244</f>
        <v>Prabhupada - Sannyasa Accep.</v>
      </c>
      <c r="BD42" s="149"/>
    </row>
    <row r="43" spans="1:61">
      <c r="A43" s="172" t="s">
        <v>13</v>
      </c>
      <c r="B43" s="678">
        <f t="shared" si="36"/>
        <v>43861</v>
      </c>
      <c r="C43" s="678"/>
      <c r="D43" s="171" t="str">
        <f t="shared" ca="1" si="37"/>
        <v>Sri Advaita Acarya - App.</v>
      </c>
      <c r="J43" s="172"/>
      <c r="K43" s="678">
        <f t="shared" si="38"/>
        <v>44004</v>
      </c>
      <c r="L43" s="678"/>
      <c r="M43" s="171" t="str">
        <f t="shared" ca="1" si="39"/>
        <v>Ratha Yatra</v>
      </c>
      <c r="S43" s="172"/>
      <c r="T43" s="678">
        <f t="shared" si="40"/>
        <v>44083</v>
      </c>
      <c r="U43" s="678"/>
      <c r="V43" s="171" t="str">
        <f t="shared" ca="1" si="41"/>
        <v>Prabhupada in the USA</v>
      </c>
      <c r="AC43" s="168"/>
      <c r="AE43" s="171"/>
      <c r="AF43" s="585">
        <f t="shared" si="42"/>
        <v>43861</v>
      </c>
      <c r="AG43" s="585"/>
      <c r="AH43" s="585"/>
      <c r="AI43" s="16" t="s">
        <v>1011</v>
      </c>
      <c r="AJ43" s="16" t="str">
        <f ca="1">'GPlan-Translations'!C224</f>
        <v>Sri Advaita Acarya - App.</v>
      </c>
      <c r="AL43" s="149"/>
      <c r="AM43" s="173" t="s">
        <v>48</v>
      </c>
      <c r="AN43" s="171"/>
      <c r="AO43" s="585">
        <f t="shared" si="43"/>
        <v>44004</v>
      </c>
      <c r="AP43" s="585"/>
      <c r="AQ43" s="585"/>
      <c r="AR43" s="16" t="s">
        <v>1061</v>
      </c>
      <c r="AS43" s="16" t="str">
        <f ca="1">'GPlan-Translations'!C253</f>
        <v>Ratha Yatra</v>
      </c>
      <c r="AU43" s="149"/>
      <c r="AV43" s="174" t="s">
        <v>48</v>
      </c>
      <c r="AW43" s="171"/>
      <c r="AX43" s="585">
        <f t="shared" si="44"/>
        <v>44083</v>
      </c>
      <c r="AY43" s="585"/>
      <c r="AZ43" s="585"/>
      <c r="BA43" s="16" t="s">
        <v>1025</v>
      </c>
      <c r="BB43" s="16" t="str">
        <f ca="1">'GPlan-Translations'!C245</f>
        <v>Prabhupada in the USA</v>
      </c>
      <c r="BD43" s="149"/>
    </row>
    <row r="44" spans="1:61">
      <c r="A44" s="172"/>
      <c r="B44" s="678">
        <f t="shared" si="36"/>
        <v>43867</v>
      </c>
      <c r="C44" s="678"/>
      <c r="D44" s="171" t="str">
        <f t="shared" ca="1" si="37"/>
        <v>Varaha Dvadasi</v>
      </c>
      <c r="J44" s="172"/>
      <c r="K44" s="678">
        <f t="shared" si="38"/>
        <v>44016</v>
      </c>
      <c r="L44" s="678"/>
      <c r="M44" s="171" t="str">
        <f t="shared" ca="1" si="39"/>
        <v>Sanatana Gosvami - Dis.</v>
      </c>
      <c r="S44" s="172"/>
      <c r="T44" s="678">
        <f t="shared" si="40"/>
        <v>44129</v>
      </c>
      <c r="U44" s="678"/>
      <c r="V44" s="171" t="str">
        <f t="shared" ca="1" si="41"/>
        <v>Ramacandra Vijayotsava</v>
      </c>
      <c r="AC44" s="168"/>
      <c r="AE44" s="171"/>
      <c r="AF44" s="585">
        <f t="shared" si="42"/>
        <v>43867</v>
      </c>
      <c r="AG44" s="585"/>
      <c r="AH44" s="585"/>
      <c r="AI44" s="16" t="s">
        <v>1032</v>
      </c>
      <c r="AJ44" s="16" t="str">
        <f ca="1">'GPlan-Translations'!C268</f>
        <v>Varaha Dvadasi</v>
      </c>
      <c r="AL44" s="149"/>
      <c r="AM44" s="173" t="s">
        <v>48</v>
      </c>
      <c r="AN44" s="171"/>
      <c r="AO44" s="585">
        <f t="shared" si="43"/>
        <v>44016</v>
      </c>
      <c r="AP44" s="585"/>
      <c r="AQ44" s="585"/>
      <c r="AR44" s="16" t="s">
        <v>1010</v>
      </c>
      <c r="AS44" s="16" t="str">
        <f ca="1">'GPlan-Translations'!C255</f>
        <v>Sanatana Gosvami - Dis.</v>
      </c>
      <c r="AU44" s="149"/>
      <c r="AV44" s="174" t="s">
        <v>48</v>
      </c>
      <c r="AW44" s="171"/>
      <c r="AX44" s="585">
        <f t="shared" si="44"/>
        <v>44129</v>
      </c>
      <c r="AY44" s="585"/>
      <c r="AZ44" s="585"/>
      <c r="BA44" s="16" t="s">
        <v>1055</v>
      </c>
      <c r="BB44" s="16" t="str">
        <f ca="1">'GPlan-Translations'!C252</f>
        <v>Ramacandra Vijayotsava</v>
      </c>
      <c r="BD44" s="149"/>
    </row>
    <row r="45" spans="1:61">
      <c r="A45" s="172" t="s">
        <v>13</v>
      </c>
      <c r="B45" s="678">
        <f t="shared" si="36"/>
        <v>43868</v>
      </c>
      <c r="C45" s="678"/>
      <c r="D45" s="171" t="str">
        <f t="shared" ca="1" si="37"/>
        <v>Nityananda Trayodasi</v>
      </c>
      <c r="J45" s="172"/>
      <c r="K45" s="678">
        <f t="shared" si="38"/>
        <v>44026</v>
      </c>
      <c r="L45" s="678"/>
      <c r="M45" s="171" t="str">
        <f t="shared" ca="1" si="39"/>
        <v>ISKCON - Incorporation</v>
      </c>
      <c r="S45" s="172"/>
      <c r="T45" s="678">
        <f t="shared" si="40"/>
        <v>44131</v>
      </c>
      <c r="U45" s="678"/>
      <c r="V45" s="171" t="str">
        <f t="shared" ca="1" si="41"/>
        <v>Raghunatha Bhatta G. - Dis.</v>
      </c>
      <c r="AC45" s="168"/>
      <c r="AE45" s="171"/>
      <c r="AF45" s="585">
        <f t="shared" si="42"/>
        <v>43868</v>
      </c>
      <c r="AG45" s="585"/>
      <c r="AH45" s="585"/>
      <c r="AI45" s="16" t="s">
        <v>1021</v>
      </c>
      <c r="AJ45" s="16" t="str">
        <f ca="1">'GPlan-Translations'!C240</f>
        <v>Nityananda Trayodasi</v>
      </c>
      <c r="AL45" s="149"/>
      <c r="AM45" s="173" t="s">
        <v>48</v>
      </c>
      <c r="AN45" s="171"/>
      <c r="AO45" s="585">
        <f t="shared" si="43"/>
        <v>44026</v>
      </c>
      <c r="AP45" s="585"/>
      <c r="AQ45" s="585"/>
      <c r="AR45" s="16" t="s">
        <v>1004</v>
      </c>
      <c r="AS45" s="16" t="str">
        <f ca="1">'GPlan-Translations'!C236</f>
        <v>ISKCON - Incorporation</v>
      </c>
      <c r="AU45" s="149"/>
      <c r="AV45" s="174" t="s">
        <v>48</v>
      </c>
      <c r="AW45" s="171"/>
      <c r="AX45" s="585">
        <f t="shared" si="44"/>
        <v>44131</v>
      </c>
      <c r="AY45" s="585"/>
      <c r="AZ45" s="585"/>
      <c r="BA45" s="16" t="s">
        <v>1008</v>
      </c>
      <c r="BB45" s="16" t="str">
        <f ca="1">'GPlan-Translations'!C249</f>
        <v>Raghunatha Bhatta G. - Dis.</v>
      </c>
      <c r="BD45" s="149"/>
    </row>
    <row r="46" spans="1:61">
      <c r="A46" s="171"/>
      <c r="B46" s="678">
        <f t="shared" si="36"/>
        <v>43869</v>
      </c>
      <c r="C46" s="678"/>
      <c r="D46" s="171" t="str">
        <f t="shared" ca="1" si="37"/>
        <v>Sri Krsna Madhura Utsava</v>
      </c>
      <c r="J46" s="172"/>
      <c r="K46" s="678">
        <f t="shared" si="38"/>
        <v>44042</v>
      </c>
      <c r="L46" s="678"/>
      <c r="M46" s="171" t="str">
        <f t="shared" ca="1" si="39"/>
        <v>Jhulana Yatra begins</v>
      </c>
      <c r="S46" s="172"/>
      <c r="T46" s="678">
        <f t="shared" si="40"/>
        <v>44135</v>
      </c>
      <c r="U46" s="678"/>
      <c r="V46" s="171" t="str">
        <f t="shared" ca="1" si="41"/>
        <v>Sri Krsna Saradiya Rasayatra</v>
      </c>
      <c r="AC46" s="168"/>
      <c r="AE46" s="171"/>
      <c r="AF46" s="585">
        <f t="shared" si="42"/>
        <v>43869</v>
      </c>
      <c r="AG46" s="585"/>
      <c r="AH46" s="585"/>
      <c r="AI46" s="16" t="s">
        <v>1063</v>
      </c>
      <c r="AJ46" s="16" t="str">
        <f ca="1">'GPlan-Translations'!C260</f>
        <v>Sri Krsna Madhura Utsava</v>
      </c>
      <c r="AL46" s="149"/>
      <c r="AM46" s="173" t="s">
        <v>48</v>
      </c>
      <c r="AN46" s="171"/>
      <c r="AO46" s="585">
        <f t="shared" si="43"/>
        <v>44042</v>
      </c>
      <c r="AP46" s="585"/>
      <c r="AQ46" s="585"/>
      <c r="AR46" s="16" t="s">
        <v>1018</v>
      </c>
      <c r="AS46" s="16" t="str">
        <f ca="1">'GPlan-Translations'!C237</f>
        <v>Jhulana Yatra begins</v>
      </c>
      <c r="AU46" s="149"/>
      <c r="AV46" s="174" t="s">
        <v>48</v>
      </c>
      <c r="AW46" s="171"/>
      <c r="AX46" s="585">
        <f t="shared" si="44"/>
        <v>44135</v>
      </c>
      <c r="AY46" s="585"/>
      <c r="AZ46" s="585"/>
      <c r="BA46" s="16" t="s">
        <v>1056</v>
      </c>
      <c r="BB46" s="16" t="str">
        <f ca="1">'GPlan-Translations'!C263</f>
        <v>Sri Krsna Saradiya Rasayatra</v>
      </c>
      <c r="BD46" s="149"/>
    </row>
    <row r="47" spans="1:61">
      <c r="A47" s="172"/>
      <c r="B47" s="678">
        <f t="shared" si="36"/>
        <v>43874</v>
      </c>
      <c r="C47" s="678"/>
      <c r="D47" s="171" t="str">
        <f t="shared" ca="1" si="37"/>
        <v>Srila Bhaktisiddhanta - App.</v>
      </c>
      <c r="J47" s="172"/>
      <c r="K47" s="678">
        <f t="shared" si="38"/>
        <v>44043</v>
      </c>
      <c r="L47" s="678"/>
      <c r="M47" s="171" t="str">
        <f t="shared" ca="1" si="39"/>
        <v>Rupa Gosvami - Dis.</v>
      </c>
      <c r="S47" s="172"/>
      <c r="T47" s="678">
        <f t="shared" si="40"/>
        <v>44143</v>
      </c>
      <c r="U47" s="678"/>
      <c r="V47" s="171" t="str">
        <f t="shared" ca="1" si="41"/>
        <v>Radha Kunda app.</v>
      </c>
      <c r="AA47" s="172"/>
      <c r="AC47" s="168"/>
      <c r="AE47" s="171"/>
      <c r="AF47" s="585">
        <f t="shared" si="42"/>
        <v>43874</v>
      </c>
      <c r="AG47" s="585"/>
      <c r="AH47" s="585"/>
      <c r="AI47" s="16" t="s">
        <v>1013</v>
      </c>
      <c r="AJ47" s="16" t="str">
        <f ca="1">'GPlan-Translations'!C227</f>
        <v>Srila Bhaktisiddhanta - App.</v>
      </c>
      <c r="AL47" s="149"/>
      <c r="AM47" s="173" t="s">
        <v>48</v>
      </c>
      <c r="AN47" s="171"/>
      <c r="AO47" s="585">
        <f t="shared" si="43"/>
        <v>44043</v>
      </c>
      <c r="AP47" s="585"/>
      <c r="AQ47" s="585"/>
      <c r="AR47" s="16" t="s">
        <v>1009</v>
      </c>
      <c r="AS47" s="16" t="str">
        <f ca="1">'GPlan-Translations'!C254</f>
        <v>Rupa Gosvami - Dis.</v>
      </c>
      <c r="AU47" s="149"/>
      <c r="AV47" s="174" t="s">
        <v>48</v>
      </c>
      <c r="AW47" s="171"/>
      <c r="AX47" s="585">
        <f t="shared" si="44"/>
        <v>44143</v>
      </c>
      <c r="AY47" s="585"/>
      <c r="AZ47" s="585"/>
      <c r="BA47" s="16" t="s">
        <v>1002</v>
      </c>
      <c r="BB47" s="16" t="str">
        <f ca="1">'GPlan-Translations'!C247</f>
        <v>Radha Kunda app.</v>
      </c>
      <c r="BD47" s="149"/>
    </row>
    <row r="48" spans="1:61">
      <c r="A48" s="172" t="s">
        <v>13</v>
      </c>
      <c r="B48" s="678">
        <f t="shared" si="36"/>
        <v>43899</v>
      </c>
      <c r="C48" s="678"/>
      <c r="D48" s="171" t="str">
        <f t="shared" ca="1" si="37"/>
        <v>Gaura Purnima</v>
      </c>
      <c r="J48" s="172" t="s">
        <v>13</v>
      </c>
      <c r="K48" s="678">
        <f t="shared" si="38"/>
        <v>44046</v>
      </c>
      <c r="L48" s="678"/>
      <c r="M48" s="171" t="str">
        <f t="shared" ca="1" si="39"/>
        <v>Lord Balarama - App.</v>
      </c>
      <c r="S48" s="172"/>
      <c r="T48" s="678">
        <f>IFERROR(AX48,"")</f>
        <v>44150</v>
      </c>
      <c r="U48" s="678"/>
      <c r="V48" s="171" t="str">
        <f t="shared" ca="1" si="41"/>
        <v>Govardhana Puja</v>
      </c>
      <c r="AC48" s="168"/>
      <c r="AE48" s="171"/>
      <c r="AF48" s="585">
        <f t="shared" si="42"/>
        <v>43899</v>
      </c>
      <c r="AG48" s="585"/>
      <c r="AH48" s="585"/>
      <c r="AI48" s="16" t="s">
        <v>1015</v>
      </c>
      <c r="AJ48" s="16" t="str">
        <f ca="1">'GPlan-Translations'!C229</f>
        <v>Gaura Purnima</v>
      </c>
      <c r="AL48" s="149"/>
      <c r="AM48" s="173" t="s">
        <v>48</v>
      </c>
      <c r="AN48" s="171"/>
      <c r="AO48" s="585">
        <f t="shared" si="43"/>
        <v>44046</v>
      </c>
      <c r="AP48" s="585"/>
      <c r="AQ48" s="585"/>
      <c r="AR48" s="16" t="s">
        <v>1012</v>
      </c>
      <c r="AS48" s="16" t="str">
        <f ca="1">'GPlan-Translations'!C225</f>
        <v>Lord Balarama - App.</v>
      </c>
      <c r="AU48" s="149"/>
      <c r="AV48" s="174" t="s">
        <v>48</v>
      </c>
      <c r="AW48" s="171"/>
      <c r="AX48" s="585">
        <f t="shared" si="44"/>
        <v>44150</v>
      </c>
      <c r="AY48" s="585"/>
      <c r="AZ48" s="585"/>
      <c r="BA48" s="16" t="s">
        <v>1057</v>
      </c>
      <c r="BB48" s="16" t="str">
        <f ca="1">'GPlan-Translations'!C234</f>
        <v>Govardhana Puja</v>
      </c>
      <c r="BD48" s="149"/>
    </row>
    <row r="49" spans="1:56">
      <c r="A49" s="172"/>
      <c r="B49" s="678">
        <f t="shared" si="36"/>
        <v>43906</v>
      </c>
      <c r="C49" s="678"/>
      <c r="D49" s="171" t="str">
        <f t="shared" ca="1" si="37"/>
        <v>Sri Srivasa Pandita - App.</v>
      </c>
      <c r="J49" s="172"/>
      <c r="K49" s="678">
        <f t="shared" si="38"/>
        <v>44047</v>
      </c>
      <c r="L49" s="678"/>
      <c r="M49" s="171" t="str">
        <f t="shared" ca="1" si="39"/>
        <v>Prabhupada - for the USA</v>
      </c>
      <c r="S49" s="172"/>
      <c r="T49" s="678">
        <f>IFERROR(AX49,"")</f>
        <v>44149</v>
      </c>
      <c r="U49" s="678"/>
      <c r="V49" s="171" t="str">
        <f t="shared" ca="1" si="41"/>
        <v>Dipa dana, Dipavali</v>
      </c>
      <c r="AC49" s="168"/>
      <c r="AE49" s="171"/>
      <c r="AF49" s="585">
        <f t="shared" si="42"/>
        <v>43906</v>
      </c>
      <c r="AG49" s="585"/>
      <c r="AH49" s="585"/>
      <c r="AI49" s="16" t="s">
        <v>1031</v>
      </c>
      <c r="AJ49" s="16" t="str">
        <f ca="1">'GPlan-Translations'!C264</f>
        <v>Sri Srivasa Pandita - App.</v>
      </c>
      <c r="AL49" s="149"/>
      <c r="AM49" s="173" t="s">
        <v>48</v>
      </c>
      <c r="AN49" s="171"/>
      <c r="AO49" s="585">
        <f t="shared" si="43"/>
        <v>44047</v>
      </c>
      <c r="AP49" s="585"/>
      <c r="AQ49" s="585"/>
      <c r="AR49" s="16" t="s">
        <v>1024</v>
      </c>
      <c r="AS49" s="16" t="str">
        <f ca="1">'GPlan-Translations'!C246</f>
        <v>Prabhupada - for the USA</v>
      </c>
      <c r="AU49" s="149"/>
      <c r="AV49" s="174" t="s">
        <v>48</v>
      </c>
      <c r="AW49" s="171"/>
      <c r="AX49" s="585">
        <f t="shared" si="44"/>
        <v>44149</v>
      </c>
      <c r="AY49" s="585"/>
      <c r="AZ49" s="585"/>
      <c r="BA49" s="16" t="s">
        <v>1058</v>
      </c>
      <c r="BB49" s="16" t="str">
        <f ca="1">'GPlan-Translations'!C230</f>
        <v>Dipa dana, Dipavali</v>
      </c>
      <c r="BD49" s="149"/>
    </row>
    <row r="50" spans="1:56">
      <c r="A50" s="172" t="s">
        <v>13</v>
      </c>
      <c r="B50" s="678">
        <f t="shared" si="36"/>
        <v>43923</v>
      </c>
      <c r="C50" s="678"/>
      <c r="D50" s="171" t="str">
        <f t="shared" ca="1" si="37"/>
        <v>Rama Navami</v>
      </c>
      <c r="J50" s="172" t="s">
        <v>13</v>
      </c>
      <c r="K50" s="678">
        <f t="shared" si="38"/>
        <v>44054</v>
      </c>
      <c r="L50" s="678"/>
      <c r="M50" s="171" t="str">
        <f t="shared" ca="1" si="39"/>
        <v>Sri Krsna Janmastami</v>
      </c>
      <c r="S50" s="172" t="s">
        <v>13</v>
      </c>
      <c r="T50" s="678">
        <f t="shared" si="40"/>
        <v>44153</v>
      </c>
      <c r="U50" s="678"/>
      <c r="V50" s="171" t="str">
        <f t="shared" ca="1" si="41"/>
        <v>Srila Prabhupada - Dis.</v>
      </c>
      <c r="AB50" s="171"/>
      <c r="AC50" s="168"/>
      <c r="AE50" s="171"/>
      <c r="AF50" s="585">
        <f t="shared" si="42"/>
        <v>43923</v>
      </c>
      <c r="AG50" s="585"/>
      <c r="AH50" s="585"/>
      <c r="AI50" s="16" t="s">
        <v>1028</v>
      </c>
      <c r="AJ50" s="16" t="str">
        <f ca="1">'GPlan-Translations'!C251</f>
        <v>Rama Navami</v>
      </c>
      <c r="AM50" s="173" t="s">
        <v>48</v>
      </c>
      <c r="AN50" s="171"/>
      <c r="AO50" s="585">
        <f t="shared" si="43"/>
        <v>44054</v>
      </c>
      <c r="AP50" s="585"/>
      <c r="AQ50" s="585"/>
      <c r="AR50" s="16" t="s">
        <v>1020</v>
      </c>
      <c r="AS50" s="16" t="str">
        <f ca="1">'GPlan-Translations'!C239</f>
        <v>Sri Krsna Janmastami</v>
      </c>
      <c r="AV50" s="174" t="s">
        <v>48</v>
      </c>
      <c r="AW50" s="171"/>
      <c r="AX50" s="585">
        <f t="shared" si="44"/>
        <v>44153</v>
      </c>
      <c r="AY50" s="585"/>
      <c r="AZ50" s="585"/>
      <c r="BA50" s="16" t="s">
        <v>1007</v>
      </c>
      <c r="BB50" s="16" t="str">
        <f ca="1">'GPlan-Translations'!C243</f>
        <v>Srila Prabhupada - Dis.</v>
      </c>
    </row>
    <row r="51" spans="1:56">
      <c r="A51" s="172"/>
      <c r="B51" s="678">
        <f t="shared" si="36"/>
        <v>43928</v>
      </c>
      <c r="C51" s="678"/>
      <c r="D51" s="171" t="str">
        <f t="shared" ca="1" si="37"/>
        <v>Sri Balarama Rasayatra</v>
      </c>
      <c r="J51" s="172" t="s">
        <v>13</v>
      </c>
      <c r="K51" s="678">
        <f t="shared" si="38"/>
        <v>44055</v>
      </c>
      <c r="L51" s="678"/>
      <c r="M51" s="171" t="str">
        <f t="shared" ca="1" si="39"/>
        <v>Srila Prabhupada - App.</v>
      </c>
      <c r="S51" s="172" t="s">
        <v>13</v>
      </c>
      <c r="T51" s="678">
        <f t="shared" si="40"/>
        <v>44160</v>
      </c>
      <c r="U51" s="678"/>
      <c r="V51" s="171" t="str">
        <f t="shared" ca="1" si="41"/>
        <v>Srila Gaura Kisora - Dis.</v>
      </c>
      <c r="AA51" s="172"/>
      <c r="AB51" s="171"/>
      <c r="AC51" s="168"/>
      <c r="AE51" s="171"/>
      <c r="AF51" s="585">
        <f t="shared" si="42"/>
        <v>43928</v>
      </c>
      <c r="AG51" s="585"/>
      <c r="AH51" s="585"/>
      <c r="AI51" s="16" t="s">
        <v>1064</v>
      </c>
      <c r="AJ51" s="16" t="str">
        <f ca="1">'GPlan-Translations'!C259</f>
        <v>Sri Balarama Rasayatra</v>
      </c>
      <c r="AM51" s="173" t="s">
        <v>48</v>
      </c>
      <c r="AN51" s="171"/>
      <c r="AO51" s="585">
        <f t="shared" si="43"/>
        <v>44055</v>
      </c>
      <c r="AP51" s="585"/>
      <c r="AQ51" s="585"/>
      <c r="AR51" s="16" t="s">
        <v>1023</v>
      </c>
      <c r="AS51" s="16" t="str">
        <f ca="1">'GPlan-Translations'!C242</f>
        <v>Srila Prabhupada - App.</v>
      </c>
      <c r="AV51" s="174" t="s">
        <v>48</v>
      </c>
      <c r="AW51" s="171"/>
      <c r="AX51" s="585">
        <f t="shared" si="44"/>
        <v>44160</v>
      </c>
      <c r="AY51" s="585"/>
      <c r="AZ51" s="585"/>
      <c r="BA51" s="16" t="s">
        <v>1006</v>
      </c>
      <c r="BB51" s="16" t="str">
        <f ca="1">'GPlan-Translations'!C232</f>
        <v>Srila Gaura Kisora - Dis.</v>
      </c>
    </row>
    <row r="52" spans="1:56">
      <c r="A52" s="172"/>
      <c r="B52" s="678">
        <f t="shared" si="36"/>
        <v>43943</v>
      </c>
      <c r="C52" s="678"/>
      <c r="D52" s="171" t="str">
        <f t="shared" ca="1" si="37"/>
        <v>Gadadhara Pandita -App.</v>
      </c>
      <c r="J52" s="172"/>
      <c r="K52" s="678">
        <f t="shared" si="38"/>
        <v>44066</v>
      </c>
      <c r="L52" s="678"/>
      <c r="M52" s="171" t="str">
        <f t="shared" ca="1" si="39"/>
        <v>Sita Thakurani (Sri Advaita) - Ap.</v>
      </c>
      <c r="S52" s="172"/>
      <c r="T52" s="678">
        <f t="shared" si="40"/>
        <v>44164</v>
      </c>
      <c r="U52" s="678"/>
      <c r="V52" s="171" t="str">
        <f t="shared" ca="1" si="41"/>
        <v>Sri Krsna Rasayatra</v>
      </c>
      <c r="AC52" s="168"/>
      <c r="AE52" s="171"/>
      <c r="AF52" s="585">
        <f t="shared" si="42"/>
        <v>43943</v>
      </c>
      <c r="AG52" s="585"/>
      <c r="AH52" s="585"/>
      <c r="AI52" s="16" t="s">
        <v>1016</v>
      </c>
      <c r="AJ52" s="16" t="str">
        <f ca="1">'GPlan-Translations'!C231</f>
        <v>Gadadhara Pandita -App.</v>
      </c>
      <c r="AM52" s="173" t="s">
        <v>48</v>
      </c>
      <c r="AN52" s="171"/>
      <c r="AO52" s="585">
        <f t="shared" si="43"/>
        <v>44066</v>
      </c>
      <c r="AP52" s="585"/>
      <c r="AQ52" s="585"/>
      <c r="AR52" s="16" t="s">
        <v>1030</v>
      </c>
      <c r="AS52" s="16" t="str">
        <f ca="1">'GPlan-Translations'!C257</f>
        <v>Sita Thakurani (Sri Advaita) - Ap.</v>
      </c>
      <c r="AV52" s="174" t="s">
        <v>48</v>
      </c>
      <c r="AW52" s="171"/>
      <c r="AX52" s="585">
        <f t="shared" si="44"/>
        <v>44164</v>
      </c>
      <c r="AY52" s="585"/>
      <c r="AZ52" s="585"/>
      <c r="BA52" s="16" t="s">
        <v>1059</v>
      </c>
      <c r="BB52" s="16" t="str">
        <f ca="1">'GPlan-Translations'!C262</f>
        <v>Sri Krsna Rasayatra</v>
      </c>
    </row>
    <row r="53" spans="1:56">
      <c r="A53" s="172"/>
      <c r="B53" s="678">
        <f t="shared" si="36"/>
        <v>43952</v>
      </c>
      <c r="C53" s="678"/>
      <c r="D53" s="171" t="str">
        <f t="shared" ca="1" si="37"/>
        <v>Sita Devi (Sri Rama) - App.</v>
      </c>
      <c r="J53" s="172"/>
      <c r="K53" s="678">
        <f t="shared" si="38"/>
        <v>44068</v>
      </c>
      <c r="L53" s="678"/>
      <c r="M53" s="171" t="str">
        <f t="shared" ca="1" si="39"/>
        <v>Radhastami</v>
      </c>
      <c r="S53" s="172"/>
      <c r="T53" s="678">
        <f t="shared" si="40"/>
        <v>44164</v>
      </c>
      <c r="U53" s="678"/>
      <c r="V53" s="171" t="str">
        <f t="shared" ca="1" si="41"/>
        <v>Tulasi-Saligrama Vivaha</v>
      </c>
      <c r="AC53" s="168"/>
      <c r="AE53" s="171"/>
      <c r="AF53" s="585">
        <f t="shared" si="42"/>
        <v>43952</v>
      </c>
      <c r="AG53" s="585"/>
      <c r="AH53" s="585"/>
      <c r="AI53" s="16" t="s">
        <v>1029</v>
      </c>
      <c r="AJ53" s="16" t="str">
        <f ca="1">'GPlan-Translations'!C256</f>
        <v>Sita Devi (Sri Rama) - App.</v>
      </c>
      <c r="AM53" s="173" t="s">
        <v>48</v>
      </c>
      <c r="AN53" s="171"/>
      <c r="AO53" s="585">
        <f t="shared" si="43"/>
        <v>44068</v>
      </c>
      <c r="AP53" s="585"/>
      <c r="AQ53" s="585"/>
      <c r="AR53" s="16" t="s">
        <v>1026</v>
      </c>
      <c r="AS53" s="16" t="str">
        <f ca="1">'GPlan-Translations'!C248</f>
        <v>Radhastami</v>
      </c>
      <c r="AV53" s="174" t="s">
        <v>48</v>
      </c>
      <c r="AW53" s="171"/>
      <c r="AX53" s="585">
        <f t="shared" si="44"/>
        <v>44164</v>
      </c>
      <c r="AY53" s="585"/>
      <c r="AZ53" s="585"/>
      <c r="BA53" s="16" t="s">
        <v>1033</v>
      </c>
      <c r="BB53" s="16" t="str">
        <f ca="1">'GPlan-Translations'!C266</f>
        <v>Tulasi-Saligrama Vivaha</v>
      </c>
    </row>
    <row r="54" spans="1:56">
      <c r="A54" s="172" t="s">
        <v>13</v>
      </c>
      <c r="B54" s="678">
        <f t="shared" si="36"/>
        <v>43957</v>
      </c>
      <c r="C54" s="678"/>
      <c r="D54" s="171" t="str">
        <f t="shared" ca="1" si="37"/>
        <v>Nrsimha Caturdasi</v>
      </c>
      <c r="J54" s="172"/>
      <c r="K54" s="678">
        <f t="shared" si="38"/>
        <v>44072</v>
      </c>
      <c r="L54" s="678"/>
      <c r="M54" s="171" t="str">
        <f t="shared" ca="1" si="39"/>
        <v>Sri Vamana Dvadasi</v>
      </c>
      <c r="S54" s="172"/>
      <c r="T54" s="678">
        <f t="shared" si="40"/>
        <v>44190</v>
      </c>
      <c r="U54" s="678"/>
      <c r="V54" s="171" t="str">
        <f t="shared" ca="1" si="41"/>
        <v>Bhagavad-gita - Advent</v>
      </c>
      <c r="AC54" s="168"/>
      <c r="AE54" s="171"/>
      <c r="AF54" s="585">
        <f t="shared" si="42"/>
        <v>43957</v>
      </c>
      <c r="AG54" s="585"/>
      <c r="AH54" s="585"/>
      <c r="AI54" s="16" t="s">
        <v>1022</v>
      </c>
      <c r="AJ54" s="16" t="str">
        <f ca="1">'GPlan-Translations'!C241</f>
        <v>Nrsimha Caturdasi</v>
      </c>
      <c r="AM54" s="173" t="s">
        <v>48</v>
      </c>
      <c r="AN54" s="171"/>
      <c r="AO54" s="585">
        <f t="shared" si="43"/>
        <v>44072</v>
      </c>
      <c r="AP54" s="585"/>
      <c r="AQ54" s="585"/>
      <c r="AR54" s="16" t="s">
        <v>1062</v>
      </c>
      <c r="AS54" s="16" t="str">
        <f ca="1">'GPlan-Translations'!C267</f>
        <v>Sri Vamana Dvadasi</v>
      </c>
      <c r="AV54" s="174" t="s">
        <v>48</v>
      </c>
      <c r="AW54" s="171"/>
      <c r="AX54" s="585">
        <f t="shared" si="44"/>
        <v>44190</v>
      </c>
      <c r="AY54" s="585"/>
      <c r="AZ54" s="585"/>
      <c r="BA54" s="16" t="s">
        <v>1003</v>
      </c>
      <c r="BB54" s="16" t="str">
        <f ca="1">'GPlan-Translations'!C226</f>
        <v>Bhagavad-gita - Advent</v>
      </c>
    </row>
    <row r="55" spans="1:56"/>
    <row r="56" spans="1:56" hidden="1"/>
    <row r="57" spans="1:56" hidden="1"/>
  </sheetData>
  <mergeCells count="62">
    <mergeCell ref="B54:C54"/>
    <mergeCell ref="K54:L54"/>
    <mergeCell ref="T54:U54"/>
    <mergeCell ref="B52:C52"/>
    <mergeCell ref="K52:L52"/>
    <mergeCell ref="T52:U52"/>
    <mergeCell ref="B53:C53"/>
    <mergeCell ref="K53:L53"/>
    <mergeCell ref="T53:U53"/>
    <mergeCell ref="B50:C50"/>
    <mergeCell ref="K50:L50"/>
    <mergeCell ref="T50:U50"/>
    <mergeCell ref="B51:C51"/>
    <mergeCell ref="K51:L51"/>
    <mergeCell ref="T51:U51"/>
    <mergeCell ref="B48:C48"/>
    <mergeCell ref="K48:L48"/>
    <mergeCell ref="T49:U49"/>
    <mergeCell ref="B49:C49"/>
    <mergeCell ref="K49:L49"/>
    <mergeCell ref="T48:U48"/>
    <mergeCell ref="B46:C46"/>
    <mergeCell ref="K46:L46"/>
    <mergeCell ref="T46:U46"/>
    <mergeCell ref="B47:C47"/>
    <mergeCell ref="K47:L47"/>
    <mergeCell ref="T47:U47"/>
    <mergeCell ref="B44:C44"/>
    <mergeCell ref="K44:L44"/>
    <mergeCell ref="T44:U44"/>
    <mergeCell ref="B45:C45"/>
    <mergeCell ref="K45:L45"/>
    <mergeCell ref="T45:U45"/>
    <mergeCell ref="B43:C43"/>
    <mergeCell ref="K43:L43"/>
    <mergeCell ref="T43:U43"/>
    <mergeCell ref="B41:C41"/>
    <mergeCell ref="K41:L41"/>
    <mergeCell ref="T41:U41"/>
    <mergeCell ref="B42:C42"/>
    <mergeCell ref="K42:L42"/>
    <mergeCell ref="T42:U42"/>
    <mergeCell ref="X37:AA37"/>
    <mergeCell ref="X19:AA19"/>
    <mergeCell ref="U21:AA21"/>
    <mergeCell ref="X28:AA28"/>
    <mergeCell ref="B40:C40"/>
    <mergeCell ref="K40:L40"/>
    <mergeCell ref="T40:U40"/>
    <mergeCell ref="U1:AA1"/>
    <mergeCell ref="X10:AA10"/>
    <mergeCell ref="C30:I30"/>
    <mergeCell ref="L30:R30"/>
    <mergeCell ref="U30:AA30"/>
    <mergeCell ref="C21:I21"/>
    <mergeCell ref="L21:R21"/>
    <mergeCell ref="C12:I12"/>
    <mergeCell ref="L12:R12"/>
    <mergeCell ref="U12:AA12"/>
    <mergeCell ref="C3:I3"/>
    <mergeCell ref="L3:R3"/>
    <mergeCell ref="U3:AA3"/>
  </mergeCells>
  <conditionalFormatting sqref="C5:G10 I5:I10 H5:H9 L5:P10 R5:R10 Q5:Q9 U5:AA9 U10:X10 C14:I19 L14:R19 U14:AA18 C23:I28 L23:R28 U23:AA27 C32:I37 L32:R37 U32:AA36 U19:X19 U28:X28 U37:X37">
    <cfRule type="expression" dxfId="114" priority="2" stopIfTrue="1">
      <formula>AE5="H"</formula>
    </cfRule>
    <cfRule type="expression" dxfId="113" priority="21" stopIfTrue="1">
      <formula>AE5="E"</formula>
    </cfRule>
    <cfRule type="expression" dxfId="112" priority="22" stopIfTrue="1">
      <formula>AE5="C"</formula>
    </cfRule>
  </conditionalFormatting>
  <conditionalFormatting sqref="C5:I9 C10:D10 L5:R9 L10:M10 U5:AA9 U10:V10 C14:I18 C19:D19 L14:R18 L19:M19 U14:AA18 U19:V19 C23:I27 C28:D28 L23:R27 L28:M28 U23:AA27 U28:V28 C32:I36 C37:D37 L32:R36 L37:M37 U32:AA36 U37:V37">
    <cfRule type="expression" dxfId="111" priority="1" stopIfTrue="1">
      <formula>AE5="S"</formula>
    </cfRule>
  </conditionalFormatting>
  <conditionalFormatting sqref="C5:I9 C10:D10 L5:R9 L10:M10 U5:AA9 U10:V10 C14:I18 C19:D19 L14:R18 L19:M19 U14:AA18 U19:V19 C23:I27 C28:D28 L23:R27 L28:M28 U23:AA27 U28:V28 C32:I36 C37:D37 L32:R36 L37:M37 U32:AA36 U37:V37">
    <cfRule type="expression" dxfId="110" priority="4" stopIfTrue="1">
      <formula>AE5="K"</formula>
    </cfRule>
  </conditionalFormatting>
  <conditionalFormatting sqref="C5:I9 C10:D10 L5:R9 L10:M10 U5:AA9 U10:V10 C14:I18 C19:D19 L14:R18 L19:M19 U14:AA18 U19:V19 C23:I27 C28:D28 L23:R27 L28:M28 U23:AA27 U28:V28 C32:I36 C37:D37 L32:R36 L37:M37 U32:AA36 U37:V37">
    <cfRule type="expression" dxfId="109" priority="20" stopIfTrue="1">
      <formula>AE5="F"</formula>
    </cfRule>
  </conditionalFormatting>
  <conditionalFormatting sqref="C5:I9 C10:D10 L5:R9 L10:M10 U5:AA9 U10:V10 C14:I18 C19:D19 L14:R18 L19:M19 U14:AA18 U19:V19 C23:I27 C28:D28 L23:R27 L28:M28 U23:AA27 U28:V28 C32:I36 C37:D37 L32:R36 L37:M37 U32:AA36 U37:V37">
    <cfRule type="expression" dxfId="108" priority="3" stopIfTrue="1">
      <formula>AE5="P"</formula>
    </cfRule>
  </conditionalFormatting>
  <printOptions horizontalCentered="1"/>
  <pageMargins left="0.19685039370078741" right="0.19685039370078741" top="0.19685039370078741" bottom="0.19685039370078741" header="0.11811023622047245" footer="0.11811023622047245"/>
  <pageSetup paperSize="9" scale="9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3" r:id="rId4" name="YearSelect2">
              <controlPr locked="0" defaultSize="0" print="0" autoPict="0">
                <anchor moveWithCells="1">
                  <from>
                    <xdr:col>18</xdr:col>
                    <xdr:colOff>85725</xdr:colOff>
                    <xdr:row>0</xdr:row>
                    <xdr:rowOff>85725</xdr:rowOff>
                  </from>
                  <to>
                    <xdr:col>19</xdr:col>
                    <xdr:colOff>152400</xdr:colOff>
                    <xdr:row>0</xdr:row>
                    <xdr:rowOff>504825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wksWeekLeft">
    <pageSetUpPr fitToPage="1"/>
  </sheetPr>
  <dimension ref="A1:BD81"/>
  <sheetViews>
    <sheetView showGridLines="0" zoomScaleNormal="100" zoomScaleSheetLayoutView="100" workbookViewId="0">
      <selection sqref="A1:F2"/>
    </sheetView>
  </sheetViews>
  <sheetFormatPr defaultColWidth="9.140625" defaultRowHeight="18"/>
  <cols>
    <col min="1" max="3" width="3.42578125" style="545" customWidth="1"/>
    <col min="4" max="4" width="4.5703125" style="545" customWidth="1"/>
    <col min="5" max="5" width="6.42578125" style="545" customWidth="1"/>
    <col min="6" max="6" width="4.5703125" style="545" customWidth="1"/>
    <col min="7" max="7" width="6.42578125" style="545" customWidth="1"/>
    <col min="8" max="8" width="4.5703125" style="545" customWidth="1"/>
    <col min="9" max="9" width="6.28515625" style="545" customWidth="1"/>
    <col min="10" max="10" width="3.42578125" style="545" customWidth="1"/>
    <col min="11" max="11" width="1.7109375" style="545" customWidth="1"/>
    <col min="12" max="12" width="10" style="545" customWidth="1"/>
    <col min="13" max="15" width="4.28515625" style="545" customWidth="1"/>
    <col min="16" max="16" width="1.7109375" style="545" customWidth="1"/>
    <col min="17" max="17" width="10" style="545" customWidth="1"/>
    <col min="18" max="20" width="4.28515625" style="545" customWidth="1"/>
    <col min="21" max="21" width="1" style="545" customWidth="1"/>
    <col min="22" max="22" width="4.140625" style="545" customWidth="1"/>
    <col min="23" max="23" width="0.42578125" style="545" customWidth="1"/>
    <col min="24" max="24" width="1.5703125" style="545" customWidth="1"/>
    <col min="25" max="25" width="6.42578125" style="545" customWidth="1"/>
    <col min="26" max="26" width="5" style="545" customWidth="1"/>
    <col min="27" max="28" width="4.85546875" style="545" bestFit="1" customWidth="1"/>
    <col min="29" max="30" width="9.5703125" style="548" bestFit="1" customWidth="1"/>
    <col min="31" max="32" width="3.5703125" style="548" customWidth="1"/>
    <col min="33" max="34" width="9.5703125" style="545" bestFit="1" customWidth="1"/>
    <col min="35" max="35" width="4.85546875" style="545" bestFit="1" customWidth="1"/>
    <col min="36" max="36" width="2.28515625" style="545" bestFit="1" customWidth="1"/>
    <col min="37" max="37" width="4.5703125" style="545" bestFit="1" customWidth="1"/>
    <col min="38" max="38" width="4.28515625" style="545" customWidth="1"/>
    <col min="39" max="39" width="4.5703125" style="545" customWidth="1"/>
    <col min="40" max="42" width="2.85546875" style="545" customWidth="1"/>
    <col min="43" max="43" width="4.28515625" style="545" customWidth="1"/>
    <col min="44" max="45" width="13.5703125" style="545" customWidth="1"/>
    <col min="46" max="47" width="11.85546875" style="545" customWidth="1"/>
    <col min="48" max="48" width="12.140625" style="545" customWidth="1"/>
    <col min="49" max="16384" width="9.140625" style="545"/>
  </cols>
  <sheetData>
    <row r="1" spans="1:48" ht="18" customHeight="1">
      <c r="A1" s="679" t="str">
        <f>IFERROR(AS6,"")</f>
        <v>2019/20</v>
      </c>
      <c r="B1" s="679"/>
      <c r="C1" s="679"/>
      <c r="D1" s="679"/>
      <c r="E1" s="679"/>
      <c r="F1" s="679"/>
      <c r="G1" s="680" t="str">
        <f ca="1">AS11</f>
        <v>Week 53 /1</v>
      </c>
      <c r="H1" s="680"/>
      <c r="I1" s="680"/>
      <c r="J1" s="680"/>
      <c r="K1" s="285"/>
      <c r="L1" s="551" t="str">
        <f ca="1">'GPlan-Translations'!C170</f>
        <v>Monday</v>
      </c>
      <c r="M1" s="681">
        <f>AC65</f>
        <v>43829</v>
      </c>
      <c r="N1" s="681"/>
      <c r="O1" s="285" t="str">
        <f>AC69</f>
        <v>New M.</v>
      </c>
      <c r="P1" s="285"/>
      <c r="Q1" s="551" t="str">
        <f ca="1">'GPlan-Translations'!C171</f>
        <v>Tuesday</v>
      </c>
      <c r="R1" s="681">
        <f>AD65</f>
        <v>43830</v>
      </c>
      <c r="S1" s="681"/>
      <c r="T1" s="285" t="str">
        <f>AD69</f>
        <v>New M.</v>
      </c>
      <c r="U1" s="285"/>
      <c r="V1" s="548"/>
      <c r="W1" s="548"/>
      <c r="X1" s="131"/>
      <c r="AL1" s="556" t="str">
        <f>AC72</f>
        <v> </v>
      </c>
      <c r="AQ1" s="556" t="str">
        <f>AD72</f>
        <v> </v>
      </c>
      <c r="AR1" s="333" t="s">
        <v>6561</v>
      </c>
    </row>
    <row r="2" spans="1:48" ht="18" customHeight="1">
      <c r="A2" s="679"/>
      <c r="B2" s="679"/>
      <c r="C2" s="679"/>
      <c r="D2" s="679"/>
      <c r="E2" s="679"/>
      <c r="F2" s="679"/>
      <c r="G2" s="682" t="str">
        <f>AS9</f>
        <v>533 Gaurabda</v>
      </c>
      <c r="H2" s="682"/>
      <c r="I2" s="682"/>
      <c r="J2" s="682"/>
      <c r="K2" s="548"/>
      <c r="L2" s="552" t="str">
        <f>AC67</f>
        <v>Gaura Paksa</v>
      </c>
      <c r="M2" s="681"/>
      <c r="N2" s="681"/>
      <c r="O2" s="357" t="str">
        <f>AC70</f>
        <v>˜</v>
      </c>
      <c r="P2" s="548"/>
      <c r="Q2" s="552" t="str">
        <f>AD67</f>
        <v>Gaura Paksa</v>
      </c>
      <c r="R2" s="681"/>
      <c r="S2" s="681"/>
      <c r="T2" s="357" t="str">
        <f>AD70</f>
        <v>˜</v>
      </c>
      <c r="U2" s="548"/>
      <c r="V2" s="548"/>
      <c r="W2" s="548"/>
      <c r="X2" s="131"/>
      <c r="AL2" s="332" t="str">
        <f ca="1">L1</f>
        <v>Monday</v>
      </c>
      <c r="AQ2" s="332" t="str">
        <f ca="1">Q1</f>
        <v>Tuesday</v>
      </c>
    </row>
    <row r="3" spans="1:48" ht="18" customHeight="1">
      <c r="A3" s="696" t="str">
        <f>IFERROR(AS8,"")</f>
        <v>December / January</v>
      </c>
      <c r="B3" s="696"/>
      <c r="C3" s="696"/>
      <c r="D3" s="696"/>
      <c r="E3" s="696"/>
      <c r="F3" s="696"/>
      <c r="G3" s="697" t="str">
        <f>AS10</f>
        <v>Narayana Masa</v>
      </c>
      <c r="H3" s="697"/>
      <c r="I3" s="697"/>
      <c r="J3" s="698" t="str">
        <f ca="1">'GPlan-Translations'!C281</f>
        <v>Important</v>
      </c>
      <c r="K3" s="548"/>
      <c r="L3" s="699" t="str">
        <f>AC68</f>
        <v>Pancami Tithi</v>
      </c>
      <c r="M3" s="699"/>
      <c r="N3" s="699"/>
      <c r="O3" s="284" t="str">
        <f>AC71</f>
        <v> </v>
      </c>
      <c r="P3" s="548"/>
      <c r="Q3" s="699" t="str">
        <f>AD68</f>
        <v>Sasti Tithi</v>
      </c>
      <c r="R3" s="699"/>
      <c r="S3" s="699"/>
      <c r="T3" s="284" t="str">
        <f>AD71</f>
        <v> </v>
      </c>
      <c r="U3" s="548"/>
      <c r="V3" s="548"/>
      <c r="W3" s="548"/>
      <c r="X3" s="131"/>
    </row>
    <row r="4" spans="1:48" ht="19.5" customHeight="1">
      <c r="A4" s="696"/>
      <c r="B4" s="696"/>
      <c r="C4" s="696"/>
      <c r="D4" s="696"/>
      <c r="E4" s="696"/>
      <c r="F4" s="696"/>
      <c r="G4" s="697"/>
      <c r="H4" s="697"/>
      <c r="I4" s="697"/>
      <c r="J4" s="698"/>
      <c r="K4" s="281"/>
      <c r="L4" s="683" t="str">
        <f ca="1">AC77</f>
        <v xml:space="preserve"> </v>
      </c>
      <c r="M4" s="683"/>
      <c r="N4" s="683"/>
      <c r="O4" s="683"/>
      <c r="P4" s="281"/>
      <c r="Q4" s="683" t="str">
        <f ca="1">AD77</f>
        <v xml:space="preserve"> </v>
      </c>
      <c r="R4" s="683"/>
      <c r="S4" s="683"/>
      <c r="T4" s="683"/>
      <c r="U4" s="281"/>
      <c r="V4" s="548"/>
      <c r="W4" s="548"/>
      <c r="X4" s="131"/>
      <c r="Y4" s="167" t="s">
        <v>880</v>
      </c>
      <c r="AT4" s="167" t="s">
        <v>88</v>
      </c>
      <c r="AU4" s="167" t="s">
        <v>106</v>
      </c>
    </row>
    <row r="5" spans="1:48" ht="19.5" customHeight="1" thickBot="1">
      <c r="A5" s="363"/>
      <c r="B5" s="364" t="str">
        <f xml:space="preserve"> TEXT(AC60,"hh:mm")</f>
        <v>05:43</v>
      </c>
      <c r="C5" s="362"/>
      <c r="D5" s="364"/>
      <c r="E5" s="364" t="str">
        <f>TEXT(AC61,"hh:mm")</f>
        <v>07:19</v>
      </c>
      <c r="F5" s="364"/>
      <c r="G5" s="364" t="str">
        <f>TEXT(AC62,"hh:mm")</f>
        <v>11:58</v>
      </c>
      <c r="H5" s="364"/>
      <c r="I5" s="363" t="str">
        <f>TEXT(AC63,"hh:mm")</f>
        <v>16:37</v>
      </c>
      <c r="J5" s="698"/>
      <c r="K5" s="281"/>
      <c r="L5" s="684"/>
      <c r="M5" s="684"/>
      <c r="N5" s="684"/>
      <c r="O5" s="684"/>
      <c r="P5" s="281"/>
      <c r="Q5" s="685"/>
      <c r="R5" s="685"/>
      <c r="S5" s="685"/>
      <c r="T5" s="685"/>
      <c r="U5" s="281"/>
      <c r="V5" s="548"/>
      <c r="W5" s="548"/>
      <c r="X5" s="131"/>
      <c r="Y5" s="532">
        <f>Options!W4</f>
        <v>1</v>
      </c>
      <c r="AA5" s="548"/>
      <c r="AM5" s="11" t="s">
        <v>883</v>
      </c>
      <c r="AN5" s="545" t="s">
        <v>518</v>
      </c>
      <c r="AS5" s="16"/>
      <c r="AT5" s="534">
        <f>Options!X4</f>
        <v>43829</v>
      </c>
      <c r="AU5" s="534">
        <f>AT5 + 6</f>
        <v>43835</v>
      </c>
      <c r="AV5" s="167" t="s">
        <v>522</v>
      </c>
    </row>
    <row r="6" spans="1:48" ht="19.5" customHeight="1" thickBot="1">
      <c r="A6" s="687" t="str">
        <f ca="1">'GPlan-Translations'!C276</f>
        <v>Self Improvement</v>
      </c>
      <c r="B6" s="688"/>
      <c r="C6" s="688"/>
      <c r="D6" s="688"/>
      <c r="E6" s="688"/>
      <c r="F6" s="688"/>
      <c r="G6" s="688"/>
      <c r="H6" s="688"/>
      <c r="I6" s="689"/>
      <c r="J6" s="698"/>
      <c r="K6" s="281"/>
      <c r="L6" s="684"/>
      <c r="M6" s="684"/>
      <c r="N6" s="684"/>
      <c r="O6" s="684"/>
      <c r="P6" s="281"/>
      <c r="Q6" s="685"/>
      <c r="R6" s="685"/>
      <c r="S6" s="685"/>
      <c r="T6" s="685"/>
      <c r="U6" s="281"/>
      <c r="V6" s="548"/>
      <c r="W6" s="548"/>
      <c r="X6" s="131"/>
      <c r="AM6" s="536">
        <v>1</v>
      </c>
      <c r="AN6" s="537" t="str">
        <f ca="1">'GPlan-Translations'!C205</f>
        <v>January</v>
      </c>
      <c r="AS6" s="557" t="str">
        <f>IF(AT6=AU6,AT6,AT6 &amp; "/" &amp; RIGHT(AU6,2))</f>
        <v>2019/20</v>
      </c>
      <c r="AT6" s="532">
        <f>YEAR(AT5)</f>
        <v>2019</v>
      </c>
      <c r="AU6" s="532">
        <f>YEAR(AU5)</f>
        <v>2020</v>
      </c>
      <c r="AV6" s="167" t="s">
        <v>72</v>
      </c>
    </row>
    <row r="7" spans="1:48" ht="19.5" customHeight="1">
      <c r="A7" s="690" t="str">
        <f ca="1">'GPlan-Translations'!C277</f>
        <v>Espiritual</v>
      </c>
      <c r="B7" s="691"/>
      <c r="C7" s="691"/>
      <c r="D7" s="283"/>
      <c r="E7" s="283"/>
      <c r="F7" s="283"/>
      <c r="G7" s="283"/>
      <c r="H7" s="283"/>
      <c r="I7" s="266"/>
      <c r="J7" s="698"/>
      <c r="L7" s="684"/>
      <c r="M7" s="684"/>
      <c r="N7" s="684"/>
      <c r="O7" s="684"/>
      <c r="Q7" s="685"/>
      <c r="R7" s="685"/>
      <c r="S7" s="685"/>
      <c r="T7" s="685"/>
      <c r="U7" s="281"/>
      <c r="V7" s="548"/>
      <c r="W7" s="548"/>
      <c r="X7" s="131"/>
      <c r="AB7" s="646" t="str">
        <f>MonthPrint</f>
        <v>S</v>
      </c>
      <c r="AM7" s="280">
        <v>2</v>
      </c>
      <c r="AN7" s="279" t="str">
        <f ca="1">'GPlan-Translations'!C206</f>
        <v>February</v>
      </c>
      <c r="AS7" s="167"/>
      <c r="AT7" s="532">
        <f>MONTH(AT5)</f>
        <v>12</v>
      </c>
      <c r="AU7" s="532">
        <f>MONTH(AU5)</f>
        <v>1</v>
      </c>
      <c r="AV7" s="167" t="s">
        <v>518</v>
      </c>
    </row>
    <row r="8" spans="1:48" ht="19.5" customHeight="1">
      <c r="A8" s="692" t="str">
        <f ca="1">'GPlan-Translations'!C278</f>
        <v>Emotional</v>
      </c>
      <c r="B8" s="693"/>
      <c r="C8" s="693"/>
      <c r="D8" s="558"/>
      <c r="E8" s="558"/>
      <c r="F8" s="558"/>
      <c r="G8" s="558"/>
      <c r="H8" s="558"/>
      <c r="I8" s="559"/>
      <c r="J8" s="698"/>
      <c r="L8" s="684"/>
      <c r="M8" s="684"/>
      <c r="N8" s="684"/>
      <c r="O8" s="684"/>
      <c r="Q8" s="685"/>
      <c r="R8" s="685"/>
      <c r="S8" s="685"/>
      <c r="T8" s="685"/>
      <c r="U8" s="281"/>
      <c r="V8" s="548"/>
      <c r="W8" s="548"/>
      <c r="X8" s="131"/>
      <c r="AM8" s="280">
        <v>3</v>
      </c>
      <c r="AN8" s="279" t="str">
        <f ca="1">'GPlan-Translations'!C207</f>
        <v>March</v>
      </c>
      <c r="AS8" s="532" t="str">
        <f>IF(AT8=AU8,AT8,AT8 &amp; " / " &amp; AU8)</f>
        <v>December / January</v>
      </c>
      <c r="AT8" s="532" t="str">
        <f>INDEX(GCalXML[month],AT12)</f>
        <v>December</v>
      </c>
      <c r="AU8" s="532" t="str">
        <f>INDEX(GCalXML[month],AU12)</f>
        <v>January</v>
      </c>
      <c r="AV8" s="167" t="s">
        <v>876</v>
      </c>
    </row>
    <row r="9" spans="1:48" ht="19.5" customHeight="1">
      <c r="A9" s="692" t="str">
        <f ca="1">'GPlan-Translations'!C279</f>
        <v>Intelectual</v>
      </c>
      <c r="B9" s="693"/>
      <c r="C9" s="693"/>
      <c r="D9" s="558"/>
      <c r="E9" s="558"/>
      <c r="F9" s="558"/>
      <c r="G9" s="558"/>
      <c r="H9" s="558"/>
      <c r="I9" s="559"/>
      <c r="J9" s="698"/>
      <c r="L9" s="684"/>
      <c r="M9" s="684"/>
      <c r="N9" s="684"/>
      <c r="O9" s="684"/>
      <c r="Q9" s="685"/>
      <c r="R9" s="685"/>
      <c r="S9" s="685"/>
      <c r="T9" s="685"/>
      <c r="U9" s="281"/>
      <c r="V9" s="548"/>
      <c r="W9" s="548"/>
      <c r="X9" s="131"/>
      <c r="AC9" s="85" t="s">
        <v>1151</v>
      </c>
      <c r="AD9" s="85" t="s">
        <v>1152</v>
      </c>
      <c r="AE9" s="545"/>
      <c r="AG9" s="545" t="s">
        <v>1153</v>
      </c>
      <c r="AH9" s="545" t="s">
        <v>1154</v>
      </c>
      <c r="AM9" s="280">
        <v>4</v>
      </c>
      <c r="AN9" s="279" t="str">
        <f ca="1">'GPlan-Translations'!C208</f>
        <v>April</v>
      </c>
      <c r="AS9" s="560" t="str">
        <f>IF(AT9&lt;&gt;AU9,AT9 &amp; " / " &amp; AU9,AT9) &amp; " Gaurabda"</f>
        <v>533 Gaurabda</v>
      </c>
      <c r="AT9" s="532">
        <f>INDEX(GCalXML[gyear],AT12)</f>
        <v>533</v>
      </c>
      <c r="AU9" s="532">
        <f>INDEX(GCalXML[gyear],AU12)</f>
        <v>533</v>
      </c>
      <c r="AV9" s="167" t="s">
        <v>875</v>
      </c>
    </row>
    <row r="10" spans="1:48" ht="19.5" customHeight="1" thickBot="1">
      <c r="A10" s="694" t="str">
        <f ca="1">'GPlan-Translations'!C280</f>
        <v>Fisical</v>
      </c>
      <c r="B10" s="695"/>
      <c r="C10" s="695"/>
      <c r="D10" s="365"/>
      <c r="E10" s="365"/>
      <c r="F10" s="365"/>
      <c r="G10" s="365"/>
      <c r="H10" s="365"/>
      <c r="I10" s="561"/>
      <c r="J10" s="698"/>
      <c r="K10" s="633" t="str">
        <f>IF(AND(AC10&lt;&gt;"",AG10&lt;&gt;""),AC10 &amp;AG10,IF(AC10&lt;&gt;"",AC10,IF(AG10&lt;&gt;"",AG10,"")))</f>
        <v/>
      </c>
      <c r="L10" s="684"/>
      <c r="M10" s="684"/>
      <c r="N10" s="684"/>
      <c r="O10" s="684"/>
      <c r="P10" s="633" t="str">
        <f>IF(AND(AD10&lt;&gt;"",AH10&lt;&gt;""),AD10 &amp; AH10,IF(AD10&lt;&gt;"",AD10,IF(AH10&lt;&gt;"",AH10,"")))</f>
        <v/>
      </c>
      <c r="Q10" s="686"/>
      <c r="R10" s="686"/>
      <c r="S10" s="686"/>
      <c r="T10" s="686"/>
      <c r="U10" s="281"/>
      <c r="V10" s="548"/>
      <c r="W10" s="548"/>
      <c r="X10" s="131"/>
      <c r="AB10" s="385">
        <f>AB11 - 0.5</f>
        <v>3.5</v>
      </c>
      <c r="AC10" s="626" t="str">
        <f t="shared" ref="AC10:AD30" si="0">IF(AC$55=$AB10,$AB$55,IF(AC$56=$AB10,$AB$56,IF(AC$57=$AB10,$AB$57,IF(AC$58=$AB10,$AB$58,""))))</f>
        <v/>
      </c>
      <c r="AD10" s="626" t="str">
        <f t="shared" si="0"/>
        <v/>
      </c>
      <c r="AE10" s="617"/>
      <c r="AF10" s="617"/>
      <c r="AG10" s="629" t="str">
        <f t="shared" ref="AG10:AH30" si="1">IF(AG$56=$AB10,$AI$56,IF(AG$57=$AB10,$AI$57,IF(AG$58=$AB10,$AI$58,"")))</f>
        <v/>
      </c>
      <c r="AH10" s="626" t="str">
        <f t="shared" si="1"/>
        <v/>
      </c>
      <c r="AM10" s="280">
        <v>5</v>
      </c>
      <c r="AN10" s="279" t="str">
        <f ca="1">'GPlan-Translations'!C209</f>
        <v>May</v>
      </c>
      <c r="AS10" s="560" t="str">
        <f>IF(AT10&lt;&gt;AU10,AT10 &amp; " / " &amp; AU10,AT10) &amp; " Masa"</f>
        <v>Narayana Masa</v>
      </c>
      <c r="AT10" s="532" t="str">
        <f>INDEX(GCalXML[masa],AT12)</f>
        <v>Narayana</v>
      </c>
      <c r="AU10" s="532" t="str">
        <f>INDEX(GCalXML[masa],AU12)</f>
        <v>Narayana</v>
      </c>
      <c r="AV10" s="167" t="s">
        <v>837</v>
      </c>
    </row>
    <row r="11" spans="1:48" ht="18" customHeight="1" thickBot="1">
      <c r="A11" s="687" t="str">
        <f ca="1">'GPlan-Translations'!C282</f>
        <v>Areas</v>
      </c>
      <c r="B11" s="688"/>
      <c r="C11" s="688"/>
      <c r="D11" s="687" t="str">
        <f ca="1">'GPlan-Translations'!C283</f>
        <v>Goals</v>
      </c>
      <c r="E11" s="688"/>
      <c r="F11" s="688"/>
      <c r="G11" s="688"/>
      <c r="H11" s="688"/>
      <c r="I11" s="689"/>
      <c r="J11" s="599">
        <f>AB11</f>
        <v>4</v>
      </c>
      <c r="K11" s="633" t="str">
        <f>IF(AND(AC11&lt;&gt;"",AG11&lt;&gt;""),AC11 &amp;AG11,IF(AC11&lt;&gt;"",AC11,IF(AG11&lt;&gt;"",AG11,"")))</f>
        <v/>
      </c>
      <c r="L11" s="383"/>
      <c r="M11" s="383"/>
      <c r="N11" s="383"/>
      <c r="O11" s="383"/>
      <c r="P11" s="633" t="str">
        <f>IF(AND(AD11&lt;&gt;"",AH11&lt;&gt;""),AD11 &amp; AH11,IF(AD11&lt;&gt;"",AD11,IF(AH11&lt;&gt;"",AH11,"")))</f>
        <v/>
      </c>
      <c r="Q11" s="374"/>
      <c r="R11" s="374"/>
      <c r="S11" s="374"/>
      <c r="T11" s="374"/>
      <c r="U11" s="545" t="s">
        <v>48</v>
      </c>
      <c r="V11" s="548"/>
      <c r="W11" s="548"/>
      <c r="X11" s="131"/>
      <c r="AB11" s="385">
        <f>Options!S9 + 0</f>
        <v>4</v>
      </c>
      <c r="AC11" s="626" t="str">
        <f t="shared" si="0"/>
        <v/>
      </c>
      <c r="AD11" s="626" t="str">
        <f t="shared" si="0"/>
        <v/>
      </c>
      <c r="AG11" s="629" t="str">
        <f t="shared" si="1"/>
        <v/>
      </c>
      <c r="AH11" s="626" t="str">
        <f t="shared" si="1"/>
        <v/>
      </c>
      <c r="AK11" s="374"/>
      <c r="AM11" s="280">
        <v>6</v>
      </c>
      <c r="AN11" s="279" t="str">
        <f ca="1">'GPlan-Translations'!C210</f>
        <v>June</v>
      </c>
      <c r="AQ11" s="548"/>
      <c r="AS11" s="562" t="str">
        <f ca="1">'GPlan-Translations'!C275 &amp; " " &amp; AT11</f>
        <v>Week 53 /1</v>
      </c>
      <c r="AT11" s="562" t="str">
        <f>IF(AT6&lt;AU6,"53 /1",IF(AU11=54,2,IF(AU11=55,3,AU11)))</f>
        <v>53 /1</v>
      </c>
      <c r="AU11" s="563">
        <f>Options!W4</f>
        <v>1</v>
      </c>
      <c r="AV11" s="167" t="s">
        <v>652</v>
      </c>
    </row>
    <row r="12" spans="1:48" ht="18" customHeight="1">
      <c r="A12" s="265"/>
      <c r="B12" s="548"/>
      <c r="C12" s="264"/>
      <c r="D12" s="267"/>
      <c r="E12" s="549"/>
      <c r="F12" s="549"/>
      <c r="G12" s="549"/>
      <c r="H12" s="549"/>
      <c r="I12" s="266"/>
      <c r="J12" s="167" t="s">
        <v>48</v>
      </c>
      <c r="K12" s="633" t="str">
        <f>IF(AND(AC12&lt;&gt;"",AG12&lt;&gt;""),AC12 &amp;AG12,IF(AC12&lt;&gt;"",AC12,IF(AG12&lt;&gt;"",AG12,"")))</f>
        <v/>
      </c>
      <c r="L12" s="384"/>
      <c r="M12" s="384"/>
      <c r="N12" s="384"/>
      <c r="O12" s="384"/>
      <c r="P12" s="633" t="str">
        <f>IF(AND(AD12&lt;&gt;"",AH12&lt;&gt;""),AD12 &amp; AH12,IF(AD12&lt;&gt;"",AD12,IF(AH12&lt;&gt;"",AH12,"")))</f>
        <v/>
      </c>
      <c r="Q12" s="538"/>
      <c r="R12" s="538"/>
      <c r="S12" s="538"/>
      <c r="T12" s="538"/>
      <c r="U12" s="545" t="s">
        <v>48</v>
      </c>
      <c r="V12" s="548"/>
      <c r="W12" s="548"/>
      <c r="X12" s="131"/>
      <c r="AB12" s="385">
        <f>AB11+0.5</f>
        <v>4.5</v>
      </c>
      <c r="AC12" s="627" t="str">
        <f t="shared" si="0"/>
        <v/>
      </c>
      <c r="AD12" s="627" t="str">
        <f t="shared" si="0"/>
        <v/>
      </c>
      <c r="AG12" s="630" t="str">
        <f t="shared" si="1"/>
        <v/>
      </c>
      <c r="AH12" s="630" t="str">
        <f t="shared" si="1"/>
        <v/>
      </c>
      <c r="AK12" s="538"/>
      <c r="AM12" s="280">
        <v>7</v>
      </c>
      <c r="AN12" s="279" t="str">
        <f ca="1">'GPlan-Translations'!C211</f>
        <v>July</v>
      </c>
      <c r="AT12" s="577">
        <f>MATCH(AT5,GCalXML[date],0)</f>
        <v>37</v>
      </c>
      <c r="AU12" s="577">
        <f>MATCH(AU5,GCalXML[date],0)</f>
        <v>43</v>
      </c>
      <c r="AV12" s="347" t="s">
        <v>6559</v>
      </c>
    </row>
    <row r="13" spans="1:48">
      <c r="A13" s="265"/>
      <c r="B13" s="548"/>
      <c r="C13" s="264"/>
      <c r="D13" s="564"/>
      <c r="E13" s="550"/>
      <c r="F13" s="550"/>
      <c r="G13" s="550"/>
      <c r="H13" s="550"/>
      <c r="I13" s="559"/>
      <c r="J13" s="167">
        <f>J11+1</f>
        <v>5</v>
      </c>
      <c r="K13" s="633" t="str">
        <f>IF(AND(AC13&lt;&gt;"",AG13&lt;&gt;""),AC13 &amp;AG13,IF(AC13&lt;&gt;"",AC13,IF(AG13&lt;&gt;"",AG13,"")))</f>
        <v/>
      </c>
      <c r="L13" s="384"/>
      <c r="M13" s="384"/>
      <c r="N13" s="384"/>
      <c r="O13" s="384"/>
      <c r="P13" s="633" t="str">
        <f>IF(AND(AD13&lt;&gt;"",AH13&lt;&gt;""),AD13 &amp; AH13,IF(AD13&lt;&gt;"",AD13,IF(AH13&lt;&gt;"",AH13,"")))</f>
        <v/>
      </c>
      <c r="Q13" s="616"/>
      <c r="R13" s="616"/>
      <c r="S13" s="616"/>
      <c r="T13" s="616"/>
      <c r="U13" s="545" t="s">
        <v>48</v>
      </c>
      <c r="V13" s="548"/>
      <c r="W13" s="548"/>
      <c r="X13" s="131"/>
      <c r="AB13" s="385">
        <f t="shared" ref="AB13:AB31" si="2">AB12+0.5</f>
        <v>5</v>
      </c>
      <c r="AC13" s="627" t="str">
        <f t="shared" si="0"/>
        <v/>
      </c>
      <c r="AD13" s="627" t="str">
        <f t="shared" si="0"/>
        <v/>
      </c>
      <c r="AG13" s="630" t="str">
        <f t="shared" si="1"/>
        <v/>
      </c>
      <c r="AH13" s="630" t="str">
        <f t="shared" si="1"/>
        <v/>
      </c>
      <c r="AK13" s="538"/>
      <c r="AM13" s="280">
        <v>8</v>
      </c>
      <c r="AN13" s="279" t="str">
        <f ca="1">'GPlan-Translations'!C212</f>
        <v>August</v>
      </c>
    </row>
    <row r="14" spans="1:48">
      <c r="A14" s="265"/>
      <c r="B14" s="548"/>
      <c r="C14" s="264"/>
      <c r="D14" s="564"/>
      <c r="E14" s="550"/>
      <c r="F14" s="550"/>
      <c r="G14" s="550"/>
      <c r="H14" s="550"/>
      <c r="I14" s="559"/>
      <c r="J14" s="167"/>
      <c r="K14" s="633" t="str">
        <f>IF(AND(AC14&lt;&gt;"",AG14&lt;&gt;""),AC14 &amp;AG14,IF(AC14&lt;&gt;"",AC14,IF(AG14&lt;&gt;"",AG14,"")))</f>
        <v>:·:</v>
      </c>
      <c r="L14" s="384"/>
      <c r="M14" s="384"/>
      <c r="N14" s="384"/>
      <c r="O14" s="384"/>
      <c r="P14" s="633" t="str">
        <f>IF(AND(AD14&lt;&gt;"",AH14&lt;&gt;""),AD14 &amp; AH14,IF(AD14&lt;&gt;"",AD14,IF(AH14&lt;&gt;"",AH14,"")))</f>
        <v>:·:</v>
      </c>
      <c r="Q14" s="538"/>
      <c r="R14" s="538"/>
      <c r="S14" s="538"/>
      <c r="T14" s="538"/>
      <c r="U14" s="545" t="s">
        <v>48</v>
      </c>
      <c r="V14" s="548"/>
      <c r="W14" s="548"/>
      <c r="X14" s="131"/>
      <c r="AB14" s="385">
        <f t="shared" si="2"/>
        <v>5.5</v>
      </c>
      <c r="AC14" s="627" t="str">
        <f t="shared" si="0"/>
        <v>:·:</v>
      </c>
      <c r="AD14" s="627" t="str">
        <f t="shared" si="0"/>
        <v>:·:</v>
      </c>
      <c r="AG14" s="630" t="str">
        <f t="shared" si="1"/>
        <v/>
      </c>
      <c r="AH14" s="630" t="str">
        <f t="shared" si="1"/>
        <v/>
      </c>
      <c r="AK14" s="538"/>
      <c r="AM14" s="280">
        <v>9</v>
      </c>
      <c r="AN14" s="279" t="str">
        <f ca="1">'GPlan-Translations'!C213</f>
        <v>September</v>
      </c>
      <c r="AS14" s="583"/>
      <c r="AT14" s="651">
        <f>DAY(AU5)</f>
        <v>5</v>
      </c>
      <c r="AU14" s="649" t="str">
        <f>IF(AND(AT14&gt;4,AT14&lt;8),"S","N")</f>
        <v>S</v>
      </c>
      <c r="AV14" s="648" t="s">
        <v>6665</v>
      </c>
    </row>
    <row r="15" spans="1:48">
      <c r="A15" s="265"/>
      <c r="B15" s="548"/>
      <c r="C15" s="264"/>
      <c r="D15" s="564"/>
      <c r="E15" s="550"/>
      <c r="F15" s="550"/>
      <c r="G15" s="550"/>
      <c r="H15" s="550"/>
      <c r="I15" s="559"/>
      <c r="J15" s="167">
        <f>J13+1</f>
        <v>6</v>
      </c>
      <c r="K15" s="634" t="str">
        <f t="shared" ref="K15:K52" si="3">IF(AND(AC15&lt;&gt;"",AG15&lt;&gt;""),AC15 &amp;AG15,IF(AC15&lt;&gt;"",AC15,IF(AG15&lt;&gt;"",AG15,"")))</f>
        <v/>
      </c>
      <c r="L15" s="549"/>
      <c r="M15" s="268"/>
      <c r="N15" s="268"/>
      <c r="O15" s="258"/>
      <c r="P15" s="634" t="str">
        <f t="shared" ref="P15:P52" si="4">IF(AND(AD15&lt;&gt;"",AH15&lt;&gt;""),AD15 &amp; AH15,IF(AD15&lt;&gt;"",AD15,IF(AH15&lt;&gt;"",AH15,"")))</f>
        <v/>
      </c>
      <c r="Q15" s="550"/>
      <c r="R15" s="522"/>
      <c r="S15" s="522"/>
      <c r="T15" s="258"/>
      <c r="V15" s="548"/>
      <c r="W15" s="548"/>
      <c r="X15" s="131"/>
      <c r="AB15" s="385">
        <f t="shared" si="2"/>
        <v>6</v>
      </c>
      <c r="AC15" s="627" t="str">
        <f t="shared" si="0"/>
        <v/>
      </c>
      <c r="AD15" s="627" t="str">
        <f t="shared" si="0"/>
        <v/>
      </c>
      <c r="AG15" s="630" t="str">
        <f t="shared" si="1"/>
        <v/>
      </c>
      <c r="AH15" s="630" t="str">
        <f t="shared" si="1"/>
        <v/>
      </c>
      <c r="AK15" s="258"/>
      <c r="AM15" s="280">
        <v>10</v>
      </c>
      <c r="AN15" s="279" t="str">
        <f ca="1">'GPlan-Translations'!C214</f>
        <v>October</v>
      </c>
      <c r="AS15" s="583"/>
      <c r="AT15" s="651">
        <f>MONTH(AU5)</f>
        <v>1</v>
      </c>
      <c r="AU15" s="650" t="str">
        <f ca="1">VLOOKUP(AT15,$AM$6:$AO$17,2)</f>
        <v>January</v>
      </c>
      <c r="AV15" s="648" t="s">
        <v>6666</v>
      </c>
    </row>
    <row r="16" spans="1:48" ht="18" customHeight="1" thickBot="1">
      <c r="A16" s="265"/>
      <c r="B16" s="548"/>
      <c r="C16" s="264"/>
      <c r="D16" s="565"/>
      <c r="E16" s="366"/>
      <c r="F16" s="366"/>
      <c r="G16" s="366"/>
      <c r="H16" s="366"/>
      <c r="I16" s="561"/>
      <c r="J16" s="167"/>
      <c r="K16" s="634" t="str">
        <f t="shared" si="3"/>
        <v/>
      </c>
      <c r="L16" s="550"/>
      <c r="M16" s="522"/>
      <c r="N16" s="522"/>
      <c r="O16" s="258"/>
      <c r="P16" s="634" t="str">
        <f t="shared" si="4"/>
        <v/>
      </c>
      <c r="Q16" s="550"/>
      <c r="R16" s="522"/>
      <c r="S16" s="522"/>
      <c r="T16" s="258"/>
      <c r="V16" s="548"/>
      <c r="W16" s="548"/>
      <c r="X16" s="131"/>
      <c r="AB16" s="385">
        <f t="shared" si="2"/>
        <v>6.5</v>
      </c>
      <c r="AC16" s="627" t="str">
        <f t="shared" si="0"/>
        <v/>
      </c>
      <c r="AD16" s="627" t="str">
        <f t="shared" si="0"/>
        <v/>
      </c>
      <c r="AG16" s="630" t="str">
        <f t="shared" si="1"/>
        <v/>
      </c>
      <c r="AH16" s="630" t="str">
        <f t="shared" si="1"/>
        <v/>
      </c>
      <c r="AM16" s="280">
        <v>11</v>
      </c>
      <c r="AN16" s="279" t="str">
        <f ca="1">'GPlan-Translations'!C215</f>
        <v>November</v>
      </c>
      <c r="AS16" s="583"/>
      <c r="AT16" s="651">
        <f>IF(AT15=1,12,AT15)</f>
        <v>12</v>
      </c>
      <c r="AU16" s="650" t="str">
        <f ca="1">VLOOKUP(AT16,$AM$6:$AO$17,2)</f>
        <v>December</v>
      </c>
      <c r="AV16" s="648" t="s">
        <v>6667</v>
      </c>
    </row>
    <row r="17" spans="1:43">
      <c r="A17" s="276"/>
      <c r="B17" s="275"/>
      <c r="C17" s="274"/>
      <c r="D17" s="273"/>
      <c r="E17" s="350"/>
      <c r="F17" s="350"/>
      <c r="G17" s="350"/>
      <c r="H17" s="350"/>
      <c r="I17" s="272"/>
      <c r="J17" s="167">
        <f>J15+1</f>
        <v>7</v>
      </c>
      <c r="K17" s="634" t="str">
        <f t="shared" si="3"/>
        <v/>
      </c>
      <c r="L17" s="550"/>
      <c r="M17" s="522"/>
      <c r="N17" s="522"/>
      <c r="O17" s="258"/>
      <c r="P17" s="634" t="str">
        <f t="shared" si="4"/>
        <v/>
      </c>
      <c r="Q17" s="550"/>
      <c r="R17" s="522"/>
      <c r="S17" s="522"/>
      <c r="T17" s="258"/>
      <c r="V17" s="548"/>
      <c r="W17" s="548"/>
      <c r="X17" s="131"/>
      <c r="AB17" s="385">
        <f t="shared" si="2"/>
        <v>7</v>
      </c>
      <c r="AC17" s="627" t="str">
        <f t="shared" si="0"/>
        <v/>
      </c>
      <c r="AD17" s="627" t="str">
        <f t="shared" si="0"/>
        <v/>
      </c>
      <c r="AG17" s="630" t="str">
        <f t="shared" si="1"/>
        <v/>
      </c>
      <c r="AH17" s="630" t="str">
        <f t="shared" si="1"/>
        <v/>
      </c>
      <c r="AM17" s="278">
        <v>12</v>
      </c>
      <c r="AN17" s="277" t="str">
        <f ca="1">'GPlan-Translations'!C216</f>
        <v>December</v>
      </c>
    </row>
    <row r="18" spans="1:43">
      <c r="A18" s="265"/>
      <c r="B18" s="548"/>
      <c r="C18" s="264"/>
      <c r="D18" s="564"/>
      <c r="E18" s="550"/>
      <c r="F18" s="550"/>
      <c r="G18" s="550"/>
      <c r="H18" s="550"/>
      <c r="I18" s="559"/>
      <c r="J18" s="167"/>
      <c r="K18" s="634" t="str">
        <f t="shared" si="3"/>
        <v>`ό´</v>
      </c>
      <c r="L18" s="550"/>
      <c r="M18" s="522"/>
      <c r="N18" s="522"/>
      <c r="O18" s="258"/>
      <c r="P18" s="634" t="str">
        <f t="shared" si="4"/>
        <v>`ό´</v>
      </c>
      <c r="Q18" s="550"/>
      <c r="R18" s="522"/>
      <c r="S18" s="522"/>
      <c r="T18" s="258"/>
      <c r="V18" s="548"/>
      <c r="W18" s="548"/>
      <c r="X18" s="131"/>
      <c r="AB18" s="385">
        <f t="shared" si="2"/>
        <v>7.5</v>
      </c>
      <c r="AC18" s="627" t="str">
        <f t="shared" si="0"/>
        <v>`ό´</v>
      </c>
      <c r="AD18" s="627" t="str">
        <f t="shared" si="0"/>
        <v>`ό´</v>
      </c>
      <c r="AG18" s="630" t="str">
        <f t="shared" si="1"/>
        <v/>
      </c>
      <c r="AH18" s="630" t="str">
        <f t="shared" si="1"/>
        <v/>
      </c>
    </row>
    <row r="19" spans="1:43" ht="19.5" customHeight="1">
      <c r="A19" s="265"/>
      <c r="B19" s="548"/>
      <c r="C19" s="264"/>
      <c r="D19" s="564"/>
      <c r="E19" s="550"/>
      <c r="F19" s="550"/>
      <c r="G19" s="550"/>
      <c r="H19" s="550"/>
      <c r="I19" s="559"/>
      <c r="J19" s="167">
        <f>J17+1</f>
        <v>8</v>
      </c>
      <c r="K19" s="634" t="str">
        <f t="shared" si="3"/>
        <v/>
      </c>
      <c r="L19" s="550"/>
      <c r="M19" s="522"/>
      <c r="N19" s="522"/>
      <c r="O19" s="258"/>
      <c r="P19" s="634" t="str">
        <f t="shared" si="4"/>
        <v/>
      </c>
      <c r="Q19" s="550"/>
      <c r="R19" s="522"/>
      <c r="S19" s="522"/>
      <c r="T19" s="258"/>
      <c r="V19" s="548"/>
      <c r="W19" s="548"/>
      <c r="X19" s="131"/>
      <c r="AB19" s="385">
        <f t="shared" si="2"/>
        <v>8</v>
      </c>
      <c r="AC19" s="627" t="str">
        <f t="shared" si="0"/>
        <v/>
      </c>
      <c r="AD19" s="627" t="str">
        <f t="shared" si="0"/>
        <v/>
      </c>
      <c r="AG19" s="630" t="str">
        <f t="shared" si="1"/>
        <v/>
      </c>
      <c r="AH19" s="630" t="str">
        <f t="shared" si="1"/>
        <v/>
      </c>
    </row>
    <row r="20" spans="1:43">
      <c r="A20" s="265"/>
      <c r="B20" s="548"/>
      <c r="C20" s="264"/>
      <c r="D20" s="564"/>
      <c r="E20" s="550"/>
      <c r="F20" s="550"/>
      <c r="G20" s="550"/>
      <c r="H20" s="550"/>
      <c r="I20" s="559"/>
      <c r="J20" s="167"/>
      <c r="K20" s="634" t="str">
        <f t="shared" si="3"/>
        <v/>
      </c>
      <c r="L20" s="550"/>
      <c r="M20" s="522"/>
      <c r="N20" s="522"/>
      <c r="O20" s="258"/>
      <c r="P20" s="634" t="str">
        <f t="shared" si="4"/>
        <v/>
      </c>
      <c r="Q20" s="550"/>
      <c r="R20" s="522"/>
      <c r="S20" s="522"/>
      <c r="T20" s="258"/>
      <c r="V20" s="548"/>
      <c r="W20" s="548"/>
      <c r="X20" s="131"/>
      <c r="AB20" s="385">
        <f t="shared" si="2"/>
        <v>8.5</v>
      </c>
      <c r="AC20" s="627" t="str">
        <f t="shared" si="0"/>
        <v/>
      </c>
      <c r="AD20" s="627" t="str">
        <f t="shared" si="0"/>
        <v/>
      </c>
      <c r="AG20" s="630" t="str">
        <f t="shared" si="1"/>
        <v/>
      </c>
      <c r="AH20" s="630" t="str">
        <f t="shared" si="1"/>
        <v/>
      </c>
      <c r="AQ20" s="548"/>
    </row>
    <row r="21" spans="1:43" ht="18" customHeight="1" thickBot="1">
      <c r="A21" s="265"/>
      <c r="B21" s="548"/>
      <c r="C21" s="264"/>
      <c r="D21" s="565"/>
      <c r="E21" s="366"/>
      <c r="F21" s="366"/>
      <c r="G21" s="366"/>
      <c r="H21" s="366"/>
      <c r="I21" s="561"/>
      <c r="J21" s="167">
        <f>J19+1</f>
        <v>9</v>
      </c>
      <c r="K21" s="634" t="str">
        <f t="shared" si="3"/>
        <v/>
      </c>
      <c r="L21" s="550"/>
      <c r="M21" s="522"/>
      <c r="N21" s="522"/>
      <c r="O21" s="258"/>
      <c r="P21" s="634" t="str">
        <f t="shared" si="4"/>
        <v/>
      </c>
      <c r="Q21" s="550"/>
      <c r="R21" s="522"/>
      <c r="S21" s="522"/>
      <c r="T21" s="258"/>
      <c r="V21" s="548"/>
      <c r="W21" s="548"/>
      <c r="X21" s="131"/>
      <c r="AB21" s="385">
        <f t="shared" si="2"/>
        <v>9</v>
      </c>
      <c r="AC21" s="627" t="str">
        <f t="shared" si="0"/>
        <v/>
      </c>
      <c r="AD21" s="627" t="str">
        <f t="shared" si="0"/>
        <v/>
      </c>
      <c r="AG21" s="630" t="str">
        <f t="shared" si="1"/>
        <v/>
      </c>
      <c r="AH21" s="630" t="str">
        <f t="shared" si="1"/>
        <v/>
      </c>
      <c r="AQ21" s="548"/>
    </row>
    <row r="22" spans="1:43">
      <c r="A22" s="276"/>
      <c r="B22" s="275"/>
      <c r="C22" s="274"/>
      <c r="D22" s="273"/>
      <c r="E22" s="350"/>
      <c r="F22" s="350"/>
      <c r="G22" s="350"/>
      <c r="H22" s="350"/>
      <c r="I22" s="272"/>
      <c r="J22" s="167"/>
      <c r="K22" s="634" t="str">
        <f t="shared" si="3"/>
        <v/>
      </c>
      <c r="L22" s="550"/>
      <c r="M22" s="522"/>
      <c r="N22" s="522"/>
      <c r="O22" s="258"/>
      <c r="P22" s="634" t="str">
        <f t="shared" si="4"/>
        <v/>
      </c>
      <c r="Q22" s="550"/>
      <c r="R22" s="522"/>
      <c r="S22" s="522"/>
      <c r="T22" s="258"/>
      <c r="V22" s="548"/>
      <c r="W22" s="548"/>
      <c r="X22" s="131"/>
      <c r="AB22" s="385">
        <f t="shared" si="2"/>
        <v>9.5</v>
      </c>
      <c r="AC22" s="627" t="str">
        <f t="shared" si="0"/>
        <v/>
      </c>
      <c r="AD22" s="627" t="str">
        <f t="shared" si="0"/>
        <v/>
      </c>
      <c r="AG22" s="630" t="str">
        <f t="shared" si="1"/>
        <v/>
      </c>
      <c r="AH22" s="630" t="str">
        <f t="shared" si="1"/>
        <v/>
      </c>
      <c r="AQ22" s="548"/>
    </row>
    <row r="23" spans="1:43">
      <c r="A23" s="265"/>
      <c r="B23" s="548"/>
      <c r="C23" s="264"/>
      <c r="D23" s="564"/>
      <c r="E23" s="550"/>
      <c r="F23" s="550"/>
      <c r="G23" s="550"/>
      <c r="H23" s="550"/>
      <c r="I23" s="559"/>
      <c r="J23" s="167">
        <f>J21+1</f>
        <v>10</v>
      </c>
      <c r="K23" s="634" t="str">
        <f t="shared" si="3"/>
        <v/>
      </c>
      <c r="L23" s="550"/>
      <c r="M23" s="522"/>
      <c r="N23" s="522"/>
      <c r="O23" s="258"/>
      <c r="P23" s="634" t="str">
        <f t="shared" si="4"/>
        <v/>
      </c>
      <c r="Q23" s="550"/>
      <c r="R23" s="522"/>
      <c r="S23" s="522"/>
      <c r="T23" s="258"/>
      <c r="V23" s="548"/>
      <c r="W23" s="548"/>
      <c r="X23" s="131"/>
      <c r="AB23" s="385">
        <f t="shared" si="2"/>
        <v>10</v>
      </c>
      <c r="AC23" s="627" t="str">
        <f t="shared" si="0"/>
        <v/>
      </c>
      <c r="AD23" s="627" t="str">
        <f t="shared" si="0"/>
        <v/>
      </c>
      <c r="AG23" s="630" t="str">
        <f t="shared" si="1"/>
        <v/>
      </c>
      <c r="AH23" s="630" t="str">
        <f t="shared" si="1"/>
        <v/>
      </c>
      <c r="AQ23" s="548"/>
    </row>
    <row r="24" spans="1:43">
      <c r="A24" s="265"/>
      <c r="B24" s="548"/>
      <c r="C24" s="264"/>
      <c r="D24" s="564"/>
      <c r="E24" s="550"/>
      <c r="F24" s="550"/>
      <c r="G24" s="550"/>
      <c r="H24" s="550"/>
      <c r="I24" s="559"/>
      <c r="J24" s="167"/>
      <c r="K24" s="634" t="str">
        <f t="shared" si="3"/>
        <v xml:space="preserve"> ĉ</v>
      </c>
      <c r="L24" s="550"/>
      <c r="M24" s="522"/>
      <c r="N24" s="522"/>
      <c r="O24" s="258"/>
      <c r="P24" s="634" t="str">
        <f t="shared" si="4"/>
        <v/>
      </c>
      <c r="Q24" s="550"/>
      <c r="R24" s="522"/>
      <c r="S24" s="522"/>
      <c r="T24" s="258"/>
      <c r="V24" s="548"/>
      <c r="W24" s="548"/>
      <c r="X24" s="131"/>
      <c r="AB24" s="385">
        <f t="shared" si="2"/>
        <v>10.5</v>
      </c>
      <c r="AC24" s="627" t="str">
        <f t="shared" si="0"/>
        <v/>
      </c>
      <c r="AD24" s="627" t="str">
        <f t="shared" si="0"/>
        <v/>
      </c>
      <c r="AG24" s="630" t="str">
        <f t="shared" si="1"/>
        <v xml:space="preserve"> ĉ</v>
      </c>
      <c r="AH24" s="630" t="str">
        <f t="shared" si="1"/>
        <v/>
      </c>
      <c r="AQ24" s="548"/>
    </row>
    <row r="25" spans="1:43" ht="20.100000000000001" customHeight="1">
      <c r="A25" s="265"/>
      <c r="B25" s="548"/>
      <c r="C25" s="264"/>
      <c r="D25" s="564"/>
      <c r="E25" s="550"/>
      <c r="F25" s="550"/>
      <c r="G25" s="550"/>
      <c r="H25" s="550"/>
      <c r="I25" s="559"/>
      <c r="J25" s="167">
        <f>J23+1</f>
        <v>11</v>
      </c>
      <c r="K25" s="634" t="str">
        <f t="shared" si="3"/>
        <v/>
      </c>
      <c r="L25" s="550"/>
      <c r="M25" s="522"/>
      <c r="N25" s="522"/>
      <c r="O25" s="258"/>
      <c r="P25" s="634" t="str">
        <f t="shared" si="4"/>
        <v xml:space="preserve"> ĉ</v>
      </c>
      <c r="Q25" s="550"/>
      <c r="R25" s="522"/>
      <c r="S25" s="522"/>
      <c r="T25" s="258"/>
      <c r="V25" s="548"/>
      <c r="W25" s="548"/>
      <c r="X25" s="131"/>
      <c r="AB25" s="385">
        <f t="shared" si="2"/>
        <v>11</v>
      </c>
      <c r="AC25" s="627" t="str">
        <f t="shared" si="0"/>
        <v/>
      </c>
      <c r="AD25" s="627" t="str">
        <f t="shared" si="0"/>
        <v/>
      </c>
      <c r="AG25" s="630" t="str">
        <f t="shared" si="1"/>
        <v/>
      </c>
      <c r="AH25" s="630" t="str">
        <f t="shared" si="1"/>
        <v xml:space="preserve"> ĉ</v>
      </c>
      <c r="AQ25" s="548"/>
    </row>
    <row r="26" spans="1:43" ht="18" customHeight="1" thickBot="1">
      <c r="A26" s="265"/>
      <c r="B26" s="548"/>
      <c r="C26" s="264"/>
      <c r="D26" s="565"/>
      <c r="E26" s="366"/>
      <c r="F26" s="366"/>
      <c r="G26" s="366"/>
      <c r="H26" s="366"/>
      <c r="I26" s="561"/>
      <c r="J26" s="167"/>
      <c r="K26" s="634" t="str">
        <f t="shared" si="3"/>
        <v/>
      </c>
      <c r="L26" s="550"/>
      <c r="M26" s="522"/>
      <c r="N26" s="522"/>
      <c r="O26" s="258"/>
      <c r="P26" s="634" t="str">
        <f t="shared" si="4"/>
        <v/>
      </c>
      <c r="Q26" s="550"/>
      <c r="R26" s="522"/>
      <c r="S26" s="522"/>
      <c r="T26" s="258"/>
      <c r="V26" s="548"/>
      <c r="W26" s="548"/>
      <c r="X26" s="131"/>
      <c r="AB26" s="385">
        <f t="shared" si="2"/>
        <v>11.5</v>
      </c>
      <c r="AC26" s="627" t="str">
        <f t="shared" si="0"/>
        <v/>
      </c>
      <c r="AD26" s="627" t="str">
        <f t="shared" si="0"/>
        <v/>
      </c>
      <c r="AG26" s="630" t="str">
        <f t="shared" si="1"/>
        <v/>
      </c>
      <c r="AH26" s="630" t="str">
        <f t="shared" si="1"/>
        <v/>
      </c>
      <c r="AQ26" s="548"/>
    </row>
    <row r="27" spans="1:43">
      <c r="A27" s="276"/>
      <c r="B27" s="275"/>
      <c r="C27" s="274"/>
      <c r="D27" s="273"/>
      <c r="E27" s="350"/>
      <c r="F27" s="350"/>
      <c r="G27" s="350"/>
      <c r="H27" s="350"/>
      <c r="I27" s="272"/>
      <c r="J27" s="167">
        <f>J25+1</f>
        <v>12</v>
      </c>
      <c r="K27" s="634" t="str">
        <f t="shared" si="3"/>
        <v>꙰</v>
      </c>
      <c r="L27" s="550"/>
      <c r="M27" s="522"/>
      <c r="N27" s="522"/>
      <c r="O27" s="258"/>
      <c r="P27" s="634" t="str">
        <f t="shared" si="4"/>
        <v>꙰</v>
      </c>
      <c r="Q27" s="550"/>
      <c r="R27" s="522"/>
      <c r="S27" s="522"/>
      <c r="T27" s="258"/>
      <c r="V27" s="548"/>
      <c r="W27" s="548"/>
      <c r="X27" s="131"/>
      <c r="AB27" s="385">
        <f t="shared" si="2"/>
        <v>12</v>
      </c>
      <c r="AC27" s="627" t="str">
        <f t="shared" si="0"/>
        <v>꙰</v>
      </c>
      <c r="AD27" s="627" t="str">
        <f t="shared" si="0"/>
        <v>꙰</v>
      </c>
      <c r="AG27" s="630" t="str">
        <f t="shared" si="1"/>
        <v/>
      </c>
      <c r="AH27" s="630" t="str">
        <f t="shared" si="1"/>
        <v/>
      </c>
      <c r="AQ27" s="548"/>
    </row>
    <row r="28" spans="1:43">
      <c r="A28" s="265"/>
      <c r="B28" s="548"/>
      <c r="C28" s="264"/>
      <c r="D28" s="564"/>
      <c r="E28" s="550"/>
      <c r="F28" s="550"/>
      <c r="G28" s="550"/>
      <c r="H28" s="550"/>
      <c r="I28" s="559"/>
      <c r="J28" s="167"/>
      <c r="K28" s="634" t="str">
        <f t="shared" si="3"/>
        <v/>
      </c>
      <c r="L28" s="550"/>
      <c r="M28" s="522"/>
      <c r="N28" s="522"/>
      <c r="O28" s="258"/>
      <c r="P28" s="634" t="str">
        <f t="shared" si="4"/>
        <v/>
      </c>
      <c r="Q28" s="550"/>
      <c r="R28" s="522"/>
      <c r="S28" s="522"/>
      <c r="T28" s="258"/>
      <c r="V28" s="548"/>
      <c r="W28" s="548"/>
      <c r="X28" s="131"/>
      <c r="AB28" s="385">
        <f t="shared" si="2"/>
        <v>12.5</v>
      </c>
      <c r="AC28" s="627" t="str">
        <f t="shared" si="0"/>
        <v/>
      </c>
      <c r="AD28" s="627" t="str">
        <f t="shared" si="0"/>
        <v/>
      </c>
      <c r="AG28" s="630" t="str">
        <f t="shared" si="1"/>
        <v/>
      </c>
      <c r="AH28" s="630" t="str">
        <f t="shared" si="1"/>
        <v/>
      </c>
      <c r="AQ28" s="548"/>
    </row>
    <row r="29" spans="1:43">
      <c r="A29" s="265"/>
      <c r="B29" s="548"/>
      <c r="C29" s="264"/>
      <c r="D29" s="564"/>
      <c r="E29" s="550"/>
      <c r="F29" s="550"/>
      <c r="G29" s="550"/>
      <c r="H29" s="550"/>
      <c r="I29" s="559"/>
      <c r="J29" s="167">
        <f>J27+1</f>
        <v>13</v>
      </c>
      <c r="K29" s="634" t="str">
        <f t="shared" si="3"/>
        <v/>
      </c>
      <c r="L29" s="550"/>
      <c r="M29" s="522"/>
      <c r="N29" s="522"/>
      <c r="O29" s="258"/>
      <c r="P29" s="634" t="str">
        <f t="shared" si="4"/>
        <v/>
      </c>
      <c r="Q29" s="550"/>
      <c r="R29" s="522"/>
      <c r="S29" s="522"/>
      <c r="T29" s="258"/>
      <c r="V29" s="548"/>
      <c r="W29" s="548"/>
      <c r="X29" s="131"/>
      <c r="AB29" s="385">
        <f t="shared" si="2"/>
        <v>13</v>
      </c>
      <c r="AC29" s="627" t="str">
        <f t="shared" si="0"/>
        <v/>
      </c>
      <c r="AD29" s="627" t="str">
        <f t="shared" si="0"/>
        <v/>
      </c>
      <c r="AG29" s="630" t="str">
        <f t="shared" si="1"/>
        <v/>
      </c>
      <c r="AH29" s="630" t="str">
        <f t="shared" si="1"/>
        <v/>
      </c>
      <c r="AQ29" s="548"/>
    </row>
    <row r="30" spans="1:43">
      <c r="A30" s="265"/>
      <c r="B30" s="548"/>
      <c r="C30" s="264"/>
      <c r="D30" s="564"/>
      <c r="E30" s="550"/>
      <c r="F30" s="550"/>
      <c r="G30" s="550"/>
      <c r="H30" s="550"/>
      <c r="I30" s="559"/>
      <c r="J30" s="167"/>
      <c r="K30" s="634" t="str">
        <f t="shared" si="3"/>
        <v/>
      </c>
      <c r="L30" s="550"/>
      <c r="M30" s="522"/>
      <c r="N30" s="522"/>
      <c r="O30" s="258"/>
      <c r="P30" s="634" t="str">
        <f t="shared" si="4"/>
        <v/>
      </c>
      <c r="Q30" s="550"/>
      <c r="R30" s="522"/>
      <c r="S30" s="522"/>
      <c r="T30" s="258"/>
      <c r="V30" s="548"/>
      <c r="W30" s="548"/>
      <c r="X30" s="131"/>
      <c r="AB30" s="385">
        <f t="shared" si="2"/>
        <v>13.5</v>
      </c>
      <c r="AC30" s="627" t="str">
        <f t="shared" si="0"/>
        <v/>
      </c>
      <c r="AD30" s="627" t="str">
        <f t="shared" si="0"/>
        <v/>
      </c>
      <c r="AG30" s="630" t="str">
        <f t="shared" si="1"/>
        <v/>
      </c>
      <c r="AH30" s="630" t="str">
        <f t="shared" si="1"/>
        <v/>
      </c>
    </row>
    <row r="31" spans="1:43" ht="18" customHeight="1" thickBot="1">
      <c r="A31" s="265"/>
      <c r="B31" s="548"/>
      <c r="C31" s="264"/>
      <c r="D31" s="565"/>
      <c r="E31" s="366"/>
      <c r="F31" s="366"/>
      <c r="G31" s="366"/>
      <c r="H31" s="366"/>
      <c r="I31" s="561"/>
      <c r="J31" s="167">
        <f>J29+1</f>
        <v>14</v>
      </c>
      <c r="K31" s="634" t="str">
        <f t="shared" si="3"/>
        <v/>
      </c>
      <c r="L31" s="550"/>
      <c r="M31" s="522"/>
      <c r="N31" s="522"/>
      <c r="O31" s="258"/>
      <c r="P31" s="634" t="str">
        <f t="shared" si="4"/>
        <v/>
      </c>
      <c r="Q31" s="550"/>
      <c r="R31" s="522"/>
      <c r="S31" s="522"/>
      <c r="T31" s="258"/>
      <c r="V31" s="548"/>
      <c r="W31" s="548"/>
      <c r="X31" s="131"/>
      <c r="AB31" s="385">
        <f t="shared" si="2"/>
        <v>14</v>
      </c>
      <c r="AC31" s="627" t="str">
        <f t="shared" ref="AC31:AD52" si="5">IF(AC$55=$AB31,$AB$55,IF(AC$56=$AB31,$AB$56,IF(AC$57=$AB31,$AB$57,IF(AC$58=$AB31,$AB$58,""))))</f>
        <v/>
      </c>
      <c r="AD31" s="627" t="str">
        <f t="shared" si="5"/>
        <v/>
      </c>
      <c r="AG31" s="630" t="str">
        <f t="shared" ref="AG31:AH52" si="6">IF(AG$56=$AB31,$AI$56,IF(AG$57=$AB31,$AI$57,IF(AG$58=$AB31,$AI$58,"")))</f>
        <v/>
      </c>
      <c r="AH31" s="630" t="str">
        <f t="shared" si="6"/>
        <v/>
      </c>
      <c r="AQ31" s="548"/>
    </row>
    <row r="32" spans="1:43" ht="1.5" customHeight="1">
      <c r="A32" s="276"/>
      <c r="B32" s="275"/>
      <c r="C32" s="274"/>
      <c r="D32" s="348"/>
      <c r="E32" s="275"/>
      <c r="F32" s="275"/>
      <c r="G32" s="275"/>
      <c r="H32" s="275"/>
      <c r="I32" s="349"/>
      <c r="J32" s="167"/>
      <c r="K32" s="634" t="str">
        <f t="shared" si="3"/>
        <v/>
      </c>
      <c r="L32" s="366"/>
      <c r="M32" s="540"/>
      <c r="N32" s="540"/>
      <c r="O32" s="541"/>
      <c r="P32" s="634" t="str">
        <f t="shared" si="4"/>
        <v/>
      </c>
      <c r="Q32" s="366"/>
      <c r="R32" s="540"/>
      <c r="S32" s="540"/>
      <c r="T32" s="541"/>
      <c r="V32" s="548"/>
      <c r="W32" s="548"/>
      <c r="X32" s="131"/>
      <c r="AC32" s="627" t="str">
        <f t="shared" si="5"/>
        <v/>
      </c>
      <c r="AD32" s="627" t="str">
        <f t="shared" si="5"/>
        <v/>
      </c>
      <c r="AG32" s="630" t="str">
        <f t="shared" si="6"/>
        <v/>
      </c>
      <c r="AH32" s="630" t="str">
        <f t="shared" si="6"/>
        <v/>
      </c>
      <c r="AQ32" s="548"/>
    </row>
    <row r="33" spans="1:44">
      <c r="A33" s="265"/>
      <c r="B33" s="548"/>
      <c r="C33" s="264"/>
      <c r="D33" s="267"/>
      <c r="E33" s="549"/>
      <c r="F33" s="549"/>
      <c r="G33" s="549"/>
      <c r="H33" s="549"/>
      <c r="I33" s="266"/>
      <c r="J33" s="167"/>
      <c r="K33" s="634" t="str">
        <f t="shared" si="3"/>
        <v/>
      </c>
      <c r="L33" s="549"/>
      <c r="M33" s="268"/>
      <c r="N33" s="268"/>
      <c r="O33" s="258"/>
      <c r="P33" s="634" t="str">
        <f t="shared" si="4"/>
        <v/>
      </c>
      <c r="Q33" s="549"/>
      <c r="R33" s="268"/>
      <c r="S33" s="268"/>
      <c r="T33" s="258"/>
      <c r="V33" s="548"/>
      <c r="W33" s="548"/>
      <c r="X33" s="131"/>
      <c r="AB33" s="385">
        <f>AB31+0.5</f>
        <v>14.5</v>
      </c>
      <c r="AC33" s="627" t="str">
        <f t="shared" si="5"/>
        <v/>
      </c>
      <c r="AD33" s="627" t="str">
        <f t="shared" si="5"/>
        <v/>
      </c>
      <c r="AG33" s="630" t="str">
        <f t="shared" si="6"/>
        <v/>
      </c>
      <c r="AH33" s="630" t="str">
        <f t="shared" si="6"/>
        <v/>
      </c>
      <c r="AQ33" s="548"/>
    </row>
    <row r="34" spans="1:44" ht="1.5" customHeight="1">
      <c r="A34" s="265"/>
      <c r="B34" s="548"/>
      <c r="C34" s="264"/>
      <c r="D34" s="565"/>
      <c r="E34" s="366"/>
      <c r="F34" s="366"/>
      <c r="G34" s="366"/>
      <c r="H34" s="366"/>
      <c r="I34" s="561"/>
      <c r="J34" s="167"/>
      <c r="K34" s="634" t="str">
        <f t="shared" si="3"/>
        <v/>
      </c>
      <c r="L34" s="366"/>
      <c r="M34" s="540"/>
      <c r="N34" s="540"/>
      <c r="O34" s="541"/>
      <c r="P34" s="634" t="str">
        <f t="shared" si="4"/>
        <v/>
      </c>
      <c r="Q34" s="366"/>
      <c r="R34" s="540"/>
      <c r="S34" s="540"/>
      <c r="T34" s="541"/>
      <c r="V34" s="548"/>
      <c r="W34" s="548"/>
      <c r="X34" s="131"/>
      <c r="AC34" s="627" t="str">
        <f t="shared" si="5"/>
        <v/>
      </c>
      <c r="AD34" s="627" t="str">
        <f t="shared" si="5"/>
        <v/>
      </c>
      <c r="AG34" s="630" t="str">
        <f t="shared" si="6"/>
        <v/>
      </c>
      <c r="AH34" s="630" t="str">
        <f t="shared" si="6"/>
        <v/>
      </c>
      <c r="AQ34" s="548"/>
    </row>
    <row r="35" spans="1:44">
      <c r="A35" s="265"/>
      <c r="B35" s="548"/>
      <c r="C35" s="264"/>
      <c r="D35" s="267"/>
      <c r="E35" s="549"/>
      <c r="F35" s="549"/>
      <c r="G35" s="549"/>
      <c r="H35" s="549"/>
      <c r="I35" s="266"/>
      <c r="J35" s="167">
        <f>J31+1</f>
        <v>15</v>
      </c>
      <c r="K35" s="634" t="str">
        <f t="shared" si="3"/>
        <v/>
      </c>
      <c r="L35" s="549"/>
      <c r="M35" s="268"/>
      <c r="N35" s="268"/>
      <c r="O35" s="258"/>
      <c r="P35" s="634" t="str">
        <f t="shared" si="4"/>
        <v/>
      </c>
      <c r="Q35" s="549"/>
      <c r="R35" s="268"/>
      <c r="S35" s="268"/>
      <c r="T35" s="258"/>
      <c r="V35" s="548"/>
      <c r="W35" s="548"/>
      <c r="X35" s="131"/>
      <c r="AB35" s="385">
        <f>AB33+0.5</f>
        <v>15</v>
      </c>
      <c r="AC35" s="627" t="str">
        <f t="shared" si="5"/>
        <v/>
      </c>
      <c r="AD35" s="627" t="str">
        <f t="shared" si="5"/>
        <v/>
      </c>
      <c r="AG35" s="630" t="str">
        <f t="shared" si="6"/>
        <v/>
      </c>
      <c r="AH35" s="630" t="str">
        <f t="shared" si="6"/>
        <v/>
      </c>
      <c r="AQ35" s="548"/>
    </row>
    <row r="36" spans="1:44" ht="1.5" customHeight="1">
      <c r="A36" s="265"/>
      <c r="B36" s="548"/>
      <c r="C36" s="264"/>
      <c r="D36" s="565"/>
      <c r="E36" s="366"/>
      <c r="F36" s="366"/>
      <c r="G36" s="366"/>
      <c r="H36" s="366"/>
      <c r="I36" s="561"/>
      <c r="J36" s="167"/>
      <c r="K36" s="634" t="str">
        <f t="shared" si="3"/>
        <v/>
      </c>
      <c r="L36" s="366"/>
      <c r="M36" s="540"/>
      <c r="N36" s="540"/>
      <c r="O36" s="541"/>
      <c r="P36" s="634" t="str">
        <f t="shared" si="4"/>
        <v/>
      </c>
      <c r="Q36" s="366"/>
      <c r="R36" s="540"/>
      <c r="S36" s="540"/>
      <c r="T36" s="541"/>
      <c r="V36" s="548"/>
      <c r="W36" s="548"/>
      <c r="X36" s="131"/>
      <c r="AC36" s="627" t="str">
        <f t="shared" si="5"/>
        <v/>
      </c>
      <c r="AD36" s="627" t="str">
        <f t="shared" si="5"/>
        <v/>
      </c>
      <c r="AG36" s="630" t="str">
        <f t="shared" si="6"/>
        <v/>
      </c>
      <c r="AH36" s="630" t="str">
        <f t="shared" si="6"/>
        <v/>
      </c>
      <c r="AQ36" s="548"/>
    </row>
    <row r="37" spans="1:44">
      <c r="A37" s="265"/>
      <c r="B37" s="548"/>
      <c r="C37" s="264"/>
      <c r="D37" s="260"/>
      <c r="E37" s="548"/>
      <c r="F37" s="548"/>
      <c r="G37" s="548"/>
      <c r="H37" s="548"/>
      <c r="I37" s="259"/>
      <c r="J37" s="167"/>
      <c r="K37" s="634" t="str">
        <f t="shared" si="3"/>
        <v/>
      </c>
      <c r="L37" s="549"/>
      <c r="M37" s="268"/>
      <c r="N37" s="268"/>
      <c r="O37" s="258"/>
      <c r="P37" s="634" t="str">
        <f t="shared" si="4"/>
        <v/>
      </c>
      <c r="Q37" s="549"/>
      <c r="R37" s="268"/>
      <c r="S37" s="268"/>
      <c r="T37" s="258"/>
      <c r="V37" s="548"/>
      <c r="W37" s="548"/>
      <c r="X37" s="131"/>
      <c r="AB37" s="385">
        <f>AB35+0.5</f>
        <v>15.5</v>
      </c>
      <c r="AC37" s="627" t="str">
        <f t="shared" si="5"/>
        <v/>
      </c>
      <c r="AD37" s="627" t="str">
        <f t="shared" si="5"/>
        <v/>
      </c>
      <c r="AG37" s="630" t="str">
        <f t="shared" si="6"/>
        <v/>
      </c>
      <c r="AH37" s="630" t="str">
        <f t="shared" si="6"/>
        <v/>
      </c>
      <c r="AQ37" s="548"/>
    </row>
    <row r="38" spans="1:44" ht="1.5" customHeight="1">
      <c r="A38" s="565"/>
      <c r="B38" s="366"/>
      <c r="C38" s="540"/>
      <c r="D38" s="366"/>
      <c r="E38" s="366"/>
      <c r="F38" s="366"/>
      <c r="G38" s="366"/>
      <c r="H38" s="366"/>
      <c r="I38" s="561"/>
      <c r="J38" s="167"/>
      <c r="K38" s="634" t="str">
        <f t="shared" si="3"/>
        <v/>
      </c>
      <c r="L38" s="366"/>
      <c r="M38" s="540"/>
      <c r="N38" s="540"/>
      <c r="O38" s="541"/>
      <c r="P38" s="634" t="str">
        <f t="shared" si="4"/>
        <v/>
      </c>
      <c r="Q38" s="366"/>
      <c r="R38" s="540"/>
      <c r="S38" s="540"/>
      <c r="T38" s="541"/>
      <c r="V38" s="548"/>
      <c r="W38" s="548"/>
      <c r="X38" s="131"/>
      <c r="AC38" s="627" t="str">
        <f t="shared" si="5"/>
        <v/>
      </c>
      <c r="AD38" s="627" t="str">
        <f t="shared" si="5"/>
        <v/>
      </c>
      <c r="AG38" s="630" t="str">
        <f t="shared" si="6"/>
        <v/>
      </c>
      <c r="AH38" s="630" t="str">
        <f t="shared" si="6"/>
        <v/>
      </c>
      <c r="AQ38" s="548"/>
    </row>
    <row r="39" spans="1:44">
      <c r="A39" s="700" t="str">
        <f xml:space="preserve"> CHAR(160) &amp; CHAR(10) &amp; IFERROR(INDEX(#REF!,MATCH(Y5,#REF!,0)),"") &amp; CHAR(10) &amp; CHAR(10) &amp; IFERROR(INDEX(#REF!,MATCH(Y5,#REF!,0)),"") &amp; CHAR(10)  &amp; CHAR(10) &amp; IFERROR(INDEX(#REF!,MATCH(Y5,#REF!,0)),"") &amp; CHAR(10) &amp; REPT("_",42)</f>
        <v> 
__________________________________________</v>
      </c>
      <c r="B39" s="701"/>
      <c r="C39" s="701"/>
      <c r="D39" s="701"/>
      <c r="E39" s="701"/>
      <c r="F39" s="701"/>
      <c r="G39" s="701"/>
      <c r="H39" s="701"/>
      <c r="I39" s="702"/>
      <c r="J39" s="167">
        <f>J35+1</f>
        <v>16</v>
      </c>
      <c r="K39" s="634" t="str">
        <f t="shared" si="3"/>
        <v xml:space="preserve"> c</v>
      </c>
      <c r="L39" s="549"/>
      <c r="M39" s="268"/>
      <c r="N39" s="268"/>
      <c r="O39" s="258"/>
      <c r="P39" s="634" t="str">
        <f t="shared" si="4"/>
        <v/>
      </c>
      <c r="Q39" s="549"/>
      <c r="R39" s="268"/>
      <c r="S39" s="268"/>
      <c r="T39" s="258"/>
      <c r="V39" s="548"/>
      <c r="W39" s="548"/>
      <c r="X39" s="131"/>
      <c r="AB39" s="385">
        <f>AB37+0.5</f>
        <v>16</v>
      </c>
      <c r="AC39" s="627" t="str">
        <f t="shared" si="5"/>
        <v/>
      </c>
      <c r="AD39" s="627" t="str">
        <f t="shared" si="5"/>
        <v/>
      </c>
      <c r="AG39" s="630" t="str">
        <f t="shared" si="6"/>
        <v xml:space="preserve"> c</v>
      </c>
      <c r="AH39" s="630" t="str">
        <f t="shared" si="6"/>
        <v/>
      </c>
      <c r="AN39" s="265"/>
      <c r="AO39" s="548"/>
      <c r="AP39" s="264"/>
      <c r="AQ39" s="267"/>
      <c r="AR39" s="266"/>
    </row>
    <row r="40" spans="1:44" ht="1.5" customHeight="1">
      <c r="A40" s="700"/>
      <c r="B40" s="701"/>
      <c r="C40" s="701"/>
      <c r="D40" s="701"/>
      <c r="E40" s="701"/>
      <c r="F40" s="701"/>
      <c r="G40" s="701"/>
      <c r="H40" s="701"/>
      <c r="I40" s="702"/>
      <c r="J40" s="167"/>
      <c r="K40" s="634" t="str">
        <f t="shared" si="3"/>
        <v/>
      </c>
      <c r="L40" s="366"/>
      <c r="M40" s="540"/>
      <c r="N40" s="540"/>
      <c r="O40" s="541"/>
      <c r="P40" s="634" t="str">
        <f t="shared" si="4"/>
        <v/>
      </c>
      <c r="Q40" s="366"/>
      <c r="R40" s="540"/>
      <c r="S40" s="540"/>
      <c r="T40" s="541"/>
      <c r="V40" s="548"/>
      <c r="W40" s="548"/>
      <c r="X40" s="131"/>
      <c r="AC40" s="627" t="str">
        <f t="shared" si="5"/>
        <v/>
      </c>
      <c r="AD40" s="627" t="str">
        <f t="shared" si="5"/>
        <v/>
      </c>
      <c r="AG40" s="630" t="str">
        <f t="shared" si="6"/>
        <v/>
      </c>
      <c r="AH40" s="630" t="str">
        <f t="shared" si="6"/>
        <v/>
      </c>
      <c r="AN40" s="265"/>
      <c r="AO40" s="548"/>
      <c r="AP40" s="264"/>
      <c r="AQ40" s="565"/>
      <c r="AR40" s="561"/>
    </row>
    <row r="41" spans="1:44" ht="18" customHeight="1" thickBot="1">
      <c r="A41" s="700"/>
      <c r="B41" s="701"/>
      <c r="C41" s="701"/>
      <c r="D41" s="701"/>
      <c r="E41" s="701"/>
      <c r="F41" s="701"/>
      <c r="G41" s="701"/>
      <c r="H41" s="701"/>
      <c r="I41" s="702"/>
      <c r="J41" s="167"/>
      <c r="K41" s="634" t="str">
        <f t="shared" si="3"/>
        <v>´ō`</v>
      </c>
      <c r="L41" s="549"/>
      <c r="M41" s="268"/>
      <c r="N41" s="268"/>
      <c r="O41" s="258"/>
      <c r="P41" s="634" t="str">
        <f t="shared" si="4"/>
        <v>´ō` c</v>
      </c>
      <c r="Q41" s="549"/>
      <c r="R41" s="268"/>
      <c r="S41" s="268"/>
      <c r="T41" s="258"/>
      <c r="V41" s="548"/>
      <c r="W41" s="548"/>
      <c r="X41" s="131"/>
      <c r="AB41" s="385">
        <f>AB39+0.5</f>
        <v>16.5</v>
      </c>
      <c r="AC41" s="627" t="str">
        <f t="shared" si="5"/>
        <v>´ō`</v>
      </c>
      <c r="AD41" s="627" t="str">
        <f t="shared" si="5"/>
        <v>´ō`</v>
      </c>
      <c r="AG41" s="630" t="str">
        <f t="shared" si="6"/>
        <v/>
      </c>
      <c r="AH41" s="630" t="str">
        <f t="shared" si="6"/>
        <v xml:space="preserve"> c</v>
      </c>
      <c r="AN41" s="263"/>
      <c r="AO41" s="262"/>
      <c r="AP41" s="261"/>
      <c r="AQ41" s="271"/>
      <c r="AR41" s="270"/>
    </row>
    <row r="42" spans="1:44" ht="1.5" customHeight="1">
      <c r="A42" s="700"/>
      <c r="B42" s="701"/>
      <c r="C42" s="701"/>
      <c r="D42" s="701"/>
      <c r="E42" s="701"/>
      <c r="F42" s="701"/>
      <c r="G42" s="701"/>
      <c r="H42" s="701"/>
      <c r="I42" s="702"/>
      <c r="J42" s="167"/>
      <c r="K42" s="634" t="str">
        <f t="shared" si="3"/>
        <v/>
      </c>
      <c r="L42" s="366"/>
      <c r="M42" s="540"/>
      <c r="N42" s="540"/>
      <c r="O42" s="541"/>
      <c r="P42" s="634" t="str">
        <f t="shared" si="4"/>
        <v/>
      </c>
      <c r="Q42" s="366"/>
      <c r="R42" s="540"/>
      <c r="S42" s="540"/>
      <c r="T42" s="541"/>
      <c r="V42" s="548"/>
      <c r="W42" s="548"/>
      <c r="X42" s="131"/>
      <c r="AC42" s="627" t="str">
        <f t="shared" si="5"/>
        <v/>
      </c>
      <c r="AD42" s="627" t="str">
        <f t="shared" si="5"/>
        <v/>
      </c>
      <c r="AG42" s="630" t="str">
        <f t="shared" si="6"/>
        <v/>
      </c>
      <c r="AH42" s="630" t="str">
        <f t="shared" si="6"/>
        <v/>
      </c>
      <c r="AN42" s="265"/>
      <c r="AO42" s="548"/>
      <c r="AP42" s="264"/>
      <c r="AQ42" s="260"/>
      <c r="AR42" s="259"/>
    </row>
    <row r="43" spans="1:44">
      <c r="A43" s="700"/>
      <c r="B43" s="701"/>
      <c r="C43" s="701"/>
      <c r="D43" s="701"/>
      <c r="E43" s="701"/>
      <c r="F43" s="701"/>
      <c r="G43" s="701"/>
      <c r="H43" s="701"/>
      <c r="I43" s="702"/>
      <c r="J43" s="167">
        <f>J39+1</f>
        <v>17</v>
      </c>
      <c r="K43" s="634" t="str">
        <f t="shared" si="3"/>
        <v/>
      </c>
      <c r="L43" s="548"/>
      <c r="M43" s="167"/>
      <c r="N43" s="167"/>
      <c r="O43" s="269"/>
      <c r="P43" s="634" t="str">
        <f t="shared" si="4"/>
        <v/>
      </c>
      <c r="Q43" s="548"/>
      <c r="R43" s="167"/>
      <c r="S43" s="167"/>
      <c r="T43" s="269"/>
      <c r="V43" s="548"/>
      <c r="W43" s="548"/>
      <c r="X43" s="131"/>
      <c r="AB43" s="385">
        <f>AB41+0.5</f>
        <v>17</v>
      </c>
      <c r="AC43" s="627" t="str">
        <f t="shared" si="5"/>
        <v/>
      </c>
      <c r="AD43" s="627" t="str">
        <f t="shared" si="5"/>
        <v/>
      </c>
      <c r="AG43" s="630" t="str">
        <f t="shared" si="6"/>
        <v/>
      </c>
      <c r="AH43" s="630" t="str">
        <f t="shared" si="6"/>
        <v/>
      </c>
      <c r="AN43" s="265"/>
      <c r="AO43" s="548"/>
      <c r="AP43" s="264"/>
      <c r="AQ43" s="260"/>
      <c r="AR43" s="259"/>
    </row>
    <row r="44" spans="1:44" ht="1.5" customHeight="1">
      <c r="A44" s="700"/>
      <c r="B44" s="701"/>
      <c r="C44" s="701"/>
      <c r="D44" s="701"/>
      <c r="E44" s="701"/>
      <c r="F44" s="701"/>
      <c r="G44" s="701"/>
      <c r="H44" s="701"/>
      <c r="I44" s="702"/>
      <c r="J44" s="167"/>
      <c r="K44" s="634" t="str">
        <f t="shared" si="3"/>
        <v/>
      </c>
      <c r="L44" s="549"/>
      <c r="M44" s="268"/>
      <c r="N44" s="268"/>
      <c r="O44" s="258"/>
      <c r="P44" s="634" t="str">
        <f t="shared" si="4"/>
        <v/>
      </c>
      <c r="Q44" s="549"/>
      <c r="R44" s="268"/>
      <c r="S44" s="268"/>
      <c r="T44" s="258"/>
      <c r="V44" s="548"/>
      <c r="W44" s="548"/>
      <c r="X44" s="131"/>
      <c r="AC44" s="627" t="str">
        <f t="shared" si="5"/>
        <v/>
      </c>
      <c r="AD44" s="627" t="str">
        <f t="shared" si="5"/>
        <v/>
      </c>
      <c r="AG44" s="630" t="str">
        <f t="shared" si="6"/>
        <v/>
      </c>
      <c r="AH44" s="630" t="str">
        <f t="shared" si="6"/>
        <v/>
      </c>
      <c r="AN44" s="265"/>
      <c r="AO44" s="548"/>
      <c r="AP44" s="264"/>
      <c r="AQ44" s="267"/>
      <c r="AR44" s="266"/>
    </row>
    <row r="45" spans="1:44">
      <c r="A45" s="700"/>
      <c r="B45" s="701"/>
      <c r="C45" s="701"/>
      <c r="D45" s="701"/>
      <c r="E45" s="701"/>
      <c r="F45" s="701"/>
      <c r="G45" s="701"/>
      <c r="H45" s="701"/>
      <c r="I45" s="702"/>
      <c r="J45" s="167"/>
      <c r="K45" s="634" t="str">
        <f t="shared" si="3"/>
        <v/>
      </c>
      <c r="L45" s="548"/>
      <c r="M45" s="167"/>
      <c r="N45" s="167"/>
      <c r="O45" s="269"/>
      <c r="P45" s="634" t="str">
        <f t="shared" si="4"/>
        <v/>
      </c>
      <c r="Q45" s="548"/>
      <c r="R45" s="167"/>
      <c r="S45" s="167"/>
      <c r="T45" s="269"/>
      <c r="V45" s="548"/>
      <c r="W45" s="548"/>
      <c r="X45" s="131"/>
      <c r="AB45" s="385">
        <f>AB43+0.5</f>
        <v>17.5</v>
      </c>
      <c r="AC45" s="627" t="str">
        <f t="shared" si="5"/>
        <v/>
      </c>
      <c r="AD45" s="627" t="str">
        <f t="shared" si="5"/>
        <v/>
      </c>
      <c r="AG45" s="630" t="str">
        <f t="shared" si="6"/>
        <v/>
      </c>
      <c r="AH45" s="630" t="str">
        <f t="shared" si="6"/>
        <v/>
      </c>
      <c r="AN45" s="265"/>
      <c r="AO45" s="548"/>
      <c r="AP45" s="264"/>
      <c r="AQ45" s="565"/>
      <c r="AR45" s="561"/>
    </row>
    <row r="46" spans="1:44" ht="1.5" customHeight="1">
      <c r="A46" s="700"/>
      <c r="B46" s="701"/>
      <c r="C46" s="701"/>
      <c r="D46" s="701"/>
      <c r="E46" s="701"/>
      <c r="F46" s="701"/>
      <c r="G46" s="701"/>
      <c r="H46" s="701"/>
      <c r="I46" s="702"/>
      <c r="J46" s="167"/>
      <c r="K46" s="634" t="str">
        <f t="shared" si="3"/>
        <v/>
      </c>
      <c r="L46" s="549"/>
      <c r="M46" s="268"/>
      <c r="N46" s="268"/>
      <c r="O46" s="258"/>
      <c r="P46" s="634" t="str">
        <f t="shared" si="4"/>
        <v/>
      </c>
      <c r="Q46" s="549"/>
      <c r="R46" s="268"/>
      <c r="S46" s="268"/>
      <c r="T46" s="258"/>
      <c r="V46" s="548"/>
      <c r="W46" s="548"/>
      <c r="X46" s="131"/>
      <c r="AC46" s="627" t="str">
        <f t="shared" si="5"/>
        <v/>
      </c>
      <c r="AD46" s="627" t="str">
        <f t="shared" si="5"/>
        <v/>
      </c>
      <c r="AG46" s="630" t="str">
        <f t="shared" si="6"/>
        <v/>
      </c>
      <c r="AH46" s="630" t="str">
        <f t="shared" si="6"/>
        <v/>
      </c>
      <c r="AN46" s="265"/>
      <c r="AO46" s="548"/>
      <c r="AP46" s="264"/>
      <c r="AQ46" s="267"/>
      <c r="AR46" s="266"/>
    </row>
    <row r="47" spans="1:44">
      <c r="A47" s="700"/>
      <c r="B47" s="701"/>
      <c r="C47" s="701"/>
      <c r="D47" s="701"/>
      <c r="E47" s="701"/>
      <c r="F47" s="701"/>
      <c r="G47" s="701"/>
      <c r="H47" s="701"/>
      <c r="I47" s="702"/>
      <c r="J47" s="167">
        <f>J43+1</f>
        <v>18</v>
      </c>
      <c r="K47" s="634" t="str">
        <f t="shared" si="3"/>
        <v/>
      </c>
      <c r="L47" s="548"/>
      <c r="M47" s="167"/>
      <c r="N47" s="167"/>
      <c r="O47" s="269"/>
      <c r="P47" s="634" t="str">
        <f t="shared" si="4"/>
        <v/>
      </c>
      <c r="Q47" s="548"/>
      <c r="R47" s="167"/>
      <c r="S47" s="167"/>
      <c r="T47" s="269"/>
      <c r="V47" s="548"/>
      <c r="W47" s="548"/>
      <c r="X47" s="131"/>
      <c r="AB47" s="385">
        <f>AB45+0.5</f>
        <v>18</v>
      </c>
      <c r="AC47" s="627" t="str">
        <f t="shared" si="5"/>
        <v/>
      </c>
      <c r="AD47" s="627" t="str">
        <f t="shared" si="5"/>
        <v/>
      </c>
      <c r="AG47" s="630" t="str">
        <f t="shared" si="6"/>
        <v/>
      </c>
      <c r="AH47" s="630" t="str">
        <f t="shared" si="6"/>
        <v/>
      </c>
      <c r="AN47" s="265"/>
      <c r="AO47" s="548"/>
      <c r="AP47" s="264"/>
      <c r="AQ47" s="565"/>
      <c r="AR47" s="561"/>
    </row>
    <row r="48" spans="1:44" ht="1.5" customHeight="1">
      <c r="A48" s="700"/>
      <c r="B48" s="701"/>
      <c r="C48" s="701"/>
      <c r="D48" s="701"/>
      <c r="E48" s="701"/>
      <c r="F48" s="701"/>
      <c r="G48" s="701"/>
      <c r="H48" s="701"/>
      <c r="I48" s="702"/>
      <c r="J48" s="167"/>
      <c r="K48" s="634" t="str">
        <f t="shared" si="3"/>
        <v/>
      </c>
      <c r="L48" s="549"/>
      <c r="M48" s="268"/>
      <c r="N48" s="268"/>
      <c r="O48" s="258"/>
      <c r="P48" s="634" t="str">
        <f t="shared" si="4"/>
        <v/>
      </c>
      <c r="Q48" s="549"/>
      <c r="R48" s="268"/>
      <c r="S48" s="268"/>
      <c r="T48" s="258"/>
      <c r="V48" s="548"/>
      <c r="W48" s="548"/>
      <c r="X48" s="131"/>
      <c r="AC48" s="627" t="str">
        <f t="shared" si="5"/>
        <v/>
      </c>
      <c r="AD48" s="627" t="str">
        <f t="shared" si="5"/>
        <v/>
      </c>
      <c r="AG48" s="630" t="str">
        <f t="shared" si="6"/>
        <v/>
      </c>
      <c r="AH48" s="630" t="str">
        <f t="shared" si="6"/>
        <v/>
      </c>
      <c r="AN48" s="265"/>
      <c r="AO48" s="548"/>
      <c r="AP48" s="264"/>
      <c r="AQ48" s="267"/>
      <c r="AR48" s="266"/>
    </row>
    <row r="49" spans="1:56">
      <c r="A49" s="700"/>
      <c r="B49" s="701"/>
      <c r="C49" s="701"/>
      <c r="D49" s="701"/>
      <c r="E49" s="701"/>
      <c r="F49" s="701"/>
      <c r="G49" s="701"/>
      <c r="H49" s="701"/>
      <c r="I49" s="702"/>
      <c r="J49" s="167"/>
      <c r="K49" s="634" t="str">
        <f t="shared" si="3"/>
        <v/>
      </c>
      <c r="L49" s="550"/>
      <c r="M49" s="522"/>
      <c r="N49" s="522"/>
      <c r="O49" s="258"/>
      <c r="P49" s="634" t="str">
        <f t="shared" si="4"/>
        <v/>
      </c>
      <c r="Q49" s="550"/>
      <c r="R49" s="522"/>
      <c r="S49" s="522"/>
      <c r="T49" s="258"/>
      <c r="V49" s="548"/>
      <c r="W49" s="548"/>
      <c r="X49" s="131"/>
      <c r="AB49" s="385">
        <f>AB47+0.5</f>
        <v>18.5</v>
      </c>
      <c r="AC49" s="627" t="str">
        <f t="shared" si="5"/>
        <v/>
      </c>
      <c r="AD49" s="627" t="str">
        <f t="shared" si="5"/>
        <v/>
      </c>
      <c r="AG49" s="630" t="str">
        <f t="shared" si="6"/>
        <v/>
      </c>
      <c r="AH49" s="630" t="str">
        <f t="shared" si="6"/>
        <v/>
      </c>
      <c r="AN49" s="265"/>
      <c r="AO49" s="548"/>
      <c r="AP49" s="264"/>
      <c r="AQ49" s="564"/>
      <c r="AR49" s="559"/>
    </row>
    <row r="50" spans="1:56" ht="18" customHeight="1" thickBot="1">
      <c r="A50" s="700"/>
      <c r="B50" s="701"/>
      <c r="C50" s="701"/>
      <c r="D50" s="701"/>
      <c r="E50" s="701"/>
      <c r="F50" s="701"/>
      <c r="G50" s="701"/>
      <c r="H50" s="701"/>
      <c r="I50" s="702"/>
      <c r="J50" s="167">
        <f>J47+1</f>
        <v>19</v>
      </c>
      <c r="K50" s="634" t="str">
        <f t="shared" si="3"/>
        <v/>
      </c>
      <c r="L50" s="550"/>
      <c r="M50" s="522"/>
      <c r="N50" s="522"/>
      <c r="O50" s="258"/>
      <c r="P50" s="634" t="str">
        <f t="shared" si="4"/>
        <v/>
      </c>
      <c r="Q50" s="550"/>
      <c r="R50" s="522"/>
      <c r="S50" s="522"/>
      <c r="T50" s="258"/>
      <c r="V50" s="548"/>
      <c r="W50" s="548"/>
      <c r="X50" s="131"/>
      <c r="AB50" s="385">
        <f>AB49+0.5</f>
        <v>19</v>
      </c>
      <c r="AC50" s="627" t="str">
        <f t="shared" si="5"/>
        <v/>
      </c>
      <c r="AD50" s="627" t="str">
        <f t="shared" si="5"/>
        <v/>
      </c>
      <c r="AG50" s="630" t="str">
        <f t="shared" si="6"/>
        <v/>
      </c>
      <c r="AH50" s="630" t="str">
        <f t="shared" si="6"/>
        <v/>
      </c>
      <c r="AN50" s="263"/>
      <c r="AO50" s="262"/>
      <c r="AP50" s="261"/>
      <c r="AQ50" s="566"/>
      <c r="AR50" s="567"/>
    </row>
    <row r="51" spans="1:56">
      <c r="A51" s="700"/>
      <c r="B51" s="701"/>
      <c r="C51" s="701"/>
      <c r="D51" s="701"/>
      <c r="E51" s="701"/>
      <c r="F51" s="701"/>
      <c r="G51" s="701"/>
      <c r="H51" s="701"/>
      <c r="I51" s="702"/>
      <c r="J51" s="167"/>
      <c r="K51" s="634" t="str">
        <f t="shared" si="3"/>
        <v/>
      </c>
      <c r="L51" s="550"/>
      <c r="M51" s="522"/>
      <c r="N51" s="522"/>
      <c r="O51" s="258"/>
      <c r="P51" s="634" t="str">
        <f t="shared" si="4"/>
        <v/>
      </c>
      <c r="Q51" s="550"/>
      <c r="R51" s="522"/>
      <c r="S51" s="522"/>
      <c r="T51" s="258"/>
      <c r="V51" s="548"/>
      <c r="W51" s="548"/>
      <c r="X51" s="131"/>
      <c r="AB51" s="385">
        <f>AB50+0.5</f>
        <v>19.5</v>
      </c>
      <c r="AC51" s="627" t="str">
        <f t="shared" si="5"/>
        <v/>
      </c>
      <c r="AD51" s="627" t="str">
        <f t="shared" si="5"/>
        <v/>
      </c>
      <c r="AG51" s="630" t="str">
        <f t="shared" si="6"/>
        <v/>
      </c>
      <c r="AH51" s="630" t="str">
        <f t="shared" si="6"/>
        <v/>
      </c>
      <c r="AN51" s="273"/>
      <c r="AO51" s="350"/>
      <c r="AP51" s="351"/>
      <c r="AQ51" s="549"/>
      <c r="AR51" s="266"/>
    </row>
    <row r="52" spans="1:56">
      <c r="A52" s="700"/>
      <c r="B52" s="701"/>
      <c r="C52" s="701"/>
      <c r="D52" s="701"/>
      <c r="E52" s="701"/>
      <c r="F52" s="701"/>
      <c r="G52" s="701"/>
      <c r="H52" s="701"/>
      <c r="I52" s="702"/>
      <c r="J52" s="167">
        <f>J50+1</f>
        <v>20</v>
      </c>
      <c r="K52" s="634" t="str">
        <f t="shared" si="3"/>
        <v/>
      </c>
      <c r="L52" s="550"/>
      <c r="M52" s="522"/>
      <c r="N52" s="522"/>
      <c r="O52" s="258"/>
      <c r="P52" s="634" t="str">
        <f t="shared" si="4"/>
        <v/>
      </c>
      <c r="Q52" s="550"/>
      <c r="R52" s="522"/>
      <c r="S52" s="522"/>
      <c r="T52" s="258"/>
      <c r="V52" s="548"/>
      <c r="W52" s="548"/>
      <c r="X52" s="131"/>
      <c r="AB52" s="385">
        <f>AB51+0.5</f>
        <v>20</v>
      </c>
      <c r="AC52" s="628" t="str">
        <f t="shared" si="5"/>
        <v/>
      </c>
      <c r="AD52" s="628" t="str">
        <f t="shared" si="5"/>
        <v/>
      </c>
      <c r="AG52" s="631" t="str">
        <f t="shared" si="6"/>
        <v/>
      </c>
      <c r="AH52" s="631" t="str">
        <f t="shared" si="6"/>
        <v/>
      </c>
      <c r="AN52" s="564"/>
      <c r="AO52" s="550"/>
      <c r="AP52" s="522"/>
      <c r="AQ52" s="550"/>
      <c r="AR52" s="559"/>
    </row>
    <row r="53" spans="1:56" ht="18" customHeight="1">
      <c r="A53" s="703"/>
      <c r="B53" s="704"/>
      <c r="C53" s="704"/>
      <c r="D53" s="704"/>
      <c r="E53" s="704"/>
      <c r="F53" s="704"/>
      <c r="G53" s="704"/>
      <c r="H53" s="704"/>
      <c r="I53" s="705"/>
      <c r="J53" s="167"/>
      <c r="K53" s="382"/>
      <c r="L53" s="706" t="str">
        <f>"Naksatra: " &amp; AC73 &amp; CHAR(10) &amp; "Yoga: " &amp; AC74</f>
        <v>Naksatra: Dhanista
Yoga: Vajra</v>
      </c>
      <c r="M53" s="706"/>
      <c r="N53" s="706"/>
      <c r="O53" s="353" t="str">
        <f>AC75 &amp; CHAR(10) &amp; AC76</f>
        <v>364
1</v>
      </c>
      <c r="P53" s="382"/>
      <c r="Q53" s="706" t="str">
        <f>"Naksatra: " &amp; AD73 &amp; CHAR(10) &amp; "Yoga: " &amp; AD74</f>
        <v>Naksatra: Satabhisa
Yoga: Siddhi</v>
      </c>
      <c r="R53" s="706"/>
      <c r="S53" s="706"/>
      <c r="T53" s="353" t="str">
        <f>AD75 &amp; CHAR(10) &amp; AD76</f>
        <v>365
0</v>
      </c>
      <c r="V53" s="548"/>
      <c r="W53" s="548"/>
      <c r="X53" s="131"/>
      <c r="AN53" s="564"/>
      <c r="AO53" s="550"/>
      <c r="AP53" s="522"/>
      <c r="AQ53" s="550"/>
      <c r="AR53" s="559"/>
    </row>
    <row r="54" spans="1:56" ht="2.25" customHeight="1">
      <c r="A54" s="548"/>
      <c r="B54" s="548"/>
      <c r="C54" s="548"/>
      <c r="D54" s="548"/>
      <c r="E54" s="548"/>
      <c r="F54" s="548"/>
      <c r="G54" s="548"/>
      <c r="H54" s="548"/>
      <c r="I54" s="548"/>
      <c r="AC54" s="545"/>
      <c r="AE54" s="545"/>
    </row>
    <row r="55" spans="1:56">
      <c r="R55" s="7"/>
      <c r="AA55" s="372" t="s">
        <v>829</v>
      </c>
      <c r="AB55" s="635" t="s">
        <v>6594</v>
      </c>
      <c r="AC55" s="573">
        <f t="shared" ref="AC55:AD58" si="7">IF(MINUTE(AC60)&lt;15,HOUR(AC60),IF(MINUTE(AC60)&gt;45,HOUR(AC60)+1,HOUR(AC60)+0.5))</f>
        <v>5.5</v>
      </c>
      <c r="AD55" s="574">
        <f t="shared" si="7"/>
        <v>5.5</v>
      </c>
      <c r="AE55" s="333" t="s">
        <v>1128</v>
      </c>
    </row>
    <row r="56" spans="1:56">
      <c r="AA56" s="372" t="s">
        <v>833</v>
      </c>
      <c r="AB56" s="636" t="s">
        <v>6595</v>
      </c>
      <c r="AC56" s="515">
        <f t="shared" si="7"/>
        <v>7.5</v>
      </c>
      <c r="AD56" s="516">
        <f t="shared" si="7"/>
        <v>7.5</v>
      </c>
      <c r="AE56" s="545"/>
      <c r="AG56" s="575">
        <f t="shared" ref="AG56:AH58" si="8">IFERROR(IF(MINUTE(AG61)&lt;15,HOUR(AG61),IF(MINUTE(AG61)&gt;45,HOUR(AG61)+1,HOUR(AG61)+0.5)),"---")</f>
        <v>10.5</v>
      </c>
      <c r="AH56" s="573">
        <f t="shared" si="8"/>
        <v>11</v>
      </c>
      <c r="AI56" s="642" t="s">
        <v>6596</v>
      </c>
      <c r="AJ56" s="632" t="s">
        <v>1108</v>
      </c>
      <c r="AW56" s="376" t="s">
        <v>1114</v>
      </c>
      <c r="AX56" s="181" t="s">
        <v>1128</v>
      </c>
      <c r="AY56" s="381" t="s">
        <v>1139</v>
      </c>
      <c r="AZ56" s="181" t="s">
        <v>1125</v>
      </c>
      <c r="BC56" s="181" t="s">
        <v>1120</v>
      </c>
      <c r="BD56" s="16" t="s">
        <v>1149</v>
      </c>
    </row>
    <row r="57" spans="1:56">
      <c r="R57" s="7"/>
      <c r="AA57" s="372" t="s">
        <v>834</v>
      </c>
      <c r="AB57" s="636" t="s">
        <v>6592</v>
      </c>
      <c r="AC57" s="515">
        <f t="shared" si="7"/>
        <v>12</v>
      </c>
      <c r="AD57" s="516">
        <f t="shared" si="7"/>
        <v>12</v>
      </c>
      <c r="AE57" s="545"/>
      <c r="AG57" s="514">
        <f t="shared" si="8"/>
        <v>16</v>
      </c>
      <c r="AH57" s="515">
        <f t="shared" si="8"/>
        <v>16.5</v>
      </c>
      <c r="AI57" s="638" t="s">
        <v>6598</v>
      </c>
      <c r="AJ57" s="632" t="s">
        <v>1109</v>
      </c>
      <c r="AW57" s="377" t="s">
        <v>1115</v>
      </c>
      <c r="AX57" s="379" t="s">
        <v>1129</v>
      </c>
      <c r="AY57" s="380" t="s">
        <v>1138</v>
      </c>
      <c r="AZ57" s="181" t="s">
        <v>1124</v>
      </c>
      <c r="BA57" s="151" t="s">
        <v>1127</v>
      </c>
      <c r="BB57" s="240" t="s">
        <v>1150</v>
      </c>
      <c r="BC57" s="375" t="s">
        <v>1123</v>
      </c>
      <c r="BD57" s="16" t="s">
        <v>1133</v>
      </c>
    </row>
    <row r="58" spans="1:56">
      <c r="R58" s="7"/>
      <c r="AA58" s="372" t="s">
        <v>835</v>
      </c>
      <c r="AB58" s="637" t="s">
        <v>6599</v>
      </c>
      <c r="AC58" s="518">
        <f t="shared" si="7"/>
        <v>16.5</v>
      </c>
      <c r="AD58" s="519">
        <f t="shared" si="7"/>
        <v>16.5</v>
      </c>
      <c r="AE58" s="545"/>
      <c r="AG58" s="517">
        <f t="shared" si="8"/>
        <v>21</v>
      </c>
      <c r="AH58" s="518">
        <f t="shared" si="8"/>
        <v>22</v>
      </c>
      <c r="AI58" s="643" t="s">
        <v>6597</v>
      </c>
      <c r="AJ58" s="632" t="s">
        <v>1110</v>
      </c>
      <c r="AW58" s="378" t="s">
        <v>76</v>
      </c>
      <c r="AX58" s="181" t="s">
        <v>1132</v>
      </c>
      <c r="AY58" s="380" t="s">
        <v>1137</v>
      </c>
      <c r="AZ58" s="332" t="s">
        <v>951</v>
      </c>
      <c r="BA58" s="181" t="s">
        <v>1129</v>
      </c>
      <c r="BB58" s="240" t="s">
        <v>1132</v>
      </c>
      <c r="BC58" s="373" t="s">
        <v>1122</v>
      </c>
      <c r="BD58" s="16" t="s">
        <v>1130</v>
      </c>
    </row>
    <row r="59" spans="1:56">
      <c r="AA59" s="372" t="s">
        <v>6559</v>
      </c>
      <c r="AB59" s="7"/>
      <c r="AC59" s="572">
        <f>AC66</f>
        <v>37</v>
      </c>
      <c r="AD59" s="572">
        <f>AD66</f>
        <v>38</v>
      </c>
      <c r="AE59" s="61"/>
      <c r="AF59" s="61"/>
      <c r="AG59" s="581">
        <f>AC66</f>
        <v>37</v>
      </c>
      <c r="AH59" s="581">
        <f>AD66</f>
        <v>38</v>
      </c>
      <c r="AW59" s="377" t="s">
        <v>1116</v>
      </c>
      <c r="AX59" s="380" t="s">
        <v>1131</v>
      </c>
      <c r="AY59" s="380" t="s">
        <v>1141</v>
      </c>
      <c r="AZ59" s="181" t="s">
        <v>1119</v>
      </c>
      <c r="BA59" s="332" t="s">
        <v>950</v>
      </c>
      <c r="BB59" s="240" t="s">
        <v>1148</v>
      </c>
      <c r="BC59" s="373" t="s">
        <v>1121</v>
      </c>
      <c r="BD59" s="16" t="s">
        <v>1126</v>
      </c>
    </row>
    <row r="60" spans="1:56">
      <c r="AA60" s="372" t="s">
        <v>829</v>
      </c>
      <c r="AB60" s="639" t="s">
        <v>1128</v>
      </c>
      <c r="AC60" s="568">
        <f>INDEX(GCalXML[arunodaya],AC$59)</f>
        <v>0.23868055555555556</v>
      </c>
      <c r="AD60" s="569">
        <f>INDEX(GCalXML[arunodaya],AD$59)</f>
        <v>0.23880787037037035</v>
      </c>
      <c r="AE60" s="545"/>
      <c r="AY60" s="380" t="s">
        <v>1140</v>
      </c>
      <c r="BB60" s="240" t="s">
        <v>1147</v>
      </c>
    </row>
    <row r="61" spans="1:56">
      <c r="R61" s="7"/>
      <c r="AA61" s="372" t="s">
        <v>833</v>
      </c>
      <c r="AB61" s="640" t="s">
        <v>1129</v>
      </c>
      <c r="AC61" s="508">
        <f>INDEX(GCalXML[sunrise],AC$59)</f>
        <v>0.30534722222222221</v>
      </c>
      <c r="AD61" s="509">
        <f>INDEX(GCalXML[sunrise],AD$59)</f>
        <v>0.30547453703703703</v>
      </c>
      <c r="AE61" s="545"/>
      <c r="AG61" s="570">
        <f>INDEX(GCalXML[moonrise],AG$59)</f>
        <v>0.4368055555555555</v>
      </c>
      <c r="AH61" s="571">
        <f>INDEX(GCalXML[moonrise],AH$59)</f>
        <v>0.45694444444444443</v>
      </c>
      <c r="AI61" s="642" t="s">
        <v>6596</v>
      </c>
      <c r="AJ61" s="256" t="s">
        <v>6497</v>
      </c>
      <c r="AY61" s="380" t="s">
        <v>1143</v>
      </c>
      <c r="AZ61" s="181" t="s">
        <v>1117</v>
      </c>
      <c r="BA61" s="379" t="s">
        <v>1134</v>
      </c>
      <c r="BB61" s="379" t="s">
        <v>1145</v>
      </c>
      <c r="BC61" s="181" t="s">
        <v>1111</v>
      </c>
    </row>
    <row r="62" spans="1:56">
      <c r="AA62" s="372" t="s">
        <v>834</v>
      </c>
      <c r="AB62" s="640" t="s">
        <v>1144</v>
      </c>
      <c r="AC62" s="508">
        <f>INDEX(GCalXML[noon],AC$59)</f>
        <v>0.49899305555555556</v>
      </c>
      <c r="AD62" s="509">
        <f>INDEX(GCalXML[noon],AD$59)</f>
        <v>0.49932870370370369</v>
      </c>
      <c r="AE62" s="545"/>
      <c r="AG62" s="512">
        <f>INDEX(GCalXML[moontransit],AG$59)</f>
        <v>0.65763888888888888</v>
      </c>
      <c r="AH62" s="508">
        <f>INDEX(GCalXML[moontransit],AH$59)</f>
        <v>0.6875</v>
      </c>
      <c r="AI62" s="638" t="s">
        <v>6598</v>
      </c>
      <c r="AJ62" s="256" t="s">
        <v>6496</v>
      </c>
      <c r="AY62" s="380" t="s">
        <v>1142</v>
      </c>
      <c r="AZ62" s="181" t="s">
        <v>1118</v>
      </c>
      <c r="BA62" s="181" t="s">
        <v>1135</v>
      </c>
      <c r="BB62" s="181" t="s">
        <v>1135</v>
      </c>
      <c r="BC62" s="181" t="s">
        <v>1113</v>
      </c>
    </row>
    <row r="63" spans="1:56">
      <c r="R63" s="7"/>
      <c r="AA63" s="372" t="s">
        <v>835</v>
      </c>
      <c r="AB63" s="637" t="s">
        <v>6599</v>
      </c>
      <c r="AC63" s="510">
        <f>INDEX(GCalXML[sunset],AC$59)</f>
        <v>0.69262731481481488</v>
      </c>
      <c r="AD63" s="511">
        <f>INDEX(GCalXML[sunset],AD$59)</f>
        <v>0.69317129629629637</v>
      </c>
      <c r="AE63" s="545"/>
      <c r="AG63" s="513">
        <f>INDEX(GCalXML[moonset],AG$59)</f>
        <v>0.87777777777777777</v>
      </c>
      <c r="AH63" s="510">
        <f>INDEX(GCalXML[moonset],AH$59)</f>
        <v>0.91875000000000007</v>
      </c>
      <c r="AI63" s="643" t="s">
        <v>6597</v>
      </c>
      <c r="AJ63" s="256" t="s">
        <v>6498</v>
      </c>
      <c r="AZ63" s="181" t="s">
        <v>1119</v>
      </c>
      <c r="BA63" s="379" t="s">
        <v>1136</v>
      </c>
      <c r="BB63" s="379" t="s">
        <v>1146</v>
      </c>
      <c r="BC63" s="181" t="s">
        <v>1112</v>
      </c>
    </row>
    <row r="64" spans="1:56">
      <c r="R64" s="7"/>
    </row>
    <row r="65" spans="18:48" ht="12.75">
      <c r="Z65" s="7"/>
      <c r="AB65" s="7"/>
      <c r="AC65" s="576">
        <f>Options!X4</f>
        <v>43829</v>
      </c>
      <c r="AD65" s="576">
        <f>AC65 + 1</f>
        <v>43830</v>
      </c>
      <c r="AE65" s="545"/>
      <c r="AF65" s="545"/>
    </row>
    <row r="66" spans="18:48" ht="12.75">
      <c r="Z66" s="7"/>
      <c r="AB66" s="507" t="s">
        <v>6559</v>
      </c>
      <c r="AC66" s="505">
        <f>MATCH(AC65,GCalXML[date],0)</f>
        <v>37</v>
      </c>
      <c r="AD66" s="505">
        <f>AC66+1</f>
        <v>38</v>
      </c>
      <c r="AE66" s="545"/>
      <c r="AF66" s="545"/>
    </row>
    <row r="67" spans="18:48" ht="12.75">
      <c r="Z67" s="7"/>
      <c r="AB67" s="7"/>
      <c r="AC67" s="504" t="str">
        <f>INDEX(GCalXML[paksa],AC$66)</f>
        <v>Gaura Paksa</v>
      </c>
      <c r="AD67" s="504" t="str">
        <f>INDEX(GCalXML[paksa],AD$66)</f>
        <v>Gaura Paksa</v>
      </c>
      <c r="AE67" s="545"/>
      <c r="AF67" s="545"/>
      <c r="AJ67" s="7"/>
    </row>
    <row r="68" spans="18:48" ht="12.75">
      <c r="Z68" s="7"/>
      <c r="AC68" s="504" t="str">
        <f>INDEX(GCalXML[tithi],AC$66)</f>
        <v>Pancami Tithi</v>
      </c>
      <c r="AD68" s="504" t="str">
        <f>INDEX(GCalXML[tithi],AD$66)</f>
        <v>Sasti Tithi</v>
      </c>
      <c r="AE68" s="545"/>
      <c r="AF68" s="545"/>
    </row>
    <row r="69" spans="18:48" ht="12.75">
      <c r="R69" s="7"/>
      <c r="Z69" s="7"/>
      <c r="AC69" s="505" t="str">
        <f>INDEX(GCalXML[moontransl],AC$66)</f>
        <v>New M.</v>
      </c>
      <c r="AD69" s="505" t="str">
        <f>INDEX(GCalXML[moontransl],AD$66)</f>
        <v>New M.</v>
      </c>
      <c r="AE69" s="545"/>
      <c r="AF69" s="545"/>
    </row>
    <row r="70" spans="18:48" ht="12.75">
      <c r="Z70" s="7"/>
      <c r="AC70" s="506" t="str">
        <f>CHAR(INDEX(GCalXML[mooncode],AC$66))</f>
        <v>˜</v>
      </c>
      <c r="AD70" s="506" t="str">
        <f>CHAR(INDEX(GCalXML[mooncode],AD$66))</f>
        <v>˜</v>
      </c>
      <c r="AE70" s="545"/>
      <c r="AF70" s="545"/>
    </row>
    <row r="71" spans="18:48" ht="12.75">
      <c r="Z71" s="7"/>
      <c r="AA71" s="7"/>
      <c r="AB71" s="507" t="s">
        <v>6560</v>
      </c>
      <c r="AC71" s="505" t="str">
        <f>INDEX(GCalXML[fastmark],AC$66)</f>
        <v> </v>
      </c>
      <c r="AD71" s="505" t="str">
        <f>INDEX(GCalXML[fastmark],AD$66)</f>
        <v> </v>
      </c>
      <c r="AE71" s="545"/>
      <c r="AF71" s="545"/>
      <c r="AJ71" s="7"/>
      <c r="AU71" s="520"/>
    </row>
    <row r="72" spans="18:48" ht="12.75">
      <c r="Z72" s="7"/>
      <c r="AA72" s="7"/>
      <c r="AB72" s="507" t="s">
        <v>6562</v>
      </c>
      <c r="AC72" s="505" t="str">
        <f>INDEX(GCalXML[fasttype],AC$66)</f>
        <v> </v>
      </c>
      <c r="AD72" s="505" t="str">
        <f>INDEX(GCalXML[fasttype],AD$66)</f>
        <v> </v>
      </c>
      <c r="AE72" s="578"/>
      <c r="AF72" s="578"/>
      <c r="AG72" s="578"/>
      <c r="AJ72" s="7"/>
      <c r="AU72" s="7"/>
    </row>
    <row r="73" spans="18:48" ht="12.75">
      <c r="AA73" s="7"/>
      <c r="AB73" s="507" t="s">
        <v>670</v>
      </c>
      <c r="AC73" s="504" t="str">
        <f>INDEX(GCalXML[naksatra],AC$66)</f>
        <v>Dhanista</v>
      </c>
      <c r="AD73" s="504" t="str">
        <f>INDEX(GCalXML[naksatra],AD$66)</f>
        <v>Satabhisa</v>
      </c>
      <c r="AE73" s="545"/>
      <c r="AF73" s="545"/>
      <c r="AJ73" s="7"/>
      <c r="AU73" s="7"/>
      <c r="AV73" s="520"/>
    </row>
    <row r="74" spans="18:48" ht="12.75">
      <c r="AA74" s="7"/>
      <c r="AB74" s="507" t="s">
        <v>669</v>
      </c>
      <c r="AC74" s="504" t="str">
        <f>INDEX(GCalXML[yoga],AC$66)</f>
        <v>Vajra</v>
      </c>
      <c r="AD74" s="504" t="str">
        <f>INDEX(GCalXML[yoga],AD$66)</f>
        <v>Siddhi</v>
      </c>
      <c r="AE74" s="545"/>
      <c r="AF74" s="545"/>
      <c r="AJ74" s="7"/>
      <c r="AU74" s="7"/>
      <c r="AV74" s="7"/>
    </row>
    <row r="75" spans="18:48" ht="12.75">
      <c r="AB75" s="507" t="s">
        <v>6494</v>
      </c>
      <c r="AC75" s="504">
        <f>INDEX(GCalXML[doy],AC$66)</f>
        <v>364</v>
      </c>
      <c r="AD75" s="504">
        <f>INDEX(GCalXML[doy],AD$66)</f>
        <v>365</v>
      </c>
      <c r="AE75" s="545"/>
      <c r="AF75" s="545"/>
      <c r="AU75" s="7"/>
      <c r="AV75" s="7"/>
    </row>
    <row r="76" spans="18:48" ht="12.75">
      <c r="AB76" s="507" t="s">
        <v>6495</v>
      </c>
      <c r="AC76" s="504">
        <f>INDEX(GCalXML[nyc],AC$66)</f>
        <v>1</v>
      </c>
      <c r="AD76" s="504">
        <f>INDEX(GCalXML[nyc],AD$66)</f>
        <v>0</v>
      </c>
      <c r="AE76" s="545"/>
      <c r="AF76" s="545"/>
      <c r="AV76" s="7"/>
    </row>
    <row r="77" spans="18:48" s="619" customFormat="1" ht="12.75">
      <c r="AB77" s="507" t="s">
        <v>6585</v>
      </c>
      <c r="AC77" s="622" t="str">
        <f ca="1">IF(INDEX(GCalXML[festivalref],AC$66) = $AB77,AC80,AC78)</f>
        <v xml:space="preserve"> </v>
      </c>
      <c r="AD77" s="622" t="str">
        <f ca="1">IF(INDEX(GCalXML[festivalref],AD$66) = $AB77,AD81,AD79)</f>
        <v xml:space="preserve"> </v>
      </c>
    </row>
    <row r="78" spans="18:48" ht="12.75">
      <c r="AB78" s="507" t="s">
        <v>88</v>
      </c>
      <c r="AC78" s="623" t="str">
        <f ca="1">Concat3(OFFSET(GCalXML[[#Headers],[festival1]:[festival12]],AC66,0),CHAR(10),"[]")</f>
        <v xml:space="preserve"> </v>
      </c>
      <c r="AD78" s="7"/>
      <c r="AE78" s="545"/>
      <c r="AF78" s="545"/>
      <c r="AV78" s="7"/>
    </row>
    <row r="79" spans="18:48" ht="12.75">
      <c r="AB79" s="507" t="s">
        <v>91</v>
      </c>
      <c r="AC79" s="7"/>
      <c r="AD79" s="623" t="str">
        <f ca="1">Concat3(OFFSET(GCalXML[[#Headers],[festival1]:[festival12]],AD66,0),CHAR(10),"[]")</f>
        <v xml:space="preserve"> </v>
      </c>
      <c r="AE79" s="545"/>
      <c r="AF79" s="545"/>
      <c r="AQ79" s="7"/>
      <c r="AR79" s="7"/>
      <c r="AS79" s="7"/>
      <c r="AT79" s="7"/>
      <c r="AU79" s="7"/>
      <c r="AV79" s="7"/>
    </row>
    <row r="80" spans="18:48" ht="12.75" customHeight="1">
      <c r="AB80" s="507" t="s">
        <v>6587</v>
      </c>
      <c r="AC80" s="624" t="str">
        <f ca="1">OFFSET(GCalXML[[#Headers],[festival2]],AC66,0) &amp; " " &amp; Concat3(OFFSET(GCalXML[[#Headers],[festival4]:[festival12]],AC66,0)," ","[]")</f>
        <v xml:space="preserve">  </v>
      </c>
    </row>
    <row r="81" spans="28:30" ht="12.75" customHeight="1">
      <c r="AB81" s="507" t="s">
        <v>6588</v>
      </c>
      <c r="AD81" s="624" t="str">
        <f ca="1">OFFSET(GCalXML[[#Headers],[festival2]],AD66,0) &amp; " " &amp; Concat3(OFFSET(GCalXML[[#Headers],[festival4]:[festival12]],AD66,0)," ","[]")</f>
        <v xml:space="preserve">  </v>
      </c>
    </row>
  </sheetData>
  <mergeCells count="22">
    <mergeCell ref="A11:C11"/>
    <mergeCell ref="D11:I11"/>
    <mergeCell ref="A39:I53"/>
    <mergeCell ref="L53:N53"/>
    <mergeCell ref="Q53:S53"/>
    <mergeCell ref="L4:O10"/>
    <mergeCell ref="Q4:T10"/>
    <mergeCell ref="A6:I6"/>
    <mergeCell ref="A7:C7"/>
    <mergeCell ref="A8:C8"/>
    <mergeCell ref="A9:C9"/>
    <mergeCell ref="A10:C10"/>
    <mergeCell ref="A3:F4"/>
    <mergeCell ref="G3:I4"/>
    <mergeCell ref="J3:J10"/>
    <mergeCell ref="L3:N3"/>
    <mergeCell ref="Q3:S3"/>
    <mergeCell ref="A1:F2"/>
    <mergeCell ref="G1:J1"/>
    <mergeCell ref="M1:N2"/>
    <mergeCell ref="R1:S2"/>
    <mergeCell ref="G2:J2"/>
  </mergeCells>
  <conditionalFormatting sqref="M1:N2 R1:S2">
    <cfRule type="expression" dxfId="107" priority="1" stopIfTrue="1">
      <formula>AL1="S"</formula>
    </cfRule>
    <cfRule type="expression" dxfId="106" priority="2" stopIfTrue="1">
      <formula>AL1="H"</formula>
    </cfRule>
    <cfRule type="expression" dxfId="105" priority="3" stopIfTrue="1">
      <formula>AL1="P"</formula>
    </cfRule>
    <cfRule type="expression" dxfId="104" priority="4" stopIfTrue="1">
      <formula>AL1="K"</formula>
    </cfRule>
    <cfRule type="expression" dxfId="103" priority="5" stopIfTrue="1">
      <formula>AL1="F"</formula>
    </cfRule>
    <cfRule type="expression" dxfId="102" priority="6" stopIfTrue="1">
      <formula>AL1="E"</formula>
    </cfRule>
    <cfRule type="expression" dxfId="101" priority="7" stopIfTrue="1">
      <formula>AL1="C"</formula>
    </cfRule>
  </conditionalFormatting>
  <printOptions horizontalCentered="1"/>
  <pageMargins left="0.19685039370078741" right="0.19685039370078741" top="0.19685039370078741" bottom="0.19685039370078741" header="0.11811023622047245" footer="0.11811023622047245"/>
  <pageSetup paperSize="9" scale="9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451" r:id="rId4" name="WeekSelect2">
              <controlPr defaultSize="0" print="0" autoPict="0">
                <anchor moveWithCells="1">
                  <from>
                    <xdr:col>9</xdr:col>
                    <xdr:colOff>57150</xdr:colOff>
                    <xdr:row>1</xdr:row>
                    <xdr:rowOff>19050</xdr:rowOff>
                  </from>
                  <to>
                    <xdr:col>10</xdr:col>
                    <xdr:colOff>0</xdr:colOff>
                    <xdr:row>2</xdr:row>
                    <xdr:rowOff>142875</xdr:rowOff>
                  </to>
                </anchor>
              </controlPr>
            </control>
          </mc:Choice>
        </mc:AlternateContent>
        <mc:AlternateContent xmlns:mc="http://schemas.openxmlformats.org/markup-compatibility/2006">
          <mc:Choice Requires="x14">
            <control shapeId="104452" r:id="rId5" name="YearSelect3">
              <controlPr defaultSize="0" print="0" autoPict="0">
                <anchor moveWithCells="1">
                  <from>
                    <xdr:col>0</xdr:col>
                    <xdr:colOff>57150</xdr:colOff>
                    <xdr:row>0</xdr:row>
                    <xdr:rowOff>47625</xdr:rowOff>
                  </from>
                  <to>
                    <xdr:col>1</xdr:col>
                    <xdr:colOff>19050</xdr:colOff>
                    <xdr:row>1</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wksWeekRight">
    <pageSetUpPr fitToPage="1"/>
  </sheetPr>
  <dimension ref="A1:BA85"/>
  <sheetViews>
    <sheetView showGridLines="0" showWhiteSpace="0" zoomScaleNormal="100" zoomScaleSheetLayoutView="100" workbookViewId="0"/>
  </sheetViews>
  <sheetFormatPr defaultColWidth="9.140625" defaultRowHeight="18"/>
  <cols>
    <col min="1" max="1" width="3.140625" style="548" customWidth="1"/>
    <col min="2" max="2" width="1.7109375" style="548" customWidth="1"/>
    <col min="3" max="3" width="10" style="548" customWidth="1"/>
    <col min="4" max="6" width="4.28515625" style="548" customWidth="1"/>
    <col min="7" max="7" width="1.7109375" style="548" customWidth="1"/>
    <col min="8" max="8" width="10" style="548" customWidth="1"/>
    <col min="9" max="11" width="4.28515625" style="548" customWidth="1"/>
    <col min="12" max="12" width="1.7109375" style="548" customWidth="1"/>
    <col min="13" max="13" width="10" style="548" customWidth="1"/>
    <col min="14" max="16" width="4.28515625" style="548" customWidth="1"/>
    <col min="17" max="17" width="1" style="548" customWidth="1"/>
    <col min="18" max="24" width="3.28515625" style="548" customWidth="1"/>
    <col min="25" max="25" width="0.42578125" style="286" customWidth="1"/>
    <col min="26" max="26" width="1.5703125" style="131" customWidth="1"/>
    <col min="27" max="27" width="17.85546875" style="548" customWidth="1"/>
    <col min="28" max="28" width="6.42578125" style="548" customWidth="1"/>
    <col min="29" max="31" width="9.5703125" style="548" bestFit="1" customWidth="1"/>
    <col min="32" max="32" width="3.5703125" style="548" customWidth="1"/>
    <col min="33" max="35" width="9.5703125" style="548" bestFit="1" customWidth="1"/>
    <col min="36" max="36" width="3.5703125" style="548" customWidth="1"/>
    <col min="37" max="37" width="3" style="548" customWidth="1"/>
    <col min="38" max="38" width="3.28515625" bestFit="1" customWidth="1"/>
    <col min="39" max="39" width="2.85546875" customWidth="1"/>
    <col min="40" max="41" width="3.5703125" style="548" customWidth="1"/>
    <col min="42" max="50" width="4.28515625" style="548" customWidth="1"/>
    <col min="51" max="51" width="11.85546875" style="548" customWidth="1"/>
    <col min="52" max="52" width="11.85546875" style="548" bestFit="1" customWidth="1"/>
    <col min="53" max="53" width="7.140625" style="548" customWidth="1"/>
    <col min="54" max="16384" width="9.140625" style="548"/>
  </cols>
  <sheetData>
    <row r="1" spans="1:53" ht="18" customHeight="1">
      <c r="C1" s="327" t="str">
        <f ca="1">'GPlan-Translations'!C172</f>
        <v>Wednesday</v>
      </c>
      <c r="D1" s="681">
        <f>AC65</f>
        <v>43831</v>
      </c>
      <c r="E1" s="681"/>
      <c r="F1" s="285" t="str">
        <f>AC69</f>
        <v>New M.</v>
      </c>
      <c r="G1" s="285"/>
      <c r="H1" s="551" t="str">
        <f ca="1">'GPlan-Translations'!C173</f>
        <v>Tursday</v>
      </c>
      <c r="I1" s="681">
        <f>AD65</f>
        <v>43832</v>
      </c>
      <c r="J1" s="681"/>
      <c r="K1" s="285" t="str">
        <f>AD69</f>
        <v>New M.</v>
      </c>
      <c r="L1" s="285"/>
      <c r="M1" s="551" t="str">
        <f ca="1">'GPlan-Translations'!C174</f>
        <v>Friday</v>
      </c>
      <c r="N1" s="681">
        <f>AE65</f>
        <v>43833</v>
      </c>
      <c r="O1" s="681"/>
      <c r="P1" s="285" t="str">
        <f>AE69</f>
        <v>First Q.</v>
      </c>
      <c r="Q1" s="285"/>
      <c r="R1" s="707" t="str">
        <f ca="1">'GPlan-Translations'!C175</f>
        <v>Saturday</v>
      </c>
      <c r="S1" s="707" t="s">
        <v>860</v>
      </c>
      <c r="T1" s="707" t="s">
        <v>105</v>
      </c>
      <c r="U1" s="681">
        <f>AG65</f>
        <v>43834</v>
      </c>
      <c r="V1" s="681"/>
      <c r="W1" s="681"/>
      <c r="X1" s="285" t="str">
        <f>AG69</f>
        <v>First Q.</v>
      </c>
      <c r="AC1" s="532" t="str">
        <f>AC72</f>
        <v> </v>
      </c>
      <c r="AE1" s="546"/>
      <c r="AF1" s="546"/>
      <c r="AG1" s="546"/>
      <c r="AH1" s="532" t="str">
        <f>AD72</f>
        <v> </v>
      </c>
      <c r="AI1" s="547"/>
      <c r="AJ1" s="547"/>
      <c r="AL1" s="548"/>
      <c r="AM1" s="532" t="str">
        <f>AE72</f>
        <v> </v>
      </c>
      <c r="AT1" s="532" t="str">
        <f>AG72</f>
        <v> </v>
      </c>
      <c r="AU1" s="151"/>
      <c r="AV1" s="328" t="s">
        <v>881</v>
      </c>
    </row>
    <row r="2" spans="1:53" ht="18" customHeight="1">
      <c r="C2" s="552" t="str">
        <f>AC67</f>
        <v>Gaura Paksa</v>
      </c>
      <c r="D2" s="681"/>
      <c r="E2" s="681"/>
      <c r="F2" s="357" t="str">
        <f>AC70</f>
        <v>˜</v>
      </c>
      <c r="H2" s="552" t="str">
        <f>AD67</f>
        <v>Gaura Paksa</v>
      </c>
      <c r="I2" s="681"/>
      <c r="J2" s="681"/>
      <c r="K2" s="357" t="str">
        <f>AD70</f>
        <v>˜</v>
      </c>
      <c r="M2" s="552" t="str">
        <f>AE67</f>
        <v>Gaura Paksa</v>
      </c>
      <c r="N2" s="681"/>
      <c r="O2" s="681"/>
      <c r="P2" s="357" t="str">
        <f>AE70</f>
        <v>‚</v>
      </c>
      <c r="R2" s="708" t="str">
        <f>AG67</f>
        <v>Gaura Paksa</v>
      </c>
      <c r="S2" s="708"/>
      <c r="T2" s="708"/>
      <c r="U2" s="681"/>
      <c r="V2" s="681"/>
      <c r="W2" s="681"/>
      <c r="X2" s="357" t="str">
        <f>AG70</f>
        <v>‚</v>
      </c>
      <c r="AC2" s="553" t="str">
        <f ca="1">C1</f>
        <v>Wednesday</v>
      </c>
      <c r="AE2" s="546"/>
      <c r="AF2" s="546"/>
      <c r="AG2" s="546"/>
      <c r="AH2" s="553" t="str">
        <f ca="1">H1</f>
        <v>Tursday</v>
      </c>
      <c r="AI2" s="85"/>
      <c r="AJ2" s="85"/>
      <c r="AM2" s="554" t="str">
        <f ca="1">M1</f>
        <v>Friday</v>
      </c>
      <c r="AT2" s="167" t="str">
        <f ca="1">R1</f>
        <v>Saturday</v>
      </c>
      <c r="AV2" s="167" t="s">
        <v>882</v>
      </c>
    </row>
    <row r="3" spans="1:53" ht="18" customHeight="1">
      <c r="C3" s="699" t="str">
        <f>AC68</f>
        <v>Sasti Tithi</v>
      </c>
      <c r="D3" s="699"/>
      <c r="E3" s="699"/>
      <c r="F3" s="284" t="str">
        <f>AC71</f>
        <v> </v>
      </c>
      <c r="H3" s="699" t="str">
        <f>AD68</f>
        <v>Saptami Tithi</v>
      </c>
      <c r="I3" s="699"/>
      <c r="J3" s="699"/>
      <c r="K3" s="284" t="str">
        <f>AD71</f>
        <v> </v>
      </c>
      <c r="M3" s="699" t="str">
        <f>AE68</f>
        <v>Astami Tithi</v>
      </c>
      <c r="N3" s="699"/>
      <c r="O3" s="699"/>
      <c r="P3" s="284" t="str">
        <f>AE71</f>
        <v> </v>
      </c>
      <c r="R3" s="699" t="str">
        <f>AG68</f>
        <v>Navami Tithi</v>
      </c>
      <c r="S3" s="699"/>
      <c r="T3" s="699"/>
      <c r="U3" s="699"/>
      <c r="V3" s="699"/>
      <c r="W3" s="699"/>
      <c r="X3" s="284" t="str">
        <f>AG71</f>
        <v> </v>
      </c>
      <c r="AA3" s="533"/>
      <c r="AB3" s="334" t="s">
        <v>832</v>
      </c>
    </row>
    <row r="4" spans="1:53" ht="19.5" customHeight="1">
      <c r="C4" s="683" t="str">
        <f ca="1">AC77</f>
        <v>[extensive tithi (vriddhi) - second day of tithi]
Confraternização Universal</v>
      </c>
      <c r="D4" s="683"/>
      <c r="E4" s="683"/>
      <c r="F4" s="683"/>
      <c r="G4" s="281"/>
      <c r="H4" s="683" t="str">
        <f ca="1">AD77</f>
        <v xml:space="preserve"> </v>
      </c>
      <c r="I4" s="683"/>
      <c r="J4" s="683"/>
      <c r="K4" s="683"/>
      <c r="L4" s="281"/>
      <c r="M4" s="683" t="str">
        <f ca="1">AE77</f>
        <v xml:space="preserve"> </v>
      </c>
      <c r="N4" s="683"/>
      <c r="O4" s="683"/>
      <c r="P4" s="683"/>
      <c r="Q4" s="281"/>
      <c r="R4" s="683" t="str">
        <f ca="1">AG81</f>
        <v xml:space="preserve"> </v>
      </c>
      <c r="S4" s="683"/>
      <c r="T4" s="683"/>
      <c r="U4" s="683"/>
      <c r="V4" s="683"/>
      <c r="W4" s="683"/>
      <c r="X4" s="683"/>
      <c r="AO4" s="330"/>
      <c r="AY4" s="239" t="s">
        <v>88</v>
      </c>
      <c r="AZ4" s="239" t="s">
        <v>106</v>
      </c>
    </row>
    <row r="5" spans="1:53" ht="19.5" customHeight="1">
      <c r="C5" s="684"/>
      <c r="D5" s="684"/>
      <c r="E5" s="684"/>
      <c r="F5" s="684"/>
      <c r="G5" s="281"/>
      <c r="H5" s="684"/>
      <c r="I5" s="684"/>
      <c r="J5" s="684"/>
      <c r="K5" s="684"/>
      <c r="L5" s="281"/>
      <c r="M5" s="684"/>
      <c r="N5" s="684"/>
      <c r="O5" s="684"/>
      <c r="P5" s="684"/>
      <c r="Q5" s="281"/>
      <c r="R5" s="684"/>
      <c r="S5" s="684"/>
      <c r="T5" s="684"/>
      <c r="U5" s="684"/>
      <c r="V5" s="684"/>
      <c r="W5" s="684"/>
      <c r="X5" s="684"/>
      <c r="AB5" s="491" t="str">
        <f>MonthPrint</f>
        <v>S</v>
      </c>
      <c r="AP5" s="239" t="s">
        <v>883</v>
      </c>
      <c r="AQ5" s="167" t="s">
        <v>518</v>
      </c>
      <c r="AY5" s="534">
        <f>D1-2</f>
        <v>43829</v>
      </c>
      <c r="AZ5" s="534">
        <f>U16</f>
        <v>43835</v>
      </c>
      <c r="BA5" s="282" t="s">
        <v>522</v>
      </c>
    </row>
    <row r="6" spans="1:53" ht="19.5" customHeight="1">
      <c r="C6" s="684"/>
      <c r="D6" s="684"/>
      <c r="E6" s="684"/>
      <c r="F6" s="684"/>
      <c r="G6" s="281"/>
      <c r="H6" s="684"/>
      <c r="I6" s="684"/>
      <c r="J6" s="684"/>
      <c r="K6" s="684"/>
      <c r="L6" s="281"/>
      <c r="M6" s="684"/>
      <c r="N6" s="684"/>
      <c r="O6" s="684"/>
      <c r="P6" s="684"/>
      <c r="Q6" s="281"/>
      <c r="R6" s="684"/>
      <c r="S6" s="684"/>
      <c r="T6" s="684"/>
      <c r="U6" s="684"/>
      <c r="V6" s="684"/>
      <c r="W6" s="684"/>
      <c r="X6" s="684"/>
      <c r="AM6" s="548"/>
      <c r="AP6" s="536">
        <v>1</v>
      </c>
      <c r="AQ6" s="537" t="str">
        <f ca="1">'GPlan-Translations'!C205</f>
        <v>January</v>
      </c>
      <c r="AY6" s="532">
        <f>YEAR(AY5)</f>
        <v>2019</v>
      </c>
      <c r="AZ6" s="532">
        <f>YEAR(AZ5)</f>
        <v>2020</v>
      </c>
      <c r="BA6" s="282" t="s">
        <v>72</v>
      </c>
    </row>
    <row r="7" spans="1:53" ht="19.5" customHeight="1">
      <c r="C7" s="684"/>
      <c r="D7" s="684"/>
      <c r="E7" s="684"/>
      <c r="F7" s="684"/>
      <c r="H7" s="684"/>
      <c r="I7" s="684"/>
      <c r="J7" s="684"/>
      <c r="K7" s="684"/>
      <c r="M7" s="684"/>
      <c r="N7" s="684"/>
      <c r="O7" s="684"/>
      <c r="P7" s="684"/>
      <c r="Q7" s="281"/>
      <c r="R7" s="684"/>
      <c r="S7" s="684"/>
      <c r="T7" s="684"/>
      <c r="U7" s="684"/>
      <c r="V7" s="684"/>
      <c r="W7" s="684"/>
      <c r="X7" s="684"/>
      <c r="AC7" s="256"/>
      <c r="AM7" s="548"/>
      <c r="AP7" s="280">
        <v>2</v>
      </c>
      <c r="AQ7" s="279" t="str">
        <f ca="1">'GPlan-Translations'!C206</f>
        <v>February</v>
      </c>
      <c r="AY7" s="532">
        <f>MONTH(AY5)</f>
        <v>12</v>
      </c>
      <c r="AZ7" s="532">
        <f>MONTH(AZ5)</f>
        <v>1</v>
      </c>
      <c r="BA7" s="282" t="s">
        <v>518</v>
      </c>
    </row>
    <row r="8" spans="1:53" ht="19.5" customHeight="1">
      <c r="C8" s="684"/>
      <c r="D8" s="684"/>
      <c r="E8" s="684"/>
      <c r="F8" s="684"/>
      <c r="H8" s="684"/>
      <c r="I8" s="684"/>
      <c r="J8" s="684"/>
      <c r="K8" s="684"/>
      <c r="M8" s="684"/>
      <c r="N8" s="684"/>
      <c r="O8" s="684"/>
      <c r="P8" s="684"/>
      <c r="Q8" s="281"/>
      <c r="R8" s="684"/>
      <c r="S8" s="684"/>
      <c r="T8" s="684"/>
      <c r="U8" s="684"/>
      <c r="V8" s="684"/>
      <c r="W8" s="684"/>
      <c r="X8" s="684"/>
      <c r="AC8" s="256"/>
      <c r="AM8" s="548"/>
      <c r="AP8" s="280">
        <v>3</v>
      </c>
      <c r="AQ8" s="279" t="str">
        <f ca="1">'GPlan-Translations'!C207</f>
        <v>March</v>
      </c>
      <c r="AY8" s="532">
        <f>AY6</f>
        <v>2019</v>
      </c>
      <c r="AZ8" s="532">
        <f>IF(AZ6&lt;&gt;AY6,AZ6,IF(AY7=12,AY6+1,AY6))</f>
        <v>2020</v>
      </c>
      <c r="BA8" s="282" t="s">
        <v>72</v>
      </c>
    </row>
    <row r="9" spans="1:53" ht="19.5" customHeight="1">
      <c r="C9" s="684"/>
      <c r="D9" s="684"/>
      <c r="E9" s="684"/>
      <c r="F9" s="684"/>
      <c r="H9" s="684"/>
      <c r="I9" s="684"/>
      <c r="J9" s="684"/>
      <c r="K9" s="684"/>
      <c r="M9" s="684"/>
      <c r="N9" s="684"/>
      <c r="O9" s="684"/>
      <c r="P9" s="684"/>
      <c r="Q9" s="281"/>
      <c r="R9" s="684"/>
      <c r="S9" s="684"/>
      <c r="T9" s="684"/>
      <c r="U9" s="684"/>
      <c r="V9" s="684"/>
      <c r="W9" s="684"/>
      <c r="X9" s="684"/>
      <c r="AC9" s="85" t="s">
        <v>1155</v>
      </c>
      <c r="AD9" s="85" t="s">
        <v>1156</v>
      </c>
      <c r="AE9" s="85" t="s">
        <v>1157</v>
      </c>
      <c r="AG9" s="545" t="s">
        <v>1158</v>
      </c>
      <c r="AH9" s="545" t="s">
        <v>1159</v>
      </c>
      <c r="AI9" s="545" t="s">
        <v>1160</v>
      </c>
      <c r="AM9" s="548"/>
      <c r="AP9" s="280">
        <v>4</v>
      </c>
      <c r="AQ9" s="279" t="str">
        <f ca="1">'GPlan-Translations'!C208</f>
        <v>April</v>
      </c>
      <c r="AY9" s="532">
        <f>AY7</f>
        <v>12</v>
      </c>
      <c r="AZ9" s="532">
        <f>IF(AZ7&lt;&gt;AY7,AZ7,IF(AY7=12,1,AY7+1))</f>
        <v>1</v>
      </c>
      <c r="BA9" s="282" t="s">
        <v>518</v>
      </c>
    </row>
    <row r="10" spans="1:53" ht="19.5" customHeight="1" thickBot="1">
      <c r="B10" s="633" t="str">
        <f t="shared" ref="B10:B15" si="0">IF(AND(AC10&lt;&gt;"",AG10&lt;&gt;""),AC10 &amp; AG10,IF(AC10&lt;&gt;"",AC10,IF(AG10&lt;&gt;"",AG10,"")))</f>
        <v/>
      </c>
      <c r="C10" s="686"/>
      <c r="D10" s="686"/>
      <c r="E10" s="686"/>
      <c r="F10" s="686"/>
      <c r="G10" s="633" t="str">
        <f t="shared" ref="G10:G14" si="1">IF(AND(AD10&lt;&gt;"",AH10&lt;&gt;""),AD10 &amp; AH10,IF(AD10&lt;&gt;"",AD10,IF(AH10&lt;&gt;"",AH10,"")))</f>
        <v/>
      </c>
      <c r="H10" s="686"/>
      <c r="I10" s="686"/>
      <c r="J10" s="686"/>
      <c r="K10" s="686"/>
      <c r="L10" s="633" t="str">
        <f t="shared" ref="L10:L14" si="2">IF(AND(AE10&lt;&gt;"",AI10&lt;&gt;""),AE10 &amp; AI10,IF(AE10&lt;&gt;"",AE10,IF(AI10&lt;&gt;"",AI10,"")))</f>
        <v/>
      </c>
      <c r="M10" s="686"/>
      <c r="N10" s="686"/>
      <c r="O10" s="686"/>
      <c r="P10" s="686"/>
      <c r="Q10" s="281"/>
      <c r="R10" s="684"/>
      <c r="S10" s="684"/>
      <c r="T10" s="684"/>
      <c r="U10" s="684"/>
      <c r="V10" s="684"/>
      <c r="W10" s="684"/>
      <c r="X10" s="684"/>
      <c r="AA10" s="545"/>
      <c r="AB10" s="385">
        <f>AB11 - 0.5</f>
        <v>3.5</v>
      </c>
      <c r="AC10" s="626" t="str">
        <f t="shared" ref="AC10:AE30" si="3">IF(AC$55=$AB10,$AB$55,IF(AC$56=$AB10,$AB$56,IF(AC$57=$AB10,$AB$57,IF(AC$58=$AB10,$AB$58,""))))</f>
        <v/>
      </c>
      <c r="AD10" s="626" t="str">
        <f t="shared" si="3"/>
        <v/>
      </c>
      <c r="AE10" s="626" t="str">
        <f t="shared" si="3"/>
        <v/>
      </c>
      <c r="AF10" s="617"/>
      <c r="AG10" s="629" t="str">
        <f t="shared" ref="AG10:AI30" si="4">IF(AG$56=$AB10,$AJ$56,IF(AG$57=$AB10,$AJ$57,IF(AG$58=$AB10,$AJ$58,"")))</f>
        <v/>
      </c>
      <c r="AH10" s="626" t="str">
        <f t="shared" si="4"/>
        <v/>
      </c>
      <c r="AI10" s="626" t="str">
        <f t="shared" si="4"/>
        <v/>
      </c>
      <c r="AJ10" s="545"/>
      <c r="AK10" s="545"/>
      <c r="AM10" s="548"/>
      <c r="AP10" s="280">
        <v>5</v>
      </c>
      <c r="AQ10" s="279" t="str">
        <f ca="1">'GPlan-Translations'!C209</f>
        <v>May</v>
      </c>
      <c r="AY10" s="535">
        <f>DATE(AY8,AY9,1)</f>
        <v>43800</v>
      </c>
      <c r="AZ10" s="535">
        <f>DATE(AZ8,AZ9,1)</f>
        <v>43831</v>
      </c>
    </row>
    <row r="11" spans="1:53" ht="18" customHeight="1">
      <c r="A11" s="239" t="str">
        <f>Options!S9</f>
        <v>4</v>
      </c>
      <c r="B11" s="633" t="str">
        <f t="shared" si="0"/>
        <v/>
      </c>
      <c r="C11" s="374"/>
      <c r="D11" s="374"/>
      <c r="E11" s="374"/>
      <c r="F11" s="374"/>
      <c r="G11" s="633" t="str">
        <f t="shared" si="1"/>
        <v/>
      </c>
      <c r="H11" s="374"/>
      <c r="I11" s="374"/>
      <c r="J11" s="374"/>
      <c r="K11" s="374"/>
      <c r="L11" s="633" t="str">
        <f t="shared" si="2"/>
        <v/>
      </c>
      <c r="M11" s="374"/>
      <c r="N11" s="374"/>
      <c r="O11" s="374"/>
      <c r="P11" s="374"/>
      <c r="R11" s="684"/>
      <c r="S11" s="684"/>
      <c r="T11" s="684"/>
      <c r="U11" s="684"/>
      <c r="V11" s="684"/>
      <c r="W11" s="684"/>
      <c r="X11" s="684"/>
      <c r="AA11" s="545"/>
      <c r="AB11" s="385">
        <f>A11 + 0</f>
        <v>4</v>
      </c>
      <c r="AC11" s="626" t="str">
        <f t="shared" si="3"/>
        <v/>
      </c>
      <c r="AD11" s="626" t="str">
        <f t="shared" si="3"/>
        <v/>
      </c>
      <c r="AE11" s="626" t="str">
        <f t="shared" si="3"/>
        <v/>
      </c>
      <c r="AG11" s="629" t="str">
        <f t="shared" si="4"/>
        <v/>
      </c>
      <c r="AH11" s="626" t="str">
        <f t="shared" si="4"/>
        <v/>
      </c>
      <c r="AI11" s="626" t="str">
        <f t="shared" si="4"/>
        <v/>
      </c>
      <c r="AJ11" s="545"/>
      <c r="AK11" s="545"/>
      <c r="AM11" s="548"/>
      <c r="AP11" s="280">
        <v>6</v>
      </c>
      <c r="AQ11" s="279" t="str">
        <f ca="1">'GPlan-Translations'!C210</f>
        <v>June</v>
      </c>
      <c r="AY11" s="535">
        <f>AZ10-1</f>
        <v>43830</v>
      </c>
      <c r="AZ11" s="535">
        <f>IF(MONTH(AZ10)=12,DATE(YEAR(AZ10)+1,1,1)-1,DATE(YEAR(AZ10),MONTH(AZ10)+1,1)-1)</f>
        <v>43861</v>
      </c>
    </row>
    <row r="12" spans="1:53" ht="18" customHeight="1">
      <c r="A12" s="167"/>
      <c r="B12" s="633" t="str">
        <f t="shared" si="0"/>
        <v/>
      </c>
      <c r="C12" s="538"/>
      <c r="D12" s="538"/>
      <c r="E12" s="538"/>
      <c r="F12" s="538"/>
      <c r="G12" s="633" t="str">
        <f t="shared" si="1"/>
        <v/>
      </c>
      <c r="H12" s="538"/>
      <c r="I12" s="538"/>
      <c r="J12" s="538"/>
      <c r="K12" s="538"/>
      <c r="L12" s="633" t="str">
        <f t="shared" si="2"/>
        <v/>
      </c>
      <c r="M12" s="538"/>
      <c r="N12" s="538"/>
      <c r="O12" s="538"/>
      <c r="P12" s="538"/>
      <c r="R12" s="684"/>
      <c r="S12" s="684"/>
      <c r="T12" s="684"/>
      <c r="U12" s="684"/>
      <c r="V12" s="684"/>
      <c r="W12" s="684"/>
      <c r="X12" s="684"/>
      <c r="AA12" s="545"/>
      <c r="AB12" s="385">
        <f>AB11+0.5</f>
        <v>4.5</v>
      </c>
      <c r="AC12" s="627" t="str">
        <f t="shared" si="3"/>
        <v/>
      </c>
      <c r="AD12" s="627" t="str">
        <f t="shared" si="3"/>
        <v/>
      </c>
      <c r="AE12" s="627" t="str">
        <f t="shared" si="3"/>
        <v/>
      </c>
      <c r="AG12" s="630" t="str">
        <f t="shared" si="4"/>
        <v/>
      </c>
      <c r="AH12" s="630" t="str">
        <f t="shared" si="4"/>
        <v/>
      </c>
      <c r="AI12" s="630" t="str">
        <f t="shared" si="4"/>
        <v/>
      </c>
      <c r="AJ12" s="545"/>
      <c r="AK12" s="545"/>
      <c r="AM12" s="548"/>
      <c r="AP12" s="280">
        <v>7</v>
      </c>
      <c r="AQ12" s="279" t="str">
        <f ca="1">'GPlan-Translations'!C211</f>
        <v>July</v>
      </c>
      <c r="AY12" s="532">
        <f>WEEKDAY(AY10,2)</f>
        <v>7</v>
      </c>
      <c r="AZ12" s="532">
        <f>WEEKDAY(AZ10,2)</f>
        <v>3</v>
      </c>
      <c r="BA12" s="282" t="s">
        <v>868</v>
      </c>
    </row>
    <row r="13" spans="1:53" ht="18" customHeight="1">
      <c r="A13" s="167">
        <f>A11+1</f>
        <v>5</v>
      </c>
      <c r="B13" s="633" t="str">
        <f t="shared" si="0"/>
        <v/>
      </c>
      <c r="C13" s="538"/>
      <c r="D13" s="538"/>
      <c r="E13" s="538"/>
      <c r="F13" s="538"/>
      <c r="G13" s="633" t="str">
        <f t="shared" si="1"/>
        <v/>
      </c>
      <c r="H13" s="538"/>
      <c r="I13" s="538"/>
      <c r="J13" s="538"/>
      <c r="K13" s="538"/>
      <c r="L13" s="633" t="str">
        <f t="shared" si="2"/>
        <v/>
      </c>
      <c r="M13" s="538"/>
      <c r="N13" s="538"/>
      <c r="O13" s="538"/>
      <c r="P13" s="538"/>
      <c r="R13" s="684"/>
      <c r="S13" s="684"/>
      <c r="T13" s="684"/>
      <c r="U13" s="684"/>
      <c r="V13" s="684"/>
      <c r="W13" s="684"/>
      <c r="X13" s="684"/>
      <c r="AA13" s="545"/>
      <c r="AB13" s="385">
        <f t="shared" ref="AB13:AB31" si="5">AB12+0.5</f>
        <v>5</v>
      </c>
      <c r="AC13" s="627" t="str">
        <f t="shared" si="3"/>
        <v/>
      </c>
      <c r="AD13" s="627" t="str">
        <f t="shared" si="3"/>
        <v/>
      </c>
      <c r="AE13" s="627" t="str">
        <f t="shared" si="3"/>
        <v/>
      </c>
      <c r="AG13" s="630" t="str">
        <f t="shared" si="4"/>
        <v/>
      </c>
      <c r="AH13" s="630" t="str">
        <f t="shared" si="4"/>
        <v/>
      </c>
      <c r="AI13" s="630" t="str">
        <f t="shared" si="4"/>
        <v/>
      </c>
      <c r="AJ13" s="545"/>
      <c r="AK13" s="545"/>
      <c r="AM13" s="548"/>
      <c r="AP13" s="280">
        <v>8</v>
      </c>
      <c r="AQ13" s="279" t="str">
        <f ca="1">'GPlan-Translations'!C212</f>
        <v>August</v>
      </c>
      <c r="AY13" s="167" t="s">
        <v>879</v>
      </c>
      <c r="AZ13" s="167" t="s">
        <v>878</v>
      </c>
    </row>
    <row r="14" spans="1:53">
      <c r="A14" s="167"/>
      <c r="B14" s="633" t="str">
        <f t="shared" si="0"/>
        <v>:·:</v>
      </c>
      <c r="C14" s="538"/>
      <c r="D14" s="538"/>
      <c r="E14" s="538"/>
      <c r="F14" s="538"/>
      <c r="G14" s="633" t="str">
        <f t="shared" si="1"/>
        <v>:·:</v>
      </c>
      <c r="H14" s="538"/>
      <c r="I14" s="538"/>
      <c r="J14" s="538"/>
      <c r="K14" s="538"/>
      <c r="L14" s="633" t="str">
        <f t="shared" si="2"/>
        <v>:·:</v>
      </c>
      <c r="M14" s="538"/>
      <c r="N14" s="538"/>
      <c r="O14" s="538"/>
      <c r="P14" s="538"/>
      <c r="R14" s="684"/>
      <c r="S14" s="684"/>
      <c r="T14" s="684"/>
      <c r="U14" s="684"/>
      <c r="V14" s="684"/>
      <c r="W14" s="684"/>
      <c r="X14" s="684"/>
      <c r="AA14" s="545"/>
      <c r="AB14" s="385">
        <f t="shared" si="5"/>
        <v>5.5</v>
      </c>
      <c r="AC14" s="627" t="str">
        <f t="shared" si="3"/>
        <v>:·:</v>
      </c>
      <c r="AD14" s="627" t="str">
        <f t="shared" si="3"/>
        <v>:·:</v>
      </c>
      <c r="AE14" s="627" t="str">
        <f t="shared" si="3"/>
        <v>:·:</v>
      </c>
      <c r="AG14" s="630" t="str">
        <f t="shared" si="4"/>
        <v/>
      </c>
      <c r="AH14" s="630" t="str">
        <f t="shared" si="4"/>
        <v/>
      </c>
      <c r="AI14" s="630" t="str">
        <f t="shared" si="4"/>
        <v/>
      </c>
      <c r="AJ14" s="545"/>
      <c r="AK14" s="545"/>
      <c r="AM14" s="548"/>
      <c r="AP14" s="280">
        <v>9</v>
      </c>
      <c r="AQ14" s="279" t="str">
        <f ca="1">'GPlan-Translations'!C213</f>
        <v>September</v>
      </c>
      <c r="AX14" s="583"/>
      <c r="AY14" s="651">
        <f>DAY(AZ5)</f>
        <v>5</v>
      </c>
      <c r="AZ14" s="649" t="str">
        <f>IF(AND(AY14&gt;4,AY14&lt;8),"S","N")</f>
        <v>S</v>
      </c>
      <c r="BA14" s="648" t="s">
        <v>6665</v>
      </c>
    </row>
    <row r="15" spans="1:53" ht="18.75" thickBot="1">
      <c r="A15" s="167">
        <f>A13+1</f>
        <v>6</v>
      </c>
      <c r="B15" s="633" t="str">
        <f t="shared" si="0"/>
        <v/>
      </c>
      <c r="C15" s="521"/>
      <c r="D15" s="522"/>
      <c r="E15" s="522"/>
      <c r="F15" s="258"/>
      <c r="G15" s="633" t="str">
        <f>IF(AND(AD15&lt;&gt;"",AH15&lt;&gt;""),AD15 &amp; AH15,IF(AD15&lt;&gt;"",AD15,IF(AH15&lt;&gt;"",AH15,"")))</f>
        <v/>
      </c>
      <c r="H15" s="550"/>
      <c r="I15" s="522"/>
      <c r="J15" s="522"/>
      <c r="K15" s="258"/>
      <c r="L15" s="633" t="str">
        <f>IF(AND(AE15&lt;&gt;"",AI15&lt;&gt;""),AE15 &amp; AI15,IF(AE15&lt;&gt;"",AE15,IF(AI15&lt;&gt;"",AI15,"")))</f>
        <v/>
      </c>
      <c r="M15" s="709"/>
      <c r="N15" s="709"/>
      <c r="O15" s="709"/>
      <c r="P15" s="258"/>
      <c r="R15" s="710" t="str">
        <f>"Naksatra: " &amp; AG73 &amp; CHAR(10) &amp; "Yoga: " &amp; AG74</f>
        <v>Naksatra: Asvini
Yoga: Siva</v>
      </c>
      <c r="S15" s="710"/>
      <c r="T15" s="710"/>
      <c r="U15" s="710" t="s">
        <v>860</v>
      </c>
      <c r="V15" s="710"/>
      <c r="W15" s="710"/>
      <c r="X15" s="326" t="str">
        <f>AG75 &amp; CHAR(10) &amp; AG76</f>
        <v>4
362</v>
      </c>
      <c r="AA15" s="545"/>
      <c r="AB15" s="385">
        <f t="shared" si="5"/>
        <v>6</v>
      </c>
      <c r="AC15" s="627" t="str">
        <f t="shared" si="3"/>
        <v/>
      </c>
      <c r="AD15" s="627" t="str">
        <f t="shared" si="3"/>
        <v/>
      </c>
      <c r="AE15" s="627" t="str">
        <f t="shared" si="3"/>
        <v/>
      </c>
      <c r="AG15" s="630" t="str">
        <f t="shared" si="4"/>
        <v/>
      </c>
      <c r="AH15" s="630" t="str">
        <f t="shared" si="4"/>
        <v/>
      </c>
      <c r="AI15" s="630" t="str">
        <f t="shared" si="4"/>
        <v/>
      </c>
      <c r="AJ15" s="545"/>
      <c r="AK15" s="545"/>
      <c r="AM15" s="548"/>
      <c r="AP15" s="280">
        <v>10</v>
      </c>
      <c r="AQ15" s="279" t="str">
        <f ca="1">'GPlan-Translations'!C214</f>
        <v>October</v>
      </c>
      <c r="AX15" s="583"/>
      <c r="AY15" s="651">
        <f>MONTH(AZ5)</f>
        <v>1</v>
      </c>
      <c r="AZ15" s="650" t="str">
        <f ca="1">VLOOKUP(AY15,$AP$6:$AQ$17,2)</f>
        <v>January</v>
      </c>
      <c r="BA15" s="648" t="s">
        <v>6666</v>
      </c>
    </row>
    <row r="16" spans="1:53" ht="18" customHeight="1">
      <c r="A16" s="167"/>
      <c r="B16" s="633" t="str">
        <f t="shared" ref="B16:B52" si="6">IF(AND(AC16&lt;&gt;"",AG16&lt;&gt;""),AC16 &amp; AG16,IF(AC16&lt;&gt;"",AC16,IF(AG16&lt;&gt;"",AG16,"")))</f>
        <v/>
      </c>
      <c r="C16" s="521"/>
      <c r="D16" s="522"/>
      <c r="E16" s="522"/>
      <c r="F16" s="258"/>
      <c r="G16" s="633" t="str">
        <f t="shared" ref="G16:G52" si="7">IF(AND(AD16&lt;&gt;"",AH16&lt;&gt;""),AD16 &amp; AH16,IF(AD16&lt;&gt;"",AD16,IF(AH16&lt;&gt;"",AH16,"")))</f>
        <v/>
      </c>
      <c r="H16" s="550"/>
      <c r="I16" s="522"/>
      <c r="J16" s="522"/>
      <c r="K16" s="258"/>
      <c r="L16" s="633" t="str">
        <f t="shared" ref="L16:L52" si="8">IF(AND(AE16&lt;&gt;"",AI16&lt;&gt;""),AE16 &amp; AI16,IF(AE16&lt;&gt;"",AE16,IF(AI16&lt;&gt;"",AI16,"")))</f>
        <v/>
      </c>
      <c r="M16" s="711"/>
      <c r="N16" s="711"/>
      <c r="O16" s="711"/>
      <c r="P16" s="258"/>
      <c r="R16" s="352" t="str">
        <f ca="1">'GPlan-Translations'!C169</f>
        <v>Sunday</v>
      </c>
      <c r="S16" s="352"/>
      <c r="T16" s="352"/>
      <c r="U16" s="712">
        <f>AH65</f>
        <v>43835</v>
      </c>
      <c r="V16" s="712"/>
      <c r="W16" s="712"/>
      <c r="X16" s="618" t="str">
        <f>AH69</f>
        <v>First Q.</v>
      </c>
      <c r="AA16" s="545"/>
      <c r="AB16" s="385">
        <f t="shared" si="5"/>
        <v>6.5</v>
      </c>
      <c r="AC16" s="627" t="str">
        <f t="shared" si="3"/>
        <v/>
      </c>
      <c r="AD16" s="627" t="str">
        <f t="shared" si="3"/>
        <v/>
      </c>
      <c r="AE16" s="627" t="str">
        <f t="shared" si="3"/>
        <v/>
      </c>
      <c r="AG16" s="630" t="str">
        <f t="shared" si="4"/>
        <v/>
      </c>
      <c r="AH16" s="630" t="str">
        <f t="shared" si="4"/>
        <v/>
      </c>
      <c r="AI16" s="630" t="str">
        <f t="shared" si="4"/>
        <v/>
      </c>
      <c r="AJ16" s="545"/>
      <c r="AK16" s="545"/>
      <c r="AM16" s="548"/>
      <c r="AP16" s="280">
        <v>11</v>
      </c>
      <c r="AQ16" s="279" t="str">
        <f ca="1">'GPlan-Translations'!C215</f>
        <v>November</v>
      </c>
      <c r="AT16" s="532" t="str">
        <f>AH72</f>
        <v> </v>
      </c>
      <c r="AX16" s="583"/>
      <c r="AY16" s="651">
        <f>IF(AY15=1,12,AY15)</f>
        <v>12</v>
      </c>
      <c r="AZ16" s="650" t="str">
        <f ca="1">VLOOKUP(AY16,$AP$6:$AQ$17,2)</f>
        <v>December</v>
      </c>
      <c r="BA16" s="648" t="s">
        <v>6667</v>
      </c>
    </row>
    <row r="17" spans="1:53">
      <c r="A17" s="167">
        <f>A15+1</f>
        <v>7</v>
      </c>
      <c r="B17" s="633" t="str">
        <f t="shared" si="6"/>
        <v/>
      </c>
      <c r="C17" s="521"/>
      <c r="D17" s="522"/>
      <c r="E17" s="522"/>
      <c r="F17" s="258"/>
      <c r="G17" s="633" t="str">
        <f t="shared" si="7"/>
        <v/>
      </c>
      <c r="H17" s="550"/>
      <c r="I17" s="522"/>
      <c r="J17" s="522"/>
      <c r="K17" s="258"/>
      <c r="L17" s="633" t="str">
        <f t="shared" si="8"/>
        <v/>
      </c>
      <c r="M17" s="711"/>
      <c r="N17" s="711"/>
      <c r="O17" s="711"/>
      <c r="P17" s="258"/>
      <c r="R17" s="714" t="str">
        <f>AH67</f>
        <v>Gaura Paksa</v>
      </c>
      <c r="S17" s="714"/>
      <c r="T17" s="714"/>
      <c r="U17" s="713"/>
      <c r="V17" s="713"/>
      <c r="W17" s="713"/>
      <c r="X17" s="357" t="str">
        <f>AH70</f>
        <v>‚</v>
      </c>
      <c r="AA17" s="545"/>
      <c r="AB17" s="385">
        <f t="shared" si="5"/>
        <v>7</v>
      </c>
      <c r="AC17" s="627" t="str">
        <f t="shared" si="3"/>
        <v/>
      </c>
      <c r="AD17" s="627" t="str">
        <f t="shared" si="3"/>
        <v/>
      </c>
      <c r="AE17" s="627" t="str">
        <f t="shared" si="3"/>
        <v/>
      </c>
      <c r="AG17" s="630" t="str">
        <f t="shared" si="4"/>
        <v/>
      </c>
      <c r="AH17" s="630" t="str">
        <f t="shared" si="4"/>
        <v/>
      </c>
      <c r="AI17" s="630" t="str">
        <f t="shared" si="4"/>
        <v/>
      </c>
      <c r="AJ17" s="545"/>
      <c r="AK17" s="545"/>
      <c r="AM17" s="548"/>
      <c r="AP17" s="278">
        <v>12</v>
      </c>
      <c r="AQ17" s="277" t="str">
        <f ca="1">'GPlan-Translations'!C216</f>
        <v>December</v>
      </c>
      <c r="AT17" s="555" t="str">
        <f ca="1">R16</f>
        <v>Sunday</v>
      </c>
    </row>
    <row r="18" spans="1:53" ht="18" customHeight="1">
      <c r="A18" s="167"/>
      <c r="B18" s="633" t="str">
        <f t="shared" si="6"/>
        <v>`ό´</v>
      </c>
      <c r="C18" s="521"/>
      <c r="D18" s="522"/>
      <c r="E18" s="522"/>
      <c r="F18" s="258"/>
      <c r="G18" s="633" t="str">
        <f t="shared" si="7"/>
        <v>`ό´</v>
      </c>
      <c r="H18" s="550"/>
      <c r="I18" s="522"/>
      <c r="J18" s="522"/>
      <c r="K18" s="258"/>
      <c r="L18" s="633" t="str">
        <f t="shared" si="8"/>
        <v>`ό´</v>
      </c>
      <c r="M18" s="711"/>
      <c r="N18" s="711"/>
      <c r="O18" s="711"/>
      <c r="P18" s="258"/>
      <c r="R18" s="716" t="str">
        <f>AH68</f>
        <v>Dasami Tithi</v>
      </c>
      <c r="S18" s="716"/>
      <c r="T18" s="716"/>
      <c r="U18" s="716"/>
      <c r="V18" s="716"/>
      <c r="W18" s="716"/>
      <c r="X18" s="284" t="str">
        <f>AH71</f>
        <v> </v>
      </c>
      <c r="AA18" s="545"/>
      <c r="AB18" s="385">
        <f t="shared" si="5"/>
        <v>7.5</v>
      </c>
      <c r="AC18" s="627" t="str">
        <f t="shared" si="3"/>
        <v>`ό´</v>
      </c>
      <c r="AD18" s="627" t="str">
        <f t="shared" si="3"/>
        <v>`ό´</v>
      </c>
      <c r="AE18" s="627" t="str">
        <f t="shared" si="3"/>
        <v>`ό´</v>
      </c>
      <c r="AG18" s="630" t="str">
        <f t="shared" si="4"/>
        <v/>
      </c>
      <c r="AH18" s="630" t="str">
        <f t="shared" si="4"/>
        <v/>
      </c>
      <c r="AI18" s="630" t="str">
        <f t="shared" si="4"/>
        <v/>
      </c>
      <c r="AJ18" s="545"/>
      <c r="AK18" s="545"/>
      <c r="AN18" s="167"/>
      <c r="AO18" s="167"/>
      <c r="AR18" s="282"/>
      <c r="AS18" s="282"/>
      <c r="AT18" s="282"/>
      <c r="AU18" s="127"/>
    </row>
    <row r="19" spans="1:53" ht="18" customHeight="1">
      <c r="A19" s="167">
        <f>A17+1</f>
        <v>8</v>
      </c>
      <c r="B19" s="633" t="str">
        <f t="shared" si="6"/>
        <v/>
      </c>
      <c r="C19" s="521"/>
      <c r="D19" s="522"/>
      <c r="E19" s="522"/>
      <c r="F19" s="258"/>
      <c r="G19" s="633" t="str">
        <f t="shared" si="7"/>
        <v/>
      </c>
      <c r="H19" s="550"/>
      <c r="I19" s="522"/>
      <c r="J19" s="522"/>
      <c r="K19" s="258"/>
      <c r="L19" s="633" t="str">
        <f t="shared" si="8"/>
        <v/>
      </c>
      <c r="M19" s="711"/>
      <c r="N19" s="711"/>
      <c r="O19" s="711"/>
      <c r="P19" s="258"/>
      <c r="R19" s="683" t="str">
        <f ca="1">AH82</f>
        <v xml:space="preserve"> </v>
      </c>
      <c r="S19" s="683"/>
      <c r="T19" s="683"/>
      <c r="U19" s="683"/>
      <c r="V19" s="683"/>
      <c r="W19" s="683"/>
      <c r="X19" s="683"/>
      <c r="AA19" s="545"/>
      <c r="AB19" s="385">
        <f t="shared" si="5"/>
        <v>8</v>
      </c>
      <c r="AC19" s="627" t="str">
        <f t="shared" si="3"/>
        <v/>
      </c>
      <c r="AD19" s="627" t="str">
        <f t="shared" si="3"/>
        <v/>
      </c>
      <c r="AE19" s="627" t="str">
        <f t="shared" si="3"/>
        <v/>
      </c>
      <c r="AG19" s="630" t="str">
        <f t="shared" si="4"/>
        <v/>
      </c>
      <c r="AH19" s="630" t="str">
        <f t="shared" si="4"/>
        <v/>
      </c>
      <c r="AI19" s="630" t="str">
        <f t="shared" si="4"/>
        <v/>
      </c>
      <c r="AJ19" s="545"/>
      <c r="AK19" s="545"/>
      <c r="AN19" s="167"/>
      <c r="AO19" s="167"/>
      <c r="BA19" s="167"/>
    </row>
    <row r="20" spans="1:53" ht="18" customHeight="1">
      <c r="A20" s="167"/>
      <c r="B20" s="633" t="str">
        <f t="shared" si="6"/>
        <v/>
      </c>
      <c r="C20" s="521"/>
      <c r="D20" s="522"/>
      <c r="E20" s="522"/>
      <c r="F20" s="258"/>
      <c r="G20" s="633" t="str">
        <f t="shared" si="7"/>
        <v/>
      </c>
      <c r="H20" s="550"/>
      <c r="I20" s="522"/>
      <c r="J20" s="522"/>
      <c r="K20" s="258"/>
      <c r="L20" s="633" t="str">
        <f t="shared" si="8"/>
        <v/>
      </c>
      <c r="M20" s="550"/>
      <c r="N20" s="522"/>
      <c r="O20" s="522"/>
      <c r="P20" s="258"/>
      <c r="R20" s="684"/>
      <c r="S20" s="684"/>
      <c r="T20" s="684"/>
      <c r="U20" s="684"/>
      <c r="V20" s="684"/>
      <c r="W20" s="684"/>
      <c r="X20" s="684"/>
      <c r="AA20" s="545"/>
      <c r="AB20" s="385">
        <f t="shared" si="5"/>
        <v>8.5</v>
      </c>
      <c r="AC20" s="627" t="str">
        <f t="shared" si="3"/>
        <v/>
      </c>
      <c r="AD20" s="627" t="str">
        <f t="shared" si="3"/>
        <v/>
      </c>
      <c r="AE20" s="627" t="str">
        <f t="shared" si="3"/>
        <v/>
      </c>
      <c r="AG20" s="630" t="str">
        <f t="shared" si="4"/>
        <v/>
      </c>
      <c r="AH20" s="630" t="str">
        <f t="shared" si="4"/>
        <v/>
      </c>
      <c r="AI20" s="630" t="str">
        <f t="shared" si="4"/>
        <v/>
      </c>
      <c r="AJ20" s="545"/>
      <c r="AK20" s="545"/>
      <c r="AN20" s="167"/>
      <c r="AO20" s="167"/>
      <c r="AQ20" s="167"/>
      <c r="AR20" s="167"/>
      <c r="AS20" s="167"/>
      <c r="AT20" s="167"/>
      <c r="AU20" s="167"/>
      <c r="AV20" s="167"/>
      <c r="AW20" s="167"/>
    </row>
    <row r="21" spans="1:53" s="167" customFormat="1" ht="18" customHeight="1">
      <c r="A21" s="167">
        <f>A19+1</f>
        <v>9</v>
      </c>
      <c r="B21" s="633" t="str">
        <f t="shared" si="6"/>
        <v/>
      </c>
      <c r="C21" s="523"/>
      <c r="D21" s="522"/>
      <c r="E21" s="522"/>
      <c r="F21" s="258"/>
      <c r="G21" s="633" t="str">
        <f t="shared" si="7"/>
        <v/>
      </c>
      <c r="H21" s="522"/>
      <c r="I21" s="522"/>
      <c r="J21" s="522"/>
      <c r="K21" s="258"/>
      <c r="L21" s="633" t="str">
        <f t="shared" si="8"/>
        <v/>
      </c>
      <c r="M21" s="522"/>
      <c r="N21" s="522"/>
      <c r="O21" s="522"/>
      <c r="P21" s="258"/>
      <c r="Q21" s="548"/>
      <c r="R21" s="684"/>
      <c r="S21" s="684"/>
      <c r="T21" s="684"/>
      <c r="U21" s="684"/>
      <c r="V21" s="684"/>
      <c r="W21" s="684"/>
      <c r="X21" s="684"/>
      <c r="Y21" s="279"/>
      <c r="Z21" s="290"/>
      <c r="AA21" s="545"/>
      <c r="AB21" s="385">
        <f t="shared" si="5"/>
        <v>9</v>
      </c>
      <c r="AC21" s="627" t="str">
        <f t="shared" si="3"/>
        <v/>
      </c>
      <c r="AD21" s="627" t="str">
        <f t="shared" si="3"/>
        <v/>
      </c>
      <c r="AE21" s="627" t="str">
        <f t="shared" si="3"/>
        <v/>
      </c>
      <c r="AF21" s="548"/>
      <c r="AG21" s="630" t="str">
        <f t="shared" si="4"/>
        <v/>
      </c>
      <c r="AH21" s="630" t="str">
        <f t="shared" si="4"/>
        <v/>
      </c>
      <c r="AI21" s="630" t="str">
        <f t="shared" si="4"/>
        <v/>
      </c>
      <c r="AJ21" s="545"/>
      <c r="AK21" s="545"/>
      <c r="AL21"/>
      <c r="AM21"/>
      <c r="AO21" s="289"/>
    </row>
    <row r="22" spans="1:53" ht="18" customHeight="1">
      <c r="A22" s="167"/>
      <c r="B22" s="633" t="str">
        <f t="shared" si="6"/>
        <v/>
      </c>
      <c r="C22" s="521"/>
      <c r="D22" s="522"/>
      <c r="E22" s="522"/>
      <c r="F22" s="258"/>
      <c r="G22" s="633" t="str">
        <f t="shared" si="7"/>
        <v/>
      </c>
      <c r="H22" s="550"/>
      <c r="I22" s="522"/>
      <c r="J22" s="522"/>
      <c r="K22" s="258"/>
      <c r="L22" s="633" t="str">
        <f t="shared" si="8"/>
        <v/>
      </c>
      <c r="M22" s="550"/>
      <c r="N22" s="522"/>
      <c r="O22" s="522"/>
      <c r="P22" s="258"/>
      <c r="R22" s="684"/>
      <c r="S22" s="684"/>
      <c r="T22" s="684"/>
      <c r="U22" s="684"/>
      <c r="V22" s="684"/>
      <c r="W22" s="684"/>
      <c r="X22" s="684"/>
      <c r="AA22" s="545"/>
      <c r="AB22" s="385">
        <f t="shared" si="5"/>
        <v>9.5</v>
      </c>
      <c r="AC22" s="627" t="str">
        <f t="shared" si="3"/>
        <v/>
      </c>
      <c r="AD22" s="627" t="str">
        <f t="shared" si="3"/>
        <v/>
      </c>
      <c r="AE22" s="627" t="str">
        <f t="shared" si="3"/>
        <v/>
      </c>
      <c r="AG22" s="630" t="str">
        <f t="shared" si="4"/>
        <v/>
      </c>
      <c r="AH22" s="630" t="str">
        <f t="shared" si="4"/>
        <v/>
      </c>
      <c r="AI22" s="630" t="str">
        <f t="shared" si="4"/>
        <v/>
      </c>
      <c r="AJ22" s="545"/>
      <c r="AK22" s="545"/>
      <c r="AN22" s="167"/>
    </row>
    <row r="23" spans="1:53" ht="18" customHeight="1">
      <c r="A23" s="167">
        <f>A21+1</f>
        <v>10</v>
      </c>
      <c r="B23" s="633" t="str">
        <f t="shared" si="6"/>
        <v/>
      </c>
      <c r="C23" s="521"/>
      <c r="D23" s="522"/>
      <c r="E23" s="522"/>
      <c r="F23" s="258"/>
      <c r="G23" s="633" t="str">
        <f t="shared" si="7"/>
        <v/>
      </c>
      <c r="H23" s="550"/>
      <c r="I23" s="522"/>
      <c r="J23" s="522"/>
      <c r="K23" s="258"/>
      <c r="L23" s="633" t="str">
        <f t="shared" si="8"/>
        <v/>
      </c>
      <c r="M23" s="550"/>
      <c r="N23" s="522"/>
      <c r="O23" s="522"/>
      <c r="P23" s="258"/>
      <c r="R23" s="684"/>
      <c r="S23" s="684"/>
      <c r="T23" s="684"/>
      <c r="U23" s="684"/>
      <c r="V23" s="684"/>
      <c r="W23" s="684"/>
      <c r="X23" s="684"/>
      <c r="AA23" s="545"/>
      <c r="AB23" s="385">
        <f t="shared" si="5"/>
        <v>10</v>
      </c>
      <c r="AC23" s="627" t="str">
        <f t="shared" si="3"/>
        <v/>
      </c>
      <c r="AD23" s="627" t="str">
        <f t="shared" si="3"/>
        <v/>
      </c>
      <c r="AE23" s="627" t="str">
        <f t="shared" si="3"/>
        <v/>
      </c>
      <c r="AG23" s="630" t="str">
        <f t="shared" si="4"/>
        <v/>
      </c>
      <c r="AH23" s="630" t="str">
        <f t="shared" si="4"/>
        <v/>
      </c>
      <c r="AI23" s="630" t="str">
        <f t="shared" si="4"/>
        <v/>
      </c>
      <c r="AJ23" s="545"/>
      <c r="AK23" s="545"/>
      <c r="AN23" s="167"/>
    </row>
    <row r="24" spans="1:53" ht="18" customHeight="1">
      <c r="A24" s="167"/>
      <c r="B24" s="633" t="str">
        <f t="shared" si="6"/>
        <v/>
      </c>
      <c r="C24" s="521"/>
      <c r="D24" s="522"/>
      <c r="E24" s="522"/>
      <c r="F24" s="258"/>
      <c r="G24" s="633" t="str">
        <f t="shared" si="7"/>
        <v/>
      </c>
      <c r="H24" s="550"/>
      <c r="I24" s="522"/>
      <c r="J24" s="522"/>
      <c r="K24" s="258"/>
      <c r="L24" s="633" t="str">
        <f t="shared" si="8"/>
        <v/>
      </c>
      <c r="M24" s="550"/>
      <c r="N24" s="522"/>
      <c r="O24" s="522"/>
      <c r="P24" s="257"/>
      <c r="R24" s="684"/>
      <c r="S24" s="684"/>
      <c r="T24" s="684"/>
      <c r="U24" s="684"/>
      <c r="V24" s="684"/>
      <c r="W24" s="684"/>
      <c r="X24" s="684"/>
      <c r="Y24" s="288"/>
      <c r="AA24" s="545"/>
      <c r="AB24" s="385">
        <f t="shared" si="5"/>
        <v>10.5</v>
      </c>
      <c r="AC24" s="627" t="str">
        <f t="shared" si="3"/>
        <v/>
      </c>
      <c r="AD24" s="627" t="str">
        <f t="shared" si="3"/>
        <v/>
      </c>
      <c r="AE24" s="627" t="str">
        <f t="shared" si="3"/>
        <v/>
      </c>
      <c r="AG24" s="630" t="str">
        <f t="shared" si="4"/>
        <v/>
      </c>
      <c r="AH24" s="630" t="str">
        <f t="shared" si="4"/>
        <v/>
      </c>
      <c r="AI24" s="630" t="str">
        <f t="shared" si="4"/>
        <v/>
      </c>
      <c r="AJ24" s="545"/>
      <c r="AK24" s="545"/>
      <c r="AN24" s="167"/>
    </row>
    <row r="25" spans="1:53" ht="18" customHeight="1">
      <c r="A25" s="167">
        <f>A23+1</f>
        <v>11</v>
      </c>
      <c r="B25" s="633" t="str">
        <f t="shared" si="6"/>
        <v/>
      </c>
      <c r="C25" s="521"/>
      <c r="D25" s="522"/>
      <c r="E25" s="522"/>
      <c r="F25" s="258"/>
      <c r="G25" s="633" t="str">
        <f t="shared" si="7"/>
        <v/>
      </c>
      <c r="H25" s="550"/>
      <c r="I25" s="522"/>
      <c r="J25" s="522"/>
      <c r="K25" s="258"/>
      <c r="L25" s="633" t="str">
        <f t="shared" si="8"/>
        <v/>
      </c>
      <c r="M25" s="550"/>
      <c r="N25" s="522"/>
      <c r="O25" s="522"/>
      <c r="P25" s="257"/>
      <c r="R25" s="684"/>
      <c r="S25" s="684"/>
      <c r="T25" s="684"/>
      <c r="U25" s="684"/>
      <c r="V25" s="684"/>
      <c r="W25" s="684"/>
      <c r="X25" s="684"/>
      <c r="Y25" s="75"/>
      <c r="AA25" s="545"/>
      <c r="AB25" s="385">
        <f t="shared" si="5"/>
        <v>11</v>
      </c>
      <c r="AC25" s="627" t="str">
        <f t="shared" si="3"/>
        <v/>
      </c>
      <c r="AD25" s="627" t="str">
        <f t="shared" si="3"/>
        <v/>
      </c>
      <c r="AE25" s="627" t="str">
        <f t="shared" si="3"/>
        <v/>
      </c>
      <c r="AG25" s="630" t="str">
        <f t="shared" si="4"/>
        <v/>
      </c>
      <c r="AH25" s="630" t="str">
        <f t="shared" si="4"/>
        <v/>
      </c>
      <c r="AI25" s="630" t="str">
        <f t="shared" si="4"/>
        <v/>
      </c>
      <c r="AJ25" s="545"/>
      <c r="AK25" s="545"/>
      <c r="AN25" s="167"/>
    </row>
    <row r="26" spans="1:53" ht="18" customHeight="1">
      <c r="A26" s="167"/>
      <c r="B26" s="633" t="str">
        <f t="shared" si="6"/>
        <v xml:space="preserve"> ĉ</v>
      </c>
      <c r="C26" s="521"/>
      <c r="D26" s="522"/>
      <c r="E26" s="522"/>
      <c r="F26" s="258"/>
      <c r="G26" s="633" t="str">
        <f t="shared" si="7"/>
        <v/>
      </c>
      <c r="H26" s="550"/>
      <c r="I26" s="522"/>
      <c r="J26" s="522"/>
      <c r="K26" s="258"/>
      <c r="L26" s="633" t="str">
        <f t="shared" si="8"/>
        <v/>
      </c>
      <c r="M26" s="550"/>
      <c r="N26" s="522"/>
      <c r="O26" s="522"/>
      <c r="P26" s="257"/>
      <c r="R26" s="684"/>
      <c r="S26" s="684"/>
      <c r="T26" s="684"/>
      <c r="U26" s="684"/>
      <c r="V26" s="684"/>
      <c r="W26" s="684"/>
      <c r="X26" s="684"/>
      <c r="AA26" s="545"/>
      <c r="AB26" s="385">
        <f t="shared" si="5"/>
        <v>11.5</v>
      </c>
      <c r="AC26" s="627" t="str">
        <f t="shared" si="3"/>
        <v/>
      </c>
      <c r="AD26" s="627" t="str">
        <f t="shared" si="3"/>
        <v/>
      </c>
      <c r="AE26" s="627" t="str">
        <f t="shared" si="3"/>
        <v/>
      </c>
      <c r="AG26" s="630" t="str">
        <f t="shared" si="4"/>
        <v xml:space="preserve"> ĉ</v>
      </c>
      <c r="AH26" s="630" t="str">
        <f t="shared" si="4"/>
        <v/>
      </c>
      <c r="AI26" s="630" t="str">
        <f t="shared" si="4"/>
        <v/>
      </c>
      <c r="AJ26" s="545"/>
      <c r="AK26" s="545"/>
      <c r="AN26" s="167"/>
    </row>
    <row r="27" spans="1:53">
      <c r="A27" s="167">
        <f>A25+1</f>
        <v>12</v>
      </c>
      <c r="B27" s="633" t="str">
        <f t="shared" si="6"/>
        <v>꙰</v>
      </c>
      <c r="C27" s="521"/>
      <c r="D27" s="522"/>
      <c r="E27" s="522"/>
      <c r="F27" s="258"/>
      <c r="G27" s="633" t="str">
        <f t="shared" si="7"/>
        <v>꙰ ĉ</v>
      </c>
      <c r="H27" s="550"/>
      <c r="I27" s="522"/>
      <c r="J27" s="522"/>
      <c r="K27" s="258"/>
      <c r="L27" s="633" t="str">
        <f t="shared" si="8"/>
        <v>꙰ ĉ</v>
      </c>
      <c r="M27" s="550"/>
      <c r="N27" s="522"/>
      <c r="O27" s="522"/>
      <c r="P27" s="257"/>
      <c r="R27" s="684"/>
      <c r="S27" s="684"/>
      <c r="T27" s="684"/>
      <c r="U27" s="684"/>
      <c r="V27" s="684"/>
      <c r="W27" s="684"/>
      <c r="X27" s="684"/>
      <c r="AA27" s="545"/>
      <c r="AB27" s="385">
        <f t="shared" si="5"/>
        <v>12</v>
      </c>
      <c r="AC27" s="627" t="str">
        <f t="shared" si="3"/>
        <v>꙰</v>
      </c>
      <c r="AD27" s="627" t="str">
        <f t="shared" si="3"/>
        <v>꙰</v>
      </c>
      <c r="AE27" s="627" t="str">
        <f t="shared" si="3"/>
        <v>꙰</v>
      </c>
      <c r="AG27" s="630" t="str">
        <f t="shared" si="4"/>
        <v/>
      </c>
      <c r="AH27" s="630" t="str">
        <f t="shared" si="4"/>
        <v xml:space="preserve"> ĉ</v>
      </c>
      <c r="AI27" s="630" t="str">
        <f t="shared" si="4"/>
        <v xml:space="preserve"> ĉ</v>
      </c>
      <c r="AJ27" s="545"/>
      <c r="AK27" s="545"/>
      <c r="AN27" s="167"/>
      <c r="AQ27" s="491">
        <v>-6</v>
      </c>
      <c r="AR27" s="491">
        <v>-5</v>
      </c>
      <c r="AS27" s="491">
        <v>-4</v>
      </c>
      <c r="AT27" s="491">
        <v>-3</v>
      </c>
      <c r="AU27" s="491">
        <v>-2</v>
      </c>
      <c r="AV27" s="491">
        <v>-1</v>
      </c>
      <c r="AW27" s="491">
        <v>0</v>
      </c>
    </row>
    <row r="28" spans="1:53">
      <c r="A28" s="167"/>
      <c r="B28" s="633" t="str">
        <f t="shared" si="6"/>
        <v/>
      </c>
      <c r="C28" s="521"/>
      <c r="D28" s="522"/>
      <c r="E28" s="522"/>
      <c r="F28" s="258"/>
      <c r="G28" s="633" t="str">
        <f t="shared" si="7"/>
        <v/>
      </c>
      <c r="H28" s="550"/>
      <c r="I28" s="522"/>
      <c r="J28" s="522"/>
      <c r="K28" s="258"/>
      <c r="L28" s="633" t="str">
        <f t="shared" si="8"/>
        <v/>
      </c>
      <c r="M28" s="550"/>
      <c r="N28" s="522"/>
      <c r="O28" s="522"/>
      <c r="P28" s="257"/>
      <c r="R28" s="684"/>
      <c r="S28" s="684"/>
      <c r="T28" s="684"/>
      <c r="U28" s="684"/>
      <c r="V28" s="684"/>
      <c r="W28" s="684"/>
      <c r="X28" s="684"/>
      <c r="AA28" s="545"/>
      <c r="AB28" s="385">
        <f t="shared" si="5"/>
        <v>12.5</v>
      </c>
      <c r="AC28" s="627" t="str">
        <f t="shared" si="3"/>
        <v/>
      </c>
      <c r="AD28" s="627" t="str">
        <f t="shared" si="3"/>
        <v/>
      </c>
      <c r="AE28" s="627" t="str">
        <f t="shared" si="3"/>
        <v/>
      </c>
      <c r="AG28" s="630" t="str">
        <f t="shared" si="4"/>
        <v/>
      </c>
      <c r="AH28" s="630" t="str">
        <f t="shared" si="4"/>
        <v/>
      </c>
      <c r="AI28" s="630" t="str">
        <f t="shared" si="4"/>
        <v/>
      </c>
      <c r="AJ28" s="545"/>
      <c r="AK28" s="545"/>
      <c r="AN28" s="167"/>
    </row>
    <row r="29" spans="1:53" ht="18.75" thickBot="1">
      <c r="A29" s="167">
        <f>A27+1</f>
        <v>13</v>
      </c>
      <c r="B29" s="633" t="str">
        <f t="shared" si="6"/>
        <v/>
      </c>
      <c r="C29" s="521"/>
      <c r="D29" s="522"/>
      <c r="E29" s="522"/>
      <c r="F29" s="258"/>
      <c r="G29" s="633" t="str">
        <f t="shared" si="7"/>
        <v/>
      </c>
      <c r="H29" s="550"/>
      <c r="I29" s="522"/>
      <c r="J29" s="522"/>
      <c r="K29" s="258"/>
      <c r="L29" s="633" t="str">
        <f t="shared" si="8"/>
        <v/>
      </c>
      <c r="M29" s="550"/>
      <c r="N29" s="522"/>
      <c r="O29" s="522"/>
      <c r="P29" s="257"/>
      <c r="R29" s="717" t="str">
        <f>"Naksatra: " &amp; AH73 &amp; CHAR(10) &amp; "Yoga: " &amp; AH74</f>
        <v>Naksatra: Bharani
Yoga: Siddha</v>
      </c>
      <c r="S29" s="717"/>
      <c r="T29" s="717"/>
      <c r="U29" s="717" t="s">
        <v>860</v>
      </c>
      <c r="V29" s="717"/>
      <c r="W29" s="717"/>
      <c r="X29" s="325" t="str">
        <f>AH75 &amp; CHAR(10) &amp; AH76</f>
        <v>5
361</v>
      </c>
      <c r="AA29" s="545"/>
      <c r="AB29" s="385">
        <f t="shared" si="5"/>
        <v>13</v>
      </c>
      <c r="AC29" s="627" t="str">
        <f t="shared" si="3"/>
        <v/>
      </c>
      <c r="AD29" s="627" t="str">
        <f t="shared" si="3"/>
        <v/>
      </c>
      <c r="AE29" s="627" t="str">
        <f t="shared" si="3"/>
        <v/>
      </c>
      <c r="AG29" s="630" t="str">
        <f t="shared" si="4"/>
        <v/>
      </c>
      <c r="AH29" s="630" t="str">
        <f t="shared" si="4"/>
        <v/>
      </c>
      <c r="AI29" s="630" t="str">
        <f t="shared" si="4"/>
        <v/>
      </c>
      <c r="AJ29" s="545"/>
      <c r="AK29" s="545"/>
      <c r="AN29" s="167"/>
      <c r="AP29" s="329"/>
      <c r="AQ29" s="151">
        <v>1</v>
      </c>
      <c r="AR29" s="151">
        <v>2</v>
      </c>
      <c r="AS29" s="151">
        <v>3</v>
      </c>
      <c r="AT29" s="151">
        <v>4</v>
      </c>
      <c r="AU29" s="151">
        <v>5</v>
      </c>
      <c r="AV29" s="151">
        <v>6</v>
      </c>
      <c r="AW29" s="151">
        <v>7</v>
      </c>
    </row>
    <row r="30" spans="1:53">
      <c r="A30" s="167"/>
      <c r="B30" s="633" t="str">
        <f t="shared" si="6"/>
        <v/>
      </c>
      <c r="C30" s="521"/>
      <c r="D30" s="522"/>
      <c r="E30" s="522"/>
      <c r="F30" s="258"/>
      <c r="G30" s="633" t="str">
        <f t="shared" si="7"/>
        <v/>
      </c>
      <c r="H30" s="550"/>
      <c r="I30" s="522"/>
      <c r="J30" s="522"/>
      <c r="K30" s="258"/>
      <c r="L30" s="633" t="str">
        <f t="shared" si="8"/>
        <v/>
      </c>
      <c r="M30" s="711"/>
      <c r="N30" s="711"/>
      <c r="O30" s="711"/>
      <c r="P30" s="258"/>
      <c r="R30" s="718" t="str">
        <f ca="1">VLOOKUP(AY9,$AP$6:$AQ$17,2,FALSE)</f>
        <v>December</v>
      </c>
      <c r="S30" s="719"/>
      <c r="T30" s="719"/>
      <c r="U30" s="719"/>
      <c r="V30" s="719"/>
      <c r="W30" s="719"/>
      <c r="X30" s="720"/>
      <c r="AA30" s="545"/>
      <c r="AB30" s="385">
        <f t="shared" si="5"/>
        <v>13.5</v>
      </c>
      <c r="AC30" s="627" t="str">
        <f t="shared" si="3"/>
        <v/>
      </c>
      <c r="AD30" s="627" t="str">
        <f t="shared" si="3"/>
        <v/>
      </c>
      <c r="AE30" s="627" t="str">
        <f t="shared" si="3"/>
        <v/>
      </c>
      <c r="AG30" s="630" t="str">
        <f t="shared" si="4"/>
        <v/>
      </c>
      <c r="AH30" s="630" t="str">
        <f t="shared" si="4"/>
        <v/>
      </c>
      <c r="AI30" s="630" t="str">
        <f t="shared" si="4"/>
        <v/>
      </c>
      <c r="AJ30" s="545"/>
      <c r="AK30" s="545"/>
      <c r="AN30" s="167"/>
      <c r="AO30" s="167"/>
      <c r="AP30" s="524"/>
      <c r="AQ30" s="324">
        <f>AY9</f>
        <v>12</v>
      </c>
      <c r="AR30" s="318"/>
      <c r="AS30" s="318"/>
      <c r="AT30" s="318"/>
      <c r="AU30" s="318"/>
      <c r="AV30" s="318"/>
      <c r="AW30" s="318"/>
      <c r="BA30" s="167"/>
    </row>
    <row r="31" spans="1:53">
      <c r="A31" s="167">
        <f>A29+1</f>
        <v>14</v>
      </c>
      <c r="B31" s="633" t="str">
        <f t="shared" si="6"/>
        <v/>
      </c>
      <c r="C31" s="521"/>
      <c r="D31" s="522"/>
      <c r="E31" s="522"/>
      <c r="F31" s="258"/>
      <c r="G31" s="633" t="str">
        <f t="shared" si="7"/>
        <v/>
      </c>
      <c r="H31" s="550"/>
      <c r="I31" s="522"/>
      <c r="J31" s="522"/>
      <c r="K31" s="258"/>
      <c r="L31" s="633" t="str">
        <f t="shared" si="8"/>
        <v/>
      </c>
      <c r="M31" s="721"/>
      <c r="N31" s="721"/>
      <c r="O31" s="721"/>
      <c r="P31" s="258"/>
      <c r="R31" s="305" t="str">
        <f ca="1">'GPlan-Translations'!$C$218</f>
        <v>Mo</v>
      </c>
      <c r="S31" s="137" t="str">
        <f ca="1">'GPlan-Translations'!$C$219</f>
        <v>Tu</v>
      </c>
      <c r="T31" s="137" t="str">
        <f ca="1">'GPlan-Translations'!$C$220</f>
        <v>We</v>
      </c>
      <c r="U31" s="137" t="str">
        <f ca="1">'GPlan-Translations'!$C$221</f>
        <v>Th</v>
      </c>
      <c r="V31" s="137" t="str">
        <f ca="1">'GPlan-Translations'!$C$222</f>
        <v>Fr</v>
      </c>
      <c r="W31" s="525" t="str">
        <f ca="1">'GPlan-Translations'!$C$223</f>
        <v>Sa</v>
      </c>
      <c r="X31" s="526" t="str">
        <f ca="1">'GPlan-Translations'!$C$217</f>
        <v>Su</v>
      </c>
      <c r="AA31" s="545"/>
      <c r="AB31" s="385">
        <f t="shared" si="5"/>
        <v>14</v>
      </c>
      <c r="AC31" s="627" t="str">
        <f t="shared" ref="AC31:AE52" si="9">IF(AC$55=$AB31,$AB$55,IF(AC$56=$AB31,$AB$56,IF(AC$57=$AB31,$AB$57,IF(AC$58=$AB31,$AB$58,""))))</f>
        <v/>
      </c>
      <c r="AD31" s="627" t="str">
        <f t="shared" si="9"/>
        <v/>
      </c>
      <c r="AE31" s="627" t="str">
        <f t="shared" si="9"/>
        <v/>
      </c>
      <c r="AG31" s="630" t="str">
        <f t="shared" ref="AG31:AI52" si="10">IF(AG$56=$AB31,$AJ$56,IF(AG$57=$AB31,$AJ$57,IF(AG$58=$AB31,$AJ$58,"")))</f>
        <v/>
      </c>
      <c r="AH31" s="630" t="str">
        <f t="shared" si="10"/>
        <v/>
      </c>
      <c r="AI31" s="630" t="str">
        <f t="shared" si="10"/>
        <v/>
      </c>
      <c r="AJ31" s="545"/>
      <c r="AK31" s="545"/>
      <c r="AN31" s="167"/>
      <c r="AO31" s="167"/>
      <c r="AP31" s="527" t="s">
        <v>877</v>
      </c>
      <c r="AQ31" s="140" t="str">
        <f t="shared" ref="AQ31:AW31" ca="1" si="11">R31</f>
        <v>Mo</v>
      </c>
      <c r="AR31" s="141" t="str">
        <f t="shared" ca="1" si="11"/>
        <v>Tu</v>
      </c>
      <c r="AS31" s="141" t="str">
        <f t="shared" ca="1" si="11"/>
        <v>We</v>
      </c>
      <c r="AT31" s="141" t="str">
        <f t="shared" ca="1" si="11"/>
        <v>Th</v>
      </c>
      <c r="AU31" s="141" t="str">
        <f t="shared" ca="1" si="11"/>
        <v>Fr</v>
      </c>
      <c r="AV31" s="311" t="str">
        <f t="shared" ca="1" si="11"/>
        <v>Sa</v>
      </c>
      <c r="AW31" s="143" t="str">
        <f t="shared" ca="1" si="11"/>
        <v>Su</v>
      </c>
    </row>
    <row r="32" spans="1:53" ht="1.5" customHeight="1">
      <c r="A32" s="167"/>
      <c r="B32" s="633" t="str">
        <f t="shared" si="6"/>
        <v/>
      </c>
      <c r="C32" s="539"/>
      <c r="D32" s="540"/>
      <c r="E32" s="540"/>
      <c r="F32" s="541"/>
      <c r="G32" s="633" t="str">
        <f t="shared" si="7"/>
        <v/>
      </c>
      <c r="H32" s="366"/>
      <c r="I32" s="540"/>
      <c r="J32" s="540"/>
      <c r="K32" s="541"/>
      <c r="L32" s="633" t="str">
        <f t="shared" si="8"/>
        <v/>
      </c>
      <c r="M32" s="366"/>
      <c r="N32" s="366"/>
      <c r="O32" s="366"/>
      <c r="P32" s="541"/>
      <c r="R32" s="309"/>
      <c r="S32" s="310"/>
      <c r="T32" s="137"/>
      <c r="U32" s="137"/>
      <c r="V32" s="137"/>
      <c r="W32" s="305"/>
      <c r="X32" s="304"/>
      <c r="AA32" s="545"/>
      <c r="AB32" s="545"/>
      <c r="AC32" s="627" t="str">
        <f t="shared" si="9"/>
        <v/>
      </c>
      <c r="AD32" s="627" t="str">
        <f t="shared" si="9"/>
        <v/>
      </c>
      <c r="AE32" s="627" t="str">
        <f t="shared" si="9"/>
        <v/>
      </c>
      <c r="AG32" s="630" t="str">
        <f t="shared" si="10"/>
        <v/>
      </c>
      <c r="AH32" s="630" t="str">
        <f t="shared" si="10"/>
        <v/>
      </c>
      <c r="AI32" s="630" t="str">
        <f t="shared" si="10"/>
        <v/>
      </c>
      <c r="AJ32" s="545"/>
      <c r="AK32" s="545"/>
      <c r="AN32" s="167"/>
      <c r="AO32" s="167"/>
      <c r="AP32" s="320"/>
      <c r="AQ32" s="303"/>
      <c r="AR32" s="137"/>
      <c r="AS32" s="137"/>
      <c r="AT32" s="137"/>
      <c r="AU32" s="137"/>
      <c r="AV32" s="302"/>
      <c r="AW32" s="301"/>
    </row>
    <row r="33" spans="1:51">
      <c r="A33" s="167"/>
      <c r="B33" s="633" t="str">
        <f t="shared" si="6"/>
        <v/>
      </c>
      <c r="C33" s="300"/>
      <c r="D33" s="268"/>
      <c r="E33" s="268"/>
      <c r="F33" s="258"/>
      <c r="G33" s="633" t="str">
        <f t="shared" si="7"/>
        <v/>
      </c>
      <c r="H33" s="549"/>
      <c r="I33" s="268"/>
      <c r="J33" s="268"/>
      <c r="K33" s="258"/>
      <c r="L33" s="633" t="str">
        <f t="shared" si="8"/>
        <v/>
      </c>
      <c r="M33" s="715"/>
      <c r="N33" s="715"/>
      <c r="O33" s="715"/>
      <c r="P33" s="258"/>
      <c r="R33" s="298">
        <f>IF(AN33="-",IF(AN41="-","",AN41),AN33)</f>
        <v>43829</v>
      </c>
      <c r="S33" s="299">
        <f>IF(AO33="-",IF(AO41="-","",AO41),AO33)</f>
        <v>43830</v>
      </c>
      <c r="T33" s="299" t="str">
        <f>IF($AY$12=AS29,$AY$10,IF(AO33="-","",AO33+1))</f>
        <v/>
      </c>
      <c r="U33" s="299" t="str">
        <f>IF($AY$12=AT29,$AY$10,IF(T33="","",T33+1))</f>
        <v/>
      </c>
      <c r="V33" s="299" t="str">
        <f>IF($AY$12=AU29,$AY$10,IF(U33="","",U33+1))</f>
        <v/>
      </c>
      <c r="W33" s="298" t="str">
        <f>IF($AY$12=AV29,$AY$10,IF(V33="","",V33+1))</f>
        <v/>
      </c>
      <c r="X33" s="297">
        <f>IF($AY$12=AW29,$AY$10,IF(W33="","",W33+1))</f>
        <v>43800</v>
      </c>
      <c r="AA33" s="545"/>
      <c r="AB33" s="385">
        <f>AB31+0.5</f>
        <v>14.5</v>
      </c>
      <c r="AC33" s="627" t="str">
        <f t="shared" si="9"/>
        <v/>
      </c>
      <c r="AD33" s="627" t="str">
        <f t="shared" si="9"/>
        <v/>
      </c>
      <c r="AE33" s="627" t="str">
        <f t="shared" si="9"/>
        <v/>
      </c>
      <c r="AG33" s="630" t="str">
        <f t="shared" si="10"/>
        <v/>
      </c>
      <c r="AH33" s="630" t="str">
        <f t="shared" si="10"/>
        <v/>
      </c>
      <c r="AI33" s="630" t="str">
        <f t="shared" si="10"/>
        <v/>
      </c>
      <c r="AJ33" s="545"/>
      <c r="AK33" s="491">
        <v>35</v>
      </c>
      <c r="AL33" s="491">
        <v>0</v>
      </c>
      <c r="AN33" s="528" t="str">
        <f>IF($AY$12=AQ29,$AY$10,"-")</f>
        <v>-</v>
      </c>
      <c r="AO33" s="528" t="str">
        <f>IF($AY$12=AR29,$AY$10,IF(AN33="-","-",AN33+1))</f>
        <v>-</v>
      </c>
      <c r="AP33" s="492" t="str">
        <f>IF(X33=$U$16,1,"")</f>
        <v/>
      </c>
      <c r="AQ33" s="529" t="str">
        <f>IFERROR(IF(R33="","",INDEX(GCalXML[fasttype],MATCH(R33,GCalXML[date],0))),"")</f>
        <v> </v>
      </c>
      <c r="AR33" s="530" t="str">
        <f>IFERROR(IF(S33="","",INDEX(GCalXML[fasttype],MATCH(S33,GCalXML[date],0))),"")</f>
        <v> </v>
      </c>
      <c r="AS33" s="151" t="str">
        <f>IFERROR(IF(T33="","",INDEX(GCalXML[fasttype],$AY$33+$AL33+AS$27)),"")</f>
        <v/>
      </c>
      <c r="AT33" s="151" t="str">
        <f>IFERROR(IF(U33="","",INDEX(GCalXML[fasttype],$AY$33+$AL33+AT$27)),"")</f>
        <v/>
      </c>
      <c r="AU33" s="151" t="str">
        <f>IFERROR(IF(V33="","",INDEX(GCalXML[fasttype],$AY$33+$AL33+AU$27)),"")</f>
        <v/>
      </c>
      <c r="AV33" s="296" t="str">
        <f>IFERROR(IF(W33="","",INDEX(GCalXML[fasttype],$AY$33+$AL33+AV$27)),"")</f>
        <v/>
      </c>
      <c r="AW33" s="153" t="str">
        <f>IFERROR(IF(X33="","",INDEX(GCalXML[fasttype],$AY$33+$AL33+AW$27)),"")</f>
        <v> </v>
      </c>
      <c r="AY33" s="531">
        <f>MATCH(X33,GCalXML[date],0)</f>
        <v>8</v>
      </c>
    </row>
    <row r="34" spans="1:51" ht="1.5" customHeight="1">
      <c r="A34" s="167"/>
      <c r="B34" s="633" t="str">
        <f t="shared" si="6"/>
        <v/>
      </c>
      <c r="C34" s="539"/>
      <c r="D34" s="540"/>
      <c r="E34" s="540"/>
      <c r="F34" s="541"/>
      <c r="G34" s="633" t="str">
        <f t="shared" si="7"/>
        <v/>
      </c>
      <c r="H34" s="366"/>
      <c r="I34" s="540"/>
      <c r="J34" s="540"/>
      <c r="K34" s="541"/>
      <c r="L34" s="633" t="str">
        <f t="shared" si="8"/>
        <v/>
      </c>
      <c r="M34" s="366"/>
      <c r="N34" s="366"/>
      <c r="O34" s="366"/>
      <c r="P34" s="541"/>
      <c r="R34" s="305"/>
      <c r="S34" s="137"/>
      <c r="T34" s="137"/>
      <c r="U34" s="137"/>
      <c r="V34" s="137"/>
      <c r="W34" s="305"/>
      <c r="X34" s="304"/>
      <c r="AA34" s="545"/>
      <c r="AB34" s="545"/>
      <c r="AC34" s="627" t="str">
        <f t="shared" si="9"/>
        <v/>
      </c>
      <c r="AD34" s="627" t="str">
        <f t="shared" si="9"/>
        <v/>
      </c>
      <c r="AE34" s="627" t="str">
        <f t="shared" si="9"/>
        <v/>
      </c>
      <c r="AG34" s="630" t="str">
        <f t="shared" si="10"/>
        <v/>
      </c>
      <c r="AH34" s="630" t="str">
        <f t="shared" si="10"/>
        <v/>
      </c>
      <c r="AI34" s="630" t="str">
        <f t="shared" si="10"/>
        <v/>
      </c>
      <c r="AJ34" s="545"/>
      <c r="AK34" s="545"/>
      <c r="AN34" s="167"/>
      <c r="AO34" s="167"/>
      <c r="AP34" s="320"/>
      <c r="AQ34" s="303"/>
      <c r="AR34" s="137"/>
      <c r="AS34" s="137"/>
      <c r="AT34" s="137"/>
      <c r="AU34" s="137"/>
      <c r="AV34" s="302"/>
      <c r="AW34" s="301"/>
    </row>
    <row r="35" spans="1:51" ht="18" customHeight="1">
      <c r="A35" s="167">
        <f>A31+1</f>
        <v>15</v>
      </c>
      <c r="B35" s="633" t="str">
        <f t="shared" si="6"/>
        <v/>
      </c>
      <c r="C35" s="300"/>
      <c r="D35" s="268"/>
      <c r="E35" s="268"/>
      <c r="F35" s="258"/>
      <c r="G35" s="633" t="str">
        <f t="shared" si="7"/>
        <v/>
      </c>
      <c r="H35" s="549"/>
      <c r="I35" s="268"/>
      <c r="J35" s="268"/>
      <c r="K35" s="258"/>
      <c r="L35" s="633" t="str">
        <f t="shared" si="8"/>
        <v/>
      </c>
      <c r="M35" s="715"/>
      <c r="N35" s="715"/>
      <c r="O35" s="715"/>
      <c r="P35" s="258"/>
      <c r="R35" s="298">
        <f>X33+1</f>
        <v>43801</v>
      </c>
      <c r="S35" s="299">
        <f t="shared" ref="S35:X35" si="12">R35+1</f>
        <v>43802</v>
      </c>
      <c r="T35" s="299">
        <f t="shared" si="12"/>
        <v>43803</v>
      </c>
      <c r="U35" s="299">
        <f t="shared" si="12"/>
        <v>43804</v>
      </c>
      <c r="V35" s="299">
        <f t="shared" si="12"/>
        <v>43805</v>
      </c>
      <c r="W35" s="298">
        <f t="shared" si="12"/>
        <v>43806</v>
      </c>
      <c r="X35" s="297">
        <f t="shared" si="12"/>
        <v>43807</v>
      </c>
      <c r="AA35" s="545"/>
      <c r="AB35" s="385">
        <f>AB33+0.5</f>
        <v>15</v>
      </c>
      <c r="AC35" s="627" t="str">
        <f t="shared" si="9"/>
        <v/>
      </c>
      <c r="AD35" s="627" t="str">
        <f t="shared" si="9"/>
        <v/>
      </c>
      <c r="AE35" s="627" t="str">
        <f t="shared" si="9"/>
        <v/>
      </c>
      <c r="AG35" s="630" t="str">
        <f t="shared" si="10"/>
        <v/>
      </c>
      <c r="AH35" s="630" t="str">
        <f t="shared" si="10"/>
        <v/>
      </c>
      <c r="AI35" s="630" t="str">
        <f t="shared" si="10"/>
        <v/>
      </c>
      <c r="AJ35" s="545"/>
      <c r="AK35" s="545"/>
      <c r="AL35" s="491">
        <v>7</v>
      </c>
      <c r="AN35" s="167"/>
      <c r="AO35" s="167"/>
      <c r="AP35" s="307" t="str">
        <f>IF(X35=$U$16,1,"")</f>
        <v/>
      </c>
      <c r="AQ35" s="150" t="str">
        <f>IFERROR(IF(R35="","",INDEX(GCalXML[fasttype],$AY$33+$AL35+AQ$27)),"")</f>
        <v>C</v>
      </c>
      <c r="AR35" s="151" t="str">
        <f>IFERROR(IF(S35="","",INDEX(GCalXML[fasttype],$AY$33+$AL35+AR$27)),"")</f>
        <v> </v>
      </c>
      <c r="AS35" s="151" t="str">
        <f>IFERROR(IF(T35="","",INDEX(GCalXML[fasttype],$AY$33+$AL35+AS$27)),"")</f>
        <v> </v>
      </c>
      <c r="AT35" s="151" t="str">
        <f>IFERROR(IF(U35="","",INDEX(GCalXML[fasttype],$AY$33+$AL35+AT$27)),"")</f>
        <v> </v>
      </c>
      <c r="AU35" s="151" t="str">
        <f>IFERROR(IF(V35="","",INDEX(GCalXML[fasttype],$AY$33+$AL35+AU$27)),"")</f>
        <v> </v>
      </c>
      <c r="AV35" s="296" t="str">
        <f>IFERROR(IF(W35="","",INDEX(GCalXML[fasttype],$AY$33+$AL35+AV$27)),"")</f>
        <v>E</v>
      </c>
      <c r="AW35" s="153" t="str">
        <f>IFERROR(IF(X35="","",INDEX(GCalXML[fasttype],$AY$33+$AL35+AW$27)),"")</f>
        <v>C</v>
      </c>
    </row>
    <row r="36" spans="1:51" ht="1.5" customHeight="1">
      <c r="A36" s="167"/>
      <c r="B36" s="633" t="str">
        <f t="shared" si="6"/>
        <v/>
      </c>
      <c r="C36" s="539"/>
      <c r="D36" s="540"/>
      <c r="E36" s="540"/>
      <c r="F36" s="541"/>
      <c r="G36" s="633" t="str">
        <f t="shared" si="7"/>
        <v/>
      </c>
      <c r="H36" s="366"/>
      <c r="I36" s="540"/>
      <c r="J36" s="540"/>
      <c r="K36" s="541"/>
      <c r="L36" s="633" t="str">
        <f t="shared" si="8"/>
        <v/>
      </c>
      <c r="M36" s="366"/>
      <c r="N36" s="366"/>
      <c r="O36" s="366"/>
      <c r="P36" s="541"/>
      <c r="R36" s="305"/>
      <c r="S36" s="310"/>
      <c r="T36" s="310"/>
      <c r="U36" s="310"/>
      <c r="V36" s="310"/>
      <c r="W36" s="309"/>
      <c r="X36" s="308"/>
      <c r="AA36" s="545"/>
      <c r="AB36" s="545"/>
      <c r="AC36" s="627" t="str">
        <f t="shared" si="9"/>
        <v/>
      </c>
      <c r="AD36" s="627" t="str">
        <f t="shared" si="9"/>
        <v/>
      </c>
      <c r="AE36" s="627" t="str">
        <f t="shared" si="9"/>
        <v/>
      </c>
      <c r="AG36" s="630" t="str">
        <f t="shared" si="10"/>
        <v/>
      </c>
      <c r="AH36" s="630" t="str">
        <f t="shared" si="10"/>
        <v/>
      </c>
      <c r="AI36" s="630" t="str">
        <f t="shared" si="10"/>
        <v/>
      </c>
      <c r="AJ36" s="545"/>
      <c r="AK36" s="545"/>
      <c r="AN36" s="167"/>
      <c r="AO36" s="167"/>
      <c r="AP36" s="320"/>
      <c r="AQ36" s="303"/>
      <c r="AR36" s="137"/>
      <c r="AS36" s="137"/>
      <c r="AT36" s="137"/>
      <c r="AU36" s="137"/>
      <c r="AV36" s="302"/>
      <c r="AW36" s="301"/>
    </row>
    <row r="37" spans="1:51">
      <c r="A37" s="167"/>
      <c r="B37" s="633" t="str">
        <f t="shared" si="6"/>
        <v/>
      </c>
      <c r="C37" s="300"/>
      <c r="D37" s="268"/>
      <c r="E37" s="268"/>
      <c r="F37" s="258"/>
      <c r="G37" s="633" t="str">
        <f t="shared" si="7"/>
        <v/>
      </c>
      <c r="H37" s="549"/>
      <c r="I37" s="268"/>
      <c r="J37" s="268"/>
      <c r="K37" s="258"/>
      <c r="L37" s="633" t="str">
        <f t="shared" si="8"/>
        <v/>
      </c>
      <c r="M37" s="715"/>
      <c r="N37" s="715"/>
      <c r="O37" s="715"/>
      <c r="P37" s="258"/>
      <c r="R37" s="298">
        <f>X35+1</f>
        <v>43808</v>
      </c>
      <c r="S37" s="299">
        <f t="shared" ref="S37:X37" si="13">R37+1</f>
        <v>43809</v>
      </c>
      <c r="T37" s="299">
        <f t="shared" si="13"/>
        <v>43810</v>
      </c>
      <c r="U37" s="299">
        <f t="shared" si="13"/>
        <v>43811</v>
      </c>
      <c r="V37" s="299">
        <f t="shared" si="13"/>
        <v>43812</v>
      </c>
      <c r="W37" s="298">
        <f t="shared" si="13"/>
        <v>43813</v>
      </c>
      <c r="X37" s="297">
        <f t="shared" si="13"/>
        <v>43814</v>
      </c>
      <c r="AA37" s="545"/>
      <c r="AB37" s="385">
        <f>AB35+0.5</f>
        <v>15.5</v>
      </c>
      <c r="AC37" s="627" t="str">
        <f t="shared" si="9"/>
        <v/>
      </c>
      <c r="AD37" s="627" t="str">
        <f t="shared" si="9"/>
        <v/>
      </c>
      <c r="AE37" s="627" t="str">
        <f t="shared" si="9"/>
        <v/>
      </c>
      <c r="AG37" s="630" t="str">
        <f t="shared" si="10"/>
        <v/>
      </c>
      <c r="AH37" s="630" t="str">
        <f t="shared" si="10"/>
        <v/>
      </c>
      <c r="AI37" s="630" t="str">
        <f t="shared" si="10"/>
        <v/>
      </c>
      <c r="AJ37" s="545"/>
      <c r="AK37" s="545"/>
      <c r="AL37" s="491">
        <v>14</v>
      </c>
      <c r="AN37" s="167"/>
      <c r="AO37" s="167"/>
      <c r="AP37" s="307" t="str">
        <f>IF(X37=$U$16,1,"")</f>
        <v/>
      </c>
      <c r="AQ37" s="150" t="str">
        <f>IFERROR(IF(R37="","",INDEX(GCalXML[fasttype],$AY$33+$AL37+AQ$27)),"")</f>
        <v> </v>
      </c>
      <c r="AR37" s="151" t="str">
        <f>IFERROR(IF(S37="","",INDEX(GCalXML[fasttype],$AY$33+$AL37+AR$27)),"")</f>
        <v> </v>
      </c>
      <c r="AS37" s="151" t="str">
        <f>IFERROR(IF(T37="","",INDEX(GCalXML[fasttype],$AY$33+$AL37+AS$27)),"")</f>
        <v>C</v>
      </c>
      <c r="AT37" s="151" t="str">
        <f>IFERROR(IF(U37="","",INDEX(GCalXML[fasttype],$AY$33+$AL37+AT$27)),"")</f>
        <v> </v>
      </c>
      <c r="AU37" s="151" t="str">
        <f>IFERROR(IF(V37="","",INDEX(GCalXML[fasttype],$AY$33+$AL37+AU$27)),"")</f>
        <v> </v>
      </c>
      <c r="AV37" s="296" t="str">
        <f>IFERROR(IF(W37="","",INDEX(GCalXML[fasttype],$AY$33+$AL37+AV$27)),"")</f>
        <v> </v>
      </c>
      <c r="AW37" s="153" t="str">
        <f>IFERROR(IF(X37="","",INDEX(GCalXML[fasttype],$AY$33+$AL37+AW$27)),"")</f>
        <v>P</v>
      </c>
    </row>
    <row r="38" spans="1:51" ht="1.5" customHeight="1">
      <c r="A38" s="167"/>
      <c r="B38" s="633" t="str">
        <f t="shared" si="6"/>
        <v/>
      </c>
      <c r="C38" s="539"/>
      <c r="D38" s="540"/>
      <c r="E38" s="540"/>
      <c r="F38" s="541"/>
      <c r="G38" s="633" t="str">
        <f t="shared" si="7"/>
        <v/>
      </c>
      <c r="H38" s="366"/>
      <c r="I38" s="540"/>
      <c r="J38" s="540"/>
      <c r="K38" s="541"/>
      <c r="L38" s="633" t="str">
        <f t="shared" si="8"/>
        <v/>
      </c>
      <c r="M38" s="366"/>
      <c r="N38" s="366"/>
      <c r="O38" s="366"/>
      <c r="P38" s="541"/>
      <c r="R38" s="305"/>
      <c r="S38" s="310"/>
      <c r="T38" s="310"/>
      <c r="U38" s="310"/>
      <c r="V38" s="310"/>
      <c r="W38" s="309"/>
      <c r="X38" s="308"/>
      <c r="AA38" s="545"/>
      <c r="AB38" s="545"/>
      <c r="AC38" s="627" t="str">
        <f t="shared" si="9"/>
        <v/>
      </c>
      <c r="AD38" s="627" t="str">
        <f t="shared" si="9"/>
        <v/>
      </c>
      <c r="AE38" s="627" t="str">
        <f t="shared" si="9"/>
        <v/>
      </c>
      <c r="AG38" s="630" t="str">
        <f t="shared" si="10"/>
        <v/>
      </c>
      <c r="AH38" s="630" t="str">
        <f t="shared" si="10"/>
        <v/>
      </c>
      <c r="AI38" s="630" t="str">
        <f t="shared" si="10"/>
        <v/>
      </c>
      <c r="AJ38" s="545"/>
      <c r="AK38" s="545"/>
      <c r="AN38" s="167"/>
      <c r="AO38" s="167"/>
      <c r="AP38" s="320"/>
      <c r="AQ38" s="303"/>
      <c r="AR38" s="137"/>
      <c r="AS38" s="137"/>
      <c r="AT38" s="137"/>
      <c r="AU38" s="137"/>
      <c r="AV38" s="302"/>
      <c r="AW38" s="301"/>
    </row>
    <row r="39" spans="1:51">
      <c r="A39" s="167">
        <f>A35+1</f>
        <v>16</v>
      </c>
      <c r="B39" s="633" t="str">
        <f t="shared" si="6"/>
        <v/>
      </c>
      <c r="C39" s="300"/>
      <c r="D39" s="268"/>
      <c r="E39" s="268"/>
      <c r="F39" s="258"/>
      <c r="G39" s="633" t="str">
        <f t="shared" si="7"/>
        <v/>
      </c>
      <c r="H39" s="549"/>
      <c r="I39" s="268"/>
      <c r="J39" s="268"/>
      <c r="K39" s="258"/>
      <c r="L39" s="633" t="str">
        <f t="shared" si="8"/>
        <v/>
      </c>
      <c r="M39" s="715"/>
      <c r="N39" s="715"/>
      <c r="O39" s="715"/>
      <c r="P39" s="258"/>
      <c r="R39" s="298">
        <f>X37+1</f>
        <v>43815</v>
      </c>
      <c r="S39" s="299">
        <f t="shared" ref="S39:X39" si="14">R39+1</f>
        <v>43816</v>
      </c>
      <c r="T39" s="299">
        <f t="shared" si="14"/>
        <v>43817</v>
      </c>
      <c r="U39" s="299">
        <f t="shared" si="14"/>
        <v>43818</v>
      </c>
      <c r="V39" s="299">
        <f t="shared" si="14"/>
        <v>43819</v>
      </c>
      <c r="W39" s="298">
        <f t="shared" si="14"/>
        <v>43820</v>
      </c>
      <c r="X39" s="297">
        <f t="shared" si="14"/>
        <v>43821</v>
      </c>
      <c r="AA39" s="545"/>
      <c r="AB39" s="385">
        <f>AB37+0.5</f>
        <v>16</v>
      </c>
      <c r="AC39" s="627" t="str">
        <f t="shared" si="9"/>
        <v/>
      </c>
      <c r="AD39" s="627" t="str">
        <f t="shared" si="9"/>
        <v/>
      </c>
      <c r="AE39" s="627" t="str">
        <f t="shared" si="9"/>
        <v/>
      </c>
      <c r="AG39" s="630" t="str">
        <f t="shared" si="10"/>
        <v/>
      </c>
      <c r="AH39" s="630" t="str">
        <f t="shared" si="10"/>
        <v/>
      </c>
      <c r="AI39" s="630" t="str">
        <f t="shared" si="10"/>
        <v/>
      </c>
      <c r="AJ39" s="545"/>
      <c r="AK39" s="545"/>
      <c r="AL39" s="491">
        <v>21</v>
      </c>
      <c r="AN39" s="167"/>
      <c r="AO39" s="167"/>
      <c r="AP39" s="307" t="str">
        <f>IF(X39=$U$16,1,"")</f>
        <v/>
      </c>
      <c r="AQ39" s="150" t="str">
        <f>IFERROR(IF(R39="","",INDEX(GCalXML[fasttype],$AY$33+$AL39+AQ$27)),"")</f>
        <v> </v>
      </c>
      <c r="AR39" s="151" t="str">
        <f>IFERROR(IF(S39="","",INDEX(GCalXML[fasttype],$AY$33+$AL39+AR$27)),"")</f>
        <v> </v>
      </c>
      <c r="AS39" s="151" t="str">
        <f>IFERROR(IF(T39="","",INDEX(GCalXML[fasttype],$AY$33+$AL39+AS$27)),"")</f>
        <v> </v>
      </c>
      <c r="AT39" s="151" t="str">
        <f>IFERROR(IF(U39="","",INDEX(GCalXML[fasttype],$AY$33+$AL39+AT$27)),"")</f>
        <v> </v>
      </c>
      <c r="AU39" s="151" t="str">
        <f>IFERROR(IF(V39="","",INDEX(GCalXML[fasttype],$AY$33+$AL39+AU$27)),"")</f>
        <v> </v>
      </c>
      <c r="AV39" s="296" t="str">
        <f>IFERROR(IF(W39="","",INDEX(GCalXML[fasttype],$AY$33+$AL39+AV$27)),"")</f>
        <v>C</v>
      </c>
      <c r="AW39" s="153" t="str">
        <f>IFERROR(IF(X39="","",INDEX(GCalXML[fasttype],$AY$33+$AL39+AW$27)),"")</f>
        <v>E</v>
      </c>
    </row>
    <row r="40" spans="1:51" ht="1.5" customHeight="1">
      <c r="A40" s="167"/>
      <c r="B40" s="633" t="str">
        <f t="shared" si="6"/>
        <v/>
      </c>
      <c r="C40" s="539"/>
      <c r="D40" s="540"/>
      <c r="E40" s="540"/>
      <c r="F40" s="541"/>
      <c r="G40" s="633" t="str">
        <f t="shared" si="7"/>
        <v/>
      </c>
      <c r="H40" s="366"/>
      <c r="I40" s="540"/>
      <c r="J40" s="540"/>
      <c r="K40" s="541"/>
      <c r="L40" s="633" t="str">
        <f t="shared" si="8"/>
        <v/>
      </c>
      <c r="M40" s="366"/>
      <c r="N40" s="366"/>
      <c r="O40" s="366"/>
      <c r="P40" s="541"/>
      <c r="R40" s="309"/>
      <c r="S40" s="310"/>
      <c r="T40" s="310"/>
      <c r="U40" s="310"/>
      <c r="V40" s="310"/>
      <c r="W40" s="309"/>
      <c r="X40" s="308"/>
      <c r="AA40" s="545"/>
      <c r="AB40" s="545"/>
      <c r="AC40" s="627" t="str">
        <f t="shared" si="9"/>
        <v/>
      </c>
      <c r="AD40" s="627" t="str">
        <f t="shared" si="9"/>
        <v/>
      </c>
      <c r="AE40" s="627" t="str">
        <f t="shared" si="9"/>
        <v/>
      </c>
      <c r="AG40" s="630" t="str">
        <f t="shared" si="10"/>
        <v/>
      </c>
      <c r="AH40" s="630" t="str">
        <f t="shared" si="10"/>
        <v/>
      </c>
      <c r="AI40" s="630" t="str">
        <f t="shared" si="10"/>
        <v/>
      </c>
      <c r="AJ40" s="545"/>
      <c r="AK40" s="545"/>
      <c r="AL40">
        <v>28</v>
      </c>
      <c r="AN40" s="167"/>
      <c r="AO40" s="167"/>
      <c r="AP40" s="320"/>
      <c r="AQ40" s="303"/>
      <c r="AR40" s="137"/>
      <c r="AS40" s="137"/>
      <c r="AT40" s="137"/>
      <c r="AU40" s="137"/>
      <c r="AV40" s="302"/>
      <c r="AW40" s="301"/>
    </row>
    <row r="41" spans="1:51">
      <c r="A41" s="167"/>
      <c r="B41" s="633" t="str">
        <f t="shared" si="6"/>
        <v>´ō`</v>
      </c>
      <c r="C41" s="300"/>
      <c r="D41" s="268"/>
      <c r="E41" s="268"/>
      <c r="F41" s="258"/>
      <c r="G41" s="633" t="str">
        <f t="shared" si="7"/>
        <v>´ō`</v>
      </c>
      <c r="H41" s="549"/>
      <c r="I41" s="268"/>
      <c r="J41" s="268"/>
      <c r="K41" s="258"/>
      <c r="L41" s="633" t="str">
        <f t="shared" si="8"/>
        <v>´ō`</v>
      </c>
      <c r="M41" s="715"/>
      <c r="N41" s="715"/>
      <c r="O41" s="715"/>
      <c r="P41" s="258"/>
      <c r="R41" s="298">
        <f>IF(X39="","",IF(X39+1&gt;$AY$11,"",X39+1))</f>
        <v>43822</v>
      </c>
      <c r="S41" s="299">
        <f t="shared" ref="S41:X41" si="15">IF(R41="","",IF(R41+1&gt;$AY$11,"",R41+1))</f>
        <v>43823</v>
      </c>
      <c r="T41" s="299">
        <f t="shared" si="15"/>
        <v>43824</v>
      </c>
      <c r="U41" s="299">
        <f t="shared" si="15"/>
        <v>43825</v>
      </c>
      <c r="V41" s="299">
        <f t="shared" si="15"/>
        <v>43826</v>
      </c>
      <c r="W41" s="298">
        <f t="shared" si="15"/>
        <v>43827</v>
      </c>
      <c r="X41" s="297">
        <f t="shared" si="15"/>
        <v>43828</v>
      </c>
      <c r="AA41" s="545"/>
      <c r="AB41" s="385">
        <f>AB39+0.5</f>
        <v>16.5</v>
      </c>
      <c r="AC41" s="627" t="str">
        <f t="shared" si="9"/>
        <v>´ō`</v>
      </c>
      <c r="AD41" s="627" t="str">
        <f t="shared" si="9"/>
        <v>´ō`</v>
      </c>
      <c r="AE41" s="627" t="str">
        <f t="shared" si="9"/>
        <v>´ō`</v>
      </c>
      <c r="AG41" s="630" t="str">
        <f t="shared" si="10"/>
        <v/>
      </c>
      <c r="AH41" s="630" t="str">
        <f t="shared" si="10"/>
        <v/>
      </c>
      <c r="AI41" s="630" t="str">
        <f t="shared" si="10"/>
        <v/>
      </c>
      <c r="AJ41" s="545"/>
      <c r="AK41" s="545"/>
      <c r="AL41" s="491">
        <v>28</v>
      </c>
      <c r="AN41" s="528">
        <f>IF(X41="","",IF(X41+1&gt;$AY$11,"",X41+1))</f>
        <v>43829</v>
      </c>
      <c r="AO41" s="528">
        <f>IF(AN41="","",IF(AN41+1&gt;$AY$11,"",AN41+1))</f>
        <v>43830</v>
      </c>
      <c r="AP41" s="307" t="str">
        <f>IF(X41=$U$16,1,IF(X41="",IF(X47=$U$16,1,""),""))</f>
        <v/>
      </c>
      <c r="AQ41" s="150" t="str">
        <f>IFERROR(IF(R41="","",INDEX(GCalXML[fasttype],$AY$33+$AL41+AQ$27)),"")</f>
        <v>C</v>
      </c>
      <c r="AR41" s="151" t="str">
        <f>IFERROR(IF(S41="","",INDEX(GCalXML[fasttype],$AY$33+$AL41+AR$27)),"")</f>
        <v> </v>
      </c>
      <c r="AS41" s="151" t="str">
        <f>IFERROR(IF(T41="","",INDEX(GCalXML[fasttype],$AY$33+$AL41+AS$27)),"")</f>
        <v> </v>
      </c>
      <c r="AT41" s="151" t="str">
        <f>IFERROR(IF(U41="","",INDEX(GCalXML[fasttype],$AY$33+$AL41+AT$27)),"")</f>
        <v>C</v>
      </c>
      <c r="AU41" s="151" t="str">
        <f>IFERROR(IF(V41="","",INDEX(GCalXML[fasttype],$AY$33+$AL41+AU$27)),"")</f>
        <v> </v>
      </c>
      <c r="AV41" s="296" t="str">
        <f>IFERROR(IF(W41="","",INDEX(GCalXML[fasttype],$AY$33+$AL41+AV$27)),"")</f>
        <v>C</v>
      </c>
      <c r="AW41" s="153" t="str">
        <f>IFERROR(IF(X41="","",INDEX(GCalXML[fasttype],$AY$33+$AL41+AW$27)),"")</f>
        <v> </v>
      </c>
    </row>
    <row r="42" spans="1:51" ht="1.5" customHeight="1" thickBot="1">
      <c r="A42" s="167"/>
      <c r="B42" s="633" t="str">
        <f t="shared" si="6"/>
        <v/>
      </c>
      <c r="C42" s="539"/>
      <c r="D42" s="540"/>
      <c r="E42" s="540"/>
      <c r="F42" s="541"/>
      <c r="G42" s="633" t="str">
        <f t="shared" si="7"/>
        <v/>
      </c>
      <c r="H42" s="366"/>
      <c r="I42" s="540"/>
      <c r="J42" s="540"/>
      <c r="K42" s="541"/>
      <c r="L42" s="633" t="str">
        <f t="shared" si="8"/>
        <v/>
      </c>
      <c r="M42" s="366"/>
      <c r="N42" s="366"/>
      <c r="O42" s="366"/>
      <c r="P42" s="541"/>
      <c r="R42" s="322"/>
      <c r="S42" s="323"/>
      <c r="T42" s="323"/>
      <c r="U42" s="323"/>
      <c r="V42" s="323"/>
      <c r="W42" s="322"/>
      <c r="X42" s="321"/>
      <c r="AA42" s="545"/>
      <c r="AB42" s="545"/>
      <c r="AC42" s="627" t="str">
        <f t="shared" si="9"/>
        <v/>
      </c>
      <c r="AD42" s="627" t="str">
        <f t="shared" si="9"/>
        <v/>
      </c>
      <c r="AE42" s="627" t="str">
        <f t="shared" si="9"/>
        <v/>
      </c>
      <c r="AG42" s="630" t="str">
        <f t="shared" si="10"/>
        <v/>
      </c>
      <c r="AH42" s="630" t="str">
        <f t="shared" si="10"/>
        <v/>
      </c>
      <c r="AI42" s="630" t="str">
        <f t="shared" si="10"/>
        <v/>
      </c>
      <c r="AJ42" s="545"/>
      <c r="AK42" s="545"/>
      <c r="AN42" s="167"/>
      <c r="AO42" s="167"/>
      <c r="AP42" s="320"/>
      <c r="AQ42" s="303"/>
      <c r="AR42" s="137"/>
      <c r="AS42" s="137"/>
      <c r="AT42" s="137"/>
      <c r="AU42" s="137"/>
      <c r="AV42" s="302"/>
      <c r="AW42" s="301"/>
    </row>
    <row r="43" spans="1:51" ht="18" customHeight="1">
      <c r="A43" s="167">
        <f>A39+1</f>
        <v>17</v>
      </c>
      <c r="B43" s="633" t="str">
        <f t="shared" si="6"/>
        <v xml:space="preserve"> c</v>
      </c>
      <c r="C43" s="312"/>
      <c r="D43" s="167"/>
      <c r="E43" s="167"/>
      <c r="F43" s="269"/>
      <c r="G43" s="633" t="str">
        <f t="shared" si="7"/>
        <v/>
      </c>
      <c r="I43" s="167"/>
      <c r="J43" s="167"/>
      <c r="K43" s="269"/>
      <c r="L43" s="633" t="str">
        <f t="shared" si="8"/>
        <v/>
      </c>
      <c r="M43" s="722"/>
      <c r="N43" s="722"/>
      <c r="O43" s="722"/>
      <c r="P43" s="269"/>
      <c r="R43" s="718" t="str">
        <f ca="1">VLOOKUP(AZ9,$AP$6:$AQ$17,2,FALSE)</f>
        <v>January</v>
      </c>
      <c r="S43" s="719"/>
      <c r="T43" s="719"/>
      <c r="U43" s="719"/>
      <c r="V43" s="719"/>
      <c r="W43" s="719"/>
      <c r="X43" s="720"/>
      <c r="AA43" s="545"/>
      <c r="AB43" s="385">
        <f>AB41+0.5</f>
        <v>17</v>
      </c>
      <c r="AC43" s="627" t="str">
        <f t="shared" si="9"/>
        <v/>
      </c>
      <c r="AD43" s="627" t="str">
        <f t="shared" si="9"/>
        <v/>
      </c>
      <c r="AE43" s="627" t="str">
        <f t="shared" si="9"/>
        <v/>
      </c>
      <c r="AG43" s="630" t="str">
        <f t="shared" si="10"/>
        <v xml:space="preserve"> c</v>
      </c>
      <c r="AH43" s="630" t="str">
        <f t="shared" si="10"/>
        <v/>
      </c>
      <c r="AI43" s="630" t="str">
        <f t="shared" si="10"/>
        <v/>
      </c>
      <c r="AJ43" s="545"/>
      <c r="AK43" s="545"/>
      <c r="AP43" s="319" t="str">
        <f>IF(1=1,"",IF(X43="",IF(AP41=1,"",IF(X47=$U$16,1,""))))</f>
        <v/>
      </c>
      <c r="AQ43" s="133">
        <f>AZ9</f>
        <v>1</v>
      </c>
      <c r="AR43" s="318"/>
      <c r="AS43" s="318"/>
      <c r="AT43" s="318"/>
      <c r="AU43" s="318"/>
      <c r="AV43" s="318"/>
      <c r="AW43" s="317"/>
    </row>
    <row r="44" spans="1:51" ht="1.5" customHeight="1">
      <c r="A44" s="167"/>
      <c r="B44" s="633" t="str">
        <f t="shared" si="6"/>
        <v/>
      </c>
      <c r="C44" s="316"/>
      <c r="D44" s="268"/>
      <c r="E44" s="268"/>
      <c r="F44" s="258"/>
      <c r="G44" s="633" t="str">
        <f t="shared" si="7"/>
        <v/>
      </c>
      <c r="H44" s="549"/>
      <c r="I44" s="268"/>
      <c r="J44" s="268"/>
      <c r="K44" s="258"/>
      <c r="L44" s="633" t="str">
        <f t="shared" si="8"/>
        <v/>
      </c>
      <c r="M44" s="549"/>
      <c r="N44" s="268"/>
      <c r="O44" s="268"/>
      <c r="P44" s="258"/>
      <c r="R44" s="315"/>
      <c r="S44" s="314"/>
      <c r="T44" s="314"/>
      <c r="U44" s="314"/>
      <c r="V44" s="314"/>
      <c r="W44" s="314"/>
      <c r="X44" s="313"/>
      <c r="AA44" s="545"/>
      <c r="AB44" s="545"/>
      <c r="AC44" s="627" t="str">
        <f t="shared" si="9"/>
        <v/>
      </c>
      <c r="AD44" s="627" t="str">
        <f t="shared" si="9"/>
        <v/>
      </c>
      <c r="AE44" s="627" t="str">
        <f t="shared" si="9"/>
        <v/>
      </c>
      <c r="AG44" s="630" t="str">
        <f t="shared" si="10"/>
        <v/>
      </c>
      <c r="AH44" s="630" t="str">
        <f t="shared" si="10"/>
        <v/>
      </c>
      <c r="AI44" s="630" t="str">
        <f t="shared" si="10"/>
        <v/>
      </c>
      <c r="AJ44" s="545"/>
      <c r="AK44" s="545"/>
      <c r="AN44" s="167"/>
      <c r="AO44" s="167"/>
      <c r="AQ44" s="303"/>
      <c r="AR44" s="137"/>
      <c r="AS44" s="137"/>
      <c r="AT44" s="137"/>
      <c r="AU44" s="137"/>
      <c r="AV44" s="302"/>
      <c r="AW44" s="301"/>
    </row>
    <row r="45" spans="1:51" ht="18" customHeight="1">
      <c r="A45" s="167"/>
      <c r="B45" s="633" t="str">
        <f t="shared" si="6"/>
        <v/>
      </c>
      <c r="C45" s="312"/>
      <c r="D45" s="522"/>
      <c r="E45" s="522"/>
      <c r="F45" s="258"/>
      <c r="G45" s="633" t="str">
        <f t="shared" si="7"/>
        <v/>
      </c>
      <c r="H45" s="550"/>
      <c r="I45" s="522"/>
      <c r="J45" s="522"/>
      <c r="K45" s="258"/>
      <c r="L45" s="633" t="str">
        <f t="shared" si="8"/>
        <v/>
      </c>
      <c r="M45" s="550"/>
      <c r="N45" s="522"/>
      <c r="O45" s="522"/>
      <c r="P45" s="258"/>
      <c r="R45" s="525" t="str">
        <f t="shared" ref="R45:X45" ca="1" si="16">R31</f>
        <v>Mo</v>
      </c>
      <c r="S45" s="542" t="str">
        <f t="shared" ca="1" si="16"/>
        <v>Tu</v>
      </c>
      <c r="T45" s="542" t="str">
        <f t="shared" ca="1" si="16"/>
        <v>We</v>
      </c>
      <c r="U45" s="542" t="str">
        <f t="shared" ca="1" si="16"/>
        <v>Th</v>
      </c>
      <c r="V45" s="542" t="str">
        <f t="shared" ca="1" si="16"/>
        <v>Fr</v>
      </c>
      <c r="W45" s="525" t="str">
        <f t="shared" ca="1" si="16"/>
        <v>Sa</v>
      </c>
      <c r="X45" s="526" t="str">
        <f t="shared" ca="1" si="16"/>
        <v>Su</v>
      </c>
      <c r="AA45" s="545"/>
      <c r="AB45" s="385">
        <f>AB43+0.5</f>
        <v>17.5</v>
      </c>
      <c r="AC45" s="627" t="str">
        <f t="shared" si="9"/>
        <v/>
      </c>
      <c r="AD45" s="627" t="str">
        <f t="shared" si="9"/>
        <v/>
      </c>
      <c r="AE45" s="627" t="str">
        <f t="shared" si="9"/>
        <v/>
      </c>
      <c r="AG45" s="630" t="str">
        <f t="shared" si="10"/>
        <v/>
      </c>
      <c r="AH45" s="630" t="str">
        <f t="shared" si="10"/>
        <v/>
      </c>
      <c r="AI45" s="630" t="str">
        <f t="shared" si="10"/>
        <v/>
      </c>
      <c r="AJ45" s="545"/>
      <c r="AK45" s="545"/>
      <c r="AN45" s="167"/>
      <c r="AO45" s="167"/>
      <c r="AQ45" s="140" t="str">
        <f t="shared" ref="AQ45:AW45" ca="1" si="17">R45</f>
        <v>Mo</v>
      </c>
      <c r="AR45" s="141" t="str">
        <f t="shared" ca="1" si="17"/>
        <v>Tu</v>
      </c>
      <c r="AS45" s="141" t="str">
        <f t="shared" ca="1" si="17"/>
        <v>We</v>
      </c>
      <c r="AT45" s="141" t="str">
        <f t="shared" ca="1" si="17"/>
        <v>Th</v>
      </c>
      <c r="AU45" s="141" t="str">
        <f t="shared" ca="1" si="17"/>
        <v>Fr</v>
      </c>
      <c r="AV45" s="311" t="str">
        <f t="shared" ca="1" si="17"/>
        <v>Sa</v>
      </c>
      <c r="AW45" s="143" t="str">
        <f t="shared" ca="1" si="17"/>
        <v>Su</v>
      </c>
    </row>
    <row r="46" spans="1:51" ht="1.5" customHeight="1">
      <c r="A46" s="167"/>
      <c r="B46" s="633" t="str">
        <f t="shared" si="6"/>
        <v/>
      </c>
      <c r="C46" s="539"/>
      <c r="D46" s="540"/>
      <c r="E46" s="540"/>
      <c r="F46" s="541"/>
      <c r="G46" s="633" t="str">
        <f t="shared" si="7"/>
        <v/>
      </c>
      <c r="H46" s="366"/>
      <c r="I46" s="540"/>
      <c r="J46" s="540"/>
      <c r="K46" s="541"/>
      <c r="L46" s="633" t="str">
        <f t="shared" si="8"/>
        <v/>
      </c>
      <c r="M46" s="366"/>
      <c r="N46" s="540"/>
      <c r="O46" s="540"/>
      <c r="P46" s="541"/>
      <c r="R46" s="309"/>
      <c r="S46" s="310"/>
      <c r="T46" s="310"/>
      <c r="U46" s="310"/>
      <c r="V46" s="310"/>
      <c r="W46" s="309"/>
      <c r="X46" s="308"/>
      <c r="AA46" s="545"/>
      <c r="AB46" s="545"/>
      <c r="AC46" s="627" t="str">
        <f t="shared" si="9"/>
        <v/>
      </c>
      <c r="AD46" s="627" t="str">
        <f t="shared" si="9"/>
        <v/>
      </c>
      <c r="AE46" s="627" t="str">
        <f t="shared" si="9"/>
        <v/>
      </c>
      <c r="AG46" s="630" t="str">
        <f t="shared" si="10"/>
        <v/>
      </c>
      <c r="AH46" s="630" t="str">
        <f t="shared" si="10"/>
        <v/>
      </c>
      <c r="AI46" s="630" t="str">
        <f t="shared" si="10"/>
        <v/>
      </c>
      <c r="AJ46" s="545"/>
      <c r="AK46" s="545"/>
      <c r="AN46" s="167"/>
      <c r="AO46" s="167"/>
      <c r="AQ46" s="303"/>
      <c r="AR46" s="137"/>
      <c r="AS46" s="137"/>
      <c r="AT46" s="137"/>
      <c r="AU46" s="137"/>
      <c r="AV46" s="302"/>
      <c r="AW46" s="301"/>
    </row>
    <row r="47" spans="1:51" ht="18" customHeight="1">
      <c r="A47" s="167">
        <f>A43+1</f>
        <v>18</v>
      </c>
      <c r="B47" s="633" t="str">
        <f t="shared" si="6"/>
        <v/>
      </c>
      <c r="C47" s="300"/>
      <c r="D47" s="268"/>
      <c r="E47" s="268"/>
      <c r="F47" s="258"/>
      <c r="G47" s="633" t="str">
        <f t="shared" si="7"/>
        <v xml:space="preserve"> c</v>
      </c>
      <c r="H47" s="549"/>
      <c r="I47" s="268"/>
      <c r="J47" s="268"/>
      <c r="K47" s="258"/>
      <c r="L47" s="633" t="str">
        <f t="shared" si="8"/>
        <v/>
      </c>
      <c r="M47" s="549"/>
      <c r="N47" s="268"/>
      <c r="O47" s="268"/>
      <c r="P47" s="258"/>
      <c r="R47" s="298" t="str">
        <f>IF(AN47="-",IF(AN52="-","",AN52),AN47)</f>
        <v/>
      </c>
      <c r="S47" s="299" t="str">
        <f>IF(AO47="-",IF(AO52="-","",AO52),AO47)</f>
        <v/>
      </c>
      <c r="T47" s="299">
        <f>IF($AZ$12=AS29,$AZ$10,IF(AO47="-","",AO47+1))</f>
        <v>43831</v>
      </c>
      <c r="U47" s="299">
        <f>IF($AZ$12=AT$29,$AZ$10,IF(T47="","",T47+1))</f>
        <v>43832</v>
      </c>
      <c r="V47" s="299">
        <f>IF($AZ$12=AU$29,$AZ$10,IF(U47="","",U47+1))</f>
        <v>43833</v>
      </c>
      <c r="W47" s="298">
        <f>IF($AZ$12=AV$29,$AZ$10,IF(V47="","",V47+1))</f>
        <v>43834</v>
      </c>
      <c r="X47" s="297">
        <f>IF($AZ$12=AW$29,$AZ$10,IF(W47="","",W47+1))</f>
        <v>43835</v>
      </c>
      <c r="AA47" s="545"/>
      <c r="AB47" s="385">
        <f>AB45+0.5</f>
        <v>18</v>
      </c>
      <c r="AC47" s="627" t="str">
        <f t="shared" si="9"/>
        <v/>
      </c>
      <c r="AD47" s="627" t="str">
        <f t="shared" si="9"/>
        <v/>
      </c>
      <c r="AE47" s="627" t="str">
        <f t="shared" si="9"/>
        <v/>
      </c>
      <c r="AG47" s="630" t="str">
        <f t="shared" si="10"/>
        <v/>
      </c>
      <c r="AH47" s="630" t="str">
        <f t="shared" si="10"/>
        <v xml:space="preserve"> c</v>
      </c>
      <c r="AI47" s="630" t="str">
        <f t="shared" si="10"/>
        <v/>
      </c>
      <c r="AJ47" s="545"/>
      <c r="AK47" s="491">
        <v>35</v>
      </c>
      <c r="AL47" s="491">
        <v>0</v>
      </c>
      <c r="AN47" s="528" t="str">
        <f>IF($AZ$12=AQ29,$AZ$10,"-")</f>
        <v>-</v>
      </c>
      <c r="AO47" s="528" t="str">
        <f>IF($AZ$12=AR29,$AZ$10,IF(AN47="-","-",AN47+1))</f>
        <v>-</v>
      </c>
      <c r="AP47" s="492">
        <f>IF(X47=$U$16,1,"")</f>
        <v>1</v>
      </c>
      <c r="AQ47" s="529" t="str">
        <f>IFERROR(IF(R47="","",INDEX(GCalXML[fasttype],MATCH(R47,GCalXML[date],0))),"")</f>
        <v/>
      </c>
      <c r="AR47" s="530" t="str">
        <f>IFERROR(IF(S47="","",INDEX(GCalXML[fasttype],MATCH(S47,GCalXML[date],0))),"")</f>
        <v/>
      </c>
      <c r="AS47" s="151" t="str">
        <f>IFERROR(IF(T47="","",INDEX(GCalXML[fasttype],$AY$47+$AL47+AS$27)),"")</f>
        <v> </v>
      </c>
      <c r="AT47" s="151" t="str">
        <f>IFERROR(IF(U47="","",INDEX(GCalXML[fasttype],$AY$47+$AL47+AT$27)),"")</f>
        <v> </v>
      </c>
      <c r="AU47" s="151" t="str">
        <f>IFERROR(IF(V47="","",INDEX(GCalXML[fasttype],$AY$47+$AL47+AU$27)),"")</f>
        <v> </v>
      </c>
      <c r="AV47" s="296" t="str">
        <f>IFERROR(IF(W47="","",INDEX(GCalXML[fasttype],$AY$47+$AL47+AV$27)),"")</f>
        <v> </v>
      </c>
      <c r="AW47" s="153" t="str">
        <f>IFERROR(IF(X47="","",INDEX(GCalXML[fasttype],$AY$47+$AL47+AW$27)),"")</f>
        <v> </v>
      </c>
      <c r="AY47" s="531">
        <f>MATCH(X47,GCalXML[date],0)</f>
        <v>43</v>
      </c>
    </row>
    <row r="48" spans="1:51" ht="1.5" customHeight="1">
      <c r="A48" s="167"/>
      <c r="B48" s="633" t="str">
        <f t="shared" si="6"/>
        <v/>
      </c>
      <c r="C48" s="306"/>
      <c r="D48" s="167"/>
      <c r="E48" s="167"/>
      <c r="F48" s="269"/>
      <c r="G48" s="633" t="str">
        <f t="shared" si="7"/>
        <v/>
      </c>
      <c r="I48" s="167"/>
      <c r="J48" s="167"/>
      <c r="K48" s="269"/>
      <c r="L48" s="633" t="str">
        <f t="shared" si="8"/>
        <v/>
      </c>
      <c r="N48" s="167"/>
      <c r="O48" s="167"/>
      <c r="P48" s="269"/>
      <c r="R48" s="305"/>
      <c r="S48" s="137"/>
      <c r="T48" s="137"/>
      <c r="U48" s="137"/>
      <c r="V48" s="137"/>
      <c r="W48" s="305"/>
      <c r="X48" s="304"/>
      <c r="AA48" s="545"/>
      <c r="AB48" s="545"/>
      <c r="AC48" s="627" t="str">
        <f t="shared" si="9"/>
        <v/>
      </c>
      <c r="AD48" s="627" t="str">
        <f t="shared" si="9"/>
        <v/>
      </c>
      <c r="AE48" s="627" t="str">
        <f t="shared" si="9"/>
        <v/>
      </c>
      <c r="AG48" s="630" t="str">
        <f t="shared" si="10"/>
        <v/>
      </c>
      <c r="AH48" s="630" t="str">
        <f t="shared" si="10"/>
        <v/>
      </c>
      <c r="AI48" s="630" t="str">
        <f t="shared" si="10"/>
        <v/>
      </c>
      <c r="AJ48" s="545"/>
      <c r="AK48" s="545"/>
      <c r="AN48" s="167"/>
      <c r="AO48" s="167"/>
      <c r="AQ48" s="303"/>
      <c r="AR48" s="137"/>
      <c r="AS48" s="137"/>
      <c r="AT48" s="137"/>
      <c r="AU48" s="137"/>
      <c r="AV48" s="302"/>
      <c r="AW48" s="301"/>
    </row>
    <row r="49" spans="1:49">
      <c r="A49" s="167"/>
      <c r="B49" s="633" t="str">
        <f t="shared" si="6"/>
        <v/>
      </c>
      <c r="C49" s="300"/>
      <c r="D49" s="268"/>
      <c r="E49" s="268"/>
      <c r="F49" s="258"/>
      <c r="G49" s="633" t="str">
        <f t="shared" si="7"/>
        <v/>
      </c>
      <c r="H49" s="549"/>
      <c r="I49" s="268"/>
      <c r="J49" s="268"/>
      <c r="K49" s="258"/>
      <c r="L49" s="633" t="str">
        <f t="shared" si="8"/>
        <v xml:space="preserve"> c</v>
      </c>
      <c r="M49" s="549"/>
      <c r="N49" s="268"/>
      <c r="O49" s="268"/>
      <c r="P49" s="258"/>
      <c r="R49" s="298">
        <f>X47+1</f>
        <v>43836</v>
      </c>
      <c r="S49" s="299">
        <f t="shared" ref="S49:X51" si="18">R49+1</f>
        <v>43837</v>
      </c>
      <c r="T49" s="299">
        <f t="shared" si="18"/>
        <v>43838</v>
      </c>
      <c r="U49" s="299">
        <f t="shared" si="18"/>
        <v>43839</v>
      </c>
      <c r="V49" s="299">
        <f t="shared" si="18"/>
        <v>43840</v>
      </c>
      <c r="W49" s="298">
        <f t="shared" si="18"/>
        <v>43841</v>
      </c>
      <c r="X49" s="297">
        <f t="shared" si="18"/>
        <v>43842</v>
      </c>
      <c r="AA49" s="545"/>
      <c r="AB49" s="385">
        <f>AB47+0.5</f>
        <v>18.5</v>
      </c>
      <c r="AC49" s="627" t="str">
        <f t="shared" si="9"/>
        <v/>
      </c>
      <c r="AD49" s="627" t="str">
        <f t="shared" si="9"/>
        <v/>
      </c>
      <c r="AE49" s="627" t="str">
        <f t="shared" si="9"/>
        <v/>
      </c>
      <c r="AG49" s="630" t="str">
        <f t="shared" si="10"/>
        <v/>
      </c>
      <c r="AH49" s="630" t="str">
        <f t="shared" si="10"/>
        <v/>
      </c>
      <c r="AI49" s="630" t="str">
        <f t="shared" si="10"/>
        <v xml:space="preserve"> c</v>
      </c>
      <c r="AJ49" s="545"/>
      <c r="AK49" s="545"/>
      <c r="AL49" s="491">
        <v>7</v>
      </c>
      <c r="AN49" s="167"/>
      <c r="AO49" s="167"/>
      <c r="AQ49" s="150" t="str">
        <f>IFERROR(IF(R49="","",INDEX(GCalXML[fasttype],$AY$47+$AL49+AQ$27)),"")</f>
        <v>E</v>
      </c>
      <c r="AR49" s="151" t="str">
        <f>IFERROR(IF(S49="","",INDEX(GCalXML[fasttype],$AY$47+$AL49+AR$27)),"")</f>
        <v>C</v>
      </c>
      <c r="AS49" s="151" t="str">
        <f>IFERROR(IF(T49="","",INDEX(GCalXML[fasttype],$AY$47+$AL49+AS$27)),"")</f>
        <v> </v>
      </c>
      <c r="AT49" s="151" t="str">
        <f>IFERROR(IF(U49="","",INDEX(GCalXML[fasttype],$AY$47+$AL49+AT$27)),"")</f>
        <v> </v>
      </c>
      <c r="AU49" s="151" t="str">
        <f>IFERROR(IF(V49="","",INDEX(GCalXML[fasttype],$AY$47+$AL49+AU$27)),"")</f>
        <v>C</v>
      </c>
      <c r="AV49" s="296" t="str">
        <f>IFERROR(IF(W49="","",INDEX(GCalXML[fasttype],$AY$47+$AL49+AV$27)),"")</f>
        <v> </v>
      </c>
      <c r="AW49" s="153" t="str">
        <f>IFERROR(IF(X49="","",INDEX(GCalXML[fasttype],$AY$47+$AL49+AW$27)),"")</f>
        <v> </v>
      </c>
    </row>
    <row r="50" spans="1:49">
      <c r="A50" s="167">
        <f>A47+1</f>
        <v>19</v>
      </c>
      <c r="B50" s="633" t="str">
        <f t="shared" si="6"/>
        <v/>
      </c>
      <c r="C50" s="521"/>
      <c r="D50" s="522"/>
      <c r="E50" s="522"/>
      <c r="F50" s="258"/>
      <c r="G50" s="633" t="str">
        <f t="shared" si="7"/>
        <v/>
      </c>
      <c r="H50" s="550"/>
      <c r="I50" s="522"/>
      <c r="J50" s="522"/>
      <c r="K50" s="258"/>
      <c r="L50" s="633" t="str">
        <f t="shared" si="8"/>
        <v/>
      </c>
      <c r="M50" s="550"/>
      <c r="N50" s="522"/>
      <c r="O50" s="522"/>
      <c r="P50" s="258"/>
      <c r="R50" s="298">
        <f>X49+1</f>
        <v>43843</v>
      </c>
      <c r="S50" s="299">
        <f t="shared" si="18"/>
        <v>43844</v>
      </c>
      <c r="T50" s="299">
        <f t="shared" si="18"/>
        <v>43845</v>
      </c>
      <c r="U50" s="299">
        <f t="shared" si="18"/>
        <v>43846</v>
      </c>
      <c r="V50" s="299">
        <f t="shared" si="18"/>
        <v>43847</v>
      </c>
      <c r="W50" s="298">
        <f t="shared" si="18"/>
        <v>43848</v>
      </c>
      <c r="X50" s="297">
        <f t="shared" si="18"/>
        <v>43849</v>
      </c>
      <c r="AA50" s="545"/>
      <c r="AB50" s="385">
        <f>AB49+0.5</f>
        <v>19</v>
      </c>
      <c r="AC50" s="627" t="str">
        <f t="shared" si="9"/>
        <v/>
      </c>
      <c r="AD50" s="627" t="str">
        <f t="shared" si="9"/>
        <v/>
      </c>
      <c r="AE50" s="627" t="str">
        <f t="shared" si="9"/>
        <v/>
      </c>
      <c r="AG50" s="630" t="str">
        <f t="shared" si="10"/>
        <v/>
      </c>
      <c r="AH50" s="630" t="str">
        <f t="shared" si="10"/>
        <v/>
      </c>
      <c r="AI50" s="630" t="str">
        <f t="shared" si="10"/>
        <v/>
      </c>
      <c r="AJ50" s="545"/>
      <c r="AK50" s="545"/>
      <c r="AL50" s="491">
        <v>14</v>
      </c>
      <c r="AN50" s="167"/>
      <c r="AO50" s="167"/>
      <c r="AQ50" s="150" t="str">
        <f>IFERROR(IF(R50="","",INDEX(GCalXML[fasttype],$AY$47+$AL50+AQ$27)),"")</f>
        <v> </v>
      </c>
      <c r="AR50" s="151" t="str">
        <f>IFERROR(IF(S50="","",INDEX(GCalXML[fasttype],$AY$47+$AL50+AR$27)),"")</f>
        <v>C</v>
      </c>
      <c r="AS50" s="151" t="str">
        <f>IFERROR(IF(T50="","",INDEX(GCalXML[fasttype],$AY$47+$AL50+AS$27)),"")</f>
        <v>C</v>
      </c>
      <c r="AT50" s="151" t="str">
        <f>IFERROR(IF(U50="","",INDEX(GCalXML[fasttype],$AY$47+$AL50+AT$27)),"")</f>
        <v>C</v>
      </c>
      <c r="AU50" s="151" t="str">
        <f>IFERROR(IF(V50="","",INDEX(GCalXML[fasttype],$AY$47+$AL50+AU$27)),"")</f>
        <v> </v>
      </c>
      <c r="AV50" s="296" t="str">
        <f>IFERROR(IF(W50="","",INDEX(GCalXML[fasttype],$AY$47+$AL50+AV$27)),"")</f>
        <v> </v>
      </c>
      <c r="AW50" s="153" t="str">
        <f>IFERROR(IF(X50="","",INDEX(GCalXML[fasttype],$AY$47+$AL50+AW$27)),"")</f>
        <v> </v>
      </c>
    </row>
    <row r="51" spans="1:49">
      <c r="A51" s="167"/>
      <c r="B51" s="633" t="str">
        <f t="shared" si="6"/>
        <v/>
      </c>
      <c r="C51" s="521"/>
      <c r="D51" s="522"/>
      <c r="E51" s="522"/>
      <c r="F51" s="258"/>
      <c r="G51" s="633" t="str">
        <f t="shared" si="7"/>
        <v/>
      </c>
      <c r="H51" s="550"/>
      <c r="I51" s="522"/>
      <c r="J51" s="522"/>
      <c r="K51" s="258"/>
      <c r="L51" s="633" t="str">
        <f t="shared" si="8"/>
        <v/>
      </c>
      <c r="M51" s="550"/>
      <c r="N51" s="522"/>
      <c r="O51" s="522"/>
      <c r="P51" s="258"/>
      <c r="R51" s="298">
        <f>X50+1</f>
        <v>43850</v>
      </c>
      <c r="S51" s="299">
        <f t="shared" si="18"/>
        <v>43851</v>
      </c>
      <c r="T51" s="299">
        <f t="shared" si="18"/>
        <v>43852</v>
      </c>
      <c r="U51" s="299">
        <f t="shared" si="18"/>
        <v>43853</v>
      </c>
      <c r="V51" s="299">
        <f t="shared" si="18"/>
        <v>43854</v>
      </c>
      <c r="W51" s="298">
        <f t="shared" si="18"/>
        <v>43855</v>
      </c>
      <c r="X51" s="297">
        <f t="shared" si="18"/>
        <v>43856</v>
      </c>
      <c r="AA51" s="545"/>
      <c r="AB51" s="385">
        <f>AB50+0.5</f>
        <v>19.5</v>
      </c>
      <c r="AC51" s="627" t="str">
        <f t="shared" si="9"/>
        <v/>
      </c>
      <c r="AD51" s="627" t="str">
        <f t="shared" si="9"/>
        <v/>
      </c>
      <c r="AE51" s="627" t="str">
        <f t="shared" si="9"/>
        <v/>
      </c>
      <c r="AG51" s="630" t="str">
        <f t="shared" si="10"/>
        <v/>
      </c>
      <c r="AH51" s="630" t="str">
        <f t="shared" si="10"/>
        <v/>
      </c>
      <c r="AI51" s="630" t="str">
        <f t="shared" si="10"/>
        <v/>
      </c>
      <c r="AJ51" s="545"/>
      <c r="AK51" s="545"/>
      <c r="AL51" s="491">
        <v>21</v>
      </c>
      <c r="AN51" s="167"/>
      <c r="AO51" s="167"/>
      <c r="AQ51" s="150" t="str">
        <f>IFERROR(IF(R51="","",INDEX(GCalXML[fasttype],$AY$47+$AL51+AQ$27)),"")</f>
        <v>E</v>
      </c>
      <c r="AR51" s="151" t="str">
        <f>IFERROR(IF(S51="","",INDEX(GCalXML[fasttype],$AY$47+$AL51+AR$27)),"")</f>
        <v>C</v>
      </c>
      <c r="AS51" s="151" t="str">
        <f>IFERROR(IF(T51="","",INDEX(GCalXML[fasttype],$AY$47+$AL51+AS$27)),"")</f>
        <v> </v>
      </c>
      <c r="AT51" s="151" t="str">
        <f>IFERROR(IF(U51="","",INDEX(GCalXML[fasttype],$AY$47+$AL51+AT$27)),"")</f>
        <v> </v>
      </c>
      <c r="AU51" s="151" t="str">
        <f>IFERROR(IF(V51="","",INDEX(GCalXML[fasttype],$AY$47+$AL51+AU$27)),"")</f>
        <v> </v>
      </c>
      <c r="AV51" s="296" t="str">
        <f>IFERROR(IF(W51="","",INDEX(GCalXML[fasttype],$AY$47+$AL51+AV$27)),"")</f>
        <v> </v>
      </c>
      <c r="AW51" s="153" t="str">
        <f>IFERROR(IF(X51="","",INDEX(GCalXML[fasttype],$AY$47+$AL51+AW$27)),"")</f>
        <v> </v>
      </c>
    </row>
    <row r="52" spans="1:49" ht="18.75" thickBot="1">
      <c r="A52" s="167">
        <f>A50+1</f>
        <v>20</v>
      </c>
      <c r="B52" s="633" t="str">
        <f t="shared" si="6"/>
        <v/>
      </c>
      <c r="C52" s="521"/>
      <c r="D52" s="522"/>
      <c r="E52" s="522"/>
      <c r="F52" s="258"/>
      <c r="G52" s="633" t="str">
        <f t="shared" si="7"/>
        <v/>
      </c>
      <c r="H52" s="550"/>
      <c r="I52" s="522"/>
      <c r="J52" s="522"/>
      <c r="K52" s="258"/>
      <c r="L52" s="633" t="str">
        <f t="shared" si="8"/>
        <v/>
      </c>
      <c r="M52" s="550"/>
      <c r="N52" s="522"/>
      <c r="O52" s="522"/>
      <c r="P52" s="258"/>
      <c r="R52" s="294">
        <f>IF(X51="","",IF(X51+1&gt;$AZ$11,"",X51+1))</f>
        <v>43857</v>
      </c>
      <c r="S52" s="295">
        <f t="shared" ref="S52:X52" si="19">IF(R52="","",IF(R52+1&gt;$AZ$11,"",R52+1))</f>
        <v>43858</v>
      </c>
      <c r="T52" s="295">
        <f t="shared" si="19"/>
        <v>43859</v>
      </c>
      <c r="U52" s="295">
        <f t="shared" si="19"/>
        <v>43860</v>
      </c>
      <c r="V52" s="295">
        <f t="shared" si="19"/>
        <v>43861</v>
      </c>
      <c r="W52" s="294" t="str">
        <f t="shared" si="19"/>
        <v/>
      </c>
      <c r="X52" s="293" t="str">
        <f t="shared" si="19"/>
        <v/>
      </c>
      <c r="AA52" s="545"/>
      <c r="AB52" s="385">
        <f>AB51+0.5</f>
        <v>20</v>
      </c>
      <c r="AC52" s="628" t="str">
        <f t="shared" si="9"/>
        <v/>
      </c>
      <c r="AD52" s="628" t="str">
        <f t="shared" si="9"/>
        <v/>
      </c>
      <c r="AE52" s="628" t="str">
        <f t="shared" si="9"/>
        <v/>
      </c>
      <c r="AG52" s="631" t="str">
        <f t="shared" si="10"/>
        <v/>
      </c>
      <c r="AH52" s="631" t="str">
        <f t="shared" si="10"/>
        <v/>
      </c>
      <c r="AI52" s="631" t="str">
        <f t="shared" si="10"/>
        <v/>
      </c>
      <c r="AJ52" s="545"/>
      <c r="AK52" s="545"/>
      <c r="AL52" s="491">
        <v>28</v>
      </c>
      <c r="AN52" s="528" t="str">
        <f>IF(X52="","",IF(X52+1&gt;$AZ$11,"",X52+1))</f>
        <v/>
      </c>
      <c r="AO52" s="528" t="str">
        <f>IF(AN52="","",IF(AN52+1&gt;$AZ$11,"",AN52+1))</f>
        <v/>
      </c>
      <c r="AQ52" s="159" t="str">
        <f>IFERROR(IF(R52="","",INDEX(GCalXML[fasttype],$AY$47+$AL52+AQ$27)),"")</f>
        <v> </v>
      </c>
      <c r="AR52" s="160" t="str">
        <f>IFERROR(IF(S52="","",INDEX(GCalXML[fasttype],$AY$47+$AL52+AR$27)),"")</f>
        <v> </v>
      </c>
      <c r="AS52" s="160" t="str">
        <f>IFERROR(IF(T52="","",INDEX(GCalXML[fasttype],$AY$47+$AL52+AS$27)),"")</f>
        <v>C</v>
      </c>
      <c r="AT52" s="160" t="str">
        <f>IFERROR(IF(U52="","",INDEX(GCalXML[fasttype],$AY$47+$AL52+AT$27)),"")</f>
        <v> </v>
      </c>
      <c r="AU52" s="160" t="str">
        <f>IFERROR(IF(V52="","",INDEX(GCalXML[fasttype],$AY$47+$AL52+AU$27)),"")</f>
        <v>P</v>
      </c>
      <c r="AV52" s="292" t="str">
        <f>IFERROR(IF(W52="","",INDEX(GCalXML[fasttype],$AY$47+$AL52+AV$27)),"")</f>
        <v/>
      </c>
      <c r="AW52" s="291" t="str">
        <f>IFERROR(IF(X52="","",INDEX(GCalXML[fasttype],$AY$47+$AL52+AW$27)),"")</f>
        <v/>
      </c>
    </row>
    <row r="53" spans="1:49" ht="18" customHeight="1">
      <c r="C53" s="723" t="str">
        <f>"Naksatra: " &amp; AC73 &amp; CHAR(10) &amp; "Yoga: " &amp; AC74</f>
        <v>Naksatra: Purva-bhadra
Yoga: Vyatipata</v>
      </c>
      <c r="D53" s="723"/>
      <c r="E53" s="723"/>
      <c r="F53" s="543" t="str">
        <f>AC75 &amp; CHAR(10) &amp; AC76</f>
        <v>1
365</v>
      </c>
      <c r="H53" s="723" t="str">
        <f>"Naksatra: " &amp; AD73 &amp; CHAR(10) &amp; "Yoga: " &amp; AD74</f>
        <v>Naksatra: Uttara-bhadra
Yoga: Variyana</v>
      </c>
      <c r="I53" s="723"/>
      <c r="J53" s="723"/>
      <c r="K53" s="544" t="str">
        <f>AD75 &amp; CHAR(10) &amp; AD76</f>
        <v>2
364</v>
      </c>
      <c r="M53" s="723" t="str">
        <f>"Naksatra: " &amp; AE73 &amp; CHAR(10) &amp; "Yoga: " &amp; AE74</f>
        <v>Naksatra: Revati
Yoga: Parigha</v>
      </c>
      <c r="N53" s="724"/>
      <c r="O53" s="724"/>
      <c r="P53" s="544" t="str">
        <f>AE75 &amp; CHAR(10) &amp; AE76</f>
        <v>3
363</v>
      </c>
      <c r="R53" s="367"/>
      <c r="S53" s="367"/>
      <c r="T53" s="367"/>
      <c r="U53" s="367"/>
      <c r="V53" s="367"/>
      <c r="W53" s="367"/>
      <c r="X53" s="367"/>
      <c r="AA53" s="545"/>
      <c r="AB53" s="545"/>
      <c r="AC53" s="545"/>
      <c r="AD53" s="545"/>
      <c r="AE53" s="545"/>
      <c r="AG53" s="545"/>
      <c r="AH53" s="545"/>
      <c r="AI53" s="545"/>
      <c r="AJ53" s="545"/>
      <c r="AK53" s="545"/>
    </row>
    <row r="54" spans="1:49" ht="2.25" customHeight="1">
      <c r="R54" s="287"/>
      <c r="S54" s="287"/>
      <c r="T54" s="287"/>
      <c r="U54" s="287"/>
      <c r="V54" s="287"/>
      <c r="W54" s="287"/>
      <c r="X54" s="287"/>
      <c r="AA54" s="545"/>
      <c r="AB54" s="545"/>
      <c r="AC54" s="545"/>
      <c r="AG54" s="545"/>
      <c r="AH54" s="545"/>
      <c r="AI54" s="545"/>
      <c r="AJ54" s="545"/>
      <c r="AK54" s="545"/>
    </row>
    <row r="55" spans="1:49">
      <c r="AA55" s="372" t="s">
        <v>829</v>
      </c>
      <c r="AB55" s="635" t="s">
        <v>6594</v>
      </c>
      <c r="AC55" s="573">
        <f t="shared" ref="AC55:AE58" si="20">IF(MINUTE(AC60)&lt;15,HOUR(AC60),IF(MINUTE(AC60)&gt;45,HOUR(AC60)+1,HOUR(AC60)+0.5))</f>
        <v>5.5</v>
      </c>
      <c r="AD55" s="573">
        <f t="shared" si="20"/>
        <v>5.5</v>
      </c>
      <c r="AE55" s="574">
        <f t="shared" si="20"/>
        <v>5.5</v>
      </c>
      <c r="AF55" s="625"/>
    </row>
    <row r="56" spans="1:49">
      <c r="AA56" s="372" t="s">
        <v>833</v>
      </c>
      <c r="AB56" s="636" t="s">
        <v>6595</v>
      </c>
      <c r="AC56" s="515">
        <f t="shared" si="20"/>
        <v>7.5</v>
      </c>
      <c r="AD56" s="515">
        <f t="shared" si="20"/>
        <v>7.5</v>
      </c>
      <c r="AE56" s="516">
        <f t="shared" si="20"/>
        <v>7.5</v>
      </c>
      <c r="AF56" s="491"/>
      <c r="AG56" s="575">
        <f t="shared" ref="AG56:AI58" si="21">IFERROR(IF(MINUTE(AG61)&lt;15,HOUR(AG61),IF(MINUTE(AG61)&gt;45,HOUR(AG61)+1,HOUR(AG61)+0.5)),"---")</f>
        <v>11.5</v>
      </c>
      <c r="AH56" s="573">
        <f t="shared" si="21"/>
        <v>12</v>
      </c>
      <c r="AI56" s="573">
        <f t="shared" si="21"/>
        <v>12</v>
      </c>
      <c r="AJ56" s="642" t="s">
        <v>6596</v>
      </c>
      <c r="AK56" s="632" t="s">
        <v>1108</v>
      </c>
    </row>
    <row r="57" spans="1:49">
      <c r="AA57" s="372" t="s">
        <v>834</v>
      </c>
      <c r="AB57" s="636" t="s">
        <v>6592</v>
      </c>
      <c r="AC57" s="515">
        <f t="shared" si="20"/>
        <v>12</v>
      </c>
      <c r="AD57" s="515">
        <f t="shared" si="20"/>
        <v>12</v>
      </c>
      <c r="AE57" s="516">
        <f t="shared" si="20"/>
        <v>12</v>
      </c>
      <c r="AF57" s="625"/>
      <c r="AG57" s="514">
        <f t="shared" si="21"/>
        <v>17</v>
      </c>
      <c r="AH57" s="515">
        <f t="shared" si="21"/>
        <v>18</v>
      </c>
      <c r="AI57" s="515">
        <f t="shared" si="21"/>
        <v>18.5</v>
      </c>
      <c r="AJ57" s="638" t="s">
        <v>6598</v>
      </c>
      <c r="AK57" s="632" t="s">
        <v>1109</v>
      </c>
    </row>
    <row r="58" spans="1:49">
      <c r="AA58" s="372" t="s">
        <v>835</v>
      </c>
      <c r="AB58" s="637" t="s">
        <v>6599</v>
      </c>
      <c r="AC58" s="518">
        <f t="shared" si="20"/>
        <v>16.5</v>
      </c>
      <c r="AD58" s="518">
        <f t="shared" si="20"/>
        <v>16.5</v>
      </c>
      <c r="AE58" s="519">
        <f t="shared" si="20"/>
        <v>16.5</v>
      </c>
      <c r="AF58" s="625"/>
      <c r="AG58" s="517">
        <f t="shared" si="21"/>
        <v>23</v>
      </c>
      <c r="AH58" s="518">
        <f t="shared" si="21"/>
        <v>24</v>
      </c>
      <c r="AI58" s="518" t="str">
        <f t="shared" si="21"/>
        <v>---</v>
      </c>
      <c r="AJ58" s="643" t="s">
        <v>6597</v>
      </c>
      <c r="AK58" s="632" t="s">
        <v>1110</v>
      </c>
    </row>
    <row r="59" spans="1:49">
      <c r="AA59" s="372" t="s">
        <v>6559</v>
      </c>
      <c r="AC59" s="581">
        <f>AC66</f>
        <v>39</v>
      </c>
      <c r="AD59" s="581">
        <f>AD66</f>
        <v>40</v>
      </c>
      <c r="AE59" s="581">
        <f>AE66</f>
        <v>41</v>
      </c>
      <c r="AG59" s="581">
        <f>AC66</f>
        <v>39</v>
      </c>
      <c r="AH59" s="581">
        <f>AD66</f>
        <v>40</v>
      </c>
      <c r="AI59" s="581">
        <f>AE66</f>
        <v>41</v>
      </c>
      <c r="AJ59" s="545"/>
      <c r="AK59" s="545"/>
    </row>
    <row r="60" spans="1:49">
      <c r="AA60" s="372" t="s">
        <v>829</v>
      </c>
      <c r="AB60" s="641" t="s">
        <v>1128</v>
      </c>
      <c r="AC60" s="571">
        <f>INDEX(GCalXML[arunodaya],AC$59)</f>
        <v>0.23891203703703703</v>
      </c>
      <c r="AD60" s="571">
        <f>INDEX(GCalXML[arunodaya],AD$59)</f>
        <v>0.23898148148148146</v>
      </c>
      <c r="AE60" s="580">
        <f>INDEX(GCalXML[arunodaya],AE$59)</f>
        <v>0.23903935185185185</v>
      </c>
    </row>
    <row r="61" spans="1:49">
      <c r="AA61" s="372" t="s">
        <v>833</v>
      </c>
      <c r="AB61" s="640" t="s">
        <v>1129</v>
      </c>
      <c r="AC61" s="508">
        <f>INDEX(GCalXML[sunrise],AC$59)</f>
        <v>0.30557870370370371</v>
      </c>
      <c r="AD61" s="508">
        <f>INDEX(GCalXML[sunrise],AD$59)</f>
        <v>0.30564814814814817</v>
      </c>
      <c r="AE61" s="509">
        <f>INDEX(GCalXML[sunrise],AE$59)</f>
        <v>0.30570601851851853</v>
      </c>
      <c r="AG61" s="570">
        <f>INDEX(GCalXML[moonrise],AG$59)</f>
        <v>0.47500000000000003</v>
      </c>
      <c r="AH61" s="571">
        <f>INDEX(GCalXML[moonrise],AH$59)</f>
        <v>0.4916666666666667</v>
      </c>
      <c r="AI61" s="571">
        <f>INDEX(GCalXML[moonrise],AI$59)</f>
        <v>0.5083333333333333</v>
      </c>
      <c r="AJ61" s="642" t="s">
        <v>6596</v>
      </c>
      <c r="AK61" s="256" t="s">
        <v>1108</v>
      </c>
    </row>
    <row r="62" spans="1:49">
      <c r="AA62" s="372" t="s">
        <v>834</v>
      </c>
      <c r="AB62" s="640" t="s">
        <v>1144</v>
      </c>
      <c r="AC62" s="508">
        <f>INDEX(GCalXML[noon],AC$59)</f>
        <v>0.49966435185185182</v>
      </c>
      <c r="AD62" s="508">
        <f>INDEX(GCalXML[noon],AD$59)</f>
        <v>0.49998842592592596</v>
      </c>
      <c r="AE62" s="509">
        <f>INDEX(GCalXML[noon],AE$59)</f>
        <v>0.50031250000000005</v>
      </c>
      <c r="AG62" s="512">
        <f>INDEX(GCalXML[moontransit],AG$59)</f>
        <v>0.71666666666666667</v>
      </c>
      <c r="AH62" s="508">
        <f>INDEX(GCalXML[moontransit],AH$59)</f>
        <v>0.74513888888888891</v>
      </c>
      <c r="AI62" s="508">
        <f>INDEX(GCalXML[moontransit],AI$59)</f>
        <v>0.7729166666666667</v>
      </c>
      <c r="AJ62" s="638" t="s">
        <v>6598</v>
      </c>
      <c r="AK62" s="256" t="s">
        <v>1109</v>
      </c>
    </row>
    <row r="63" spans="1:49">
      <c r="AA63" s="372" t="s">
        <v>835</v>
      </c>
      <c r="AB63" s="637" t="s">
        <v>6599</v>
      </c>
      <c r="AC63" s="510">
        <f>INDEX(GCalXML[sunset],AC$59)</f>
        <v>0.69373842592592594</v>
      </c>
      <c r="AD63" s="510">
        <f>INDEX(GCalXML[sunset],AD$59)</f>
        <v>0.6943287037037037</v>
      </c>
      <c r="AE63" s="511">
        <f>INDEX(GCalXML[sunset],AE$59)</f>
        <v>0.69493055555555561</v>
      </c>
      <c r="AG63" s="513">
        <f>INDEX(GCalXML[moonset],AG$59)</f>
        <v>0.95972222222222225</v>
      </c>
      <c r="AH63" s="510">
        <f>INDEX(GCalXML[moonset],AH$59)</f>
        <v>0.99930555555555556</v>
      </c>
      <c r="AI63" s="510" t="str">
        <f>INDEX(GCalXML[moonset],AI$59)</f>
        <v>-----</v>
      </c>
      <c r="AJ63" s="643" t="s">
        <v>6597</v>
      </c>
      <c r="AK63" s="256" t="s">
        <v>1110</v>
      </c>
    </row>
    <row r="65" spans="25:51">
      <c r="AC65" s="576">
        <f>Options!X4 + 2</f>
        <v>43831</v>
      </c>
      <c r="AD65" s="576">
        <f>AC65+1</f>
        <v>43832</v>
      </c>
      <c r="AE65" s="576">
        <f>AD65+1</f>
        <v>43833</v>
      </c>
      <c r="AG65" s="595">
        <f>AE65+1</f>
        <v>43834</v>
      </c>
      <c r="AH65" s="595">
        <f>AG65+1</f>
        <v>43835</v>
      </c>
      <c r="AI65" s="593"/>
      <c r="AJ65" s="593"/>
      <c r="AK65" s="593"/>
      <c r="AL65" s="548"/>
      <c r="AM65" s="548"/>
    </row>
    <row r="66" spans="25:51">
      <c r="AB66" s="491" t="s">
        <v>6559</v>
      </c>
      <c r="AC66" s="505">
        <f>MATCH(AC65,GCalXML[date],0)</f>
        <v>39</v>
      </c>
      <c r="AD66" s="505">
        <f>AC66+1</f>
        <v>40</v>
      </c>
      <c r="AE66" s="505">
        <f>AD66+1</f>
        <v>41</v>
      </c>
      <c r="AG66" s="596">
        <f>AE66+1</f>
        <v>42</v>
      </c>
      <c r="AH66" s="596">
        <f>AG66+1</f>
        <v>43</v>
      </c>
      <c r="AI66" s="593"/>
      <c r="AJ66" s="593"/>
      <c r="AK66" s="593"/>
      <c r="AL66" s="548"/>
      <c r="AM66" s="548"/>
    </row>
    <row r="67" spans="25:51">
      <c r="AC67" s="504" t="str">
        <f>INDEX(GCalXML[paksa],AC$66)</f>
        <v>Gaura Paksa</v>
      </c>
      <c r="AD67" s="504" t="str">
        <f>INDEX(GCalXML[paksa],AD$66)</f>
        <v>Gaura Paksa</v>
      </c>
      <c r="AE67" s="504" t="str">
        <f>INDEX(GCalXML[paksa],AE$66)</f>
        <v>Gaura Paksa</v>
      </c>
      <c r="AG67" s="597" t="str">
        <f>INDEX(GCalXML[paksa],AG$66)</f>
        <v>Gaura Paksa</v>
      </c>
      <c r="AH67" s="597" t="str">
        <f>INDEX(GCalXML[paksa],AH$66)</f>
        <v>Gaura Paksa</v>
      </c>
      <c r="AI67" s="593"/>
      <c r="AJ67" s="593"/>
      <c r="AK67" s="593"/>
      <c r="AL67" s="548"/>
      <c r="AM67" s="548"/>
    </row>
    <row r="68" spans="25:51">
      <c r="AC68" s="504" t="str">
        <f>INDEX(GCalXML[tithi],AC$66)</f>
        <v>Sasti Tithi</v>
      </c>
      <c r="AD68" s="504" t="str">
        <f>INDEX(GCalXML[tithi],AD$66)</f>
        <v>Saptami Tithi</v>
      </c>
      <c r="AE68" s="504" t="str">
        <f>INDEX(GCalXML[tithi],AE$66)</f>
        <v>Astami Tithi</v>
      </c>
      <c r="AG68" s="597" t="str">
        <f>INDEX(GCalXML[tithi],AG$66)</f>
        <v>Navami Tithi</v>
      </c>
      <c r="AH68" s="597" t="str">
        <f>INDEX(GCalXML[tithi],AH$66)</f>
        <v>Dasami Tithi</v>
      </c>
      <c r="AI68" s="593"/>
      <c r="AJ68" s="593"/>
      <c r="AK68" s="593"/>
      <c r="AL68" s="548"/>
      <c r="AM68" s="548"/>
    </row>
    <row r="69" spans="25:51">
      <c r="AC69" s="505" t="str">
        <f>INDEX(GCalXML[moontransl],AC$66)</f>
        <v>New M.</v>
      </c>
      <c r="AD69" s="505" t="str">
        <f>INDEX(GCalXML[moontransl],AD$66)</f>
        <v>New M.</v>
      </c>
      <c r="AE69" s="505" t="str">
        <f>INDEX(GCalXML[moontransl],AE$66)</f>
        <v>First Q.</v>
      </c>
      <c r="AG69" s="597" t="str">
        <f>INDEX(GCalXML[moontransl],AG$66)</f>
        <v>First Q.</v>
      </c>
      <c r="AH69" s="597" t="str">
        <f>INDEX(GCalXML[moontransl],AH$66)</f>
        <v>First Q.</v>
      </c>
      <c r="AI69" s="593"/>
      <c r="AJ69" s="593"/>
      <c r="AK69" s="593"/>
      <c r="AL69" s="548"/>
      <c r="AM69" s="548"/>
    </row>
    <row r="70" spans="25:51">
      <c r="AC70" s="506" t="str">
        <f>CHAR(INDEX(GCalXML[mooncode],AC$66))</f>
        <v>˜</v>
      </c>
      <c r="AD70" s="506" t="str">
        <f>CHAR(INDEX(GCalXML[mooncode],AD$66))</f>
        <v>˜</v>
      </c>
      <c r="AE70" s="506" t="str">
        <f>CHAR(INDEX(GCalXML[mooncode],AE$66))</f>
        <v>‚</v>
      </c>
      <c r="AG70" s="598" t="str">
        <f>CHAR(INDEX(GCalXML[mooncode],AG$66))</f>
        <v>‚</v>
      </c>
      <c r="AH70" s="598" t="str">
        <f>CHAR(INDEX(GCalXML[mooncode],AH$66))</f>
        <v>‚</v>
      </c>
      <c r="AI70" s="593"/>
      <c r="AJ70" s="593"/>
      <c r="AK70" s="593"/>
      <c r="AL70" s="548"/>
      <c r="AM70" s="548"/>
    </row>
    <row r="71" spans="25:51">
      <c r="AB71" s="507" t="s">
        <v>6560</v>
      </c>
      <c r="AC71" s="505" t="str">
        <f>INDEX(GCalXML[fastmark],AC$66)</f>
        <v> </v>
      </c>
      <c r="AD71" s="505" t="str">
        <f>INDEX(GCalXML[fastmark],AD$66)</f>
        <v> </v>
      </c>
      <c r="AE71" s="505" t="str">
        <f>INDEX(GCalXML[fastmark],AE$66)</f>
        <v> </v>
      </c>
      <c r="AG71" s="596" t="str">
        <f>INDEX(GCalXML[fastmark],AG$66)</f>
        <v> </v>
      </c>
      <c r="AH71" s="596" t="str">
        <f>INDEX(GCalXML[fastmark],AH$66)</f>
        <v> </v>
      </c>
      <c r="AI71" s="593"/>
      <c r="AJ71" s="593"/>
      <c r="AK71" s="593"/>
      <c r="AL71" s="548"/>
      <c r="AM71" s="548"/>
    </row>
    <row r="72" spans="25:51">
      <c r="AB72" s="507" t="s">
        <v>6562</v>
      </c>
      <c r="AC72" s="505" t="str">
        <f>INDEX(GCalXML[fasttype],AC$66)</f>
        <v> </v>
      </c>
      <c r="AD72" s="505" t="str">
        <f>INDEX(GCalXML[fasttype],AD$66)</f>
        <v> </v>
      </c>
      <c r="AE72" s="505" t="str">
        <f>INDEX(GCalXML[fasttype],AE$66)</f>
        <v> </v>
      </c>
      <c r="AF72" s="579"/>
      <c r="AG72" s="596" t="str">
        <f>INDEX(GCalXML[fasttype],AG$66)</f>
        <v> </v>
      </c>
      <c r="AH72" s="596" t="str">
        <f>INDEX(GCalXML[fasttype],AH$66)</f>
        <v> </v>
      </c>
      <c r="AI72" s="593"/>
      <c r="AJ72" s="593"/>
      <c r="AK72" s="593"/>
      <c r="AL72" s="579"/>
      <c r="AM72" s="579"/>
      <c r="AO72" s="579"/>
      <c r="AP72" s="579"/>
      <c r="AQ72" s="579"/>
      <c r="AR72" s="579"/>
      <c r="AV72" s="579"/>
    </row>
    <row r="73" spans="25:51">
      <c r="AB73" s="507" t="s">
        <v>670</v>
      </c>
      <c r="AC73" s="504" t="str">
        <f>INDEX(GCalXML[naksatra],AC$66)</f>
        <v>Purva-bhadra</v>
      </c>
      <c r="AD73" s="504" t="str">
        <f>INDEX(GCalXML[naksatra],AD$66)</f>
        <v>Uttara-bhadra</v>
      </c>
      <c r="AE73" s="504" t="str">
        <f>INDEX(GCalXML[naksatra],AE$66)</f>
        <v>Revati</v>
      </c>
      <c r="AG73" s="597" t="str">
        <f>INDEX(GCalXML[naksatra],AG$66)</f>
        <v>Asvini</v>
      </c>
      <c r="AH73" s="597" t="str">
        <f>INDEX(GCalXML[naksatra],AH$66)</f>
        <v>Bharani</v>
      </c>
      <c r="AI73" s="593"/>
      <c r="AJ73" s="593"/>
      <c r="AK73" s="593"/>
      <c r="AL73" s="548"/>
      <c r="AM73" s="548"/>
    </row>
    <row r="74" spans="25:51">
      <c r="AB74" s="507" t="s">
        <v>669</v>
      </c>
      <c r="AC74" s="504" t="str">
        <f>INDEX(GCalXML[yoga],AC$66)</f>
        <v>Vyatipata</v>
      </c>
      <c r="AD74" s="504" t="str">
        <f>INDEX(GCalXML[yoga],AD$66)</f>
        <v>Variyana</v>
      </c>
      <c r="AE74" s="504" t="str">
        <f>INDEX(GCalXML[yoga],AE$66)</f>
        <v>Parigha</v>
      </c>
      <c r="AF74" s="579"/>
      <c r="AG74" s="597" t="str">
        <f>INDEX(GCalXML[yoga],AG$66)</f>
        <v>Siva</v>
      </c>
      <c r="AH74" s="597" t="str">
        <f>INDEX(GCalXML[yoga],AH$66)</f>
        <v>Siddha</v>
      </c>
      <c r="AI74" s="593"/>
      <c r="AJ74" s="593"/>
      <c r="AK74" s="593"/>
      <c r="AL74" s="579"/>
      <c r="AM74" s="579"/>
      <c r="AO74" s="579"/>
      <c r="AP74" s="579"/>
      <c r="AQ74" s="579"/>
      <c r="AR74" s="579"/>
      <c r="AV74" s="579"/>
    </row>
    <row r="75" spans="25:51">
      <c r="AB75" s="507" t="s">
        <v>6494</v>
      </c>
      <c r="AC75" s="504">
        <f>INDEX(GCalXML[doy],AC$66)</f>
        <v>1</v>
      </c>
      <c r="AD75" s="504">
        <f>INDEX(GCalXML[doy],AD$66)</f>
        <v>2</v>
      </c>
      <c r="AE75" s="504">
        <f>INDEX(GCalXML[doy],AE$66)</f>
        <v>3</v>
      </c>
      <c r="AF75" s="579"/>
      <c r="AG75" s="597">
        <f>INDEX(GCalXML[doy],AG$66)</f>
        <v>4</v>
      </c>
      <c r="AH75" s="597">
        <f>INDEX(GCalXML[doy],AH$66)</f>
        <v>5</v>
      </c>
      <c r="AI75" s="593"/>
      <c r="AJ75" s="593"/>
      <c r="AK75" s="593"/>
      <c r="AL75" s="579"/>
      <c r="AM75" s="579"/>
      <c r="AO75" s="579"/>
      <c r="AP75" s="579"/>
      <c r="AQ75" s="579"/>
      <c r="AR75" s="579"/>
      <c r="AV75" s="579"/>
    </row>
    <row r="76" spans="25:51">
      <c r="AB76" s="507" t="s">
        <v>6495</v>
      </c>
      <c r="AC76" s="504">
        <f>INDEX(GCalXML[nyc],AC$66)</f>
        <v>365</v>
      </c>
      <c r="AD76" s="504">
        <f>INDEX(GCalXML[nyc],AD$66)</f>
        <v>364</v>
      </c>
      <c r="AE76" s="504">
        <f>INDEX(GCalXML[nyc],AE$66)</f>
        <v>363</v>
      </c>
      <c r="AF76" s="579"/>
      <c r="AG76" s="597">
        <f>INDEX(GCalXML[nyc],AG$66)</f>
        <v>362</v>
      </c>
      <c r="AH76" s="597">
        <f>INDEX(GCalXML[nyc],AH$66)</f>
        <v>361</v>
      </c>
      <c r="AI76" s="593"/>
      <c r="AJ76" s="593"/>
      <c r="AK76" s="593"/>
      <c r="AL76" s="579"/>
      <c r="AM76" s="579"/>
      <c r="AO76" s="579"/>
      <c r="AP76" s="579"/>
      <c r="AQ76" s="579"/>
      <c r="AR76" s="579"/>
      <c r="AV76" s="579"/>
    </row>
    <row r="77" spans="25:51" s="620" customFormat="1">
      <c r="Y77" s="286"/>
      <c r="Z77" s="131"/>
      <c r="AB77" s="507" t="str">
        <f>'Weekly-Left'!AB77</f>
        <v>VijayaMahadvadasi|VamanadevaApp|FastTNoon|JivaApp|FastTNoon|</v>
      </c>
      <c r="AC77" s="622" t="str">
        <f ca="1">IF(INDEX(GCalXML[festivalref],AC$66) = $AB77,AC83,AC78)</f>
        <v>[extensive tithi (vriddhi) - second day of tithi]
Confraternização Universal</v>
      </c>
      <c r="AD77" s="622" t="str">
        <f ca="1">IF(INDEX(GCalXML[festivalref],AD$66) = $AB77,AD84,AD79)</f>
        <v xml:space="preserve"> </v>
      </c>
      <c r="AE77" s="622" t="str">
        <f ca="1">IF(INDEX(GCalXML[festivalref],AD$66) = $AB77,AE85,AE80)</f>
        <v xml:space="preserve"> </v>
      </c>
      <c r="AG77" s="621"/>
      <c r="AH77" s="621"/>
    </row>
    <row r="78" spans="25:51">
      <c r="AB78" s="594" t="s">
        <v>94</v>
      </c>
      <c r="AC78" s="623" t="str">
        <f ca="1">Concat3(OFFSET(GCalXML[[#Headers],[festival1]:[festival12]],AC66,0),CHAR(10),"[]")</f>
        <v>[extensive tithi (vriddhi) - second day of tithi]
Confraternização Universal</v>
      </c>
      <c r="AD78" s="578"/>
      <c r="AE78" s="579"/>
      <c r="AF78" s="579"/>
      <c r="AG78" s="578"/>
      <c r="AH78" s="579"/>
      <c r="AI78" s="579"/>
      <c r="AJ78" s="579"/>
      <c r="AK78" s="579"/>
      <c r="AL78" s="579"/>
      <c r="AM78" s="579"/>
      <c r="AO78" s="579"/>
      <c r="AP78" s="579"/>
      <c r="AQ78" s="579"/>
      <c r="AR78" s="579"/>
      <c r="AV78" s="579"/>
      <c r="AW78" s="578"/>
      <c r="AX78" s="579"/>
      <c r="AY78" s="579"/>
    </row>
    <row r="79" spans="25:51">
      <c r="AB79" s="594" t="s">
        <v>97</v>
      </c>
      <c r="AC79" s="579"/>
      <c r="AD79" s="623" t="str">
        <f ca="1">Concat3(OFFSET(GCalXML[[#Headers],[festival1]:[festival12]],AD66,0),CHAR(10),"[]")</f>
        <v xml:space="preserve"> </v>
      </c>
      <c r="AE79" s="578"/>
      <c r="AF79" s="579"/>
      <c r="AG79" s="579"/>
      <c r="AH79" s="579"/>
      <c r="AI79" s="579"/>
      <c r="AJ79" s="579"/>
      <c r="AK79" s="579"/>
      <c r="AL79" s="579"/>
      <c r="AM79" s="579"/>
      <c r="AO79" s="579"/>
      <c r="AP79" s="579"/>
      <c r="AQ79" s="579"/>
      <c r="AR79" s="579"/>
      <c r="AV79" s="579"/>
      <c r="AW79" s="579"/>
      <c r="AX79" s="579"/>
      <c r="AY79" s="579"/>
    </row>
    <row r="80" spans="25:51">
      <c r="AB80" s="594" t="s">
        <v>100</v>
      </c>
      <c r="AC80" s="579"/>
      <c r="AD80" s="579"/>
      <c r="AE80" s="623" t="str">
        <f ca="1">Concat3(OFFSET(GCalXML[[#Headers],[festival1]:[festival12]],AE66,0),CHAR(10),"[]")</f>
        <v xml:space="preserve"> </v>
      </c>
      <c r="AF80" s="579"/>
      <c r="AG80" s="282"/>
      <c r="AH80" s="579"/>
      <c r="AI80" s="579"/>
      <c r="AJ80" s="579"/>
      <c r="AK80" s="579"/>
      <c r="AL80" s="579"/>
      <c r="AM80" s="579"/>
      <c r="AO80" s="579"/>
      <c r="AP80" s="579"/>
      <c r="AQ80" s="579"/>
      <c r="AR80" s="579"/>
      <c r="AV80" s="579"/>
      <c r="AW80" s="282"/>
      <c r="AX80" s="579"/>
      <c r="AY80" s="579"/>
    </row>
    <row r="81" spans="28:51">
      <c r="AB81" s="594" t="s">
        <v>103</v>
      </c>
      <c r="AC81" s="579"/>
      <c r="AD81" s="579"/>
      <c r="AE81" s="579"/>
      <c r="AF81" s="579"/>
      <c r="AG81" s="504" t="str">
        <f ca="1">Concat3(OFFSET(GCalXML[[#Headers],[festival1]:[festival12]],AG66,0),CHAR(10),"[]")</f>
        <v xml:space="preserve"> </v>
      </c>
      <c r="AH81" s="579"/>
      <c r="AI81" s="579"/>
      <c r="AJ81" s="579"/>
      <c r="AK81" s="579"/>
      <c r="AL81" s="579"/>
      <c r="AM81" s="579"/>
      <c r="AN81" s="579"/>
      <c r="AO81" s="579"/>
      <c r="AP81" s="579"/>
      <c r="AQ81" s="579"/>
      <c r="AR81" s="579"/>
      <c r="AV81" s="579"/>
      <c r="AW81" s="579"/>
      <c r="AX81" s="579"/>
      <c r="AY81" s="579"/>
    </row>
    <row r="82" spans="28:51">
      <c r="AB82" s="594" t="s">
        <v>106</v>
      </c>
      <c r="AC82" s="579"/>
      <c r="AD82" s="579"/>
      <c r="AE82" s="579"/>
      <c r="AF82" s="579"/>
      <c r="AG82" s="579"/>
      <c r="AH82" s="504" t="str">
        <f ca="1">Concat3(OFFSET(GCalXML[[#Headers],[festival1]:[festival12]],AH66,0),CHAR(10),"[]")</f>
        <v xml:space="preserve"> </v>
      </c>
      <c r="AI82" s="579"/>
      <c r="AJ82" s="579"/>
      <c r="AK82" s="579"/>
      <c r="AL82" s="579"/>
      <c r="AM82" s="579"/>
      <c r="AN82" s="579"/>
      <c r="AO82" s="579"/>
      <c r="AP82" s="579"/>
      <c r="AQ82" s="579"/>
      <c r="AR82" s="579"/>
      <c r="AS82" s="579"/>
      <c r="AT82" s="579"/>
      <c r="AU82" s="579"/>
      <c r="AV82" s="579"/>
      <c r="AX82" s="579"/>
      <c r="AY82" s="579"/>
    </row>
    <row r="83" spans="28:51">
      <c r="AB83" s="594" t="s">
        <v>6589</v>
      </c>
      <c r="AC83" s="624" t="str">
        <f ca="1">OFFSET(GCalXML[[#Headers],[festival2]],AC66,0) &amp; " " &amp; Concat3(OFFSET(GCalXML[[#Headers],[festival4]:[festival12]],AC66,0)," ","[]")</f>
        <v xml:space="preserve">Confraternização Universal  </v>
      </c>
    </row>
    <row r="84" spans="28:51">
      <c r="AB84" s="594" t="s">
        <v>6590</v>
      </c>
      <c r="AD84" s="624" t="str">
        <f ca="1">OFFSET(GCalXML[[#Headers],[festival2]],AD66,0) &amp; " " &amp; Concat3(OFFSET(GCalXML[[#Headers],[festival4]:[festival12]],AD66,0)," ","[]")</f>
        <v xml:space="preserve">  </v>
      </c>
    </row>
    <row r="85" spans="28:51">
      <c r="AB85" s="594" t="s">
        <v>6591</v>
      </c>
      <c r="AE85" s="624" t="str">
        <f ca="1">OFFSET(GCalXML[[#Headers],[festival2]],AE66,0) &amp; " " &amp; Concat3(OFFSET(GCalXML[[#Headers],[festival4]:[festival12]],AE66,0)," ","[]")</f>
        <v xml:space="preserve">  </v>
      </c>
    </row>
  </sheetData>
  <mergeCells count="38">
    <mergeCell ref="M43:O43"/>
    <mergeCell ref="R43:X43"/>
    <mergeCell ref="C53:E53"/>
    <mergeCell ref="H53:J53"/>
    <mergeCell ref="M53:O53"/>
    <mergeCell ref="M41:O41"/>
    <mergeCell ref="M18:O18"/>
    <mergeCell ref="R18:W18"/>
    <mergeCell ref="M19:O19"/>
    <mergeCell ref="R19:X28"/>
    <mergeCell ref="R29:W29"/>
    <mergeCell ref="M30:O30"/>
    <mergeCell ref="R30:X30"/>
    <mergeCell ref="M31:O31"/>
    <mergeCell ref="M33:O33"/>
    <mergeCell ref="M35:O35"/>
    <mergeCell ref="M37:O37"/>
    <mergeCell ref="M39:O39"/>
    <mergeCell ref="M15:O15"/>
    <mergeCell ref="R15:W15"/>
    <mergeCell ref="M16:O16"/>
    <mergeCell ref="U16:W17"/>
    <mergeCell ref="M17:O17"/>
    <mergeCell ref="R17:T17"/>
    <mergeCell ref="C3:E3"/>
    <mergeCell ref="H3:J3"/>
    <mergeCell ref="M3:O3"/>
    <mergeCell ref="R3:W3"/>
    <mergeCell ref="C4:F10"/>
    <mergeCell ref="H4:K10"/>
    <mergeCell ref="M4:P10"/>
    <mergeCell ref="R4:X14"/>
    <mergeCell ref="D1:E2"/>
    <mergeCell ref="I1:J2"/>
    <mergeCell ref="N1:O2"/>
    <mergeCell ref="R1:T1"/>
    <mergeCell ref="U1:W2"/>
    <mergeCell ref="R2:T2"/>
  </mergeCells>
  <conditionalFormatting sqref="T32:X32">
    <cfRule type="expression" dxfId="100" priority="11" stopIfTrue="1">
      <formula>$AP33&lt;&gt;""</formula>
    </cfRule>
  </conditionalFormatting>
  <conditionalFormatting sqref="R36:X36">
    <cfRule type="expression" dxfId="99" priority="10" stopIfTrue="1">
      <formula>OR($AP$35=1,$AP$37=1)</formula>
    </cfRule>
  </conditionalFormatting>
  <conditionalFormatting sqref="T34:X34">
    <cfRule type="expression" dxfId="98" priority="9" stopIfTrue="1">
      <formula>OR($AP33=1,$AP35=1)</formula>
    </cfRule>
  </conditionalFormatting>
  <conditionalFormatting sqref="R38:X38">
    <cfRule type="expression" dxfId="97" priority="8" stopIfTrue="1">
      <formula>OR($AP37=1,$AP$39=1)</formula>
    </cfRule>
  </conditionalFormatting>
  <conditionalFormatting sqref="R40:X40">
    <cfRule type="expression" dxfId="96" priority="12" stopIfTrue="1">
      <formula>OR($AP39&lt;&gt;"",AND(R41&lt;&gt;"",$AP41&lt;&gt;""))</formula>
    </cfRule>
  </conditionalFormatting>
  <conditionalFormatting sqref="R32:S32">
    <cfRule type="expression" dxfId="95" priority="13" stopIfTrue="1">
      <formula>AND(R33&lt;&gt;"",$AP41&lt;&gt;1,OR($AP33&lt;&gt;"",$AP47&lt;&gt;""))</formula>
    </cfRule>
  </conditionalFormatting>
  <conditionalFormatting sqref="R34:S34">
    <cfRule type="expression" dxfId="94" priority="14" stopIfTrue="1">
      <formula>OR($AP$35=1,AND(R33&lt;&gt;"",$AP41&lt;&gt;1,OR($AP33&lt;&gt;"",$AP47&lt;&gt;"")))</formula>
    </cfRule>
  </conditionalFormatting>
  <conditionalFormatting sqref="T48:X48 R42:X42">
    <cfRule type="expression" dxfId="93" priority="15" stopIfTrue="1">
      <formula>AND(R41&lt;&gt;"",$AP41&lt;&gt;"")</formula>
    </cfRule>
  </conditionalFormatting>
  <conditionalFormatting sqref="R46">
    <cfRule type="expression" dxfId="92" priority="16" stopIfTrue="1">
      <formula>AND(R47&lt;&gt;"",$AP47&lt;&gt;"",$AN$52="")</formula>
    </cfRule>
  </conditionalFormatting>
  <conditionalFormatting sqref="R48">
    <cfRule type="expression" dxfId="91" priority="17" stopIfTrue="1">
      <formula>AND(R47&lt;&gt;"",$AP47&lt;&gt;"",$AN$52="")</formula>
    </cfRule>
  </conditionalFormatting>
  <conditionalFormatting sqref="S46">
    <cfRule type="expression" dxfId="90" priority="18" stopIfTrue="1">
      <formula>AND(S47&lt;&gt;"",$AP47&lt;&gt;"",$AO$52="")</formula>
    </cfRule>
  </conditionalFormatting>
  <conditionalFormatting sqref="T46:X46">
    <cfRule type="expression" dxfId="89" priority="19" stopIfTrue="1">
      <formula>AND(T47&lt;&gt;"",$AP47&lt;&gt;"")</formula>
    </cfRule>
  </conditionalFormatting>
  <conditionalFormatting sqref="S48">
    <cfRule type="expression" dxfId="88" priority="20" stopIfTrue="1">
      <formula>AND(S47&lt;&gt;"",$AP47&lt;&gt;"",$AO$52="")</formula>
    </cfRule>
  </conditionalFormatting>
  <conditionalFormatting sqref="R33:X33 R35:X35 R37:X37 R39:X39 R41:X41 R47:X47 R49:X52 D1:E2 I1:J2 N1:O2 U1:W2 U16:W17">
    <cfRule type="expression" dxfId="87" priority="1" stopIfTrue="1">
      <formula>AC1="S"</formula>
    </cfRule>
    <cfRule type="expression" dxfId="86" priority="2" stopIfTrue="1">
      <formula>AC1="H"</formula>
    </cfRule>
    <cfRule type="expression" dxfId="85" priority="3" stopIfTrue="1">
      <formula>AC1="P"</formula>
    </cfRule>
    <cfRule type="expression" dxfId="84" priority="4" stopIfTrue="1">
      <formula>AC1="K"</formula>
    </cfRule>
    <cfRule type="expression" dxfId="83" priority="5" stopIfTrue="1">
      <formula>AC1="F"</formula>
    </cfRule>
    <cfRule type="expression" dxfId="82" priority="6" stopIfTrue="1">
      <formula>AC1="E"</formula>
    </cfRule>
    <cfRule type="expression" dxfId="81" priority="7" stopIfTrue="1">
      <formula>AC1="C"</formula>
    </cfRule>
  </conditionalFormatting>
  <printOptions horizontalCentered="1"/>
  <pageMargins left="0.19685039370078741" right="0" top="0.19685039370078741" bottom="0.19685039370078741" header="0.11811023622047245" footer="0.11811023622047245"/>
  <pageSetup paperSize="9" scale="9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8306" r:id="rId4" name="WeekSelect1">
              <controlPr defaultSize="0" print="0" autoPict="0">
                <anchor moveWithCells="1">
                  <from>
                    <xdr:col>0</xdr:col>
                    <xdr:colOff>47625</xdr:colOff>
                    <xdr:row>1</xdr:row>
                    <xdr:rowOff>57150</xdr:rowOff>
                  </from>
                  <to>
                    <xdr:col>1</xdr:col>
                    <xdr:colOff>9525</xdr:colOff>
                    <xdr:row>2</xdr:row>
                    <xdr:rowOff>171450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wksMonthlyLeft">
    <pageSetUpPr fitToPage="1"/>
  </sheetPr>
  <dimension ref="D1:AI50"/>
  <sheetViews>
    <sheetView showGridLines="0" zoomScaleNormal="100" zoomScaleSheetLayoutView="73" workbookViewId="0"/>
  </sheetViews>
  <sheetFormatPr defaultColWidth="9.140625" defaultRowHeight="0" customHeight="1" zeroHeight="1"/>
  <cols>
    <col min="1" max="3" width="2.85546875" style="16" customWidth="1"/>
    <col min="4" max="4" width="9.85546875" style="16" customWidth="1"/>
    <col min="5" max="5" width="38.28515625" style="16" customWidth="1"/>
    <col min="6" max="6" width="24" style="16" customWidth="1"/>
    <col min="7" max="7" width="4.5703125" style="16" customWidth="1"/>
    <col min="8" max="8" width="24" style="16" customWidth="1"/>
    <col min="9" max="9" width="4.5703125" style="16" customWidth="1"/>
    <col min="10" max="10" width="24" style="16" customWidth="1"/>
    <col min="11" max="11" width="4.5703125" style="16" customWidth="1"/>
    <col min="12" max="12" width="10.7109375" style="16" customWidth="1"/>
    <col min="13" max="13" width="1.85546875" style="16" customWidth="1"/>
    <col min="14" max="14" width="4.28515625" style="16" customWidth="1"/>
    <col min="15" max="21" width="5" style="16" customWidth="1"/>
    <col min="22" max="22" width="3.7109375" style="16" customWidth="1"/>
    <col min="23" max="23" width="13" style="16" customWidth="1"/>
    <col min="24" max="24" width="11.85546875" style="16" customWidth="1"/>
    <col min="25" max="25" width="2.85546875" style="16" customWidth="1"/>
    <col min="26" max="26" width="4.28515625" style="16" customWidth="1"/>
    <col min="27" max="27" width="9.140625" style="16" customWidth="1"/>
    <col min="28" max="28" width="4.28515625" style="16" customWidth="1"/>
    <col min="29" max="29" width="9.140625" style="16" customWidth="1"/>
    <col min="30" max="30" width="4.28515625" style="16" customWidth="1"/>
    <col min="31" max="31" width="2.85546875" style="16" customWidth="1"/>
    <col min="32" max="32" width="9.140625" style="16"/>
    <col min="33" max="35" width="10.5703125" style="16" bestFit="1" customWidth="1"/>
    <col min="36" max="16384" width="9.140625" style="16"/>
  </cols>
  <sheetData>
    <row r="1" spans="4:35" ht="18" customHeight="1">
      <c r="D1" s="730" t="str">
        <f ca="1">monthName</f>
        <v>JANUARY</v>
      </c>
      <c r="E1" s="245" t="str">
        <f ca="1">'GPlan-Translations'!C272</f>
        <v>PRIORITIES</v>
      </c>
      <c r="F1" s="244" t="str">
        <f ca="1">UPPER('GPlan-Translations'!C170)</f>
        <v>MONDAY</v>
      </c>
      <c r="G1" s="243"/>
      <c r="H1" s="244" t="str">
        <f ca="1">UPPER('GPlan-Translations'!C171)</f>
        <v>TUESDAY</v>
      </c>
      <c r="I1" s="243"/>
      <c r="J1" s="244" t="str">
        <f ca="1">UPPER('GPlan-Translations'!C172)</f>
        <v>WEDNESDAY</v>
      </c>
      <c r="K1" s="243"/>
      <c r="L1" s="242"/>
      <c r="M1" s="241"/>
      <c r="N1" s="181"/>
      <c r="O1" s="230">
        <f>P1-1</f>
        <v>43829</v>
      </c>
      <c r="P1" s="230">
        <f>Q1-1</f>
        <v>43830</v>
      </c>
      <c r="Q1" s="230">
        <f>R1-1</f>
        <v>43831</v>
      </c>
      <c r="R1" s="230">
        <f>S1-1</f>
        <v>43832</v>
      </c>
      <c r="S1" s="230">
        <f>T1-1</f>
        <v>43833</v>
      </c>
      <c r="T1" s="230">
        <f>U3-1</f>
        <v>43834</v>
      </c>
      <c r="V1" s="181"/>
      <c r="W1" s="181"/>
      <c r="X1" s="181"/>
    </row>
    <row r="2" spans="4:35" ht="24" customHeight="1">
      <c r="D2" s="730"/>
      <c r="E2" s="203"/>
      <c r="F2" s="725" t="str">
        <f ca="1">AG3</f>
        <v xml:space="preserve"> </v>
      </c>
      <c r="G2" s="726"/>
      <c r="H2" s="725" t="str">
        <f ca="1">AH3</f>
        <v xml:space="preserve"> </v>
      </c>
      <c r="I2" s="726"/>
      <c r="J2" s="725" t="str">
        <f ca="1">AI3</f>
        <v>[extensive tithi (vriddhi) - second day of tithi]
Confraternização Universal</v>
      </c>
      <c r="K2" s="726"/>
      <c r="L2" s="202"/>
      <c r="M2" s="196"/>
      <c r="N2" s="61"/>
      <c r="O2" s="217" t="s">
        <v>674</v>
      </c>
      <c r="P2" s="216" t="s">
        <v>676</v>
      </c>
      <c r="Q2" s="216" t="s">
        <v>678</v>
      </c>
      <c r="R2" s="216" t="s">
        <v>678</v>
      </c>
      <c r="S2" s="216" t="s">
        <v>674</v>
      </c>
      <c r="T2" s="229" t="s">
        <v>674</v>
      </c>
      <c r="U2" s="228" t="s">
        <v>672</v>
      </c>
      <c r="W2" s="233">
        <f>IF(X9=13,X8+1,X8)</f>
        <v>2020</v>
      </c>
      <c r="X2" s="240" t="s">
        <v>186</v>
      </c>
    </row>
    <row r="3" spans="4:35" ht="24" customHeight="1">
      <c r="D3" s="730"/>
      <c r="E3" s="197"/>
      <c r="F3" s="727"/>
      <c r="G3" s="728"/>
      <c r="H3" s="727"/>
      <c r="I3" s="728"/>
      <c r="J3" s="727"/>
      <c r="K3" s="728"/>
      <c r="L3" s="201"/>
      <c r="M3" s="196"/>
      <c r="O3" s="227" t="str">
        <f>IF(W6=1,W5," ")</f>
        <v xml:space="preserve"> </v>
      </c>
      <c r="P3" s="226" t="str">
        <f>IF(W6=2,W5,IF(O3=" "," ",O3+1))</f>
        <v xml:space="preserve"> </v>
      </c>
      <c r="Q3" s="226">
        <f>IF(W6=3,W5,IF(P3=" "," ",P3+1))</f>
        <v>43831</v>
      </c>
      <c r="R3" s="226">
        <f>IF(W6=4,W5,IF(Q3=" "," ",Q3+1))</f>
        <v>43832</v>
      </c>
      <c r="S3" s="226">
        <f>IF(W6=5,W5,IF(R3=" "," ",R3+1))</f>
        <v>43833</v>
      </c>
      <c r="T3" s="225">
        <f>IF(W6=6,W5,IF(S3=" "," ",S3+1))</f>
        <v>43834</v>
      </c>
      <c r="U3" s="224">
        <f>IF(W6=7,W5,IF(T3=" "," ",T3+1))</f>
        <v>43835</v>
      </c>
      <c r="W3" s="233">
        <f>IF(X9=13,1,X9)</f>
        <v>1</v>
      </c>
      <c r="X3" s="240" t="s">
        <v>867</v>
      </c>
      <c r="AG3" s="495" t="str">
        <f ca="1">IF(O3=" "," ",Concat3(OFFSET(GCalXML[[#Headers],[festival1]:[festival12]],O11,0),CHAR(10),"[]"))</f>
        <v xml:space="preserve"> </v>
      </c>
      <c r="AH3" s="495" t="str">
        <f ca="1">IF(P3=" "," ",Concat3(OFFSET(GCalXML[[#Headers],[festival1]:[festival12]],P11,0),CHAR(10),"[]"))</f>
        <v xml:space="preserve"> </v>
      </c>
      <c r="AI3" s="495" t="str">
        <f ca="1">IF(Q3=" "," ",Concat3(OFFSET(GCalXML[[#Headers],[festival1]:[festival12]],Q11,0),CHAR(10),"[]"))</f>
        <v>[extensive tithi (vriddhi) - second day of tithi]
Confraternização Universal</v>
      </c>
    </row>
    <row r="4" spans="4:35" ht="24" customHeight="1">
      <c r="D4" s="730"/>
      <c r="E4" s="200"/>
      <c r="F4" s="727"/>
      <c r="G4" s="728"/>
      <c r="H4" s="727"/>
      <c r="I4" s="728"/>
      <c r="J4" s="727"/>
      <c r="K4" s="728"/>
      <c r="L4" s="197"/>
      <c r="M4" s="196"/>
      <c r="N4" s="61"/>
      <c r="O4" s="145">
        <f>U3+1</f>
        <v>43836</v>
      </c>
      <c r="P4" s="146">
        <f t="shared" ref="P4:U6" si="0">O4+1</f>
        <v>43837</v>
      </c>
      <c r="Q4" s="146">
        <f t="shared" si="0"/>
        <v>43838</v>
      </c>
      <c r="R4" s="146">
        <f t="shared" si="0"/>
        <v>43839</v>
      </c>
      <c r="S4" s="146">
        <f t="shared" si="0"/>
        <v>43840</v>
      </c>
      <c r="T4" s="222">
        <f t="shared" si="0"/>
        <v>43841</v>
      </c>
      <c r="U4" s="221">
        <f t="shared" si="0"/>
        <v>43842</v>
      </c>
      <c r="W4" s="233">
        <f>IF(W3=2,IF(ISERR(DATEVALUE(CONCATENATE("29","/",W3,"/",W2))),28,29),IF(ISERR(DATEVALUE(CONCATENATE("31","/",W3,"/",W2))),30,31))</f>
        <v>31</v>
      </c>
      <c r="X4" s="240" t="s">
        <v>866</v>
      </c>
      <c r="AG4" s="495" t="str">
        <f ca="1">IF(O4=" "," ",Concat3(OFFSET(GCalXML[[#Headers],[festival1]:[festival12]],O12,0),CHAR(10),"[]"))</f>
        <v>Fasting for Putrada Ekadasi
(from 07:20 till tomorrow after sunrise)</v>
      </c>
      <c r="AH4" s="495" t="str">
        <f ca="1">IF(P4=" "," ",Concat3(OFFSET(GCalXML[[#Headers],[festival1]:[festival12]],P12,0),CHAR(10),"[]"))</f>
        <v>Break fast 07:20 - 10:28
Sri Jagadisa Pandita - Appearance</v>
      </c>
      <c r="AI4" s="495" t="str">
        <f ca="1">IF(Q4=" "," ",Concat3(OFFSET(GCalXML[[#Headers],[festival1]:[festival12]],Q12,0),CHAR(10),"[]"))</f>
        <v xml:space="preserve"> </v>
      </c>
    </row>
    <row r="5" spans="4:35" ht="24" customHeight="1">
      <c r="D5" s="730"/>
      <c r="E5" s="200"/>
      <c r="F5" s="727"/>
      <c r="G5" s="728"/>
      <c r="H5" s="727"/>
      <c r="I5" s="728"/>
      <c r="J5" s="727"/>
      <c r="K5" s="728"/>
      <c r="L5" s="197"/>
      <c r="M5" s="196"/>
      <c r="N5" s="61"/>
      <c r="O5" s="145">
        <f>U4+1</f>
        <v>43843</v>
      </c>
      <c r="P5" s="146">
        <f t="shared" si="0"/>
        <v>43844</v>
      </c>
      <c r="Q5" s="146">
        <f t="shared" si="0"/>
        <v>43845</v>
      </c>
      <c r="R5" s="146">
        <f t="shared" si="0"/>
        <v>43846</v>
      </c>
      <c r="S5" s="146">
        <f t="shared" si="0"/>
        <v>43847</v>
      </c>
      <c r="T5" s="222">
        <f t="shared" si="0"/>
        <v>43848</v>
      </c>
      <c r="U5" s="221">
        <f t="shared" si="0"/>
        <v>43849</v>
      </c>
      <c r="W5" s="236">
        <f>DATE(W2,W3,1)</f>
        <v>43831</v>
      </c>
      <c r="X5" s="240" t="s">
        <v>865</v>
      </c>
      <c r="AG5" s="495" t="str">
        <f ca="1">IF(O5=" "," ",Concat3(OFFSET(GCalXML[[#Headers],[festival1]:[festival12]],O13,0),CHAR(10),"[]"))</f>
        <v>[suppressed tithi (ksaya) - tritiya tithi from 09:44 yesterday to 07:04 today]</v>
      </c>
      <c r="AH5" s="495" t="str">
        <f ca="1">IF(P5=" "," ",Concat3(OFFSET(GCalXML[[#Headers],[festival1]:[festival12]],P13,0),CHAR(10),"[]"))</f>
        <v>Sri Ramacandra Kaviraja - Disappearance
Srila Gopala Bhatta Gosvami - Appearance</v>
      </c>
      <c r="AI5" s="495" t="str">
        <f ca="1">IF(Q5=" "," ",Concat3(OFFSET(GCalXML[[#Headers],[festival1]:[festival12]],Q13,0),CHAR(10),"[]"))</f>
        <v>Ganga Sagara Mela
Sri Jayadeva Gosvami - Disappearance
Makara Sankranti (Sun enters Capricorn on 14 Jan, 15:27)</v>
      </c>
    </row>
    <row r="6" spans="4:35" ht="24" customHeight="1">
      <c r="D6" s="730"/>
      <c r="E6" s="200"/>
      <c r="F6" s="727"/>
      <c r="G6" s="728"/>
      <c r="H6" s="727"/>
      <c r="I6" s="728"/>
      <c r="J6" s="727"/>
      <c r="K6" s="728"/>
      <c r="L6" s="197"/>
      <c r="M6" s="196" t="s">
        <v>48</v>
      </c>
      <c r="N6" s="61"/>
      <c r="O6" s="145">
        <f>U5+1</f>
        <v>43850</v>
      </c>
      <c r="P6" s="146">
        <f t="shared" si="0"/>
        <v>43851</v>
      </c>
      <c r="Q6" s="146">
        <f t="shared" si="0"/>
        <v>43852</v>
      </c>
      <c r="R6" s="146">
        <f t="shared" si="0"/>
        <v>43853</v>
      </c>
      <c r="S6" s="146">
        <f t="shared" si="0"/>
        <v>43854</v>
      </c>
      <c r="T6" s="222">
        <f t="shared" si="0"/>
        <v>43855</v>
      </c>
      <c r="U6" s="221">
        <f t="shared" si="0"/>
        <v>43856</v>
      </c>
      <c r="W6" s="233">
        <f>WEEKDAY(W5,2)</f>
        <v>3</v>
      </c>
      <c r="X6" s="240" t="s">
        <v>864</v>
      </c>
      <c r="AG6" s="495" t="str">
        <f ca="1">IF(O6=" "," ",Concat3(OFFSET(GCalXML[[#Headers],[festival1]:[festival12]],O14,0),CHAR(10),"[]"))</f>
        <v>Fasting for Sat-tila Ekadasi
(from 07:15 till tomorrow after sunrise)</v>
      </c>
      <c r="AH6" s="495" t="str">
        <f ca="1">IF(P6=" "," ",Concat3(OFFSET(GCalXML[[#Headers],[festival1]:[festival12]],P14,0),CHAR(10),"[]"))</f>
        <v>Break fast 07:15 - 10:29</v>
      </c>
      <c r="AI6" s="495" t="str">
        <f ca="1">IF(Q6=" "," ",Concat3(OFFSET(GCalXML[[#Headers],[festival1]:[festival12]],Q14,0),CHAR(10),"[]"))</f>
        <v xml:space="preserve"> </v>
      </c>
    </row>
    <row r="7" spans="4:35" ht="24" customHeight="1">
      <c r="D7" s="730"/>
      <c r="E7" s="200"/>
      <c r="F7" s="727"/>
      <c r="G7" s="728"/>
      <c r="H7" s="727"/>
      <c r="I7" s="728"/>
      <c r="J7" s="727"/>
      <c r="K7" s="728"/>
      <c r="L7" s="197"/>
      <c r="M7" s="196"/>
      <c r="N7" s="61"/>
      <c r="O7" s="145">
        <f>IF(MONTH(U6+1)&lt;&gt;$W$3," ",U6+1)</f>
        <v>43857</v>
      </c>
      <c r="P7" s="146">
        <f t="shared" ref="P7:U8" si="1">IF(O7=" "," ",O7+1)</f>
        <v>43858</v>
      </c>
      <c r="Q7" s="146">
        <f t="shared" si="1"/>
        <v>43859</v>
      </c>
      <c r="R7" s="146">
        <f t="shared" si="1"/>
        <v>43860</v>
      </c>
      <c r="S7" s="146">
        <f t="shared" si="1"/>
        <v>43861</v>
      </c>
      <c r="T7" s="222">
        <f t="shared" si="1"/>
        <v>43862</v>
      </c>
      <c r="U7" s="221">
        <f t="shared" si="1"/>
        <v>43863</v>
      </c>
      <c r="AG7" s="495" t="str">
        <f ca="1">IF(O7=" "," ",Concat3(OFFSET(GCalXML[[#Headers],[festival1]:[festival12]],O15,0),CHAR(10),"[]"))</f>
        <v xml:space="preserve"> </v>
      </c>
      <c r="AH7" s="495" t="str">
        <f ca="1">IF(P7=" "," ",Concat3(OFFSET(GCalXML[[#Headers],[festival1]:[festival12]],P15,0),CHAR(10),"[]"))</f>
        <v xml:space="preserve"> </v>
      </c>
      <c r="AI7" s="495" t="str">
        <f ca="1">IF(Q7=" "," ",Concat3(OFFSET(GCalXML[[#Headers],[festival1]:[festival12]],Q15,0),CHAR(10),"[]"))</f>
        <v>Vasanta Pancami
Srimati Visnupriya Devi - Appearance
Srila Visvanatha Cakravarti Thakura - Disappearance
Sri Pundarika Vidyanidhi - Appearance
Sri Raghunandana Thakura - Appearance
Srila Raghunatha Dasa Gosvami - Appearance
Sarasvati Puja</v>
      </c>
    </row>
    <row r="8" spans="4:35" ht="24" customHeight="1">
      <c r="D8" s="730"/>
      <c r="E8" s="200"/>
      <c r="F8" s="727"/>
      <c r="G8" s="728"/>
      <c r="H8" s="727"/>
      <c r="I8" s="728"/>
      <c r="J8" s="727"/>
      <c r="K8" s="728"/>
      <c r="L8" s="197"/>
      <c r="M8" s="196"/>
      <c r="N8" s="61"/>
      <c r="O8" s="155" t="str">
        <f>IF(U7=" "," ",IF(MONTH(U7+1)&lt;&gt;$W$3," ",U7+1))</f>
        <v xml:space="preserve"> </v>
      </c>
      <c r="P8" s="156" t="str">
        <f t="shared" si="1"/>
        <v xml:space="preserve"> </v>
      </c>
      <c r="Q8" s="156" t="str">
        <f t="shared" si="1"/>
        <v xml:space="preserve"> </v>
      </c>
      <c r="R8" s="156" t="str">
        <f t="shared" si="1"/>
        <v xml:space="preserve"> </v>
      </c>
      <c r="S8" s="156" t="str">
        <f t="shared" si="1"/>
        <v xml:space="preserve"> </v>
      </c>
      <c r="T8" s="220" t="str">
        <f t="shared" si="1"/>
        <v xml:space="preserve"> </v>
      </c>
      <c r="U8" s="219" t="str">
        <f t="shared" si="1"/>
        <v xml:space="preserve"> </v>
      </c>
      <c r="W8" s="70" t="s">
        <v>72</v>
      </c>
      <c r="X8" s="255">
        <f>Options!X2</f>
        <v>2020</v>
      </c>
      <c r="AG8" s="495" t="str">
        <f ca="1">IF(O8=" "," ",Concat3(OFFSET(GCalXML[[#Headers],[festival1]:[festival12]],O16,0),CHAR(10),"[]"))</f>
        <v xml:space="preserve"> </v>
      </c>
      <c r="AH8" s="495" t="str">
        <f ca="1">IF(P8=" "," ",Concat3(OFFSET(GCalXML[[#Headers],[festival1]:[festival12]],P16,0),CHAR(10),"[]"))</f>
        <v xml:space="preserve"> </v>
      </c>
      <c r="AI8" s="495" t="str">
        <f ca="1">IF(Q8=" "," ",Concat3(OFFSET(GCalXML[[#Headers],[festival1]:[festival12]],Q16,0),CHAR(10),"[]"))</f>
        <v xml:space="preserve"> </v>
      </c>
    </row>
    <row r="9" spans="4:35" ht="24" customHeight="1">
      <c r="D9" s="730"/>
      <c r="E9" s="200"/>
      <c r="F9" s="198"/>
      <c r="G9" s="356" t="str">
        <f>O3</f>
        <v xml:space="preserve"> </v>
      </c>
      <c r="H9" s="198"/>
      <c r="I9" s="356" t="str">
        <f>P3</f>
        <v xml:space="preserve"> </v>
      </c>
      <c r="J9" s="198"/>
      <c r="K9" s="356">
        <f>Q3</f>
        <v>43831</v>
      </c>
      <c r="L9" s="197"/>
      <c r="M9" s="196"/>
      <c r="N9" s="61"/>
      <c r="O9" s="472"/>
      <c r="P9" s="472"/>
      <c r="Q9" s="472"/>
      <c r="R9" s="472"/>
      <c r="S9" s="472"/>
      <c r="T9" s="472"/>
      <c r="U9" s="472"/>
      <c r="W9" s="231" t="s">
        <v>518</v>
      </c>
      <c r="X9" s="345">
        <f>Options!W3</f>
        <v>1</v>
      </c>
      <c r="Z9" s="331" t="str">
        <f>O19</f>
        <v/>
      </c>
      <c r="AB9" s="331" t="str">
        <f>P19</f>
        <v/>
      </c>
      <c r="AD9" s="331" t="str">
        <f>Q19</f>
        <v> </v>
      </c>
    </row>
    <row r="10" spans="4:35" ht="24" customHeight="1">
      <c r="D10" s="730"/>
      <c r="E10" s="203"/>
      <c r="F10" s="725" t="str">
        <f ca="1">AG4</f>
        <v>Fasting for Putrada Ekadasi
(from 07:20 till tomorrow after sunrise)</v>
      </c>
      <c r="G10" s="726"/>
      <c r="H10" s="725" t="str">
        <f ca="1">AH4</f>
        <v>Break fast 07:20 - 10:28
Sri Jagadisa Pandita - Appearance</v>
      </c>
      <c r="I10" s="726"/>
      <c r="J10" s="725" t="str">
        <f ca="1">AI4</f>
        <v xml:space="preserve"> </v>
      </c>
      <c r="K10" s="726"/>
      <c r="L10" s="202"/>
      <c r="M10" s="196"/>
      <c r="N10" s="61"/>
      <c r="O10" s="333" t="s">
        <v>674</v>
      </c>
      <c r="P10" s="333" t="s">
        <v>676</v>
      </c>
      <c r="Q10" s="333" t="s">
        <v>678</v>
      </c>
      <c r="W10" s="238"/>
      <c r="X10" s="237"/>
    </row>
    <row r="11" spans="4:35" ht="24" customHeight="1">
      <c r="D11" s="730"/>
      <c r="E11" s="197"/>
      <c r="F11" s="727"/>
      <c r="G11" s="728"/>
      <c r="H11" s="727"/>
      <c r="I11" s="728"/>
      <c r="J11" s="727"/>
      <c r="K11" s="728"/>
      <c r="L11" s="201"/>
      <c r="M11" s="196"/>
      <c r="N11" s="61"/>
      <c r="O11" s="496">
        <f t="shared" ref="O11:S11" si="2">P11-1</f>
        <v>37</v>
      </c>
      <c r="P11" s="497">
        <f t="shared" si="2"/>
        <v>38</v>
      </c>
      <c r="Q11" s="498">
        <f t="shared" si="2"/>
        <v>39</v>
      </c>
      <c r="R11" s="494">
        <f t="shared" si="2"/>
        <v>40</v>
      </c>
      <c r="S11" s="494">
        <f t="shared" si="2"/>
        <v>41</v>
      </c>
      <c r="T11" s="494">
        <f>U11-1</f>
        <v>42</v>
      </c>
      <c r="U11" s="494">
        <f>MATCH(U3,GCalXML[date])</f>
        <v>43</v>
      </c>
      <c r="W11" s="235" t="s">
        <v>524</v>
      </c>
      <c r="X11" s="234">
        <f>DATE(W2,W3,1)</f>
        <v>43831</v>
      </c>
    </row>
    <row r="12" spans="4:35" ht="24" customHeight="1">
      <c r="D12" s="731">
        <f>W2</f>
        <v>2020</v>
      </c>
      <c r="E12" s="200"/>
      <c r="F12" s="727"/>
      <c r="G12" s="728"/>
      <c r="H12" s="727"/>
      <c r="I12" s="728"/>
      <c r="J12" s="727"/>
      <c r="K12" s="728"/>
      <c r="L12" s="197"/>
      <c r="M12" s="196"/>
      <c r="N12" s="472"/>
      <c r="O12" s="499">
        <f t="shared" ref="O12:S12" si="3">P12-1</f>
        <v>44</v>
      </c>
      <c r="P12" s="494">
        <f t="shared" si="3"/>
        <v>45</v>
      </c>
      <c r="Q12" s="500">
        <f t="shared" si="3"/>
        <v>46</v>
      </c>
      <c r="R12" s="494">
        <f t="shared" si="3"/>
        <v>47</v>
      </c>
      <c r="S12" s="494">
        <f t="shared" si="3"/>
        <v>48</v>
      </c>
      <c r="T12" s="494">
        <f>U12-1</f>
        <v>49</v>
      </c>
      <c r="U12" s="494">
        <f>U11+7</f>
        <v>50</v>
      </c>
      <c r="W12" s="218" t="s">
        <v>863</v>
      </c>
      <c r="X12" s="343" t="str">
        <f ca="1">VLOOKUP(W3,W15:X26,2,FALSE)</f>
        <v>JANUARY</v>
      </c>
    </row>
    <row r="13" spans="4:35" ht="24" customHeight="1">
      <c r="D13" s="731"/>
      <c r="E13" s="200"/>
      <c r="F13" s="727"/>
      <c r="G13" s="728"/>
      <c r="H13" s="727"/>
      <c r="I13" s="728"/>
      <c r="J13" s="727"/>
      <c r="K13" s="728"/>
      <c r="L13" s="197"/>
      <c r="M13" s="196"/>
      <c r="N13" s="472"/>
      <c r="O13" s="499">
        <f t="shared" ref="O13:T13" si="4">P13-1</f>
        <v>51</v>
      </c>
      <c r="P13" s="494">
        <f t="shared" si="4"/>
        <v>52</v>
      </c>
      <c r="Q13" s="500">
        <f t="shared" si="4"/>
        <v>53</v>
      </c>
      <c r="R13" s="494">
        <f t="shared" si="4"/>
        <v>54</v>
      </c>
      <c r="S13" s="494">
        <f t="shared" si="4"/>
        <v>55</v>
      </c>
      <c r="T13" s="494">
        <f t="shared" si="4"/>
        <v>56</v>
      </c>
      <c r="U13" s="494">
        <f t="shared" ref="U13:U16" si="5">U12+7</f>
        <v>57</v>
      </c>
      <c r="W13" s="218" t="s">
        <v>862</v>
      </c>
      <c r="X13" s="232">
        <f>WEEKDAY(X11,2)</f>
        <v>3</v>
      </c>
    </row>
    <row r="14" spans="4:35" ht="24" customHeight="1">
      <c r="D14" s="731"/>
      <c r="E14" s="200"/>
      <c r="F14" s="727"/>
      <c r="G14" s="728"/>
      <c r="H14" s="727"/>
      <c r="I14" s="728"/>
      <c r="J14" s="727"/>
      <c r="K14" s="728"/>
      <c r="L14" s="197"/>
      <c r="M14" s="196"/>
      <c r="N14" s="472"/>
      <c r="O14" s="499">
        <f t="shared" ref="O14:T14" si="6">P14-1</f>
        <v>58</v>
      </c>
      <c r="P14" s="494">
        <f t="shared" si="6"/>
        <v>59</v>
      </c>
      <c r="Q14" s="500">
        <f t="shared" si="6"/>
        <v>60</v>
      </c>
      <c r="R14" s="494">
        <f t="shared" si="6"/>
        <v>61</v>
      </c>
      <c r="S14" s="494">
        <f t="shared" si="6"/>
        <v>62</v>
      </c>
      <c r="T14" s="494">
        <f t="shared" si="6"/>
        <v>63</v>
      </c>
      <c r="U14" s="494">
        <f t="shared" si="5"/>
        <v>64</v>
      </c>
      <c r="W14" s="231" t="s">
        <v>861</v>
      </c>
      <c r="X14" s="344">
        <v>2</v>
      </c>
    </row>
    <row r="15" spans="4:35" ht="24" customHeight="1">
      <c r="D15" s="731"/>
      <c r="E15" s="200"/>
      <c r="F15" s="727"/>
      <c r="G15" s="728"/>
      <c r="H15" s="727"/>
      <c r="I15" s="728"/>
      <c r="J15" s="727"/>
      <c r="K15" s="728"/>
      <c r="L15" s="197"/>
      <c r="M15" s="196"/>
      <c r="N15" s="472"/>
      <c r="O15" s="499">
        <f t="shared" ref="O15:T15" si="7">P15-1</f>
        <v>65</v>
      </c>
      <c r="P15" s="494">
        <f t="shared" si="7"/>
        <v>66</v>
      </c>
      <c r="Q15" s="500">
        <f t="shared" si="7"/>
        <v>67</v>
      </c>
      <c r="R15" s="494">
        <f t="shared" si="7"/>
        <v>68</v>
      </c>
      <c r="S15" s="494">
        <f t="shared" si="7"/>
        <v>69</v>
      </c>
      <c r="T15" s="494">
        <f t="shared" si="7"/>
        <v>70</v>
      </c>
      <c r="U15" s="494">
        <f t="shared" si="5"/>
        <v>71</v>
      </c>
      <c r="W15" s="77">
        <v>1</v>
      </c>
      <c r="X15" s="75" t="str">
        <f ca="1">UPPER('GPlan-Translations'!C205)</f>
        <v>JANUARY</v>
      </c>
    </row>
    <row r="16" spans="4:35" ht="24" customHeight="1">
      <c r="D16" s="731"/>
      <c r="E16" s="200"/>
      <c r="F16" s="727"/>
      <c r="G16" s="728"/>
      <c r="H16" s="727"/>
      <c r="I16" s="728"/>
      <c r="J16" s="727"/>
      <c r="K16" s="728"/>
      <c r="L16" s="197"/>
      <c r="M16" s="196"/>
      <c r="N16" s="472"/>
      <c r="O16" s="501">
        <f t="shared" ref="O16:T16" si="8">P16-1</f>
        <v>72</v>
      </c>
      <c r="P16" s="502">
        <f t="shared" si="8"/>
        <v>73</v>
      </c>
      <c r="Q16" s="503">
        <f t="shared" si="8"/>
        <v>74</v>
      </c>
      <c r="R16" s="494">
        <f t="shared" si="8"/>
        <v>75</v>
      </c>
      <c r="S16" s="494">
        <f t="shared" si="8"/>
        <v>76</v>
      </c>
      <c r="T16" s="494">
        <f t="shared" si="8"/>
        <v>77</v>
      </c>
      <c r="U16" s="494">
        <f t="shared" si="5"/>
        <v>78</v>
      </c>
      <c r="W16" s="77">
        <v>2</v>
      </c>
      <c r="X16" s="75" t="str">
        <f ca="1">UPPER('GPlan-Translations'!C206)</f>
        <v>FEBRUARY</v>
      </c>
    </row>
    <row r="17" spans="4:30" ht="24" customHeight="1">
      <c r="D17" s="731"/>
      <c r="E17" s="200"/>
      <c r="F17" s="198"/>
      <c r="G17" s="356">
        <f>O4</f>
        <v>43836</v>
      </c>
      <c r="H17" s="223"/>
      <c r="I17" s="356">
        <f>P4</f>
        <v>43837</v>
      </c>
      <c r="J17" s="198"/>
      <c r="K17" s="356">
        <f>Q4</f>
        <v>43838</v>
      </c>
      <c r="L17" s="197"/>
      <c r="M17" s="196"/>
      <c r="N17" s="472"/>
      <c r="W17" s="77">
        <v>3</v>
      </c>
      <c r="X17" s="75" t="str">
        <f ca="1">UPPER('GPlan-Translations'!C207)</f>
        <v>MARCH</v>
      </c>
      <c r="Z17" s="331" t="str">
        <f>O20</f>
        <v>E</v>
      </c>
      <c r="AB17" s="331" t="str">
        <f>P20</f>
        <v>C</v>
      </c>
      <c r="AD17" s="331" t="str">
        <f>Q20</f>
        <v> </v>
      </c>
    </row>
    <row r="18" spans="4:30" ht="24" customHeight="1">
      <c r="D18" s="212"/>
      <c r="E18" s="203"/>
      <c r="F18" s="725" t="str">
        <f ca="1">AG5</f>
        <v>[suppressed tithi (ksaya) - tritiya tithi from 09:44 yesterday to 07:04 today]</v>
      </c>
      <c r="G18" s="726"/>
      <c r="H18" s="725" t="str">
        <f ca="1">AH5</f>
        <v>Sri Ramacandra Kaviraja - Disappearance
Srila Gopala Bhatta Gosvami - Appearance</v>
      </c>
      <c r="I18" s="726"/>
      <c r="J18" s="725" t="str">
        <f ca="1">AI5</f>
        <v>Ganga Sagara Mela
Sri Jayadeva Gosvami - Disappearance
Makara Sankranti (Sun enters Capricorn on 14 Jan, 15:27)</v>
      </c>
      <c r="K18" s="726"/>
      <c r="L18" s="202"/>
      <c r="M18" s="196"/>
      <c r="O18" s="217" t="s">
        <v>674</v>
      </c>
      <c r="P18" s="216" t="s">
        <v>676</v>
      </c>
      <c r="Q18" s="216" t="s">
        <v>678</v>
      </c>
      <c r="R18" s="215"/>
      <c r="S18" s="215"/>
      <c r="T18" s="214"/>
      <c r="U18" s="213"/>
      <c r="W18" s="77">
        <v>4</v>
      </c>
      <c r="X18" s="75" t="str">
        <f ca="1">UPPER('GPlan-Translations'!C208)</f>
        <v>APRIL</v>
      </c>
    </row>
    <row r="19" spans="4:30" ht="24" customHeight="1">
      <c r="D19" s="212"/>
      <c r="E19" s="197"/>
      <c r="F19" s="727"/>
      <c r="G19" s="728"/>
      <c r="H19" s="727"/>
      <c r="I19" s="728"/>
      <c r="J19" s="727"/>
      <c r="K19" s="728"/>
      <c r="L19" s="201"/>
      <c r="M19" s="196"/>
      <c r="N19" s="61"/>
      <c r="O19" s="211" t="str">
        <f>IFERROR(IF(O3=" ","",INDEX(GCalXML[fasttype],O11)),"")</f>
        <v/>
      </c>
      <c r="P19" s="151" t="str">
        <f>IFERROR(IF(P3=" ","",INDEX(GCalXML[fasttype],P11)),"")</f>
        <v/>
      </c>
      <c r="Q19" s="151" t="str">
        <f>IFERROR(IF(Q3=" ","",INDEX(GCalXML[fasttype],Q11)),"")</f>
        <v> </v>
      </c>
      <c r="R19" s="210"/>
      <c r="S19" s="210"/>
      <c r="T19" s="209"/>
      <c r="U19" s="208"/>
      <c r="W19" s="77">
        <v>5</v>
      </c>
      <c r="X19" s="75" t="str">
        <f ca="1">UPPER('GPlan-Translations'!C209)</f>
        <v>MAY</v>
      </c>
    </row>
    <row r="20" spans="4:30" ht="24" customHeight="1">
      <c r="D20" s="212"/>
      <c r="E20" s="200"/>
      <c r="F20" s="727"/>
      <c r="G20" s="728"/>
      <c r="H20" s="727"/>
      <c r="I20" s="728"/>
      <c r="J20" s="727"/>
      <c r="K20" s="728"/>
      <c r="L20" s="197"/>
      <c r="M20" s="196"/>
      <c r="N20" s="472"/>
      <c r="O20" s="211" t="str">
        <f>IFERROR(IF(O4=" ","",INDEX(GCalXML[fasttype],O12)),"")</f>
        <v>E</v>
      </c>
      <c r="P20" s="151" t="str">
        <f>IFERROR(IF(P4=" ","",INDEX(GCalXML[fasttype],P12)),"")</f>
        <v>C</v>
      </c>
      <c r="Q20" s="151" t="str">
        <f>IFERROR(IF(Q4=" ","",INDEX(GCalXML[fasttype],Q12)),"")</f>
        <v> </v>
      </c>
      <c r="R20" s="210"/>
      <c r="S20" s="210"/>
      <c r="T20" s="209"/>
      <c r="U20" s="208"/>
      <c r="W20" s="77">
        <v>6</v>
      </c>
      <c r="X20" s="75" t="str">
        <f ca="1">UPPER('GPlan-Translations'!C210)</f>
        <v>JUNE</v>
      </c>
    </row>
    <row r="21" spans="4:30" ht="24" customHeight="1">
      <c r="D21" s="212"/>
      <c r="E21" s="200"/>
      <c r="F21" s="727"/>
      <c r="G21" s="728"/>
      <c r="H21" s="727"/>
      <c r="I21" s="728"/>
      <c r="J21" s="727"/>
      <c r="K21" s="728"/>
      <c r="L21" s="197"/>
      <c r="M21" s="196"/>
      <c r="N21" s="472"/>
      <c r="O21" s="211" t="str">
        <f>IFERROR(IF(O5=" ","",INDEX(GCalXML[fasttype],O13)),"")</f>
        <v> </v>
      </c>
      <c r="P21" s="151" t="str">
        <f>IFERROR(IF(P5=" ","",INDEX(GCalXML[fasttype],P13)),"")</f>
        <v>C</v>
      </c>
      <c r="Q21" s="151" t="str">
        <f>IFERROR(IF(Q5=" ","",INDEX(GCalXML[fasttype],Q13)),"")</f>
        <v>C</v>
      </c>
      <c r="R21" s="210"/>
      <c r="S21" s="210"/>
      <c r="T21" s="209"/>
      <c r="U21" s="208"/>
      <c r="W21" s="77">
        <v>7</v>
      </c>
      <c r="X21" s="75" t="str">
        <f ca="1">UPPER('GPlan-Translations'!C211)</f>
        <v>JULY</v>
      </c>
    </row>
    <row r="22" spans="4:30" ht="24" customHeight="1">
      <c r="D22" s="212"/>
      <c r="E22" s="200"/>
      <c r="F22" s="727"/>
      <c r="G22" s="728"/>
      <c r="H22" s="727"/>
      <c r="I22" s="728"/>
      <c r="J22" s="727"/>
      <c r="K22" s="728"/>
      <c r="L22" s="197"/>
      <c r="M22" s="196"/>
      <c r="N22" s="472"/>
      <c r="O22" s="211" t="str">
        <f>IFERROR(IF(O6=" ","",INDEX(GCalXML[fasttype],O14)),"")</f>
        <v>E</v>
      </c>
      <c r="P22" s="151" t="str">
        <f>IFERROR(IF(P6=" ","",INDEX(GCalXML[fasttype],P14)),"")</f>
        <v>C</v>
      </c>
      <c r="Q22" s="151" t="str">
        <f>IFERROR(IF(Q6=" ","",INDEX(GCalXML[fasttype],Q14)),"")</f>
        <v> </v>
      </c>
      <c r="R22" s="210"/>
      <c r="S22" s="210"/>
      <c r="T22" s="209"/>
      <c r="U22" s="208"/>
      <c r="W22" s="77">
        <v>8</v>
      </c>
      <c r="X22" s="75" t="str">
        <f ca="1">UPPER('GPlan-Translations'!C212)</f>
        <v>AUGUST</v>
      </c>
    </row>
    <row r="23" spans="4:30" ht="24" customHeight="1">
      <c r="D23" s="212"/>
      <c r="E23" s="200"/>
      <c r="F23" s="727"/>
      <c r="G23" s="728"/>
      <c r="H23" s="727"/>
      <c r="I23" s="728"/>
      <c r="J23" s="727"/>
      <c r="K23" s="728"/>
      <c r="L23" s="197"/>
      <c r="M23" s="196"/>
      <c r="N23" s="472"/>
      <c r="O23" s="211" t="str">
        <f>IFERROR(IF(O7=" ","",INDEX(GCalXML[fasttype],O15)),"")</f>
        <v> </v>
      </c>
      <c r="P23" s="151" t="str">
        <f>IFERROR(IF(P7=" ","",INDEX(GCalXML[fasttype],P15)),"")</f>
        <v> </v>
      </c>
      <c r="Q23" s="151" t="str">
        <f>IFERROR(IF(Q7=" ","",INDEX(GCalXML[fasttype],Q15)),"")</f>
        <v>C</v>
      </c>
      <c r="R23" s="210"/>
      <c r="S23" s="210"/>
      <c r="T23" s="209"/>
      <c r="U23" s="208"/>
      <c r="W23" s="77">
        <v>9</v>
      </c>
      <c r="X23" s="75" t="str">
        <f ca="1">UPPER('GPlan-Translations'!C213)</f>
        <v>SEPTEMBER</v>
      </c>
    </row>
    <row r="24" spans="4:30" ht="24" customHeight="1">
      <c r="D24" s="212"/>
      <c r="E24" s="200"/>
      <c r="F24" s="727"/>
      <c r="G24" s="728"/>
      <c r="H24" s="727"/>
      <c r="I24" s="728"/>
      <c r="J24" s="727"/>
      <c r="K24" s="728"/>
      <c r="L24" s="197"/>
      <c r="M24" s="196"/>
      <c r="N24" s="472"/>
      <c r="O24" s="207" t="str">
        <f>IFERROR(IF(O8=" ","",INDEX(GCalXML[fasttype],O16)),"")</f>
        <v/>
      </c>
      <c r="P24" s="165" t="str">
        <f>IFERROR(IF(P8=" ","",INDEX(GCalXML[fasttype],P16)),"")</f>
        <v/>
      </c>
      <c r="Q24" s="165" t="str">
        <f>IFERROR(IF(Q8=" ","",INDEX(GCalXML[fasttype],Q16)),"")</f>
        <v/>
      </c>
      <c r="R24" s="206"/>
      <c r="S24" s="206"/>
      <c r="T24" s="205"/>
      <c r="U24" s="204"/>
      <c r="W24" s="218">
        <v>10</v>
      </c>
      <c r="X24" s="75" t="str">
        <f ca="1">UPPER('GPlan-Translations'!C214)</f>
        <v>OCTOBER</v>
      </c>
    </row>
    <row r="25" spans="4:30" ht="24" customHeight="1">
      <c r="D25" s="212"/>
      <c r="E25" s="200"/>
      <c r="F25" s="198"/>
      <c r="G25" s="356">
        <f>O5</f>
        <v>43843</v>
      </c>
      <c r="H25" s="198"/>
      <c r="I25" s="356">
        <f>P5</f>
        <v>43844</v>
      </c>
      <c r="J25" s="198"/>
      <c r="K25" s="356">
        <f>Q5</f>
        <v>43845</v>
      </c>
      <c r="L25" s="197"/>
      <c r="M25" s="196"/>
      <c r="N25" s="472"/>
      <c r="W25" s="77">
        <v>11</v>
      </c>
      <c r="X25" s="75" t="str">
        <f ca="1">UPPER('GPlan-Translations'!C215)</f>
        <v>NOVEMBER</v>
      </c>
      <c r="Z25" s="331" t="str">
        <f>O21</f>
        <v> </v>
      </c>
      <c r="AB25" s="331" t="str">
        <f>P21</f>
        <v>C</v>
      </c>
      <c r="AD25" s="331" t="str">
        <f>Q21</f>
        <v>C</v>
      </c>
    </row>
    <row r="26" spans="4:30" ht="24" customHeight="1">
      <c r="D26" s="729" t="str">
        <f ca="1">'GPlan-Translations'!C271</f>
        <v>MONTHLY PLANNING</v>
      </c>
      <c r="E26" s="203"/>
      <c r="F26" s="725" t="str">
        <f ca="1">AG6</f>
        <v>Fasting for Sat-tila Ekadasi
(from 07:15 till tomorrow after sunrise)</v>
      </c>
      <c r="G26" s="726"/>
      <c r="H26" s="725" t="str">
        <f ca="1">AH6</f>
        <v>Break fast 07:15 - 10:29</v>
      </c>
      <c r="I26" s="726"/>
      <c r="J26" s="725" t="str">
        <f ca="1">AI6</f>
        <v xml:space="preserve"> </v>
      </c>
      <c r="K26" s="726"/>
      <c r="L26" s="202"/>
      <c r="M26" s="196"/>
      <c r="W26" s="89">
        <v>12</v>
      </c>
      <c r="X26" s="76" t="str">
        <f ca="1">UPPER('GPlan-Translations'!C216)</f>
        <v>DECEMBER</v>
      </c>
    </row>
    <row r="27" spans="4:30" ht="24" customHeight="1">
      <c r="D27" s="729"/>
      <c r="E27" s="197"/>
      <c r="F27" s="727"/>
      <c r="G27" s="728"/>
      <c r="H27" s="727"/>
      <c r="I27" s="728"/>
      <c r="J27" s="727"/>
      <c r="K27" s="728"/>
      <c r="L27" s="201"/>
      <c r="M27" s="196"/>
    </row>
    <row r="28" spans="4:30" ht="24" customHeight="1">
      <c r="D28" s="729"/>
      <c r="E28" s="200"/>
      <c r="F28" s="727"/>
      <c r="G28" s="728"/>
      <c r="H28" s="727"/>
      <c r="I28" s="728"/>
      <c r="J28" s="727"/>
      <c r="K28" s="728"/>
      <c r="L28" s="197"/>
      <c r="M28" s="196"/>
    </row>
    <row r="29" spans="4:30" ht="24" customHeight="1">
      <c r="D29" s="729"/>
      <c r="E29" s="200"/>
      <c r="F29" s="727"/>
      <c r="G29" s="728"/>
      <c r="H29" s="727"/>
      <c r="I29" s="728"/>
      <c r="J29" s="727"/>
      <c r="K29" s="728"/>
      <c r="L29" s="197"/>
      <c r="M29" s="196"/>
      <c r="N29" s="61"/>
    </row>
    <row r="30" spans="4:30" ht="24" customHeight="1">
      <c r="D30" s="729"/>
      <c r="E30" s="200"/>
      <c r="F30" s="727"/>
      <c r="G30" s="728"/>
      <c r="H30" s="727"/>
      <c r="I30" s="728"/>
      <c r="J30" s="727"/>
      <c r="K30" s="728"/>
      <c r="L30" s="197"/>
      <c r="M30" s="196"/>
      <c r="N30" s="61"/>
    </row>
    <row r="31" spans="4:30" ht="24" customHeight="1">
      <c r="D31" s="729"/>
      <c r="E31" s="200"/>
      <c r="F31" s="727"/>
      <c r="G31" s="728"/>
      <c r="H31" s="727"/>
      <c r="I31" s="728"/>
      <c r="J31" s="727"/>
      <c r="K31" s="728"/>
      <c r="L31" s="197"/>
      <c r="M31" s="196"/>
      <c r="N31" s="61"/>
    </row>
    <row r="32" spans="4:30" ht="24" customHeight="1">
      <c r="D32" s="729"/>
      <c r="E32" s="200"/>
      <c r="F32" s="727"/>
      <c r="G32" s="728"/>
      <c r="H32" s="727"/>
      <c r="I32" s="728"/>
      <c r="J32" s="727"/>
      <c r="K32" s="728"/>
      <c r="L32" s="197"/>
      <c r="M32" s="196"/>
      <c r="N32" s="61"/>
    </row>
    <row r="33" spans="4:30" ht="24" customHeight="1">
      <c r="D33" s="729"/>
      <c r="E33" s="200"/>
      <c r="F33" s="198"/>
      <c r="G33" s="356">
        <f>O6</f>
        <v>43850</v>
      </c>
      <c r="H33" s="198"/>
      <c r="I33" s="356">
        <f>P6</f>
        <v>43851</v>
      </c>
      <c r="J33" s="198"/>
      <c r="K33" s="356">
        <f>Q6</f>
        <v>43852</v>
      </c>
      <c r="L33" s="197"/>
      <c r="M33" s="196"/>
      <c r="N33" s="61"/>
      <c r="Z33" s="331" t="str">
        <f>O22</f>
        <v>E</v>
      </c>
      <c r="AB33" s="331" t="str">
        <f>P22</f>
        <v>C</v>
      </c>
      <c r="AD33" s="331" t="str">
        <f>Q22</f>
        <v> </v>
      </c>
    </row>
    <row r="34" spans="4:30" ht="24" customHeight="1">
      <c r="D34" s="729"/>
      <c r="E34" s="203"/>
      <c r="F34" s="725" t="str">
        <f ca="1">AG7</f>
        <v xml:space="preserve"> </v>
      </c>
      <c r="G34" s="726"/>
      <c r="H34" s="725" t="str">
        <f ca="1">AH7</f>
        <v xml:space="preserve"> </v>
      </c>
      <c r="I34" s="726"/>
      <c r="J34" s="725" t="str">
        <f ca="1">AI7</f>
        <v>Vasanta Pancami
Srimati Visnupriya Devi - Appearance
Srila Visvanatha Cakravarti Thakura - Disappearance
Sri Pundarika Vidyanidhi - Appearance
Sri Raghunandana Thakura - Appearance
Srila Raghunatha Dasa Gosvami - Appearance
Sarasvati Puja</v>
      </c>
      <c r="K34" s="726"/>
      <c r="L34" s="202"/>
      <c r="M34" s="196"/>
      <c r="N34" s="61"/>
    </row>
    <row r="35" spans="4:30" ht="24" customHeight="1">
      <c r="D35" s="729"/>
      <c r="E35" s="197"/>
      <c r="F35" s="727"/>
      <c r="G35" s="728"/>
      <c r="H35" s="727"/>
      <c r="I35" s="728"/>
      <c r="J35" s="727"/>
      <c r="K35" s="728"/>
      <c r="L35" s="201"/>
      <c r="M35" s="196"/>
      <c r="N35" s="61"/>
    </row>
    <row r="36" spans="4:30" ht="24" customHeight="1">
      <c r="D36" s="729"/>
      <c r="E36" s="200"/>
      <c r="F36" s="727"/>
      <c r="G36" s="728"/>
      <c r="H36" s="727"/>
      <c r="I36" s="728"/>
      <c r="J36" s="727"/>
      <c r="K36" s="728"/>
      <c r="L36" s="197"/>
      <c r="M36" s="196"/>
      <c r="N36" s="61"/>
    </row>
    <row r="37" spans="4:30" ht="24" customHeight="1">
      <c r="D37" s="729"/>
      <c r="E37" s="200"/>
      <c r="F37" s="727"/>
      <c r="G37" s="728"/>
      <c r="H37" s="727"/>
      <c r="I37" s="728"/>
      <c r="J37" s="727"/>
      <c r="K37" s="728"/>
      <c r="L37" s="197"/>
      <c r="M37" s="196"/>
      <c r="N37" s="61"/>
    </row>
    <row r="38" spans="4:30" ht="24" customHeight="1">
      <c r="D38" s="729"/>
      <c r="E38" s="200"/>
      <c r="F38" s="727"/>
      <c r="G38" s="728"/>
      <c r="H38" s="727"/>
      <c r="I38" s="728"/>
      <c r="J38" s="727"/>
      <c r="K38" s="728"/>
      <c r="L38" s="197"/>
      <c r="M38" s="196"/>
      <c r="N38" s="61"/>
      <c r="U38" s="169"/>
    </row>
    <row r="39" spans="4:30" ht="24" customHeight="1">
      <c r="D39" s="729"/>
      <c r="E39" s="200"/>
      <c r="F39" s="727"/>
      <c r="G39" s="728"/>
      <c r="H39" s="727"/>
      <c r="I39" s="728"/>
      <c r="J39" s="727"/>
      <c r="K39" s="728"/>
      <c r="L39" s="197"/>
      <c r="M39" s="196"/>
      <c r="N39" s="61"/>
      <c r="U39" s="169"/>
    </row>
    <row r="40" spans="4:30" ht="24" customHeight="1">
      <c r="D40" s="729"/>
      <c r="E40" s="200"/>
      <c r="F40" s="727"/>
      <c r="G40" s="728"/>
      <c r="H40" s="727"/>
      <c r="I40" s="728"/>
      <c r="J40" s="727"/>
      <c r="K40" s="728"/>
      <c r="L40" s="197"/>
      <c r="M40" s="196"/>
      <c r="N40" s="61"/>
      <c r="U40" s="169"/>
    </row>
    <row r="41" spans="4:30" ht="24" customHeight="1">
      <c r="D41" s="729"/>
      <c r="E41" s="200"/>
      <c r="F41" s="198"/>
      <c r="G41" s="356">
        <f>O7</f>
        <v>43857</v>
      </c>
      <c r="H41" s="198"/>
      <c r="I41" s="356">
        <f>P7</f>
        <v>43858</v>
      </c>
      <c r="J41" s="198"/>
      <c r="K41" s="356">
        <f>Q7</f>
        <v>43859</v>
      </c>
      <c r="L41" s="197"/>
      <c r="M41" s="196"/>
      <c r="N41" s="61"/>
      <c r="U41" s="169"/>
      <c r="Z41" s="331" t="str">
        <f>O23</f>
        <v> </v>
      </c>
      <c r="AB41" s="331" t="str">
        <f>P23</f>
        <v> </v>
      </c>
      <c r="AD41" s="331" t="str">
        <f>Q23</f>
        <v>C</v>
      </c>
    </row>
    <row r="42" spans="4:30" ht="24" customHeight="1">
      <c r="D42" s="729"/>
      <c r="E42" s="203"/>
      <c r="F42" s="725" t="str">
        <f ca="1">AG8</f>
        <v xml:space="preserve"> </v>
      </c>
      <c r="G42" s="726"/>
      <c r="H42" s="725" t="str">
        <f ca="1">AH8</f>
        <v xml:space="preserve"> </v>
      </c>
      <c r="I42" s="726"/>
      <c r="J42" s="725" t="str">
        <f ca="1">AI8</f>
        <v xml:space="preserve"> </v>
      </c>
      <c r="K42" s="726"/>
      <c r="L42" s="202"/>
      <c r="M42" s="196"/>
      <c r="N42" s="61"/>
      <c r="U42" s="169"/>
    </row>
    <row r="43" spans="4:30" ht="24" customHeight="1">
      <c r="D43" s="729"/>
      <c r="E43" s="197"/>
      <c r="F43" s="727"/>
      <c r="G43" s="728"/>
      <c r="H43" s="727"/>
      <c r="I43" s="728"/>
      <c r="J43" s="727"/>
      <c r="K43" s="728"/>
      <c r="L43" s="201"/>
      <c r="M43" s="196"/>
      <c r="N43" s="61"/>
      <c r="U43" s="169"/>
    </row>
    <row r="44" spans="4:30" ht="24" customHeight="1">
      <c r="D44" s="729"/>
      <c r="E44" s="200"/>
      <c r="F44" s="727"/>
      <c r="G44" s="728"/>
      <c r="H44" s="727"/>
      <c r="I44" s="728"/>
      <c r="J44" s="727"/>
      <c r="K44" s="728"/>
      <c r="L44" s="197"/>
      <c r="M44" s="196"/>
      <c r="U44" s="169"/>
    </row>
    <row r="45" spans="4:30" ht="24" customHeight="1">
      <c r="D45" s="729"/>
      <c r="E45" s="200"/>
      <c r="F45" s="727"/>
      <c r="G45" s="728"/>
      <c r="H45" s="727"/>
      <c r="I45" s="728"/>
      <c r="J45" s="727"/>
      <c r="K45" s="728"/>
      <c r="L45" s="197"/>
      <c r="M45" s="196"/>
      <c r="U45" s="169"/>
    </row>
    <row r="46" spans="4:30" ht="24" customHeight="1">
      <c r="D46" s="729"/>
      <c r="E46" s="200"/>
      <c r="F46" s="727"/>
      <c r="G46" s="728"/>
      <c r="H46" s="727"/>
      <c r="I46" s="728"/>
      <c r="J46" s="727"/>
      <c r="K46" s="728"/>
      <c r="L46" s="197"/>
      <c r="M46" s="196"/>
      <c r="U46" s="169"/>
    </row>
    <row r="47" spans="4:30" ht="24" customHeight="1">
      <c r="D47" s="729"/>
      <c r="E47" s="200"/>
      <c r="F47" s="727"/>
      <c r="G47" s="728"/>
      <c r="H47" s="727"/>
      <c r="I47" s="728"/>
      <c r="J47" s="727"/>
      <c r="K47" s="728"/>
      <c r="L47" s="197"/>
      <c r="M47" s="196"/>
      <c r="U47" s="169"/>
    </row>
    <row r="48" spans="4:30" ht="24" customHeight="1">
      <c r="D48" s="729"/>
      <c r="E48" s="200"/>
      <c r="F48" s="727"/>
      <c r="G48" s="728"/>
      <c r="H48" s="727"/>
      <c r="I48" s="728"/>
      <c r="J48" s="727"/>
      <c r="K48" s="728"/>
      <c r="L48" s="197"/>
      <c r="M48" s="196"/>
      <c r="U48" s="169"/>
    </row>
    <row r="49" spans="4:30" ht="24" customHeight="1">
      <c r="D49" s="729"/>
      <c r="E49" s="199"/>
      <c r="F49" s="198"/>
      <c r="G49" s="356" t="str">
        <f>O8</f>
        <v xml:space="preserve"> </v>
      </c>
      <c r="H49" s="198"/>
      <c r="I49" s="356" t="str">
        <f>P8</f>
        <v xml:space="preserve"> </v>
      </c>
      <c r="J49" s="198"/>
      <c r="K49" s="356" t="str">
        <f>Q8</f>
        <v xml:space="preserve"> </v>
      </c>
      <c r="L49" s="197"/>
      <c r="M49" s="196"/>
      <c r="U49" s="169"/>
      <c r="Z49" s="331" t="str">
        <f>O24</f>
        <v/>
      </c>
      <c r="AB49" s="331" t="str">
        <f>P24</f>
        <v/>
      </c>
      <c r="AD49" s="331" t="str">
        <f>Q24</f>
        <v/>
      </c>
    </row>
    <row r="50" spans="4:30" ht="12.75"/>
  </sheetData>
  <mergeCells count="21">
    <mergeCell ref="D26:D49"/>
    <mergeCell ref="D1:D11"/>
    <mergeCell ref="D12:D17"/>
    <mergeCell ref="F42:G48"/>
    <mergeCell ref="H42:I48"/>
    <mergeCell ref="F18:G24"/>
    <mergeCell ref="H18:I24"/>
    <mergeCell ref="J42:K48"/>
    <mergeCell ref="F34:G40"/>
    <mergeCell ref="H34:I40"/>
    <mergeCell ref="J34:K40"/>
    <mergeCell ref="F26:G32"/>
    <mergeCell ref="H26:I32"/>
    <mergeCell ref="J26:K32"/>
    <mergeCell ref="J18:K24"/>
    <mergeCell ref="F10:G16"/>
    <mergeCell ref="F2:G8"/>
    <mergeCell ref="H2:I8"/>
    <mergeCell ref="J2:K8"/>
    <mergeCell ref="J10:K16"/>
    <mergeCell ref="H10:I16"/>
  </mergeCells>
  <conditionalFormatting sqref="G9 I9 K9 G17 I17 K17 G25 I25 K25 G33 I33 K33 G41 I41 K41 G49 I49 K49">
    <cfRule type="expression" dxfId="80" priority="1" stopIfTrue="1">
      <formula>Z9="S"</formula>
    </cfRule>
    <cfRule type="expression" dxfId="79" priority="2" stopIfTrue="1">
      <formula>Z9="H"</formula>
    </cfRule>
    <cfRule type="expression" dxfId="78" priority="3" stopIfTrue="1">
      <formula>Z9="P"</formula>
    </cfRule>
    <cfRule type="expression" dxfId="77" priority="4" stopIfTrue="1">
      <formula>Z9="K"</formula>
    </cfRule>
    <cfRule type="expression" dxfId="76" priority="5" stopIfTrue="1">
      <formula>Z9="F"</formula>
    </cfRule>
    <cfRule type="expression" dxfId="75" priority="6" stopIfTrue="1">
      <formula>Z9="E"</formula>
    </cfRule>
    <cfRule type="expression" dxfId="74" priority="7" stopIfTrue="1">
      <formula>Z9="C"</formula>
    </cfRule>
  </conditionalFormatting>
  <printOptions horizontalCentered="1" verticalCentered="1"/>
  <pageMargins left="0.19685039370078741" right="0.19685039370078741" top="0.19685039370078741" bottom="0.19685039370078741" header="0.11811023622047245" footer="0.11811023622047245"/>
  <pageSetup paperSize="9" scale="72" fitToWidth="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MonthSelect2">
              <controlPr defaultSize="0" print="0" autoPict="0">
                <anchor moveWithCells="1">
                  <from>
                    <xdr:col>11</xdr:col>
                    <xdr:colOff>95250</xdr:colOff>
                    <xdr:row>0</xdr:row>
                    <xdr:rowOff>76200</xdr:rowOff>
                  </from>
                  <to>
                    <xdr:col>11</xdr:col>
                    <xdr:colOff>619125</xdr:colOff>
                    <xdr:row>2</xdr:row>
                    <xdr:rowOff>123825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MonthlyRight">
    <pageSetUpPr fitToPage="1"/>
  </sheetPr>
  <dimension ref="C1:AL50"/>
  <sheetViews>
    <sheetView showGridLines="0" zoomScaleNormal="100" zoomScaleSheetLayoutView="73" workbookViewId="0"/>
  </sheetViews>
  <sheetFormatPr defaultColWidth="9.140625" defaultRowHeight="0" customHeight="1" zeroHeight="1"/>
  <cols>
    <col min="1" max="2" width="2.85546875" style="16" customWidth="1"/>
    <col min="3" max="3" width="5" style="16" customWidth="1"/>
    <col min="4" max="4" width="24" style="16" customWidth="1"/>
    <col min="5" max="5" width="4.5703125" style="16" customWidth="1"/>
    <col min="6" max="6" width="24" style="16" customWidth="1"/>
    <col min="7" max="7" width="4.5703125" style="16" customWidth="1"/>
    <col min="8" max="8" width="24" style="16" customWidth="1"/>
    <col min="9" max="9" width="4.5703125" style="16" customWidth="1"/>
    <col min="10" max="10" width="24" style="16" customWidth="1"/>
    <col min="11" max="11" width="4.5703125" style="16" customWidth="1"/>
    <col min="12" max="12" width="9.85546875" style="16" customWidth="1"/>
    <col min="13" max="13" width="1.85546875" style="16" customWidth="1"/>
    <col min="14" max="14" width="4.28515625" style="16" customWidth="1"/>
    <col min="15" max="15" width="3.7109375" style="16" customWidth="1"/>
    <col min="16" max="16" width="3.5703125" style="16" customWidth="1"/>
    <col min="17" max="22" width="3.7109375" style="16" customWidth="1"/>
    <col min="23" max="23" width="13" style="16" customWidth="1"/>
    <col min="24" max="24" width="11.85546875" style="16" customWidth="1"/>
    <col min="25" max="25" width="2.85546875" style="16" customWidth="1"/>
    <col min="26" max="26" width="4.28515625" style="16" customWidth="1"/>
    <col min="27" max="27" width="9.140625" style="16" customWidth="1"/>
    <col min="28" max="28" width="4.28515625" style="16" customWidth="1"/>
    <col min="29" max="29" width="9.140625" style="16" customWidth="1"/>
    <col min="30" max="30" width="4.28515625" style="16" customWidth="1"/>
    <col min="31" max="31" width="9.140625" style="16" customWidth="1"/>
    <col min="32" max="32" width="4.28515625" style="16" customWidth="1"/>
    <col min="33" max="33" width="2.85546875" style="16" customWidth="1"/>
    <col min="34" max="16384" width="9.140625" style="16"/>
  </cols>
  <sheetData>
    <row r="1" spans="3:38" ht="18" customHeight="1">
      <c r="C1" s="254"/>
      <c r="D1" s="244" t="str">
        <f ca="1">UPPER('GPlan-Translations'!C173)</f>
        <v>TURSDAY</v>
      </c>
      <c r="E1" s="253"/>
      <c r="F1" s="244" t="str">
        <f ca="1">UPPER('GPlan-Translations'!C174)</f>
        <v>FRIDAY</v>
      </c>
      <c r="G1" s="243"/>
      <c r="H1" s="244" t="str">
        <f ca="1">UPPER('GPlan-Translations'!C175)</f>
        <v>SATURDAY</v>
      </c>
      <c r="I1" s="243"/>
      <c r="J1" s="244" t="str">
        <f ca="1">UPPER('GPlan-Translations'!C169)</f>
        <v>SUNDAY</v>
      </c>
      <c r="K1" s="243"/>
      <c r="L1" s="741" t="str">
        <f ca="1">monthName</f>
        <v>JANUARY</v>
      </c>
      <c r="M1" s="241"/>
      <c r="N1" s="181"/>
      <c r="O1" s="230">
        <f>P1-1</f>
        <v>43829</v>
      </c>
      <c r="P1" s="230">
        <f>Q1-1</f>
        <v>43830</v>
      </c>
      <c r="Q1" s="230">
        <f>R1-1</f>
        <v>43831</v>
      </c>
      <c r="R1" s="230">
        <f>S1-1</f>
        <v>43832</v>
      </c>
      <c r="S1" s="230">
        <f>T1-1</f>
        <v>43833</v>
      </c>
      <c r="T1" s="230">
        <f>U3-1</f>
        <v>43834</v>
      </c>
      <c r="V1" s="181"/>
      <c r="W1" s="181"/>
      <c r="X1" s="181"/>
    </row>
    <row r="2" spans="3:38" ht="24" customHeight="1">
      <c r="C2" s="248"/>
      <c r="D2" s="725" t="str">
        <f ca="1">AI3</f>
        <v xml:space="preserve"> </v>
      </c>
      <c r="E2" s="726"/>
      <c r="F2" s="725" t="str">
        <f ca="1">AJ3</f>
        <v xml:space="preserve"> </v>
      </c>
      <c r="G2" s="726"/>
      <c r="H2" s="725" t="str">
        <f ca="1">AK3</f>
        <v xml:space="preserve"> </v>
      </c>
      <c r="I2" s="733"/>
      <c r="J2" s="725" t="str">
        <f ca="1">AL3</f>
        <v xml:space="preserve"> </v>
      </c>
      <c r="K2" s="733"/>
      <c r="L2" s="741"/>
      <c r="M2" s="196"/>
      <c r="N2" s="61"/>
      <c r="O2" s="217" t="s">
        <v>674</v>
      </c>
      <c r="P2" s="216" t="s">
        <v>676</v>
      </c>
      <c r="Q2" s="216" t="s">
        <v>678</v>
      </c>
      <c r="R2" s="216" t="s">
        <v>678</v>
      </c>
      <c r="S2" s="216" t="s">
        <v>674</v>
      </c>
      <c r="T2" s="229" t="s">
        <v>674</v>
      </c>
      <c r="U2" s="228" t="s">
        <v>672</v>
      </c>
      <c r="W2" s="233">
        <f>IF(X9=0,X8-1,X8)</f>
        <v>2020</v>
      </c>
      <c r="X2" s="346" t="s">
        <v>186</v>
      </c>
    </row>
    <row r="3" spans="3:38" ht="24" customHeight="1">
      <c r="C3" s="247"/>
      <c r="D3" s="727"/>
      <c r="E3" s="728"/>
      <c r="F3" s="727"/>
      <c r="G3" s="728"/>
      <c r="H3" s="734"/>
      <c r="I3" s="735"/>
      <c r="J3" s="734"/>
      <c r="K3" s="735"/>
      <c r="L3" s="741"/>
      <c r="M3" s="196"/>
      <c r="O3" s="227" t="str">
        <f>IF(W6=1,W5," ")</f>
        <v xml:space="preserve"> </v>
      </c>
      <c r="P3" s="226" t="str">
        <f>IF(W6=2,W5,IF(O3=" "," ",O3+1))</f>
        <v xml:space="preserve"> </v>
      </c>
      <c r="Q3" s="226">
        <f>IF(W6=3,W5,IF(P3=" "," ",P3+1))</f>
        <v>43831</v>
      </c>
      <c r="R3" s="226">
        <f>IF(W6=4,W5,IF(Q3=" "," ",Q3+1))</f>
        <v>43832</v>
      </c>
      <c r="S3" s="226">
        <f>IF(W6=5,W5,IF(R3=" "," ",R3+1))</f>
        <v>43833</v>
      </c>
      <c r="T3" s="225">
        <f>IF(W6=6,W5,IF(S3=" "," ",S3+1))</f>
        <v>43834</v>
      </c>
      <c r="U3" s="224">
        <f>IF(W6=7,W5,IF(T3=" "," ",T3+1))</f>
        <v>43835</v>
      </c>
      <c r="W3" s="233">
        <f>IF(X9=0,12,X9)</f>
        <v>1</v>
      </c>
      <c r="X3" s="346" t="s">
        <v>867</v>
      </c>
      <c r="AI3" s="495" t="str">
        <f ca="1">IF(R3=" "," ",Concat3(OFFSET(GCalXML[[#Headers],[festival1]:[festival12]],R11,0),CHAR(10),"[]"))</f>
        <v xml:space="preserve"> </v>
      </c>
      <c r="AJ3" s="495" t="str">
        <f ca="1">IF(S3=" "," ",Concat3(OFFSET(GCalXML[[#Headers],[festival1]:[festival12]],S11,0),CHAR(10),"[]"))</f>
        <v xml:space="preserve"> </v>
      </c>
      <c r="AK3" s="495" t="str">
        <f ca="1">IF(T3=" "," ",Concat3(OFFSET(GCalXML[[#Headers],[festival1]:[festival12]],T11,0),CHAR(10),"[]"))</f>
        <v xml:space="preserve"> </v>
      </c>
      <c r="AL3" s="495" t="str">
        <f ca="1">IF(U3=" "," ",Concat3(OFFSET(GCalXML[[#Headers],[festival1]:[festival12]],U11,0),CHAR(10),"[]"))</f>
        <v xml:space="preserve"> </v>
      </c>
    </row>
    <row r="4" spans="3:38" ht="24" customHeight="1">
      <c r="C4" s="246"/>
      <c r="D4" s="727"/>
      <c r="E4" s="728"/>
      <c r="F4" s="727"/>
      <c r="G4" s="728"/>
      <c r="H4" s="734"/>
      <c r="I4" s="735"/>
      <c r="J4" s="734"/>
      <c r="K4" s="735"/>
      <c r="L4" s="741"/>
      <c r="M4" s="196"/>
      <c r="N4" s="61"/>
      <c r="O4" s="145">
        <f>U3+1</f>
        <v>43836</v>
      </c>
      <c r="P4" s="146">
        <f t="shared" ref="P4:U6" si="0">O4+1</f>
        <v>43837</v>
      </c>
      <c r="Q4" s="146">
        <f t="shared" si="0"/>
        <v>43838</v>
      </c>
      <c r="R4" s="146">
        <f t="shared" si="0"/>
        <v>43839</v>
      </c>
      <c r="S4" s="146">
        <f t="shared" si="0"/>
        <v>43840</v>
      </c>
      <c r="T4" s="222">
        <f t="shared" si="0"/>
        <v>43841</v>
      </c>
      <c r="U4" s="221">
        <f t="shared" si="0"/>
        <v>43842</v>
      </c>
      <c r="W4" s="233">
        <f>IF(W3=2,IF(ISERR(DATEVALUE(CONCATENATE("29","/",W3,"/",W2))),28,29),IF(ISERR(DATEVALUE(CONCATENATE("31","/",W3,"/",W2))),30,31))</f>
        <v>31</v>
      </c>
      <c r="X4" s="346" t="s">
        <v>866</v>
      </c>
      <c r="AI4" s="495" t="str">
        <f ca="1">IF(R4=" "," ",Concat3(OFFSET(GCalXML[[#Headers],[festival1]:[festival12]],R12,0),CHAR(10),"[]"))</f>
        <v xml:space="preserve"> </v>
      </c>
      <c r="AJ4" s="495" t="str">
        <f ca="1">IF(S4=" "," ",Concat3(OFFSET(GCalXML[[#Headers],[festival1]:[festival12]],S12,0),CHAR(10),"[]"))</f>
        <v>Sri Krsna Pusya Abhiseka
End of Narayaṇa (Pausha) masa</v>
      </c>
      <c r="AK4" s="495" t="str">
        <f ca="1">IF(T4=" "," ",Concat3(OFFSET(GCalXML[[#Headers],[festival1]:[festival12]],T12,0),CHAR(10),"[]"))</f>
        <v>Start of Madhava (Magha) masa
Shishira Ritu - indian subcontinent Winter season [Madhava (Magha) and Govinda (Phalguna) months]</v>
      </c>
      <c r="AL4" s="495" t="str">
        <f ca="1">IF(U4=" "," ",Concat3(OFFSET(GCalXML[[#Headers],[festival1]:[festival12]],U12,0),CHAR(10),"[]"))</f>
        <v xml:space="preserve"> </v>
      </c>
    </row>
    <row r="5" spans="3:38" ht="24" customHeight="1">
      <c r="C5" s="246"/>
      <c r="D5" s="727"/>
      <c r="E5" s="728"/>
      <c r="F5" s="727"/>
      <c r="G5" s="728"/>
      <c r="H5" s="734"/>
      <c r="I5" s="735"/>
      <c r="J5" s="734"/>
      <c r="K5" s="735"/>
      <c r="L5" s="741"/>
      <c r="M5" s="196"/>
      <c r="N5" s="61"/>
      <c r="O5" s="145">
        <f>U4+1</f>
        <v>43843</v>
      </c>
      <c r="P5" s="146">
        <f t="shared" si="0"/>
        <v>43844</v>
      </c>
      <c r="Q5" s="146">
        <f t="shared" si="0"/>
        <v>43845</v>
      </c>
      <c r="R5" s="146">
        <f t="shared" si="0"/>
        <v>43846</v>
      </c>
      <c r="S5" s="146">
        <f t="shared" si="0"/>
        <v>43847</v>
      </c>
      <c r="T5" s="222">
        <f t="shared" si="0"/>
        <v>43848</v>
      </c>
      <c r="U5" s="221">
        <f t="shared" si="0"/>
        <v>43849</v>
      </c>
      <c r="W5" s="236">
        <f>DATE(W2,W3,1)</f>
        <v>43831</v>
      </c>
      <c r="X5" s="346" t="s">
        <v>865</v>
      </c>
      <c r="AI5" s="495" t="str">
        <f ca="1">IF(R5=" "," ",Concat3(OFFSET(GCalXML[[#Headers],[festival1]:[festival12]],R13,0),CHAR(10),"[]"))</f>
        <v>Sri Locana Dasa Thakura - Disappearance</v>
      </c>
      <c r="AJ5" s="495" t="str">
        <f ca="1">IF(S5=" "," ",Concat3(OFFSET(GCalXML[[#Headers],[festival1]:[festival12]],S13,0),CHAR(10),"[]"))</f>
        <v xml:space="preserve"> </v>
      </c>
      <c r="AK5" s="495" t="str">
        <f ca="1">IF(T5=" "," ",Concat3(OFFSET(GCalXML[[#Headers],[festival1]:[festival12]],T13,0),CHAR(10),"[]"))</f>
        <v xml:space="preserve"> </v>
      </c>
      <c r="AL5" s="495" t="str">
        <f ca="1">IF(U5=" "," ",Concat3(OFFSET(GCalXML[[#Headers],[festival1]:[festival12]],U13,0),CHAR(10),"[]"))</f>
        <v xml:space="preserve"> </v>
      </c>
    </row>
    <row r="6" spans="3:38" ht="24" customHeight="1">
      <c r="C6" s="246"/>
      <c r="D6" s="727"/>
      <c r="E6" s="728"/>
      <c r="F6" s="727"/>
      <c r="G6" s="728"/>
      <c r="H6" s="734"/>
      <c r="I6" s="735"/>
      <c r="J6" s="734"/>
      <c r="K6" s="735"/>
      <c r="L6" s="741"/>
      <c r="M6" s="196"/>
      <c r="N6" s="61"/>
      <c r="O6" s="145">
        <f>U5+1</f>
        <v>43850</v>
      </c>
      <c r="P6" s="146">
        <f t="shared" si="0"/>
        <v>43851</v>
      </c>
      <c r="Q6" s="146">
        <f t="shared" si="0"/>
        <v>43852</v>
      </c>
      <c r="R6" s="146">
        <f t="shared" si="0"/>
        <v>43853</v>
      </c>
      <c r="S6" s="146">
        <f t="shared" si="0"/>
        <v>43854</v>
      </c>
      <c r="T6" s="222">
        <f t="shared" si="0"/>
        <v>43855</v>
      </c>
      <c r="U6" s="221">
        <f t="shared" si="0"/>
        <v>43856</v>
      </c>
      <c r="W6" s="233">
        <f>WEEKDAY(W5,2)</f>
        <v>3</v>
      </c>
      <c r="X6" s="346" t="s">
        <v>864</v>
      </c>
      <c r="AI6" s="495" t="str">
        <f ca="1">IF(R6=" "," ",Concat3(OFFSET(GCalXML[[#Headers],[festival1]:[festival12]],R14,0),CHAR(10),"[]"))</f>
        <v xml:space="preserve"> </v>
      </c>
      <c r="AJ6" s="495" t="str">
        <f ca="1">IF(S6=" "," ",Concat3(OFFSET(GCalXML[[#Headers],[festival1]:[festival12]],S14,0),CHAR(10),"[]"))</f>
        <v xml:space="preserve"> </v>
      </c>
      <c r="AK6" s="495" t="str">
        <f ca="1">IF(T6=" "," ",Concat3(OFFSET(GCalXML[[#Headers],[festival1]:[festival12]],T14,0),CHAR(10),"[]"))</f>
        <v xml:space="preserve"> </v>
      </c>
      <c r="AL6" s="495" t="str">
        <f ca="1">IF(U6=" "," ",Concat3(OFFSET(GCalXML[[#Headers],[festival1]:[festival12]],U14,0),CHAR(10),"[]"))</f>
        <v xml:space="preserve"> </v>
      </c>
    </row>
    <row r="7" spans="3:38" ht="24" customHeight="1">
      <c r="C7" s="246"/>
      <c r="D7" s="727"/>
      <c r="E7" s="728"/>
      <c r="F7" s="727"/>
      <c r="G7" s="728"/>
      <c r="H7" s="734"/>
      <c r="I7" s="735"/>
      <c r="J7" s="734"/>
      <c r="K7" s="735"/>
      <c r="L7" s="741"/>
      <c r="M7" s="196"/>
      <c r="N7" s="61"/>
      <c r="O7" s="145">
        <f>IF(MONTH(U6+1)&lt;&gt;$W$3," ",U6+1)</f>
        <v>43857</v>
      </c>
      <c r="P7" s="146">
        <f t="shared" ref="P7:U8" si="1">IF(O7=" "," ",O7+1)</f>
        <v>43858</v>
      </c>
      <c r="Q7" s="146">
        <f t="shared" si="1"/>
        <v>43859</v>
      </c>
      <c r="R7" s="146">
        <f t="shared" si="1"/>
        <v>43860</v>
      </c>
      <c r="S7" s="146">
        <f t="shared" si="1"/>
        <v>43861</v>
      </c>
      <c r="T7" s="222">
        <f t="shared" si="1"/>
        <v>43862</v>
      </c>
      <c r="U7" s="221">
        <f t="shared" si="1"/>
        <v>43863</v>
      </c>
      <c r="AI7" s="495" t="str">
        <f ca="1">IF(R7=" "," ",Concat3(OFFSET(GCalXML[[#Headers],[festival1]:[festival12]],R15,0),CHAR(10),"[]"))</f>
        <v xml:space="preserve"> </v>
      </c>
      <c r="AJ7" s="495" t="str">
        <f ca="1">IF(S7=" "," ",Concat3(OFFSET(GCalXML[[#Headers],[festival1]:[festival12]],S15,0),CHAR(10),"[]"))</f>
        <v>Sri Advaita Acarya - Appearance
(Fast till noon)</v>
      </c>
      <c r="AK7" s="495" t="str">
        <f ca="1">IF(T7=" "," ",Concat3(OFFSET(GCalXML[[#Headers],[festival1]:[festival12]],T15,0),CHAR(10),"[]"))</f>
        <v>[extensive tithi (vriddhi) - second day of tithi]</v>
      </c>
      <c r="AL7" s="495" t="str">
        <f ca="1">IF(U7=" "," ",Concat3(OFFSET(GCalXML[[#Headers],[festival1]:[festival12]],U15,0),CHAR(10),"[]"))</f>
        <v>Bhismastami</v>
      </c>
    </row>
    <row r="8" spans="3:38" ht="24" customHeight="1">
      <c r="C8" s="246"/>
      <c r="D8" s="727"/>
      <c r="E8" s="728"/>
      <c r="F8" s="727"/>
      <c r="G8" s="728"/>
      <c r="H8" s="734"/>
      <c r="I8" s="735"/>
      <c r="J8" s="734"/>
      <c r="K8" s="735"/>
      <c r="L8" s="741"/>
      <c r="M8" s="196"/>
      <c r="N8" s="61"/>
      <c r="O8" s="155" t="str">
        <f>IF(U7=" "," ",IF(MONTH(U7+1)&lt;&gt;$W$3," ",U7+1))</f>
        <v xml:space="preserve"> </v>
      </c>
      <c r="P8" s="156" t="str">
        <f t="shared" si="1"/>
        <v xml:space="preserve"> </v>
      </c>
      <c r="Q8" s="156" t="str">
        <f t="shared" si="1"/>
        <v xml:space="preserve"> </v>
      </c>
      <c r="R8" s="156" t="str">
        <f t="shared" si="1"/>
        <v xml:space="preserve"> </v>
      </c>
      <c r="S8" s="156" t="str">
        <f t="shared" si="1"/>
        <v xml:space="preserve"> </v>
      </c>
      <c r="T8" s="220" t="str">
        <f t="shared" si="1"/>
        <v xml:space="preserve"> </v>
      </c>
      <c r="U8" s="219" t="str">
        <f t="shared" si="1"/>
        <v xml:space="preserve"> </v>
      </c>
      <c r="W8" s="70" t="s">
        <v>72</v>
      </c>
      <c r="X8" s="255">
        <f>Options!X2</f>
        <v>2020</v>
      </c>
      <c r="AI8" s="495" t="str">
        <f ca="1">IF(R8=" "," ",Concat3(OFFSET(GCalXML[[#Headers],[festival1]:[festival12]],R16,0),CHAR(10),"[]"))</f>
        <v xml:space="preserve"> </v>
      </c>
      <c r="AJ8" s="495" t="str">
        <f ca="1">IF(S8=" "," ",Concat3(OFFSET(GCalXML[[#Headers],[festival1]:[festival12]],S16,0),CHAR(10),"[]"))</f>
        <v xml:space="preserve"> </v>
      </c>
      <c r="AK8" s="495" t="str">
        <f ca="1">IF(T8=" "," ",Concat3(OFFSET(GCalXML[[#Headers],[festival1]:[festival12]],T16,0),CHAR(10),"[]"))</f>
        <v xml:space="preserve"> </v>
      </c>
      <c r="AL8" s="495" t="str">
        <f ca="1">IF(U8=" "," ",Concat3(OFFSET(GCalXML[[#Headers],[festival1]:[festival12]],U16,0),CHAR(10),"[]"))</f>
        <v xml:space="preserve"> </v>
      </c>
    </row>
    <row r="9" spans="3:38" ht="24" customHeight="1">
      <c r="C9" s="246"/>
      <c r="D9" s="198"/>
      <c r="E9" s="356">
        <f>R3</f>
        <v>43832</v>
      </c>
      <c r="F9" s="198"/>
      <c r="G9" s="356">
        <f>S3</f>
        <v>43833</v>
      </c>
      <c r="H9" s="198"/>
      <c r="I9" s="356">
        <f>T3</f>
        <v>43834</v>
      </c>
      <c r="J9" s="198"/>
      <c r="K9" s="356">
        <f>U3</f>
        <v>43835</v>
      </c>
      <c r="L9" s="741"/>
      <c r="M9" s="196"/>
      <c r="N9" s="61"/>
      <c r="W9" s="231" t="s">
        <v>518</v>
      </c>
      <c r="X9" s="342">
        <f>Options!W3</f>
        <v>1</v>
      </c>
      <c r="Z9" s="331" t="str">
        <f>R19</f>
        <v> </v>
      </c>
      <c r="AB9" s="331" t="str">
        <f>S19</f>
        <v> </v>
      </c>
      <c r="AD9" s="331" t="str">
        <f>T19</f>
        <v> </v>
      </c>
      <c r="AF9" s="331" t="str">
        <f>U19</f>
        <v> </v>
      </c>
    </row>
    <row r="10" spans="3:38" ht="24" customHeight="1">
      <c r="C10" s="248"/>
      <c r="D10" s="737" t="str">
        <f ca="1">AI4</f>
        <v xml:space="preserve"> </v>
      </c>
      <c r="E10" s="738"/>
      <c r="F10" s="737" t="str">
        <f ca="1">AJ4</f>
        <v>Sri Krsna Pusya Abhiseka
End of Narayaṇa (Pausha) masa</v>
      </c>
      <c r="G10" s="738"/>
      <c r="H10" s="725" t="str">
        <f ca="1">AK4</f>
        <v>Start of Madhava (Magha) masa
Shishira Ritu - indian subcontinent Winter season [Madhava (Magha) and Govinda (Phalguna) months]</v>
      </c>
      <c r="I10" s="726"/>
      <c r="J10" s="725" t="str">
        <f ca="1">AL4</f>
        <v xml:space="preserve"> </v>
      </c>
      <c r="K10" s="726"/>
      <c r="L10" s="741"/>
      <c r="M10" s="196"/>
      <c r="N10" s="61"/>
      <c r="R10" s="181" t="s">
        <v>678</v>
      </c>
      <c r="S10" s="181" t="s">
        <v>674</v>
      </c>
      <c r="T10" s="181" t="s">
        <v>674</v>
      </c>
      <c r="U10" s="181" t="s">
        <v>672</v>
      </c>
    </row>
    <row r="11" spans="3:38" ht="24" customHeight="1">
      <c r="C11" s="247"/>
      <c r="D11" s="739"/>
      <c r="E11" s="740"/>
      <c r="F11" s="739"/>
      <c r="G11" s="740"/>
      <c r="H11" s="727"/>
      <c r="I11" s="728"/>
      <c r="J11" s="727"/>
      <c r="K11" s="728"/>
      <c r="L11" s="741"/>
      <c r="M11" s="196"/>
      <c r="N11" s="61"/>
      <c r="O11" s="494">
        <f t="shared" ref="O11:T16" si="2">P11-1</f>
        <v>37</v>
      </c>
      <c r="P11" s="494">
        <f t="shared" si="2"/>
        <v>38</v>
      </c>
      <c r="Q11" s="494">
        <f t="shared" si="2"/>
        <v>39</v>
      </c>
      <c r="R11" s="494">
        <f t="shared" si="2"/>
        <v>40</v>
      </c>
      <c r="S11" s="494">
        <f t="shared" si="2"/>
        <v>41</v>
      </c>
      <c r="T11" s="494">
        <f>U11-1</f>
        <v>42</v>
      </c>
      <c r="U11" s="494">
        <f>MATCH(U3,GCalXML[date])</f>
        <v>43</v>
      </c>
      <c r="W11" s="235" t="s">
        <v>524</v>
      </c>
      <c r="X11" s="234">
        <f>DATE(W2,W3,1)</f>
        <v>43831</v>
      </c>
    </row>
    <row r="12" spans="3:38" ht="24" customHeight="1">
      <c r="C12" s="246"/>
      <c r="D12" s="739"/>
      <c r="E12" s="740"/>
      <c r="F12" s="739"/>
      <c r="G12" s="740"/>
      <c r="H12" s="727"/>
      <c r="I12" s="728"/>
      <c r="J12" s="727"/>
      <c r="K12" s="728"/>
      <c r="L12" s="736">
        <f>W2</f>
        <v>2020</v>
      </c>
      <c r="M12" s="196"/>
      <c r="N12" s="61"/>
      <c r="O12" s="494">
        <f t="shared" si="2"/>
        <v>44</v>
      </c>
      <c r="P12" s="494">
        <f t="shared" si="2"/>
        <v>45</v>
      </c>
      <c r="Q12" s="494">
        <f t="shared" si="2"/>
        <v>46</v>
      </c>
      <c r="R12" s="494">
        <f t="shared" si="2"/>
        <v>47</v>
      </c>
      <c r="S12" s="494">
        <f t="shared" si="2"/>
        <v>48</v>
      </c>
      <c r="T12" s="494">
        <f>U12-1</f>
        <v>49</v>
      </c>
      <c r="U12" s="494">
        <f>U11+7</f>
        <v>50</v>
      </c>
      <c r="W12" s="218" t="s">
        <v>863</v>
      </c>
      <c r="X12" s="343" t="str">
        <f ca="1">VLOOKUP(W3,W15:X26,2,FALSE)</f>
        <v>JANUARY</v>
      </c>
    </row>
    <row r="13" spans="3:38" ht="24" customHeight="1">
      <c r="C13" s="246"/>
      <c r="D13" s="739"/>
      <c r="E13" s="740"/>
      <c r="F13" s="739"/>
      <c r="G13" s="740"/>
      <c r="H13" s="727"/>
      <c r="I13" s="728"/>
      <c r="J13" s="727"/>
      <c r="K13" s="728"/>
      <c r="L13" s="736"/>
      <c r="M13" s="196"/>
      <c r="N13" s="61"/>
      <c r="O13" s="494">
        <f t="shared" si="2"/>
        <v>51</v>
      </c>
      <c r="P13" s="494">
        <f t="shared" si="2"/>
        <v>52</v>
      </c>
      <c r="Q13" s="494">
        <f t="shared" si="2"/>
        <v>53</v>
      </c>
      <c r="R13" s="494">
        <f t="shared" si="2"/>
        <v>54</v>
      </c>
      <c r="S13" s="494">
        <f t="shared" si="2"/>
        <v>55</v>
      </c>
      <c r="T13" s="494">
        <f t="shared" si="2"/>
        <v>56</v>
      </c>
      <c r="U13" s="494">
        <f t="shared" ref="U13:U16" si="3">U12+7</f>
        <v>57</v>
      </c>
      <c r="W13" s="218" t="s">
        <v>862</v>
      </c>
      <c r="X13" s="232">
        <f>WEEKDAY(X11,2)</f>
        <v>3</v>
      </c>
    </row>
    <row r="14" spans="3:38" ht="24" customHeight="1">
      <c r="C14" s="246"/>
      <c r="D14" s="739"/>
      <c r="E14" s="740"/>
      <c r="F14" s="739"/>
      <c r="G14" s="740"/>
      <c r="H14" s="727"/>
      <c r="I14" s="728"/>
      <c r="J14" s="727"/>
      <c r="K14" s="728"/>
      <c r="L14" s="736"/>
      <c r="M14" s="196"/>
      <c r="N14" s="61"/>
      <c r="O14" s="494">
        <f t="shared" si="2"/>
        <v>58</v>
      </c>
      <c r="P14" s="494">
        <f t="shared" si="2"/>
        <v>59</v>
      </c>
      <c r="Q14" s="494">
        <f t="shared" si="2"/>
        <v>60</v>
      </c>
      <c r="R14" s="494">
        <f t="shared" si="2"/>
        <v>61</v>
      </c>
      <c r="S14" s="494">
        <f t="shared" si="2"/>
        <v>62</v>
      </c>
      <c r="T14" s="494">
        <f t="shared" si="2"/>
        <v>63</v>
      </c>
      <c r="U14" s="494">
        <f t="shared" si="3"/>
        <v>64</v>
      </c>
      <c r="W14" s="231" t="s">
        <v>861</v>
      </c>
      <c r="X14" s="344">
        <v>2</v>
      </c>
    </row>
    <row r="15" spans="3:38" ht="24" customHeight="1">
      <c r="C15" s="246"/>
      <c r="D15" s="739"/>
      <c r="E15" s="740"/>
      <c r="F15" s="739"/>
      <c r="G15" s="740"/>
      <c r="H15" s="727"/>
      <c r="I15" s="728"/>
      <c r="J15" s="727"/>
      <c r="K15" s="728"/>
      <c r="L15" s="736"/>
      <c r="M15" s="196"/>
      <c r="N15" s="61"/>
      <c r="O15" s="494">
        <f t="shared" si="2"/>
        <v>65</v>
      </c>
      <c r="P15" s="494">
        <f t="shared" si="2"/>
        <v>66</v>
      </c>
      <c r="Q15" s="494">
        <f t="shared" si="2"/>
        <v>67</v>
      </c>
      <c r="R15" s="494">
        <f t="shared" si="2"/>
        <v>68</v>
      </c>
      <c r="S15" s="494">
        <f t="shared" si="2"/>
        <v>69</v>
      </c>
      <c r="T15" s="494">
        <f t="shared" si="2"/>
        <v>70</v>
      </c>
      <c r="U15" s="494">
        <f t="shared" si="3"/>
        <v>71</v>
      </c>
      <c r="W15" s="77">
        <v>1</v>
      </c>
      <c r="X15" s="75" t="str">
        <f ca="1">UPPER('GPlan-Translations'!C205)</f>
        <v>JANUARY</v>
      </c>
    </row>
    <row r="16" spans="3:38" ht="24" customHeight="1">
      <c r="C16" s="246"/>
      <c r="D16" s="739"/>
      <c r="E16" s="740"/>
      <c r="F16" s="739"/>
      <c r="G16" s="740"/>
      <c r="H16" s="727"/>
      <c r="I16" s="728"/>
      <c r="J16" s="727"/>
      <c r="K16" s="728"/>
      <c r="L16" s="736"/>
      <c r="M16" s="196"/>
      <c r="O16" s="494">
        <f t="shared" si="2"/>
        <v>72</v>
      </c>
      <c r="P16" s="494">
        <f t="shared" si="2"/>
        <v>73</v>
      </c>
      <c r="Q16" s="494">
        <f t="shared" si="2"/>
        <v>74</v>
      </c>
      <c r="R16" s="494">
        <f t="shared" si="2"/>
        <v>75</v>
      </c>
      <c r="S16" s="494">
        <f t="shared" si="2"/>
        <v>76</v>
      </c>
      <c r="T16" s="494">
        <f t="shared" si="2"/>
        <v>77</v>
      </c>
      <c r="U16" s="494">
        <f t="shared" si="3"/>
        <v>78</v>
      </c>
      <c r="W16" s="77">
        <v>2</v>
      </c>
      <c r="X16" s="75" t="str">
        <f ca="1">UPPER('GPlan-Translations'!C206)</f>
        <v>FEBRUARY</v>
      </c>
    </row>
    <row r="17" spans="3:32" ht="24" customHeight="1">
      <c r="C17" s="246"/>
      <c r="D17" s="198"/>
      <c r="E17" s="356">
        <f>R4</f>
        <v>43839</v>
      </c>
      <c r="F17" s="198"/>
      <c r="G17" s="356">
        <f>S4</f>
        <v>43840</v>
      </c>
      <c r="H17" s="198"/>
      <c r="I17" s="356">
        <f>T4</f>
        <v>43841</v>
      </c>
      <c r="J17" s="198"/>
      <c r="K17" s="356">
        <f>U4</f>
        <v>43842</v>
      </c>
      <c r="L17" s="736"/>
      <c r="M17" s="196"/>
      <c r="W17" s="77">
        <v>3</v>
      </c>
      <c r="X17" s="75" t="str">
        <f ca="1">UPPER('GPlan-Translations'!C207)</f>
        <v>MARCH</v>
      </c>
      <c r="Z17" s="331" t="str">
        <f>R20</f>
        <v> </v>
      </c>
      <c r="AB17" s="331" t="str">
        <f>S20</f>
        <v>C</v>
      </c>
      <c r="AD17" s="331" t="str">
        <f>T20</f>
        <v> </v>
      </c>
      <c r="AF17" s="331" t="str">
        <f>U20</f>
        <v> </v>
      </c>
    </row>
    <row r="18" spans="3:32" ht="24" customHeight="1">
      <c r="C18" s="248"/>
      <c r="D18" s="725" t="str">
        <f ca="1">AI5</f>
        <v>Sri Locana Dasa Thakura - Disappearance</v>
      </c>
      <c r="E18" s="726"/>
      <c r="F18" s="725" t="str">
        <f ca="1">AJ5</f>
        <v xml:space="preserve"> </v>
      </c>
      <c r="G18" s="726"/>
      <c r="H18" s="725" t="str">
        <f ca="1">AK5</f>
        <v xml:space="preserve"> </v>
      </c>
      <c r="I18" s="726"/>
      <c r="J18" s="725" t="str">
        <f ca="1">AL5</f>
        <v xml:space="preserve"> </v>
      </c>
      <c r="K18" s="726"/>
      <c r="M18" s="196"/>
      <c r="N18" s="61"/>
      <c r="O18" s="214"/>
      <c r="P18" s="215"/>
      <c r="Q18" s="215"/>
      <c r="R18" s="216" t="s">
        <v>678</v>
      </c>
      <c r="S18" s="216" t="s">
        <v>674</v>
      </c>
      <c r="T18" s="229" t="s">
        <v>674</v>
      </c>
      <c r="U18" s="228" t="s">
        <v>672</v>
      </c>
      <c r="W18" s="77">
        <v>4</v>
      </c>
      <c r="X18" s="75" t="str">
        <f ca="1">UPPER('GPlan-Translations'!C208)</f>
        <v>APRIL</v>
      </c>
    </row>
    <row r="19" spans="3:32" ht="24" customHeight="1">
      <c r="C19" s="247"/>
      <c r="D19" s="727"/>
      <c r="E19" s="728"/>
      <c r="F19" s="727"/>
      <c r="G19" s="728"/>
      <c r="H19" s="727"/>
      <c r="I19" s="728"/>
      <c r="J19" s="727"/>
      <c r="K19" s="728"/>
      <c r="M19" s="196"/>
      <c r="N19" s="61"/>
      <c r="O19" s="209"/>
      <c r="P19" s="210"/>
      <c r="Q19" s="210"/>
      <c r="R19" s="151" t="str">
        <f>IFERROR(IF(R3=" ","",INDEX(GCalXML[fasttype],R11)),"")</f>
        <v> </v>
      </c>
      <c r="S19" s="151" t="str">
        <f>IFERROR(IF(S3=" ","",INDEX(GCalXML[fasttype],S11)),"")</f>
        <v> </v>
      </c>
      <c r="T19" s="252" t="str">
        <f>IFERROR(IF(T3=" ","",INDEX(GCalXML[fasttype],T11)),"")</f>
        <v> </v>
      </c>
      <c r="U19" s="251" t="str">
        <f>IFERROR(IF(U3=" ","",INDEX(GCalXML[fasttype],U11)),"")</f>
        <v> </v>
      </c>
      <c r="W19" s="77">
        <v>5</v>
      </c>
      <c r="X19" s="75" t="str">
        <f ca="1">UPPER('GPlan-Translations'!C209)</f>
        <v>MAY</v>
      </c>
    </row>
    <row r="20" spans="3:32" ht="24" customHeight="1">
      <c r="C20" s="246"/>
      <c r="D20" s="727"/>
      <c r="E20" s="728"/>
      <c r="F20" s="727"/>
      <c r="G20" s="728"/>
      <c r="H20" s="727"/>
      <c r="I20" s="728"/>
      <c r="J20" s="727"/>
      <c r="K20" s="728"/>
      <c r="M20" s="196"/>
      <c r="N20" s="472"/>
      <c r="O20" s="209"/>
      <c r="P20" s="210"/>
      <c r="Q20" s="210"/>
      <c r="R20" s="151" t="str">
        <f>IFERROR(IF(R4=" ","",INDEX(GCalXML[fasttype],R12)),"")</f>
        <v> </v>
      </c>
      <c r="S20" s="151" t="str">
        <f>IFERROR(IF(S4=" ","",INDEX(GCalXML[fasttype],S12)),"")</f>
        <v>C</v>
      </c>
      <c r="T20" s="252" t="str">
        <f>IFERROR(IF(T4=" ","",INDEX(GCalXML[fasttype],T12)),"")</f>
        <v> </v>
      </c>
      <c r="U20" s="251" t="str">
        <f>IFERROR(IF(U4=" ","",INDEX(GCalXML[fasttype],U12)),"")</f>
        <v> </v>
      </c>
      <c r="W20" s="77">
        <v>6</v>
      </c>
      <c r="X20" s="75" t="str">
        <f ca="1">UPPER('GPlan-Translations'!C210)</f>
        <v>JUNE</v>
      </c>
    </row>
    <row r="21" spans="3:32" ht="24" customHeight="1">
      <c r="C21" s="246"/>
      <c r="D21" s="727"/>
      <c r="E21" s="728"/>
      <c r="F21" s="727"/>
      <c r="G21" s="728"/>
      <c r="H21" s="727"/>
      <c r="I21" s="728"/>
      <c r="J21" s="727"/>
      <c r="K21" s="728"/>
      <c r="M21" s="196"/>
      <c r="N21" s="472"/>
      <c r="O21" s="209"/>
      <c r="P21" s="210"/>
      <c r="Q21" s="210"/>
      <c r="R21" s="151" t="str">
        <f>IFERROR(IF(R5=" ","",INDEX(GCalXML[fasttype],R13)),"")</f>
        <v>C</v>
      </c>
      <c r="S21" s="151" t="str">
        <f>IFERROR(IF(S5=" ","",INDEX(GCalXML[fasttype],S13)),"")</f>
        <v> </v>
      </c>
      <c r="T21" s="252" t="str">
        <f>IFERROR(IF(T5=" ","",INDEX(GCalXML[fasttype],T13)),"")</f>
        <v> </v>
      </c>
      <c r="U21" s="251" t="str">
        <f>IFERROR(IF(U5=" ","",INDEX(GCalXML[fasttype],U13)),"")</f>
        <v> </v>
      </c>
      <c r="W21" s="77">
        <v>7</v>
      </c>
      <c r="X21" s="75" t="str">
        <f ca="1">UPPER('GPlan-Translations'!C211)</f>
        <v>JULY</v>
      </c>
    </row>
    <row r="22" spans="3:32" ht="24" customHeight="1">
      <c r="C22" s="246"/>
      <c r="D22" s="727"/>
      <c r="E22" s="728"/>
      <c r="F22" s="727"/>
      <c r="G22" s="728"/>
      <c r="H22" s="727"/>
      <c r="I22" s="728"/>
      <c r="J22" s="727"/>
      <c r="K22" s="728"/>
      <c r="M22" s="196"/>
      <c r="N22" s="472"/>
      <c r="O22" s="209"/>
      <c r="P22" s="210"/>
      <c r="Q22" s="210"/>
      <c r="R22" s="151" t="str">
        <f>IFERROR(IF(R6=" ","",INDEX(GCalXML[fasttype],R14)),"")</f>
        <v> </v>
      </c>
      <c r="S22" s="151" t="str">
        <f>IFERROR(IF(S6=" ","",INDEX(GCalXML[fasttype],S14)),"")</f>
        <v> </v>
      </c>
      <c r="T22" s="252" t="str">
        <f>IFERROR(IF(T6=" ","",INDEX(GCalXML[fasttype],T14)),"")</f>
        <v> </v>
      </c>
      <c r="U22" s="251" t="str">
        <f>IFERROR(IF(U6=" ","",INDEX(GCalXML[fasttype],U14)),"")</f>
        <v> </v>
      </c>
      <c r="W22" s="77">
        <v>8</v>
      </c>
      <c r="X22" s="75" t="str">
        <f ca="1">UPPER('GPlan-Translations'!C212)</f>
        <v>AUGUST</v>
      </c>
    </row>
    <row r="23" spans="3:32" ht="24" customHeight="1">
      <c r="C23" s="246"/>
      <c r="D23" s="727"/>
      <c r="E23" s="728"/>
      <c r="F23" s="727"/>
      <c r="G23" s="728"/>
      <c r="H23" s="727"/>
      <c r="I23" s="728"/>
      <c r="J23" s="727"/>
      <c r="K23" s="728"/>
      <c r="M23" s="196"/>
      <c r="N23" s="472"/>
      <c r="O23" s="209"/>
      <c r="P23" s="210"/>
      <c r="Q23" s="210"/>
      <c r="R23" s="151" t="str">
        <f>IFERROR(IF(R7=" ","",INDEX(GCalXML[fasttype],R15)),"")</f>
        <v> </v>
      </c>
      <c r="S23" s="151" t="str">
        <f>IFERROR(IF(S7=" ","",INDEX(GCalXML[fasttype],S15)),"")</f>
        <v>P</v>
      </c>
      <c r="T23" s="252" t="str">
        <f>IFERROR(IF(T7=" ","",INDEX(GCalXML[fasttype],T15)),"")</f>
        <v> </v>
      </c>
      <c r="U23" s="251" t="str">
        <f>IFERROR(IF(U7=" ","",INDEX(GCalXML[fasttype],U15)),"")</f>
        <v>C</v>
      </c>
      <c r="W23" s="77">
        <v>9</v>
      </c>
      <c r="X23" s="75" t="str">
        <f ca="1">UPPER('GPlan-Translations'!C213)</f>
        <v>SEPTEMBER</v>
      </c>
    </row>
    <row r="24" spans="3:32" ht="24" customHeight="1">
      <c r="C24" s="246"/>
      <c r="D24" s="727"/>
      <c r="E24" s="728"/>
      <c r="F24" s="727"/>
      <c r="G24" s="728"/>
      <c r="H24" s="727"/>
      <c r="I24" s="728"/>
      <c r="J24" s="727"/>
      <c r="K24" s="728"/>
      <c r="M24" s="196"/>
      <c r="N24" s="472"/>
      <c r="O24" s="205"/>
      <c r="P24" s="206"/>
      <c r="Q24" s="206"/>
      <c r="R24" s="165" t="str">
        <f>IFERROR(IF(R8=" ","",INDEX(GCalXML[fasttype],R16)),"")</f>
        <v/>
      </c>
      <c r="S24" s="165" t="str">
        <f>IFERROR(IF(S8=" ","",INDEX(GCalXML[fasttype],S16)),"")</f>
        <v/>
      </c>
      <c r="T24" s="250" t="str">
        <f>IFERROR(IF(T8=" ","",INDEX(GCalXML[fasttype],T16)),"")</f>
        <v/>
      </c>
      <c r="U24" s="249" t="str">
        <f>IFERROR(IF(U8=" ","",INDEX(GCalXML[fasttype],U16)),"")</f>
        <v/>
      </c>
      <c r="W24" s="218">
        <v>10</v>
      </c>
      <c r="X24" s="75" t="str">
        <f ca="1">UPPER('GPlan-Translations'!C214)</f>
        <v>OCTOBER</v>
      </c>
    </row>
    <row r="25" spans="3:32" ht="24" customHeight="1">
      <c r="C25" s="246"/>
      <c r="D25" s="198"/>
      <c r="E25" s="356">
        <f>R5</f>
        <v>43846</v>
      </c>
      <c r="F25" s="198"/>
      <c r="G25" s="356">
        <f>S5</f>
        <v>43847</v>
      </c>
      <c r="H25" s="198"/>
      <c r="I25" s="356">
        <f>T5</f>
        <v>43848</v>
      </c>
      <c r="J25" s="198"/>
      <c r="K25" s="356">
        <f>U5</f>
        <v>43849</v>
      </c>
      <c r="M25" s="196"/>
      <c r="N25" s="472"/>
      <c r="W25" s="77">
        <v>11</v>
      </c>
      <c r="X25" s="75" t="str">
        <f ca="1">UPPER('GPlan-Translations'!C215)</f>
        <v>NOVEMBER</v>
      </c>
      <c r="Z25" s="331" t="str">
        <f>R21</f>
        <v>C</v>
      </c>
      <c r="AB25" s="331" t="str">
        <f>S21</f>
        <v> </v>
      </c>
      <c r="AD25" s="331" t="str">
        <f>T21</f>
        <v> </v>
      </c>
      <c r="AF25" s="331" t="str">
        <f>U21</f>
        <v> </v>
      </c>
    </row>
    <row r="26" spans="3:32" ht="24" customHeight="1">
      <c r="C26" s="248"/>
      <c r="D26" s="725" t="str">
        <f ca="1">AI6</f>
        <v xml:space="preserve"> </v>
      </c>
      <c r="E26" s="726"/>
      <c r="F26" s="725" t="str">
        <f ca="1">AJ6</f>
        <v xml:space="preserve"> </v>
      </c>
      <c r="G26" s="726"/>
      <c r="H26" s="725" t="str">
        <f ca="1">AK6</f>
        <v xml:space="preserve"> </v>
      </c>
      <c r="I26" s="726"/>
      <c r="J26" s="725" t="str">
        <f ca="1">AL6</f>
        <v xml:space="preserve"> </v>
      </c>
      <c r="K26" s="726"/>
      <c r="L26" s="732" t="str">
        <f ca="1">'GPlan-Translations'!C271</f>
        <v>MONTHLY PLANNING</v>
      </c>
      <c r="M26" s="196"/>
      <c r="W26" s="89">
        <v>12</v>
      </c>
      <c r="X26" s="76" t="str">
        <f ca="1">UPPER('GPlan-Translations'!C216)</f>
        <v>DECEMBER</v>
      </c>
    </row>
    <row r="27" spans="3:32" ht="24" customHeight="1">
      <c r="C27" s="247"/>
      <c r="D27" s="727"/>
      <c r="E27" s="728"/>
      <c r="F27" s="727"/>
      <c r="G27" s="728"/>
      <c r="H27" s="727"/>
      <c r="I27" s="728"/>
      <c r="J27" s="727"/>
      <c r="K27" s="728"/>
      <c r="L27" s="732"/>
      <c r="M27" s="196"/>
    </row>
    <row r="28" spans="3:32" ht="24" customHeight="1">
      <c r="C28" s="246"/>
      <c r="D28" s="727"/>
      <c r="E28" s="728"/>
      <c r="F28" s="727"/>
      <c r="G28" s="728"/>
      <c r="H28" s="727"/>
      <c r="I28" s="728"/>
      <c r="J28" s="727"/>
      <c r="K28" s="728"/>
      <c r="L28" s="732"/>
      <c r="M28" s="196"/>
    </row>
    <row r="29" spans="3:32" ht="24" customHeight="1">
      <c r="C29" s="246"/>
      <c r="D29" s="727"/>
      <c r="E29" s="728"/>
      <c r="F29" s="727"/>
      <c r="G29" s="728"/>
      <c r="H29" s="727"/>
      <c r="I29" s="728"/>
      <c r="J29" s="727"/>
      <c r="K29" s="728"/>
      <c r="L29" s="732"/>
      <c r="M29" s="196"/>
      <c r="N29" s="61"/>
    </row>
    <row r="30" spans="3:32" ht="24" customHeight="1">
      <c r="C30" s="246"/>
      <c r="D30" s="727"/>
      <c r="E30" s="728"/>
      <c r="F30" s="727"/>
      <c r="G30" s="728"/>
      <c r="H30" s="727"/>
      <c r="I30" s="728"/>
      <c r="J30" s="727"/>
      <c r="K30" s="728"/>
      <c r="L30" s="732"/>
      <c r="M30" s="196"/>
      <c r="N30" s="61"/>
    </row>
    <row r="31" spans="3:32" ht="24" customHeight="1">
      <c r="C31" s="246"/>
      <c r="D31" s="727"/>
      <c r="E31" s="728"/>
      <c r="F31" s="727"/>
      <c r="G31" s="728"/>
      <c r="H31" s="727"/>
      <c r="I31" s="728"/>
      <c r="J31" s="727"/>
      <c r="K31" s="728"/>
      <c r="L31" s="732"/>
      <c r="M31" s="196"/>
      <c r="N31" s="61"/>
    </row>
    <row r="32" spans="3:32" ht="24" customHeight="1">
      <c r="C32" s="246"/>
      <c r="D32" s="727"/>
      <c r="E32" s="728"/>
      <c r="F32" s="727"/>
      <c r="G32" s="728"/>
      <c r="H32" s="727"/>
      <c r="I32" s="728"/>
      <c r="J32" s="727"/>
      <c r="K32" s="728"/>
      <c r="L32" s="732"/>
      <c r="M32" s="196"/>
      <c r="N32" s="61"/>
    </row>
    <row r="33" spans="3:32" ht="24" customHeight="1">
      <c r="C33" s="246"/>
      <c r="D33" s="198"/>
      <c r="E33" s="356">
        <f>R6</f>
        <v>43853</v>
      </c>
      <c r="F33" s="198"/>
      <c r="G33" s="356">
        <f>S6</f>
        <v>43854</v>
      </c>
      <c r="H33" s="198"/>
      <c r="I33" s="356">
        <f>T6</f>
        <v>43855</v>
      </c>
      <c r="J33" s="198"/>
      <c r="K33" s="356">
        <f>U6</f>
        <v>43856</v>
      </c>
      <c r="L33" s="732"/>
      <c r="M33" s="196"/>
      <c r="N33" s="61"/>
      <c r="Z33" s="331" t="str">
        <f>R22</f>
        <v> </v>
      </c>
      <c r="AB33" s="331" t="str">
        <f>S22</f>
        <v> </v>
      </c>
      <c r="AD33" s="331" t="str">
        <f>T22</f>
        <v> </v>
      </c>
      <c r="AF33" s="331" t="str">
        <f>U22</f>
        <v> </v>
      </c>
    </row>
    <row r="34" spans="3:32" ht="24" customHeight="1">
      <c r="C34" s="248"/>
      <c r="D34" s="725" t="str">
        <f ca="1">AI7</f>
        <v xml:space="preserve"> </v>
      </c>
      <c r="E34" s="733"/>
      <c r="F34" s="725" t="str">
        <f ca="1">AJ7</f>
        <v>Sri Advaita Acarya - Appearance
(Fast till noon)</v>
      </c>
      <c r="G34" s="726"/>
      <c r="H34" s="725" t="str">
        <f ca="1">AK7</f>
        <v>[extensive tithi (vriddhi) - second day of tithi]</v>
      </c>
      <c r="I34" s="726"/>
      <c r="J34" s="725" t="str">
        <f ca="1">AL7</f>
        <v>Bhismastami</v>
      </c>
      <c r="K34" s="726"/>
      <c r="L34" s="732"/>
      <c r="M34" s="196"/>
      <c r="N34" s="61"/>
    </row>
    <row r="35" spans="3:32" ht="24" customHeight="1">
      <c r="C35" s="247"/>
      <c r="D35" s="734"/>
      <c r="E35" s="735"/>
      <c r="F35" s="727"/>
      <c r="G35" s="728"/>
      <c r="H35" s="727"/>
      <c r="I35" s="728"/>
      <c r="J35" s="727"/>
      <c r="K35" s="728"/>
      <c r="L35" s="732"/>
      <c r="M35" s="196"/>
      <c r="N35" s="61"/>
    </row>
    <row r="36" spans="3:32" ht="24" customHeight="1">
      <c r="C36" s="246"/>
      <c r="D36" s="734"/>
      <c r="E36" s="735"/>
      <c r="F36" s="727"/>
      <c r="G36" s="728"/>
      <c r="H36" s="727"/>
      <c r="I36" s="728"/>
      <c r="J36" s="727"/>
      <c r="K36" s="728"/>
      <c r="L36" s="732"/>
      <c r="M36" s="196"/>
      <c r="N36" s="61"/>
    </row>
    <row r="37" spans="3:32" ht="24" customHeight="1">
      <c r="C37" s="246"/>
      <c r="D37" s="734"/>
      <c r="E37" s="735"/>
      <c r="F37" s="727"/>
      <c r="G37" s="728"/>
      <c r="H37" s="727"/>
      <c r="I37" s="728"/>
      <c r="J37" s="727"/>
      <c r="K37" s="728"/>
      <c r="L37" s="732"/>
      <c r="M37" s="196"/>
      <c r="N37" s="61"/>
    </row>
    <row r="38" spans="3:32" ht="24" customHeight="1">
      <c r="C38" s="246"/>
      <c r="D38" s="734"/>
      <c r="E38" s="735"/>
      <c r="F38" s="727"/>
      <c r="G38" s="728"/>
      <c r="H38" s="727"/>
      <c r="I38" s="728"/>
      <c r="J38" s="727"/>
      <c r="K38" s="728"/>
      <c r="L38" s="732"/>
      <c r="M38" s="196"/>
      <c r="N38" s="61"/>
      <c r="U38" s="169"/>
    </row>
    <row r="39" spans="3:32" ht="24" customHeight="1">
      <c r="C39" s="246"/>
      <c r="D39" s="734"/>
      <c r="E39" s="735"/>
      <c r="F39" s="727"/>
      <c r="G39" s="728"/>
      <c r="H39" s="727"/>
      <c r="I39" s="728"/>
      <c r="J39" s="727"/>
      <c r="K39" s="728"/>
      <c r="L39" s="732"/>
      <c r="M39" s="196"/>
      <c r="N39" s="61"/>
      <c r="U39" s="169"/>
    </row>
    <row r="40" spans="3:32" ht="24" customHeight="1">
      <c r="C40" s="246"/>
      <c r="D40" s="734"/>
      <c r="E40" s="735"/>
      <c r="F40" s="727"/>
      <c r="G40" s="728"/>
      <c r="H40" s="727"/>
      <c r="I40" s="728"/>
      <c r="J40" s="727"/>
      <c r="K40" s="728"/>
      <c r="L40" s="732"/>
      <c r="M40" s="196"/>
      <c r="N40" s="61"/>
      <c r="U40" s="169"/>
    </row>
    <row r="41" spans="3:32" ht="24" customHeight="1">
      <c r="C41" s="246"/>
      <c r="D41" s="198"/>
      <c r="E41" s="356">
        <f>R7</f>
        <v>43860</v>
      </c>
      <c r="F41" s="198"/>
      <c r="G41" s="356">
        <f>S7</f>
        <v>43861</v>
      </c>
      <c r="H41" s="198"/>
      <c r="I41" s="356">
        <f>T7</f>
        <v>43862</v>
      </c>
      <c r="J41" s="198"/>
      <c r="K41" s="356">
        <f>U7</f>
        <v>43863</v>
      </c>
      <c r="L41" s="732"/>
      <c r="M41" s="196"/>
      <c r="N41" s="61"/>
      <c r="U41" s="169"/>
      <c r="Z41" s="331" t="str">
        <f>R23</f>
        <v> </v>
      </c>
      <c r="AB41" s="331" t="str">
        <f>S23</f>
        <v>P</v>
      </c>
      <c r="AD41" s="331" t="str">
        <f>T23</f>
        <v> </v>
      </c>
      <c r="AF41" s="331" t="str">
        <f>U23</f>
        <v>C</v>
      </c>
    </row>
    <row r="42" spans="3:32" ht="24" customHeight="1">
      <c r="C42" s="248"/>
      <c r="D42" s="725" t="str">
        <f ca="1">AI8</f>
        <v xml:space="preserve"> </v>
      </c>
      <c r="E42" s="726"/>
      <c r="F42" s="725" t="str">
        <f ca="1">AJ8</f>
        <v xml:space="preserve"> </v>
      </c>
      <c r="G42" s="726"/>
      <c r="H42" s="725" t="str">
        <f ca="1">AK8</f>
        <v xml:space="preserve"> </v>
      </c>
      <c r="I42" s="726"/>
      <c r="J42" s="725" t="str">
        <f ca="1">AL8</f>
        <v xml:space="preserve"> </v>
      </c>
      <c r="K42" s="726"/>
      <c r="L42" s="732"/>
      <c r="M42" s="196"/>
      <c r="N42" s="61"/>
      <c r="U42" s="169"/>
    </row>
    <row r="43" spans="3:32" ht="24" customHeight="1">
      <c r="C43" s="247"/>
      <c r="D43" s="727"/>
      <c r="E43" s="728"/>
      <c r="F43" s="727"/>
      <c r="G43" s="728"/>
      <c r="H43" s="727"/>
      <c r="I43" s="728"/>
      <c r="J43" s="727"/>
      <c r="K43" s="728"/>
      <c r="L43" s="732"/>
      <c r="M43" s="196"/>
      <c r="N43" s="61"/>
      <c r="U43" s="169"/>
    </row>
    <row r="44" spans="3:32" ht="24" customHeight="1">
      <c r="C44" s="246"/>
      <c r="D44" s="727"/>
      <c r="E44" s="728"/>
      <c r="F44" s="727"/>
      <c r="G44" s="728"/>
      <c r="H44" s="727"/>
      <c r="I44" s="728"/>
      <c r="J44" s="727"/>
      <c r="K44" s="728"/>
      <c r="L44" s="732"/>
      <c r="M44" s="196"/>
      <c r="U44" s="169"/>
    </row>
    <row r="45" spans="3:32" ht="24" customHeight="1">
      <c r="C45" s="246"/>
      <c r="D45" s="727"/>
      <c r="E45" s="728"/>
      <c r="F45" s="727"/>
      <c r="G45" s="728"/>
      <c r="H45" s="727"/>
      <c r="I45" s="728"/>
      <c r="J45" s="727"/>
      <c r="K45" s="728"/>
      <c r="L45" s="732"/>
      <c r="M45" s="196"/>
      <c r="U45" s="169"/>
    </row>
    <row r="46" spans="3:32" ht="24" customHeight="1">
      <c r="C46" s="246"/>
      <c r="D46" s="727"/>
      <c r="E46" s="728"/>
      <c r="F46" s="727"/>
      <c r="G46" s="728"/>
      <c r="H46" s="727"/>
      <c r="I46" s="728"/>
      <c r="J46" s="727"/>
      <c r="K46" s="728"/>
      <c r="L46" s="732"/>
      <c r="M46" s="196"/>
      <c r="U46" s="169"/>
    </row>
    <row r="47" spans="3:32" ht="24" customHeight="1">
      <c r="C47" s="246"/>
      <c r="D47" s="727"/>
      <c r="E47" s="728"/>
      <c r="F47" s="727"/>
      <c r="G47" s="728"/>
      <c r="H47" s="727"/>
      <c r="I47" s="728"/>
      <c r="J47" s="727"/>
      <c r="K47" s="728"/>
      <c r="L47" s="732"/>
      <c r="M47" s="196"/>
      <c r="U47" s="169"/>
    </row>
    <row r="48" spans="3:32" ht="24" customHeight="1">
      <c r="C48" s="246"/>
      <c r="D48" s="727"/>
      <c r="E48" s="728"/>
      <c r="F48" s="727"/>
      <c r="G48" s="728"/>
      <c r="H48" s="727"/>
      <c r="I48" s="728"/>
      <c r="J48" s="727"/>
      <c r="K48" s="728"/>
      <c r="L48" s="732"/>
      <c r="M48" s="196"/>
      <c r="U48" s="169"/>
    </row>
    <row r="49" spans="3:32" ht="24" customHeight="1">
      <c r="C49" s="246"/>
      <c r="D49" s="198"/>
      <c r="E49" s="356" t="str">
        <f>R8</f>
        <v xml:space="preserve"> </v>
      </c>
      <c r="F49" s="198"/>
      <c r="G49" s="356" t="str">
        <f>S8</f>
        <v xml:space="preserve"> </v>
      </c>
      <c r="H49" s="198"/>
      <c r="I49" s="356" t="str">
        <f>T8</f>
        <v xml:space="preserve"> </v>
      </c>
      <c r="J49" s="198"/>
      <c r="K49" s="356" t="str">
        <f>U8</f>
        <v xml:space="preserve"> </v>
      </c>
      <c r="L49" s="732"/>
      <c r="M49" s="196"/>
      <c r="U49" s="169"/>
      <c r="Z49" s="331" t="str">
        <f>R24</f>
        <v/>
      </c>
      <c r="AB49" s="331" t="str">
        <f>S24</f>
        <v/>
      </c>
      <c r="AD49" s="331" t="str">
        <f>T24</f>
        <v/>
      </c>
      <c r="AF49" s="331" t="str">
        <f>U24</f>
        <v/>
      </c>
    </row>
    <row r="50" spans="3:32" ht="12.75"/>
  </sheetData>
  <mergeCells count="27">
    <mergeCell ref="L12:L17"/>
    <mergeCell ref="D18:E24"/>
    <mergeCell ref="F18:G24"/>
    <mergeCell ref="H18:I24"/>
    <mergeCell ref="J18:K24"/>
    <mergeCell ref="D10:E16"/>
    <mergeCell ref="F10:G16"/>
    <mergeCell ref="H10:I16"/>
    <mergeCell ref="J10:K16"/>
    <mergeCell ref="L1:L11"/>
    <mergeCell ref="D2:E8"/>
    <mergeCell ref="F2:G8"/>
    <mergeCell ref="H2:I8"/>
    <mergeCell ref="J2:K8"/>
    <mergeCell ref="L26:L49"/>
    <mergeCell ref="D34:E40"/>
    <mergeCell ref="F34:G40"/>
    <mergeCell ref="H34:I40"/>
    <mergeCell ref="J34:K40"/>
    <mergeCell ref="D26:E32"/>
    <mergeCell ref="F26:G32"/>
    <mergeCell ref="D42:E48"/>
    <mergeCell ref="F42:G48"/>
    <mergeCell ref="H42:I48"/>
    <mergeCell ref="J42:K48"/>
    <mergeCell ref="H26:I32"/>
    <mergeCell ref="J26:K32"/>
  </mergeCells>
  <conditionalFormatting sqref="E9 G9 I9 K9 E17 G17 I17 K17 E25 G25 I25 K25 E33 G33 I33 K33 E41 G41 I41 K41 E49 G49 I49 K49">
    <cfRule type="expression" dxfId="73" priority="1" stopIfTrue="1">
      <formula>Z9="S"</formula>
    </cfRule>
    <cfRule type="expression" dxfId="72" priority="2" stopIfTrue="1">
      <formula>Z9="H"</formula>
    </cfRule>
    <cfRule type="expression" dxfId="71" priority="3" stopIfTrue="1">
      <formula>Z9="P"</formula>
    </cfRule>
    <cfRule type="expression" dxfId="70" priority="4" stopIfTrue="1">
      <formula>Z9="K"</formula>
    </cfRule>
    <cfRule type="expression" dxfId="69" priority="5" stopIfTrue="1">
      <formula>Z9="F"</formula>
    </cfRule>
    <cfRule type="expression" dxfId="68" priority="6" stopIfTrue="1">
      <formula>Z9="E"</formula>
    </cfRule>
    <cfRule type="expression" dxfId="67" priority="7" stopIfTrue="1">
      <formula>Z9="C"</formula>
    </cfRule>
  </conditionalFormatting>
  <printOptions horizontalCentered="1" verticalCentered="1"/>
  <pageMargins left="0.19685039370078741" right="0.19685039370078741" top="0.19685039370078741" bottom="0.19685039370078741" header="0.11811023622047245" footer="0.11811023622047245"/>
  <pageSetup paperSize="9" scale="71" fitToWidth="2" orientation="portrait" r:id="rId1"/>
  <headerFooter alignWithMargins="0"/>
  <colBreaks count="1" manualBreakCount="1">
    <brk id="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481" r:id="rId4" name="MonthSelect1">
              <controlPr defaultSize="0" print="0" autoPict="0">
                <anchor moveWithCells="1">
                  <from>
                    <xdr:col>0</xdr:col>
                    <xdr:colOff>114300</xdr:colOff>
                    <xdr:row>1</xdr:row>
                    <xdr:rowOff>190500</xdr:rowOff>
                  </from>
                  <to>
                    <xdr:col>2</xdr:col>
                    <xdr:colOff>257175</xdr:colOff>
                    <xdr:row>3</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GCalXml"/>
  <dimension ref="A1:BL802"/>
  <sheetViews>
    <sheetView workbookViewId="0">
      <pane xSplit="6" ySplit="1" topLeftCell="G2" activePane="bottomRight" state="frozen"/>
      <selection pane="topRight" activeCell="D1" sqref="D1"/>
      <selection pane="bottomLeft" activeCell="A2" sqref="A2"/>
      <selection pane="bottomRight"/>
    </sheetView>
  </sheetViews>
  <sheetFormatPr defaultRowHeight="15"/>
  <cols>
    <col min="1" max="1" width="10.7109375" bestFit="1" customWidth="1"/>
    <col min="2" max="2" width="6.5703125" bestFit="1" customWidth="1"/>
    <col min="3" max="3" width="6.28515625" bestFit="1" customWidth="1"/>
    <col min="4" max="4" width="10.85546875" bestFit="1" customWidth="1"/>
    <col min="5" max="5" width="8.85546875" bestFit="1" customWidth="1"/>
    <col min="6" max="6" width="11.42578125" bestFit="1" customWidth="1"/>
    <col min="7" max="7" width="8.140625" bestFit="1" customWidth="1"/>
    <col min="8" max="8" width="19.140625" bestFit="1" customWidth="1"/>
    <col min="9" max="9" width="11.5703125" bestFit="1" customWidth="1"/>
    <col min="10" max="10" width="8" bestFit="1" customWidth="1"/>
    <col min="11" max="11" width="14.42578125" bestFit="1" customWidth="1"/>
    <col min="12" max="12" width="16.42578125" bestFit="1" customWidth="1"/>
    <col min="13" max="13" width="9.5703125" bestFit="1" customWidth="1"/>
    <col min="14" max="14" width="11.28515625" bestFit="1" customWidth="1"/>
    <col min="15" max="15" width="12.42578125" bestFit="1" customWidth="1"/>
    <col min="16" max="16" width="10" bestFit="1" customWidth="1"/>
    <col min="17" max="17" width="15.7109375" bestFit="1" customWidth="1"/>
    <col min="18" max="18" width="14.5703125" bestFit="1" customWidth="1"/>
    <col min="19" max="19" width="12.5703125" bestFit="1" customWidth="1"/>
    <col min="20" max="20" width="9.7109375" bestFit="1" customWidth="1"/>
    <col min="21" max="21" width="13.5703125" bestFit="1" customWidth="1"/>
    <col min="22" max="22" width="11.140625" bestFit="1" customWidth="1"/>
    <col min="23" max="23" width="8.140625" bestFit="1" customWidth="1"/>
    <col min="24" max="24" width="9.140625" bestFit="1" customWidth="1"/>
    <col min="25" max="25" width="11.7109375" bestFit="1" customWidth="1"/>
    <col min="26" max="26" width="14.140625" bestFit="1" customWidth="1"/>
    <col min="27" max="27" width="11.140625" bestFit="1" customWidth="1"/>
    <col min="28" max="28" width="13.7109375" bestFit="1" customWidth="1"/>
    <col min="29" max="29" width="12.7109375" bestFit="1" customWidth="1"/>
    <col min="30" max="30" width="13.42578125" bestFit="1" customWidth="1"/>
    <col min="31" max="31" width="11" bestFit="1" customWidth="1"/>
    <col min="32" max="32" width="12.85546875" bestFit="1" customWidth="1"/>
    <col min="33" max="33" width="16.7109375" bestFit="1" customWidth="1"/>
    <col min="34" max="34" width="15" bestFit="1" customWidth="1"/>
    <col min="35" max="35" width="10.42578125" bestFit="1" customWidth="1"/>
    <col min="36" max="36" width="10.5703125" bestFit="1" customWidth="1"/>
    <col min="37" max="37" width="11" bestFit="1" customWidth="1"/>
    <col min="38" max="38" width="38.42578125" bestFit="1" customWidth="1"/>
    <col min="39" max="39" width="8.42578125" bestFit="1" customWidth="1"/>
    <col min="40" max="40" width="38.42578125" bestFit="1" customWidth="1"/>
    <col min="41" max="41" width="8.42578125" bestFit="1" customWidth="1"/>
    <col min="42" max="42" width="38.42578125" bestFit="1" customWidth="1"/>
    <col min="43" max="43" width="8.42578125" bestFit="1" customWidth="1"/>
    <col min="44" max="44" width="38.42578125" bestFit="1" customWidth="1"/>
    <col min="45" max="45" width="8.42578125" bestFit="1" customWidth="1"/>
    <col min="46" max="46" width="38.42578125" bestFit="1" customWidth="1"/>
    <col min="47" max="47" width="8.42578125" bestFit="1" customWidth="1"/>
    <col min="48" max="48" width="38.42578125" bestFit="1" customWidth="1"/>
    <col min="49" max="49" width="8.42578125" bestFit="1" customWidth="1"/>
    <col min="50" max="50" width="13.28515625" bestFit="1" customWidth="1"/>
    <col min="51" max="51" width="8.42578125" bestFit="1" customWidth="1"/>
    <col min="52" max="52" width="10.85546875" bestFit="1" customWidth="1"/>
    <col min="53" max="53" width="8.42578125" bestFit="1" customWidth="1"/>
    <col min="54" max="54" width="10.85546875" bestFit="1" customWidth="1"/>
    <col min="55" max="55" width="8.42578125" bestFit="1" customWidth="1"/>
    <col min="56" max="56" width="11.85546875" bestFit="1" customWidth="1"/>
    <col min="57" max="57" width="9.42578125" bestFit="1" customWidth="1"/>
    <col min="58" max="58" width="11.85546875" bestFit="1" customWidth="1"/>
    <col min="59" max="59" width="9.42578125" bestFit="1" customWidth="1"/>
    <col min="60" max="60" width="11.85546875" bestFit="1" customWidth="1"/>
    <col min="61" max="61" width="9.42578125" bestFit="1" customWidth="1"/>
    <col min="62" max="62" width="38.42578125" bestFit="1" customWidth="1"/>
    <col min="63" max="63" width="15.85546875" bestFit="1" customWidth="1"/>
    <col min="64" max="64" width="14.85546875" bestFit="1" customWidth="1"/>
    <col min="93" max="93" width="26.7109375" bestFit="1" customWidth="1"/>
    <col min="94" max="94" width="9.5703125" bestFit="1" customWidth="1"/>
    <col min="95" max="95" width="26.7109375" bestFit="1" customWidth="1"/>
    <col min="96" max="96" width="9.5703125" bestFit="1" customWidth="1"/>
    <col min="97" max="97" width="18.28515625" bestFit="1" customWidth="1"/>
    <col min="98" max="98" width="10.5703125" bestFit="1" customWidth="1"/>
    <col min="99" max="99" width="13" bestFit="1" customWidth="1"/>
    <col min="100" max="100" width="10.5703125" bestFit="1" customWidth="1"/>
    <col min="101" max="101" width="13" bestFit="1" customWidth="1"/>
    <col min="102" max="102" width="10.5703125" bestFit="1" customWidth="1"/>
  </cols>
  <sheetData>
    <row r="1" spans="1:64" ht="15.75" thickBot="1">
      <c r="A1" s="466" t="s">
        <v>6440</v>
      </c>
      <c r="B1" s="466" t="s">
        <v>6491</v>
      </c>
      <c r="C1" s="466" t="s">
        <v>6492</v>
      </c>
      <c r="D1" s="466" t="s">
        <v>6441</v>
      </c>
      <c r="E1" s="466" t="s">
        <v>6442</v>
      </c>
      <c r="F1" s="466" t="s">
        <v>6443</v>
      </c>
      <c r="G1" s="466" t="s">
        <v>953</v>
      </c>
      <c r="H1" s="466" t="s">
        <v>6444</v>
      </c>
      <c r="I1" s="466" t="s">
        <v>6445</v>
      </c>
      <c r="J1" s="466" t="s">
        <v>6446</v>
      </c>
      <c r="K1" s="466" t="s">
        <v>6447</v>
      </c>
      <c r="L1" s="466" t="s">
        <v>6448</v>
      </c>
      <c r="M1" s="466" t="s">
        <v>6449</v>
      </c>
      <c r="N1" s="466" t="s">
        <v>962</v>
      </c>
      <c r="O1" s="466" t="s">
        <v>958</v>
      </c>
      <c r="P1" s="466" t="s">
        <v>959</v>
      </c>
      <c r="Q1" s="466" t="s">
        <v>956</v>
      </c>
      <c r="R1" s="466" t="s">
        <v>957</v>
      </c>
      <c r="S1" s="466" t="s">
        <v>6450</v>
      </c>
      <c r="T1" s="466" t="s">
        <v>6451</v>
      </c>
      <c r="U1" s="466" t="s">
        <v>954</v>
      </c>
      <c r="V1" s="466" t="s">
        <v>955</v>
      </c>
      <c r="W1" s="466" t="s">
        <v>6452</v>
      </c>
      <c r="X1" s="466" t="s">
        <v>6453</v>
      </c>
      <c r="Y1" s="466" t="s">
        <v>960</v>
      </c>
      <c r="Z1" s="466" t="s">
        <v>6454</v>
      </c>
      <c r="AA1" s="466" t="s">
        <v>961</v>
      </c>
      <c r="AB1" s="466" t="s">
        <v>6455</v>
      </c>
      <c r="AC1" s="466" t="s">
        <v>6456</v>
      </c>
      <c r="AD1" s="466" t="s">
        <v>6457</v>
      </c>
      <c r="AE1" s="466" t="s">
        <v>6458</v>
      </c>
      <c r="AF1" s="466" t="s">
        <v>963</v>
      </c>
      <c r="AG1" s="466" t="s">
        <v>964</v>
      </c>
      <c r="AH1" s="466" t="s">
        <v>6459</v>
      </c>
      <c r="AI1" s="466" t="s">
        <v>6460</v>
      </c>
      <c r="AJ1" s="466" t="s">
        <v>965</v>
      </c>
      <c r="AK1" s="466" t="s">
        <v>966</v>
      </c>
      <c r="AL1" s="466" t="s">
        <v>6465</v>
      </c>
      <c r="AM1" s="466" t="s">
        <v>6466</v>
      </c>
      <c r="AN1" s="466" t="s">
        <v>6467</v>
      </c>
      <c r="AO1" s="466" t="s">
        <v>6468</v>
      </c>
      <c r="AP1" s="466" t="s">
        <v>6469</v>
      </c>
      <c r="AQ1" s="466" t="s">
        <v>6470</v>
      </c>
      <c r="AR1" s="466" t="s">
        <v>6471</v>
      </c>
      <c r="AS1" s="466" t="s">
        <v>6472</v>
      </c>
      <c r="AT1" s="466" t="s">
        <v>6473</v>
      </c>
      <c r="AU1" s="466" t="s">
        <v>6474</v>
      </c>
      <c r="AV1" s="466" t="s">
        <v>6475</v>
      </c>
      <c r="AW1" s="466" t="s">
        <v>6476</v>
      </c>
      <c r="AX1" s="466" t="s">
        <v>6477</v>
      </c>
      <c r="AY1" s="466" t="s">
        <v>6478</v>
      </c>
      <c r="AZ1" s="466" t="s">
        <v>6479</v>
      </c>
      <c r="BA1" s="466" t="s">
        <v>6480</v>
      </c>
      <c r="BB1" s="466" t="s">
        <v>6481</v>
      </c>
      <c r="BC1" s="466" t="s">
        <v>6482</v>
      </c>
      <c r="BD1" s="466" t="s">
        <v>6483</v>
      </c>
      <c r="BE1" s="466" t="s">
        <v>6484</v>
      </c>
      <c r="BF1" s="466" t="s">
        <v>6485</v>
      </c>
      <c r="BG1" s="466" t="s">
        <v>6486</v>
      </c>
      <c r="BH1" s="466" t="s">
        <v>6487</v>
      </c>
      <c r="BI1" s="466" t="s">
        <v>6488</v>
      </c>
      <c r="BJ1" s="466" t="s">
        <v>6461</v>
      </c>
      <c r="BK1" s="466" t="s">
        <v>6489</v>
      </c>
      <c r="BL1" s="467" t="s">
        <v>6490</v>
      </c>
    </row>
    <row r="2" spans="1:64" ht="15.75" thickTop="1">
      <c r="A2" s="468">
        <v>43793</v>
      </c>
      <c r="B2" s="473">
        <v>328</v>
      </c>
      <c r="C2" s="473">
        <v>37</v>
      </c>
      <c r="D2" s="470" t="s">
        <v>637</v>
      </c>
      <c r="E2" s="469">
        <v>47</v>
      </c>
      <c r="F2" s="470" t="s">
        <v>106</v>
      </c>
      <c r="G2" s="469">
        <v>533</v>
      </c>
      <c r="H2" s="470" t="s">
        <v>967</v>
      </c>
      <c r="I2" s="470" t="s">
        <v>836</v>
      </c>
      <c r="J2" s="469">
        <v>13</v>
      </c>
      <c r="K2" s="470" t="s">
        <v>6267</v>
      </c>
      <c r="L2" s="470" t="s">
        <v>6284</v>
      </c>
      <c r="M2" s="470" t="s">
        <v>9</v>
      </c>
      <c r="N2" s="473">
        <v>0</v>
      </c>
      <c r="O2" s="471"/>
      <c r="P2" s="471"/>
      <c r="Q2" s="471"/>
      <c r="R2" s="470"/>
      <c r="S2" s="471">
        <v>0.2200810185185185</v>
      </c>
      <c r="T2" s="471">
        <v>0.28674768518518517</v>
      </c>
      <c r="U2" s="471"/>
      <c r="V2" s="471"/>
      <c r="W2" s="471">
        <v>0.48784722222222227</v>
      </c>
      <c r="X2" s="471">
        <v>0.68894675925925919</v>
      </c>
      <c r="Y2" s="471">
        <v>0.17847222222222223</v>
      </c>
      <c r="Z2" s="471">
        <v>0.4145833333333333</v>
      </c>
      <c r="AA2" s="471">
        <v>0.65069444444444446</v>
      </c>
      <c r="AB2" s="470" t="s">
        <v>6289</v>
      </c>
      <c r="AC2" s="473">
        <v>131</v>
      </c>
      <c r="AD2" s="470" t="s">
        <v>119</v>
      </c>
      <c r="AE2" s="470" t="s">
        <v>6499</v>
      </c>
      <c r="AF2" s="473">
        <v>63.8</v>
      </c>
      <c r="AG2" s="469">
        <v>20.7</v>
      </c>
      <c r="AH2" s="470" t="s">
        <v>6299</v>
      </c>
      <c r="AI2" s="470" t="s">
        <v>6324</v>
      </c>
      <c r="AJ2" s="470" t="s">
        <v>839</v>
      </c>
      <c r="AK2" s="470" t="s">
        <v>6493</v>
      </c>
      <c r="AL2" s="470" t="s">
        <v>6715</v>
      </c>
      <c r="AM2" s="470" t="s">
        <v>6346</v>
      </c>
      <c r="AN2" s="470" t="s">
        <v>6897</v>
      </c>
      <c r="AO2" s="470"/>
      <c r="AP2" s="470" t="s">
        <v>7004</v>
      </c>
      <c r="AQ2" s="470"/>
      <c r="AR2" s="470"/>
      <c r="AS2" s="470"/>
      <c r="AT2" s="470"/>
      <c r="AU2" s="470"/>
      <c r="AV2" s="470"/>
      <c r="AW2" s="470"/>
      <c r="AX2" s="470"/>
      <c r="AY2" s="470"/>
      <c r="AZ2" s="470"/>
      <c r="BA2" s="470"/>
      <c r="BB2" s="470"/>
      <c r="BC2" s="470"/>
      <c r="BD2" s="470"/>
      <c r="BE2" s="470"/>
      <c r="BF2" s="470"/>
      <c r="BG2" s="470"/>
      <c r="BH2" s="470"/>
      <c r="BI2" s="470"/>
      <c r="BJ2" s="470" t="s">
        <v>6651</v>
      </c>
      <c r="BK2" s="470"/>
      <c r="BL2" s="474"/>
    </row>
    <row r="3" spans="1:64">
      <c r="A3" s="475">
        <v>43794</v>
      </c>
      <c r="B3" s="478">
        <v>329</v>
      </c>
      <c r="C3" s="478">
        <v>36</v>
      </c>
      <c r="D3" s="476" t="s">
        <v>637</v>
      </c>
      <c r="E3" s="477">
        <v>48</v>
      </c>
      <c r="F3" s="476" t="s">
        <v>88</v>
      </c>
      <c r="G3" s="477">
        <v>533</v>
      </c>
      <c r="H3" s="476" t="s">
        <v>967</v>
      </c>
      <c r="I3" s="476" t="s">
        <v>836</v>
      </c>
      <c r="J3" s="477">
        <v>14</v>
      </c>
      <c r="K3" s="476" t="s">
        <v>6268</v>
      </c>
      <c r="L3" s="476" t="s">
        <v>6285</v>
      </c>
      <c r="M3" s="476" t="s">
        <v>9</v>
      </c>
      <c r="N3" s="478">
        <v>0</v>
      </c>
      <c r="O3" s="479"/>
      <c r="P3" s="479"/>
      <c r="Q3" s="479"/>
      <c r="R3" s="476"/>
      <c r="S3" s="479">
        <v>0.22085648148148149</v>
      </c>
      <c r="T3" s="479">
        <v>0.28752314814814817</v>
      </c>
      <c r="U3" s="479"/>
      <c r="V3" s="479"/>
      <c r="W3" s="479">
        <v>0.48805555555555552</v>
      </c>
      <c r="X3" s="479">
        <v>0.68859953703703702</v>
      </c>
      <c r="Y3" s="479">
        <v>0.22847222222222222</v>
      </c>
      <c r="Z3" s="479">
        <v>0.45208333333333334</v>
      </c>
      <c r="AA3" s="479">
        <v>0.6743055555555556</v>
      </c>
      <c r="AB3" s="476" t="s">
        <v>6289</v>
      </c>
      <c r="AC3" s="478">
        <v>131</v>
      </c>
      <c r="AD3" s="476" t="s">
        <v>119</v>
      </c>
      <c r="AE3" s="476"/>
      <c r="AF3" s="478">
        <v>75.5</v>
      </c>
      <c r="AG3" s="477">
        <v>28.8</v>
      </c>
      <c r="AH3" s="476" t="s">
        <v>6300</v>
      </c>
      <c r="AI3" s="476" t="s">
        <v>6325</v>
      </c>
      <c r="AJ3" s="476" t="s">
        <v>6493</v>
      </c>
      <c r="AK3" s="476" t="s">
        <v>6493</v>
      </c>
      <c r="AL3" s="476"/>
      <c r="AM3" s="476"/>
      <c r="AN3" s="476"/>
      <c r="AO3" s="476"/>
      <c r="AP3" s="476"/>
      <c r="AQ3" s="476"/>
      <c r="AR3" s="476"/>
      <c r="AS3" s="476"/>
      <c r="AT3" s="476"/>
      <c r="AU3" s="476"/>
      <c r="AV3" s="476"/>
      <c r="AW3" s="476"/>
      <c r="AX3" s="476"/>
      <c r="AY3" s="476"/>
      <c r="AZ3" s="476"/>
      <c r="BA3" s="476"/>
      <c r="BB3" s="476"/>
      <c r="BC3" s="476"/>
      <c r="BD3" s="476"/>
      <c r="BE3" s="476"/>
      <c r="BF3" s="476"/>
      <c r="BG3" s="476"/>
      <c r="BH3" s="476"/>
      <c r="BI3" s="476"/>
      <c r="BJ3" s="476"/>
      <c r="BK3" s="476"/>
      <c r="BL3" s="480"/>
    </row>
    <row r="4" spans="1:64">
      <c r="A4" s="468">
        <v>43795</v>
      </c>
      <c r="B4" s="473">
        <v>330</v>
      </c>
      <c r="C4" s="473">
        <v>35</v>
      </c>
      <c r="D4" s="470" t="s">
        <v>637</v>
      </c>
      <c r="E4" s="469">
        <v>48</v>
      </c>
      <c r="F4" s="470" t="s">
        <v>91</v>
      </c>
      <c r="G4" s="469">
        <v>533</v>
      </c>
      <c r="H4" s="470" t="s">
        <v>967</v>
      </c>
      <c r="I4" s="470" t="s">
        <v>836</v>
      </c>
      <c r="J4" s="469">
        <v>15</v>
      </c>
      <c r="K4" s="470" t="s">
        <v>6269</v>
      </c>
      <c r="L4" s="470" t="s">
        <v>6286</v>
      </c>
      <c r="M4" s="470" t="s">
        <v>9</v>
      </c>
      <c r="N4" s="473">
        <v>0</v>
      </c>
      <c r="O4" s="471"/>
      <c r="P4" s="471"/>
      <c r="Q4" s="471"/>
      <c r="R4" s="470"/>
      <c r="S4" s="471">
        <v>0.22162037037037038</v>
      </c>
      <c r="T4" s="471">
        <v>0.28828703703703701</v>
      </c>
      <c r="U4" s="471"/>
      <c r="V4" s="471"/>
      <c r="W4" s="471">
        <v>0.48827546296296293</v>
      </c>
      <c r="X4" s="471">
        <v>0.68827546296296294</v>
      </c>
      <c r="Y4" s="471">
        <v>0.27847222222222223</v>
      </c>
      <c r="Z4" s="471">
        <v>0.49027777777777781</v>
      </c>
      <c r="AA4" s="471">
        <v>0.70138888888888884</v>
      </c>
      <c r="AB4" s="470" t="s">
        <v>6463</v>
      </c>
      <c r="AC4" s="473">
        <v>152</v>
      </c>
      <c r="AD4" s="470" t="s">
        <v>110</v>
      </c>
      <c r="AE4" s="470" t="s">
        <v>6500</v>
      </c>
      <c r="AF4" s="473">
        <v>85.5</v>
      </c>
      <c r="AG4" s="469">
        <v>35.4</v>
      </c>
      <c r="AH4" s="470" t="s">
        <v>6301</v>
      </c>
      <c r="AI4" s="470" t="s">
        <v>6326</v>
      </c>
      <c r="AJ4" s="470" t="s">
        <v>6493</v>
      </c>
      <c r="AK4" s="470" t="s">
        <v>6493</v>
      </c>
      <c r="AL4" s="470"/>
      <c r="AM4" s="470"/>
      <c r="AN4" s="470"/>
      <c r="AO4" s="470"/>
      <c r="AP4" s="470"/>
      <c r="AQ4" s="470"/>
      <c r="AR4" s="470"/>
      <c r="AS4" s="470"/>
      <c r="AT4" s="470"/>
      <c r="AU4" s="470"/>
      <c r="AV4" s="470"/>
      <c r="AW4" s="470"/>
      <c r="AX4" s="470"/>
      <c r="AY4" s="470"/>
      <c r="AZ4" s="470"/>
      <c r="BA4" s="470"/>
      <c r="BB4" s="470"/>
      <c r="BC4" s="470"/>
      <c r="BD4" s="470"/>
      <c r="BE4" s="470"/>
      <c r="BF4" s="470"/>
      <c r="BG4" s="470"/>
      <c r="BH4" s="470"/>
      <c r="BI4" s="470"/>
      <c r="BJ4" s="470"/>
      <c r="BK4" s="470"/>
      <c r="BL4" s="474"/>
    </row>
    <row r="5" spans="1:64">
      <c r="A5" s="475">
        <v>43796</v>
      </c>
      <c r="B5" s="478">
        <v>331</v>
      </c>
      <c r="C5" s="478">
        <v>34</v>
      </c>
      <c r="D5" s="476" t="s">
        <v>637</v>
      </c>
      <c r="E5" s="477">
        <v>48</v>
      </c>
      <c r="F5" s="476" t="s">
        <v>94</v>
      </c>
      <c r="G5" s="477">
        <v>533</v>
      </c>
      <c r="H5" s="476" t="s">
        <v>967</v>
      </c>
      <c r="I5" s="476" t="s">
        <v>6257</v>
      </c>
      <c r="J5" s="477">
        <v>16</v>
      </c>
      <c r="K5" s="476" t="s">
        <v>6270</v>
      </c>
      <c r="L5" s="476" t="s">
        <v>6287</v>
      </c>
      <c r="M5" s="476" t="s">
        <v>9</v>
      </c>
      <c r="N5" s="478">
        <v>0</v>
      </c>
      <c r="O5" s="479"/>
      <c r="P5" s="479"/>
      <c r="Q5" s="479"/>
      <c r="R5" s="476"/>
      <c r="S5" s="479">
        <v>0.22237268518518519</v>
      </c>
      <c r="T5" s="479">
        <v>0.28903935185185187</v>
      </c>
      <c r="U5" s="479"/>
      <c r="V5" s="479"/>
      <c r="W5" s="479">
        <v>0.48850694444444448</v>
      </c>
      <c r="X5" s="479">
        <v>0.68797453703703704</v>
      </c>
      <c r="Y5" s="479">
        <v>0.3263888888888889</v>
      </c>
      <c r="Z5" s="479">
        <v>0.52916666666666667</v>
      </c>
      <c r="AA5" s="479">
        <v>0.73263888888888884</v>
      </c>
      <c r="AB5" s="476" t="s">
        <v>6463</v>
      </c>
      <c r="AC5" s="478">
        <v>152</v>
      </c>
      <c r="AD5" s="476" t="s">
        <v>110</v>
      </c>
      <c r="AE5" s="476"/>
      <c r="AF5" s="478">
        <v>93</v>
      </c>
      <c r="AG5" s="477">
        <v>39.700000000000003</v>
      </c>
      <c r="AH5" s="476" t="s">
        <v>6302</v>
      </c>
      <c r="AI5" s="476" t="s">
        <v>6327</v>
      </c>
      <c r="AJ5" s="476" t="s">
        <v>6493</v>
      </c>
      <c r="AK5" s="476" t="s">
        <v>6493</v>
      </c>
      <c r="AL5" s="476"/>
      <c r="AM5" s="476"/>
      <c r="AN5" s="476"/>
      <c r="AO5" s="476"/>
      <c r="AP5" s="476"/>
      <c r="AQ5" s="476"/>
      <c r="AR5" s="476"/>
      <c r="AS5" s="476"/>
      <c r="AT5" s="476"/>
      <c r="AU5" s="476"/>
      <c r="AV5" s="476"/>
      <c r="AW5" s="476"/>
      <c r="AX5" s="476"/>
      <c r="AY5" s="476"/>
      <c r="AZ5" s="476"/>
      <c r="BA5" s="476"/>
      <c r="BB5" s="476"/>
      <c r="BC5" s="476"/>
      <c r="BD5" s="476"/>
      <c r="BE5" s="476"/>
      <c r="BF5" s="476"/>
      <c r="BG5" s="476"/>
      <c r="BH5" s="476"/>
      <c r="BI5" s="476"/>
      <c r="BJ5" s="476"/>
      <c r="BK5" s="476"/>
      <c r="BL5" s="480"/>
    </row>
    <row r="6" spans="1:64">
      <c r="A6" s="468">
        <v>43797</v>
      </c>
      <c r="B6" s="473">
        <v>332</v>
      </c>
      <c r="C6" s="473">
        <v>33</v>
      </c>
      <c r="D6" s="470" t="s">
        <v>637</v>
      </c>
      <c r="E6" s="469">
        <v>48</v>
      </c>
      <c r="F6" s="470" t="s">
        <v>6714</v>
      </c>
      <c r="G6" s="469">
        <v>533</v>
      </c>
      <c r="H6" s="470" t="s">
        <v>967</v>
      </c>
      <c r="I6" s="470" t="s">
        <v>6257</v>
      </c>
      <c r="J6" s="469">
        <v>17</v>
      </c>
      <c r="K6" s="470" t="s">
        <v>1034</v>
      </c>
      <c r="L6" s="470" t="s">
        <v>6273</v>
      </c>
      <c r="M6" s="470" t="s">
        <v>9</v>
      </c>
      <c r="N6" s="473">
        <v>0</v>
      </c>
      <c r="O6" s="471"/>
      <c r="P6" s="471"/>
      <c r="Q6" s="471"/>
      <c r="R6" s="470"/>
      <c r="S6" s="471">
        <v>0.22311342592592595</v>
      </c>
      <c r="T6" s="471">
        <v>0.28978009259259258</v>
      </c>
      <c r="U6" s="471"/>
      <c r="V6" s="471"/>
      <c r="W6" s="471">
        <v>0.48873842592592592</v>
      </c>
      <c r="X6" s="471">
        <v>0.68769675925925933</v>
      </c>
      <c r="Y6" s="471">
        <v>0.37152777777777773</v>
      </c>
      <c r="Z6" s="471">
        <v>0.56944444444444442</v>
      </c>
      <c r="AA6" s="471">
        <v>0.76736111111111116</v>
      </c>
      <c r="AB6" s="470" t="s">
        <v>6463</v>
      </c>
      <c r="AC6" s="473">
        <v>152</v>
      </c>
      <c r="AD6" s="470" t="s">
        <v>110</v>
      </c>
      <c r="AE6" s="470"/>
      <c r="AF6" s="473">
        <v>97.6</v>
      </c>
      <c r="AG6" s="469">
        <v>41.5</v>
      </c>
      <c r="AH6" s="470" t="s">
        <v>6303</v>
      </c>
      <c r="AI6" s="470" t="s">
        <v>6329</v>
      </c>
      <c r="AJ6" s="470" t="s">
        <v>6493</v>
      </c>
      <c r="AK6" s="470" t="s">
        <v>6493</v>
      </c>
      <c r="AL6" s="470"/>
      <c r="AM6" s="470"/>
      <c r="AN6" s="470"/>
      <c r="AO6" s="470"/>
      <c r="AP6" s="470"/>
      <c r="AQ6" s="470"/>
      <c r="AR6" s="470"/>
      <c r="AS6" s="470"/>
      <c r="AT6" s="470"/>
      <c r="AU6" s="470"/>
      <c r="AV6" s="470"/>
      <c r="AW6" s="470"/>
      <c r="AX6" s="470"/>
      <c r="AY6" s="470"/>
      <c r="AZ6" s="470"/>
      <c r="BA6" s="470"/>
      <c r="BB6" s="470"/>
      <c r="BC6" s="470"/>
      <c r="BD6" s="470"/>
      <c r="BE6" s="470"/>
      <c r="BF6" s="470"/>
      <c r="BG6" s="470"/>
      <c r="BH6" s="470"/>
      <c r="BI6" s="470"/>
      <c r="BJ6" s="470"/>
      <c r="BK6" s="470"/>
      <c r="BL6" s="474"/>
    </row>
    <row r="7" spans="1:64">
      <c r="A7" s="475">
        <v>43798</v>
      </c>
      <c r="B7" s="478">
        <v>333</v>
      </c>
      <c r="C7" s="478">
        <v>32</v>
      </c>
      <c r="D7" s="476" t="s">
        <v>637</v>
      </c>
      <c r="E7" s="477">
        <v>48</v>
      </c>
      <c r="F7" s="476" t="s">
        <v>100</v>
      </c>
      <c r="G7" s="477">
        <v>533</v>
      </c>
      <c r="H7" s="476" t="s">
        <v>967</v>
      </c>
      <c r="I7" s="476" t="s">
        <v>6257</v>
      </c>
      <c r="J7" s="477">
        <v>18</v>
      </c>
      <c r="K7" s="476" t="s">
        <v>6258</v>
      </c>
      <c r="L7" s="476" t="s">
        <v>6274</v>
      </c>
      <c r="M7" s="476" t="s">
        <v>9</v>
      </c>
      <c r="N7" s="478">
        <v>0</v>
      </c>
      <c r="O7" s="479"/>
      <c r="P7" s="479"/>
      <c r="Q7" s="479"/>
      <c r="R7" s="476"/>
      <c r="S7" s="479">
        <v>0.22385416666666666</v>
      </c>
      <c r="T7" s="479">
        <v>0.29052083333333334</v>
      </c>
      <c r="U7" s="479"/>
      <c r="V7" s="479"/>
      <c r="W7" s="479">
        <v>0.48898148148148146</v>
      </c>
      <c r="X7" s="479">
        <v>0.68745370370370373</v>
      </c>
      <c r="Y7" s="479">
        <v>0.41180555555555554</v>
      </c>
      <c r="Z7" s="479">
        <v>0.60833333333333328</v>
      </c>
      <c r="AA7" s="479">
        <v>0.80555555555555547</v>
      </c>
      <c r="AB7" s="476" t="s">
        <v>6463</v>
      </c>
      <c r="AC7" s="478">
        <v>152</v>
      </c>
      <c r="AD7" s="476" t="s">
        <v>110</v>
      </c>
      <c r="AE7" s="476"/>
      <c r="AF7" s="478">
        <v>99</v>
      </c>
      <c r="AG7" s="477">
        <v>40.4</v>
      </c>
      <c r="AH7" s="476" t="s">
        <v>6304</v>
      </c>
      <c r="AI7" s="476" t="s">
        <v>6330</v>
      </c>
      <c r="AJ7" s="476" t="s">
        <v>6493</v>
      </c>
      <c r="AK7" s="476" t="s">
        <v>6493</v>
      </c>
      <c r="AL7" s="476"/>
      <c r="AM7" s="476"/>
      <c r="AN7" s="476"/>
      <c r="AO7" s="476"/>
      <c r="AP7" s="476"/>
      <c r="AQ7" s="476"/>
      <c r="AR7" s="476"/>
      <c r="AS7" s="476"/>
      <c r="AT7" s="476"/>
      <c r="AU7" s="476"/>
      <c r="AV7" s="476"/>
      <c r="AW7" s="476"/>
      <c r="AX7" s="476"/>
      <c r="AY7" s="476"/>
      <c r="AZ7" s="476"/>
      <c r="BA7" s="476"/>
      <c r="BB7" s="476"/>
      <c r="BC7" s="476"/>
      <c r="BD7" s="476"/>
      <c r="BE7" s="476"/>
      <c r="BF7" s="476"/>
      <c r="BG7" s="476"/>
      <c r="BH7" s="476"/>
      <c r="BI7" s="476"/>
      <c r="BJ7" s="476"/>
      <c r="BK7" s="476"/>
      <c r="BL7" s="480"/>
    </row>
    <row r="8" spans="1:64">
      <c r="A8" s="468">
        <v>43799</v>
      </c>
      <c r="B8" s="473">
        <v>334</v>
      </c>
      <c r="C8" s="473">
        <v>31</v>
      </c>
      <c r="D8" s="470" t="s">
        <v>637</v>
      </c>
      <c r="E8" s="469">
        <v>48</v>
      </c>
      <c r="F8" s="470" t="s">
        <v>103</v>
      </c>
      <c r="G8" s="469">
        <v>533</v>
      </c>
      <c r="H8" s="470" t="s">
        <v>967</v>
      </c>
      <c r="I8" s="470" t="s">
        <v>6257</v>
      </c>
      <c r="J8" s="469">
        <v>19</v>
      </c>
      <c r="K8" s="470" t="s">
        <v>6259</v>
      </c>
      <c r="L8" s="470" t="s">
        <v>6275</v>
      </c>
      <c r="M8" s="470" t="s">
        <v>9</v>
      </c>
      <c r="N8" s="473">
        <v>0</v>
      </c>
      <c r="O8" s="471"/>
      <c r="P8" s="471"/>
      <c r="Q8" s="471"/>
      <c r="R8" s="470"/>
      <c r="S8" s="471">
        <v>0.22458333333333333</v>
      </c>
      <c r="T8" s="471">
        <v>0.29125000000000001</v>
      </c>
      <c r="U8" s="471"/>
      <c r="V8" s="471"/>
      <c r="W8" s="471">
        <v>0.48923611111111115</v>
      </c>
      <c r="X8" s="471">
        <v>0.68722222222222218</v>
      </c>
      <c r="Y8" s="471">
        <v>0.4458333333333333</v>
      </c>
      <c r="Z8" s="471">
        <v>0.64583333333333337</v>
      </c>
      <c r="AA8" s="471">
        <v>0.84583333333333333</v>
      </c>
      <c r="AB8" s="470" t="s">
        <v>6463</v>
      </c>
      <c r="AC8" s="473">
        <v>152</v>
      </c>
      <c r="AD8" s="470" t="s">
        <v>110</v>
      </c>
      <c r="AE8" s="470"/>
      <c r="AF8" s="473">
        <v>97.4</v>
      </c>
      <c r="AG8" s="469">
        <v>36.6</v>
      </c>
      <c r="AH8" s="470" t="s">
        <v>6305</v>
      </c>
      <c r="AI8" s="470" t="s">
        <v>6331</v>
      </c>
      <c r="AJ8" s="470" t="s">
        <v>6493</v>
      </c>
      <c r="AK8" s="470" t="s">
        <v>6493</v>
      </c>
      <c r="AL8" s="470"/>
      <c r="AM8" s="470"/>
      <c r="AN8" s="470"/>
      <c r="AO8" s="470"/>
      <c r="AP8" s="470"/>
      <c r="AQ8" s="470"/>
      <c r="AR8" s="470"/>
      <c r="AS8" s="470"/>
      <c r="AT8" s="470"/>
      <c r="AU8" s="470"/>
      <c r="AV8" s="470"/>
      <c r="AW8" s="470"/>
      <c r="AX8" s="470"/>
      <c r="AY8" s="470"/>
      <c r="AZ8" s="470"/>
      <c r="BA8" s="470"/>
      <c r="BB8" s="470"/>
      <c r="BC8" s="470"/>
      <c r="BD8" s="470"/>
      <c r="BE8" s="470"/>
      <c r="BF8" s="470"/>
      <c r="BG8" s="470"/>
      <c r="BH8" s="470"/>
      <c r="BI8" s="470"/>
      <c r="BJ8" s="470"/>
      <c r="BK8" s="470"/>
      <c r="BL8" s="474"/>
    </row>
    <row r="9" spans="1:64">
      <c r="A9" s="475">
        <v>43800</v>
      </c>
      <c r="B9" s="478">
        <v>335</v>
      </c>
      <c r="C9" s="478">
        <v>30</v>
      </c>
      <c r="D9" s="476" t="s">
        <v>640</v>
      </c>
      <c r="E9" s="477">
        <v>48</v>
      </c>
      <c r="F9" s="476" t="s">
        <v>106</v>
      </c>
      <c r="G9" s="477">
        <v>533</v>
      </c>
      <c r="H9" s="476" t="s">
        <v>967</v>
      </c>
      <c r="I9" s="476" t="s">
        <v>6257</v>
      </c>
      <c r="J9" s="477">
        <v>20</v>
      </c>
      <c r="K9" s="476" t="s">
        <v>6260</v>
      </c>
      <c r="L9" s="476" t="s">
        <v>6276</v>
      </c>
      <c r="M9" s="476" t="s">
        <v>9</v>
      </c>
      <c r="N9" s="478">
        <v>0</v>
      </c>
      <c r="O9" s="479"/>
      <c r="P9" s="479"/>
      <c r="Q9" s="479"/>
      <c r="R9" s="476"/>
      <c r="S9" s="479">
        <v>0.2253009259259259</v>
      </c>
      <c r="T9" s="479">
        <v>0.29196759259259258</v>
      </c>
      <c r="U9" s="479"/>
      <c r="V9" s="479"/>
      <c r="W9" s="479">
        <v>0.48950231481481482</v>
      </c>
      <c r="X9" s="479">
        <v>0.68702546296296296</v>
      </c>
      <c r="Y9" s="479">
        <v>0.47430555555555554</v>
      </c>
      <c r="Z9" s="479">
        <v>0.68125000000000002</v>
      </c>
      <c r="AA9" s="479">
        <v>0.88750000000000007</v>
      </c>
      <c r="AB9" s="476" t="s">
        <v>6463</v>
      </c>
      <c r="AC9" s="478">
        <v>152</v>
      </c>
      <c r="AD9" s="476" t="s">
        <v>110</v>
      </c>
      <c r="AE9" s="476"/>
      <c r="AF9" s="478">
        <v>93.1</v>
      </c>
      <c r="AG9" s="477">
        <v>30.3</v>
      </c>
      <c r="AH9" s="476" t="s">
        <v>6306</v>
      </c>
      <c r="AI9" s="476" t="s">
        <v>6332</v>
      </c>
      <c r="AJ9" s="476" t="s">
        <v>6493</v>
      </c>
      <c r="AK9" s="476" t="s">
        <v>6493</v>
      </c>
      <c r="AL9" s="476"/>
      <c r="AM9" s="476"/>
      <c r="AN9" s="476"/>
      <c r="AO9" s="476"/>
      <c r="AP9" s="476"/>
      <c r="AQ9" s="476"/>
      <c r="AR9" s="476"/>
      <c r="AS9" s="476"/>
      <c r="AT9" s="476"/>
      <c r="AU9" s="476"/>
      <c r="AV9" s="476"/>
      <c r="AW9" s="476"/>
      <c r="AX9" s="476"/>
      <c r="AY9" s="476"/>
      <c r="AZ9" s="476"/>
      <c r="BA9" s="476"/>
      <c r="BB9" s="476"/>
      <c r="BC9" s="476"/>
      <c r="BD9" s="476"/>
      <c r="BE9" s="476"/>
      <c r="BF9" s="476"/>
      <c r="BG9" s="476"/>
      <c r="BH9" s="476"/>
      <c r="BI9" s="476"/>
      <c r="BJ9" s="476"/>
      <c r="BK9" s="476"/>
      <c r="BL9" s="480"/>
    </row>
    <row r="10" spans="1:64">
      <c r="A10" s="468">
        <v>43801</v>
      </c>
      <c r="B10" s="473">
        <v>336</v>
      </c>
      <c r="C10" s="473">
        <v>29</v>
      </c>
      <c r="D10" s="470" t="s">
        <v>640</v>
      </c>
      <c r="E10" s="469">
        <v>49</v>
      </c>
      <c r="F10" s="470" t="s">
        <v>88</v>
      </c>
      <c r="G10" s="469">
        <v>533</v>
      </c>
      <c r="H10" s="470" t="s">
        <v>967</v>
      </c>
      <c r="I10" s="470" t="s">
        <v>6257</v>
      </c>
      <c r="J10" s="469">
        <v>21</v>
      </c>
      <c r="K10" s="470" t="s">
        <v>6261</v>
      </c>
      <c r="L10" s="470" t="s">
        <v>6277</v>
      </c>
      <c r="M10" s="470" t="s">
        <v>9</v>
      </c>
      <c r="N10" s="473">
        <v>0</v>
      </c>
      <c r="O10" s="471"/>
      <c r="P10" s="471"/>
      <c r="Q10" s="471"/>
      <c r="R10" s="470"/>
      <c r="S10" s="471">
        <v>0.22600694444444444</v>
      </c>
      <c r="T10" s="471">
        <v>0.29267361111111112</v>
      </c>
      <c r="U10" s="471"/>
      <c r="V10" s="471"/>
      <c r="W10" s="471">
        <v>0.48976851851851855</v>
      </c>
      <c r="X10" s="471">
        <v>0.68686342592592586</v>
      </c>
      <c r="Y10" s="471">
        <v>0.4993055555555555</v>
      </c>
      <c r="Z10" s="471">
        <v>0.71458333333333324</v>
      </c>
      <c r="AA10" s="471">
        <v>0.9291666666666667</v>
      </c>
      <c r="AB10" s="470" t="s">
        <v>6463</v>
      </c>
      <c r="AC10" s="473">
        <v>152</v>
      </c>
      <c r="AD10" s="470" t="s">
        <v>110</v>
      </c>
      <c r="AE10" s="470"/>
      <c r="AF10" s="473">
        <v>86.5</v>
      </c>
      <c r="AG10" s="469">
        <v>21.9</v>
      </c>
      <c r="AH10" s="470" t="s">
        <v>6307</v>
      </c>
      <c r="AI10" s="470" t="s">
        <v>6333</v>
      </c>
      <c r="AJ10" s="470" t="s">
        <v>839</v>
      </c>
      <c r="AK10" s="470" t="s">
        <v>6493</v>
      </c>
      <c r="AL10" s="470" t="s">
        <v>1217</v>
      </c>
      <c r="AM10" s="470" t="s">
        <v>6344</v>
      </c>
      <c r="AN10" s="470"/>
      <c r="AO10" s="470"/>
      <c r="AP10" s="470"/>
      <c r="AQ10" s="470"/>
      <c r="AR10" s="470"/>
      <c r="AS10" s="470"/>
      <c r="AT10" s="470"/>
      <c r="AU10" s="470"/>
      <c r="AV10" s="470"/>
      <c r="AW10" s="470"/>
      <c r="AX10" s="470"/>
      <c r="AY10" s="470"/>
      <c r="AZ10" s="470"/>
      <c r="BA10" s="470"/>
      <c r="BB10" s="470"/>
      <c r="BC10" s="470"/>
      <c r="BD10" s="470"/>
      <c r="BE10" s="470"/>
      <c r="BF10" s="470"/>
      <c r="BG10" s="470"/>
      <c r="BH10" s="470"/>
      <c r="BI10" s="470"/>
      <c r="BJ10" s="470" t="s">
        <v>6354</v>
      </c>
      <c r="BK10" s="470"/>
      <c r="BL10" s="474"/>
    </row>
    <row r="11" spans="1:64">
      <c r="A11" s="475">
        <v>43802</v>
      </c>
      <c r="B11" s="478">
        <v>337</v>
      </c>
      <c r="C11" s="478">
        <v>28</v>
      </c>
      <c r="D11" s="476" t="s">
        <v>640</v>
      </c>
      <c r="E11" s="477">
        <v>49</v>
      </c>
      <c r="F11" s="476" t="s">
        <v>91</v>
      </c>
      <c r="G11" s="477">
        <v>533</v>
      </c>
      <c r="H11" s="476" t="s">
        <v>967</v>
      </c>
      <c r="I11" s="476" t="s">
        <v>6257</v>
      </c>
      <c r="J11" s="477">
        <v>22</v>
      </c>
      <c r="K11" s="476" t="s">
        <v>6262</v>
      </c>
      <c r="L11" s="476" t="s">
        <v>6278</v>
      </c>
      <c r="M11" s="476" t="s">
        <v>9</v>
      </c>
      <c r="N11" s="478">
        <v>0</v>
      </c>
      <c r="O11" s="479"/>
      <c r="P11" s="479"/>
      <c r="Q11" s="479"/>
      <c r="R11" s="476"/>
      <c r="S11" s="479">
        <v>0.22670138888888888</v>
      </c>
      <c r="T11" s="479">
        <v>0.29336805555555556</v>
      </c>
      <c r="U11" s="479"/>
      <c r="V11" s="479"/>
      <c r="W11" s="479">
        <v>0.49003472222222227</v>
      </c>
      <c r="X11" s="479">
        <v>0.68671296296296302</v>
      </c>
      <c r="Y11" s="479">
        <v>0.52083333333333337</v>
      </c>
      <c r="Z11" s="479">
        <v>0.74513888888888891</v>
      </c>
      <c r="AA11" s="479">
        <v>0.97083333333333333</v>
      </c>
      <c r="AB11" s="476" t="s">
        <v>6463</v>
      </c>
      <c r="AC11" s="478">
        <v>152</v>
      </c>
      <c r="AD11" s="476" t="s">
        <v>110</v>
      </c>
      <c r="AE11" s="476"/>
      <c r="AF11" s="478">
        <v>78.3</v>
      </c>
      <c r="AG11" s="477">
        <v>12.1</v>
      </c>
      <c r="AH11" s="476" t="s">
        <v>6308</v>
      </c>
      <c r="AI11" s="476" t="s">
        <v>6334</v>
      </c>
      <c r="AJ11" s="476" t="s">
        <v>6493</v>
      </c>
      <c r="AK11" s="476" t="s">
        <v>6493</v>
      </c>
      <c r="AL11" s="476"/>
      <c r="AM11" s="476"/>
      <c r="AN11" s="476"/>
      <c r="AO11" s="476"/>
      <c r="AP11" s="476"/>
      <c r="AQ11" s="476"/>
      <c r="AR11" s="476"/>
      <c r="AS11" s="476"/>
      <c r="AT11" s="476"/>
      <c r="AU11" s="476"/>
      <c r="AV11" s="476"/>
      <c r="AW11" s="476"/>
      <c r="AX11" s="476"/>
      <c r="AY11" s="476"/>
      <c r="AZ11" s="476"/>
      <c r="BA11" s="476"/>
      <c r="BB11" s="476"/>
      <c r="BC11" s="476"/>
      <c r="BD11" s="476"/>
      <c r="BE11" s="476"/>
      <c r="BF11" s="476"/>
      <c r="BG11" s="476"/>
      <c r="BH11" s="476"/>
      <c r="BI11" s="476"/>
      <c r="BJ11" s="476"/>
      <c r="BK11" s="476"/>
      <c r="BL11" s="480"/>
    </row>
    <row r="12" spans="1:64">
      <c r="A12" s="468">
        <v>43803</v>
      </c>
      <c r="B12" s="473">
        <v>338</v>
      </c>
      <c r="C12" s="473">
        <v>27</v>
      </c>
      <c r="D12" s="470" t="s">
        <v>640</v>
      </c>
      <c r="E12" s="469">
        <v>49</v>
      </c>
      <c r="F12" s="470" t="s">
        <v>94</v>
      </c>
      <c r="G12" s="469">
        <v>533</v>
      </c>
      <c r="H12" s="470" t="s">
        <v>967</v>
      </c>
      <c r="I12" s="470" t="s">
        <v>6257</v>
      </c>
      <c r="J12" s="469">
        <v>23</v>
      </c>
      <c r="K12" s="470" t="s">
        <v>6263</v>
      </c>
      <c r="L12" s="470" t="s">
        <v>6279</v>
      </c>
      <c r="M12" s="470" t="s">
        <v>9</v>
      </c>
      <c r="N12" s="473">
        <v>0</v>
      </c>
      <c r="O12" s="471"/>
      <c r="P12" s="471"/>
      <c r="Q12" s="471"/>
      <c r="R12" s="470"/>
      <c r="S12" s="471">
        <v>0.22737268518518519</v>
      </c>
      <c r="T12" s="471">
        <v>0.29403935185185187</v>
      </c>
      <c r="U12" s="471"/>
      <c r="V12" s="471"/>
      <c r="W12" s="471">
        <v>0.49032407407407402</v>
      </c>
      <c r="X12" s="471">
        <v>0.68659722222222219</v>
      </c>
      <c r="Y12" s="471">
        <v>0.5395833333333333</v>
      </c>
      <c r="Z12" s="471">
        <v>0.77500000000000002</v>
      </c>
      <c r="AA12" s="471" t="s">
        <v>1107</v>
      </c>
      <c r="AB12" s="470" t="s">
        <v>6464</v>
      </c>
      <c r="AC12" s="473">
        <v>130</v>
      </c>
      <c r="AD12" s="470" t="s">
        <v>113</v>
      </c>
      <c r="AE12" s="470" t="s">
        <v>6501</v>
      </c>
      <c r="AF12" s="473">
        <v>69</v>
      </c>
      <c r="AG12" s="469">
        <v>1.4</v>
      </c>
      <c r="AH12" s="470" t="s">
        <v>6309</v>
      </c>
      <c r="AI12" s="470" t="s">
        <v>6335</v>
      </c>
      <c r="AJ12" s="470" t="s">
        <v>6493</v>
      </c>
      <c r="AK12" s="470" t="s">
        <v>6493</v>
      </c>
      <c r="AL12" s="470"/>
      <c r="AM12" s="470"/>
      <c r="AN12" s="470"/>
      <c r="AO12" s="470"/>
      <c r="AP12" s="470"/>
      <c r="AQ12" s="470"/>
      <c r="AR12" s="470"/>
      <c r="AS12" s="470"/>
      <c r="AT12" s="470"/>
      <c r="AU12" s="470"/>
      <c r="AV12" s="470"/>
      <c r="AW12" s="470"/>
      <c r="AX12" s="470"/>
      <c r="AY12" s="470"/>
      <c r="AZ12" s="470"/>
      <c r="BA12" s="470"/>
      <c r="BB12" s="470"/>
      <c r="BC12" s="470"/>
      <c r="BD12" s="470"/>
      <c r="BE12" s="470"/>
      <c r="BF12" s="470"/>
      <c r="BG12" s="470"/>
      <c r="BH12" s="470"/>
      <c r="BI12" s="470"/>
      <c r="BJ12" s="470"/>
      <c r="BK12" s="470"/>
      <c r="BL12" s="474"/>
    </row>
    <row r="13" spans="1:64">
      <c r="A13" s="475">
        <v>43804</v>
      </c>
      <c r="B13" s="478">
        <v>339</v>
      </c>
      <c r="C13" s="478">
        <v>26</v>
      </c>
      <c r="D13" s="476" t="s">
        <v>640</v>
      </c>
      <c r="E13" s="477">
        <v>49</v>
      </c>
      <c r="F13" s="476" t="s">
        <v>6714</v>
      </c>
      <c r="G13" s="477">
        <v>533</v>
      </c>
      <c r="H13" s="476" t="s">
        <v>967</v>
      </c>
      <c r="I13" s="476" t="s">
        <v>6257</v>
      </c>
      <c r="J13" s="477">
        <v>24</v>
      </c>
      <c r="K13" s="476" t="s">
        <v>6264</v>
      </c>
      <c r="L13" s="476" t="s">
        <v>6280</v>
      </c>
      <c r="M13" s="476" t="s">
        <v>9</v>
      </c>
      <c r="N13" s="478">
        <v>0</v>
      </c>
      <c r="O13" s="479"/>
      <c r="P13" s="479"/>
      <c r="Q13" s="479"/>
      <c r="R13" s="476"/>
      <c r="S13" s="479">
        <v>0.2280439814814815</v>
      </c>
      <c r="T13" s="479">
        <v>0.29471064814814812</v>
      </c>
      <c r="U13" s="479"/>
      <c r="V13" s="479"/>
      <c r="W13" s="479">
        <v>0.49061342592592588</v>
      </c>
      <c r="X13" s="479">
        <v>0.68650462962962966</v>
      </c>
      <c r="Y13" s="479">
        <v>0.55694444444444446</v>
      </c>
      <c r="Z13" s="479">
        <v>0.80347222222222225</v>
      </c>
      <c r="AA13" s="479">
        <v>1.1111111111111112E-2</v>
      </c>
      <c r="AB13" s="476" t="s">
        <v>6464</v>
      </c>
      <c r="AC13" s="478">
        <v>130</v>
      </c>
      <c r="AD13" s="476" t="s">
        <v>113</v>
      </c>
      <c r="AE13" s="476"/>
      <c r="AF13" s="478">
        <v>59.5</v>
      </c>
      <c r="AG13" s="477">
        <v>90.5</v>
      </c>
      <c r="AH13" s="476" t="s">
        <v>6309</v>
      </c>
      <c r="AI13" s="476" t="s">
        <v>6336</v>
      </c>
      <c r="AJ13" s="476" t="s">
        <v>6493</v>
      </c>
      <c r="AK13" s="476" t="s">
        <v>6493</v>
      </c>
      <c r="AL13" s="476"/>
      <c r="AM13" s="476"/>
      <c r="AN13" s="476"/>
      <c r="AO13" s="476"/>
      <c r="AP13" s="476"/>
      <c r="AQ13" s="476"/>
      <c r="AR13" s="476"/>
      <c r="AS13" s="476"/>
      <c r="AT13" s="476"/>
      <c r="AU13" s="476"/>
      <c r="AV13" s="476"/>
      <c r="AW13" s="476"/>
      <c r="AX13" s="476"/>
      <c r="AY13" s="476"/>
      <c r="AZ13" s="476"/>
      <c r="BA13" s="476"/>
      <c r="BB13" s="476"/>
      <c r="BC13" s="476"/>
      <c r="BD13" s="476"/>
      <c r="BE13" s="476"/>
      <c r="BF13" s="476"/>
      <c r="BG13" s="476"/>
      <c r="BH13" s="476"/>
      <c r="BI13" s="476"/>
      <c r="BJ13" s="476"/>
      <c r="BK13" s="476"/>
      <c r="BL13" s="480"/>
    </row>
    <row r="14" spans="1:64">
      <c r="A14" s="468">
        <v>43805</v>
      </c>
      <c r="B14" s="473">
        <v>340</v>
      </c>
      <c r="C14" s="473">
        <v>25</v>
      </c>
      <c r="D14" s="470" t="s">
        <v>640</v>
      </c>
      <c r="E14" s="469">
        <v>49</v>
      </c>
      <c r="F14" s="470" t="s">
        <v>100</v>
      </c>
      <c r="G14" s="469">
        <v>533</v>
      </c>
      <c r="H14" s="470" t="s">
        <v>967</v>
      </c>
      <c r="I14" s="470" t="s">
        <v>6257</v>
      </c>
      <c r="J14" s="469">
        <v>25</v>
      </c>
      <c r="K14" s="470" t="s">
        <v>6265</v>
      </c>
      <c r="L14" s="470" t="s">
        <v>6281</v>
      </c>
      <c r="M14" s="470" t="s">
        <v>9</v>
      </c>
      <c r="N14" s="473">
        <v>0</v>
      </c>
      <c r="O14" s="471"/>
      <c r="P14" s="471"/>
      <c r="Q14" s="471"/>
      <c r="R14" s="470"/>
      <c r="S14" s="471">
        <v>0.22870370370370371</v>
      </c>
      <c r="T14" s="471">
        <v>0.29537037037037034</v>
      </c>
      <c r="U14" s="471"/>
      <c r="V14" s="471"/>
      <c r="W14" s="471">
        <v>0.49090277777777774</v>
      </c>
      <c r="X14" s="471">
        <v>0.68644675925925924</v>
      </c>
      <c r="Y14" s="471">
        <v>0.57361111111111118</v>
      </c>
      <c r="Z14" s="471">
        <v>0.83124999999999993</v>
      </c>
      <c r="AA14" s="471">
        <v>5.1388888888888894E-2</v>
      </c>
      <c r="AB14" s="470" t="s">
        <v>6464</v>
      </c>
      <c r="AC14" s="473">
        <v>130</v>
      </c>
      <c r="AD14" s="470" t="s">
        <v>113</v>
      </c>
      <c r="AE14" s="470"/>
      <c r="AF14" s="473">
        <v>50.4</v>
      </c>
      <c r="AG14" s="469">
        <v>79.900000000000006</v>
      </c>
      <c r="AH14" s="470" t="s">
        <v>6310</v>
      </c>
      <c r="AI14" s="470" t="s">
        <v>6337</v>
      </c>
      <c r="AJ14" s="470" t="s">
        <v>6493</v>
      </c>
      <c r="AK14" s="470" t="s">
        <v>6493</v>
      </c>
      <c r="AL14" s="470"/>
      <c r="AM14" s="470"/>
      <c r="AN14" s="470"/>
      <c r="AO14" s="470"/>
      <c r="AP14" s="470"/>
      <c r="AQ14" s="470"/>
      <c r="AR14" s="470"/>
      <c r="AS14" s="470"/>
      <c r="AT14" s="470"/>
      <c r="AU14" s="470"/>
      <c r="AV14" s="470"/>
      <c r="AW14" s="470"/>
      <c r="AX14" s="470"/>
      <c r="AY14" s="470"/>
      <c r="AZ14" s="470"/>
      <c r="BA14" s="470"/>
      <c r="BB14" s="470"/>
      <c r="BC14" s="470"/>
      <c r="BD14" s="470"/>
      <c r="BE14" s="470"/>
      <c r="BF14" s="470"/>
      <c r="BG14" s="470"/>
      <c r="BH14" s="470"/>
      <c r="BI14" s="470"/>
      <c r="BJ14" s="470"/>
      <c r="BK14" s="470"/>
      <c r="BL14" s="474"/>
    </row>
    <row r="15" spans="1:64">
      <c r="A15" s="475">
        <v>43806</v>
      </c>
      <c r="B15" s="478">
        <v>341</v>
      </c>
      <c r="C15" s="478">
        <v>24</v>
      </c>
      <c r="D15" s="476" t="s">
        <v>640</v>
      </c>
      <c r="E15" s="477">
        <v>49</v>
      </c>
      <c r="F15" s="476" t="s">
        <v>103</v>
      </c>
      <c r="G15" s="477">
        <v>533</v>
      </c>
      <c r="H15" s="476" t="s">
        <v>967</v>
      </c>
      <c r="I15" s="476" t="s">
        <v>6257</v>
      </c>
      <c r="J15" s="477">
        <v>26</v>
      </c>
      <c r="K15" s="476" t="s">
        <v>6271</v>
      </c>
      <c r="L15" s="476" t="s">
        <v>6282</v>
      </c>
      <c r="M15" s="476" t="s">
        <v>9</v>
      </c>
      <c r="N15" s="478">
        <v>0</v>
      </c>
      <c r="O15" s="479"/>
      <c r="P15" s="479"/>
      <c r="Q15" s="479"/>
      <c r="R15" s="476"/>
      <c r="S15" s="479">
        <v>0.22934027777777777</v>
      </c>
      <c r="T15" s="479">
        <v>0.29600694444444448</v>
      </c>
      <c r="U15" s="479"/>
      <c r="V15" s="479"/>
      <c r="W15" s="479">
        <v>0.49120370370370375</v>
      </c>
      <c r="X15" s="479">
        <v>0.68640046296296298</v>
      </c>
      <c r="Y15" s="479">
        <v>0.59097222222222223</v>
      </c>
      <c r="Z15" s="479">
        <v>0.86111111111111116</v>
      </c>
      <c r="AA15" s="479">
        <v>9.1666666666666674E-2</v>
      </c>
      <c r="AB15" s="476" t="s">
        <v>6464</v>
      </c>
      <c r="AC15" s="478">
        <v>130</v>
      </c>
      <c r="AD15" s="476" t="s">
        <v>113</v>
      </c>
      <c r="AE15" s="476"/>
      <c r="AF15" s="478">
        <v>42.2</v>
      </c>
      <c r="AG15" s="477">
        <v>70.099999999999994</v>
      </c>
      <c r="AH15" s="476" t="s">
        <v>6311</v>
      </c>
      <c r="AI15" s="476" t="s">
        <v>6338</v>
      </c>
      <c r="AJ15" s="476" t="s">
        <v>838</v>
      </c>
      <c r="AK15" s="476" t="s">
        <v>13</v>
      </c>
      <c r="AL15" s="476" t="s">
        <v>6716</v>
      </c>
      <c r="AM15" s="476" t="s">
        <v>6342</v>
      </c>
      <c r="AN15" s="476" t="s">
        <v>6898</v>
      </c>
      <c r="AO15" s="476" t="s">
        <v>6351</v>
      </c>
      <c r="AP15" s="476" t="s">
        <v>7005</v>
      </c>
      <c r="AQ15" s="476" t="s">
        <v>6344</v>
      </c>
      <c r="AR15" s="476"/>
      <c r="AS15" s="476"/>
      <c r="AT15" s="476"/>
      <c r="AU15" s="476"/>
      <c r="AV15" s="476"/>
      <c r="AW15" s="476"/>
      <c r="AX15" s="476"/>
      <c r="AY15" s="476"/>
      <c r="AZ15" s="476"/>
      <c r="BA15" s="476"/>
      <c r="BB15" s="476"/>
      <c r="BC15" s="476"/>
      <c r="BD15" s="476"/>
      <c r="BE15" s="476"/>
      <c r="BF15" s="476"/>
      <c r="BG15" s="476"/>
      <c r="BH15" s="476"/>
      <c r="BI15" s="476"/>
      <c r="BJ15" s="476" t="s">
        <v>1003</v>
      </c>
      <c r="BK15" s="476"/>
      <c r="BL15" s="480"/>
    </row>
    <row r="16" spans="1:64">
      <c r="A16" s="468">
        <v>43807</v>
      </c>
      <c r="B16" s="473">
        <v>342</v>
      </c>
      <c r="C16" s="473">
        <v>23</v>
      </c>
      <c r="D16" s="470" t="s">
        <v>640</v>
      </c>
      <c r="E16" s="469">
        <v>49</v>
      </c>
      <c r="F16" s="470" t="s">
        <v>106</v>
      </c>
      <c r="G16" s="469">
        <v>533</v>
      </c>
      <c r="H16" s="470" t="s">
        <v>967</v>
      </c>
      <c r="I16" s="470" t="s">
        <v>6257</v>
      </c>
      <c r="J16" s="469">
        <v>27</v>
      </c>
      <c r="K16" s="470" t="s">
        <v>6266</v>
      </c>
      <c r="L16" s="470" t="s">
        <v>6283</v>
      </c>
      <c r="M16" s="470" t="s">
        <v>9</v>
      </c>
      <c r="N16" s="473">
        <v>0</v>
      </c>
      <c r="O16" s="471"/>
      <c r="P16" s="471"/>
      <c r="Q16" s="471"/>
      <c r="R16" s="470"/>
      <c r="S16" s="471">
        <v>0.22996527777777778</v>
      </c>
      <c r="T16" s="471">
        <v>0.29663194444444446</v>
      </c>
      <c r="U16" s="471">
        <v>0.29652777777777778</v>
      </c>
      <c r="V16" s="471">
        <v>0.42638888888888887</v>
      </c>
      <c r="W16" s="471">
        <v>0.49151620370370369</v>
      </c>
      <c r="X16" s="471">
        <v>0.68638888888888883</v>
      </c>
      <c r="Y16" s="471">
        <v>0.60902777777777783</v>
      </c>
      <c r="Z16" s="471">
        <v>0.89027777777777783</v>
      </c>
      <c r="AA16" s="471">
        <v>0.13333333333333333</v>
      </c>
      <c r="AB16" s="470" t="s">
        <v>6464</v>
      </c>
      <c r="AC16" s="473">
        <v>130</v>
      </c>
      <c r="AD16" s="470" t="s">
        <v>113</v>
      </c>
      <c r="AE16" s="470"/>
      <c r="AF16" s="473">
        <v>35.5</v>
      </c>
      <c r="AG16" s="469">
        <v>61.7</v>
      </c>
      <c r="AH16" s="470" t="s">
        <v>6312</v>
      </c>
      <c r="AI16" s="470" t="s">
        <v>6339</v>
      </c>
      <c r="AJ16" s="470" t="s">
        <v>839</v>
      </c>
      <c r="AK16" s="470" t="s">
        <v>6493</v>
      </c>
      <c r="AL16" s="470" t="s">
        <v>6717</v>
      </c>
      <c r="AM16" s="470" t="s">
        <v>6343</v>
      </c>
      <c r="AN16" s="470"/>
      <c r="AO16" s="470"/>
      <c r="AP16" s="470"/>
      <c r="AQ16" s="470"/>
      <c r="AR16" s="470"/>
      <c r="AS16" s="470"/>
      <c r="AT16" s="470"/>
      <c r="AU16" s="470"/>
      <c r="AV16" s="470"/>
      <c r="AW16" s="470"/>
      <c r="AX16" s="470"/>
      <c r="AY16" s="470"/>
      <c r="AZ16" s="470"/>
      <c r="BA16" s="470"/>
      <c r="BB16" s="470"/>
      <c r="BC16" s="470"/>
      <c r="BD16" s="470"/>
      <c r="BE16" s="470"/>
      <c r="BF16" s="470"/>
      <c r="BG16" s="470"/>
      <c r="BH16" s="470"/>
      <c r="BI16" s="470"/>
      <c r="BJ16" s="470"/>
      <c r="BK16" s="470"/>
      <c r="BL16" s="474"/>
    </row>
    <row r="17" spans="1:64">
      <c r="A17" s="475">
        <v>43808</v>
      </c>
      <c r="B17" s="478">
        <v>343</v>
      </c>
      <c r="C17" s="478">
        <v>22</v>
      </c>
      <c r="D17" s="476" t="s">
        <v>640</v>
      </c>
      <c r="E17" s="477">
        <v>50</v>
      </c>
      <c r="F17" s="476" t="s">
        <v>88</v>
      </c>
      <c r="G17" s="477">
        <v>533</v>
      </c>
      <c r="H17" s="476" t="s">
        <v>967</v>
      </c>
      <c r="I17" s="476" t="s">
        <v>6257</v>
      </c>
      <c r="J17" s="477">
        <v>28</v>
      </c>
      <c r="K17" s="476" t="s">
        <v>6267</v>
      </c>
      <c r="L17" s="476" t="s">
        <v>6284</v>
      </c>
      <c r="M17" s="476" t="s">
        <v>9</v>
      </c>
      <c r="N17" s="478">
        <v>0</v>
      </c>
      <c r="O17" s="479"/>
      <c r="P17" s="479"/>
      <c r="Q17" s="479"/>
      <c r="R17" s="476"/>
      <c r="S17" s="479">
        <v>0.23056712962962964</v>
      </c>
      <c r="T17" s="479">
        <v>0.29723379629629632</v>
      </c>
      <c r="U17" s="479"/>
      <c r="V17" s="479"/>
      <c r="W17" s="479">
        <v>0.49182870370370368</v>
      </c>
      <c r="X17" s="479">
        <v>0.68641203703703713</v>
      </c>
      <c r="Y17" s="479">
        <v>0.62847222222222221</v>
      </c>
      <c r="Z17" s="479">
        <v>0.92222222222222217</v>
      </c>
      <c r="AA17" s="479">
        <v>0.1763888888888889</v>
      </c>
      <c r="AB17" s="476" t="s">
        <v>6464</v>
      </c>
      <c r="AC17" s="478">
        <v>130</v>
      </c>
      <c r="AD17" s="476" t="s">
        <v>113</v>
      </c>
      <c r="AE17" s="476"/>
      <c r="AF17" s="478">
        <v>30.7</v>
      </c>
      <c r="AG17" s="477">
        <v>55</v>
      </c>
      <c r="AH17" s="476" t="s">
        <v>6313</v>
      </c>
      <c r="AI17" s="476" t="s">
        <v>6340</v>
      </c>
      <c r="AJ17" s="476" t="s">
        <v>6493</v>
      </c>
      <c r="AK17" s="476" t="s">
        <v>6493</v>
      </c>
      <c r="AL17" s="476"/>
      <c r="AM17" s="476"/>
      <c r="AN17" s="476"/>
      <c r="AO17" s="476"/>
      <c r="AP17" s="476"/>
      <c r="AQ17" s="476"/>
      <c r="AR17" s="476"/>
      <c r="AS17" s="476"/>
      <c r="AT17" s="476"/>
      <c r="AU17" s="476"/>
      <c r="AV17" s="476"/>
      <c r="AW17" s="476"/>
      <c r="AX17" s="476"/>
      <c r="AY17" s="476"/>
      <c r="AZ17" s="476"/>
      <c r="BA17" s="476"/>
      <c r="BB17" s="476"/>
      <c r="BC17" s="476"/>
      <c r="BD17" s="476"/>
      <c r="BE17" s="476"/>
      <c r="BF17" s="476"/>
      <c r="BG17" s="476"/>
      <c r="BH17" s="476"/>
      <c r="BI17" s="476"/>
      <c r="BJ17" s="476"/>
      <c r="BK17" s="476"/>
      <c r="BL17" s="480"/>
    </row>
    <row r="18" spans="1:64">
      <c r="A18" s="468">
        <v>43809</v>
      </c>
      <c r="B18" s="473">
        <v>344</v>
      </c>
      <c r="C18" s="473">
        <v>21</v>
      </c>
      <c r="D18" s="470" t="s">
        <v>640</v>
      </c>
      <c r="E18" s="469">
        <v>50</v>
      </c>
      <c r="F18" s="470" t="s">
        <v>91</v>
      </c>
      <c r="G18" s="469">
        <v>533</v>
      </c>
      <c r="H18" s="470" t="s">
        <v>967</v>
      </c>
      <c r="I18" s="470" t="s">
        <v>6257</v>
      </c>
      <c r="J18" s="469">
        <v>29</v>
      </c>
      <c r="K18" s="470" t="s">
        <v>6268</v>
      </c>
      <c r="L18" s="470" t="s">
        <v>6285</v>
      </c>
      <c r="M18" s="470" t="s">
        <v>9</v>
      </c>
      <c r="N18" s="473">
        <v>0</v>
      </c>
      <c r="O18" s="471"/>
      <c r="P18" s="471"/>
      <c r="Q18" s="471"/>
      <c r="R18" s="470"/>
      <c r="S18" s="471">
        <v>0.23115740740740742</v>
      </c>
      <c r="T18" s="471">
        <v>0.29782407407407407</v>
      </c>
      <c r="U18" s="471"/>
      <c r="V18" s="471"/>
      <c r="W18" s="471">
        <v>0.49214120370370368</v>
      </c>
      <c r="X18" s="471">
        <v>0.68645833333333339</v>
      </c>
      <c r="Y18" s="471">
        <v>0.65138888888888891</v>
      </c>
      <c r="Z18" s="471">
        <v>0.95624999999999993</v>
      </c>
      <c r="AA18" s="471">
        <v>0.22013888888888888</v>
      </c>
      <c r="AB18" s="470" t="s">
        <v>6464</v>
      </c>
      <c r="AC18" s="473">
        <v>130</v>
      </c>
      <c r="AD18" s="470" t="s">
        <v>113</v>
      </c>
      <c r="AE18" s="470"/>
      <c r="AF18" s="473">
        <v>28.1</v>
      </c>
      <c r="AG18" s="469">
        <v>50.3</v>
      </c>
      <c r="AH18" s="470" t="s">
        <v>6314</v>
      </c>
      <c r="AI18" s="470" t="s">
        <v>974</v>
      </c>
      <c r="AJ18" s="470" t="s">
        <v>6493</v>
      </c>
      <c r="AK18" s="470" t="s">
        <v>6493</v>
      </c>
      <c r="AL18" s="470"/>
      <c r="AM18" s="470"/>
      <c r="AN18" s="470"/>
      <c r="AO18" s="470"/>
      <c r="AP18" s="470"/>
      <c r="AQ18" s="470"/>
      <c r="AR18" s="470"/>
      <c r="AS18" s="470"/>
      <c r="AT18" s="470"/>
      <c r="AU18" s="470"/>
      <c r="AV18" s="470"/>
      <c r="AW18" s="470"/>
      <c r="AX18" s="470"/>
      <c r="AY18" s="470"/>
      <c r="AZ18" s="470"/>
      <c r="BA18" s="470"/>
      <c r="BB18" s="470"/>
      <c r="BC18" s="470"/>
      <c r="BD18" s="470"/>
      <c r="BE18" s="470"/>
      <c r="BF18" s="470"/>
      <c r="BG18" s="470"/>
      <c r="BH18" s="470"/>
      <c r="BI18" s="470"/>
      <c r="BJ18" s="470"/>
      <c r="BK18" s="470"/>
      <c r="BL18" s="474"/>
    </row>
    <row r="19" spans="1:64">
      <c r="A19" s="475">
        <v>43810</v>
      </c>
      <c r="B19" s="478">
        <v>345</v>
      </c>
      <c r="C19" s="478">
        <v>20</v>
      </c>
      <c r="D19" s="476" t="s">
        <v>640</v>
      </c>
      <c r="E19" s="477">
        <v>50</v>
      </c>
      <c r="F19" s="476" t="s">
        <v>94</v>
      </c>
      <c r="G19" s="477">
        <v>533</v>
      </c>
      <c r="H19" s="476" t="s">
        <v>967</v>
      </c>
      <c r="I19" s="476" t="s">
        <v>6257</v>
      </c>
      <c r="J19" s="477">
        <v>30</v>
      </c>
      <c r="K19" s="476" t="s">
        <v>6272</v>
      </c>
      <c r="L19" s="476" t="s">
        <v>6288</v>
      </c>
      <c r="M19" s="476" t="s">
        <v>9</v>
      </c>
      <c r="N19" s="478">
        <v>0</v>
      </c>
      <c r="O19" s="479"/>
      <c r="P19" s="479"/>
      <c r="Q19" s="479"/>
      <c r="R19" s="476"/>
      <c r="S19" s="479">
        <v>0.23173611111111111</v>
      </c>
      <c r="T19" s="479">
        <v>0.29840277777777779</v>
      </c>
      <c r="U19" s="479"/>
      <c r="V19" s="479"/>
      <c r="W19" s="479">
        <v>0.49246527777777777</v>
      </c>
      <c r="X19" s="479">
        <v>0.68652777777777774</v>
      </c>
      <c r="Y19" s="479">
        <v>0.67847222222222225</v>
      </c>
      <c r="Z19" s="479">
        <v>0.99236111111111114</v>
      </c>
      <c r="AA19" s="479">
        <v>0.26458333333333334</v>
      </c>
      <c r="AB19" s="476" t="s">
        <v>6464</v>
      </c>
      <c r="AC19" s="478">
        <v>130</v>
      </c>
      <c r="AD19" s="476" t="s">
        <v>113</v>
      </c>
      <c r="AE19" s="476"/>
      <c r="AF19" s="478">
        <v>27.8</v>
      </c>
      <c r="AG19" s="477">
        <v>47.6</v>
      </c>
      <c r="AH19" s="476" t="s">
        <v>973</v>
      </c>
      <c r="AI19" s="476" t="s">
        <v>6316</v>
      </c>
      <c r="AJ19" s="476" t="s">
        <v>839</v>
      </c>
      <c r="AK19" s="476" t="s">
        <v>6493</v>
      </c>
      <c r="AL19" s="476" t="s">
        <v>6718</v>
      </c>
      <c r="AM19" s="476" t="s">
        <v>6344</v>
      </c>
      <c r="AN19" s="476" t="s">
        <v>6899</v>
      </c>
      <c r="AO19" s="476"/>
      <c r="AP19" s="476"/>
      <c r="AQ19" s="476"/>
      <c r="AR19" s="476"/>
      <c r="AS19" s="476"/>
      <c r="AT19" s="476"/>
      <c r="AU19" s="476"/>
      <c r="AV19" s="476"/>
      <c r="AW19" s="476"/>
      <c r="AX19" s="476"/>
      <c r="AY19" s="476"/>
      <c r="AZ19" s="476"/>
      <c r="BA19" s="476"/>
      <c r="BB19" s="476"/>
      <c r="BC19" s="476"/>
      <c r="BD19" s="476"/>
      <c r="BE19" s="476"/>
      <c r="BF19" s="476"/>
      <c r="BG19" s="476"/>
      <c r="BH19" s="476"/>
      <c r="BI19" s="476"/>
      <c r="BJ19" s="476" t="s">
        <v>6355</v>
      </c>
      <c r="BK19" s="476"/>
      <c r="BL19" s="480"/>
    </row>
    <row r="20" spans="1:64">
      <c r="A20" s="468">
        <v>43811</v>
      </c>
      <c r="B20" s="473">
        <v>346</v>
      </c>
      <c r="C20" s="473">
        <v>19</v>
      </c>
      <c r="D20" s="470" t="s">
        <v>640</v>
      </c>
      <c r="E20" s="469">
        <v>50</v>
      </c>
      <c r="F20" s="470" t="s">
        <v>6714</v>
      </c>
      <c r="G20" s="469">
        <v>533</v>
      </c>
      <c r="H20" s="470" t="s">
        <v>6245</v>
      </c>
      <c r="I20" s="470" t="s">
        <v>836</v>
      </c>
      <c r="J20" s="469">
        <v>1</v>
      </c>
      <c r="K20" s="470" t="s">
        <v>6270</v>
      </c>
      <c r="L20" s="470" t="s">
        <v>6287</v>
      </c>
      <c r="M20" s="470" t="s">
        <v>9</v>
      </c>
      <c r="N20" s="473">
        <v>0</v>
      </c>
      <c r="O20" s="471"/>
      <c r="P20" s="471"/>
      <c r="Q20" s="471"/>
      <c r="R20" s="470"/>
      <c r="S20" s="471">
        <v>0.23229166666666667</v>
      </c>
      <c r="T20" s="471">
        <v>0.29895833333333333</v>
      </c>
      <c r="U20" s="471"/>
      <c r="V20" s="471"/>
      <c r="W20" s="471">
        <v>0.49278935185185185</v>
      </c>
      <c r="X20" s="471">
        <v>0.68662037037037038</v>
      </c>
      <c r="Y20" s="471">
        <v>0.71111111111111114</v>
      </c>
      <c r="Z20" s="471" t="s">
        <v>1107</v>
      </c>
      <c r="AA20" s="471">
        <v>0.30972222222222223</v>
      </c>
      <c r="AB20" s="470" t="s">
        <v>6462</v>
      </c>
      <c r="AC20" s="473">
        <v>129</v>
      </c>
      <c r="AD20" s="470" t="s">
        <v>116</v>
      </c>
      <c r="AE20" s="470" t="s">
        <v>6502</v>
      </c>
      <c r="AF20" s="473">
        <v>29.6</v>
      </c>
      <c r="AG20" s="469">
        <v>46.9</v>
      </c>
      <c r="AH20" s="470" t="s">
        <v>6290</v>
      </c>
      <c r="AI20" s="470" t="s">
        <v>6317</v>
      </c>
      <c r="AJ20" s="470" t="s">
        <v>6493</v>
      </c>
      <c r="AK20" s="470" t="s">
        <v>6493</v>
      </c>
      <c r="AL20" s="470" t="s">
        <v>6719</v>
      </c>
      <c r="AM20" s="470"/>
      <c r="AN20" s="470"/>
      <c r="AO20" s="470"/>
      <c r="AP20" s="470"/>
      <c r="AQ20" s="470"/>
      <c r="AR20" s="470"/>
      <c r="AS20" s="470"/>
      <c r="AT20" s="470"/>
      <c r="AU20" s="470"/>
      <c r="AV20" s="470"/>
      <c r="AW20" s="470"/>
      <c r="AX20" s="470"/>
      <c r="AY20" s="470"/>
      <c r="AZ20" s="470"/>
      <c r="BA20" s="470"/>
      <c r="BB20" s="470"/>
      <c r="BC20" s="470"/>
      <c r="BD20" s="470"/>
      <c r="BE20" s="470"/>
      <c r="BF20" s="470"/>
      <c r="BG20" s="470"/>
      <c r="BH20" s="470"/>
      <c r="BI20" s="470"/>
      <c r="BJ20" s="470"/>
      <c r="BK20" s="470"/>
      <c r="BL20" s="474"/>
    </row>
    <row r="21" spans="1:64">
      <c r="A21" s="475">
        <v>43812</v>
      </c>
      <c r="B21" s="478">
        <v>347</v>
      </c>
      <c r="C21" s="478">
        <v>18</v>
      </c>
      <c r="D21" s="476" t="s">
        <v>640</v>
      </c>
      <c r="E21" s="477">
        <v>50</v>
      </c>
      <c r="F21" s="476" t="s">
        <v>100</v>
      </c>
      <c r="G21" s="477">
        <v>533</v>
      </c>
      <c r="H21" s="476" t="s">
        <v>6245</v>
      </c>
      <c r="I21" s="476" t="s">
        <v>836</v>
      </c>
      <c r="J21" s="477">
        <v>2</v>
      </c>
      <c r="K21" s="476" t="s">
        <v>1034</v>
      </c>
      <c r="L21" s="476" t="s">
        <v>6273</v>
      </c>
      <c r="M21" s="476" t="s">
        <v>9</v>
      </c>
      <c r="N21" s="478">
        <v>0</v>
      </c>
      <c r="O21" s="479"/>
      <c r="P21" s="479"/>
      <c r="Q21" s="479"/>
      <c r="R21" s="476"/>
      <c r="S21" s="479">
        <v>0.23282407407407404</v>
      </c>
      <c r="T21" s="479">
        <v>0.29949074074074072</v>
      </c>
      <c r="U21" s="479"/>
      <c r="V21" s="479"/>
      <c r="W21" s="479">
        <v>0.49311342592592594</v>
      </c>
      <c r="X21" s="479">
        <v>0.68674768518518514</v>
      </c>
      <c r="Y21" s="479">
        <v>0.74861111111111101</v>
      </c>
      <c r="Z21" s="479">
        <v>3.125E-2</v>
      </c>
      <c r="AA21" s="479">
        <v>0.3527777777777778</v>
      </c>
      <c r="AB21" s="476" t="s">
        <v>6462</v>
      </c>
      <c r="AC21" s="478">
        <v>129</v>
      </c>
      <c r="AD21" s="476" t="s">
        <v>116</v>
      </c>
      <c r="AE21" s="476"/>
      <c r="AF21" s="478">
        <v>33.5</v>
      </c>
      <c r="AG21" s="477">
        <v>48.1</v>
      </c>
      <c r="AH21" s="476" t="s">
        <v>6315</v>
      </c>
      <c r="AI21" s="476" t="s">
        <v>6318</v>
      </c>
      <c r="AJ21" s="476" t="s">
        <v>6493</v>
      </c>
      <c r="AK21" s="476" t="s">
        <v>6493</v>
      </c>
      <c r="AL21" s="476"/>
      <c r="AM21" s="476"/>
      <c r="AN21" s="476"/>
      <c r="AO21" s="476"/>
      <c r="AP21" s="476"/>
      <c r="AQ21" s="476"/>
      <c r="AR21" s="476"/>
      <c r="AS21" s="476"/>
      <c r="AT21" s="476"/>
      <c r="AU21" s="476"/>
      <c r="AV21" s="476"/>
      <c r="AW21" s="476"/>
      <c r="AX21" s="476"/>
      <c r="AY21" s="476"/>
      <c r="AZ21" s="476"/>
      <c r="BA21" s="476"/>
      <c r="BB21" s="476"/>
      <c r="BC21" s="476"/>
      <c r="BD21" s="476"/>
      <c r="BE21" s="476"/>
      <c r="BF21" s="476"/>
      <c r="BG21" s="476"/>
      <c r="BH21" s="476"/>
      <c r="BI21" s="476"/>
      <c r="BJ21" s="476"/>
      <c r="BK21" s="476"/>
      <c r="BL21" s="480"/>
    </row>
    <row r="22" spans="1:64">
      <c r="A22" s="468">
        <v>43813</v>
      </c>
      <c r="B22" s="473">
        <v>348</v>
      </c>
      <c r="C22" s="473">
        <v>17</v>
      </c>
      <c r="D22" s="470" t="s">
        <v>640</v>
      </c>
      <c r="E22" s="469">
        <v>50</v>
      </c>
      <c r="F22" s="470" t="s">
        <v>103</v>
      </c>
      <c r="G22" s="469">
        <v>533</v>
      </c>
      <c r="H22" s="470" t="s">
        <v>6245</v>
      </c>
      <c r="I22" s="470" t="s">
        <v>836</v>
      </c>
      <c r="J22" s="469">
        <v>3</v>
      </c>
      <c r="K22" s="470" t="s">
        <v>6258</v>
      </c>
      <c r="L22" s="470" t="s">
        <v>6274</v>
      </c>
      <c r="M22" s="470" t="s">
        <v>9</v>
      </c>
      <c r="N22" s="473">
        <v>0</v>
      </c>
      <c r="O22" s="471"/>
      <c r="P22" s="471"/>
      <c r="Q22" s="471"/>
      <c r="R22" s="470"/>
      <c r="S22" s="471">
        <v>0.2333449074074074</v>
      </c>
      <c r="T22" s="471">
        <v>0.30001157407407408</v>
      </c>
      <c r="U22" s="471"/>
      <c r="V22" s="471"/>
      <c r="W22" s="471">
        <v>0.49344907407407407</v>
      </c>
      <c r="X22" s="471">
        <v>0.68688657407407405</v>
      </c>
      <c r="Y22" s="471">
        <v>0.79236111111111107</v>
      </c>
      <c r="Z22" s="471">
        <v>7.1527777777777787E-2</v>
      </c>
      <c r="AA22" s="471">
        <v>0.39166666666666666</v>
      </c>
      <c r="AB22" s="470" t="s">
        <v>6462</v>
      </c>
      <c r="AC22" s="473">
        <v>129</v>
      </c>
      <c r="AD22" s="470" t="s">
        <v>116</v>
      </c>
      <c r="AE22" s="470"/>
      <c r="AF22" s="473">
        <v>39.200000000000003</v>
      </c>
      <c r="AG22" s="469">
        <v>50.9</v>
      </c>
      <c r="AH22" s="470" t="s">
        <v>6291</v>
      </c>
      <c r="AI22" s="470" t="s">
        <v>6319</v>
      </c>
      <c r="AJ22" s="470" t="s">
        <v>6493</v>
      </c>
      <c r="AK22" s="470" t="s">
        <v>6493</v>
      </c>
      <c r="AL22" s="470"/>
      <c r="AM22" s="470"/>
      <c r="AN22" s="470"/>
      <c r="AO22" s="470"/>
      <c r="AP22" s="470"/>
      <c r="AQ22" s="470"/>
      <c r="AR22" s="470"/>
      <c r="AS22" s="470"/>
      <c r="AT22" s="470"/>
      <c r="AU22" s="470"/>
      <c r="AV22" s="470"/>
      <c r="AW22" s="470"/>
      <c r="AX22" s="470"/>
      <c r="AY22" s="470"/>
      <c r="AZ22" s="470"/>
      <c r="BA22" s="470"/>
      <c r="BB22" s="470"/>
      <c r="BC22" s="470"/>
      <c r="BD22" s="470"/>
      <c r="BE22" s="470"/>
      <c r="BF22" s="470"/>
      <c r="BG22" s="470"/>
      <c r="BH22" s="470"/>
      <c r="BI22" s="470"/>
      <c r="BJ22" s="470"/>
      <c r="BK22" s="470"/>
      <c r="BL22" s="474"/>
    </row>
    <row r="23" spans="1:64">
      <c r="A23" s="475">
        <v>43814</v>
      </c>
      <c r="B23" s="478">
        <v>349</v>
      </c>
      <c r="C23" s="478">
        <v>16</v>
      </c>
      <c r="D23" s="476" t="s">
        <v>640</v>
      </c>
      <c r="E23" s="477">
        <v>50</v>
      </c>
      <c r="F23" s="476" t="s">
        <v>106</v>
      </c>
      <c r="G23" s="477">
        <v>533</v>
      </c>
      <c r="H23" s="476" t="s">
        <v>6245</v>
      </c>
      <c r="I23" s="476" t="s">
        <v>836</v>
      </c>
      <c r="J23" s="477">
        <v>4</v>
      </c>
      <c r="K23" s="476" t="s">
        <v>6259</v>
      </c>
      <c r="L23" s="476" t="s">
        <v>6275</v>
      </c>
      <c r="M23" s="476" t="s">
        <v>9</v>
      </c>
      <c r="N23" s="478">
        <v>0</v>
      </c>
      <c r="O23" s="479"/>
      <c r="P23" s="479"/>
      <c r="Q23" s="479"/>
      <c r="R23" s="476"/>
      <c r="S23" s="479">
        <v>0.23384259259259257</v>
      </c>
      <c r="T23" s="479">
        <v>0.30050925925925925</v>
      </c>
      <c r="U23" s="479"/>
      <c r="V23" s="479"/>
      <c r="W23" s="479">
        <v>0.49378472222222225</v>
      </c>
      <c r="X23" s="479">
        <v>0.68707175925925934</v>
      </c>
      <c r="Y23" s="479">
        <v>0.83958333333333324</v>
      </c>
      <c r="Z23" s="479">
        <v>0.1111111111111111</v>
      </c>
      <c r="AA23" s="479">
        <v>0.42708333333333331</v>
      </c>
      <c r="AB23" s="476" t="s">
        <v>6462</v>
      </c>
      <c r="AC23" s="478">
        <v>129</v>
      </c>
      <c r="AD23" s="476" t="s">
        <v>116</v>
      </c>
      <c r="AE23" s="476"/>
      <c r="AF23" s="478">
        <v>46.4</v>
      </c>
      <c r="AG23" s="477">
        <v>54.9</v>
      </c>
      <c r="AH23" s="476" t="s">
        <v>6292</v>
      </c>
      <c r="AI23" s="476" t="s">
        <v>6341</v>
      </c>
      <c r="AJ23" s="476" t="s">
        <v>874</v>
      </c>
      <c r="AK23" s="476" t="s">
        <v>6493</v>
      </c>
      <c r="AL23" s="476" t="s">
        <v>6720</v>
      </c>
      <c r="AM23" s="476" t="s">
        <v>6345</v>
      </c>
      <c r="AN23" s="476" t="s">
        <v>6900</v>
      </c>
      <c r="AO23" s="476" t="s">
        <v>6351</v>
      </c>
      <c r="AP23" s="476"/>
      <c r="AQ23" s="476"/>
      <c r="AR23" s="476"/>
      <c r="AS23" s="476"/>
      <c r="AT23" s="476"/>
      <c r="AU23" s="476"/>
      <c r="AV23" s="476"/>
      <c r="AW23" s="476"/>
      <c r="AX23" s="476"/>
      <c r="AY23" s="476"/>
      <c r="AZ23" s="476"/>
      <c r="BA23" s="476"/>
      <c r="BB23" s="476"/>
      <c r="BC23" s="476"/>
      <c r="BD23" s="476"/>
      <c r="BE23" s="476"/>
      <c r="BF23" s="476"/>
      <c r="BG23" s="476"/>
      <c r="BH23" s="476"/>
      <c r="BI23" s="476"/>
      <c r="BJ23" s="476" t="s">
        <v>6419</v>
      </c>
      <c r="BK23" s="476"/>
      <c r="BL23" s="480"/>
    </row>
    <row r="24" spans="1:64">
      <c r="A24" s="468">
        <v>43815</v>
      </c>
      <c r="B24" s="473">
        <v>350</v>
      </c>
      <c r="C24" s="473">
        <v>15</v>
      </c>
      <c r="D24" s="470" t="s">
        <v>640</v>
      </c>
      <c r="E24" s="469">
        <v>51</v>
      </c>
      <c r="F24" s="470" t="s">
        <v>88</v>
      </c>
      <c r="G24" s="469">
        <v>533</v>
      </c>
      <c r="H24" s="470" t="s">
        <v>6245</v>
      </c>
      <c r="I24" s="470" t="s">
        <v>836</v>
      </c>
      <c r="J24" s="469">
        <v>5</v>
      </c>
      <c r="K24" s="470" t="s">
        <v>6260</v>
      </c>
      <c r="L24" s="470" t="s">
        <v>6276</v>
      </c>
      <c r="M24" s="470" t="s">
        <v>9</v>
      </c>
      <c r="N24" s="473">
        <v>0</v>
      </c>
      <c r="O24" s="471"/>
      <c r="P24" s="471"/>
      <c r="Q24" s="471">
        <v>0.1973611111111111</v>
      </c>
      <c r="R24" s="470" t="s">
        <v>14</v>
      </c>
      <c r="S24" s="471">
        <v>0.23432870370370371</v>
      </c>
      <c r="T24" s="471">
        <v>0.30099537037037039</v>
      </c>
      <c r="U24" s="471"/>
      <c r="V24" s="471"/>
      <c r="W24" s="471">
        <v>0.49413194444444447</v>
      </c>
      <c r="X24" s="471">
        <v>0.68726851851851845</v>
      </c>
      <c r="Y24" s="471">
        <v>0.88888888888888884</v>
      </c>
      <c r="Z24" s="471">
        <v>0.15069444444444444</v>
      </c>
      <c r="AA24" s="471">
        <v>0.45694444444444443</v>
      </c>
      <c r="AB24" s="470" t="s">
        <v>6462</v>
      </c>
      <c r="AC24" s="473">
        <v>129</v>
      </c>
      <c r="AD24" s="470" t="s">
        <v>116</v>
      </c>
      <c r="AE24" s="470"/>
      <c r="AF24" s="473">
        <v>54.7</v>
      </c>
      <c r="AG24" s="469">
        <v>60</v>
      </c>
      <c r="AH24" s="470" t="s">
        <v>6293</v>
      </c>
      <c r="AI24" s="470" t="s">
        <v>6320</v>
      </c>
      <c r="AJ24" s="470" t="s">
        <v>6493</v>
      </c>
      <c r="AK24" s="470" t="s">
        <v>6493</v>
      </c>
      <c r="AL24" s="470" t="s">
        <v>6721</v>
      </c>
      <c r="AM24" s="470"/>
      <c r="AN24" s="470"/>
      <c r="AO24" s="470"/>
      <c r="AP24" s="470"/>
      <c r="AQ24" s="470"/>
      <c r="AR24" s="470"/>
      <c r="AS24" s="470"/>
      <c r="AT24" s="470"/>
      <c r="AU24" s="470"/>
      <c r="AV24" s="470"/>
      <c r="AW24" s="470"/>
      <c r="AX24" s="470"/>
      <c r="AY24" s="470"/>
      <c r="AZ24" s="470"/>
      <c r="BA24" s="470"/>
      <c r="BB24" s="470"/>
      <c r="BC24" s="470"/>
      <c r="BD24" s="470"/>
      <c r="BE24" s="470"/>
      <c r="BF24" s="470"/>
      <c r="BG24" s="470"/>
      <c r="BH24" s="470"/>
      <c r="BI24" s="470"/>
      <c r="BJ24" s="470"/>
      <c r="BK24" s="470"/>
      <c r="BL24" s="474"/>
    </row>
    <row r="25" spans="1:64">
      <c r="A25" s="475">
        <v>43816</v>
      </c>
      <c r="B25" s="478">
        <v>351</v>
      </c>
      <c r="C25" s="478">
        <v>14</v>
      </c>
      <c r="D25" s="476" t="s">
        <v>640</v>
      </c>
      <c r="E25" s="477">
        <v>51</v>
      </c>
      <c r="F25" s="476" t="s">
        <v>91</v>
      </c>
      <c r="G25" s="477">
        <v>533</v>
      </c>
      <c r="H25" s="476" t="s">
        <v>6245</v>
      </c>
      <c r="I25" s="476" t="s">
        <v>836</v>
      </c>
      <c r="J25" s="477">
        <v>6</v>
      </c>
      <c r="K25" s="476" t="s">
        <v>6261</v>
      </c>
      <c r="L25" s="476" t="s">
        <v>6277</v>
      </c>
      <c r="M25" s="476" t="s">
        <v>9</v>
      </c>
      <c r="N25" s="478">
        <v>0</v>
      </c>
      <c r="O25" s="479"/>
      <c r="P25" s="479"/>
      <c r="Q25" s="479"/>
      <c r="R25" s="476"/>
      <c r="S25" s="479">
        <v>0.23479166666666665</v>
      </c>
      <c r="T25" s="479">
        <v>0.30145833333333333</v>
      </c>
      <c r="U25" s="479"/>
      <c r="V25" s="479"/>
      <c r="W25" s="479">
        <v>0.49447916666666664</v>
      </c>
      <c r="X25" s="479">
        <v>0.68748842592592585</v>
      </c>
      <c r="Y25" s="479">
        <v>0.93819444444444444</v>
      </c>
      <c r="Z25" s="479">
        <v>0.1875</v>
      </c>
      <c r="AA25" s="479">
        <v>0.48194444444444445</v>
      </c>
      <c r="AB25" s="476" t="s">
        <v>6462</v>
      </c>
      <c r="AC25" s="478">
        <v>129</v>
      </c>
      <c r="AD25" s="476" t="s">
        <v>116</v>
      </c>
      <c r="AE25" s="476"/>
      <c r="AF25" s="478">
        <v>63.8</v>
      </c>
      <c r="AG25" s="477">
        <v>65.900000000000006</v>
      </c>
      <c r="AH25" s="476" t="s">
        <v>6294</v>
      </c>
      <c r="AI25" s="476" t="s">
        <v>6321</v>
      </c>
      <c r="AJ25" s="476" t="s">
        <v>6493</v>
      </c>
      <c r="AK25" s="476" t="s">
        <v>6493</v>
      </c>
      <c r="AL25" s="476"/>
      <c r="AM25" s="476"/>
      <c r="AN25" s="476"/>
      <c r="AO25" s="476"/>
      <c r="AP25" s="476"/>
      <c r="AQ25" s="476"/>
      <c r="AR25" s="476"/>
      <c r="AS25" s="476"/>
      <c r="AT25" s="476"/>
      <c r="AU25" s="476"/>
      <c r="AV25" s="476"/>
      <c r="AW25" s="476"/>
      <c r="AX25" s="476"/>
      <c r="AY25" s="476"/>
      <c r="AZ25" s="476"/>
      <c r="BA25" s="476"/>
      <c r="BB25" s="476"/>
      <c r="BC25" s="476"/>
      <c r="BD25" s="476"/>
      <c r="BE25" s="476"/>
      <c r="BF25" s="476"/>
      <c r="BG25" s="476"/>
      <c r="BH25" s="476"/>
      <c r="BI25" s="476"/>
      <c r="BJ25" s="476"/>
      <c r="BK25" s="476"/>
      <c r="BL25" s="480"/>
    </row>
    <row r="26" spans="1:64">
      <c r="A26" s="468">
        <v>43817</v>
      </c>
      <c r="B26" s="473">
        <v>352</v>
      </c>
      <c r="C26" s="473">
        <v>13</v>
      </c>
      <c r="D26" s="470" t="s">
        <v>640</v>
      </c>
      <c r="E26" s="469">
        <v>51</v>
      </c>
      <c r="F26" s="470" t="s">
        <v>94</v>
      </c>
      <c r="G26" s="469">
        <v>533</v>
      </c>
      <c r="H26" s="470" t="s">
        <v>6245</v>
      </c>
      <c r="I26" s="470" t="s">
        <v>836</v>
      </c>
      <c r="J26" s="469">
        <v>7</v>
      </c>
      <c r="K26" s="470" t="s">
        <v>6262</v>
      </c>
      <c r="L26" s="470" t="s">
        <v>6278</v>
      </c>
      <c r="M26" s="470" t="s">
        <v>9</v>
      </c>
      <c r="N26" s="473">
        <v>0</v>
      </c>
      <c r="O26" s="471"/>
      <c r="P26" s="471"/>
      <c r="Q26" s="471"/>
      <c r="R26" s="470"/>
      <c r="S26" s="471">
        <v>0.23521990740740742</v>
      </c>
      <c r="T26" s="471">
        <v>0.3018865740740741</v>
      </c>
      <c r="U26" s="471"/>
      <c r="V26" s="471"/>
      <c r="W26" s="471">
        <v>0.49481481481481482</v>
      </c>
      <c r="X26" s="471">
        <v>0.68774305555555559</v>
      </c>
      <c r="Y26" s="471">
        <v>0.98749999999999993</v>
      </c>
      <c r="Z26" s="471">
        <v>0.22361111111111109</v>
      </c>
      <c r="AA26" s="471">
        <v>0.50486111111111109</v>
      </c>
      <c r="AB26" s="470" t="s">
        <v>6462</v>
      </c>
      <c r="AC26" s="473">
        <v>129</v>
      </c>
      <c r="AD26" s="470" t="s">
        <v>116</v>
      </c>
      <c r="AE26" s="470"/>
      <c r="AF26" s="473">
        <v>73.400000000000006</v>
      </c>
      <c r="AG26" s="469">
        <v>72.099999999999994</v>
      </c>
      <c r="AH26" s="470" t="s">
        <v>6295</v>
      </c>
      <c r="AI26" s="470" t="s">
        <v>6322</v>
      </c>
      <c r="AJ26" s="470" t="s">
        <v>6493</v>
      </c>
      <c r="AK26" s="470" t="s">
        <v>6493</v>
      </c>
      <c r="AL26" s="470"/>
      <c r="AM26" s="470"/>
      <c r="AN26" s="470"/>
      <c r="AO26" s="470"/>
      <c r="AP26" s="470"/>
      <c r="AQ26" s="470"/>
      <c r="AR26" s="470"/>
      <c r="AS26" s="470"/>
      <c r="AT26" s="470"/>
      <c r="AU26" s="470"/>
      <c r="AV26" s="470"/>
      <c r="AW26" s="470"/>
      <c r="AX26" s="470"/>
      <c r="AY26" s="470"/>
      <c r="AZ26" s="470"/>
      <c r="BA26" s="470"/>
      <c r="BB26" s="470"/>
      <c r="BC26" s="470"/>
      <c r="BD26" s="470"/>
      <c r="BE26" s="470"/>
      <c r="BF26" s="470"/>
      <c r="BG26" s="470"/>
      <c r="BH26" s="470"/>
      <c r="BI26" s="470"/>
      <c r="BJ26" s="470"/>
      <c r="BK26" s="470"/>
      <c r="BL26" s="474"/>
    </row>
    <row r="27" spans="1:64">
      <c r="A27" s="475">
        <v>43818</v>
      </c>
      <c r="B27" s="478">
        <v>353</v>
      </c>
      <c r="C27" s="478">
        <v>12</v>
      </c>
      <c r="D27" s="476" t="s">
        <v>640</v>
      </c>
      <c r="E27" s="477">
        <v>51</v>
      </c>
      <c r="F27" s="476" t="s">
        <v>6714</v>
      </c>
      <c r="G27" s="477">
        <v>533</v>
      </c>
      <c r="H27" s="476" t="s">
        <v>6245</v>
      </c>
      <c r="I27" s="476" t="s">
        <v>836</v>
      </c>
      <c r="J27" s="477">
        <v>8</v>
      </c>
      <c r="K27" s="476" t="s">
        <v>6263</v>
      </c>
      <c r="L27" s="476" t="s">
        <v>6279</v>
      </c>
      <c r="M27" s="476" t="s">
        <v>9</v>
      </c>
      <c r="N27" s="478">
        <v>0</v>
      </c>
      <c r="O27" s="479"/>
      <c r="P27" s="479"/>
      <c r="Q27" s="479"/>
      <c r="R27" s="476"/>
      <c r="S27" s="479">
        <v>0.2356365740740741</v>
      </c>
      <c r="T27" s="479">
        <v>0.30230324074074072</v>
      </c>
      <c r="U27" s="479"/>
      <c r="V27" s="479"/>
      <c r="W27" s="479">
        <v>0.49516203703703704</v>
      </c>
      <c r="X27" s="479">
        <v>0.6880208333333333</v>
      </c>
      <c r="Y27" s="479" t="s">
        <v>1107</v>
      </c>
      <c r="Z27" s="479">
        <v>0.2590277777777778</v>
      </c>
      <c r="AA27" s="479">
        <v>0.52638888888888891</v>
      </c>
      <c r="AB27" s="476" t="s">
        <v>6289</v>
      </c>
      <c r="AC27" s="478">
        <v>131</v>
      </c>
      <c r="AD27" s="476" t="s">
        <v>119</v>
      </c>
      <c r="AE27" s="476" t="s">
        <v>6503</v>
      </c>
      <c r="AF27" s="478">
        <v>83.2</v>
      </c>
      <c r="AG27" s="477">
        <v>78.599999999999994</v>
      </c>
      <c r="AH27" s="476" t="s">
        <v>6296</v>
      </c>
      <c r="AI27" s="476" t="s">
        <v>6324</v>
      </c>
      <c r="AJ27" s="476" t="s">
        <v>6493</v>
      </c>
      <c r="AK27" s="476" t="s">
        <v>6493</v>
      </c>
      <c r="AL27" s="476"/>
      <c r="AM27" s="476"/>
      <c r="AN27" s="476"/>
      <c r="AO27" s="476"/>
      <c r="AP27" s="476"/>
      <c r="AQ27" s="476"/>
      <c r="AR27" s="476"/>
      <c r="AS27" s="476"/>
      <c r="AT27" s="476"/>
      <c r="AU27" s="476"/>
      <c r="AV27" s="476"/>
      <c r="AW27" s="476"/>
      <c r="AX27" s="476"/>
      <c r="AY27" s="476"/>
      <c r="AZ27" s="476"/>
      <c r="BA27" s="476"/>
      <c r="BB27" s="476"/>
      <c r="BC27" s="476"/>
      <c r="BD27" s="476"/>
      <c r="BE27" s="476"/>
      <c r="BF27" s="476"/>
      <c r="BG27" s="476"/>
      <c r="BH27" s="476"/>
      <c r="BI27" s="476"/>
      <c r="BJ27" s="476"/>
      <c r="BK27" s="476"/>
      <c r="BL27" s="480"/>
    </row>
    <row r="28" spans="1:64">
      <c r="A28" s="468">
        <v>43819</v>
      </c>
      <c r="B28" s="473">
        <v>354</v>
      </c>
      <c r="C28" s="473">
        <v>11</v>
      </c>
      <c r="D28" s="470" t="s">
        <v>640</v>
      </c>
      <c r="E28" s="469">
        <v>51</v>
      </c>
      <c r="F28" s="470" t="s">
        <v>100</v>
      </c>
      <c r="G28" s="469">
        <v>533</v>
      </c>
      <c r="H28" s="470" t="s">
        <v>6245</v>
      </c>
      <c r="I28" s="470" t="s">
        <v>836</v>
      </c>
      <c r="J28" s="469">
        <v>9</v>
      </c>
      <c r="K28" s="470" t="s">
        <v>6264</v>
      </c>
      <c r="L28" s="470" t="s">
        <v>6280</v>
      </c>
      <c r="M28" s="470" t="s">
        <v>9</v>
      </c>
      <c r="N28" s="473">
        <v>0</v>
      </c>
      <c r="O28" s="471"/>
      <c r="P28" s="471"/>
      <c r="Q28" s="471"/>
      <c r="R28" s="470"/>
      <c r="S28" s="471">
        <v>0.23604166666666668</v>
      </c>
      <c r="T28" s="471">
        <v>0.3027083333333333</v>
      </c>
      <c r="U28" s="471"/>
      <c r="V28" s="471"/>
      <c r="W28" s="471">
        <v>0.4955092592592592</v>
      </c>
      <c r="X28" s="471">
        <v>0.6883217592592592</v>
      </c>
      <c r="Y28" s="471">
        <v>3.6111111111111115E-2</v>
      </c>
      <c r="Z28" s="471">
        <v>0.29305555555555557</v>
      </c>
      <c r="AA28" s="471">
        <v>0.54652777777777783</v>
      </c>
      <c r="AB28" s="470" t="s">
        <v>6289</v>
      </c>
      <c r="AC28" s="473">
        <v>131</v>
      </c>
      <c r="AD28" s="470" t="s">
        <v>119</v>
      </c>
      <c r="AE28" s="470"/>
      <c r="AF28" s="473">
        <v>92.9</v>
      </c>
      <c r="AG28" s="469">
        <v>85</v>
      </c>
      <c r="AH28" s="470" t="s">
        <v>6297</v>
      </c>
      <c r="AI28" s="470" t="s">
        <v>6325</v>
      </c>
      <c r="AJ28" s="470" t="s">
        <v>6493</v>
      </c>
      <c r="AK28" s="470" t="s">
        <v>6493</v>
      </c>
      <c r="AL28" s="470"/>
      <c r="AM28" s="470"/>
      <c r="AN28" s="470"/>
      <c r="AO28" s="470"/>
      <c r="AP28" s="470"/>
      <c r="AQ28" s="470"/>
      <c r="AR28" s="470"/>
      <c r="AS28" s="470"/>
      <c r="AT28" s="470"/>
      <c r="AU28" s="470"/>
      <c r="AV28" s="470"/>
      <c r="AW28" s="470"/>
      <c r="AX28" s="470"/>
      <c r="AY28" s="470"/>
      <c r="AZ28" s="470"/>
      <c r="BA28" s="470"/>
      <c r="BB28" s="470"/>
      <c r="BC28" s="470"/>
      <c r="BD28" s="470"/>
      <c r="BE28" s="470"/>
      <c r="BF28" s="470"/>
      <c r="BG28" s="470"/>
      <c r="BH28" s="470"/>
      <c r="BI28" s="470"/>
      <c r="BJ28" s="470"/>
      <c r="BK28" s="470"/>
      <c r="BL28" s="474"/>
    </row>
    <row r="29" spans="1:64">
      <c r="A29" s="475">
        <v>43820</v>
      </c>
      <c r="B29" s="478">
        <v>355</v>
      </c>
      <c r="C29" s="478">
        <v>10</v>
      </c>
      <c r="D29" s="476" t="s">
        <v>640</v>
      </c>
      <c r="E29" s="477">
        <v>51</v>
      </c>
      <c r="F29" s="476" t="s">
        <v>103</v>
      </c>
      <c r="G29" s="477">
        <v>533</v>
      </c>
      <c r="H29" s="476" t="s">
        <v>6245</v>
      </c>
      <c r="I29" s="476" t="s">
        <v>836</v>
      </c>
      <c r="J29" s="477">
        <v>11</v>
      </c>
      <c r="K29" s="476" t="s">
        <v>6271</v>
      </c>
      <c r="L29" s="476" t="s">
        <v>6281</v>
      </c>
      <c r="M29" s="476" t="s">
        <v>9</v>
      </c>
      <c r="N29" s="478">
        <v>0</v>
      </c>
      <c r="O29" s="479">
        <v>0.36736111111111108</v>
      </c>
      <c r="P29" s="479">
        <v>0.28263888888888888</v>
      </c>
      <c r="Q29" s="479"/>
      <c r="R29" s="476"/>
      <c r="S29" s="479">
        <v>0.23641203703703703</v>
      </c>
      <c r="T29" s="479">
        <v>0.30307870370370371</v>
      </c>
      <c r="U29" s="479"/>
      <c r="V29" s="479"/>
      <c r="W29" s="479">
        <v>0.49586805555555552</v>
      </c>
      <c r="X29" s="479">
        <v>0.68865740740740744</v>
      </c>
      <c r="Y29" s="479">
        <v>8.5416666666666655E-2</v>
      </c>
      <c r="Z29" s="479">
        <v>0.32708333333333334</v>
      </c>
      <c r="AA29" s="479">
        <v>0.56736111111111109</v>
      </c>
      <c r="AB29" s="476" t="s">
        <v>6289</v>
      </c>
      <c r="AC29" s="478">
        <v>131</v>
      </c>
      <c r="AD29" s="476" t="s">
        <v>119</v>
      </c>
      <c r="AE29" s="476"/>
      <c r="AF29" s="478">
        <v>2.2000000000000002</v>
      </c>
      <c r="AG29" s="477">
        <v>90.9</v>
      </c>
      <c r="AH29" s="476" t="s">
        <v>6298</v>
      </c>
      <c r="AI29" s="476" t="s">
        <v>6326</v>
      </c>
      <c r="AJ29" s="476" t="s">
        <v>839</v>
      </c>
      <c r="AK29" s="476" t="s">
        <v>6493</v>
      </c>
      <c r="AL29" s="476" t="s">
        <v>6722</v>
      </c>
      <c r="AM29" s="476" t="s">
        <v>6346</v>
      </c>
      <c r="AN29" s="476" t="s">
        <v>6901</v>
      </c>
      <c r="AO29" s="476"/>
      <c r="AP29" s="476" t="s">
        <v>551</v>
      </c>
      <c r="AQ29" s="476"/>
      <c r="AR29" s="476"/>
      <c r="AS29" s="476"/>
      <c r="AT29" s="476"/>
      <c r="AU29" s="476"/>
      <c r="AV29" s="476"/>
      <c r="AW29" s="476"/>
      <c r="AX29" s="476"/>
      <c r="AY29" s="476"/>
      <c r="AZ29" s="476"/>
      <c r="BA29" s="476"/>
      <c r="BB29" s="476"/>
      <c r="BC29" s="476"/>
      <c r="BD29" s="476"/>
      <c r="BE29" s="476"/>
      <c r="BF29" s="476"/>
      <c r="BG29" s="476"/>
      <c r="BH29" s="476"/>
      <c r="BI29" s="476"/>
      <c r="BJ29" s="476" t="s">
        <v>6704</v>
      </c>
      <c r="BK29" s="476"/>
      <c r="BL29" s="480"/>
    </row>
    <row r="30" spans="1:64">
      <c r="A30" s="468">
        <v>43821</v>
      </c>
      <c r="B30" s="473">
        <v>356</v>
      </c>
      <c r="C30" s="473">
        <v>9</v>
      </c>
      <c r="D30" s="470" t="s">
        <v>640</v>
      </c>
      <c r="E30" s="469">
        <v>51</v>
      </c>
      <c r="F30" s="470" t="s">
        <v>106</v>
      </c>
      <c r="G30" s="469">
        <v>533</v>
      </c>
      <c r="H30" s="470" t="s">
        <v>6245</v>
      </c>
      <c r="I30" s="470" t="s">
        <v>836</v>
      </c>
      <c r="J30" s="469">
        <v>12</v>
      </c>
      <c r="K30" s="470" t="s">
        <v>6266</v>
      </c>
      <c r="L30" s="470" t="s">
        <v>6283</v>
      </c>
      <c r="M30" s="470" t="s">
        <v>9</v>
      </c>
      <c r="N30" s="473">
        <v>0</v>
      </c>
      <c r="O30" s="471"/>
      <c r="P30" s="471"/>
      <c r="Q30" s="471"/>
      <c r="R30" s="470"/>
      <c r="S30" s="471">
        <v>0.23675925925925925</v>
      </c>
      <c r="T30" s="471">
        <v>0.30342592592592593</v>
      </c>
      <c r="U30" s="471"/>
      <c r="V30" s="471"/>
      <c r="W30" s="471">
        <v>0.49621527777777774</v>
      </c>
      <c r="X30" s="471">
        <v>0.68900462962962961</v>
      </c>
      <c r="Y30" s="471">
        <v>0.13402777777777777</v>
      </c>
      <c r="Z30" s="471">
        <v>0.36249999999999999</v>
      </c>
      <c r="AA30" s="471">
        <v>0.58958333333333335</v>
      </c>
      <c r="AB30" s="470" t="s">
        <v>6289</v>
      </c>
      <c r="AC30" s="473">
        <v>131</v>
      </c>
      <c r="AD30" s="470" t="s">
        <v>119</v>
      </c>
      <c r="AE30" s="470"/>
      <c r="AF30" s="473">
        <v>10.7</v>
      </c>
      <c r="AG30" s="469">
        <v>96.2</v>
      </c>
      <c r="AH30" s="470" t="s">
        <v>6299</v>
      </c>
      <c r="AI30" s="470" t="s">
        <v>6327</v>
      </c>
      <c r="AJ30" s="470" t="s">
        <v>838</v>
      </c>
      <c r="AK30" s="470" t="s">
        <v>13</v>
      </c>
      <c r="AL30" s="470" t="s">
        <v>6723</v>
      </c>
      <c r="AM30" s="470" t="s">
        <v>6342</v>
      </c>
      <c r="AN30" s="470" t="s">
        <v>6902</v>
      </c>
      <c r="AO30" s="470" t="s">
        <v>6351</v>
      </c>
      <c r="AP30" s="470"/>
      <c r="AQ30" s="470"/>
      <c r="AR30" s="470"/>
      <c r="AS30" s="470"/>
      <c r="AT30" s="470"/>
      <c r="AU30" s="470"/>
      <c r="AV30" s="470"/>
      <c r="AW30" s="470"/>
      <c r="AX30" s="470"/>
      <c r="AY30" s="470"/>
      <c r="AZ30" s="470"/>
      <c r="BA30" s="470"/>
      <c r="BB30" s="470"/>
      <c r="BC30" s="470"/>
      <c r="BD30" s="470"/>
      <c r="BE30" s="470"/>
      <c r="BF30" s="470"/>
      <c r="BG30" s="470"/>
      <c r="BH30" s="470"/>
      <c r="BI30" s="470"/>
      <c r="BJ30" s="470"/>
      <c r="BK30" s="470"/>
      <c r="BL30" s="474"/>
    </row>
    <row r="31" spans="1:64">
      <c r="A31" s="475">
        <v>43822</v>
      </c>
      <c r="B31" s="478">
        <v>357</v>
      </c>
      <c r="C31" s="478">
        <v>8</v>
      </c>
      <c r="D31" s="476" t="s">
        <v>640</v>
      </c>
      <c r="E31" s="477">
        <v>52</v>
      </c>
      <c r="F31" s="476" t="s">
        <v>88</v>
      </c>
      <c r="G31" s="477">
        <v>533</v>
      </c>
      <c r="H31" s="476" t="s">
        <v>6245</v>
      </c>
      <c r="I31" s="476" t="s">
        <v>836</v>
      </c>
      <c r="J31" s="477">
        <v>13</v>
      </c>
      <c r="K31" s="476" t="s">
        <v>6267</v>
      </c>
      <c r="L31" s="476" t="s">
        <v>6284</v>
      </c>
      <c r="M31" s="476" t="s">
        <v>9</v>
      </c>
      <c r="N31" s="478">
        <v>0</v>
      </c>
      <c r="O31" s="479"/>
      <c r="P31" s="479"/>
      <c r="Q31" s="479"/>
      <c r="R31" s="476"/>
      <c r="S31" s="479">
        <v>0.23708333333333331</v>
      </c>
      <c r="T31" s="479">
        <v>0.30375000000000002</v>
      </c>
      <c r="U31" s="479">
        <v>0.3034722222222222</v>
      </c>
      <c r="V31" s="479">
        <v>0.43194444444444446</v>
      </c>
      <c r="W31" s="479">
        <v>0.49656250000000002</v>
      </c>
      <c r="X31" s="479">
        <v>0.68937500000000007</v>
      </c>
      <c r="Y31" s="479">
        <v>0.18263888888888891</v>
      </c>
      <c r="Z31" s="479">
        <v>0.39930555555555558</v>
      </c>
      <c r="AA31" s="479">
        <v>0.61458333333333337</v>
      </c>
      <c r="AB31" s="476" t="s">
        <v>6289</v>
      </c>
      <c r="AC31" s="478">
        <v>131</v>
      </c>
      <c r="AD31" s="476" t="s">
        <v>119</v>
      </c>
      <c r="AE31" s="476"/>
      <c r="AF31" s="478">
        <v>18</v>
      </c>
      <c r="AG31" s="477">
        <v>0.5</v>
      </c>
      <c r="AH31" s="476" t="s">
        <v>6301</v>
      </c>
      <c r="AI31" s="476" t="s">
        <v>6328</v>
      </c>
      <c r="AJ31" s="476" t="s">
        <v>839</v>
      </c>
      <c r="AK31" s="476" t="s">
        <v>6493</v>
      </c>
      <c r="AL31" s="476" t="s">
        <v>6724</v>
      </c>
      <c r="AM31" s="476" t="s">
        <v>6343</v>
      </c>
      <c r="AN31" s="476" t="s">
        <v>6903</v>
      </c>
      <c r="AO31" s="476" t="s">
        <v>6346</v>
      </c>
      <c r="AP31" s="476" t="s">
        <v>7006</v>
      </c>
      <c r="AQ31" s="476" t="s">
        <v>6346</v>
      </c>
      <c r="AR31" s="476"/>
      <c r="AS31" s="476"/>
      <c r="AT31" s="476"/>
      <c r="AU31" s="476"/>
      <c r="AV31" s="476"/>
      <c r="AW31" s="476"/>
      <c r="AX31" s="476"/>
      <c r="AY31" s="476"/>
      <c r="AZ31" s="476"/>
      <c r="BA31" s="476"/>
      <c r="BB31" s="476"/>
      <c r="BC31" s="476"/>
      <c r="BD31" s="476"/>
      <c r="BE31" s="476"/>
      <c r="BF31" s="476"/>
      <c r="BG31" s="476"/>
      <c r="BH31" s="476"/>
      <c r="BI31" s="476"/>
      <c r="BJ31" s="476" t="s">
        <v>6356</v>
      </c>
      <c r="BK31" s="476"/>
      <c r="BL31" s="480"/>
    </row>
    <row r="32" spans="1:64">
      <c r="A32" s="468">
        <v>43823</v>
      </c>
      <c r="B32" s="473">
        <v>358</v>
      </c>
      <c r="C32" s="473">
        <v>7</v>
      </c>
      <c r="D32" s="470" t="s">
        <v>640</v>
      </c>
      <c r="E32" s="469">
        <v>52</v>
      </c>
      <c r="F32" s="470" t="s">
        <v>91</v>
      </c>
      <c r="G32" s="469">
        <v>533</v>
      </c>
      <c r="H32" s="470" t="s">
        <v>6245</v>
      </c>
      <c r="I32" s="470" t="s">
        <v>836</v>
      </c>
      <c r="J32" s="469">
        <v>14</v>
      </c>
      <c r="K32" s="470" t="s">
        <v>6268</v>
      </c>
      <c r="L32" s="470" t="s">
        <v>6285</v>
      </c>
      <c r="M32" s="470" t="s">
        <v>9</v>
      </c>
      <c r="N32" s="473">
        <v>0</v>
      </c>
      <c r="O32" s="471"/>
      <c r="P32" s="471"/>
      <c r="Q32" s="471"/>
      <c r="R32" s="470"/>
      <c r="S32" s="471">
        <v>0.23738425925925924</v>
      </c>
      <c r="T32" s="471">
        <v>0.30405092592592592</v>
      </c>
      <c r="U32" s="471"/>
      <c r="V32" s="471"/>
      <c r="W32" s="471">
        <v>0.49690972222222224</v>
      </c>
      <c r="X32" s="471">
        <v>0.68978009259259254</v>
      </c>
      <c r="Y32" s="471">
        <v>0.23124999999999998</v>
      </c>
      <c r="Z32" s="471">
        <v>0.4368055555555555</v>
      </c>
      <c r="AA32" s="471">
        <v>0.6430555555555556</v>
      </c>
      <c r="AB32" s="470" t="s">
        <v>6289</v>
      </c>
      <c r="AC32" s="473">
        <v>131</v>
      </c>
      <c r="AD32" s="470" t="s">
        <v>119</v>
      </c>
      <c r="AE32" s="470"/>
      <c r="AF32" s="473">
        <v>23.9</v>
      </c>
      <c r="AG32" s="469">
        <v>3.4</v>
      </c>
      <c r="AH32" s="470" t="s">
        <v>6302</v>
      </c>
      <c r="AI32" s="470" t="s">
        <v>6329</v>
      </c>
      <c r="AJ32" s="470" t="s">
        <v>6493</v>
      </c>
      <c r="AK32" s="470" t="s">
        <v>6493</v>
      </c>
      <c r="AL32" s="470"/>
      <c r="AM32" s="470"/>
      <c r="AN32" s="470"/>
      <c r="AO32" s="470"/>
      <c r="AP32" s="470"/>
      <c r="AQ32" s="470"/>
      <c r="AR32" s="470"/>
      <c r="AS32" s="470"/>
      <c r="AT32" s="470"/>
      <c r="AU32" s="470"/>
      <c r="AV32" s="470"/>
      <c r="AW32" s="470"/>
      <c r="AX32" s="470"/>
      <c r="AY32" s="470"/>
      <c r="AZ32" s="470"/>
      <c r="BA32" s="470"/>
      <c r="BB32" s="470"/>
      <c r="BC32" s="470"/>
      <c r="BD32" s="470"/>
      <c r="BE32" s="470"/>
      <c r="BF32" s="470"/>
      <c r="BG32" s="470"/>
      <c r="BH32" s="470"/>
      <c r="BI32" s="470"/>
      <c r="BJ32" s="470"/>
      <c r="BK32" s="470"/>
      <c r="BL32" s="474"/>
    </row>
    <row r="33" spans="1:64">
      <c r="A33" s="475">
        <v>43824</v>
      </c>
      <c r="B33" s="478">
        <v>359</v>
      </c>
      <c r="C33" s="478">
        <v>6</v>
      </c>
      <c r="D33" s="476" t="s">
        <v>640</v>
      </c>
      <c r="E33" s="477">
        <v>52</v>
      </c>
      <c r="F33" s="476" t="s">
        <v>94</v>
      </c>
      <c r="G33" s="477">
        <v>533</v>
      </c>
      <c r="H33" s="476" t="s">
        <v>6245</v>
      </c>
      <c r="I33" s="476" t="s">
        <v>836</v>
      </c>
      <c r="J33" s="477">
        <v>15</v>
      </c>
      <c r="K33" s="476" t="s">
        <v>6269</v>
      </c>
      <c r="L33" s="476" t="s">
        <v>6286</v>
      </c>
      <c r="M33" s="476" t="s">
        <v>9</v>
      </c>
      <c r="N33" s="478">
        <v>0</v>
      </c>
      <c r="O33" s="479"/>
      <c r="P33" s="479"/>
      <c r="Q33" s="479"/>
      <c r="R33" s="476"/>
      <c r="S33" s="479">
        <v>0.23766203703703703</v>
      </c>
      <c r="T33" s="479">
        <v>0.30432870370370374</v>
      </c>
      <c r="U33" s="479"/>
      <c r="V33" s="479"/>
      <c r="W33" s="479">
        <v>0.49726851851851855</v>
      </c>
      <c r="X33" s="479">
        <v>0.69019675925925927</v>
      </c>
      <c r="Y33" s="479">
        <v>0.27708333333333335</v>
      </c>
      <c r="Z33" s="479">
        <v>0.47638888888888892</v>
      </c>
      <c r="AA33" s="479">
        <v>0.67569444444444438</v>
      </c>
      <c r="AB33" s="476" t="s">
        <v>6289</v>
      </c>
      <c r="AC33" s="478">
        <v>131</v>
      </c>
      <c r="AD33" s="476" t="s">
        <v>119</v>
      </c>
      <c r="AE33" s="476"/>
      <c r="AF33" s="478">
        <v>27.8</v>
      </c>
      <c r="AG33" s="477">
        <v>4.5999999999999996</v>
      </c>
      <c r="AH33" s="476" t="s">
        <v>6303</v>
      </c>
      <c r="AI33" s="476" t="s">
        <v>6330</v>
      </c>
      <c r="AJ33" s="476" t="s">
        <v>6493</v>
      </c>
      <c r="AK33" s="476" t="s">
        <v>6493</v>
      </c>
      <c r="AL33" s="476" t="s">
        <v>569</v>
      </c>
      <c r="AM33" s="476"/>
      <c r="AN33" s="476"/>
      <c r="AO33" s="476"/>
      <c r="AP33" s="476"/>
      <c r="AQ33" s="476"/>
      <c r="AR33" s="476"/>
      <c r="AS33" s="476"/>
      <c r="AT33" s="476"/>
      <c r="AU33" s="476"/>
      <c r="AV33" s="476"/>
      <c r="AW33" s="476"/>
      <c r="AX33" s="476"/>
      <c r="AY33" s="476"/>
      <c r="AZ33" s="476"/>
      <c r="BA33" s="476"/>
      <c r="BB33" s="476"/>
      <c r="BC33" s="476"/>
      <c r="BD33" s="476"/>
      <c r="BE33" s="476"/>
      <c r="BF33" s="476"/>
      <c r="BG33" s="476"/>
      <c r="BH33" s="476"/>
      <c r="BI33" s="476"/>
      <c r="BJ33" s="476"/>
      <c r="BK33" s="476"/>
      <c r="BL33" s="480"/>
    </row>
    <row r="34" spans="1:64">
      <c r="A34" s="468">
        <v>43825</v>
      </c>
      <c r="B34" s="473">
        <v>360</v>
      </c>
      <c r="C34" s="473">
        <v>5</v>
      </c>
      <c r="D34" s="470" t="s">
        <v>640</v>
      </c>
      <c r="E34" s="469">
        <v>52</v>
      </c>
      <c r="F34" s="470" t="s">
        <v>6714</v>
      </c>
      <c r="G34" s="469">
        <v>533</v>
      </c>
      <c r="H34" s="470" t="s">
        <v>6245</v>
      </c>
      <c r="I34" s="470" t="s">
        <v>6257</v>
      </c>
      <c r="J34" s="469">
        <v>16</v>
      </c>
      <c r="K34" s="470" t="s">
        <v>6270</v>
      </c>
      <c r="L34" s="470" t="s">
        <v>6287</v>
      </c>
      <c r="M34" s="470" t="s">
        <v>9</v>
      </c>
      <c r="N34" s="473">
        <v>0</v>
      </c>
      <c r="O34" s="471"/>
      <c r="P34" s="471"/>
      <c r="Q34" s="471"/>
      <c r="R34" s="470"/>
      <c r="S34" s="471">
        <v>0.23791666666666667</v>
      </c>
      <c r="T34" s="471">
        <v>0.30458333333333332</v>
      </c>
      <c r="U34" s="471"/>
      <c r="V34" s="471"/>
      <c r="W34" s="471">
        <v>0.49761574074074072</v>
      </c>
      <c r="X34" s="471">
        <v>0.69063657407407408</v>
      </c>
      <c r="Y34" s="471">
        <v>0.31875000000000003</v>
      </c>
      <c r="Z34" s="471">
        <v>0.51527777777777783</v>
      </c>
      <c r="AA34" s="471">
        <v>0.71250000000000002</v>
      </c>
      <c r="AB34" s="470" t="s">
        <v>6463</v>
      </c>
      <c r="AC34" s="473">
        <v>152</v>
      </c>
      <c r="AD34" s="470" t="s">
        <v>110</v>
      </c>
      <c r="AE34" s="470" t="s">
        <v>6504</v>
      </c>
      <c r="AF34" s="473">
        <v>29.7</v>
      </c>
      <c r="AG34" s="469">
        <v>3.9</v>
      </c>
      <c r="AH34" s="470" t="s">
        <v>6304</v>
      </c>
      <c r="AI34" s="470" t="s">
        <v>6331</v>
      </c>
      <c r="AJ34" s="470" t="s">
        <v>839</v>
      </c>
      <c r="AK34" s="470" t="s">
        <v>6493</v>
      </c>
      <c r="AL34" s="470" t="s">
        <v>6725</v>
      </c>
      <c r="AM34" s="470" t="s">
        <v>6346</v>
      </c>
      <c r="AN34" s="470"/>
      <c r="AO34" s="470"/>
      <c r="AP34" s="470"/>
      <c r="AQ34" s="470"/>
      <c r="AR34" s="470"/>
      <c r="AS34" s="470"/>
      <c r="AT34" s="470"/>
      <c r="AU34" s="470"/>
      <c r="AV34" s="470"/>
      <c r="AW34" s="470"/>
      <c r="AX34" s="470"/>
      <c r="AY34" s="470"/>
      <c r="AZ34" s="470"/>
      <c r="BA34" s="470"/>
      <c r="BB34" s="470"/>
      <c r="BC34" s="470"/>
      <c r="BD34" s="470"/>
      <c r="BE34" s="470"/>
      <c r="BF34" s="470"/>
      <c r="BG34" s="470"/>
      <c r="BH34" s="470"/>
      <c r="BI34" s="470"/>
      <c r="BJ34" s="470" t="s">
        <v>6357</v>
      </c>
      <c r="BK34" s="470"/>
      <c r="BL34" s="474"/>
    </row>
    <row r="35" spans="1:64">
      <c r="A35" s="475">
        <v>43826</v>
      </c>
      <c r="B35" s="478">
        <v>361</v>
      </c>
      <c r="C35" s="478">
        <v>4</v>
      </c>
      <c r="D35" s="476" t="s">
        <v>640</v>
      </c>
      <c r="E35" s="477">
        <v>52</v>
      </c>
      <c r="F35" s="476" t="s">
        <v>100</v>
      </c>
      <c r="G35" s="477">
        <v>533</v>
      </c>
      <c r="H35" s="476" t="s">
        <v>6245</v>
      </c>
      <c r="I35" s="476" t="s">
        <v>6257</v>
      </c>
      <c r="J35" s="477">
        <v>17</v>
      </c>
      <c r="K35" s="476" t="s">
        <v>1034</v>
      </c>
      <c r="L35" s="476" t="s">
        <v>6273</v>
      </c>
      <c r="M35" s="476" t="s">
        <v>9</v>
      </c>
      <c r="N35" s="478">
        <v>0</v>
      </c>
      <c r="O35" s="479"/>
      <c r="P35" s="479"/>
      <c r="Q35" s="479"/>
      <c r="R35" s="476"/>
      <c r="S35" s="479">
        <v>0.23814814814814814</v>
      </c>
      <c r="T35" s="479">
        <v>0.30481481481481482</v>
      </c>
      <c r="U35" s="479"/>
      <c r="V35" s="479"/>
      <c r="W35" s="479">
        <v>0.49796296296296294</v>
      </c>
      <c r="X35" s="479">
        <v>0.69111111111111112</v>
      </c>
      <c r="Y35" s="479">
        <v>0.35625000000000001</v>
      </c>
      <c r="Z35" s="479">
        <v>0.5541666666666667</v>
      </c>
      <c r="AA35" s="479">
        <v>0.75208333333333333</v>
      </c>
      <c r="AB35" s="476" t="s">
        <v>6463</v>
      </c>
      <c r="AC35" s="478">
        <v>152</v>
      </c>
      <c r="AD35" s="476" t="s">
        <v>110</v>
      </c>
      <c r="AE35" s="476"/>
      <c r="AF35" s="478">
        <v>29.3</v>
      </c>
      <c r="AG35" s="477">
        <v>1.2</v>
      </c>
      <c r="AH35" s="476" t="s">
        <v>6305</v>
      </c>
      <c r="AI35" s="476" t="s">
        <v>6332</v>
      </c>
      <c r="AJ35" s="476" t="s">
        <v>6493</v>
      </c>
      <c r="AK35" s="476" t="s">
        <v>6493</v>
      </c>
      <c r="AL35" s="476"/>
      <c r="AM35" s="476"/>
      <c r="AN35" s="476"/>
      <c r="AO35" s="476"/>
      <c r="AP35" s="476"/>
      <c r="AQ35" s="476"/>
      <c r="AR35" s="476"/>
      <c r="AS35" s="476"/>
      <c r="AT35" s="476"/>
      <c r="AU35" s="476"/>
      <c r="AV35" s="476"/>
      <c r="AW35" s="476"/>
      <c r="AX35" s="476"/>
      <c r="AY35" s="476"/>
      <c r="AZ35" s="476"/>
      <c r="BA35" s="476"/>
      <c r="BB35" s="476"/>
      <c r="BC35" s="476"/>
      <c r="BD35" s="476"/>
      <c r="BE35" s="476"/>
      <c r="BF35" s="476"/>
      <c r="BG35" s="476"/>
      <c r="BH35" s="476"/>
      <c r="BI35" s="476"/>
      <c r="BJ35" s="476"/>
      <c r="BK35" s="476"/>
      <c r="BL35" s="480"/>
    </row>
    <row r="36" spans="1:64">
      <c r="A36" s="468">
        <v>43827</v>
      </c>
      <c r="B36" s="473">
        <v>362</v>
      </c>
      <c r="C36" s="473">
        <v>3</v>
      </c>
      <c r="D36" s="470" t="s">
        <v>640</v>
      </c>
      <c r="E36" s="469">
        <v>52</v>
      </c>
      <c r="F36" s="470" t="s">
        <v>103</v>
      </c>
      <c r="G36" s="469">
        <v>533</v>
      </c>
      <c r="H36" s="470" t="s">
        <v>6245</v>
      </c>
      <c r="I36" s="470" t="s">
        <v>6257</v>
      </c>
      <c r="J36" s="469">
        <v>18</v>
      </c>
      <c r="K36" s="470" t="s">
        <v>6258</v>
      </c>
      <c r="L36" s="470" t="s">
        <v>6274</v>
      </c>
      <c r="M36" s="470" t="s">
        <v>9</v>
      </c>
      <c r="N36" s="473">
        <v>0</v>
      </c>
      <c r="O36" s="471"/>
      <c r="P36" s="471"/>
      <c r="Q36" s="471"/>
      <c r="R36" s="470"/>
      <c r="S36" s="471">
        <v>0.23834490740740741</v>
      </c>
      <c r="T36" s="471">
        <v>0.30501157407407409</v>
      </c>
      <c r="U36" s="471"/>
      <c r="V36" s="471"/>
      <c r="W36" s="471">
        <v>0.49831018518518522</v>
      </c>
      <c r="X36" s="471">
        <v>0.6915972222222222</v>
      </c>
      <c r="Y36" s="471">
        <v>0.38750000000000001</v>
      </c>
      <c r="Z36" s="471">
        <v>0.59097222222222223</v>
      </c>
      <c r="AA36" s="471">
        <v>0.7944444444444444</v>
      </c>
      <c r="AB36" s="470" t="s">
        <v>6463</v>
      </c>
      <c r="AC36" s="473">
        <v>152</v>
      </c>
      <c r="AD36" s="470" t="s">
        <v>110</v>
      </c>
      <c r="AE36" s="470"/>
      <c r="AF36" s="473">
        <v>26.6</v>
      </c>
      <c r="AG36" s="469">
        <v>96.4</v>
      </c>
      <c r="AH36" s="470" t="s">
        <v>6305</v>
      </c>
      <c r="AI36" s="470" t="s">
        <v>6333</v>
      </c>
      <c r="AJ36" s="470" t="s">
        <v>839</v>
      </c>
      <c r="AK36" s="470" t="s">
        <v>6493</v>
      </c>
      <c r="AL36" s="470" t="s">
        <v>6726</v>
      </c>
      <c r="AM36" s="470" t="s">
        <v>6346</v>
      </c>
      <c r="AN36" s="470" t="s">
        <v>6904</v>
      </c>
      <c r="AO36" s="470" t="s">
        <v>6346</v>
      </c>
      <c r="AP36" s="470"/>
      <c r="AQ36" s="470"/>
      <c r="AR36" s="470"/>
      <c r="AS36" s="470"/>
      <c r="AT36" s="470"/>
      <c r="AU36" s="470"/>
      <c r="AV36" s="470"/>
      <c r="AW36" s="470"/>
      <c r="AX36" s="470"/>
      <c r="AY36" s="470"/>
      <c r="AZ36" s="470"/>
      <c r="BA36" s="470"/>
      <c r="BB36" s="470"/>
      <c r="BC36" s="470"/>
      <c r="BD36" s="470"/>
      <c r="BE36" s="470"/>
      <c r="BF36" s="470"/>
      <c r="BG36" s="470"/>
      <c r="BH36" s="470"/>
      <c r="BI36" s="470"/>
      <c r="BJ36" s="470" t="s">
        <v>6358</v>
      </c>
      <c r="BK36" s="470"/>
      <c r="BL36" s="474"/>
    </row>
    <row r="37" spans="1:64">
      <c r="A37" s="475">
        <v>43828</v>
      </c>
      <c r="B37" s="478">
        <v>363</v>
      </c>
      <c r="C37" s="478">
        <v>2</v>
      </c>
      <c r="D37" s="476" t="s">
        <v>640</v>
      </c>
      <c r="E37" s="477">
        <v>52</v>
      </c>
      <c r="F37" s="476" t="s">
        <v>106</v>
      </c>
      <c r="G37" s="477">
        <v>533</v>
      </c>
      <c r="H37" s="476" t="s">
        <v>6245</v>
      </c>
      <c r="I37" s="476" t="s">
        <v>6257</v>
      </c>
      <c r="J37" s="477">
        <v>19</v>
      </c>
      <c r="K37" s="476" t="s">
        <v>6259</v>
      </c>
      <c r="L37" s="476" t="s">
        <v>6275</v>
      </c>
      <c r="M37" s="476" t="s">
        <v>9</v>
      </c>
      <c r="N37" s="478">
        <v>0</v>
      </c>
      <c r="O37" s="479"/>
      <c r="P37" s="479"/>
      <c r="Q37" s="479"/>
      <c r="R37" s="476"/>
      <c r="S37" s="479">
        <v>0.23853009259259261</v>
      </c>
      <c r="T37" s="479">
        <v>0.30519675925925926</v>
      </c>
      <c r="U37" s="479"/>
      <c r="V37" s="479"/>
      <c r="W37" s="479">
        <v>0.49864583333333329</v>
      </c>
      <c r="X37" s="479">
        <v>0.69209490740740742</v>
      </c>
      <c r="Y37" s="479">
        <v>0.41388888888888892</v>
      </c>
      <c r="Z37" s="479">
        <v>0.625</v>
      </c>
      <c r="AA37" s="479">
        <v>0.83680555555555547</v>
      </c>
      <c r="AB37" s="476" t="s">
        <v>6463</v>
      </c>
      <c r="AC37" s="478">
        <v>152</v>
      </c>
      <c r="AD37" s="476" t="s">
        <v>110</v>
      </c>
      <c r="AE37" s="476"/>
      <c r="AF37" s="478">
        <v>21.7</v>
      </c>
      <c r="AG37" s="477">
        <v>89.7</v>
      </c>
      <c r="AH37" s="476" t="s">
        <v>6306</v>
      </c>
      <c r="AI37" s="476" t="s">
        <v>6334</v>
      </c>
      <c r="AJ37" s="476" t="s">
        <v>6493</v>
      </c>
      <c r="AK37" s="476" t="s">
        <v>6493</v>
      </c>
      <c r="AL37" s="476"/>
      <c r="AM37" s="476"/>
      <c r="AN37" s="476"/>
      <c r="AO37" s="476"/>
      <c r="AP37" s="476"/>
      <c r="AQ37" s="476"/>
      <c r="AR37" s="476"/>
      <c r="AS37" s="476"/>
      <c r="AT37" s="476"/>
      <c r="AU37" s="476"/>
      <c r="AV37" s="476"/>
      <c r="AW37" s="476"/>
      <c r="AX37" s="476"/>
      <c r="AY37" s="476"/>
      <c r="AZ37" s="476"/>
      <c r="BA37" s="476"/>
      <c r="BB37" s="476"/>
      <c r="BC37" s="476"/>
      <c r="BD37" s="476"/>
      <c r="BE37" s="476"/>
      <c r="BF37" s="476"/>
      <c r="BG37" s="476"/>
      <c r="BH37" s="476"/>
      <c r="BI37" s="476"/>
      <c r="BJ37" s="476"/>
      <c r="BK37" s="476"/>
      <c r="BL37" s="480"/>
    </row>
    <row r="38" spans="1:64">
      <c r="A38" s="468">
        <v>43829</v>
      </c>
      <c r="B38" s="473">
        <v>364</v>
      </c>
      <c r="C38" s="473">
        <v>1</v>
      </c>
      <c r="D38" s="470" t="s">
        <v>640</v>
      </c>
      <c r="E38" s="469">
        <v>1</v>
      </c>
      <c r="F38" s="470" t="s">
        <v>88</v>
      </c>
      <c r="G38" s="469">
        <v>533</v>
      </c>
      <c r="H38" s="470" t="s">
        <v>6245</v>
      </c>
      <c r="I38" s="470" t="s">
        <v>6257</v>
      </c>
      <c r="J38" s="469">
        <v>20</v>
      </c>
      <c r="K38" s="470" t="s">
        <v>6260</v>
      </c>
      <c r="L38" s="470" t="s">
        <v>6276</v>
      </c>
      <c r="M38" s="470" t="s">
        <v>9</v>
      </c>
      <c r="N38" s="473">
        <v>0</v>
      </c>
      <c r="O38" s="471"/>
      <c r="P38" s="471"/>
      <c r="Q38" s="471"/>
      <c r="R38" s="470"/>
      <c r="S38" s="471">
        <v>0.23868055555555556</v>
      </c>
      <c r="T38" s="471">
        <v>0.30534722222222221</v>
      </c>
      <c r="U38" s="471"/>
      <c r="V38" s="471"/>
      <c r="W38" s="471">
        <v>0.49899305555555556</v>
      </c>
      <c r="X38" s="471">
        <v>0.69262731481481488</v>
      </c>
      <c r="Y38" s="471">
        <v>0.4368055555555555</v>
      </c>
      <c r="Z38" s="471">
        <v>0.65763888888888888</v>
      </c>
      <c r="AA38" s="471">
        <v>0.87777777777777777</v>
      </c>
      <c r="AB38" s="470" t="s">
        <v>6463</v>
      </c>
      <c r="AC38" s="473">
        <v>152</v>
      </c>
      <c r="AD38" s="470" t="s">
        <v>110</v>
      </c>
      <c r="AE38" s="470"/>
      <c r="AF38" s="473">
        <v>15</v>
      </c>
      <c r="AG38" s="469">
        <v>81.2</v>
      </c>
      <c r="AH38" s="470" t="s">
        <v>6307</v>
      </c>
      <c r="AI38" s="470" t="s">
        <v>6335</v>
      </c>
      <c r="AJ38" s="470" t="s">
        <v>6493</v>
      </c>
      <c r="AK38" s="470" t="s">
        <v>6493</v>
      </c>
      <c r="AL38" s="470"/>
      <c r="AM38" s="470"/>
      <c r="AN38" s="470"/>
      <c r="AO38" s="470"/>
      <c r="AP38" s="470"/>
      <c r="AQ38" s="470"/>
      <c r="AR38" s="470"/>
      <c r="AS38" s="470"/>
      <c r="AT38" s="470"/>
      <c r="AU38" s="470"/>
      <c r="AV38" s="470"/>
      <c r="AW38" s="470"/>
      <c r="AX38" s="470"/>
      <c r="AY38" s="470"/>
      <c r="AZ38" s="470"/>
      <c r="BA38" s="470"/>
      <c r="BB38" s="470"/>
      <c r="BC38" s="470"/>
      <c r="BD38" s="470"/>
      <c r="BE38" s="470"/>
      <c r="BF38" s="470"/>
      <c r="BG38" s="470"/>
      <c r="BH38" s="470"/>
      <c r="BI38" s="470"/>
      <c r="BJ38" s="470"/>
      <c r="BK38" s="470"/>
      <c r="BL38" s="474"/>
    </row>
    <row r="39" spans="1:64">
      <c r="A39" s="475">
        <v>43830</v>
      </c>
      <c r="B39" s="478">
        <v>365</v>
      </c>
      <c r="C39" s="478">
        <v>0</v>
      </c>
      <c r="D39" s="476" t="s">
        <v>640</v>
      </c>
      <c r="E39" s="477">
        <v>1</v>
      </c>
      <c r="F39" s="476" t="s">
        <v>91</v>
      </c>
      <c r="G39" s="477">
        <v>533</v>
      </c>
      <c r="H39" s="476" t="s">
        <v>6245</v>
      </c>
      <c r="I39" s="476" t="s">
        <v>6257</v>
      </c>
      <c r="J39" s="477">
        <v>21</v>
      </c>
      <c r="K39" s="476" t="s">
        <v>6261</v>
      </c>
      <c r="L39" s="476" t="s">
        <v>6277</v>
      </c>
      <c r="M39" s="476" t="s">
        <v>9</v>
      </c>
      <c r="N39" s="478">
        <v>0</v>
      </c>
      <c r="O39" s="479"/>
      <c r="P39" s="479"/>
      <c r="Q39" s="479"/>
      <c r="R39" s="476"/>
      <c r="S39" s="479">
        <v>0.23880787037037035</v>
      </c>
      <c r="T39" s="479">
        <v>0.30547453703703703</v>
      </c>
      <c r="U39" s="479"/>
      <c r="V39" s="479"/>
      <c r="W39" s="479">
        <v>0.49932870370370369</v>
      </c>
      <c r="X39" s="479">
        <v>0.69317129629629637</v>
      </c>
      <c r="Y39" s="479">
        <v>0.45694444444444443</v>
      </c>
      <c r="Z39" s="479">
        <v>0.6875</v>
      </c>
      <c r="AA39" s="479">
        <v>0.91875000000000007</v>
      </c>
      <c r="AB39" s="476" t="s">
        <v>6463</v>
      </c>
      <c r="AC39" s="478">
        <v>152</v>
      </c>
      <c r="AD39" s="476" t="s">
        <v>110</v>
      </c>
      <c r="AE39" s="476"/>
      <c r="AF39" s="478">
        <v>6.7</v>
      </c>
      <c r="AG39" s="477">
        <v>71.5</v>
      </c>
      <c r="AH39" s="476" t="s">
        <v>6308</v>
      </c>
      <c r="AI39" s="476" t="s">
        <v>6336</v>
      </c>
      <c r="AJ39" s="476" t="s">
        <v>6493</v>
      </c>
      <c r="AK39" s="476" t="s">
        <v>6493</v>
      </c>
      <c r="AL39" s="476"/>
      <c r="AM39" s="476"/>
      <c r="AN39" s="476"/>
      <c r="AO39" s="476"/>
      <c r="AP39" s="476"/>
      <c r="AQ39" s="476"/>
      <c r="AR39" s="476"/>
      <c r="AS39" s="476"/>
      <c r="AT39" s="476"/>
      <c r="AU39" s="476"/>
      <c r="AV39" s="476"/>
      <c r="AW39" s="476"/>
      <c r="AX39" s="476"/>
      <c r="AY39" s="476"/>
      <c r="AZ39" s="476"/>
      <c r="BA39" s="476"/>
      <c r="BB39" s="476"/>
      <c r="BC39" s="476"/>
      <c r="BD39" s="476"/>
      <c r="BE39" s="476"/>
      <c r="BF39" s="476"/>
      <c r="BG39" s="476"/>
      <c r="BH39" s="476"/>
      <c r="BI39" s="476"/>
      <c r="BJ39" s="476"/>
      <c r="BK39" s="476"/>
      <c r="BL39" s="480"/>
    </row>
    <row r="40" spans="1:64">
      <c r="A40" s="468">
        <v>43831</v>
      </c>
      <c r="B40" s="473">
        <v>1</v>
      </c>
      <c r="C40" s="473">
        <v>365</v>
      </c>
      <c r="D40" s="470" t="s">
        <v>609</v>
      </c>
      <c r="E40" s="469">
        <v>1</v>
      </c>
      <c r="F40" s="470" t="s">
        <v>94</v>
      </c>
      <c r="G40" s="469">
        <v>533</v>
      </c>
      <c r="H40" s="470" t="s">
        <v>6245</v>
      </c>
      <c r="I40" s="470" t="s">
        <v>6257</v>
      </c>
      <c r="J40" s="469">
        <v>21</v>
      </c>
      <c r="K40" s="470" t="s">
        <v>6261</v>
      </c>
      <c r="L40" s="470" t="s">
        <v>6277</v>
      </c>
      <c r="M40" s="470" t="s">
        <v>10</v>
      </c>
      <c r="N40" s="473">
        <v>0</v>
      </c>
      <c r="O40" s="471"/>
      <c r="P40" s="471"/>
      <c r="Q40" s="471"/>
      <c r="R40" s="470"/>
      <c r="S40" s="471">
        <v>0.23891203703703703</v>
      </c>
      <c r="T40" s="471">
        <v>0.30557870370370371</v>
      </c>
      <c r="U40" s="471"/>
      <c r="V40" s="471"/>
      <c r="W40" s="471">
        <v>0.49966435185185182</v>
      </c>
      <c r="X40" s="471">
        <v>0.69373842592592594</v>
      </c>
      <c r="Y40" s="471">
        <v>0.47500000000000003</v>
      </c>
      <c r="Z40" s="471">
        <v>0.71666666666666667</v>
      </c>
      <c r="AA40" s="471">
        <v>0.95972222222222225</v>
      </c>
      <c r="AB40" s="470" t="s">
        <v>6463</v>
      </c>
      <c r="AC40" s="473">
        <v>152</v>
      </c>
      <c r="AD40" s="470" t="s">
        <v>110</v>
      </c>
      <c r="AE40" s="470"/>
      <c r="AF40" s="473">
        <v>97.5</v>
      </c>
      <c r="AG40" s="469">
        <v>60.8</v>
      </c>
      <c r="AH40" s="470" t="s">
        <v>6309</v>
      </c>
      <c r="AI40" s="470" t="s">
        <v>6337</v>
      </c>
      <c r="AJ40" s="470" t="s">
        <v>6493</v>
      </c>
      <c r="AK40" s="470" t="s">
        <v>6493</v>
      </c>
      <c r="AL40" s="470" t="s">
        <v>6727</v>
      </c>
      <c r="AM40" s="470"/>
      <c r="AN40" s="470" t="s">
        <v>732</v>
      </c>
      <c r="AO40" s="470"/>
      <c r="AP40" s="470"/>
      <c r="AQ40" s="470"/>
      <c r="AR40" s="470"/>
      <c r="AS40" s="470"/>
      <c r="AT40" s="470"/>
      <c r="AU40" s="470"/>
      <c r="AV40" s="470"/>
      <c r="AW40" s="470"/>
      <c r="AX40" s="470"/>
      <c r="AY40" s="470"/>
      <c r="AZ40" s="470"/>
      <c r="BA40" s="470"/>
      <c r="BB40" s="470"/>
      <c r="BC40" s="470"/>
      <c r="BD40" s="470"/>
      <c r="BE40" s="470"/>
      <c r="BF40" s="470"/>
      <c r="BG40" s="470"/>
      <c r="BH40" s="470"/>
      <c r="BI40" s="470"/>
      <c r="BJ40" s="470"/>
      <c r="BK40" s="470"/>
      <c r="BL40" s="474"/>
    </row>
    <row r="41" spans="1:64">
      <c r="A41" s="475">
        <v>43832</v>
      </c>
      <c r="B41" s="478">
        <v>2</v>
      </c>
      <c r="C41" s="478">
        <v>364</v>
      </c>
      <c r="D41" s="476" t="s">
        <v>609</v>
      </c>
      <c r="E41" s="477">
        <v>1</v>
      </c>
      <c r="F41" s="476" t="s">
        <v>6714</v>
      </c>
      <c r="G41" s="477">
        <v>533</v>
      </c>
      <c r="H41" s="476" t="s">
        <v>6245</v>
      </c>
      <c r="I41" s="476" t="s">
        <v>6257</v>
      </c>
      <c r="J41" s="477">
        <v>22</v>
      </c>
      <c r="K41" s="476" t="s">
        <v>6262</v>
      </c>
      <c r="L41" s="476" t="s">
        <v>6278</v>
      </c>
      <c r="M41" s="476" t="s">
        <v>9</v>
      </c>
      <c r="N41" s="478">
        <v>0</v>
      </c>
      <c r="O41" s="479"/>
      <c r="P41" s="479"/>
      <c r="Q41" s="479"/>
      <c r="R41" s="476"/>
      <c r="S41" s="479">
        <v>0.23898148148148146</v>
      </c>
      <c r="T41" s="479">
        <v>0.30564814814814817</v>
      </c>
      <c r="U41" s="479"/>
      <c r="V41" s="479"/>
      <c r="W41" s="479">
        <v>0.49998842592592596</v>
      </c>
      <c r="X41" s="479">
        <v>0.6943287037037037</v>
      </c>
      <c r="Y41" s="479">
        <v>0.4916666666666667</v>
      </c>
      <c r="Z41" s="479">
        <v>0.74513888888888891</v>
      </c>
      <c r="AA41" s="479">
        <v>0.99930555555555556</v>
      </c>
      <c r="AB41" s="476" t="s">
        <v>6463</v>
      </c>
      <c r="AC41" s="478">
        <v>152</v>
      </c>
      <c r="AD41" s="476" t="s">
        <v>110</v>
      </c>
      <c r="AE41" s="476"/>
      <c r="AF41" s="478">
        <v>87.9</v>
      </c>
      <c r="AG41" s="477">
        <v>49.8</v>
      </c>
      <c r="AH41" s="476" t="s">
        <v>6310</v>
      </c>
      <c r="AI41" s="476" t="s">
        <v>6338</v>
      </c>
      <c r="AJ41" s="476" t="s">
        <v>6493</v>
      </c>
      <c r="AK41" s="476" t="s">
        <v>6493</v>
      </c>
      <c r="AL41" s="476"/>
      <c r="AM41" s="476"/>
      <c r="AN41" s="476"/>
      <c r="AO41" s="476"/>
      <c r="AP41" s="476"/>
      <c r="AQ41" s="476"/>
      <c r="AR41" s="476"/>
      <c r="AS41" s="476"/>
      <c r="AT41" s="476"/>
      <c r="AU41" s="476"/>
      <c r="AV41" s="476"/>
      <c r="AW41" s="476"/>
      <c r="AX41" s="476"/>
      <c r="AY41" s="476"/>
      <c r="AZ41" s="476"/>
      <c r="BA41" s="476"/>
      <c r="BB41" s="476"/>
      <c r="BC41" s="476"/>
      <c r="BD41" s="476"/>
      <c r="BE41" s="476"/>
      <c r="BF41" s="476"/>
      <c r="BG41" s="476"/>
      <c r="BH41" s="476"/>
      <c r="BI41" s="476"/>
      <c r="BJ41" s="476"/>
      <c r="BK41" s="476"/>
      <c r="BL41" s="480"/>
    </row>
    <row r="42" spans="1:64">
      <c r="A42" s="468">
        <v>43833</v>
      </c>
      <c r="B42" s="473">
        <v>3</v>
      </c>
      <c r="C42" s="473">
        <v>363</v>
      </c>
      <c r="D42" s="470" t="s">
        <v>609</v>
      </c>
      <c r="E42" s="469">
        <v>1</v>
      </c>
      <c r="F42" s="470" t="s">
        <v>100</v>
      </c>
      <c r="G42" s="469">
        <v>533</v>
      </c>
      <c r="H42" s="470" t="s">
        <v>6245</v>
      </c>
      <c r="I42" s="470" t="s">
        <v>6257</v>
      </c>
      <c r="J42" s="469">
        <v>23</v>
      </c>
      <c r="K42" s="470" t="s">
        <v>6263</v>
      </c>
      <c r="L42" s="470" t="s">
        <v>6279</v>
      </c>
      <c r="M42" s="470" t="s">
        <v>9</v>
      </c>
      <c r="N42" s="473">
        <v>0</v>
      </c>
      <c r="O42" s="471"/>
      <c r="P42" s="471"/>
      <c r="Q42" s="471"/>
      <c r="R42" s="470"/>
      <c r="S42" s="471">
        <v>0.23903935185185185</v>
      </c>
      <c r="T42" s="471">
        <v>0.30570601851851853</v>
      </c>
      <c r="U42" s="471"/>
      <c r="V42" s="471"/>
      <c r="W42" s="471">
        <v>0.50031250000000005</v>
      </c>
      <c r="X42" s="471">
        <v>0.69493055555555561</v>
      </c>
      <c r="Y42" s="471">
        <v>0.5083333333333333</v>
      </c>
      <c r="Z42" s="471">
        <v>0.7729166666666667</v>
      </c>
      <c r="AA42" s="471" t="s">
        <v>1107</v>
      </c>
      <c r="AB42" s="470" t="s">
        <v>6464</v>
      </c>
      <c r="AC42" s="473">
        <v>130</v>
      </c>
      <c r="AD42" s="470" t="s">
        <v>113</v>
      </c>
      <c r="AE42" s="470" t="s">
        <v>6505</v>
      </c>
      <c r="AF42" s="473">
        <v>78.599999999999994</v>
      </c>
      <c r="AG42" s="469">
        <v>39.1</v>
      </c>
      <c r="AH42" s="470" t="s">
        <v>6311</v>
      </c>
      <c r="AI42" s="470" t="s">
        <v>6339</v>
      </c>
      <c r="AJ42" s="470" t="s">
        <v>6493</v>
      </c>
      <c r="AK42" s="470" t="s">
        <v>6493</v>
      </c>
      <c r="AL42" s="470"/>
      <c r="AM42" s="470"/>
      <c r="AN42" s="470"/>
      <c r="AO42" s="470"/>
      <c r="AP42" s="470"/>
      <c r="AQ42" s="470"/>
      <c r="AR42" s="470"/>
      <c r="AS42" s="470"/>
      <c r="AT42" s="470"/>
      <c r="AU42" s="470"/>
      <c r="AV42" s="470"/>
      <c r="AW42" s="470"/>
      <c r="AX42" s="470"/>
      <c r="AY42" s="470"/>
      <c r="AZ42" s="470"/>
      <c r="BA42" s="470"/>
      <c r="BB42" s="470"/>
      <c r="BC42" s="470"/>
      <c r="BD42" s="470"/>
      <c r="BE42" s="470"/>
      <c r="BF42" s="470"/>
      <c r="BG42" s="470"/>
      <c r="BH42" s="470"/>
      <c r="BI42" s="470"/>
      <c r="BJ42" s="470"/>
      <c r="BK42" s="470"/>
      <c r="BL42" s="474"/>
    </row>
    <row r="43" spans="1:64">
      <c r="A43" s="475">
        <v>43834</v>
      </c>
      <c r="B43" s="478">
        <v>4</v>
      </c>
      <c r="C43" s="478">
        <v>362</v>
      </c>
      <c r="D43" s="476" t="s">
        <v>609</v>
      </c>
      <c r="E43" s="477">
        <v>1</v>
      </c>
      <c r="F43" s="476" t="s">
        <v>103</v>
      </c>
      <c r="G43" s="477">
        <v>533</v>
      </c>
      <c r="H43" s="476" t="s">
        <v>6245</v>
      </c>
      <c r="I43" s="476" t="s">
        <v>6257</v>
      </c>
      <c r="J43" s="477">
        <v>24</v>
      </c>
      <c r="K43" s="476" t="s">
        <v>6264</v>
      </c>
      <c r="L43" s="476" t="s">
        <v>6280</v>
      </c>
      <c r="M43" s="476" t="s">
        <v>9</v>
      </c>
      <c r="N43" s="478">
        <v>0</v>
      </c>
      <c r="O43" s="479"/>
      <c r="P43" s="479"/>
      <c r="Q43" s="479"/>
      <c r="R43" s="476"/>
      <c r="S43" s="479">
        <v>0.23906249999999998</v>
      </c>
      <c r="T43" s="479">
        <v>0.30572916666666666</v>
      </c>
      <c r="U43" s="479"/>
      <c r="V43" s="479"/>
      <c r="W43" s="479">
        <v>0.50063657407407403</v>
      </c>
      <c r="X43" s="479">
        <v>0.69555555555555559</v>
      </c>
      <c r="Y43" s="479">
        <v>0.52569444444444446</v>
      </c>
      <c r="Z43" s="479">
        <v>0.8027777777777777</v>
      </c>
      <c r="AA43" s="479">
        <v>4.027777777777778E-2</v>
      </c>
      <c r="AB43" s="476" t="s">
        <v>6464</v>
      </c>
      <c r="AC43" s="478">
        <v>130</v>
      </c>
      <c r="AD43" s="476" t="s">
        <v>113</v>
      </c>
      <c r="AE43" s="476"/>
      <c r="AF43" s="478">
        <v>70.2</v>
      </c>
      <c r="AG43" s="477">
        <v>29.1</v>
      </c>
      <c r="AH43" s="476" t="s">
        <v>6312</v>
      </c>
      <c r="AI43" s="476" t="s">
        <v>6340</v>
      </c>
      <c r="AJ43" s="476" t="s">
        <v>6493</v>
      </c>
      <c r="AK43" s="476" t="s">
        <v>6493</v>
      </c>
      <c r="AL43" s="476"/>
      <c r="AM43" s="476"/>
      <c r="AN43" s="476"/>
      <c r="AO43" s="476"/>
      <c r="AP43" s="476"/>
      <c r="AQ43" s="476"/>
      <c r="AR43" s="476"/>
      <c r="AS43" s="476"/>
      <c r="AT43" s="476"/>
      <c r="AU43" s="476"/>
      <c r="AV43" s="476"/>
      <c r="AW43" s="476"/>
      <c r="AX43" s="476"/>
      <c r="AY43" s="476"/>
      <c r="AZ43" s="476"/>
      <c r="BA43" s="476"/>
      <c r="BB43" s="476"/>
      <c r="BC43" s="476"/>
      <c r="BD43" s="476"/>
      <c r="BE43" s="476"/>
      <c r="BF43" s="476"/>
      <c r="BG43" s="476"/>
      <c r="BH43" s="476"/>
      <c r="BI43" s="476"/>
      <c r="BJ43" s="476"/>
      <c r="BK43" s="476"/>
      <c r="BL43" s="480"/>
    </row>
    <row r="44" spans="1:64">
      <c r="A44" s="468">
        <v>43835</v>
      </c>
      <c r="B44" s="473">
        <v>5</v>
      </c>
      <c r="C44" s="473">
        <v>361</v>
      </c>
      <c r="D44" s="470" t="s">
        <v>609</v>
      </c>
      <c r="E44" s="469">
        <v>1</v>
      </c>
      <c r="F44" s="470" t="s">
        <v>106</v>
      </c>
      <c r="G44" s="469">
        <v>533</v>
      </c>
      <c r="H44" s="470" t="s">
        <v>6245</v>
      </c>
      <c r="I44" s="470" t="s">
        <v>6257</v>
      </c>
      <c r="J44" s="469">
        <v>25</v>
      </c>
      <c r="K44" s="470" t="s">
        <v>6265</v>
      </c>
      <c r="L44" s="470" t="s">
        <v>6281</v>
      </c>
      <c r="M44" s="470" t="s">
        <v>9</v>
      </c>
      <c r="N44" s="473">
        <v>0</v>
      </c>
      <c r="O44" s="471"/>
      <c r="P44" s="471"/>
      <c r="Q44" s="471"/>
      <c r="R44" s="470"/>
      <c r="S44" s="471">
        <v>0.23905092592592592</v>
      </c>
      <c r="T44" s="471">
        <v>0.30571759259259262</v>
      </c>
      <c r="U44" s="471"/>
      <c r="V44" s="471"/>
      <c r="W44" s="471">
        <v>0.50096064814814811</v>
      </c>
      <c r="X44" s="471">
        <v>0.69619212962962962</v>
      </c>
      <c r="Y44" s="471">
        <v>0.5444444444444444</v>
      </c>
      <c r="Z44" s="471">
        <v>0.83263888888888893</v>
      </c>
      <c r="AA44" s="471">
        <v>8.1944444444444445E-2</v>
      </c>
      <c r="AB44" s="470" t="s">
        <v>6464</v>
      </c>
      <c r="AC44" s="473">
        <v>130</v>
      </c>
      <c r="AD44" s="470" t="s">
        <v>113</v>
      </c>
      <c r="AE44" s="470"/>
      <c r="AF44" s="473">
        <v>63.3</v>
      </c>
      <c r="AG44" s="469">
        <v>20.6</v>
      </c>
      <c r="AH44" s="470" t="s">
        <v>6313</v>
      </c>
      <c r="AI44" s="470" t="s">
        <v>974</v>
      </c>
      <c r="AJ44" s="470" t="s">
        <v>6493</v>
      </c>
      <c r="AK44" s="470" t="s">
        <v>6493</v>
      </c>
      <c r="AL44" s="470"/>
      <c r="AM44" s="470"/>
      <c r="AN44" s="470"/>
      <c r="AO44" s="470"/>
      <c r="AP44" s="470"/>
      <c r="AQ44" s="470"/>
      <c r="AR44" s="470"/>
      <c r="AS44" s="470"/>
      <c r="AT44" s="470"/>
      <c r="AU44" s="470"/>
      <c r="AV44" s="470"/>
      <c r="AW44" s="470"/>
      <c r="AX44" s="470"/>
      <c r="AY44" s="470"/>
      <c r="AZ44" s="470"/>
      <c r="BA44" s="470"/>
      <c r="BB44" s="470"/>
      <c r="BC44" s="470"/>
      <c r="BD44" s="470"/>
      <c r="BE44" s="470"/>
      <c r="BF44" s="470"/>
      <c r="BG44" s="470"/>
      <c r="BH44" s="470"/>
      <c r="BI44" s="470"/>
      <c r="BJ44" s="470"/>
      <c r="BK44" s="470"/>
      <c r="BL44" s="474"/>
    </row>
    <row r="45" spans="1:64">
      <c r="A45" s="475">
        <v>43836</v>
      </c>
      <c r="B45" s="478">
        <v>6</v>
      </c>
      <c r="C45" s="478">
        <v>360</v>
      </c>
      <c r="D45" s="476" t="s">
        <v>609</v>
      </c>
      <c r="E45" s="477">
        <v>2</v>
      </c>
      <c r="F45" s="476" t="s">
        <v>88</v>
      </c>
      <c r="G45" s="477">
        <v>533</v>
      </c>
      <c r="H45" s="476" t="s">
        <v>6245</v>
      </c>
      <c r="I45" s="476" t="s">
        <v>6257</v>
      </c>
      <c r="J45" s="477">
        <v>26</v>
      </c>
      <c r="K45" s="476" t="s">
        <v>6271</v>
      </c>
      <c r="L45" s="476" t="s">
        <v>6282</v>
      </c>
      <c r="M45" s="476" t="s">
        <v>9</v>
      </c>
      <c r="N45" s="478">
        <v>0</v>
      </c>
      <c r="O45" s="479"/>
      <c r="P45" s="479"/>
      <c r="Q45" s="479"/>
      <c r="R45" s="476"/>
      <c r="S45" s="479">
        <v>0.23902777777777776</v>
      </c>
      <c r="T45" s="479">
        <v>0.30569444444444444</v>
      </c>
      <c r="U45" s="479"/>
      <c r="V45" s="479"/>
      <c r="W45" s="479">
        <v>0.50127314814814816</v>
      </c>
      <c r="X45" s="479">
        <v>0.69684027777777768</v>
      </c>
      <c r="Y45" s="479">
        <v>0.56527777777777777</v>
      </c>
      <c r="Z45" s="479">
        <v>0.8652777777777777</v>
      </c>
      <c r="AA45" s="479">
        <v>0.125</v>
      </c>
      <c r="AB45" s="476" t="s">
        <v>6464</v>
      </c>
      <c r="AC45" s="478">
        <v>130</v>
      </c>
      <c r="AD45" s="476" t="s">
        <v>113</v>
      </c>
      <c r="AE45" s="476"/>
      <c r="AF45" s="478">
        <v>58.6</v>
      </c>
      <c r="AG45" s="477">
        <v>14</v>
      </c>
      <c r="AH45" s="476" t="s">
        <v>6314</v>
      </c>
      <c r="AI45" s="476" t="s">
        <v>6316</v>
      </c>
      <c r="AJ45" s="476" t="s">
        <v>838</v>
      </c>
      <c r="AK45" s="476" t="s">
        <v>13</v>
      </c>
      <c r="AL45" s="476" t="s">
        <v>6728</v>
      </c>
      <c r="AM45" s="476" t="s">
        <v>6342</v>
      </c>
      <c r="AN45" s="476" t="s">
        <v>6905</v>
      </c>
      <c r="AO45" s="476" t="s">
        <v>6351</v>
      </c>
      <c r="AP45" s="476"/>
      <c r="AQ45" s="476"/>
      <c r="AR45" s="476"/>
      <c r="AS45" s="476"/>
      <c r="AT45" s="476"/>
      <c r="AU45" s="476"/>
      <c r="AV45" s="476"/>
      <c r="AW45" s="476"/>
      <c r="AX45" s="476"/>
      <c r="AY45" s="476"/>
      <c r="AZ45" s="476"/>
      <c r="BA45" s="476"/>
      <c r="BB45" s="476"/>
      <c r="BC45" s="476"/>
      <c r="BD45" s="476"/>
      <c r="BE45" s="476"/>
      <c r="BF45" s="476"/>
      <c r="BG45" s="476"/>
      <c r="BH45" s="476"/>
      <c r="BI45" s="476"/>
      <c r="BJ45" s="476"/>
      <c r="BK45" s="476"/>
      <c r="BL45" s="480"/>
    </row>
    <row r="46" spans="1:64">
      <c r="A46" s="468">
        <v>43837</v>
      </c>
      <c r="B46" s="473">
        <v>7</v>
      </c>
      <c r="C46" s="473">
        <v>359</v>
      </c>
      <c r="D46" s="470" t="s">
        <v>609</v>
      </c>
      <c r="E46" s="469">
        <v>2</v>
      </c>
      <c r="F46" s="470" t="s">
        <v>91</v>
      </c>
      <c r="G46" s="469">
        <v>533</v>
      </c>
      <c r="H46" s="470" t="s">
        <v>6245</v>
      </c>
      <c r="I46" s="470" t="s">
        <v>6257</v>
      </c>
      <c r="J46" s="469">
        <v>27</v>
      </c>
      <c r="K46" s="470" t="s">
        <v>6266</v>
      </c>
      <c r="L46" s="470" t="s">
        <v>6283</v>
      </c>
      <c r="M46" s="470" t="s">
        <v>9</v>
      </c>
      <c r="N46" s="473">
        <v>0</v>
      </c>
      <c r="O46" s="471"/>
      <c r="P46" s="471"/>
      <c r="Q46" s="471"/>
      <c r="R46" s="470"/>
      <c r="S46" s="471">
        <v>0.23896990740740742</v>
      </c>
      <c r="T46" s="471">
        <v>0.30563657407407407</v>
      </c>
      <c r="U46" s="471">
        <v>0.30555555555555552</v>
      </c>
      <c r="V46" s="471">
        <v>0.43611111111111112</v>
      </c>
      <c r="W46" s="471">
        <v>0.50157407407407406</v>
      </c>
      <c r="X46" s="471">
        <v>0.69751157407407405</v>
      </c>
      <c r="Y46" s="471">
        <v>0.59027777777777779</v>
      </c>
      <c r="Z46" s="471">
        <v>0.90069444444444446</v>
      </c>
      <c r="AA46" s="471">
        <v>0.16874999999999998</v>
      </c>
      <c r="AB46" s="470" t="s">
        <v>6464</v>
      </c>
      <c r="AC46" s="473">
        <v>130</v>
      </c>
      <c r="AD46" s="470" t="s">
        <v>113</v>
      </c>
      <c r="AE46" s="470"/>
      <c r="AF46" s="473">
        <v>56.5</v>
      </c>
      <c r="AG46" s="469">
        <v>9.8000000000000007</v>
      </c>
      <c r="AH46" s="470" t="s">
        <v>973</v>
      </c>
      <c r="AI46" s="470" t="s">
        <v>6317</v>
      </c>
      <c r="AJ46" s="470" t="s">
        <v>839</v>
      </c>
      <c r="AK46" s="470" t="s">
        <v>6493</v>
      </c>
      <c r="AL46" s="470" t="s">
        <v>6729</v>
      </c>
      <c r="AM46" s="470" t="s">
        <v>6343</v>
      </c>
      <c r="AN46" s="470" t="s">
        <v>6906</v>
      </c>
      <c r="AO46" s="470" t="s">
        <v>6346</v>
      </c>
      <c r="AP46" s="470"/>
      <c r="AQ46" s="470"/>
      <c r="AR46" s="470"/>
      <c r="AS46" s="470"/>
      <c r="AT46" s="470"/>
      <c r="AU46" s="470"/>
      <c r="AV46" s="470"/>
      <c r="AW46" s="470"/>
      <c r="AX46" s="470"/>
      <c r="AY46" s="470"/>
      <c r="AZ46" s="470"/>
      <c r="BA46" s="470"/>
      <c r="BB46" s="470"/>
      <c r="BC46" s="470"/>
      <c r="BD46" s="470"/>
      <c r="BE46" s="470"/>
      <c r="BF46" s="470"/>
      <c r="BG46" s="470"/>
      <c r="BH46" s="470"/>
      <c r="BI46" s="470"/>
      <c r="BJ46" s="470" t="s">
        <v>6360</v>
      </c>
      <c r="BK46" s="470"/>
      <c r="BL46" s="474"/>
    </row>
    <row r="47" spans="1:64">
      <c r="A47" s="475">
        <v>43838</v>
      </c>
      <c r="B47" s="478">
        <v>8</v>
      </c>
      <c r="C47" s="478">
        <v>358</v>
      </c>
      <c r="D47" s="476" t="s">
        <v>609</v>
      </c>
      <c r="E47" s="477">
        <v>2</v>
      </c>
      <c r="F47" s="476" t="s">
        <v>94</v>
      </c>
      <c r="G47" s="477">
        <v>533</v>
      </c>
      <c r="H47" s="476" t="s">
        <v>6245</v>
      </c>
      <c r="I47" s="476" t="s">
        <v>6257</v>
      </c>
      <c r="J47" s="477">
        <v>28</v>
      </c>
      <c r="K47" s="476" t="s">
        <v>6267</v>
      </c>
      <c r="L47" s="476" t="s">
        <v>6284</v>
      </c>
      <c r="M47" s="476" t="s">
        <v>9</v>
      </c>
      <c r="N47" s="478">
        <v>0</v>
      </c>
      <c r="O47" s="479"/>
      <c r="P47" s="479"/>
      <c r="Q47" s="479"/>
      <c r="R47" s="476"/>
      <c r="S47" s="479">
        <v>0.2388888888888889</v>
      </c>
      <c r="T47" s="479">
        <v>0.30555555555555552</v>
      </c>
      <c r="U47" s="479"/>
      <c r="V47" s="479"/>
      <c r="W47" s="479">
        <v>0.50187499999999996</v>
      </c>
      <c r="X47" s="479">
        <v>0.69819444444444445</v>
      </c>
      <c r="Y47" s="479">
        <v>0.62013888888888891</v>
      </c>
      <c r="Z47" s="479">
        <v>0.93819444444444444</v>
      </c>
      <c r="AA47" s="479">
        <v>0.21388888888888891</v>
      </c>
      <c r="AB47" s="476" t="s">
        <v>6464</v>
      </c>
      <c r="AC47" s="478">
        <v>130</v>
      </c>
      <c r="AD47" s="476" t="s">
        <v>113</v>
      </c>
      <c r="AE47" s="476"/>
      <c r="AF47" s="478">
        <v>57.3</v>
      </c>
      <c r="AG47" s="477">
        <v>8.1999999999999993</v>
      </c>
      <c r="AH47" s="476" t="s">
        <v>6290</v>
      </c>
      <c r="AI47" s="476" t="s">
        <v>6318</v>
      </c>
      <c r="AJ47" s="476" t="s">
        <v>6493</v>
      </c>
      <c r="AK47" s="476" t="s">
        <v>6493</v>
      </c>
      <c r="AL47" s="476"/>
      <c r="AM47" s="476"/>
      <c r="AN47" s="476"/>
      <c r="AO47" s="476"/>
      <c r="AP47" s="476"/>
      <c r="AQ47" s="476"/>
      <c r="AR47" s="476"/>
      <c r="AS47" s="476"/>
      <c r="AT47" s="476"/>
      <c r="AU47" s="476"/>
      <c r="AV47" s="476"/>
      <c r="AW47" s="476"/>
      <c r="AX47" s="476"/>
      <c r="AY47" s="476"/>
      <c r="AZ47" s="476"/>
      <c r="BA47" s="476"/>
      <c r="BB47" s="476"/>
      <c r="BC47" s="476"/>
      <c r="BD47" s="476"/>
      <c r="BE47" s="476"/>
      <c r="BF47" s="476"/>
      <c r="BG47" s="476"/>
      <c r="BH47" s="476"/>
      <c r="BI47" s="476"/>
      <c r="BJ47" s="476"/>
      <c r="BK47" s="476"/>
      <c r="BL47" s="480"/>
    </row>
    <row r="48" spans="1:64">
      <c r="A48" s="468">
        <v>43839</v>
      </c>
      <c r="B48" s="473">
        <v>9</v>
      </c>
      <c r="C48" s="473">
        <v>357</v>
      </c>
      <c r="D48" s="470" t="s">
        <v>609</v>
      </c>
      <c r="E48" s="469">
        <v>2</v>
      </c>
      <c r="F48" s="470" t="s">
        <v>6714</v>
      </c>
      <c r="G48" s="469">
        <v>533</v>
      </c>
      <c r="H48" s="470" t="s">
        <v>6245</v>
      </c>
      <c r="I48" s="470" t="s">
        <v>6257</v>
      </c>
      <c r="J48" s="469">
        <v>29</v>
      </c>
      <c r="K48" s="470" t="s">
        <v>6268</v>
      </c>
      <c r="L48" s="470" t="s">
        <v>6285</v>
      </c>
      <c r="M48" s="470" t="s">
        <v>9</v>
      </c>
      <c r="N48" s="473">
        <v>0</v>
      </c>
      <c r="O48" s="471"/>
      <c r="P48" s="471"/>
      <c r="Q48" s="471"/>
      <c r="R48" s="470"/>
      <c r="S48" s="471">
        <v>0.23878472222222222</v>
      </c>
      <c r="T48" s="471">
        <v>0.3054513888888889</v>
      </c>
      <c r="U48" s="471"/>
      <c r="V48" s="471"/>
      <c r="W48" s="471">
        <v>0.50217592592592586</v>
      </c>
      <c r="X48" s="471">
        <v>0.69890046296296304</v>
      </c>
      <c r="Y48" s="471">
        <v>0.65555555555555556</v>
      </c>
      <c r="Z48" s="471">
        <v>0.97777777777777775</v>
      </c>
      <c r="AA48" s="471">
        <v>0.25833333333333336</v>
      </c>
      <c r="AB48" s="470" t="s">
        <v>6464</v>
      </c>
      <c r="AC48" s="473">
        <v>130</v>
      </c>
      <c r="AD48" s="470" t="s">
        <v>113</v>
      </c>
      <c r="AE48" s="470"/>
      <c r="AF48" s="473">
        <v>61.2</v>
      </c>
      <c r="AG48" s="469">
        <v>9.3000000000000007</v>
      </c>
      <c r="AH48" s="470" t="s">
        <v>6315</v>
      </c>
      <c r="AI48" s="470" t="s">
        <v>6319</v>
      </c>
      <c r="AJ48" s="470" t="s">
        <v>6493</v>
      </c>
      <c r="AK48" s="470" t="s">
        <v>6493</v>
      </c>
      <c r="AL48" s="470"/>
      <c r="AM48" s="470"/>
      <c r="AN48" s="470"/>
      <c r="AO48" s="470"/>
      <c r="AP48" s="470"/>
      <c r="AQ48" s="470"/>
      <c r="AR48" s="470"/>
      <c r="AS48" s="470"/>
      <c r="AT48" s="470"/>
      <c r="AU48" s="470"/>
      <c r="AV48" s="470"/>
      <c r="AW48" s="470"/>
      <c r="AX48" s="470"/>
      <c r="AY48" s="470"/>
      <c r="AZ48" s="470"/>
      <c r="BA48" s="470"/>
      <c r="BB48" s="470"/>
      <c r="BC48" s="470"/>
      <c r="BD48" s="470"/>
      <c r="BE48" s="470"/>
      <c r="BF48" s="470"/>
      <c r="BG48" s="470"/>
      <c r="BH48" s="470"/>
      <c r="BI48" s="470"/>
      <c r="BJ48" s="470"/>
      <c r="BK48" s="470"/>
      <c r="BL48" s="474"/>
    </row>
    <row r="49" spans="1:64">
      <c r="A49" s="475">
        <v>43840</v>
      </c>
      <c r="B49" s="478">
        <v>10</v>
      </c>
      <c r="C49" s="478">
        <v>356</v>
      </c>
      <c r="D49" s="476" t="s">
        <v>609</v>
      </c>
      <c r="E49" s="477">
        <v>2</v>
      </c>
      <c r="F49" s="476" t="s">
        <v>100</v>
      </c>
      <c r="G49" s="477">
        <v>533</v>
      </c>
      <c r="H49" s="476" t="s">
        <v>6245</v>
      </c>
      <c r="I49" s="476" t="s">
        <v>6257</v>
      </c>
      <c r="J49" s="477">
        <v>30</v>
      </c>
      <c r="K49" s="476" t="s">
        <v>6272</v>
      </c>
      <c r="L49" s="476" t="s">
        <v>6288</v>
      </c>
      <c r="M49" s="476" t="s">
        <v>9</v>
      </c>
      <c r="N49" s="478">
        <v>0</v>
      </c>
      <c r="O49" s="479"/>
      <c r="P49" s="479"/>
      <c r="Q49" s="479"/>
      <c r="R49" s="476"/>
      <c r="S49" s="479">
        <v>0.23864583333333333</v>
      </c>
      <c r="T49" s="479">
        <v>0.30531249999999999</v>
      </c>
      <c r="U49" s="479"/>
      <c r="V49" s="479"/>
      <c r="W49" s="479">
        <v>0.50246527777777772</v>
      </c>
      <c r="X49" s="479">
        <v>0.69960648148148152</v>
      </c>
      <c r="Y49" s="479">
        <v>0.69791666666666663</v>
      </c>
      <c r="Z49" s="479" t="s">
        <v>1107</v>
      </c>
      <c r="AA49" s="479">
        <v>0.30069444444444443</v>
      </c>
      <c r="AB49" s="476" t="s">
        <v>6462</v>
      </c>
      <c r="AC49" s="478">
        <v>129</v>
      </c>
      <c r="AD49" s="476" t="s">
        <v>116</v>
      </c>
      <c r="AE49" s="476" t="s">
        <v>6506</v>
      </c>
      <c r="AF49" s="478">
        <v>68.099999999999994</v>
      </c>
      <c r="AG49" s="477">
        <v>13.1</v>
      </c>
      <c r="AH49" s="476" t="s">
        <v>6291</v>
      </c>
      <c r="AI49" s="476" t="s">
        <v>6320</v>
      </c>
      <c r="AJ49" s="476" t="s">
        <v>839</v>
      </c>
      <c r="AK49" s="476" t="s">
        <v>6493</v>
      </c>
      <c r="AL49" s="476" t="s">
        <v>809</v>
      </c>
      <c r="AM49" s="476" t="s">
        <v>6344</v>
      </c>
      <c r="AN49" s="476" t="s">
        <v>6907</v>
      </c>
      <c r="AO49" s="476"/>
      <c r="AP49" s="476"/>
      <c r="AQ49" s="476"/>
      <c r="AR49" s="476"/>
      <c r="AS49" s="476"/>
      <c r="AT49" s="476"/>
      <c r="AU49" s="476"/>
      <c r="AV49" s="476"/>
      <c r="AW49" s="476"/>
      <c r="AX49" s="476"/>
      <c r="AY49" s="476"/>
      <c r="AZ49" s="476"/>
      <c r="BA49" s="476"/>
      <c r="BB49" s="476"/>
      <c r="BC49" s="476"/>
      <c r="BD49" s="476"/>
      <c r="BE49" s="476"/>
      <c r="BF49" s="476"/>
      <c r="BG49" s="476"/>
      <c r="BH49" s="476"/>
      <c r="BI49" s="476"/>
      <c r="BJ49" s="476" t="s">
        <v>6361</v>
      </c>
      <c r="BK49" s="476"/>
      <c r="BL49" s="480"/>
    </row>
    <row r="50" spans="1:64">
      <c r="A50" s="468">
        <v>43841</v>
      </c>
      <c r="B50" s="473">
        <v>11</v>
      </c>
      <c r="C50" s="473">
        <v>355</v>
      </c>
      <c r="D50" s="470" t="s">
        <v>609</v>
      </c>
      <c r="E50" s="469">
        <v>2</v>
      </c>
      <c r="F50" s="470" t="s">
        <v>103</v>
      </c>
      <c r="G50" s="469">
        <v>533</v>
      </c>
      <c r="H50" s="470" t="s">
        <v>6246</v>
      </c>
      <c r="I50" s="470" t="s">
        <v>836</v>
      </c>
      <c r="J50" s="469">
        <v>1</v>
      </c>
      <c r="K50" s="470" t="s">
        <v>6270</v>
      </c>
      <c r="L50" s="470" t="s">
        <v>6287</v>
      </c>
      <c r="M50" s="470" t="s">
        <v>9</v>
      </c>
      <c r="N50" s="473">
        <v>0</v>
      </c>
      <c r="O50" s="471"/>
      <c r="P50" s="471"/>
      <c r="Q50" s="471"/>
      <c r="R50" s="470"/>
      <c r="S50" s="471">
        <v>0.23848379629629632</v>
      </c>
      <c r="T50" s="471">
        <v>0.30515046296296294</v>
      </c>
      <c r="U50" s="471"/>
      <c r="V50" s="471"/>
      <c r="W50" s="471">
        <v>0.50274305555555554</v>
      </c>
      <c r="X50" s="471">
        <v>0.70033564814814808</v>
      </c>
      <c r="Y50" s="471">
        <v>0.74444444444444446</v>
      </c>
      <c r="Z50" s="471">
        <v>1.8749999999999999E-2</v>
      </c>
      <c r="AA50" s="471">
        <v>0.33819444444444446</v>
      </c>
      <c r="AB50" s="470" t="s">
        <v>6462</v>
      </c>
      <c r="AC50" s="473">
        <v>129</v>
      </c>
      <c r="AD50" s="470" t="s">
        <v>116</v>
      </c>
      <c r="AE50" s="470"/>
      <c r="AF50" s="473">
        <v>77.400000000000006</v>
      </c>
      <c r="AG50" s="469">
        <v>19.2</v>
      </c>
      <c r="AH50" s="470" t="s">
        <v>6292</v>
      </c>
      <c r="AI50" s="470" t="s">
        <v>6321</v>
      </c>
      <c r="AJ50" s="470" t="s">
        <v>6493</v>
      </c>
      <c r="AK50" s="470" t="s">
        <v>6493</v>
      </c>
      <c r="AL50" s="470" t="s">
        <v>6730</v>
      </c>
      <c r="AM50" s="470"/>
      <c r="AN50" s="470" t="s">
        <v>6908</v>
      </c>
      <c r="AO50" s="470"/>
      <c r="AP50" s="470"/>
      <c r="AQ50" s="470"/>
      <c r="AR50" s="470"/>
      <c r="AS50" s="470"/>
      <c r="AT50" s="470"/>
      <c r="AU50" s="470"/>
      <c r="AV50" s="470"/>
      <c r="AW50" s="470"/>
      <c r="AX50" s="470"/>
      <c r="AY50" s="470"/>
      <c r="AZ50" s="470"/>
      <c r="BA50" s="470"/>
      <c r="BB50" s="470"/>
      <c r="BC50" s="470"/>
      <c r="BD50" s="470"/>
      <c r="BE50" s="470"/>
      <c r="BF50" s="470"/>
      <c r="BG50" s="470"/>
      <c r="BH50" s="470"/>
      <c r="BI50" s="470"/>
      <c r="BJ50" s="470"/>
      <c r="BK50" s="470"/>
      <c r="BL50" s="474"/>
    </row>
    <row r="51" spans="1:64">
      <c r="A51" s="475">
        <v>43842</v>
      </c>
      <c r="B51" s="478">
        <v>12</v>
      </c>
      <c r="C51" s="478">
        <v>354</v>
      </c>
      <c r="D51" s="476" t="s">
        <v>609</v>
      </c>
      <c r="E51" s="477">
        <v>2</v>
      </c>
      <c r="F51" s="476" t="s">
        <v>106</v>
      </c>
      <c r="G51" s="477">
        <v>533</v>
      </c>
      <c r="H51" s="476" t="s">
        <v>6246</v>
      </c>
      <c r="I51" s="476" t="s">
        <v>836</v>
      </c>
      <c r="J51" s="477">
        <v>2</v>
      </c>
      <c r="K51" s="476" t="s">
        <v>1034</v>
      </c>
      <c r="L51" s="476" t="s">
        <v>6273</v>
      </c>
      <c r="M51" s="476" t="s">
        <v>9</v>
      </c>
      <c r="N51" s="478">
        <v>0</v>
      </c>
      <c r="O51" s="479"/>
      <c r="P51" s="479"/>
      <c r="Q51" s="479"/>
      <c r="R51" s="476"/>
      <c r="S51" s="479">
        <v>0.23829861111111109</v>
      </c>
      <c r="T51" s="479">
        <v>0.30496527777777777</v>
      </c>
      <c r="U51" s="479"/>
      <c r="V51" s="479"/>
      <c r="W51" s="479">
        <v>0.50302083333333336</v>
      </c>
      <c r="X51" s="479">
        <v>0.70107638888888879</v>
      </c>
      <c r="Y51" s="479">
        <v>0.79513888888888884</v>
      </c>
      <c r="Z51" s="479">
        <v>5.9722222222222225E-2</v>
      </c>
      <c r="AA51" s="479">
        <v>0.37083333333333335</v>
      </c>
      <c r="AB51" s="476" t="s">
        <v>6462</v>
      </c>
      <c r="AC51" s="478">
        <v>129</v>
      </c>
      <c r="AD51" s="476" t="s">
        <v>116</v>
      </c>
      <c r="AE51" s="476"/>
      <c r="AF51" s="478">
        <v>88.7</v>
      </c>
      <c r="AG51" s="477">
        <v>27</v>
      </c>
      <c r="AH51" s="476" t="s">
        <v>6293</v>
      </c>
      <c r="AI51" s="476" t="s">
        <v>6322</v>
      </c>
      <c r="AJ51" s="476" t="s">
        <v>6493</v>
      </c>
      <c r="AK51" s="476" t="s">
        <v>6493</v>
      </c>
      <c r="AL51" s="476"/>
      <c r="AM51" s="476"/>
      <c r="AN51" s="476"/>
      <c r="AO51" s="476"/>
      <c r="AP51" s="476"/>
      <c r="AQ51" s="476"/>
      <c r="AR51" s="476"/>
      <c r="AS51" s="476"/>
      <c r="AT51" s="476"/>
      <c r="AU51" s="476"/>
      <c r="AV51" s="476"/>
      <c r="AW51" s="476"/>
      <c r="AX51" s="476"/>
      <c r="AY51" s="476"/>
      <c r="AZ51" s="476"/>
      <c r="BA51" s="476"/>
      <c r="BB51" s="476"/>
      <c r="BC51" s="476"/>
      <c r="BD51" s="476"/>
      <c r="BE51" s="476"/>
      <c r="BF51" s="476"/>
      <c r="BG51" s="476"/>
      <c r="BH51" s="476"/>
      <c r="BI51" s="476"/>
      <c r="BJ51" s="476"/>
      <c r="BK51" s="476"/>
      <c r="BL51" s="480"/>
    </row>
    <row r="52" spans="1:64">
      <c r="A52" s="468">
        <v>43843</v>
      </c>
      <c r="B52" s="473">
        <v>13</v>
      </c>
      <c r="C52" s="473">
        <v>353</v>
      </c>
      <c r="D52" s="470" t="s">
        <v>609</v>
      </c>
      <c r="E52" s="469">
        <v>3</v>
      </c>
      <c r="F52" s="470" t="s">
        <v>88</v>
      </c>
      <c r="G52" s="469">
        <v>533</v>
      </c>
      <c r="H52" s="470" t="s">
        <v>6246</v>
      </c>
      <c r="I52" s="470" t="s">
        <v>836</v>
      </c>
      <c r="J52" s="469">
        <v>4</v>
      </c>
      <c r="K52" s="470" t="s">
        <v>6259</v>
      </c>
      <c r="L52" s="470" t="s">
        <v>6274</v>
      </c>
      <c r="M52" s="470" t="s">
        <v>9</v>
      </c>
      <c r="N52" s="473">
        <v>0</v>
      </c>
      <c r="O52" s="471">
        <v>0.4055555555555555</v>
      </c>
      <c r="P52" s="471">
        <v>0.29444444444444445</v>
      </c>
      <c r="Q52" s="471"/>
      <c r="R52" s="470"/>
      <c r="S52" s="471">
        <v>0.23809027777777778</v>
      </c>
      <c r="T52" s="471">
        <v>0.30475694444444446</v>
      </c>
      <c r="U52" s="471"/>
      <c r="V52" s="471"/>
      <c r="W52" s="471">
        <v>0.50328703703703703</v>
      </c>
      <c r="X52" s="471">
        <v>0.70181712962962972</v>
      </c>
      <c r="Y52" s="471">
        <v>0.84583333333333333</v>
      </c>
      <c r="Z52" s="471">
        <v>9.9999999999999992E-2</v>
      </c>
      <c r="AA52" s="471">
        <v>0.39930555555555558</v>
      </c>
      <c r="AB52" s="470" t="s">
        <v>6462</v>
      </c>
      <c r="AC52" s="473">
        <v>129</v>
      </c>
      <c r="AD52" s="470" t="s">
        <v>116</v>
      </c>
      <c r="AE52" s="470"/>
      <c r="AF52" s="473">
        <v>1.1000000000000001</v>
      </c>
      <c r="AG52" s="469">
        <v>35.799999999999997</v>
      </c>
      <c r="AH52" s="470" t="s">
        <v>6294</v>
      </c>
      <c r="AI52" s="470" t="s">
        <v>6323</v>
      </c>
      <c r="AJ52" s="470" t="s">
        <v>6493</v>
      </c>
      <c r="AK52" s="470" t="s">
        <v>6493</v>
      </c>
      <c r="AL52" s="470" t="s">
        <v>6731</v>
      </c>
      <c r="AM52" s="470"/>
      <c r="AN52" s="470"/>
      <c r="AO52" s="470"/>
      <c r="AP52" s="470"/>
      <c r="AQ52" s="470"/>
      <c r="AR52" s="470"/>
      <c r="AS52" s="470"/>
      <c r="AT52" s="470"/>
      <c r="AU52" s="470"/>
      <c r="AV52" s="470"/>
      <c r="AW52" s="470"/>
      <c r="AX52" s="470"/>
      <c r="AY52" s="470"/>
      <c r="AZ52" s="470"/>
      <c r="BA52" s="470"/>
      <c r="BB52" s="470"/>
      <c r="BC52" s="470"/>
      <c r="BD52" s="470"/>
      <c r="BE52" s="470"/>
      <c r="BF52" s="470"/>
      <c r="BG52" s="470"/>
      <c r="BH52" s="470"/>
      <c r="BI52" s="470"/>
      <c r="BJ52" s="470"/>
      <c r="BK52" s="470"/>
      <c r="BL52" s="474"/>
    </row>
    <row r="53" spans="1:64">
      <c r="A53" s="475">
        <v>43844</v>
      </c>
      <c r="B53" s="478">
        <v>14</v>
      </c>
      <c r="C53" s="478">
        <v>352</v>
      </c>
      <c r="D53" s="476" t="s">
        <v>609</v>
      </c>
      <c r="E53" s="477">
        <v>3</v>
      </c>
      <c r="F53" s="476" t="s">
        <v>91</v>
      </c>
      <c r="G53" s="477">
        <v>533</v>
      </c>
      <c r="H53" s="476" t="s">
        <v>6246</v>
      </c>
      <c r="I53" s="476" t="s">
        <v>836</v>
      </c>
      <c r="J53" s="477">
        <v>5</v>
      </c>
      <c r="K53" s="476" t="s">
        <v>6260</v>
      </c>
      <c r="L53" s="476" t="s">
        <v>6276</v>
      </c>
      <c r="M53" s="476" t="s">
        <v>9</v>
      </c>
      <c r="N53" s="478">
        <v>0</v>
      </c>
      <c r="O53" s="479"/>
      <c r="P53" s="479"/>
      <c r="Q53" s="479"/>
      <c r="R53" s="476"/>
      <c r="S53" s="479">
        <v>0.23784722222222221</v>
      </c>
      <c r="T53" s="479">
        <v>0.30451388888888892</v>
      </c>
      <c r="U53" s="479"/>
      <c r="V53" s="479"/>
      <c r="W53" s="479">
        <v>0.5035532407407407</v>
      </c>
      <c r="X53" s="479">
        <v>0.70258101851851851</v>
      </c>
      <c r="Y53" s="479">
        <v>0.89722222222222225</v>
      </c>
      <c r="Z53" s="479">
        <v>0.13680555555555554</v>
      </c>
      <c r="AA53" s="479">
        <v>0.42291666666666666</v>
      </c>
      <c r="AB53" s="476" t="s">
        <v>6462</v>
      </c>
      <c r="AC53" s="478">
        <v>129</v>
      </c>
      <c r="AD53" s="476" t="s">
        <v>116</v>
      </c>
      <c r="AE53" s="476"/>
      <c r="AF53" s="478">
        <v>13.8</v>
      </c>
      <c r="AG53" s="477">
        <v>44.8</v>
      </c>
      <c r="AH53" s="476" t="s">
        <v>6295</v>
      </c>
      <c r="AI53" s="476" t="s">
        <v>6324</v>
      </c>
      <c r="AJ53" s="476" t="s">
        <v>839</v>
      </c>
      <c r="AK53" s="476" t="s">
        <v>6493</v>
      </c>
      <c r="AL53" s="476" t="s">
        <v>6732</v>
      </c>
      <c r="AM53" s="476" t="s">
        <v>6346</v>
      </c>
      <c r="AN53" s="476" t="s">
        <v>6909</v>
      </c>
      <c r="AO53" s="476" t="s">
        <v>6346</v>
      </c>
      <c r="AP53" s="476"/>
      <c r="AQ53" s="476"/>
      <c r="AR53" s="476"/>
      <c r="AS53" s="476"/>
      <c r="AT53" s="476"/>
      <c r="AU53" s="476"/>
      <c r="AV53" s="476"/>
      <c r="AW53" s="476"/>
      <c r="AX53" s="476"/>
      <c r="AY53" s="476"/>
      <c r="AZ53" s="476"/>
      <c r="BA53" s="476"/>
      <c r="BB53" s="476"/>
      <c r="BC53" s="476"/>
      <c r="BD53" s="476"/>
      <c r="BE53" s="476"/>
      <c r="BF53" s="476"/>
      <c r="BG53" s="476"/>
      <c r="BH53" s="476"/>
      <c r="BI53" s="476"/>
      <c r="BJ53" s="476" t="s">
        <v>6362</v>
      </c>
      <c r="BK53" s="476"/>
      <c r="BL53" s="480"/>
    </row>
    <row r="54" spans="1:64">
      <c r="A54" s="468">
        <v>43845</v>
      </c>
      <c r="B54" s="473">
        <v>15</v>
      </c>
      <c r="C54" s="473">
        <v>351</v>
      </c>
      <c r="D54" s="470" t="s">
        <v>609</v>
      </c>
      <c r="E54" s="469">
        <v>3</v>
      </c>
      <c r="F54" s="470" t="s">
        <v>94</v>
      </c>
      <c r="G54" s="469">
        <v>533</v>
      </c>
      <c r="H54" s="470" t="s">
        <v>6246</v>
      </c>
      <c r="I54" s="470" t="s">
        <v>836</v>
      </c>
      <c r="J54" s="469">
        <v>6</v>
      </c>
      <c r="K54" s="470" t="s">
        <v>6261</v>
      </c>
      <c r="L54" s="470" t="s">
        <v>6277</v>
      </c>
      <c r="M54" s="470" t="s">
        <v>9</v>
      </c>
      <c r="N54" s="473">
        <v>0</v>
      </c>
      <c r="O54" s="471"/>
      <c r="P54" s="471"/>
      <c r="Q54" s="471">
        <v>0.64428240740740739</v>
      </c>
      <c r="R54" s="470" t="s">
        <v>15</v>
      </c>
      <c r="S54" s="471">
        <v>0.23758101851851854</v>
      </c>
      <c r="T54" s="471">
        <v>0.30424768518518519</v>
      </c>
      <c r="U54" s="471"/>
      <c r="V54" s="471"/>
      <c r="W54" s="471">
        <v>0.5037962962962963</v>
      </c>
      <c r="X54" s="471">
        <v>0.7033449074074074</v>
      </c>
      <c r="Y54" s="471">
        <v>0.9472222222222223</v>
      </c>
      <c r="Z54" s="471">
        <v>0.17291666666666669</v>
      </c>
      <c r="AA54" s="471">
        <v>0.4458333333333333</v>
      </c>
      <c r="AB54" s="470" t="s">
        <v>6462</v>
      </c>
      <c r="AC54" s="473">
        <v>129</v>
      </c>
      <c r="AD54" s="470" t="s">
        <v>116</v>
      </c>
      <c r="AE54" s="470"/>
      <c r="AF54" s="473">
        <v>26</v>
      </c>
      <c r="AG54" s="469">
        <v>53.5</v>
      </c>
      <c r="AH54" s="470" t="s">
        <v>6296</v>
      </c>
      <c r="AI54" s="470" t="s">
        <v>6325</v>
      </c>
      <c r="AJ54" s="470" t="s">
        <v>839</v>
      </c>
      <c r="AK54" s="470" t="s">
        <v>6493</v>
      </c>
      <c r="AL54" s="470" t="s">
        <v>1218</v>
      </c>
      <c r="AM54" s="470" t="s">
        <v>6162</v>
      </c>
      <c r="AN54" s="470" t="s">
        <v>6893</v>
      </c>
      <c r="AO54" s="470" t="s">
        <v>6346</v>
      </c>
      <c r="AP54" s="470" t="s">
        <v>7007</v>
      </c>
      <c r="AQ54" s="470"/>
      <c r="AR54" s="470"/>
      <c r="AS54" s="470"/>
      <c r="AT54" s="470"/>
      <c r="AU54" s="470"/>
      <c r="AV54" s="470"/>
      <c r="AW54" s="470"/>
      <c r="AX54" s="470"/>
      <c r="AY54" s="470"/>
      <c r="AZ54" s="470"/>
      <c r="BA54" s="470"/>
      <c r="BB54" s="470"/>
      <c r="BC54" s="470"/>
      <c r="BD54" s="470"/>
      <c r="BE54" s="470"/>
      <c r="BF54" s="470"/>
      <c r="BG54" s="470"/>
      <c r="BH54" s="470"/>
      <c r="BI54" s="470"/>
      <c r="BJ54" s="470" t="s">
        <v>7090</v>
      </c>
      <c r="BK54" s="470"/>
      <c r="BL54" s="474"/>
    </row>
    <row r="55" spans="1:64">
      <c r="A55" s="475">
        <v>43846</v>
      </c>
      <c r="B55" s="478">
        <v>16</v>
      </c>
      <c r="C55" s="478">
        <v>350</v>
      </c>
      <c r="D55" s="476" t="s">
        <v>609</v>
      </c>
      <c r="E55" s="477">
        <v>3</v>
      </c>
      <c r="F55" s="476" t="s">
        <v>6714</v>
      </c>
      <c r="G55" s="477">
        <v>533</v>
      </c>
      <c r="H55" s="476" t="s">
        <v>6246</v>
      </c>
      <c r="I55" s="476" t="s">
        <v>836</v>
      </c>
      <c r="J55" s="477">
        <v>7</v>
      </c>
      <c r="K55" s="476" t="s">
        <v>6262</v>
      </c>
      <c r="L55" s="476" t="s">
        <v>6278</v>
      </c>
      <c r="M55" s="476" t="s">
        <v>9</v>
      </c>
      <c r="N55" s="478">
        <v>0</v>
      </c>
      <c r="O55" s="479"/>
      <c r="P55" s="479"/>
      <c r="Q55" s="479"/>
      <c r="R55" s="476"/>
      <c r="S55" s="479">
        <v>0.23730324074074075</v>
      </c>
      <c r="T55" s="479">
        <v>0.30396990740740742</v>
      </c>
      <c r="U55" s="479"/>
      <c r="V55" s="479"/>
      <c r="W55" s="479">
        <v>0.50405092592592593</v>
      </c>
      <c r="X55" s="479">
        <v>0.70413194444444438</v>
      </c>
      <c r="Y55" s="479">
        <v>0.99652777777777779</v>
      </c>
      <c r="Z55" s="479">
        <v>0.20833333333333334</v>
      </c>
      <c r="AA55" s="479">
        <v>0.46597222222222223</v>
      </c>
      <c r="AB55" s="476" t="s">
        <v>6462</v>
      </c>
      <c r="AC55" s="478">
        <v>129</v>
      </c>
      <c r="AD55" s="476" t="s">
        <v>116</v>
      </c>
      <c r="AE55" s="476"/>
      <c r="AF55" s="478">
        <v>37.200000000000003</v>
      </c>
      <c r="AG55" s="477">
        <v>61.1</v>
      </c>
      <c r="AH55" s="476" t="s">
        <v>6297</v>
      </c>
      <c r="AI55" s="476" t="s">
        <v>6326</v>
      </c>
      <c r="AJ55" s="476" t="s">
        <v>839</v>
      </c>
      <c r="AK55" s="476" t="s">
        <v>6493</v>
      </c>
      <c r="AL55" s="476" t="s">
        <v>6733</v>
      </c>
      <c r="AM55" s="476" t="s">
        <v>6346</v>
      </c>
      <c r="AN55" s="476"/>
      <c r="AO55" s="476"/>
      <c r="AP55" s="476"/>
      <c r="AQ55" s="476"/>
      <c r="AR55" s="476"/>
      <c r="AS55" s="476"/>
      <c r="AT55" s="476"/>
      <c r="AU55" s="476"/>
      <c r="AV55" s="476"/>
      <c r="AW55" s="476"/>
      <c r="AX55" s="476"/>
      <c r="AY55" s="476"/>
      <c r="AZ55" s="476"/>
      <c r="BA55" s="476"/>
      <c r="BB55" s="476"/>
      <c r="BC55" s="476"/>
      <c r="BD55" s="476"/>
      <c r="BE55" s="476"/>
      <c r="BF55" s="476"/>
      <c r="BG55" s="476"/>
      <c r="BH55" s="476"/>
      <c r="BI55" s="476"/>
      <c r="BJ55" s="476" t="s">
        <v>6364</v>
      </c>
      <c r="BK55" s="476"/>
      <c r="BL55" s="480"/>
    </row>
    <row r="56" spans="1:64">
      <c r="A56" s="468">
        <v>43847</v>
      </c>
      <c r="B56" s="473">
        <v>17</v>
      </c>
      <c r="C56" s="473">
        <v>349</v>
      </c>
      <c r="D56" s="470" t="s">
        <v>609</v>
      </c>
      <c r="E56" s="469">
        <v>3</v>
      </c>
      <c r="F56" s="470" t="s">
        <v>100</v>
      </c>
      <c r="G56" s="469">
        <v>533</v>
      </c>
      <c r="H56" s="470" t="s">
        <v>6246</v>
      </c>
      <c r="I56" s="470" t="s">
        <v>836</v>
      </c>
      <c r="J56" s="469">
        <v>8</v>
      </c>
      <c r="K56" s="470" t="s">
        <v>6263</v>
      </c>
      <c r="L56" s="470" t="s">
        <v>6279</v>
      </c>
      <c r="M56" s="470" t="s">
        <v>9</v>
      </c>
      <c r="N56" s="473">
        <v>0</v>
      </c>
      <c r="O56" s="471"/>
      <c r="P56" s="471"/>
      <c r="Q56" s="471"/>
      <c r="R56" s="470"/>
      <c r="S56" s="471">
        <v>0.23697916666666666</v>
      </c>
      <c r="T56" s="471">
        <v>0.30364583333333334</v>
      </c>
      <c r="U56" s="471"/>
      <c r="V56" s="471"/>
      <c r="W56" s="471">
        <v>0.50428240740740737</v>
      </c>
      <c r="X56" s="471">
        <v>0.70491898148148147</v>
      </c>
      <c r="Y56" s="471" t="s">
        <v>1107</v>
      </c>
      <c r="Z56" s="471">
        <v>0.24236111111111111</v>
      </c>
      <c r="AA56" s="471">
        <v>0.48680555555555555</v>
      </c>
      <c r="AB56" s="470" t="s">
        <v>6289</v>
      </c>
      <c r="AC56" s="473">
        <v>131</v>
      </c>
      <c r="AD56" s="470" t="s">
        <v>119</v>
      </c>
      <c r="AE56" s="470" t="s">
        <v>6507</v>
      </c>
      <c r="AF56" s="473">
        <v>46.7</v>
      </c>
      <c r="AG56" s="469">
        <v>67.400000000000006</v>
      </c>
      <c r="AH56" s="470" t="s">
        <v>6298</v>
      </c>
      <c r="AI56" s="470" t="s">
        <v>6328</v>
      </c>
      <c r="AJ56" s="470" t="s">
        <v>6493</v>
      </c>
      <c r="AK56" s="470" t="s">
        <v>6493</v>
      </c>
      <c r="AL56" s="470"/>
      <c r="AM56" s="470"/>
      <c r="AN56" s="470"/>
      <c r="AO56" s="470"/>
      <c r="AP56" s="470"/>
      <c r="AQ56" s="470"/>
      <c r="AR56" s="470"/>
      <c r="AS56" s="470"/>
      <c r="AT56" s="470"/>
      <c r="AU56" s="470"/>
      <c r="AV56" s="470"/>
      <c r="AW56" s="470"/>
      <c r="AX56" s="470"/>
      <c r="AY56" s="470"/>
      <c r="AZ56" s="470"/>
      <c r="BA56" s="470"/>
      <c r="BB56" s="470"/>
      <c r="BC56" s="470"/>
      <c r="BD56" s="470"/>
      <c r="BE56" s="470"/>
      <c r="BF56" s="470"/>
      <c r="BG56" s="470"/>
      <c r="BH56" s="470"/>
      <c r="BI56" s="470"/>
      <c r="BJ56" s="470"/>
      <c r="BK56" s="470"/>
      <c r="BL56" s="474"/>
    </row>
    <row r="57" spans="1:64">
      <c r="A57" s="475">
        <v>43848</v>
      </c>
      <c r="B57" s="478">
        <v>18</v>
      </c>
      <c r="C57" s="478">
        <v>348</v>
      </c>
      <c r="D57" s="476" t="s">
        <v>609</v>
      </c>
      <c r="E57" s="477">
        <v>3</v>
      </c>
      <c r="F57" s="476" t="s">
        <v>103</v>
      </c>
      <c r="G57" s="477">
        <v>533</v>
      </c>
      <c r="H57" s="476" t="s">
        <v>6246</v>
      </c>
      <c r="I57" s="476" t="s">
        <v>836</v>
      </c>
      <c r="J57" s="477">
        <v>9</v>
      </c>
      <c r="K57" s="476" t="s">
        <v>6264</v>
      </c>
      <c r="L57" s="476" t="s">
        <v>6280</v>
      </c>
      <c r="M57" s="476" t="s">
        <v>9</v>
      </c>
      <c r="N57" s="478">
        <v>0</v>
      </c>
      <c r="O57" s="479"/>
      <c r="P57" s="479"/>
      <c r="Q57" s="479"/>
      <c r="R57" s="476"/>
      <c r="S57" s="479">
        <v>0.2366435185185185</v>
      </c>
      <c r="T57" s="479">
        <v>0.30331018518518521</v>
      </c>
      <c r="U57" s="479"/>
      <c r="V57" s="479"/>
      <c r="W57" s="479">
        <v>0.50451388888888882</v>
      </c>
      <c r="X57" s="479">
        <v>0.70571759259259259</v>
      </c>
      <c r="Y57" s="479">
        <v>4.4444444444444446E-2</v>
      </c>
      <c r="Z57" s="479">
        <v>0.27708333333333335</v>
      </c>
      <c r="AA57" s="479">
        <v>0.5083333333333333</v>
      </c>
      <c r="AB57" s="476" t="s">
        <v>6289</v>
      </c>
      <c r="AC57" s="478">
        <v>131</v>
      </c>
      <c r="AD57" s="476" t="s">
        <v>119</v>
      </c>
      <c r="AE57" s="476"/>
      <c r="AF57" s="478">
        <v>54.5</v>
      </c>
      <c r="AG57" s="477">
        <v>72</v>
      </c>
      <c r="AH57" s="476" t="s">
        <v>6299</v>
      </c>
      <c r="AI57" s="476" t="s">
        <v>6329</v>
      </c>
      <c r="AJ57" s="476" t="s">
        <v>6493</v>
      </c>
      <c r="AK57" s="476" t="s">
        <v>6493</v>
      </c>
      <c r="AL57" s="476"/>
      <c r="AM57" s="476"/>
      <c r="AN57" s="476"/>
      <c r="AO57" s="476"/>
      <c r="AP57" s="476"/>
      <c r="AQ57" s="476"/>
      <c r="AR57" s="476"/>
      <c r="AS57" s="476"/>
      <c r="AT57" s="476"/>
      <c r="AU57" s="476"/>
      <c r="AV57" s="476"/>
      <c r="AW57" s="476"/>
      <c r="AX57" s="476"/>
      <c r="AY57" s="476"/>
      <c r="AZ57" s="476"/>
      <c r="BA57" s="476"/>
      <c r="BB57" s="476"/>
      <c r="BC57" s="476"/>
      <c r="BD57" s="476"/>
      <c r="BE57" s="476"/>
      <c r="BF57" s="476"/>
      <c r="BG57" s="476"/>
      <c r="BH57" s="476"/>
      <c r="BI57" s="476"/>
      <c r="BJ57" s="476"/>
      <c r="BK57" s="476"/>
      <c r="BL57" s="480"/>
    </row>
    <row r="58" spans="1:64">
      <c r="A58" s="468">
        <v>43849</v>
      </c>
      <c r="B58" s="473">
        <v>19</v>
      </c>
      <c r="C58" s="473">
        <v>347</v>
      </c>
      <c r="D58" s="470" t="s">
        <v>609</v>
      </c>
      <c r="E58" s="469">
        <v>3</v>
      </c>
      <c r="F58" s="470" t="s">
        <v>106</v>
      </c>
      <c r="G58" s="469">
        <v>533</v>
      </c>
      <c r="H58" s="470" t="s">
        <v>6246</v>
      </c>
      <c r="I58" s="470" t="s">
        <v>836</v>
      </c>
      <c r="J58" s="469">
        <v>10</v>
      </c>
      <c r="K58" s="470" t="s">
        <v>6265</v>
      </c>
      <c r="L58" s="470" t="s">
        <v>6281</v>
      </c>
      <c r="M58" s="470" t="s">
        <v>9</v>
      </c>
      <c r="N58" s="473">
        <v>0</v>
      </c>
      <c r="O58" s="471"/>
      <c r="P58" s="471"/>
      <c r="Q58" s="471"/>
      <c r="R58" s="470"/>
      <c r="S58" s="471">
        <v>0.23628472222222222</v>
      </c>
      <c r="T58" s="471">
        <v>0.3029513888888889</v>
      </c>
      <c r="U58" s="471"/>
      <c r="V58" s="471"/>
      <c r="W58" s="471">
        <v>0.50473379629629633</v>
      </c>
      <c r="X58" s="471">
        <v>0.70651620370370372</v>
      </c>
      <c r="Y58" s="471">
        <v>9.3055555555555558E-2</v>
      </c>
      <c r="Z58" s="471">
        <v>0.3125</v>
      </c>
      <c r="AA58" s="471">
        <v>0.53194444444444444</v>
      </c>
      <c r="AB58" s="470" t="s">
        <v>6289</v>
      </c>
      <c r="AC58" s="473">
        <v>131</v>
      </c>
      <c r="AD58" s="470" t="s">
        <v>119</v>
      </c>
      <c r="AE58" s="470"/>
      <c r="AF58" s="473">
        <v>60.3</v>
      </c>
      <c r="AG58" s="469">
        <v>74.8</v>
      </c>
      <c r="AH58" s="470" t="s">
        <v>6300</v>
      </c>
      <c r="AI58" s="470" t="s">
        <v>6330</v>
      </c>
      <c r="AJ58" s="470" t="s">
        <v>6493</v>
      </c>
      <c r="AK58" s="470" t="s">
        <v>6493</v>
      </c>
      <c r="AL58" s="470"/>
      <c r="AM58" s="470"/>
      <c r="AN58" s="470"/>
      <c r="AO58" s="470"/>
      <c r="AP58" s="470"/>
      <c r="AQ58" s="470"/>
      <c r="AR58" s="470"/>
      <c r="AS58" s="470"/>
      <c r="AT58" s="470"/>
      <c r="AU58" s="470"/>
      <c r="AV58" s="470"/>
      <c r="AW58" s="470"/>
      <c r="AX58" s="470"/>
      <c r="AY58" s="470"/>
      <c r="AZ58" s="470"/>
      <c r="BA58" s="470"/>
      <c r="BB58" s="470"/>
      <c r="BC58" s="470"/>
      <c r="BD58" s="470"/>
      <c r="BE58" s="470"/>
      <c r="BF58" s="470"/>
      <c r="BG58" s="470"/>
      <c r="BH58" s="470"/>
      <c r="BI58" s="470"/>
      <c r="BJ58" s="470"/>
      <c r="BK58" s="470"/>
      <c r="BL58" s="474"/>
    </row>
    <row r="59" spans="1:64">
      <c r="A59" s="475">
        <v>43850</v>
      </c>
      <c r="B59" s="478">
        <v>20</v>
      </c>
      <c r="C59" s="478">
        <v>346</v>
      </c>
      <c r="D59" s="476" t="s">
        <v>609</v>
      </c>
      <c r="E59" s="477">
        <v>4</v>
      </c>
      <c r="F59" s="476" t="s">
        <v>88</v>
      </c>
      <c r="G59" s="477">
        <v>533</v>
      </c>
      <c r="H59" s="476" t="s">
        <v>6246</v>
      </c>
      <c r="I59" s="476" t="s">
        <v>836</v>
      </c>
      <c r="J59" s="477">
        <v>11</v>
      </c>
      <c r="K59" s="476" t="s">
        <v>6271</v>
      </c>
      <c r="L59" s="476" t="s">
        <v>6282</v>
      </c>
      <c r="M59" s="476" t="s">
        <v>9</v>
      </c>
      <c r="N59" s="478">
        <v>0</v>
      </c>
      <c r="O59" s="479"/>
      <c r="P59" s="479"/>
      <c r="Q59" s="479"/>
      <c r="R59" s="476"/>
      <c r="S59" s="479">
        <v>0.23589120370370367</v>
      </c>
      <c r="T59" s="479">
        <v>0.30255787037037035</v>
      </c>
      <c r="U59" s="479"/>
      <c r="V59" s="479"/>
      <c r="W59" s="479">
        <v>0.50494212962962959</v>
      </c>
      <c r="X59" s="479">
        <v>0.70733796296296303</v>
      </c>
      <c r="Y59" s="479">
        <v>0.14027777777777778</v>
      </c>
      <c r="Z59" s="479">
        <v>0.34861111111111115</v>
      </c>
      <c r="AA59" s="479">
        <v>0.55833333333333335</v>
      </c>
      <c r="AB59" s="476" t="s">
        <v>6289</v>
      </c>
      <c r="AC59" s="478">
        <v>131</v>
      </c>
      <c r="AD59" s="476" t="s">
        <v>119</v>
      </c>
      <c r="AE59" s="476"/>
      <c r="AF59" s="478">
        <v>64.2</v>
      </c>
      <c r="AG59" s="477">
        <v>76</v>
      </c>
      <c r="AH59" s="476" t="s">
        <v>6301</v>
      </c>
      <c r="AI59" s="476" t="s">
        <v>6331</v>
      </c>
      <c r="AJ59" s="476" t="s">
        <v>838</v>
      </c>
      <c r="AK59" s="476" t="s">
        <v>13</v>
      </c>
      <c r="AL59" s="476" t="s">
        <v>6734</v>
      </c>
      <c r="AM59" s="476" t="s">
        <v>6342</v>
      </c>
      <c r="AN59" s="476" t="s">
        <v>6910</v>
      </c>
      <c r="AO59" s="476" t="s">
        <v>6351</v>
      </c>
      <c r="AP59" s="476"/>
      <c r="AQ59" s="476"/>
      <c r="AR59" s="476"/>
      <c r="AS59" s="476"/>
      <c r="AT59" s="476"/>
      <c r="AU59" s="476"/>
      <c r="AV59" s="476"/>
      <c r="AW59" s="476"/>
      <c r="AX59" s="476"/>
      <c r="AY59" s="476"/>
      <c r="AZ59" s="476"/>
      <c r="BA59" s="476"/>
      <c r="BB59" s="476"/>
      <c r="BC59" s="476"/>
      <c r="BD59" s="476"/>
      <c r="BE59" s="476"/>
      <c r="BF59" s="476"/>
      <c r="BG59" s="476"/>
      <c r="BH59" s="476"/>
      <c r="BI59" s="476"/>
      <c r="BJ59" s="476"/>
      <c r="BK59" s="476"/>
      <c r="BL59" s="480"/>
    </row>
    <row r="60" spans="1:64">
      <c r="A60" s="468">
        <v>43851</v>
      </c>
      <c r="B60" s="473">
        <v>21</v>
      </c>
      <c r="C60" s="473">
        <v>345</v>
      </c>
      <c r="D60" s="470" t="s">
        <v>609</v>
      </c>
      <c r="E60" s="469">
        <v>4</v>
      </c>
      <c r="F60" s="470" t="s">
        <v>91</v>
      </c>
      <c r="G60" s="469">
        <v>533</v>
      </c>
      <c r="H60" s="470" t="s">
        <v>6246</v>
      </c>
      <c r="I60" s="470" t="s">
        <v>836</v>
      </c>
      <c r="J60" s="469">
        <v>12</v>
      </c>
      <c r="K60" s="470" t="s">
        <v>6266</v>
      </c>
      <c r="L60" s="470" t="s">
        <v>6283</v>
      </c>
      <c r="M60" s="470" t="s">
        <v>9</v>
      </c>
      <c r="N60" s="473">
        <v>0</v>
      </c>
      <c r="O60" s="471"/>
      <c r="P60" s="471"/>
      <c r="Q60" s="471"/>
      <c r="R60" s="470"/>
      <c r="S60" s="471">
        <v>0.23548611111111109</v>
      </c>
      <c r="T60" s="471">
        <v>0.30215277777777777</v>
      </c>
      <c r="U60" s="471">
        <v>0.30208333333333331</v>
      </c>
      <c r="V60" s="471">
        <v>0.4368055555555555</v>
      </c>
      <c r="W60" s="471">
        <v>0.50515046296296295</v>
      </c>
      <c r="X60" s="471">
        <v>0.70814814814814808</v>
      </c>
      <c r="Y60" s="471">
        <v>0.18611111111111112</v>
      </c>
      <c r="Z60" s="471">
        <v>0.38680555555555557</v>
      </c>
      <c r="AA60" s="471">
        <v>0.58819444444444446</v>
      </c>
      <c r="AB60" s="470" t="s">
        <v>6289</v>
      </c>
      <c r="AC60" s="473">
        <v>131</v>
      </c>
      <c r="AD60" s="470" t="s">
        <v>119</v>
      </c>
      <c r="AE60" s="470"/>
      <c r="AF60" s="473">
        <v>66.2</v>
      </c>
      <c r="AG60" s="469">
        <v>75.400000000000006</v>
      </c>
      <c r="AH60" s="470" t="s">
        <v>6302</v>
      </c>
      <c r="AI60" s="470" t="s">
        <v>6332</v>
      </c>
      <c r="AJ60" s="470" t="s">
        <v>839</v>
      </c>
      <c r="AK60" s="470" t="s">
        <v>6493</v>
      </c>
      <c r="AL60" s="470" t="s">
        <v>6735</v>
      </c>
      <c r="AM60" s="470" t="s">
        <v>6343</v>
      </c>
      <c r="AN60" s="470"/>
      <c r="AO60" s="470"/>
      <c r="AP60" s="470"/>
      <c r="AQ60" s="470"/>
      <c r="AR60" s="470"/>
      <c r="AS60" s="470"/>
      <c r="AT60" s="470"/>
      <c r="AU60" s="470"/>
      <c r="AV60" s="470"/>
      <c r="AW60" s="470"/>
      <c r="AX60" s="470"/>
      <c r="AY60" s="470"/>
      <c r="AZ60" s="470"/>
      <c r="BA60" s="470"/>
      <c r="BB60" s="470"/>
      <c r="BC60" s="470"/>
      <c r="BD60" s="470"/>
      <c r="BE60" s="470"/>
      <c r="BF60" s="470"/>
      <c r="BG60" s="470"/>
      <c r="BH60" s="470"/>
      <c r="BI60" s="470"/>
      <c r="BJ60" s="470"/>
      <c r="BK60" s="470"/>
      <c r="BL60" s="474"/>
    </row>
    <row r="61" spans="1:64">
      <c r="A61" s="475">
        <v>43852</v>
      </c>
      <c r="B61" s="478">
        <v>22</v>
      </c>
      <c r="C61" s="478">
        <v>344</v>
      </c>
      <c r="D61" s="476" t="s">
        <v>609</v>
      </c>
      <c r="E61" s="477">
        <v>4</v>
      </c>
      <c r="F61" s="476" t="s">
        <v>94</v>
      </c>
      <c r="G61" s="477">
        <v>533</v>
      </c>
      <c r="H61" s="476" t="s">
        <v>6246</v>
      </c>
      <c r="I61" s="476" t="s">
        <v>836</v>
      </c>
      <c r="J61" s="477">
        <v>13</v>
      </c>
      <c r="K61" s="476" t="s">
        <v>6267</v>
      </c>
      <c r="L61" s="476" t="s">
        <v>6284</v>
      </c>
      <c r="M61" s="476" t="s">
        <v>9</v>
      </c>
      <c r="N61" s="478">
        <v>0</v>
      </c>
      <c r="O61" s="479"/>
      <c r="P61" s="479"/>
      <c r="Q61" s="479"/>
      <c r="R61" s="476"/>
      <c r="S61" s="479">
        <v>0.23504629629629628</v>
      </c>
      <c r="T61" s="479">
        <v>0.30171296296296296</v>
      </c>
      <c r="U61" s="479"/>
      <c r="V61" s="479"/>
      <c r="W61" s="479">
        <v>0.50534722222222228</v>
      </c>
      <c r="X61" s="479">
        <v>0.70898148148148143</v>
      </c>
      <c r="Y61" s="479">
        <v>0.22847222222222222</v>
      </c>
      <c r="Z61" s="479">
        <v>0.42569444444444443</v>
      </c>
      <c r="AA61" s="479">
        <v>0.62291666666666667</v>
      </c>
      <c r="AB61" s="476" t="s">
        <v>6289</v>
      </c>
      <c r="AC61" s="478">
        <v>131</v>
      </c>
      <c r="AD61" s="476" t="s">
        <v>119</v>
      </c>
      <c r="AE61" s="476"/>
      <c r="AF61" s="478">
        <v>66.5</v>
      </c>
      <c r="AG61" s="477">
        <v>73.3</v>
      </c>
      <c r="AH61" s="476" t="s">
        <v>6303</v>
      </c>
      <c r="AI61" s="476" t="s">
        <v>6333</v>
      </c>
      <c r="AJ61" s="476" t="s">
        <v>6493</v>
      </c>
      <c r="AK61" s="476" t="s">
        <v>6493</v>
      </c>
      <c r="AL61" s="476"/>
      <c r="AM61" s="476"/>
      <c r="AN61" s="476"/>
      <c r="AO61" s="476"/>
      <c r="AP61" s="476"/>
      <c r="AQ61" s="476"/>
      <c r="AR61" s="476"/>
      <c r="AS61" s="476"/>
      <c r="AT61" s="476"/>
      <c r="AU61" s="476"/>
      <c r="AV61" s="476"/>
      <c r="AW61" s="476"/>
      <c r="AX61" s="476"/>
      <c r="AY61" s="476"/>
      <c r="AZ61" s="476"/>
      <c r="BA61" s="476"/>
      <c r="BB61" s="476"/>
      <c r="BC61" s="476"/>
      <c r="BD61" s="476"/>
      <c r="BE61" s="476"/>
      <c r="BF61" s="476"/>
      <c r="BG61" s="476"/>
      <c r="BH61" s="476"/>
      <c r="BI61" s="476"/>
      <c r="BJ61" s="476"/>
      <c r="BK61" s="476"/>
      <c r="BL61" s="480"/>
    </row>
    <row r="62" spans="1:64">
      <c r="A62" s="468">
        <v>43853</v>
      </c>
      <c r="B62" s="473">
        <v>23</v>
      </c>
      <c r="C62" s="473">
        <v>343</v>
      </c>
      <c r="D62" s="470" t="s">
        <v>609</v>
      </c>
      <c r="E62" s="469">
        <v>4</v>
      </c>
      <c r="F62" s="470" t="s">
        <v>6714</v>
      </c>
      <c r="G62" s="469">
        <v>533</v>
      </c>
      <c r="H62" s="470" t="s">
        <v>6246</v>
      </c>
      <c r="I62" s="470" t="s">
        <v>836</v>
      </c>
      <c r="J62" s="469">
        <v>14</v>
      </c>
      <c r="K62" s="470" t="s">
        <v>6268</v>
      </c>
      <c r="L62" s="470" t="s">
        <v>6285</v>
      </c>
      <c r="M62" s="470" t="s">
        <v>9</v>
      </c>
      <c r="N62" s="473">
        <v>0</v>
      </c>
      <c r="O62" s="471"/>
      <c r="P62" s="471"/>
      <c r="Q62" s="471"/>
      <c r="R62" s="470"/>
      <c r="S62" s="471">
        <v>0.2345949074074074</v>
      </c>
      <c r="T62" s="471">
        <v>0.30126157407407406</v>
      </c>
      <c r="U62" s="471"/>
      <c r="V62" s="471"/>
      <c r="W62" s="471">
        <v>0.50553240740740735</v>
      </c>
      <c r="X62" s="471">
        <v>0.70980324074074075</v>
      </c>
      <c r="Y62" s="471">
        <v>0.26666666666666666</v>
      </c>
      <c r="Z62" s="471">
        <v>0.46388888888888885</v>
      </c>
      <c r="AA62" s="471">
        <v>0.66111111111111109</v>
      </c>
      <c r="AB62" s="470" t="s">
        <v>6289</v>
      </c>
      <c r="AC62" s="473">
        <v>131</v>
      </c>
      <c r="AD62" s="470" t="s">
        <v>119</v>
      </c>
      <c r="AE62" s="470"/>
      <c r="AF62" s="473">
        <v>65.099999999999994</v>
      </c>
      <c r="AG62" s="469">
        <v>69.7</v>
      </c>
      <c r="AH62" s="470" t="s">
        <v>6304</v>
      </c>
      <c r="AI62" s="470" t="s">
        <v>6334</v>
      </c>
      <c r="AJ62" s="470" t="s">
        <v>6493</v>
      </c>
      <c r="AK62" s="470" t="s">
        <v>6493</v>
      </c>
      <c r="AL62" s="470"/>
      <c r="AM62" s="470"/>
      <c r="AN62" s="470"/>
      <c r="AO62" s="470"/>
      <c r="AP62" s="470"/>
      <c r="AQ62" s="470"/>
      <c r="AR62" s="470"/>
      <c r="AS62" s="470"/>
      <c r="AT62" s="470"/>
      <c r="AU62" s="470"/>
      <c r="AV62" s="470"/>
      <c r="AW62" s="470"/>
      <c r="AX62" s="470"/>
      <c r="AY62" s="470"/>
      <c r="AZ62" s="470"/>
      <c r="BA62" s="470"/>
      <c r="BB62" s="470"/>
      <c r="BC62" s="470"/>
      <c r="BD62" s="470"/>
      <c r="BE62" s="470"/>
      <c r="BF62" s="470"/>
      <c r="BG62" s="470"/>
      <c r="BH62" s="470"/>
      <c r="BI62" s="470"/>
      <c r="BJ62" s="470"/>
      <c r="BK62" s="470"/>
      <c r="BL62" s="474"/>
    </row>
    <row r="63" spans="1:64">
      <c r="A63" s="475">
        <v>43854</v>
      </c>
      <c r="B63" s="478">
        <v>24</v>
      </c>
      <c r="C63" s="478">
        <v>342</v>
      </c>
      <c r="D63" s="476" t="s">
        <v>609</v>
      </c>
      <c r="E63" s="477">
        <v>4</v>
      </c>
      <c r="F63" s="476" t="s">
        <v>100</v>
      </c>
      <c r="G63" s="477">
        <v>533</v>
      </c>
      <c r="H63" s="476" t="s">
        <v>6246</v>
      </c>
      <c r="I63" s="476" t="s">
        <v>836</v>
      </c>
      <c r="J63" s="477">
        <v>15</v>
      </c>
      <c r="K63" s="476" t="s">
        <v>6269</v>
      </c>
      <c r="L63" s="476" t="s">
        <v>6286</v>
      </c>
      <c r="M63" s="476" t="s">
        <v>9</v>
      </c>
      <c r="N63" s="478">
        <v>0</v>
      </c>
      <c r="O63" s="479"/>
      <c r="P63" s="479"/>
      <c r="Q63" s="479"/>
      <c r="R63" s="476"/>
      <c r="S63" s="479">
        <v>0.2341087962962963</v>
      </c>
      <c r="T63" s="479">
        <v>0.30077546296296298</v>
      </c>
      <c r="U63" s="479"/>
      <c r="V63" s="479"/>
      <c r="W63" s="479">
        <v>0.50570601851851849</v>
      </c>
      <c r="X63" s="479">
        <v>0.7106365740740741</v>
      </c>
      <c r="Y63" s="479">
        <v>0.3</v>
      </c>
      <c r="Z63" s="479">
        <v>0.50069444444444444</v>
      </c>
      <c r="AA63" s="479">
        <v>0.70138888888888884</v>
      </c>
      <c r="AB63" s="476" t="s">
        <v>6463</v>
      </c>
      <c r="AC63" s="478">
        <v>152</v>
      </c>
      <c r="AD63" s="476" t="s">
        <v>110</v>
      </c>
      <c r="AE63" s="476" t="s">
        <v>6508</v>
      </c>
      <c r="AF63" s="478">
        <v>62</v>
      </c>
      <c r="AG63" s="477">
        <v>64.5</v>
      </c>
      <c r="AH63" s="476" t="s">
        <v>6305</v>
      </c>
      <c r="AI63" s="476" t="s">
        <v>6335</v>
      </c>
      <c r="AJ63" s="476" t="s">
        <v>6493</v>
      </c>
      <c r="AK63" s="476" t="s">
        <v>6493</v>
      </c>
      <c r="AL63" s="476"/>
      <c r="AM63" s="476"/>
      <c r="AN63" s="476"/>
      <c r="AO63" s="476"/>
      <c r="AP63" s="476"/>
      <c r="AQ63" s="476"/>
      <c r="AR63" s="476"/>
      <c r="AS63" s="476"/>
      <c r="AT63" s="476"/>
      <c r="AU63" s="476"/>
      <c r="AV63" s="476"/>
      <c r="AW63" s="476"/>
      <c r="AX63" s="476"/>
      <c r="AY63" s="476"/>
      <c r="AZ63" s="476"/>
      <c r="BA63" s="476"/>
      <c r="BB63" s="476"/>
      <c r="BC63" s="476"/>
      <c r="BD63" s="476"/>
      <c r="BE63" s="476"/>
      <c r="BF63" s="476"/>
      <c r="BG63" s="476"/>
      <c r="BH63" s="476"/>
      <c r="BI63" s="476"/>
      <c r="BJ63" s="476"/>
      <c r="BK63" s="476"/>
      <c r="BL63" s="480"/>
    </row>
    <row r="64" spans="1:64">
      <c r="A64" s="468">
        <v>43855</v>
      </c>
      <c r="B64" s="473">
        <v>25</v>
      </c>
      <c r="C64" s="473">
        <v>341</v>
      </c>
      <c r="D64" s="470" t="s">
        <v>609</v>
      </c>
      <c r="E64" s="469">
        <v>4</v>
      </c>
      <c r="F64" s="470" t="s">
        <v>103</v>
      </c>
      <c r="G64" s="469">
        <v>533</v>
      </c>
      <c r="H64" s="470" t="s">
        <v>6246</v>
      </c>
      <c r="I64" s="470" t="s">
        <v>6257</v>
      </c>
      <c r="J64" s="469">
        <v>16</v>
      </c>
      <c r="K64" s="470" t="s">
        <v>6270</v>
      </c>
      <c r="L64" s="470" t="s">
        <v>6287</v>
      </c>
      <c r="M64" s="470" t="s">
        <v>9</v>
      </c>
      <c r="N64" s="473">
        <v>0</v>
      </c>
      <c r="O64" s="471"/>
      <c r="P64" s="471"/>
      <c r="Q64" s="471"/>
      <c r="R64" s="470"/>
      <c r="S64" s="471">
        <v>0.23359953703703704</v>
      </c>
      <c r="T64" s="471">
        <v>0.30026620370370372</v>
      </c>
      <c r="U64" s="471"/>
      <c r="V64" s="471"/>
      <c r="W64" s="471">
        <v>0.50587962962962962</v>
      </c>
      <c r="X64" s="471">
        <v>0.71148148148148149</v>
      </c>
      <c r="Y64" s="471">
        <v>0.32847222222222222</v>
      </c>
      <c r="Z64" s="471">
        <v>0.53680555555555554</v>
      </c>
      <c r="AA64" s="471">
        <v>0.74444444444444446</v>
      </c>
      <c r="AB64" s="470" t="s">
        <v>6463</v>
      </c>
      <c r="AC64" s="473">
        <v>152</v>
      </c>
      <c r="AD64" s="470" t="s">
        <v>110</v>
      </c>
      <c r="AE64" s="470"/>
      <c r="AF64" s="473">
        <v>57.4</v>
      </c>
      <c r="AG64" s="469">
        <v>58</v>
      </c>
      <c r="AH64" s="470" t="s">
        <v>6306</v>
      </c>
      <c r="AI64" s="470" t="s">
        <v>6336</v>
      </c>
      <c r="AJ64" s="470" t="s">
        <v>6493</v>
      </c>
      <c r="AK64" s="470" t="s">
        <v>6493</v>
      </c>
      <c r="AL64" s="470"/>
      <c r="AM64" s="470"/>
      <c r="AN64" s="470"/>
      <c r="AO64" s="470"/>
      <c r="AP64" s="470"/>
      <c r="AQ64" s="470"/>
      <c r="AR64" s="470"/>
      <c r="AS64" s="470"/>
      <c r="AT64" s="470"/>
      <c r="AU64" s="470"/>
      <c r="AV64" s="470"/>
      <c r="AW64" s="470"/>
      <c r="AX64" s="470"/>
      <c r="AY64" s="470"/>
      <c r="AZ64" s="470"/>
      <c r="BA64" s="470"/>
      <c r="BB64" s="470"/>
      <c r="BC64" s="470"/>
      <c r="BD64" s="470"/>
      <c r="BE64" s="470"/>
      <c r="BF64" s="470"/>
      <c r="BG64" s="470"/>
      <c r="BH64" s="470"/>
      <c r="BI64" s="470"/>
      <c r="BJ64" s="470"/>
      <c r="BK64" s="470"/>
      <c r="BL64" s="474"/>
    </row>
    <row r="65" spans="1:64">
      <c r="A65" s="475">
        <v>43856</v>
      </c>
      <c r="B65" s="478">
        <v>26</v>
      </c>
      <c r="C65" s="478">
        <v>340</v>
      </c>
      <c r="D65" s="476" t="s">
        <v>609</v>
      </c>
      <c r="E65" s="477">
        <v>4</v>
      </c>
      <c r="F65" s="476" t="s">
        <v>106</v>
      </c>
      <c r="G65" s="477">
        <v>533</v>
      </c>
      <c r="H65" s="476" t="s">
        <v>6246</v>
      </c>
      <c r="I65" s="476" t="s">
        <v>6257</v>
      </c>
      <c r="J65" s="477">
        <v>17</v>
      </c>
      <c r="K65" s="476" t="s">
        <v>1034</v>
      </c>
      <c r="L65" s="476" t="s">
        <v>6273</v>
      </c>
      <c r="M65" s="476" t="s">
        <v>9</v>
      </c>
      <c r="N65" s="478">
        <v>0</v>
      </c>
      <c r="O65" s="479"/>
      <c r="P65" s="479"/>
      <c r="Q65" s="479"/>
      <c r="R65" s="476"/>
      <c r="S65" s="479">
        <v>0.23307870370370373</v>
      </c>
      <c r="T65" s="479">
        <v>0.29974537037037036</v>
      </c>
      <c r="U65" s="479"/>
      <c r="V65" s="479"/>
      <c r="W65" s="479">
        <v>0.50603009259259257</v>
      </c>
      <c r="X65" s="479">
        <v>0.71232638888888899</v>
      </c>
      <c r="Y65" s="479">
        <v>0.35347222222222219</v>
      </c>
      <c r="Z65" s="479">
        <v>0.56944444444444442</v>
      </c>
      <c r="AA65" s="479">
        <v>0.78611111111111109</v>
      </c>
      <c r="AB65" s="476" t="s">
        <v>6463</v>
      </c>
      <c r="AC65" s="478">
        <v>152</v>
      </c>
      <c r="AD65" s="476" t="s">
        <v>110</v>
      </c>
      <c r="AE65" s="476"/>
      <c r="AF65" s="478">
        <v>51.2</v>
      </c>
      <c r="AG65" s="477">
        <v>50.1</v>
      </c>
      <c r="AH65" s="476" t="s">
        <v>6307</v>
      </c>
      <c r="AI65" s="476" t="s">
        <v>6337</v>
      </c>
      <c r="AJ65" s="476" t="s">
        <v>6493</v>
      </c>
      <c r="AK65" s="476" t="s">
        <v>6493</v>
      </c>
      <c r="AL65" s="476"/>
      <c r="AM65" s="476"/>
      <c r="AN65" s="476"/>
      <c r="AO65" s="476"/>
      <c r="AP65" s="476"/>
      <c r="AQ65" s="476"/>
      <c r="AR65" s="476"/>
      <c r="AS65" s="476"/>
      <c r="AT65" s="476"/>
      <c r="AU65" s="476"/>
      <c r="AV65" s="476"/>
      <c r="AW65" s="476"/>
      <c r="AX65" s="476"/>
      <c r="AY65" s="476"/>
      <c r="AZ65" s="476"/>
      <c r="BA65" s="476"/>
      <c r="BB65" s="476"/>
      <c r="BC65" s="476"/>
      <c r="BD65" s="476"/>
      <c r="BE65" s="476"/>
      <c r="BF65" s="476"/>
      <c r="BG65" s="476"/>
      <c r="BH65" s="476"/>
      <c r="BI65" s="476"/>
      <c r="BJ65" s="476"/>
      <c r="BK65" s="476"/>
      <c r="BL65" s="480"/>
    </row>
    <row r="66" spans="1:64">
      <c r="A66" s="468">
        <v>43857</v>
      </c>
      <c r="B66" s="473">
        <v>27</v>
      </c>
      <c r="C66" s="473">
        <v>339</v>
      </c>
      <c r="D66" s="470" t="s">
        <v>609</v>
      </c>
      <c r="E66" s="469">
        <v>5</v>
      </c>
      <c r="F66" s="470" t="s">
        <v>88</v>
      </c>
      <c r="G66" s="469">
        <v>533</v>
      </c>
      <c r="H66" s="470" t="s">
        <v>6246</v>
      </c>
      <c r="I66" s="470" t="s">
        <v>6257</v>
      </c>
      <c r="J66" s="469">
        <v>18</v>
      </c>
      <c r="K66" s="470" t="s">
        <v>6258</v>
      </c>
      <c r="L66" s="470" t="s">
        <v>6274</v>
      </c>
      <c r="M66" s="470" t="s">
        <v>9</v>
      </c>
      <c r="N66" s="473">
        <v>0</v>
      </c>
      <c r="O66" s="471"/>
      <c r="P66" s="471"/>
      <c r="Q66" s="471"/>
      <c r="R66" s="470"/>
      <c r="S66" s="471">
        <v>0.23253472222222224</v>
      </c>
      <c r="T66" s="471">
        <v>0.29920138888888886</v>
      </c>
      <c r="U66" s="471"/>
      <c r="V66" s="471"/>
      <c r="W66" s="471">
        <v>0.50618055555555552</v>
      </c>
      <c r="X66" s="471">
        <v>0.71317129629629628</v>
      </c>
      <c r="Y66" s="471">
        <v>0.3743055555555555</v>
      </c>
      <c r="Z66" s="471">
        <v>0.60069444444444442</v>
      </c>
      <c r="AA66" s="471">
        <v>0.82777777777777783</v>
      </c>
      <c r="AB66" s="470" t="s">
        <v>6463</v>
      </c>
      <c r="AC66" s="473">
        <v>152</v>
      </c>
      <c r="AD66" s="470" t="s">
        <v>110</v>
      </c>
      <c r="AE66" s="470"/>
      <c r="AF66" s="473">
        <v>43.8</v>
      </c>
      <c r="AG66" s="469">
        <v>41</v>
      </c>
      <c r="AH66" s="470" t="s">
        <v>6308</v>
      </c>
      <c r="AI66" s="470" t="s">
        <v>6338</v>
      </c>
      <c r="AJ66" s="470" t="s">
        <v>6493</v>
      </c>
      <c r="AK66" s="470" t="s">
        <v>6493</v>
      </c>
      <c r="AL66" s="470"/>
      <c r="AM66" s="470"/>
      <c r="AN66" s="470"/>
      <c r="AO66" s="470"/>
      <c r="AP66" s="470"/>
      <c r="AQ66" s="470"/>
      <c r="AR66" s="470"/>
      <c r="AS66" s="470"/>
      <c r="AT66" s="470"/>
      <c r="AU66" s="470"/>
      <c r="AV66" s="470"/>
      <c r="AW66" s="470"/>
      <c r="AX66" s="470"/>
      <c r="AY66" s="470"/>
      <c r="AZ66" s="470"/>
      <c r="BA66" s="470"/>
      <c r="BB66" s="470"/>
      <c r="BC66" s="470"/>
      <c r="BD66" s="470"/>
      <c r="BE66" s="470"/>
      <c r="BF66" s="470"/>
      <c r="BG66" s="470"/>
      <c r="BH66" s="470"/>
      <c r="BI66" s="470"/>
      <c r="BJ66" s="470"/>
      <c r="BK66" s="470"/>
      <c r="BL66" s="474"/>
    </row>
    <row r="67" spans="1:64">
      <c r="A67" s="475">
        <v>43858</v>
      </c>
      <c r="B67" s="478">
        <v>28</v>
      </c>
      <c r="C67" s="478">
        <v>338</v>
      </c>
      <c r="D67" s="476" t="s">
        <v>609</v>
      </c>
      <c r="E67" s="477">
        <v>5</v>
      </c>
      <c r="F67" s="476" t="s">
        <v>91</v>
      </c>
      <c r="G67" s="477">
        <v>533</v>
      </c>
      <c r="H67" s="476" t="s">
        <v>6246</v>
      </c>
      <c r="I67" s="476" t="s">
        <v>6257</v>
      </c>
      <c r="J67" s="477">
        <v>19</v>
      </c>
      <c r="K67" s="476" t="s">
        <v>6259</v>
      </c>
      <c r="L67" s="476" t="s">
        <v>6275</v>
      </c>
      <c r="M67" s="476" t="s">
        <v>9</v>
      </c>
      <c r="N67" s="478">
        <v>0</v>
      </c>
      <c r="O67" s="479"/>
      <c r="P67" s="479"/>
      <c r="Q67" s="479"/>
      <c r="R67" s="476"/>
      <c r="S67" s="479">
        <v>0.23195601851851852</v>
      </c>
      <c r="T67" s="479">
        <v>0.2986226851851852</v>
      </c>
      <c r="U67" s="479"/>
      <c r="V67" s="479"/>
      <c r="W67" s="479">
        <v>0.50631944444444443</v>
      </c>
      <c r="X67" s="479">
        <v>0.71402777777777782</v>
      </c>
      <c r="Y67" s="479">
        <v>0.39305555555555555</v>
      </c>
      <c r="Z67" s="479">
        <v>0.62986111111111109</v>
      </c>
      <c r="AA67" s="479">
        <v>0.86875000000000002</v>
      </c>
      <c r="AB67" s="476" t="s">
        <v>6463</v>
      </c>
      <c r="AC67" s="478">
        <v>152</v>
      </c>
      <c r="AD67" s="476" t="s">
        <v>110</v>
      </c>
      <c r="AE67" s="476"/>
      <c r="AF67" s="478">
        <v>35.200000000000003</v>
      </c>
      <c r="AG67" s="477">
        <v>30.9</v>
      </c>
      <c r="AH67" s="476" t="s">
        <v>6309</v>
      </c>
      <c r="AI67" s="476" t="s">
        <v>6339</v>
      </c>
      <c r="AJ67" s="476" t="s">
        <v>6493</v>
      </c>
      <c r="AK67" s="476" t="s">
        <v>6493</v>
      </c>
      <c r="AL67" s="476"/>
      <c r="AM67" s="476"/>
      <c r="AN67" s="476"/>
      <c r="AO67" s="476"/>
      <c r="AP67" s="476"/>
      <c r="AQ67" s="476"/>
      <c r="AR67" s="476"/>
      <c r="AS67" s="476"/>
      <c r="AT67" s="476"/>
      <c r="AU67" s="476"/>
      <c r="AV67" s="476"/>
      <c r="AW67" s="476"/>
      <c r="AX67" s="476"/>
      <c r="AY67" s="476"/>
      <c r="AZ67" s="476"/>
      <c r="BA67" s="476"/>
      <c r="BB67" s="476"/>
      <c r="BC67" s="476"/>
      <c r="BD67" s="476"/>
      <c r="BE67" s="476"/>
      <c r="BF67" s="476"/>
      <c r="BG67" s="476"/>
      <c r="BH67" s="476"/>
      <c r="BI67" s="476"/>
      <c r="BJ67" s="476"/>
      <c r="BK67" s="476"/>
      <c r="BL67" s="480"/>
    </row>
    <row r="68" spans="1:64">
      <c r="A68" s="468">
        <v>43859</v>
      </c>
      <c r="B68" s="473">
        <v>29</v>
      </c>
      <c r="C68" s="473">
        <v>337</v>
      </c>
      <c r="D68" s="470" t="s">
        <v>609</v>
      </c>
      <c r="E68" s="469">
        <v>5</v>
      </c>
      <c r="F68" s="470" t="s">
        <v>94</v>
      </c>
      <c r="G68" s="469">
        <v>533</v>
      </c>
      <c r="H68" s="470" t="s">
        <v>6246</v>
      </c>
      <c r="I68" s="470" t="s">
        <v>6257</v>
      </c>
      <c r="J68" s="469">
        <v>20</v>
      </c>
      <c r="K68" s="470" t="s">
        <v>6260</v>
      </c>
      <c r="L68" s="470" t="s">
        <v>6276</v>
      </c>
      <c r="M68" s="470" t="s">
        <v>9</v>
      </c>
      <c r="N68" s="473">
        <v>0</v>
      </c>
      <c r="O68" s="471"/>
      <c r="P68" s="471"/>
      <c r="Q68" s="471"/>
      <c r="R68" s="470"/>
      <c r="S68" s="471">
        <v>0.23136574074074076</v>
      </c>
      <c r="T68" s="471">
        <v>0.29803240740740738</v>
      </c>
      <c r="U68" s="471"/>
      <c r="V68" s="471"/>
      <c r="W68" s="471">
        <v>0.50645833333333334</v>
      </c>
      <c r="X68" s="471">
        <v>0.71487268518518521</v>
      </c>
      <c r="Y68" s="471">
        <v>0.41041666666666665</v>
      </c>
      <c r="Z68" s="471">
        <v>0.65833333333333333</v>
      </c>
      <c r="AA68" s="471">
        <v>0.90833333333333333</v>
      </c>
      <c r="AB68" s="470" t="s">
        <v>6463</v>
      </c>
      <c r="AC68" s="473">
        <v>152</v>
      </c>
      <c r="AD68" s="470" t="s">
        <v>110</v>
      </c>
      <c r="AE68" s="470"/>
      <c r="AF68" s="473">
        <v>25.8</v>
      </c>
      <c r="AG68" s="469">
        <v>20.100000000000001</v>
      </c>
      <c r="AH68" s="470" t="s">
        <v>6310</v>
      </c>
      <c r="AI68" s="470" t="s">
        <v>6340</v>
      </c>
      <c r="AJ68" s="470" t="s">
        <v>839</v>
      </c>
      <c r="AK68" s="470" t="s">
        <v>6493</v>
      </c>
      <c r="AL68" s="470" t="s">
        <v>1219</v>
      </c>
      <c r="AM68" s="470" t="s">
        <v>6344</v>
      </c>
      <c r="AN68" s="470" t="s">
        <v>6911</v>
      </c>
      <c r="AO68" s="470" t="s">
        <v>6346</v>
      </c>
      <c r="AP68" s="470" t="s">
        <v>7008</v>
      </c>
      <c r="AQ68" s="470" t="s">
        <v>6346</v>
      </c>
      <c r="AR68" s="470" t="s">
        <v>7052</v>
      </c>
      <c r="AS68" s="470" t="s">
        <v>6346</v>
      </c>
      <c r="AT68" s="470" t="s">
        <v>7075</v>
      </c>
      <c r="AU68" s="470" t="s">
        <v>6346</v>
      </c>
      <c r="AV68" s="470" t="s">
        <v>87</v>
      </c>
      <c r="AW68" s="470" t="s">
        <v>6346</v>
      </c>
      <c r="AX68" s="470" t="s">
        <v>1243</v>
      </c>
      <c r="AY68" s="470" t="s">
        <v>6162</v>
      </c>
      <c r="AZ68" s="470"/>
      <c r="BA68" s="470"/>
      <c r="BB68" s="470"/>
      <c r="BC68" s="470"/>
      <c r="BD68" s="470"/>
      <c r="BE68" s="470"/>
      <c r="BF68" s="470"/>
      <c r="BG68" s="470"/>
      <c r="BH68" s="470"/>
      <c r="BI68" s="470"/>
      <c r="BJ68" s="470" t="s">
        <v>6365</v>
      </c>
      <c r="BK68" s="470"/>
      <c r="BL68" s="474"/>
    </row>
    <row r="69" spans="1:64">
      <c r="A69" s="475">
        <v>43860</v>
      </c>
      <c r="B69" s="478">
        <v>30</v>
      </c>
      <c r="C69" s="478">
        <v>336</v>
      </c>
      <c r="D69" s="476" t="s">
        <v>609</v>
      </c>
      <c r="E69" s="477">
        <v>5</v>
      </c>
      <c r="F69" s="476" t="s">
        <v>6714</v>
      </c>
      <c r="G69" s="477">
        <v>533</v>
      </c>
      <c r="H69" s="476" t="s">
        <v>6246</v>
      </c>
      <c r="I69" s="476" t="s">
        <v>6257</v>
      </c>
      <c r="J69" s="477">
        <v>21</v>
      </c>
      <c r="K69" s="476" t="s">
        <v>6261</v>
      </c>
      <c r="L69" s="476" t="s">
        <v>6277</v>
      </c>
      <c r="M69" s="476" t="s">
        <v>9</v>
      </c>
      <c r="N69" s="478">
        <v>0</v>
      </c>
      <c r="O69" s="479"/>
      <c r="P69" s="479"/>
      <c r="Q69" s="479"/>
      <c r="R69" s="476"/>
      <c r="S69" s="479">
        <v>0.23075231481481481</v>
      </c>
      <c r="T69" s="479">
        <v>0.29741898148148149</v>
      </c>
      <c r="U69" s="479"/>
      <c r="V69" s="479"/>
      <c r="W69" s="479">
        <v>0.50657407407407407</v>
      </c>
      <c r="X69" s="479">
        <v>0.71572916666666664</v>
      </c>
      <c r="Y69" s="479">
        <v>0.42708333333333331</v>
      </c>
      <c r="Z69" s="479">
        <v>0.68611111111111101</v>
      </c>
      <c r="AA69" s="479">
        <v>0.94930555555555562</v>
      </c>
      <c r="AB69" s="476" t="s">
        <v>6463</v>
      </c>
      <c r="AC69" s="478">
        <v>152</v>
      </c>
      <c r="AD69" s="476" t="s">
        <v>110</v>
      </c>
      <c r="AE69" s="476"/>
      <c r="AF69" s="478">
        <v>16.100000000000001</v>
      </c>
      <c r="AG69" s="477">
        <v>8.9</v>
      </c>
      <c r="AH69" s="476" t="s">
        <v>6311</v>
      </c>
      <c r="AI69" s="476" t="s">
        <v>974</v>
      </c>
      <c r="AJ69" s="476" t="s">
        <v>6493</v>
      </c>
      <c r="AK69" s="476" t="s">
        <v>6493</v>
      </c>
      <c r="AL69" s="476"/>
      <c r="AM69" s="476"/>
      <c r="AN69" s="476"/>
      <c r="AO69" s="476"/>
      <c r="AP69" s="476"/>
      <c r="AQ69" s="476"/>
      <c r="AR69" s="476"/>
      <c r="AS69" s="476"/>
      <c r="AT69" s="476"/>
      <c r="AU69" s="476"/>
      <c r="AV69" s="476"/>
      <c r="AW69" s="476"/>
      <c r="AX69" s="476"/>
      <c r="AY69" s="476"/>
      <c r="AZ69" s="476"/>
      <c r="BA69" s="476"/>
      <c r="BB69" s="476"/>
      <c r="BC69" s="476"/>
      <c r="BD69" s="476"/>
      <c r="BE69" s="476"/>
      <c r="BF69" s="476"/>
      <c r="BG69" s="476"/>
      <c r="BH69" s="476"/>
      <c r="BI69" s="476"/>
      <c r="BJ69" s="476"/>
      <c r="BK69" s="476"/>
      <c r="BL69" s="480"/>
    </row>
    <row r="70" spans="1:64">
      <c r="A70" s="468">
        <v>43861</v>
      </c>
      <c r="B70" s="473">
        <v>31</v>
      </c>
      <c r="C70" s="473">
        <v>335</v>
      </c>
      <c r="D70" s="470" t="s">
        <v>609</v>
      </c>
      <c r="E70" s="469">
        <v>5</v>
      </c>
      <c r="F70" s="470" t="s">
        <v>100</v>
      </c>
      <c r="G70" s="469">
        <v>533</v>
      </c>
      <c r="H70" s="470" t="s">
        <v>6246</v>
      </c>
      <c r="I70" s="470" t="s">
        <v>6257</v>
      </c>
      <c r="J70" s="469">
        <v>22</v>
      </c>
      <c r="K70" s="470" t="s">
        <v>6262</v>
      </c>
      <c r="L70" s="470" t="s">
        <v>6278</v>
      </c>
      <c r="M70" s="470" t="s">
        <v>9</v>
      </c>
      <c r="N70" s="473">
        <v>0</v>
      </c>
      <c r="O70" s="471"/>
      <c r="P70" s="471"/>
      <c r="Q70" s="471"/>
      <c r="R70" s="470"/>
      <c r="S70" s="471">
        <v>0.23011574074074073</v>
      </c>
      <c r="T70" s="471">
        <v>0.29678240740740741</v>
      </c>
      <c r="U70" s="471"/>
      <c r="V70" s="471"/>
      <c r="W70" s="471">
        <v>0.50668981481481479</v>
      </c>
      <c r="X70" s="471">
        <v>0.71658564814814818</v>
      </c>
      <c r="Y70" s="471">
        <v>0.44375000000000003</v>
      </c>
      <c r="Z70" s="471">
        <v>0.71527777777777779</v>
      </c>
      <c r="AA70" s="471">
        <v>0.98958333333333337</v>
      </c>
      <c r="AB70" s="470" t="s">
        <v>6463</v>
      </c>
      <c r="AC70" s="473">
        <v>152</v>
      </c>
      <c r="AD70" s="470" t="s">
        <v>110</v>
      </c>
      <c r="AE70" s="470"/>
      <c r="AF70" s="473">
        <v>6.5</v>
      </c>
      <c r="AG70" s="469">
        <v>97.9</v>
      </c>
      <c r="AH70" s="470" t="s">
        <v>6311</v>
      </c>
      <c r="AI70" s="470" t="s">
        <v>6316</v>
      </c>
      <c r="AJ70" s="470" t="s">
        <v>874</v>
      </c>
      <c r="AK70" s="470" t="s">
        <v>6493</v>
      </c>
      <c r="AL70" s="470" t="s">
        <v>6736</v>
      </c>
      <c r="AM70" s="470" t="s">
        <v>6347</v>
      </c>
      <c r="AN70" s="470" t="s">
        <v>6900</v>
      </c>
      <c r="AO70" s="470" t="s">
        <v>6351</v>
      </c>
      <c r="AP70" s="470"/>
      <c r="AQ70" s="470"/>
      <c r="AR70" s="470"/>
      <c r="AS70" s="470"/>
      <c r="AT70" s="470"/>
      <c r="AU70" s="470"/>
      <c r="AV70" s="470"/>
      <c r="AW70" s="470"/>
      <c r="AX70" s="470"/>
      <c r="AY70" s="470"/>
      <c r="AZ70" s="470"/>
      <c r="BA70" s="470"/>
      <c r="BB70" s="470"/>
      <c r="BC70" s="470"/>
      <c r="BD70" s="470"/>
      <c r="BE70" s="470"/>
      <c r="BF70" s="470"/>
      <c r="BG70" s="470"/>
      <c r="BH70" s="470"/>
      <c r="BI70" s="470"/>
      <c r="BJ70" s="470" t="s">
        <v>6366</v>
      </c>
      <c r="BK70" s="470"/>
      <c r="BL70" s="474"/>
    </row>
    <row r="71" spans="1:64">
      <c r="A71" s="475">
        <v>43862</v>
      </c>
      <c r="B71" s="478">
        <v>32</v>
      </c>
      <c r="C71" s="478">
        <v>334</v>
      </c>
      <c r="D71" s="476" t="s">
        <v>612</v>
      </c>
      <c r="E71" s="477">
        <v>5</v>
      </c>
      <c r="F71" s="476" t="s">
        <v>103</v>
      </c>
      <c r="G71" s="477">
        <v>533</v>
      </c>
      <c r="H71" s="476" t="s">
        <v>6246</v>
      </c>
      <c r="I71" s="476" t="s">
        <v>6257</v>
      </c>
      <c r="J71" s="477">
        <v>22</v>
      </c>
      <c r="K71" s="476" t="s">
        <v>6262</v>
      </c>
      <c r="L71" s="476" t="s">
        <v>6278</v>
      </c>
      <c r="M71" s="476" t="s">
        <v>10</v>
      </c>
      <c r="N71" s="478">
        <v>0</v>
      </c>
      <c r="O71" s="479"/>
      <c r="P71" s="479"/>
      <c r="Q71" s="479"/>
      <c r="R71" s="476"/>
      <c r="S71" s="479">
        <v>0.22946759259259261</v>
      </c>
      <c r="T71" s="479">
        <v>0.29613425925925924</v>
      </c>
      <c r="U71" s="479"/>
      <c r="V71" s="479"/>
      <c r="W71" s="479">
        <v>0.50679398148148147</v>
      </c>
      <c r="X71" s="479">
        <v>0.71744212962962972</v>
      </c>
      <c r="Y71" s="479">
        <v>0.46111111111111108</v>
      </c>
      <c r="Z71" s="479">
        <v>0.74375000000000002</v>
      </c>
      <c r="AA71" s="479" t="s">
        <v>1107</v>
      </c>
      <c r="AB71" s="476" t="s">
        <v>6464</v>
      </c>
      <c r="AC71" s="478">
        <v>130</v>
      </c>
      <c r="AD71" s="476" t="s">
        <v>113</v>
      </c>
      <c r="AE71" s="476" t="s">
        <v>6509</v>
      </c>
      <c r="AF71" s="478">
        <v>97.7</v>
      </c>
      <c r="AG71" s="477">
        <v>87.6</v>
      </c>
      <c r="AH71" s="476" t="s">
        <v>6312</v>
      </c>
      <c r="AI71" s="476" t="s">
        <v>6317</v>
      </c>
      <c r="AJ71" s="476" t="s">
        <v>6493</v>
      </c>
      <c r="AK71" s="476" t="s">
        <v>6493</v>
      </c>
      <c r="AL71" s="476" t="s">
        <v>6727</v>
      </c>
      <c r="AM71" s="476"/>
      <c r="AN71" s="476"/>
      <c r="AO71" s="476"/>
      <c r="AP71" s="476"/>
      <c r="AQ71" s="476"/>
      <c r="AR71" s="476"/>
      <c r="AS71" s="476"/>
      <c r="AT71" s="476"/>
      <c r="AU71" s="476"/>
      <c r="AV71" s="476"/>
      <c r="AW71" s="476"/>
      <c r="AX71" s="476"/>
      <c r="AY71" s="476"/>
      <c r="AZ71" s="476"/>
      <c r="BA71" s="476"/>
      <c r="BB71" s="476"/>
      <c r="BC71" s="476"/>
      <c r="BD71" s="476"/>
      <c r="BE71" s="476"/>
      <c r="BF71" s="476"/>
      <c r="BG71" s="476"/>
      <c r="BH71" s="476"/>
      <c r="BI71" s="476"/>
      <c r="BJ71" s="476"/>
      <c r="BK71" s="476"/>
      <c r="BL71" s="480"/>
    </row>
    <row r="72" spans="1:64">
      <c r="A72" s="468">
        <v>43863</v>
      </c>
      <c r="B72" s="473">
        <v>33</v>
      </c>
      <c r="C72" s="473">
        <v>333</v>
      </c>
      <c r="D72" s="470" t="s">
        <v>612</v>
      </c>
      <c r="E72" s="469">
        <v>5</v>
      </c>
      <c r="F72" s="470" t="s">
        <v>106</v>
      </c>
      <c r="G72" s="469">
        <v>533</v>
      </c>
      <c r="H72" s="470" t="s">
        <v>6246</v>
      </c>
      <c r="I72" s="470" t="s">
        <v>6257</v>
      </c>
      <c r="J72" s="469">
        <v>23</v>
      </c>
      <c r="K72" s="470" t="s">
        <v>6263</v>
      </c>
      <c r="L72" s="470" t="s">
        <v>6279</v>
      </c>
      <c r="M72" s="470" t="s">
        <v>9</v>
      </c>
      <c r="N72" s="473">
        <v>0</v>
      </c>
      <c r="O72" s="471"/>
      <c r="P72" s="471"/>
      <c r="Q72" s="471"/>
      <c r="R72" s="470"/>
      <c r="S72" s="471">
        <v>0.2287962962962963</v>
      </c>
      <c r="T72" s="471">
        <v>0.29546296296296298</v>
      </c>
      <c r="U72" s="471"/>
      <c r="V72" s="471"/>
      <c r="W72" s="471">
        <v>0.50687499999999996</v>
      </c>
      <c r="X72" s="471">
        <v>0.71829861111111104</v>
      </c>
      <c r="Y72" s="471">
        <v>0.48055555555555557</v>
      </c>
      <c r="Z72" s="471">
        <v>0.77500000000000002</v>
      </c>
      <c r="AA72" s="471">
        <v>3.125E-2</v>
      </c>
      <c r="AB72" s="470" t="s">
        <v>6464</v>
      </c>
      <c r="AC72" s="473">
        <v>130</v>
      </c>
      <c r="AD72" s="470" t="s">
        <v>113</v>
      </c>
      <c r="AE72" s="470"/>
      <c r="AF72" s="473">
        <v>90.2</v>
      </c>
      <c r="AG72" s="469">
        <v>78.5</v>
      </c>
      <c r="AH72" s="470" t="s">
        <v>6313</v>
      </c>
      <c r="AI72" s="470" t="s">
        <v>6318</v>
      </c>
      <c r="AJ72" s="470" t="s">
        <v>839</v>
      </c>
      <c r="AK72" s="470" t="s">
        <v>6493</v>
      </c>
      <c r="AL72" s="470" t="s">
        <v>1220</v>
      </c>
      <c r="AM72" s="470" t="s">
        <v>6344</v>
      </c>
      <c r="AN72" s="470"/>
      <c r="AO72" s="470"/>
      <c r="AP72" s="470"/>
      <c r="AQ72" s="470"/>
      <c r="AR72" s="470"/>
      <c r="AS72" s="470"/>
      <c r="AT72" s="470"/>
      <c r="AU72" s="470"/>
      <c r="AV72" s="470"/>
      <c r="AW72" s="470"/>
      <c r="AX72" s="470"/>
      <c r="AY72" s="470"/>
      <c r="AZ72" s="470"/>
      <c r="BA72" s="470"/>
      <c r="BB72" s="470"/>
      <c r="BC72" s="470"/>
      <c r="BD72" s="470"/>
      <c r="BE72" s="470"/>
      <c r="BF72" s="470"/>
      <c r="BG72" s="470"/>
      <c r="BH72" s="470"/>
      <c r="BI72" s="470"/>
      <c r="BJ72" s="470" t="s">
        <v>1220</v>
      </c>
      <c r="BK72" s="470"/>
      <c r="BL72" s="474"/>
    </row>
    <row r="73" spans="1:64">
      <c r="A73" s="475">
        <v>43864</v>
      </c>
      <c r="B73" s="478">
        <v>34</v>
      </c>
      <c r="C73" s="478">
        <v>332</v>
      </c>
      <c r="D73" s="476" t="s">
        <v>612</v>
      </c>
      <c r="E73" s="477">
        <v>6</v>
      </c>
      <c r="F73" s="476" t="s">
        <v>88</v>
      </c>
      <c r="G73" s="477">
        <v>533</v>
      </c>
      <c r="H73" s="476" t="s">
        <v>6246</v>
      </c>
      <c r="I73" s="476" t="s">
        <v>6257</v>
      </c>
      <c r="J73" s="477">
        <v>24</v>
      </c>
      <c r="K73" s="476" t="s">
        <v>6264</v>
      </c>
      <c r="L73" s="476" t="s">
        <v>6280</v>
      </c>
      <c r="M73" s="476" t="s">
        <v>9</v>
      </c>
      <c r="N73" s="478">
        <v>0</v>
      </c>
      <c r="O73" s="479"/>
      <c r="P73" s="479"/>
      <c r="Q73" s="479"/>
      <c r="R73" s="476"/>
      <c r="S73" s="479">
        <v>0.22810185185185183</v>
      </c>
      <c r="T73" s="479">
        <v>0.29476851851851854</v>
      </c>
      <c r="U73" s="479"/>
      <c r="V73" s="479"/>
      <c r="W73" s="479">
        <v>0.50696759259259261</v>
      </c>
      <c r="X73" s="479">
        <v>0.71915509259259258</v>
      </c>
      <c r="Y73" s="479">
        <v>0.50277777777777777</v>
      </c>
      <c r="Z73" s="479">
        <v>0.80833333333333324</v>
      </c>
      <c r="AA73" s="479">
        <v>7.3611111111111113E-2</v>
      </c>
      <c r="AB73" s="476" t="s">
        <v>6464</v>
      </c>
      <c r="AC73" s="478">
        <v>130</v>
      </c>
      <c r="AD73" s="476" t="s">
        <v>113</v>
      </c>
      <c r="AE73" s="476"/>
      <c r="AF73" s="478">
        <v>84.9</v>
      </c>
      <c r="AG73" s="477">
        <v>71.2</v>
      </c>
      <c r="AH73" s="476" t="s">
        <v>6314</v>
      </c>
      <c r="AI73" s="476" t="s">
        <v>6319</v>
      </c>
      <c r="AJ73" s="476" t="s">
        <v>839</v>
      </c>
      <c r="AK73" s="476" t="s">
        <v>6493</v>
      </c>
      <c r="AL73" s="476" t="s">
        <v>6737</v>
      </c>
      <c r="AM73" s="476" t="s">
        <v>6346</v>
      </c>
      <c r="AN73" s="476"/>
      <c r="AO73" s="476"/>
      <c r="AP73" s="476"/>
      <c r="AQ73" s="476"/>
      <c r="AR73" s="476"/>
      <c r="AS73" s="476"/>
      <c r="AT73" s="476"/>
      <c r="AU73" s="476"/>
      <c r="AV73" s="476"/>
      <c r="AW73" s="476"/>
      <c r="AX73" s="476"/>
      <c r="AY73" s="476"/>
      <c r="AZ73" s="476"/>
      <c r="BA73" s="476"/>
      <c r="BB73" s="476"/>
      <c r="BC73" s="476"/>
      <c r="BD73" s="476"/>
      <c r="BE73" s="476"/>
      <c r="BF73" s="476"/>
      <c r="BG73" s="476"/>
      <c r="BH73" s="476"/>
      <c r="BI73" s="476"/>
      <c r="BJ73" s="476" t="s">
        <v>6367</v>
      </c>
      <c r="BK73" s="476"/>
      <c r="BL73" s="480"/>
    </row>
    <row r="74" spans="1:64">
      <c r="A74" s="468">
        <v>43865</v>
      </c>
      <c r="B74" s="473">
        <v>35</v>
      </c>
      <c r="C74" s="473">
        <v>331</v>
      </c>
      <c r="D74" s="470" t="s">
        <v>612</v>
      </c>
      <c r="E74" s="469">
        <v>6</v>
      </c>
      <c r="F74" s="470" t="s">
        <v>91</v>
      </c>
      <c r="G74" s="469">
        <v>533</v>
      </c>
      <c r="H74" s="470" t="s">
        <v>6246</v>
      </c>
      <c r="I74" s="470" t="s">
        <v>6257</v>
      </c>
      <c r="J74" s="469">
        <v>25</v>
      </c>
      <c r="K74" s="470" t="s">
        <v>6265</v>
      </c>
      <c r="L74" s="470" t="s">
        <v>6281</v>
      </c>
      <c r="M74" s="470" t="s">
        <v>9</v>
      </c>
      <c r="N74" s="473">
        <v>0</v>
      </c>
      <c r="O74" s="471"/>
      <c r="P74" s="471"/>
      <c r="Q74" s="471"/>
      <c r="R74" s="470"/>
      <c r="S74" s="471">
        <v>0.22738425925925929</v>
      </c>
      <c r="T74" s="471">
        <v>0.29405092592592591</v>
      </c>
      <c r="U74" s="471"/>
      <c r="V74" s="471"/>
      <c r="W74" s="471">
        <v>0.50703703703703706</v>
      </c>
      <c r="X74" s="471">
        <v>0.72001157407407401</v>
      </c>
      <c r="Y74" s="471">
        <v>0.52916666666666667</v>
      </c>
      <c r="Z74" s="471">
        <v>0.84375</v>
      </c>
      <c r="AA74" s="471">
        <v>0.1173611111111111</v>
      </c>
      <c r="AB74" s="470" t="s">
        <v>6464</v>
      </c>
      <c r="AC74" s="473">
        <v>130</v>
      </c>
      <c r="AD74" s="470" t="s">
        <v>113</v>
      </c>
      <c r="AE74" s="470"/>
      <c r="AF74" s="473">
        <v>82.2</v>
      </c>
      <c r="AG74" s="469">
        <v>66.5</v>
      </c>
      <c r="AH74" s="470" t="s">
        <v>973</v>
      </c>
      <c r="AI74" s="470" t="s">
        <v>6341</v>
      </c>
      <c r="AJ74" s="470" t="s">
        <v>839</v>
      </c>
      <c r="AK74" s="470" t="s">
        <v>6493</v>
      </c>
      <c r="AL74" s="470" t="s">
        <v>6738</v>
      </c>
      <c r="AM74" s="470" t="s">
        <v>6346</v>
      </c>
      <c r="AN74" s="470"/>
      <c r="AO74" s="470"/>
      <c r="AP74" s="470"/>
      <c r="AQ74" s="470"/>
      <c r="AR74" s="470"/>
      <c r="AS74" s="470"/>
      <c r="AT74" s="470"/>
      <c r="AU74" s="470"/>
      <c r="AV74" s="470"/>
      <c r="AW74" s="470"/>
      <c r="AX74" s="470"/>
      <c r="AY74" s="470"/>
      <c r="AZ74" s="470"/>
      <c r="BA74" s="470"/>
      <c r="BB74" s="470"/>
      <c r="BC74" s="470"/>
      <c r="BD74" s="470"/>
      <c r="BE74" s="470"/>
      <c r="BF74" s="470"/>
      <c r="BG74" s="470"/>
      <c r="BH74" s="470"/>
      <c r="BI74" s="470"/>
      <c r="BJ74" s="470" t="s">
        <v>6421</v>
      </c>
      <c r="BK74" s="470"/>
      <c r="BL74" s="474"/>
    </row>
    <row r="75" spans="1:64">
      <c r="A75" s="475">
        <v>43866</v>
      </c>
      <c r="B75" s="478">
        <v>36</v>
      </c>
      <c r="C75" s="478">
        <v>330</v>
      </c>
      <c r="D75" s="476" t="s">
        <v>612</v>
      </c>
      <c r="E75" s="477">
        <v>6</v>
      </c>
      <c r="F75" s="476" t="s">
        <v>94</v>
      </c>
      <c r="G75" s="477">
        <v>533</v>
      </c>
      <c r="H75" s="476" t="s">
        <v>6246</v>
      </c>
      <c r="I75" s="476" t="s">
        <v>6257</v>
      </c>
      <c r="J75" s="477">
        <v>26</v>
      </c>
      <c r="K75" s="476" t="s">
        <v>6271</v>
      </c>
      <c r="L75" s="476" t="s">
        <v>6282</v>
      </c>
      <c r="M75" s="476" t="s">
        <v>9</v>
      </c>
      <c r="N75" s="478">
        <v>0</v>
      </c>
      <c r="O75" s="479"/>
      <c r="P75" s="479"/>
      <c r="Q75" s="479"/>
      <c r="R75" s="476"/>
      <c r="S75" s="479">
        <v>0.22665509259259262</v>
      </c>
      <c r="T75" s="479">
        <v>0.29332175925925924</v>
      </c>
      <c r="U75" s="479"/>
      <c r="V75" s="479"/>
      <c r="W75" s="479">
        <v>0.50709490740740748</v>
      </c>
      <c r="X75" s="479">
        <v>0.7208796296296297</v>
      </c>
      <c r="Y75" s="479">
        <v>0.56180555555555556</v>
      </c>
      <c r="Z75" s="479">
        <v>0.88194444444444453</v>
      </c>
      <c r="AA75" s="479">
        <v>0.16111111111111112</v>
      </c>
      <c r="AB75" s="476" t="s">
        <v>6464</v>
      </c>
      <c r="AC75" s="478">
        <v>130</v>
      </c>
      <c r="AD75" s="476" t="s">
        <v>113</v>
      </c>
      <c r="AE75" s="476"/>
      <c r="AF75" s="478">
        <v>82.8</v>
      </c>
      <c r="AG75" s="477">
        <v>64.599999999999994</v>
      </c>
      <c r="AH75" s="476" t="s">
        <v>6290</v>
      </c>
      <c r="AI75" s="476" t="s">
        <v>6320</v>
      </c>
      <c r="AJ75" s="476" t="s">
        <v>8</v>
      </c>
      <c r="AK75" s="476" t="s">
        <v>13</v>
      </c>
      <c r="AL75" s="476" t="s">
        <v>6739</v>
      </c>
      <c r="AM75" s="476" t="s">
        <v>6342</v>
      </c>
      <c r="AN75" s="476" t="s">
        <v>6912</v>
      </c>
      <c r="AO75" s="476" t="s">
        <v>6351</v>
      </c>
      <c r="AP75" s="476" t="s">
        <v>7009</v>
      </c>
      <c r="AQ75" s="476" t="s">
        <v>6351</v>
      </c>
      <c r="AR75" s="476"/>
      <c r="AS75" s="476"/>
      <c r="AT75" s="476"/>
      <c r="AU75" s="476"/>
      <c r="AV75" s="476"/>
      <c r="AW75" s="476"/>
      <c r="AX75" s="476"/>
      <c r="AY75" s="476"/>
      <c r="AZ75" s="476"/>
      <c r="BA75" s="476"/>
      <c r="BB75" s="476"/>
      <c r="BC75" s="476"/>
      <c r="BD75" s="476"/>
      <c r="BE75" s="476"/>
      <c r="BF75" s="476"/>
      <c r="BG75" s="476"/>
      <c r="BH75" s="476"/>
      <c r="BI75" s="476"/>
      <c r="BJ75" s="476" t="s">
        <v>6422</v>
      </c>
      <c r="BK75" s="476"/>
      <c r="BL75" s="480"/>
    </row>
    <row r="76" spans="1:64">
      <c r="A76" s="468">
        <v>43867</v>
      </c>
      <c r="B76" s="473">
        <v>37</v>
      </c>
      <c r="C76" s="473">
        <v>329</v>
      </c>
      <c r="D76" s="470" t="s">
        <v>612</v>
      </c>
      <c r="E76" s="469">
        <v>6</v>
      </c>
      <c r="F76" s="470" t="s">
        <v>6714</v>
      </c>
      <c r="G76" s="469">
        <v>533</v>
      </c>
      <c r="H76" s="470" t="s">
        <v>6246</v>
      </c>
      <c r="I76" s="470" t="s">
        <v>6257</v>
      </c>
      <c r="J76" s="469">
        <v>27</v>
      </c>
      <c r="K76" s="470" t="s">
        <v>6266</v>
      </c>
      <c r="L76" s="470" t="s">
        <v>6283</v>
      </c>
      <c r="M76" s="470" t="s">
        <v>9</v>
      </c>
      <c r="N76" s="473">
        <v>0</v>
      </c>
      <c r="O76" s="471"/>
      <c r="P76" s="471"/>
      <c r="Q76" s="471"/>
      <c r="R76" s="470"/>
      <c r="S76" s="471">
        <v>0.22591435185185185</v>
      </c>
      <c r="T76" s="471">
        <v>0.29258101851851853</v>
      </c>
      <c r="U76" s="471">
        <v>0.29236111111111113</v>
      </c>
      <c r="V76" s="471">
        <v>0.41319444444444442</v>
      </c>
      <c r="W76" s="471">
        <v>0.50715277777777779</v>
      </c>
      <c r="X76" s="471">
        <v>0.72173611111111102</v>
      </c>
      <c r="Y76" s="471">
        <v>0.6</v>
      </c>
      <c r="Z76" s="471">
        <v>0.92291666666666661</v>
      </c>
      <c r="AA76" s="471">
        <v>0.20416666666666669</v>
      </c>
      <c r="AB76" s="470" t="s">
        <v>6464</v>
      </c>
      <c r="AC76" s="473">
        <v>130</v>
      </c>
      <c r="AD76" s="470" t="s">
        <v>113</v>
      </c>
      <c r="AE76" s="470"/>
      <c r="AF76" s="473">
        <v>87.1</v>
      </c>
      <c r="AG76" s="469">
        <v>66.099999999999994</v>
      </c>
      <c r="AH76" s="470" t="s">
        <v>6315</v>
      </c>
      <c r="AI76" s="470" t="s">
        <v>6321</v>
      </c>
      <c r="AJ76" s="470" t="s">
        <v>840</v>
      </c>
      <c r="AK76" s="470" t="s">
        <v>6493</v>
      </c>
      <c r="AL76" s="470" t="s">
        <v>6740</v>
      </c>
      <c r="AM76" s="470" t="s">
        <v>6343</v>
      </c>
      <c r="AN76" s="470" t="s">
        <v>6913</v>
      </c>
      <c r="AO76" s="470" t="s">
        <v>6347</v>
      </c>
      <c r="AP76" s="470" t="s">
        <v>7010</v>
      </c>
      <c r="AQ76" s="470" t="s">
        <v>6352</v>
      </c>
      <c r="AR76" s="470"/>
      <c r="AS76" s="470"/>
      <c r="AT76" s="470"/>
      <c r="AU76" s="470"/>
      <c r="AV76" s="470"/>
      <c r="AW76" s="470"/>
      <c r="AX76" s="470"/>
      <c r="AY76" s="470"/>
      <c r="AZ76" s="470"/>
      <c r="BA76" s="470"/>
      <c r="BB76" s="470"/>
      <c r="BC76" s="470"/>
      <c r="BD76" s="470"/>
      <c r="BE76" s="470"/>
      <c r="BF76" s="470"/>
      <c r="BG76" s="470"/>
      <c r="BH76" s="470"/>
      <c r="BI76" s="470"/>
      <c r="BJ76" s="470" t="s">
        <v>6423</v>
      </c>
      <c r="BK76" s="470"/>
      <c r="BL76" s="474"/>
    </row>
    <row r="77" spans="1:64">
      <c r="A77" s="475">
        <v>43868</v>
      </c>
      <c r="B77" s="478">
        <v>38</v>
      </c>
      <c r="C77" s="478">
        <v>328</v>
      </c>
      <c r="D77" s="476" t="s">
        <v>612</v>
      </c>
      <c r="E77" s="477">
        <v>6</v>
      </c>
      <c r="F77" s="476" t="s">
        <v>100</v>
      </c>
      <c r="G77" s="477">
        <v>533</v>
      </c>
      <c r="H77" s="476" t="s">
        <v>6246</v>
      </c>
      <c r="I77" s="476" t="s">
        <v>6257</v>
      </c>
      <c r="J77" s="477">
        <v>28</v>
      </c>
      <c r="K77" s="476" t="s">
        <v>6267</v>
      </c>
      <c r="L77" s="476" t="s">
        <v>6284</v>
      </c>
      <c r="M77" s="476" t="s">
        <v>9</v>
      </c>
      <c r="N77" s="478">
        <v>0</v>
      </c>
      <c r="O77" s="479"/>
      <c r="P77" s="479"/>
      <c r="Q77" s="479"/>
      <c r="R77" s="476"/>
      <c r="S77" s="479">
        <v>0.22513888888888889</v>
      </c>
      <c r="T77" s="479">
        <v>0.29180555555555554</v>
      </c>
      <c r="U77" s="479"/>
      <c r="V77" s="479"/>
      <c r="W77" s="479">
        <v>0.50719907407407405</v>
      </c>
      <c r="X77" s="479">
        <v>0.72259259259259256</v>
      </c>
      <c r="Y77" s="479">
        <v>0.64513888888888882</v>
      </c>
      <c r="Z77" s="479">
        <v>0.96458333333333324</v>
      </c>
      <c r="AA77" s="479">
        <v>0.24444444444444446</v>
      </c>
      <c r="AB77" s="476" t="s">
        <v>6464</v>
      </c>
      <c r="AC77" s="478">
        <v>130</v>
      </c>
      <c r="AD77" s="476" t="s">
        <v>113</v>
      </c>
      <c r="AE77" s="476"/>
      <c r="AF77" s="478">
        <v>95.2</v>
      </c>
      <c r="AG77" s="477">
        <v>70.900000000000006</v>
      </c>
      <c r="AH77" s="476" t="s">
        <v>6291</v>
      </c>
      <c r="AI77" s="476" t="s">
        <v>6322</v>
      </c>
      <c r="AJ77" s="476" t="s">
        <v>874</v>
      </c>
      <c r="AK77" s="476" t="s">
        <v>6493</v>
      </c>
      <c r="AL77" s="476" t="s">
        <v>6741</v>
      </c>
      <c r="AM77" s="476" t="s">
        <v>6347</v>
      </c>
      <c r="AN77" s="476" t="s">
        <v>6900</v>
      </c>
      <c r="AO77" s="476" t="s">
        <v>6351</v>
      </c>
      <c r="AP77" s="476"/>
      <c r="AQ77" s="476"/>
      <c r="AR77" s="476"/>
      <c r="AS77" s="476"/>
      <c r="AT77" s="476"/>
      <c r="AU77" s="476"/>
      <c r="AV77" s="476"/>
      <c r="AW77" s="476"/>
      <c r="AX77" s="476"/>
      <c r="AY77" s="476"/>
      <c r="AZ77" s="476"/>
      <c r="BA77" s="476"/>
      <c r="BB77" s="476"/>
      <c r="BC77" s="476"/>
      <c r="BD77" s="476"/>
      <c r="BE77" s="476"/>
      <c r="BF77" s="476"/>
      <c r="BG77" s="476"/>
      <c r="BH77" s="476"/>
      <c r="BI77" s="476"/>
      <c r="BJ77" s="476" t="s">
        <v>6424</v>
      </c>
      <c r="BK77" s="476"/>
      <c r="BL77" s="480"/>
    </row>
    <row r="78" spans="1:64">
      <c r="A78" s="468">
        <v>43869</v>
      </c>
      <c r="B78" s="473">
        <v>39</v>
      </c>
      <c r="C78" s="473">
        <v>327</v>
      </c>
      <c r="D78" s="470" t="s">
        <v>612</v>
      </c>
      <c r="E78" s="469">
        <v>6</v>
      </c>
      <c r="F78" s="470" t="s">
        <v>103</v>
      </c>
      <c r="G78" s="469">
        <v>533</v>
      </c>
      <c r="H78" s="470" t="s">
        <v>6246</v>
      </c>
      <c r="I78" s="470" t="s">
        <v>6257</v>
      </c>
      <c r="J78" s="469">
        <v>30</v>
      </c>
      <c r="K78" s="470" t="s">
        <v>6272</v>
      </c>
      <c r="L78" s="470" t="s">
        <v>6285</v>
      </c>
      <c r="M78" s="470" t="s">
        <v>9</v>
      </c>
      <c r="N78" s="473">
        <v>0</v>
      </c>
      <c r="O78" s="471">
        <v>0.3354166666666667</v>
      </c>
      <c r="P78" s="471">
        <v>0.23124999999999998</v>
      </c>
      <c r="Q78" s="471"/>
      <c r="R78" s="470"/>
      <c r="S78" s="471">
        <v>0.22436342592592592</v>
      </c>
      <c r="T78" s="471">
        <v>0.2910300925925926</v>
      </c>
      <c r="U78" s="471"/>
      <c r="V78" s="471"/>
      <c r="W78" s="471">
        <v>0.50723379629629628</v>
      </c>
      <c r="X78" s="471">
        <v>0.72344907407407411</v>
      </c>
      <c r="Y78" s="471">
        <v>0.69513888888888886</v>
      </c>
      <c r="Z78" s="471" t="s">
        <v>1107</v>
      </c>
      <c r="AA78" s="471">
        <v>0.27986111111111112</v>
      </c>
      <c r="AB78" s="470" t="s">
        <v>6464</v>
      </c>
      <c r="AC78" s="473">
        <v>130</v>
      </c>
      <c r="AD78" s="470" t="s">
        <v>113</v>
      </c>
      <c r="AE78" s="470"/>
      <c r="AF78" s="473">
        <v>6.7</v>
      </c>
      <c r="AG78" s="469">
        <v>78.900000000000006</v>
      </c>
      <c r="AH78" s="470" t="s">
        <v>6292</v>
      </c>
      <c r="AI78" s="470" t="s">
        <v>6323</v>
      </c>
      <c r="AJ78" s="470" t="s">
        <v>839</v>
      </c>
      <c r="AK78" s="470" t="s">
        <v>6493</v>
      </c>
      <c r="AL78" s="470" t="s">
        <v>815</v>
      </c>
      <c r="AM78" s="470" t="s">
        <v>6344</v>
      </c>
      <c r="AN78" s="470" t="s">
        <v>6914</v>
      </c>
      <c r="AO78" s="470" t="s">
        <v>6346</v>
      </c>
      <c r="AP78" s="470" t="s">
        <v>6896</v>
      </c>
      <c r="AQ78" s="470"/>
      <c r="AR78" s="470" t="s">
        <v>7053</v>
      </c>
      <c r="AS78" s="470"/>
      <c r="AT78" s="470"/>
      <c r="AU78" s="470"/>
      <c r="AV78" s="470"/>
      <c r="AW78" s="470"/>
      <c r="AX78" s="470"/>
      <c r="AY78" s="470"/>
      <c r="AZ78" s="470"/>
      <c r="BA78" s="470"/>
      <c r="BB78" s="470"/>
      <c r="BC78" s="470"/>
      <c r="BD78" s="470"/>
      <c r="BE78" s="470"/>
      <c r="BF78" s="470"/>
      <c r="BG78" s="470"/>
      <c r="BH78" s="470"/>
      <c r="BI78" s="470"/>
      <c r="BJ78" s="470" t="s">
        <v>6368</v>
      </c>
      <c r="BK78" s="470"/>
      <c r="BL78" s="474"/>
    </row>
    <row r="79" spans="1:64">
      <c r="A79" s="475">
        <v>43870</v>
      </c>
      <c r="B79" s="478">
        <v>40</v>
      </c>
      <c r="C79" s="478">
        <v>326</v>
      </c>
      <c r="D79" s="476" t="s">
        <v>612</v>
      </c>
      <c r="E79" s="477">
        <v>6</v>
      </c>
      <c r="F79" s="476" t="s">
        <v>106</v>
      </c>
      <c r="G79" s="477">
        <v>533</v>
      </c>
      <c r="H79" s="476" t="s">
        <v>6247</v>
      </c>
      <c r="I79" s="476" t="s">
        <v>836</v>
      </c>
      <c r="J79" s="477">
        <v>1</v>
      </c>
      <c r="K79" s="476" t="s">
        <v>6270</v>
      </c>
      <c r="L79" s="476" t="s">
        <v>6287</v>
      </c>
      <c r="M79" s="476" t="s">
        <v>9</v>
      </c>
      <c r="N79" s="478">
        <v>0</v>
      </c>
      <c r="O79" s="479"/>
      <c r="P79" s="479"/>
      <c r="Q79" s="479"/>
      <c r="R79" s="476"/>
      <c r="S79" s="479">
        <v>0.22356481481481483</v>
      </c>
      <c r="T79" s="479">
        <v>0.29023148148148148</v>
      </c>
      <c r="U79" s="479"/>
      <c r="V79" s="479"/>
      <c r="W79" s="479">
        <v>0.50725694444444447</v>
      </c>
      <c r="X79" s="479">
        <v>0.72429398148148139</v>
      </c>
      <c r="Y79" s="479">
        <v>0.74722222222222223</v>
      </c>
      <c r="Z79" s="479">
        <v>4.8611111111111112E-3</v>
      </c>
      <c r="AA79" s="479">
        <v>0.31041666666666667</v>
      </c>
      <c r="AB79" s="476" t="s">
        <v>6462</v>
      </c>
      <c r="AC79" s="478">
        <v>129</v>
      </c>
      <c r="AD79" s="476" t="s">
        <v>116</v>
      </c>
      <c r="AE79" s="476" t="s">
        <v>6510</v>
      </c>
      <c r="AF79" s="478">
        <v>21.1</v>
      </c>
      <c r="AG79" s="477">
        <v>89.4</v>
      </c>
      <c r="AH79" s="476" t="s">
        <v>6293</v>
      </c>
      <c r="AI79" s="476" t="s">
        <v>6325</v>
      </c>
      <c r="AJ79" s="476" t="s">
        <v>6493</v>
      </c>
      <c r="AK79" s="476" t="s">
        <v>6493</v>
      </c>
      <c r="AL79" s="476" t="s">
        <v>6742</v>
      </c>
      <c r="AM79" s="476"/>
      <c r="AN79" s="476"/>
      <c r="AO79" s="476"/>
      <c r="AP79" s="476"/>
      <c r="AQ79" s="476"/>
      <c r="AR79" s="476"/>
      <c r="AS79" s="476"/>
      <c r="AT79" s="476"/>
      <c r="AU79" s="476"/>
      <c r="AV79" s="476"/>
      <c r="AW79" s="476"/>
      <c r="AX79" s="476"/>
      <c r="AY79" s="476"/>
      <c r="AZ79" s="476"/>
      <c r="BA79" s="476"/>
      <c r="BB79" s="476"/>
      <c r="BC79" s="476"/>
      <c r="BD79" s="476"/>
      <c r="BE79" s="476"/>
      <c r="BF79" s="476"/>
      <c r="BG79" s="476"/>
      <c r="BH79" s="476"/>
      <c r="BI79" s="476"/>
      <c r="BJ79" s="476"/>
      <c r="BK79" s="476"/>
      <c r="BL79" s="480"/>
    </row>
    <row r="80" spans="1:64">
      <c r="A80" s="468">
        <v>43871</v>
      </c>
      <c r="B80" s="473">
        <v>41</v>
      </c>
      <c r="C80" s="473">
        <v>325</v>
      </c>
      <c r="D80" s="470" t="s">
        <v>612</v>
      </c>
      <c r="E80" s="469">
        <v>7</v>
      </c>
      <c r="F80" s="470" t="s">
        <v>88</v>
      </c>
      <c r="G80" s="469">
        <v>533</v>
      </c>
      <c r="H80" s="470" t="s">
        <v>6247</v>
      </c>
      <c r="I80" s="470" t="s">
        <v>836</v>
      </c>
      <c r="J80" s="469">
        <v>2</v>
      </c>
      <c r="K80" s="470" t="s">
        <v>1034</v>
      </c>
      <c r="L80" s="470" t="s">
        <v>6273</v>
      </c>
      <c r="M80" s="470" t="s">
        <v>9</v>
      </c>
      <c r="N80" s="473">
        <v>0</v>
      </c>
      <c r="O80" s="471"/>
      <c r="P80" s="471"/>
      <c r="Q80" s="471"/>
      <c r="R80" s="470"/>
      <c r="S80" s="471">
        <v>0.22274305555555554</v>
      </c>
      <c r="T80" s="471">
        <v>0.28940972222222222</v>
      </c>
      <c r="U80" s="471"/>
      <c r="V80" s="471"/>
      <c r="W80" s="471">
        <v>0.50728009259259255</v>
      </c>
      <c r="X80" s="471">
        <v>0.72515046296296293</v>
      </c>
      <c r="Y80" s="471">
        <v>0.79999999999999993</v>
      </c>
      <c r="Z80" s="471">
        <v>4.4444444444444446E-2</v>
      </c>
      <c r="AA80" s="471">
        <v>0.33680555555555558</v>
      </c>
      <c r="AB80" s="470" t="s">
        <v>6462</v>
      </c>
      <c r="AC80" s="473">
        <v>129</v>
      </c>
      <c r="AD80" s="470" t="s">
        <v>116</v>
      </c>
      <c r="AE80" s="470"/>
      <c r="AF80" s="473">
        <v>37.299999999999997</v>
      </c>
      <c r="AG80" s="469">
        <v>1.6</v>
      </c>
      <c r="AH80" s="470" t="s">
        <v>6295</v>
      </c>
      <c r="AI80" s="470" t="s">
        <v>6326</v>
      </c>
      <c r="AJ80" s="470" t="s">
        <v>6493</v>
      </c>
      <c r="AK80" s="470" t="s">
        <v>6493</v>
      </c>
      <c r="AL80" s="470"/>
      <c r="AM80" s="470"/>
      <c r="AN80" s="470"/>
      <c r="AO80" s="470"/>
      <c r="AP80" s="470"/>
      <c r="AQ80" s="470"/>
      <c r="AR80" s="470"/>
      <c r="AS80" s="470"/>
      <c r="AT80" s="470"/>
      <c r="AU80" s="470"/>
      <c r="AV80" s="470"/>
      <c r="AW80" s="470"/>
      <c r="AX80" s="470"/>
      <c r="AY80" s="470"/>
      <c r="AZ80" s="470"/>
      <c r="BA80" s="470"/>
      <c r="BB80" s="470"/>
      <c r="BC80" s="470"/>
      <c r="BD80" s="470"/>
      <c r="BE80" s="470"/>
      <c r="BF80" s="470"/>
      <c r="BG80" s="470"/>
      <c r="BH80" s="470"/>
      <c r="BI80" s="470"/>
      <c r="BJ80" s="470"/>
      <c r="BK80" s="470"/>
      <c r="BL80" s="474"/>
    </row>
    <row r="81" spans="1:64">
      <c r="A81" s="475">
        <v>43872</v>
      </c>
      <c r="B81" s="478">
        <v>42</v>
      </c>
      <c r="C81" s="478">
        <v>324</v>
      </c>
      <c r="D81" s="476" t="s">
        <v>612</v>
      </c>
      <c r="E81" s="477">
        <v>7</v>
      </c>
      <c r="F81" s="476" t="s">
        <v>91</v>
      </c>
      <c r="G81" s="477">
        <v>533</v>
      </c>
      <c r="H81" s="476" t="s">
        <v>6247</v>
      </c>
      <c r="I81" s="476" t="s">
        <v>836</v>
      </c>
      <c r="J81" s="477">
        <v>3</v>
      </c>
      <c r="K81" s="476" t="s">
        <v>6258</v>
      </c>
      <c r="L81" s="476" t="s">
        <v>6274</v>
      </c>
      <c r="M81" s="476" t="s">
        <v>9</v>
      </c>
      <c r="N81" s="478">
        <v>0</v>
      </c>
      <c r="O81" s="479"/>
      <c r="P81" s="479"/>
      <c r="Q81" s="479"/>
      <c r="R81" s="476"/>
      <c r="S81" s="479">
        <v>0.22190972222222224</v>
      </c>
      <c r="T81" s="479">
        <v>0.28857638888888887</v>
      </c>
      <c r="U81" s="479"/>
      <c r="V81" s="479"/>
      <c r="W81" s="479">
        <v>0.5072916666666667</v>
      </c>
      <c r="X81" s="479">
        <v>0.72599537037037043</v>
      </c>
      <c r="Y81" s="479">
        <v>0.85277777777777775</v>
      </c>
      <c r="Z81" s="479">
        <v>8.2638888888888887E-2</v>
      </c>
      <c r="AA81" s="479">
        <v>0.3611111111111111</v>
      </c>
      <c r="AB81" s="476" t="s">
        <v>6462</v>
      </c>
      <c r="AC81" s="478">
        <v>129</v>
      </c>
      <c r="AD81" s="476" t="s">
        <v>116</v>
      </c>
      <c r="AE81" s="476"/>
      <c r="AF81" s="478">
        <v>53.9</v>
      </c>
      <c r="AG81" s="477">
        <v>14.2</v>
      </c>
      <c r="AH81" s="476" t="s">
        <v>6296</v>
      </c>
      <c r="AI81" s="476" t="s">
        <v>6327</v>
      </c>
      <c r="AJ81" s="476" t="s">
        <v>6493</v>
      </c>
      <c r="AK81" s="476" t="s">
        <v>6493</v>
      </c>
      <c r="AL81" s="476"/>
      <c r="AM81" s="476"/>
      <c r="AN81" s="476"/>
      <c r="AO81" s="476"/>
      <c r="AP81" s="476"/>
      <c r="AQ81" s="476"/>
      <c r="AR81" s="476"/>
      <c r="AS81" s="476"/>
      <c r="AT81" s="476"/>
      <c r="AU81" s="476"/>
      <c r="AV81" s="476"/>
      <c r="AW81" s="476"/>
      <c r="AX81" s="476"/>
      <c r="AY81" s="476"/>
      <c r="AZ81" s="476"/>
      <c r="BA81" s="476"/>
      <c r="BB81" s="476"/>
      <c r="BC81" s="476"/>
      <c r="BD81" s="476"/>
      <c r="BE81" s="476"/>
      <c r="BF81" s="476"/>
      <c r="BG81" s="476"/>
      <c r="BH81" s="476"/>
      <c r="BI81" s="476"/>
      <c r="BJ81" s="476"/>
      <c r="BK81" s="476"/>
      <c r="BL81" s="480"/>
    </row>
    <row r="82" spans="1:64">
      <c r="A82" s="468">
        <v>43873</v>
      </c>
      <c r="B82" s="473">
        <v>43</v>
      </c>
      <c r="C82" s="473">
        <v>323</v>
      </c>
      <c r="D82" s="470" t="s">
        <v>612</v>
      </c>
      <c r="E82" s="469">
        <v>7</v>
      </c>
      <c r="F82" s="470" t="s">
        <v>94</v>
      </c>
      <c r="G82" s="469">
        <v>533</v>
      </c>
      <c r="H82" s="470" t="s">
        <v>6247</v>
      </c>
      <c r="I82" s="470" t="s">
        <v>836</v>
      </c>
      <c r="J82" s="469">
        <v>4</v>
      </c>
      <c r="K82" s="470" t="s">
        <v>6259</v>
      </c>
      <c r="L82" s="470" t="s">
        <v>6275</v>
      </c>
      <c r="M82" s="470" t="s">
        <v>9</v>
      </c>
      <c r="N82" s="473">
        <v>0</v>
      </c>
      <c r="O82" s="471"/>
      <c r="P82" s="471"/>
      <c r="Q82" s="471"/>
      <c r="R82" s="470"/>
      <c r="S82" s="471">
        <v>0.2210648148148148</v>
      </c>
      <c r="T82" s="471">
        <v>0.28773148148148148</v>
      </c>
      <c r="U82" s="471"/>
      <c r="V82" s="471"/>
      <c r="W82" s="471">
        <v>0.5072916666666667</v>
      </c>
      <c r="X82" s="471">
        <v>0.72685185185185175</v>
      </c>
      <c r="Y82" s="471">
        <v>0.90416666666666667</v>
      </c>
      <c r="Z82" s="471">
        <v>0.11944444444444445</v>
      </c>
      <c r="AA82" s="471">
        <v>0.3833333333333333</v>
      </c>
      <c r="AB82" s="470" t="s">
        <v>6462</v>
      </c>
      <c r="AC82" s="473">
        <v>129</v>
      </c>
      <c r="AD82" s="470" t="s">
        <v>116</v>
      </c>
      <c r="AE82" s="470"/>
      <c r="AF82" s="473">
        <v>69.900000000000006</v>
      </c>
      <c r="AG82" s="469">
        <v>26.1</v>
      </c>
      <c r="AH82" s="470" t="s">
        <v>6297</v>
      </c>
      <c r="AI82" s="470" t="s">
        <v>6328</v>
      </c>
      <c r="AJ82" s="470" t="s">
        <v>6493</v>
      </c>
      <c r="AK82" s="470" t="s">
        <v>6493</v>
      </c>
      <c r="AL82" s="470"/>
      <c r="AM82" s="470"/>
      <c r="AN82" s="470"/>
      <c r="AO82" s="470"/>
      <c r="AP82" s="470"/>
      <c r="AQ82" s="470"/>
      <c r="AR82" s="470"/>
      <c r="AS82" s="470"/>
      <c r="AT82" s="470"/>
      <c r="AU82" s="470"/>
      <c r="AV82" s="470"/>
      <c r="AW82" s="470"/>
      <c r="AX82" s="470"/>
      <c r="AY82" s="470"/>
      <c r="AZ82" s="470"/>
      <c r="BA82" s="470"/>
      <c r="BB82" s="470"/>
      <c r="BC82" s="470"/>
      <c r="BD82" s="470"/>
      <c r="BE82" s="470"/>
      <c r="BF82" s="470"/>
      <c r="BG82" s="470"/>
      <c r="BH82" s="470"/>
      <c r="BI82" s="470"/>
      <c r="BJ82" s="470"/>
      <c r="BK82" s="470"/>
      <c r="BL82" s="474"/>
    </row>
    <row r="83" spans="1:64">
      <c r="A83" s="475">
        <v>43874</v>
      </c>
      <c r="B83" s="478">
        <v>44</v>
      </c>
      <c r="C83" s="478">
        <v>322</v>
      </c>
      <c r="D83" s="476" t="s">
        <v>612</v>
      </c>
      <c r="E83" s="477">
        <v>7</v>
      </c>
      <c r="F83" s="476" t="s">
        <v>6714</v>
      </c>
      <c r="G83" s="477">
        <v>533</v>
      </c>
      <c r="H83" s="476" t="s">
        <v>6247</v>
      </c>
      <c r="I83" s="476" t="s">
        <v>836</v>
      </c>
      <c r="J83" s="477">
        <v>5</v>
      </c>
      <c r="K83" s="476" t="s">
        <v>6260</v>
      </c>
      <c r="L83" s="476" t="s">
        <v>6276</v>
      </c>
      <c r="M83" s="476" t="s">
        <v>9</v>
      </c>
      <c r="N83" s="478">
        <v>0</v>
      </c>
      <c r="O83" s="479"/>
      <c r="P83" s="479"/>
      <c r="Q83" s="479">
        <v>0.18528935185185183</v>
      </c>
      <c r="R83" s="476" t="s">
        <v>16</v>
      </c>
      <c r="S83" s="479">
        <v>0.22019675925925927</v>
      </c>
      <c r="T83" s="479">
        <v>0.2868634259259259</v>
      </c>
      <c r="U83" s="479"/>
      <c r="V83" s="479"/>
      <c r="W83" s="479">
        <v>0.50728009259259255</v>
      </c>
      <c r="X83" s="479">
        <v>0.72769675925925925</v>
      </c>
      <c r="Y83" s="479">
        <v>0.95416666666666661</v>
      </c>
      <c r="Z83" s="479">
        <v>0.15486111111111112</v>
      </c>
      <c r="AA83" s="479">
        <v>0.40416666666666662</v>
      </c>
      <c r="AB83" s="476" t="s">
        <v>6462</v>
      </c>
      <c r="AC83" s="478">
        <v>129</v>
      </c>
      <c r="AD83" s="476" t="s">
        <v>116</v>
      </c>
      <c r="AE83" s="476"/>
      <c r="AF83" s="478">
        <v>83.9</v>
      </c>
      <c r="AG83" s="477">
        <v>36.299999999999997</v>
      </c>
      <c r="AH83" s="476" t="s">
        <v>6298</v>
      </c>
      <c r="AI83" s="476" t="s">
        <v>6329</v>
      </c>
      <c r="AJ83" s="476" t="s">
        <v>874</v>
      </c>
      <c r="AK83" s="476" t="s">
        <v>6493</v>
      </c>
      <c r="AL83" s="476" t="s">
        <v>6743</v>
      </c>
      <c r="AM83" s="476" t="s">
        <v>6346</v>
      </c>
      <c r="AN83" s="476" t="s">
        <v>6915</v>
      </c>
      <c r="AO83" s="476" t="s">
        <v>6345</v>
      </c>
      <c r="AP83" s="476" t="s">
        <v>6900</v>
      </c>
      <c r="AQ83" s="476" t="s">
        <v>6351</v>
      </c>
      <c r="AR83" s="476" t="s">
        <v>7054</v>
      </c>
      <c r="AS83" s="476"/>
      <c r="AT83" s="476"/>
      <c r="AU83" s="476"/>
      <c r="AV83" s="476"/>
      <c r="AW83" s="476"/>
      <c r="AX83" s="476"/>
      <c r="AY83" s="476"/>
      <c r="AZ83" s="476"/>
      <c r="BA83" s="476"/>
      <c r="BB83" s="476"/>
      <c r="BC83" s="476"/>
      <c r="BD83" s="476"/>
      <c r="BE83" s="476"/>
      <c r="BF83" s="476"/>
      <c r="BG83" s="476"/>
      <c r="BH83" s="476"/>
      <c r="BI83" s="476"/>
      <c r="BJ83" s="476" t="s">
        <v>6425</v>
      </c>
      <c r="BK83" s="476"/>
      <c r="BL83" s="480"/>
    </row>
    <row r="84" spans="1:64">
      <c r="A84" s="468">
        <v>43875</v>
      </c>
      <c r="B84" s="473">
        <v>45</v>
      </c>
      <c r="C84" s="473">
        <v>321</v>
      </c>
      <c r="D84" s="470" t="s">
        <v>612</v>
      </c>
      <c r="E84" s="469">
        <v>7</v>
      </c>
      <c r="F84" s="470" t="s">
        <v>100</v>
      </c>
      <c r="G84" s="469">
        <v>533</v>
      </c>
      <c r="H84" s="470" t="s">
        <v>6247</v>
      </c>
      <c r="I84" s="470" t="s">
        <v>836</v>
      </c>
      <c r="J84" s="469">
        <v>6</v>
      </c>
      <c r="K84" s="470" t="s">
        <v>6261</v>
      </c>
      <c r="L84" s="470" t="s">
        <v>6277</v>
      </c>
      <c r="M84" s="470" t="s">
        <v>9</v>
      </c>
      <c r="N84" s="473">
        <v>0</v>
      </c>
      <c r="O84" s="471"/>
      <c r="P84" s="471"/>
      <c r="Q84" s="471"/>
      <c r="R84" s="470"/>
      <c r="S84" s="471">
        <v>0.21931712962962965</v>
      </c>
      <c r="T84" s="471">
        <v>0.28598379629629628</v>
      </c>
      <c r="U84" s="471"/>
      <c r="V84" s="471"/>
      <c r="W84" s="471">
        <v>0.50725694444444447</v>
      </c>
      <c r="X84" s="471">
        <v>0.72854166666666664</v>
      </c>
      <c r="Y84" s="471" t="s">
        <v>1107</v>
      </c>
      <c r="Z84" s="471">
        <v>0.19027777777777777</v>
      </c>
      <c r="AA84" s="471">
        <v>0.42638888888888887</v>
      </c>
      <c r="AB84" s="470" t="s">
        <v>6462</v>
      </c>
      <c r="AC84" s="473">
        <v>129</v>
      </c>
      <c r="AD84" s="470" t="s">
        <v>116</v>
      </c>
      <c r="AE84" s="470"/>
      <c r="AF84" s="473">
        <v>95.3</v>
      </c>
      <c r="AG84" s="469">
        <v>44.1</v>
      </c>
      <c r="AH84" s="470" t="s">
        <v>6299</v>
      </c>
      <c r="AI84" s="470" t="s">
        <v>6331</v>
      </c>
      <c r="AJ84" s="470" t="s">
        <v>6493</v>
      </c>
      <c r="AK84" s="470" t="s">
        <v>6493</v>
      </c>
      <c r="AL84" s="470"/>
      <c r="AM84" s="470"/>
      <c r="AN84" s="470"/>
      <c r="AO84" s="470"/>
      <c r="AP84" s="470"/>
      <c r="AQ84" s="470"/>
      <c r="AR84" s="470"/>
      <c r="AS84" s="470"/>
      <c r="AT84" s="470"/>
      <c r="AU84" s="470"/>
      <c r="AV84" s="470"/>
      <c r="AW84" s="470"/>
      <c r="AX84" s="470"/>
      <c r="AY84" s="470"/>
      <c r="AZ84" s="470"/>
      <c r="BA84" s="470"/>
      <c r="BB84" s="470"/>
      <c r="BC84" s="470"/>
      <c r="BD84" s="470"/>
      <c r="BE84" s="470"/>
      <c r="BF84" s="470"/>
      <c r="BG84" s="470"/>
      <c r="BH84" s="470"/>
      <c r="BI84" s="470"/>
      <c r="BJ84" s="470"/>
      <c r="BK84" s="470"/>
      <c r="BL84" s="474"/>
    </row>
    <row r="85" spans="1:64">
      <c r="A85" s="475">
        <v>43876</v>
      </c>
      <c r="B85" s="478">
        <v>46</v>
      </c>
      <c r="C85" s="478">
        <v>320</v>
      </c>
      <c r="D85" s="476" t="s">
        <v>612</v>
      </c>
      <c r="E85" s="477">
        <v>7</v>
      </c>
      <c r="F85" s="476" t="s">
        <v>103</v>
      </c>
      <c r="G85" s="477">
        <v>533</v>
      </c>
      <c r="H85" s="476" t="s">
        <v>6247</v>
      </c>
      <c r="I85" s="476" t="s">
        <v>836</v>
      </c>
      <c r="J85" s="477">
        <v>8</v>
      </c>
      <c r="K85" s="476" t="s">
        <v>6263</v>
      </c>
      <c r="L85" s="476" t="s">
        <v>6278</v>
      </c>
      <c r="M85" s="476" t="s">
        <v>9</v>
      </c>
      <c r="N85" s="478">
        <v>0</v>
      </c>
      <c r="O85" s="479">
        <v>0.32847222222222222</v>
      </c>
      <c r="P85" s="479">
        <v>0.25069444444444444</v>
      </c>
      <c r="Q85" s="479"/>
      <c r="R85" s="476"/>
      <c r="S85" s="479">
        <v>0.21842592592592591</v>
      </c>
      <c r="T85" s="479">
        <v>0.28509259259259262</v>
      </c>
      <c r="U85" s="479"/>
      <c r="V85" s="479"/>
      <c r="W85" s="479">
        <v>0.50723379629629628</v>
      </c>
      <c r="X85" s="479">
        <v>0.729375</v>
      </c>
      <c r="Y85" s="479">
        <v>3.472222222222222E-3</v>
      </c>
      <c r="Z85" s="479">
        <v>0.22638888888888889</v>
      </c>
      <c r="AA85" s="479">
        <v>0.44861111111111113</v>
      </c>
      <c r="AB85" s="476" t="s">
        <v>6289</v>
      </c>
      <c r="AC85" s="478">
        <v>131</v>
      </c>
      <c r="AD85" s="476" t="s">
        <v>119</v>
      </c>
      <c r="AE85" s="476" t="s">
        <v>6511</v>
      </c>
      <c r="AF85" s="478">
        <v>3.6</v>
      </c>
      <c r="AG85" s="477">
        <v>49.2</v>
      </c>
      <c r="AH85" s="476" t="s">
        <v>6300</v>
      </c>
      <c r="AI85" s="476" t="s">
        <v>6332</v>
      </c>
      <c r="AJ85" s="476" t="s">
        <v>6493</v>
      </c>
      <c r="AK85" s="476" t="s">
        <v>6493</v>
      </c>
      <c r="AL85" s="476" t="s">
        <v>6744</v>
      </c>
      <c r="AM85" s="476"/>
      <c r="AN85" s="476"/>
      <c r="AO85" s="476"/>
      <c r="AP85" s="476"/>
      <c r="AQ85" s="476"/>
      <c r="AR85" s="476"/>
      <c r="AS85" s="476"/>
      <c r="AT85" s="476"/>
      <c r="AU85" s="476"/>
      <c r="AV85" s="476"/>
      <c r="AW85" s="476"/>
      <c r="AX85" s="476"/>
      <c r="AY85" s="476"/>
      <c r="AZ85" s="476"/>
      <c r="BA85" s="476"/>
      <c r="BB85" s="476"/>
      <c r="BC85" s="476"/>
      <c r="BD85" s="476"/>
      <c r="BE85" s="476"/>
      <c r="BF85" s="476"/>
      <c r="BG85" s="476"/>
      <c r="BH85" s="476"/>
      <c r="BI85" s="476"/>
      <c r="BJ85" s="476"/>
      <c r="BK85" s="476"/>
      <c r="BL85" s="480"/>
    </row>
    <row r="86" spans="1:64">
      <c r="A86" s="468">
        <v>43877</v>
      </c>
      <c r="B86" s="473">
        <v>47</v>
      </c>
      <c r="C86" s="473">
        <v>319</v>
      </c>
      <c r="D86" s="470" t="s">
        <v>612</v>
      </c>
      <c r="E86" s="469">
        <v>7</v>
      </c>
      <c r="F86" s="470" t="s">
        <v>106</v>
      </c>
      <c r="G86" s="469">
        <v>533</v>
      </c>
      <c r="H86" s="470" t="s">
        <v>6247</v>
      </c>
      <c r="I86" s="470" t="s">
        <v>836</v>
      </c>
      <c r="J86" s="469">
        <v>9</v>
      </c>
      <c r="K86" s="470" t="s">
        <v>6264</v>
      </c>
      <c r="L86" s="470" t="s">
        <v>6280</v>
      </c>
      <c r="M86" s="470" t="s">
        <v>9</v>
      </c>
      <c r="N86" s="473">
        <v>0</v>
      </c>
      <c r="O86" s="471"/>
      <c r="P86" s="471"/>
      <c r="Q86" s="471"/>
      <c r="R86" s="470"/>
      <c r="S86" s="471">
        <v>0.21752314814814813</v>
      </c>
      <c r="T86" s="471">
        <v>0.28418981481481481</v>
      </c>
      <c r="U86" s="471"/>
      <c r="V86" s="471"/>
      <c r="W86" s="471">
        <v>0.50719907407407405</v>
      </c>
      <c r="X86" s="471">
        <v>0.73020833333333324</v>
      </c>
      <c r="Y86" s="471">
        <v>5.2083333333333336E-2</v>
      </c>
      <c r="Z86" s="471">
        <v>0.2638888888888889</v>
      </c>
      <c r="AA86" s="471">
        <v>0.47500000000000003</v>
      </c>
      <c r="AB86" s="470" t="s">
        <v>6289</v>
      </c>
      <c r="AC86" s="473">
        <v>131</v>
      </c>
      <c r="AD86" s="470" t="s">
        <v>119</v>
      </c>
      <c r="AE86" s="470"/>
      <c r="AF86" s="473">
        <v>8.9</v>
      </c>
      <c r="AG86" s="469">
        <v>51.5</v>
      </c>
      <c r="AH86" s="470" t="s">
        <v>6301</v>
      </c>
      <c r="AI86" s="470" t="s">
        <v>6333</v>
      </c>
      <c r="AJ86" s="470" t="s">
        <v>6493</v>
      </c>
      <c r="AK86" s="470" t="s">
        <v>6493</v>
      </c>
      <c r="AL86" s="470"/>
      <c r="AM86" s="470"/>
      <c r="AN86" s="470"/>
      <c r="AO86" s="470"/>
      <c r="AP86" s="470"/>
      <c r="AQ86" s="470"/>
      <c r="AR86" s="470"/>
      <c r="AS86" s="470"/>
      <c r="AT86" s="470"/>
      <c r="AU86" s="470"/>
      <c r="AV86" s="470"/>
      <c r="AW86" s="470"/>
      <c r="AX86" s="470"/>
      <c r="AY86" s="470"/>
      <c r="AZ86" s="470"/>
      <c r="BA86" s="470"/>
      <c r="BB86" s="470"/>
      <c r="BC86" s="470"/>
      <c r="BD86" s="470"/>
      <c r="BE86" s="470"/>
      <c r="BF86" s="470"/>
      <c r="BG86" s="470"/>
      <c r="BH86" s="470"/>
      <c r="BI86" s="470"/>
      <c r="BJ86" s="470"/>
      <c r="BK86" s="470"/>
      <c r="BL86" s="474"/>
    </row>
    <row r="87" spans="1:64">
      <c r="A87" s="475">
        <v>43878</v>
      </c>
      <c r="B87" s="478">
        <v>48</v>
      </c>
      <c r="C87" s="478">
        <v>318</v>
      </c>
      <c r="D87" s="476" t="s">
        <v>612</v>
      </c>
      <c r="E87" s="477">
        <v>8</v>
      </c>
      <c r="F87" s="476" t="s">
        <v>88</v>
      </c>
      <c r="G87" s="477">
        <v>533</v>
      </c>
      <c r="H87" s="476" t="s">
        <v>6247</v>
      </c>
      <c r="I87" s="476" t="s">
        <v>836</v>
      </c>
      <c r="J87" s="477">
        <v>10</v>
      </c>
      <c r="K87" s="476" t="s">
        <v>6265</v>
      </c>
      <c r="L87" s="476" t="s">
        <v>6281</v>
      </c>
      <c r="M87" s="476" t="s">
        <v>9</v>
      </c>
      <c r="N87" s="478">
        <v>0</v>
      </c>
      <c r="O87" s="479"/>
      <c r="P87" s="479"/>
      <c r="Q87" s="479"/>
      <c r="R87" s="476"/>
      <c r="S87" s="479">
        <v>0.21659722222222222</v>
      </c>
      <c r="T87" s="479">
        <v>0.28326388888888893</v>
      </c>
      <c r="U87" s="479"/>
      <c r="V87" s="479"/>
      <c r="W87" s="479">
        <v>0.50715277777777779</v>
      </c>
      <c r="X87" s="479">
        <v>0.73105324074074074</v>
      </c>
      <c r="Y87" s="479">
        <v>9.7916666666666666E-2</v>
      </c>
      <c r="Z87" s="479">
        <v>0.30138888888888887</v>
      </c>
      <c r="AA87" s="479">
        <v>0.50416666666666665</v>
      </c>
      <c r="AB87" s="476" t="s">
        <v>6289</v>
      </c>
      <c r="AC87" s="478">
        <v>131</v>
      </c>
      <c r="AD87" s="476" t="s">
        <v>119</v>
      </c>
      <c r="AE87" s="476"/>
      <c r="AF87" s="478">
        <v>11.3</v>
      </c>
      <c r="AG87" s="477">
        <v>51.2</v>
      </c>
      <c r="AH87" s="476" t="s">
        <v>6302</v>
      </c>
      <c r="AI87" s="476" t="s">
        <v>6334</v>
      </c>
      <c r="AJ87" s="476" t="s">
        <v>6493</v>
      </c>
      <c r="AK87" s="476" t="s">
        <v>6493</v>
      </c>
      <c r="AL87" s="476"/>
      <c r="AM87" s="476"/>
      <c r="AN87" s="476"/>
      <c r="AO87" s="476"/>
      <c r="AP87" s="476"/>
      <c r="AQ87" s="476"/>
      <c r="AR87" s="476"/>
      <c r="AS87" s="476"/>
      <c r="AT87" s="476"/>
      <c r="AU87" s="476"/>
      <c r="AV87" s="476"/>
      <c r="AW87" s="476"/>
      <c r="AX87" s="476"/>
      <c r="AY87" s="476"/>
      <c r="AZ87" s="476"/>
      <c r="BA87" s="476"/>
      <c r="BB87" s="476"/>
      <c r="BC87" s="476"/>
      <c r="BD87" s="476"/>
      <c r="BE87" s="476"/>
      <c r="BF87" s="476"/>
      <c r="BG87" s="476"/>
      <c r="BH87" s="476"/>
      <c r="BI87" s="476"/>
      <c r="BJ87" s="476"/>
      <c r="BK87" s="476"/>
      <c r="BL87" s="480"/>
    </row>
    <row r="88" spans="1:64">
      <c r="A88" s="468">
        <v>43879</v>
      </c>
      <c r="B88" s="473">
        <v>49</v>
      </c>
      <c r="C88" s="473">
        <v>317</v>
      </c>
      <c r="D88" s="470" t="s">
        <v>612</v>
      </c>
      <c r="E88" s="469">
        <v>8</v>
      </c>
      <c r="F88" s="470" t="s">
        <v>91</v>
      </c>
      <c r="G88" s="469">
        <v>533</v>
      </c>
      <c r="H88" s="470" t="s">
        <v>6247</v>
      </c>
      <c r="I88" s="470" t="s">
        <v>836</v>
      </c>
      <c r="J88" s="469">
        <v>11</v>
      </c>
      <c r="K88" s="470" t="s">
        <v>6271</v>
      </c>
      <c r="L88" s="470" t="s">
        <v>6282</v>
      </c>
      <c r="M88" s="470" t="s">
        <v>9</v>
      </c>
      <c r="N88" s="473">
        <v>0</v>
      </c>
      <c r="O88" s="471"/>
      <c r="P88" s="471"/>
      <c r="Q88" s="471"/>
      <c r="R88" s="470"/>
      <c r="S88" s="471">
        <v>0.21565972222222221</v>
      </c>
      <c r="T88" s="471">
        <v>0.28232638888888889</v>
      </c>
      <c r="U88" s="471"/>
      <c r="V88" s="471"/>
      <c r="W88" s="471">
        <v>0.50710648148148152</v>
      </c>
      <c r="X88" s="471">
        <v>0.73187500000000005</v>
      </c>
      <c r="Y88" s="471">
        <v>0.14166666666666666</v>
      </c>
      <c r="Z88" s="471">
        <v>0.33958333333333335</v>
      </c>
      <c r="AA88" s="471">
        <v>0.53680555555555554</v>
      </c>
      <c r="AB88" s="470" t="s">
        <v>6289</v>
      </c>
      <c r="AC88" s="473">
        <v>131</v>
      </c>
      <c r="AD88" s="470" t="s">
        <v>119</v>
      </c>
      <c r="AE88" s="470"/>
      <c r="AF88" s="473">
        <v>11.1</v>
      </c>
      <c r="AG88" s="469">
        <v>48.6</v>
      </c>
      <c r="AH88" s="470" t="s">
        <v>6303</v>
      </c>
      <c r="AI88" s="470" t="s">
        <v>6335</v>
      </c>
      <c r="AJ88" s="470" t="s">
        <v>838</v>
      </c>
      <c r="AK88" s="470" t="s">
        <v>13</v>
      </c>
      <c r="AL88" s="470" t="s">
        <v>6745</v>
      </c>
      <c r="AM88" s="470" t="s">
        <v>6342</v>
      </c>
      <c r="AN88" s="470" t="s">
        <v>6916</v>
      </c>
      <c r="AO88" s="470" t="s">
        <v>6351</v>
      </c>
      <c r="AP88" s="470"/>
      <c r="AQ88" s="470"/>
      <c r="AR88" s="470"/>
      <c r="AS88" s="470"/>
      <c r="AT88" s="470"/>
      <c r="AU88" s="470"/>
      <c r="AV88" s="470"/>
      <c r="AW88" s="470"/>
      <c r="AX88" s="470"/>
      <c r="AY88" s="470"/>
      <c r="AZ88" s="470"/>
      <c r="BA88" s="470"/>
      <c r="BB88" s="470"/>
      <c r="BC88" s="470"/>
      <c r="BD88" s="470"/>
      <c r="BE88" s="470"/>
      <c r="BF88" s="470"/>
      <c r="BG88" s="470"/>
      <c r="BH88" s="470"/>
      <c r="BI88" s="470"/>
      <c r="BJ88" s="470"/>
      <c r="BK88" s="470"/>
      <c r="BL88" s="474"/>
    </row>
    <row r="89" spans="1:64">
      <c r="A89" s="475">
        <v>43880</v>
      </c>
      <c r="B89" s="478">
        <v>50</v>
      </c>
      <c r="C89" s="478">
        <v>316</v>
      </c>
      <c r="D89" s="476" t="s">
        <v>612</v>
      </c>
      <c r="E89" s="477">
        <v>8</v>
      </c>
      <c r="F89" s="476" t="s">
        <v>94</v>
      </c>
      <c r="G89" s="477">
        <v>533</v>
      </c>
      <c r="H89" s="476" t="s">
        <v>6247</v>
      </c>
      <c r="I89" s="476" t="s">
        <v>836</v>
      </c>
      <c r="J89" s="477">
        <v>12</v>
      </c>
      <c r="K89" s="476" t="s">
        <v>6266</v>
      </c>
      <c r="L89" s="476" t="s">
        <v>6283</v>
      </c>
      <c r="M89" s="476" t="s">
        <v>9</v>
      </c>
      <c r="N89" s="478">
        <v>0</v>
      </c>
      <c r="O89" s="479"/>
      <c r="P89" s="479"/>
      <c r="Q89" s="479"/>
      <c r="R89" s="476"/>
      <c r="S89" s="479">
        <v>0.21471064814814814</v>
      </c>
      <c r="T89" s="479">
        <v>0.28137731481481482</v>
      </c>
      <c r="U89" s="479"/>
      <c r="V89" s="479"/>
      <c r="W89" s="479">
        <v>0.5070486111111111</v>
      </c>
      <c r="X89" s="479">
        <v>0.73270833333333341</v>
      </c>
      <c r="Y89" s="479">
        <v>0.18055555555555555</v>
      </c>
      <c r="Z89" s="479">
        <v>0.37708333333333338</v>
      </c>
      <c r="AA89" s="479">
        <v>0.57361111111111118</v>
      </c>
      <c r="AB89" s="476" t="s">
        <v>6289</v>
      </c>
      <c r="AC89" s="478">
        <v>131</v>
      </c>
      <c r="AD89" s="476" t="s">
        <v>119</v>
      </c>
      <c r="AE89" s="476"/>
      <c r="AF89" s="478">
        <v>8.8000000000000007</v>
      </c>
      <c r="AG89" s="477">
        <v>44.1</v>
      </c>
      <c r="AH89" s="476" t="s">
        <v>6304</v>
      </c>
      <c r="AI89" s="476" t="s">
        <v>6336</v>
      </c>
      <c r="AJ89" s="476" t="s">
        <v>839</v>
      </c>
      <c r="AK89" s="476" t="s">
        <v>6493</v>
      </c>
      <c r="AL89" s="476" t="s">
        <v>6746</v>
      </c>
      <c r="AM89" s="476" t="s">
        <v>6346</v>
      </c>
      <c r="AN89" s="476"/>
      <c r="AO89" s="476"/>
      <c r="AP89" s="476"/>
      <c r="AQ89" s="476"/>
      <c r="AR89" s="476"/>
      <c r="AS89" s="476"/>
      <c r="AT89" s="476"/>
      <c r="AU89" s="476"/>
      <c r="AV89" s="476"/>
      <c r="AW89" s="476"/>
      <c r="AX89" s="476"/>
      <c r="AY89" s="476"/>
      <c r="AZ89" s="476"/>
      <c r="BA89" s="476"/>
      <c r="BB89" s="476"/>
      <c r="BC89" s="476"/>
      <c r="BD89" s="476"/>
      <c r="BE89" s="476"/>
      <c r="BF89" s="476"/>
      <c r="BG89" s="476"/>
      <c r="BH89" s="476"/>
      <c r="BI89" s="476"/>
      <c r="BJ89" s="476" t="s">
        <v>6370</v>
      </c>
      <c r="BK89" s="476"/>
      <c r="BL89" s="480"/>
    </row>
    <row r="90" spans="1:64">
      <c r="A90" s="468">
        <v>43881</v>
      </c>
      <c r="B90" s="473">
        <v>51</v>
      </c>
      <c r="C90" s="473">
        <v>315</v>
      </c>
      <c r="D90" s="470" t="s">
        <v>612</v>
      </c>
      <c r="E90" s="469">
        <v>8</v>
      </c>
      <c r="F90" s="470" t="s">
        <v>6714</v>
      </c>
      <c r="G90" s="469">
        <v>533</v>
      </c>
      <c r="H90" s="470" t="s">
        <v>6247</v>
      </c>
      <c r="I90" s="470" t="s">
        <v>836</v>
      </c>
      <c r="J90" s="469">
        <v>13</v>
      </c>
      <c r="K90" s="470" t="s">
        <v>6267</v>
      </c>
      <c r="L90" s="470" t="s">
        <v>6283</v>
      </c>
      <c r="M90" s="470" t="s">
        <v>9</v>
      </c>
      <c r="N90" s="473">
        <v>0</v>
      </c>
      <c r="O90" s="471"/>
      <c r="P90" s="471"/>
      <c r="Q90" s="471"/>
      <c r="R90" s="470"/>
      <c r="S90" s="471">
        <v>0.21376157407407406</v>
      </c>
      <c r="T90" s="471">
        <v>0.28042824074074074</v>
      </c>
      <c r="U90" s="471"/>
      <c r="V90" s="471"/>
      <c r="W90" s="471">
        <v>0.50697916666666665</v>
      </c>
      <c r="X90" s="471">
        <v>0.73353009259259261</v>
      </c>
      <c r="Y90" s="471">
        <v>0.21527777777777779</v>
      </c>
      <c r="Z90" s="471">
        <v>0.41388888888888892</v>
      </c>
      <c r="AA90" s="471">
        <v>0.61319444444444449</v>
      </c>
      <c r="AB90" s="470" t="s">
        <v>6289</v>
      </c>
      <c r="AC90" s="473">
        <v>131</v>
      </c>
      <c r="AD90" s="470" t="s">
        <v>119</v>
      </c>
      <c r="AE90" s="470"/>
      <c r="AF90" s="473">
        <v>4.8</v>
      </c>
      <c r="AG90" s="469">
        <v>38</v>
      </c>
      <c r="AH90" s="470" t="s">
        <v>6305</v>
      </c>
      <c r="AI90" s="470" t="s">
        <v>6337</v>
      </c>
      <c r="AJ90" s="470" t="s">
        <v>6493</v>
      </c>
      <c r="AK90" s="470" t="s">
        <v>6493</v>
      </c>
      <c r="AL90" s="470"/>
      <c r="AM90" s="470"/>
      <c r="AN90" s="470"/>
      <c r="AO90" s="470"/>
      <c r="AP90" s="470"/>
      <c r="AQ90" s="470"/>
      <c r="AR90" s="470"/>
      <c r="AS90" s="470"/>
      <c r="AT90" s="470"/>
      <c r="AU90" s="470"/>
      <c r="AV90" s="470"/>
      <c r="AW90" s="470"/>
      <c r="AX90" s="470"/>
      <c r="AY90" s="470"/>
      <c r="AZ90" s="470"/>
      <c r="BA90" s="470"/>
      <c r="BB90" s="470"/>
      <c r="BC90" s="470"/>
      <c r="BD90" s="470"/>
      <c r="BE90" s="470"/>
      <c r="BF90" s="470"/>
      <c r="BG90" s="470"/>
      <c r="BH90" s="470"/>
      <c r="BI90" s="470"/>
      <c r="BJ90" s="470"/>
      <c r="BK90" s="470"/>
      <c r="BL90" s="474"/>
    </row>
    <row r="91" spans="1:64">
      <c r="A91" s="475">
        <v>43882</v>
      </c>
      <c r="B91" s="478">
        <v>52</v>
      </c>
      <c r="C91" s="478">
        <v>314</v>
      </c>
      <c r="D91" s="476" t="s">
        <v>612</v>
      </c>
      <c r="E91" s="477">
        <v>8</v>
      </c>
      <c r="F91" s="476" t="s">
        <v>100</v>
      </c>
      <c r="G91" s="477">
        <v>533</v>
      </c>
      <c r="H91" s="476" t="s">
        <v>6247</v>
      </c>
      <c r="I91" s="476" t="s">
        <v>836</v>
      </c>
      <c r="J91" s="477">
        <v>13</v>
      </c>
      <c r="K91" s="476" t="s">
        <v>6267</v>
      </c>
      <c r="L91" s="476" t="s">
        <v>6284</v>
      </c>
      <c r="M91" s="476" t="s">
        <v>10</v>
      </c>
      <c r="N91" s="478">
        <v>0</v>
      </c>
      <c r="O91" s="479"/>
      <c r="P91" s="479"/>
      <c r="Q91" s="479"/>
      <c r="R91" s="476"/>
      <c r="S91" s="479">
        <v>0.21278935185185185</v>
      </c>
      <c r="T91" s="479">
        <v>0.27945601851851848</v>
      </c>
      <c r="U91" s="479"/>
      <c r="V91" s="479"/>
      <c r="W91" s="479">
        <v>0.50689814814814815</v>
      </c>
      <c r="X91" s="479">
        <v>0.73435185185185192</v>
      </c>
      <c r="Y91" s="479">
        <v>0.24444444444444446</v>
      </c>
      <c r="Z91" s="479">
        <v>0.44930555555555557</v>
      </c>
      <c r="AA91" s="479">
        <v>0.65416666666666667</v>
      </c>
      <c r="AB91" s="476" t="s">
        <v>6289</v>
      </c>
      <c r="AC91" s="478">
        <v>131</v>
      </c>
      <c r="AD91" s="476" t="s">
        <v>119</v>
      </c>
      <c r="AE91" s="476"/>
      <c r="AF91" s="478">
        <v>99.3</v>
      </c>
      <c r="AG91" s="477">
        <v>30.6</v>
      </c>
      <c r="AH91" s="476" t="s">
        <v>6306</v>
      </c>
      <c r="AI91" s="476" t="s">
        <v>6338</v>
      </c>
      <c r="AJ91" s="476" t="s">
        <v>6493</v>
      </c>
      <c r="AK91" s="476" t="s">
        <v>6493</v>
      </c>
      <c r="AL91" s="476" t="s">
        <v>6727</v>
      </c>
      <c r="AM91" s="476"/>
      <c r="AN91" s="476"/>
      <c r="AO91" s="476"/>
      <c r="AP91" s="476"/>
      <c r="AQ91" s="476"/>
      <c r="AR91" s="476"/>
      <c r="AS91" s="476"/>
      <c r="AT91" s="476"/>
      <c r="AU91" s="476"/>
      <c r="AV91" s="476"/>
      <c r="AW91" s="476"/>
      <c r="AX91" s="476"/>
      <c r="AY91" s="476"/>
      <c r="AZ91" s="476"/>
      <c r="BA91" s="476"/>
      <c r="BB91" s="476"/>
      <c r="BC91" s="476"/>
      <c r="BD91" s="476"/>
      <c r="BE91" s="476"/>
      <c r="BF91" s="476"/>
      <c r="BG91" s="476"/>
      <c r="BH91" s="476"/>
      <c r="BI91" s="476"/>
      <c r="BJ91" s="476"/>
      <c r="BK91" s="476"/>
      <c r="BL91" s="480"/>
    </row>
    <row r="92" spans="1:64">
      <c r="A92" s="468">
        <v>43883</v>
      </c>
      <c r="B92" s="473">
        <v>53</v>
      </c>
      <c r="C92" s="473">
        <v>313</v>
      </c>
      <c r="D92" s="470" t="s">
        <v>612</v>
      </c>
      <c r="E92" s="469">
        <v>8</v>
      </c>
      <c r="F92" s="470" t="s">
        <v>103</v>
      </c>
      <c r="G92" s="469">
        <v>533</v>
      </c>
      <c r="H92" s="470" t="s">
        <v>6247</v>
      </c>
      <c r="I92" s="470" t="s">
        <v>836</v>
      </c>
      <c r="J92" s="469">
        <v>14</v>
      </c>
      <c r="K92" s="470" t="s">
        <v>6268</v>
      </c>
      <c r="L92" s="470" t="s">
        <v>6285</v>
      </c>
      <c r="M92" s="470" t="s">
        <v>9</v>
      </c>
      <c r="N92" s="473">
        <v>0</v>
      </c>
      <c r="O92" s="471"/>
      <c r="P92" s="471"/>
      <c r="Q92" s="471"/>
      <c r="R92" s="470"/>
      <c r="S92" s="471">
        <v>0.21180555555555555</v>
      </c>
      <c r="T92" s="471">
        <v>0.27847222222222223</v>
      </c>
      <c r="U92" s="471"/>
      <c r="V92" s="471"/>
      <c r="W92" s="471">
        <v>0.50681712962962966</v>
      </c>
      <c r="X92" s="471">
        <v>0.73517361111111112</v>
      </c>
      <c r="Y92" s="471">
        <v>0.27013888888888887</v>
      </c>
      <c r="Z92" s="471">
        <v>0.4826388888888889</v>
      </c>
      <c r="AA92" s="471">
        <v>0.6958333333333333</v>
      </c>
      <c r="AB92" s="470" t="s">
        <v>6289</v>
      </c>
      <c r="AC92" s="473">
        <v>131</v>
      </c>
      <c r="AD92" s="470" t="s">
        <v>119</v>
      </c>
      <c r="AE92" s="470"/>
      <c r="AF92" s="473">
        <v>92.7</v>
      </c>
      <c r="AG92" s="469">
        <v>22.2</v>
      </c>
      <c r="AH92" s="470" t="s">
        <v>6307</v>
      </c>
      <c r="AI92" s="470" t="s">
        <v>6339</v>
      </c>
      <c r="AJ92" s="470" t="s">
        <v>839</v>
      </c>
      <c r="AK92" s="470" t="s">
        <v>6493</v>
      </c>
      <c r="AL92" s="470" t="s">
        <v>1232</v>
      </c>
      <c r="AM92" s="470" t="s">
        <v>6344</v>
      </c>
      <c r="AN92" s="470"/>
      <c r="AO92" s="470"/>
      <c r="AP92" s="470"/>
      <c r="AQ92" s="470"/>
      <c r="AR92" s="470"/>
      <c r="AS92" s="470"/>
      <c r="AT92" s="470"/>
      <c r="AU92" s="470"/>
      <c r="AV92" s="470"/>
      <c r="AW92" s="470"/>
      <c r="AX92" s="470"/>
      <c r="AY92" s="470"/>
      <c r="AZ92" s="470"/>
      <c r="BA92" s="470"/>
      <c r="BB92" s="470"/>
      <c r="BC92" s="470"/>
      <c r="BD92" s="470"/>
      <c r="BE92" s="470"/>
      <c r="BF92" s="470"/>
      <c r="BG92" s="470"/>
      <c r="BH92" s="470"/>
      <c r="BI92" s="470"/>
      <c r="BJ92" s="470" t="s">
        <v>6371</v>
      </c>
      <c r="BK92" s="470"/>
      <c r="BL92" s="474"/>
    </row>
    <row r="93" spans="1:64">
      <c r="A93" s="475">
        <v>43884</v>
      </c>
      <c r="B93" s="478">
        <v>54</v>
      </c>
      <c r="C93" s="478">
        <v>312</v>
      </c>
      <c r="D93" s="476" t="s">
        <v>612</v>
      </c>
      <c r="E93" s="477">
        <v>8</v>
      </c>
      <c r="F93" s="476" t="s">
        <v>106</v>
      </c>
      <c r="G93" s="477">
        <v>533</v>
      </c>
      <c r="H93" s="476" t="s">
        <v>6247</v>
      </c>
      <c r="I93" s="476" t="s">
        <v>836</v>
      </c>
      <c r="J93" s="477">
        <v>15</v>
      </c>
      <c r="K93" s="476" t="s">
        <v>6269</v>
      </c>
      <c r="L93" s="476" t="s">
        <v>6286</v>
      </c>
      <c r="M93" s="476" t="s">
        <v>9</v>
      </c>
      <c r="N93" s="478">
        <v>0</v>
      </c>
      <c r="O93" s="479"/>
      <c r="P93" s="479"/>
      <c r="Q93" s="479"/>
      <c r="R93" s="476"/>
      <c r="S93" s="479">
        <v>0.21081018518518521</v>
      </c>
      <c r="T93" s="479">
        <v>0.27747685185185184</v>
      </c>
      <c r="U93" s="479"/>
      <c r="V93" s="479"/>
      <c r="W93" s="479">
        <v>0.50673611111111116</v>
      </c>
      <c r="X93" s="479">
        <v>0.7359837962962964</v>
      </c>
      <c r="Y93" s="479">
        <v>0.29236111111111113</v>
      </c>
      <c r="Z93" s="479">
        <v>0.51458333333333328</v>
      </c>
      <c r="AA93" s="479">
        <v>0.73819444444444438</v>
      </c>
      <c r="AB93" s="476" t="s">
        <v>6463</v>
      </c>
      <c r="AC93" s="478">
        <v>152</v>
      </c>
      <c r="AD93" s="476" t="s">
        <v>110</v>
      </c>
      <c r="AE93" s="476" t="s">
        <v>6512</v>
      </c>
      <c r="AF93" s="478">
        <v>85</v>
      </c>
      <c r="AG93" s="477">
        <v>12.9</v>
      </c>
      <c r="AH93" s="476" t="s">
        <v>6308</v>
      </c>
      <c r="AI93" s="476" t="s">
        <v>6340</v>
      </c>
      <c r="AJ93" s="476" t="s">
        <v>6493</v>
      </c>
      <c r="AK93" s="476" t="s">
        <v>6493</v>
      </c>
      <c r="AL93" s="476"/>
      <c r="AM93" s="476"/>
      <c r="AN93" s="476"/>
      <c r="AO93" s="476"/>
      <c r="AP93" s="476"/>
      <c r="AQ93" s="476"/>
      <c r="AR93" s="476"/>
      <c r="AS93" s="476"/>
      <c r="AT93" s="476"/>
      <c r="AU93" s="476"/>
      <c r="AV93" s="476"/>
      <c r="AW93" s="476"/>
      <c r="AX93" s="476"/>
      <c r="AY93" s="476"/>
      <c r="AZ93" s="476"/>
      <c r="BA93" s="476"/>
      <c r="BB93" s="476"/>
      <c r="BC93" s="476"/>
      <c r="BD93" s="476"/>
      <c r="BE93" s="476"/>
      <c r="BF93" s="476"/>
      <c r="BG93" s="476"/>
      <c r="BH93" s="476"/>
      <c r="BI93" s="476"/>
      <c r="BJ93" s="476"/>
      <c r="BK93" s="476"/>
      <c r="BL93" s="480"/>
    </row>
    <row r="94" spans="1:64">
      <c r="A94" s="468">
        <v>43885</v>
      </c>
      <c r="B94" s="473">
        <v>55</v>
      </c>
      <c r="C94" s="473">
        <v>311</v>
      </c>
      <c r="D94" s="470" t="s">
        <v>612</v>
      </c>
      <c r="E94" s="469">
        <v>9</v>
      </c>
      <c r="F94" s="470" t="s">
        <v>88</v>
      </c>
      <c r="G94" s="469">
        <v>533</v>
      </c>
      <c r="H94" s="470" t="s">
        <v>6247</v>
      </c>
      <c r="I94" s="470" t="s">
        <v>6257</v>
      </c>
      <c r="J94" s="469">
        <v>16</v>
      </c>
      <c r="K94" s="470" t="s">
        <v>6270</v>
      </c>
      <c r="L94" s="470" t="s">
        <v>6287</v>
      </c>
      <c r="M94" s="470" t="s">
        <v>9</v>
      </c>
      <c r="N94" s="473">
        <v>0</v>
      </c>
      <c r="O94" s="471"/>
      <c r="P94" s="471"/>
      <c r="Q94" s="471"/>
      <c r="R94" s="470"/>
      <c r="S94" s="471">
        <v>0.20980324074074075</v>
      </c>
      <c r="T94" s="471">
        <v>0.2764699074074074</v>
      </c>
      <c r="U94" s="471"/>
      <c r="V94" s="471"/>
      <c r="W94" s="471">
        <v>0.50663194444444448</v>
      </c>
      <c r="X94" s="471">
        <v>0.73679398148148145</v>
      </c>
      <c r="Y94" s="471">
        <v>0.31111111111111112</v>
      </c>
      <c r="Z94" s="471">
        <v>0.5444444444444444</v>
      </c>
      <c r="AA94" s="471">
        <v>0.77916666666666667</v>
      </c>
      <c r="AB94" s="470" t="s">
        <v>6463</v>
      </c>
      <c r="AC94" s="473">
        <v>152</v>
      </c>
      <c r="AD94" s="470" t="s">
        <v>110</v>
      </c>
      <c r="AE94" s="470"/>
      <c r="AF94" s="473">
        <v>76.599999999999994</v>
      </c>
      <c r="AG94" s="469">
        <v>2.9</v>
      </c>
      <c r="AH94" s="470" t="s">
        <v>6309</v>
      </c>
      <c r="AI94" s="470" t="s">
        <v>974</v>
      </c>
      <c r="AJ94" s="470" t="s">
        <v>839</v>
      </c>
      <c r="AK94" s="470" t="s">
        <v>6493</v>
      </c>
      <c r="AL94" s="470" t="s">
        <v>6747</v>
      </c>
      <c r="AM94" s="470" t="s">
        <v>6345</v>
      </c>
      <c r="AN94" s="470" t="s">
        <v>6917</v>
      </c>
      <c r="AO94" s="470" t="s">
        <v>6346</v>
      </c>
      <c r="AP94" s="470"/>
      <c r="AQ94" s="470"/>
      <c r="AR94" s="470"/>
      <c r="AS94" s="470"/>
      <c r="AT94" s="470"/>
      <c r="AU94" s="470"/>
      <c r="AV94" s="470"/>
      <c r="AW94" s="470"/>
      <c r="AX94" s="470"/>
      <c r="AY94" s="470"/>
      <c r="AZ94" s="470"/>
      <c r="BA94" s="470"/>
      <c r="BB94" s="470"/>
      <c r="BC94" s="470"/>
      <c r="BD94" s="470"/>
      <c r="BE94" s="470"/>
      <c r="BF94" s="470"/>
      <c r="BG94" s="470"/>
      <c r="BH94" s="470"/>
      <c r="BI94" s="470"/>
      <c r="BJ94" s="470" t="s">
        <v>6372</v>
      </c>
      <c r="BK94" s="470"/>
      <c r="BL94" s="474"/>
    </row>
    <row r="95" spans="1:64">
      <c r="A95" s="475">
        <v>43886</v>
      </c>
      <c r="B95" s="478">
        <v>56</v>
      </c>
      <c r="C95" s="478">
        <v>310</v>
      </c>
      <c r="D95" s="476" t="s">
        <v>612</v>
      </c>
      <c r="E95" s="477">
        <v>9</v>
      </c>
      <c r="F95" s="476" t="s">
        <v>91</v>
      </c>
      <c r="G95" s="477">
        <v>533</v>
      </c>
      <c r="H95" s="476" t="s">
        <v>6247</v>
      </c>
      <c r="I95" s="476" t="s">
        <v>6257</v>
      </c>
      <c r="J95" s="477">
        <v>17</v>
      </c>
      <c r="K95" s="476" t="s">
        <v>1034</v>
      </c>
      <c r="L95" s="476" t="s">
        <v>6273</v>
      </c>
      <c r="M95" s="476" t="s">
        <v>9</v>
      </c>
      <c r="N95" s="478">
        <v>0</v>
      </c>
      <c r="O95" s="479"/>
      <c r="P95" s="479"/>
      <c r="Q95" s="479"/>
      <c r="R95" s="476"/>
      <c r="S95" s="479">
        <v>0.20878472222222222</v>
      </c>
      <c r="T95" s="479">
        <v>0.27545138888888893</v>
      </c>
      <c r="U95" s="479"/>
      <c r="V95" s="479"/>
      <c r="W95" s="479">
        <v>0.5065277777777778</v>
      </c>
      <c r="X95" s="479">
        <v>0.73760416666666673</v>
      </c>
      <c r="Y95" s="479">
        <v>0.32916666666666666</v>
      </c>
      <c r="Z95" s="479">
        <v>0.57361111111111118</v>
      </c>
      <c r="AA95" s="479">
        <v>0.82013888888888886</v>
      </c>
      <c r="AB95" s="476" t="s">
        <v>6463</v>
      </c>
      <c r="AC95" s="478">
        <v>152</v>
      </c>
      <c r="AD95" s="476" t="s">
        <v>110</v>
      </c>
      <c r="AE95" s="476"/>
      <c r="AF95" s="478">
        <v>67.599999999999994</v>
      </c>
      <c r="AG95" s="477">
        <v>92.3</v>
      </c>
      <c r="AH95" s="476" t="s">
        <v>6309</v>
      </c>
      <c r="AI95" s="476" t="s">
        <v>6316</v>
      </c>
      <c r="AJ95" s="476" t="s">
        <v>6493</v>
      </c>
      <c r="AK95" s="476" t="s">
        <v>6493</v>
      </c>
      <c r="AL95" s="476"/>
      <c r="AM95" s="476"/>
      <c r="AN95" s="476"/>
      <c r="AO95" s="476"/>
      <c r="AP95" s="476"/>
      <c r="AQ95" s="476"/>
      <c r="AR95" s="476"/>
      <c r="AS95" s="476"/>
      <c r="AT95" s="476"/>
      <c r="AU95" s="476"/>
      <c r="AV95" s="476"/>
      <c r="AW95" s="476"/>
      <c r="AX95" s="476"/>
      <c r="AY95" s="476"/>
      <c r="AZ95" s="476"/>
      <c r="BA95" s="476"/>
      <c r="BB95" s="476"/>
      <c r="BC95" s="476"/>
      <c r="BD95" s="476"/>
      <c r="BE95" s="476"/>
      <c r="BF95" s="476"/>
      <c r="BG95" s="476"/>
      <c r="BH95" s="476"/>
      <c r="BI95" s="476"/>
      <c r="BJ95" s="476"/>
      <c r="BK95" s="476"/>
      <c r="BL95" s="480"/>
    </row>
    <row r="96" spans="1:64">
      <c r="A96" s="468">
        <v>43887</v>
      </c>
      <c r="B96" s="473">
        <v>57</v>
      </c>
      <c r="C96" s="473">
        <v>309</v>
      </c>
      <c r="D96" s="470" t="s">
        <v>612</v>
      </c>
      <c r="E96" s="469">
        <v>9</v>
      </c>
      <c r="F96" s="470" t="s">
        <v>94</v>
      </c>
      <c r="G96" s="469">
        <v>533</v>
      </c>
      <c r="H96" s="470" t="s">
        <v>6247</v>
      </c>
      <c r="I96" s="470" t="s">
        <v>6257</v>
      </c>
      <c r="J96" s="469">
        <v>18</v>
      </c>
      <c r="K96" s="470" t="s">
        <v>6258</v>
      </c>
      <c r="L96" s="470" t="s">
        <v>6274</v>
      </c>
      <c r="M96" s="470" t="s">
        <v>9</v>
      </c>
      <c r="N96" s="473">
        <v>0</v>
      </c>
      <c r="O96" s="471"/>
      <c r="P96" s="471"/>
      <c r="Q96" s="471"/>
      <c r="R96" s="470"/>
      <c r="S96" s="471">
        <v>0.20776620370370369</v>
      </c>
      <c r="T96" s="471">
        <v>0.2744328703703704</v>
      </c>
      <c r="U96" s="471"/>
      <c r="V96" s="471"/>
      <c r="W96" s="471">
        <v>0.50642361111111112</v>
      </c>
      <c r="X96" s="471">
        <v>0.73841435185185189</v>
      </c>
      <c r="Y96" s="471">
        <v>0.34583333333333338</v>
      </c>
      <c r="Z96" s="471">
        <v>0.6020833333333333</v>
      </c>
      <c r="AA96" s="471">
        <v>0.85972222222222217</v>
      </c>
      <c r="AB96" s="470" t="s">
        <v>6463</v>
      </c>
      <c r="AC96" s="473">
        <v>152</v>
      </c>
      <c r="AD96" s="470" t="s">
        <v>110</v>
      </c>
      <c r="AE96" s="470"/>
      <c r="AF96" s="473">
        <v>58</v>
      </c>
      <c r="AG96" s="469">
        <v>81.2</v>
      </c>
      <c r="AH96" s="470" t="s">
        <v>6310</v>
      </c>
      <c r="AI96" s="470" t="s">
        <v>6317</v>
      </c>
      <c r="AJ96" s="470" t="s">
        <v>6493</v>
      </c>
      <c r="AK96" s="470" t="s">
        <v>6493</v>
      </c>
      <c r="AL96" s="470"/>
      <c r="AM96" s="470"/>
      <c r="AN96" s="470"/>
      <c r="AO96" s="470"/>
      <c r="AP96" s="470"/>
      <c r="AQ96" s="470"/>
      <c r="AR96" s="470"/>
      <c r="AS96" s="470"/>
      <c r="AT96" s="470"/>
      <c r="AU96" s="470"/>
      <c r="AV96" s="470"/>
      <c r="AW96" s="470"/>
      <c r="AX96" s="470"/>
      <c r="AY96" s="470"/>
      <c r="AZ96" s="470"/>
      <c r="BA96" s="470"/>
      <c r="BB96" s="470"/>
      <c r="BC96" s="470"/>
      <c r="BD96" s="470"/>
      <c r="BE96" s="470"/>
      <c r="BF96" s="470"/>
      <c r="BG96" s="470"/>
      <c r="BH96" s="470"/>
      <c r="BI96" s="470"/>
      <c r="BJ96" s="470"/>
      <c r="BK96" s="470"/>
      <c r="BL96" s="474"/>
    </row>
    <row r="97" spans="1:64">
      <c r="A97" s="475">
        <v>43888</v>
      </c>
      <c r="B97" s="478">
        <v>58</v>
      </c>
      <c r="C97" s="478">
        <v>308</v>
      </c>
      <c r="D97" s="476" t="s">
        <v>612</v>
      </c>
      <c r="E97" s="477">
        <v>9</v>
      </c>
      <c r="F97" s="476" t="s">
        <v>6714</v>
      </c>
      <c r="G97" s="477">
        <v>533</v>
      </c>
      <c r="H97" s="476" t="s">
        <v>6247</v>
      </c>
      <c r="I97" s="476" t="s">
        <v>6257</v>
      </c>
      <c r="J97" s="477">
        <v>19</v>
      </c>
      <c r="K97" s="476" t="s">
        <v>6259</v>
      </c>
      <c r="L97" s="476" t="s">
        <v>6275</v>
      </c>
      <c r="M97" s="476" t="s">
        <v>9</v>
      </c>
      <c r="N97" s="478">
        <v>0</v>
      </c>
      <c r="O97" s="479"/>
      <c r="P97" s="479"/>
      <c r="Q97" s="479"/>
      <c r="R97" s="476"/>
      <c r="S97" s="479">
        <v>0.20672453703703705</v>
      </c>
      <c r="T97" s="479">
        <v>0.27339120370370368</v>
      </c>
      <c r="U97" s="479"/>
      <c r="V97" s="479"/>
      <c r="W97" s="479">
        <v>0.50630787037037039</v>
      </c>
      <c r="X97" s="479">
        <v>0.73921296296296291</v>
      </c>
      <c r="Y97" s="479">
        <v>0.36180555555555555</v>
      </c>
      <c r="Z97" s="479">
        <v>0.62986111111111109</v>
      </c>
      <c r="AA97" s="479">
        <v>0.9</v>
      </c>
      <c r="AB97" s="476" t="s">
        <v>6463</v>
      </c>
      <c r="AC97" s="478">
        <v>152</v>
      </c>
      <c r="AD97" s="476" t="s">
        <v>110</v>
      </c>
      <c r="AE97" s="476"/>
      <c r="AF97" s="478">
        <v>48.3</v>
      </c>
      <c r="AG97" s="477">
        <v>70</v>
      </c>
      <c r="AH97" s="476" t="s">
        <v>6311</v>
      </c>
      <c r="AI97" s="476" t="s">
        <v>6318</v>
      </c>
      <c r="AJ97" s="476" t="s">
        <v>839</v>
      </c>
      <c r="AK97" s="476" t="s">
        <v>6493</v>
      </c>
      <c r="AL97" s="476" t="s">
        <v>6748</v>
      </c>
      <c r="AM97" s="476" t="s">
        <v>6346</v>
      </c>
      <c r="AN97" s="476"/>
      <c r="AO97" s="476"/>
      <c r="AP97" s="476"/>
      <c r="AQ97" s="476"/>
      <c r="AR97" s="476"/>
      <c r="AS97" s="476"/>
      <c r="AT97" s="476"/>
      <c r="AU97" s="476"/>
      <c r="AV97" s="476"/>
      <c r="AW97" s="476"/>
      <c r="AX97" s="476"/>
      <c r="AY97" s="476"/>
      <c r="AZ97" s="476"/>
      <c r="BA97" s="476"/>
      <c r="BB97" s="476"/>
      <c r="BC97" s="476"/>
      <c r="BD97" s="476"/>
      <c r="BE97" s="476"/>
      <c r="BF97" s="476"/>
      <c r="BG97" s="476"/>
      <c r="BH97" s="476"/>
      <c r="BI97" s="476"/>
      <c r="BJ97" s="476" t="s">
        <v>6373</v>
      </c>
      <c r="BK97" s="476"/>
      <c r="BL97" s="480"/>
    </row>
    <row r="98" spans="1:64">
      <c r="A98" s="468">
        <v>43889</v>
      </c>
      <c r="B98" s="473">
        <v>59</v>
      </c>
      <c r="C98" s="473">
        <v>307</v>
      </c>
      <c r="D98" s="470" t="s">
        <v>612</v>
      </c>
      <c r="E98" s="469">
        <v>9</v>
      </c>
      <c r="F98" s="470" t="s">
        <v>100</v>
      </c>
      <c r="G98" s="469">
        <v>533</v>
      </c>
      <c r="H98" s="470" t="s">
        <v>6247</v>
      </c>
      <c r="I98" s="470" t="s">
        <v>6257</v>
      </c>
      <c r="J98" s="469">
        <v>20</v>
      </c>
      <c r="K98" s="470" t="s">
        <v>6260</v>
      </c>
      <c r="L98" s="470" t="s">
        <v>6276</v>
      </c>
      <c r="M98" s="470" t="s">
        <v>9</v>
      </c>
      <c r="N98" s="473">
        <v>0</v>
      </c>
      <c r="O98" s="471"/>
      <c r="P98" s="471"/>
      <c r="Q98" s="471"/>
      <c r="R98" s="470"/>
      <c r="S98" s="471">
        <v>0.20568287037037036</v>
      </c>
      <c r="T98" s="471">
        <v>0.27234953703703701</v>
      </c>
      <c r="U98" s="471"/>
      <c r="V98" s="471"/>
      <c r="W98" s="471">
        <v>0.50618055555555552</v>
      </c>
      <c r="X98" s="471">
        <v>0.74001157407407403</v>
      </c>
      <c r="Y98" s="471">
        <v>0.37916666666666665</v>
      </c>
      <c r="Z98" s="471">
        <v>0.65833333333333333</v>
      </c>
      <c r="AA98" s="471">
        <v>0.94097222222222221</v>
      </c>
      <c r="AB98" s="470" t="s">
        <v>6463</v>
      </c>
      <c r="AC98" s="473">
        <v>152</v>
      </c>
      <c r="AD98" s="470" t="s">
        <v>110</v>
      </c>
      <c r="AE98" s="470"/>
      <c r="AF98" s="473">
        <v>38.799999999999997</v>
      </c>
      <c r="AG98" s="469">
        <v>58.9</v>
      </c>
      <c r="AH98" s="470" t="s">
        <v>6312</v>
      </c>
      <c r="AI98" s="470" t="s">
        <v>6319</v>
      </c>
      <c r="AJ98" s="470" t="s">
        <v>6493</v>
      </c>
      <c r="AK98" s="470" t="s">
        <v>6493</v>
      </c>
      <c r="AL98" s="470"/>
      <c r="AM98" s="470"/>
      <c r="AN98" s="470"/>
      <c r="AO98" s="470"/>
      <c r="AP98" s="470"/>
      <c r="AQ98" s="470"/>
      <c r="AR98" s="470"/>
      <c r="AS98" s="470"/>
      <c r="AT98" s="470"/>
      <c r="AU98" s="470"/>
      <c r="AV98" s="470"/>
      <c r="AW98" s="470"/>
      <c r="AX98" s="470"/>
      <c r="AY98" s="470"/>
      <c r="AZ98" s="470"/>
      <c r="BA98" s="470"/>
      <c r="BB98" s="470"/>
      <c r="BC98" s="470"/>
      <c r="BD98" s="470"/>
      <c r="BE98" s="470"/>
      <c r="BF98" s="470"/>
      <c r="BG98" s="470"/>
      <c r="BH98" s="470"/>
      <c r="BI98" s="470"/>
      <c r="BJ98" s="470"/>
      <c r="BK98" s="470"/>
      <c r="BL98" s="474"/>
    </row>
    <row r="99" spans="1:64">
      <c r="A99" s="475">
        <v>43890</v>
      </c>
      <c r="B99" s="478">
        <v>60</v>
      </c>
      <c r="C99" s="478">
        <v>306</v>
      </c>
      <c r="D99" s="476" t="s">
        <v>612</v>
      </c>
      <c r="E99" s="477">
        <v>9</v>
      </c>
      <c r="F99" s="476" t="s">
        <v>103</v>
      </c>
      <c r="G99" s="477">
        <v>533</v>
      </c>
      <c r="H99" s="476" t="s">
        <v>6247</v>
      </c>
      <c r="I99" s="476" t="s">
        <v>6257</v>
      </c>
      <c r="J99" s="477">
        <v>21</v>
      </c>
      <c r="K99" s="476" t="s">
        <v>6261</v>
      </c>
      <c r="L99" s="476" t="s">
        <v>6277</v>
      </c>
      <c r="M99" s="476" t="s">
        <v>9</v>
      </c>
      <c r="N99" s="478">
        <v>0</v>
      </c>
      <c r="O99" s="479"/>
      <c r="P99" s="479"/>
      <c r="Q99" s="479"/>
      <c r="R99" s="476"/>
      <c r="S99" s="479">
        <v>0.20462962962962963</v>
      </c>
      <c r="T99" s="479">
        <v>0.27129629629629631</v>
      </c>
      <c r="U99" s="479"/>
      <c r="V99" s="479"/>
      <c r="W99" s="479">
        <v>0.50605324074074076</v>
      </c>
      <c r="X99" s="479">
        <v>0.74079861111111101</v>
      </c>
      <c r="Y99" s="479">
        <v>0.3972222222222222</v>
      </c>
      <c r="Z99" s="479">
        <v>0.68819444444444444</v>
      </c>
      <c r="AA99" s="479">
        <v>0.98263888888888884</v>
      </c>
      <c r="AB99" s="476" t="s">
        <v>6463</v>
      </c>
      <c r="AC99" s="478">
        <v>152</v>
      </c>
      <c r="AD99" s="476" t="s">
        <v>110</v>
      </c>
      <c r="AE99" s="476"/>
      <c r="AF99" s="478">
        <v>29.8</v>
      </c>
      <c r="AG99" s="477">
        <v>48.4</v>
      </c>
      <c r="AH99" s="476" t="s">
        <v>6313</v>
      </c>
      <c r="AI99" s="476" t="s">
        <v>6341</v>
      </c>
      <c r="AJ99" s="476" t="s">
        <v>6493</v>
      </c>
      <c r="AK99" s="476" t="s">
        <v>6493</v>
      </c>
      <c r="AL99" s="476"/>
      <c r="AM99" s="476"/>
      <c r="AN99" s="476"/>
      <c r="AO99" s="476"/>
      <c r="AP99" s="476"/>
      <c r="AQ99" s="476"/>
      <c r="AR99" s="476"/>
      <c r="AS99" s="476"/>
      <c r="AT99" s="476"/>
      <c r="AU99" s="476"/>
      <c r="AV99" s="476"/>
      <c r="AW99" s="476"/>
      <c r="AX99" s="476"/>
      <c r="AY99" s="476"/>
      <c r="AZ99" s="476"/>
      <c r="BA99" s="476"/>
      <c r="BB99" s="476"/>
      <c r="BC99" s="476"/>
      <c r="BD99" s="476"/>
      <c r="BE99" s="476"/>
      <c r="BF99" s="476"/>
      <c r="BG99" s="476"/>
      <c r="BH99" s="476"/>
      <c r="BI99" s="476"/>
      <c r="BJ99" s="476"/>
      <c r="BK99" s="476"/>
      <c r="BL99" s="480"/>
    </row>
    <row r="100" spans="1:64">
      <c r="A100" s="468">
        <v>43891</v>
      </c>
      <c r="B100" s="473">
        <v>61</v>
      </c>
      <c r="C100" s="473">
        <v>305</v>
      </c>
      <c r="D100" s="470" t="s">
        <v>615</v>
      </c>
      <c r="E100" s="469">
        <v>9</v>
      </c>
      <c r="F100" s="470" t="s">
        <v>106</v>
      </c>
      <c r="G100" s="469">
        <v>533</v>
      </c>
      <c r="H100" s="470" t="s">
        <v>6247</v>
      </c>
      <c r="I100" s="470" t="s">
        <v>6257</v>
      </c>
      <c r="J100" s="469">
        <v>22</v>
      </c>
      <c r="K100" s="470" t="s">
        <v>6262</v>
      </c>
      <c r="L100" s="470" t="s">
        <v>6278</v>
      </c>
      <c r="M100" s="470" t="s">
        <v>9</v>
      </c>
      <c r="N100" s="473">
        <v>0</v>
      </c>
      <c r="O100" s="471"/>
      <c r="P100" s="471"/>
      <c r="Q100" s="471"/>
      <c r="R100" s="470"/>
      <c r="S100" s="471">
        <v>0.20357638888888888</v>
      </c>
      <c r="T100" s="471">
        <v>0.27024305555555556</v>
      </c>
      <c r="U100" s="471"/>
      <c r="V100" s="471"/>
      <c r="W100" s="471">
        <v>0.50591435185185185</v>
      </c>
      <c r="X100" s="471">
        <v>0.74159722222222213</v>
      </c>
      <c r="Y100" s="471">
        <v>0.41805555555555557</v>
      </c>
      <c r="Z100" s="471">
        <v>0.71944444444444444</v>
      </c>
      <c r="AA100" s="471" t="s">
        <v>1107</v>
      </c>
      <c r="AB100" s="470" t="s">
        <v>6463</v>
      </c>
      <c r="AC100" s="473">
        <v>152</v>
      </c>
      <c r="AD100" s="470" t="s">
        <v>110</v>
      </c>
      <c r="AE100" s="470"/>
      <c r="AF100" s="473">
        <v>22</v>
      </c>
      <c r="AG100" s="469">
        <v>38.9</v>
      </c>
      <c r="AH100" s="470" t="s">
        <v>6314</v>
      </c>
      <c r="AI100" s="470" t="s">
        <v>6320</v>
      </c>
      <c r="AJ100" s="470" t="s">
        <v>6493</v>
      </c>
      <c r="AK100" s="470" t="s">
        <v>6493</v>
      </c>
      <c r="AL100" s="470"/>
      <c r="AM100" s="470"/>
      <c r="AN100" s="470"/>
      <c r="AO100" s="470"/>
      <c r="AP100" s="470"/>
      <c r="AQ100" s="470"/>
      <c r="AR100" s="470"/>
      <c r="AS100" s="470"/>
      <c r="AT100" s="470"/>
      <c r="AU100" s="470"/>
      <c r="AV100" s="470"/>
      <c r="AW100" s="470"/>
      <c r="AX100" s="470"/>
      <c r="AY100" s="470"/>
      <c r="AZ100" s="470"/>
      <c r="BA100" s="470"/>
      <c r="BB100" s="470"/>
      <c r="BC100" s="470"/>
      <c r="BD100" s="470"/>
      <c r="BE100" s="470"/>
      <c r="BF100" s="470"/>
      <c r="BG100" s="470"/>
      <c r="BH100" s="470"/>
      <c r="BI100" s="470"/>
      <c r="BJ100" s="470"/>
      <c r="BK100" s="470"/>
      <c r="BL100" s="474"/>
    </row>
    <row r="101" spans="1:64">
      <c r="A101" s="475">
        <v>43892</v>
      </c>
      <c r="B101" s="478">
        <v>62</v>
      </c>
      <c r="C101" s="478">
        <v>304</v>
      </c>
      <c r="D101" s="476" t="s">
        <v>615</v>
      </c>
      <c r="E101" s="477">
        <v>10</v>
      </c>
      <c r="F101" s="476" t="s">
        <v>88</v>
      </c>
      <c r="G101" s="477">
        <v>533</v>
      </c>
      <c r="H101" s="476" t="s">
        <v>6247</v>
      </c>
      <c r="I101" s="476" t="s">
        <v>6257</v>
      </c>
      <c r="J101" s="477">
        <v>23</v>
      </c>
      <c r="K101" s="476" t="s">
        <v>6263</v>
      </c>
      <c r="L101" s="476" t="s">
        <v>6279</v>
      </c>
      <c r="M101" s="476" t="s">
        <v>9</v>
      </c>
      <c r="N101" s="478">
        <v>0</v>
      </c>
      <c r="O101" s="479"/>
      <c r="P101" s="479"/>
      <c r="Q101" s="479"/>
      <c r="R101" s="476"/>
      <c r="S101" s="479">
        <v>0.20250000000000001</v>
      </c>
      <c r="T101" s="479">
        <v>0.26916666666666667</v>
      </c>
      <c r="U101" s="479"/>
      <c r="V101" s="479"/>
      <c r="W101" s="479">
        <v>0.50577546296296294</v>
      </c>
      <c r="X101" s="479">
        <v>0.74238425925925933</v>
      </c>
      <c r="Y101" s="479">
        <v>0.44236111111111115</v>
      </c>
      <c r="Z101" s="479">
        <v>0.75347222222222221</v>
      </c>
      <c r="AA101" s="479">
        <v>2.4305555555555556E-2</v>
      </c>
      <c r="AB101" s="476" t="s">
        <v>6464</v>
      </c>
      <c r="AC101" s="478">
        <v>130</v>
      </c>
      <c r="AD101" s="476" t="s">
        <v>113</v>
      </c>
      <c r="AE101" s="476" t="s">
        <v>6513</v>
      </c>
      <c r="AF101" s="478">
        <v>16</v>
      </c>
      <c r="AG101" s="477">
        <v>31.1</v>
      </c>
      <c r="AH101" s="476" t="s">
        <v>973</v>
      </c>
      <c r="AI101" s="476" t="s">
        <v>6321</v>
      </c>
      <c r="AJ101" s="476" t="s">
        <v>6493</v>
      </c>
      <c r="AK101" s="476" t="s">
        <v>6493</v>
      </c>
      <c r="AL101" s="476"/>
      <c r="AM101" s="476"/>
      <c r="AN101" s="476"/>
      <c r="AO101" s="476"/>
      <c r="AP101" s="476"/>
      <c r="AQ101" s="476"/>
      <c r="AR101" s="476"/>
      <c r="AS101" s="476"/>
      <c r="AT101" s="476"/>
      <c r="AU101" s="476"/>
      <c r="AV101" s="476"/>
      <c r="AW101" s="476"/>
      <c r="AX101" s="476"/>
      <c r="AY101" s="476"/>
      <c r="AZ101" s="476"/>
      <c r="BA101" s="476"/>
      <c r="BB101" s="476"/>
      <c r="BC101" s="476"/>
      <c r="BD101" s="476"/>
      <c r="BE101" s="476"/>
      <c r="BF101" s="476"/>
      <c r="BG101" s="476"/>
      <c r="BH101" s="476"/>
      <c r="BI101" s="476"/>
      <c r="BJ101" s="476"/>
      <c r="BK101" s="476"/>
      <c r="BL101" s="480"/>
    </row>
    <row r="102" spans="1:64">
      <c r="A102" s="468">
        <v>43893</v>
      </c>
      <c r="B102" s="473">
        <v>63</v>
      </c>
      <c r="C102" s="473">
        <v>303</v>
      </c>
      <c r="D102" s="470" t="s">
        <v>615</v>
      </c>
      <c r="E102" s="469">
        <v>10</v>
      </c>
      <c r="F102" s="470" t="s">
        <v>91</v>
      </c>
      <c r="G102" s="469">
        <v>533</v>
      </c>
      <c r="H102" s="470" t="s">
        <v>6247</v>
      </c>
      <c r="I102" s="470" t="s">
        <v>6257</v>
      </c>
      <c r="J102" s="469">
        <v>24</v>
      </c>
      <c r="K102" s="470" t="s">
        <v>6264</v>
      </c>
      <c r="L102" s="470" t="s">
        <v>6280</v>
      </c>
      <c r="M102" s="470" t="s">
        <v>9</v>
      </c>
      <c r="N102" s="473">
        <v>0</v>
      </c>
      <c r="O102" s="471"/>
      <c r="P102" s="471"/>
      <c r="Q102" s="471"/>
      <c r="R102" s="470"/>
      <c r="S102" s="471">
        <v>0.20142361111111109</v>
      </c>
      <c r="T102" s="471">
        <v>0.26809027777777777</v>
      </c>
      <c r="U102" s="471"/>
      <c r="V102" s="471"/>
      <c r="W102" s="471">
        <v>0.50562499999999999</v>
      </c>
      <c r="X102" s="471">
        <v>0.74315972222222226</v>
      </c>
      <c r="Y102" s="471">
        <v>0.47083333333333338</v>
      </c>
      <c r="Z102" s="471">
        <v>0.78888888888888886</v>
      </c>
      <c r="AA102" s="471">
        <v>6.805555555555555E-2</v>
      </c>
      <c r="AB102" s="470" t="s">
        <v>6464</v>
      </c>
      <c r="AC102" s="473">
        <v>130</v>
      </c>
      <c r="AD102" s="470" t="s">
        <v>113</v>
      </c>
      <c r="AE102" s="470"/>
      <c r="AF102" s="473">
        <v>12.5</v>
      </c>
      <c r="AG102" s="469">
        <v>25.4</v>
      </c>
      <c r="AH102" s="470" t="s">
        <v>6290</v>
      </c>
      <c r="AI102" s="470" t="s">
        <v>6322</v>
      </c>
      <c r="AJ102" s="470" t="s">
        <v>6493</v>
      </c>
      <c r="AK102" s="470" t="s">
        <v>6493</v>
      </c>
      <c r="AL102" s="470"/>
      <c r="AM102" s="470"/>
      <c r="AN102" s="470"/>
      <c r="AO102" s="470"/>
      <c r="AP102" s="470"/>
      <c r="AQ102" s="470"/>
      <c r="AR102" s="470"/>
      <c r="AS102" s="470"/>
      <c r="AT102" s="470"/>
      <c r="AU102" s="470"/>
      <c r="AV102" s="470"/>
      <c r="AW102" s="470"/>
      <c r="AX102" s="470"/>
      <c r="AY102" s="470"/>
      <c r="AZ102" s="470"/>
      <c r="BA102" s="470"/>
      <c r="BB102" s="470"/>
      <c r="BC102" s="470"/>
      <c r="BD102" s="470"/>
      <c r="BE102" s="470"/>
      <c r="BF102" s="470"/>
      <c r="BG102" s="470"/>
      <c r="BH102" s="470"/>
      <c r="BI102" s="470"/>
      <c r="BJ102" s="470"/>
      <c r="BK102" s="470"/>
      <c r="BL102" s="474"/>
    </row>
    <row r="103" spans="1:64">
      <c r="A103" s="475">
        <v>43894</v>
      </c>
      <c r="B103" s="478">
        <v>64</v>
      </c>
      <c r="C103" s="478">
        <v>302</v>
      </c>
      <c r="D103" s="476" t="s">
        <v>615</v>
      </c>
      <c r="E103" s="477">
        <v>10</v>
      </c>
      <c r="F103" s="476" t="s">
        <v>94</v>
      </c>
      <c r="G103" s="477">
        <v>533</v>
      </c>
      <c r="H103" s="476" t="s">
        <v>6247</v>
      </c>
      <c r="I103" s="476" t="s">
        <v>6257</v>
      </c>
      <c r="J103" s="477">
        <v>25</v>
      </c>
      <c r="K103" s="476" t="s">
        <v>6265</v>
      </c>
      <c r="L103" s="476" t="s">
        <v>6281</v>
      </c>
      <c r="M103" s="476" t="s">
        <v>9</v>
      </c>
      <c r="N103" s="478">
        <v>0</v>
      </c>
      <c r="O103" s="479"/>
      <c r="P103" s="479"/>
      <c r="Q103" s="479"/>
      <c r="R103" s="476"/>
      <c r="S103" s="479">
        <v>0.20034722222222223</v>
      </c>
      <c r="T103" s="479">
        <v>0.26701388888888888</v>
      </c>
      <c r="U103" s="479"/>
      <c r="V103" s="479"/>
      <c r="W103" s="479">
        <v>0.50547453703703704</v>
      </c>
      <c r="X103" s="479">
        <v>0.74394675925925924</v>
      </c>
      <c r="Y103" s="479">
        <v>0.50555555555555554</v>
      </c>
      <c r="Z103" s="479">
        <v>0.82777777777777783</v>
      </c>
      <c r="AA103" s="479">
        <v>0.11041666666666666</v>
      </c>
      <c r="AB103" s="476" t="s">
        <v>6464</v>
      </c>
      <c r="AC103" s="478">
        <v>130</v>
      </c>
      <c r="AD103" s="476" t="s">
        <v>113</v>
      </c>
      <c r="AE103" s="476"/>
      <c r="AF103" s="478">
        <v>12.1</v>
      </c>
      <c r="AG103" s="477">
        <v>22.6</v>
      </c>
      <c r="AH103" s="476" t="s">
        <v>6315</v>
      </c>
      <c r="AI103" s="476" t="s">
        <v>6323</v>
      </c>
      <c r="AJ103" s="476" t="s">
        <v>6493</v>
      </c>
      <c r="AK103" s="476" t="s">
        <v>6493</v>
      </c>
      <c r="AL103" s="476"/>
      <c r="AM103" s="476"/>
      <c r="AN103" s="476"/>
      <c r="AO103" s="476"/>
      <c r="AP103" s="476"/>
      <c r="AQ103" s="476"/>
      <c r="AR103" s="476"/>
      <c r="AS103" s="476"/>
      <c r="AT103" s="476"/>
      <c r="AU103" s="476"/>
      <c r="AV103" s="476"/>
      <c r="AW103" s="476"/>
      <c r="AX103" s="476"/>
      <c r="AY103" s="476"/>
      <c r="AZ103" s="476"/>
      <c r="BA103" s="476"/>
      <c r="BB103" s="476"/>
      <c r="BC103" s="476"/>
      <c r="BD103" s="476"/>
      <c r="BE103" s="476"/>
      <c r="BF103" s="476"/>
      <c r="BG103" s="476"/>
      <c r="BH103" s="476"/>
      <c r="BI103" s="476"/>
      <c r="BJ103" s="476"/>
      <c r="BK103" s="476"/>
      <c r="BL103" s="480"/>
    </row>
    <row r="104" spans="1:64">
      <c r="A104" s="468">
        <v>43895</v>
      </c>
      <c r="B104" s="473">
        <v>65</v>
      </c>
      <c r="C104" s="473">
        <v>301</v>
      </c>
      <c r="D104" s="470" t="s">
        <v>615</v>
      </c>
      <c r="E104" s="469">
        <v>10</v>
      </c>
      <c r="F104" s="470" t="s">
        <v>6714</v>
      </c>
      <c r="G104" s="469">
        <v>533</v>
      </c>
      <c r="H104" s="470" t="s">
        <v>6247</v>
      </c>
      <c r="I104" s="470" t="s">
        <v>6257</v>
      </c>
      <c r="J104" s="469">
        <v>26</v>
      </c>
      <c r="K104" s="470" t="s">
        <v>6271</v>
      </c>
      <c r="L104" s="470" t="s">
        <v>6282</v>
      </c>
      <c r="M104" s="470" t="s">
        <v>9</v>
      </c>
      <c r="N104" s="473">
        <v>0</v>
      </c>
      <c r="O104" s="471"/>
      <c r="P104" s="471"/>
      <c r="Q104" s="471"/>
      <c r="R104" s="470"/>
      <c r="S104" s="471">
        <v>0.19924768518518518</v>
      </c>
      <c r="T104" s="471">
        <v>0.26591435185185186</v>
      </c>
      <c r="U104" s="471"/>
      <c r="V104" s="471"/>
      <c r="W104" s="471">
        <v>0.50532407407407409</v>
      </c>
      <c r="X104" s="471">
        <v>0.74472222222222229</v>
      </c>
      <c r="Y104" s="471">
        <v>0.54583333333333328</v>
      </c>
      <c r="Z104" s="471">
        <v>0.86736111111111114</v>
      </c>
      <c r="AA104" s="471">
        <v>0.15069444444444444</v>
      </c>
      <c r="AB104" s="470" t="s">
        <v>6464</v>
      </c>
      <c r="AC104" s="473">
        <v>130</v>
      </c>
      <c r="AD104" s="470" t="s">
        <v>113</v>
      </c>
      <c r="AE104" s="470"/>
      <c r="AF104" s="473">
        <v>15.5</v>
      </c>
      <c r="AG104" s="469">
        <v>23.1</v>
      </c>
      <c r="AH104" s="470" t="s">
        <v>6291</v>
      </c>
      <c r="AI104" s="470" t="s">
        <v>6324</v>
      </c>
      <c r="AJ104" s="470" t="s">
        <v>838</v>
      </c>
      <c r="AK104" s="470" t="s">
        <v>13</v>
      </c>
      <c r="AL104" s="470" t="s">
        <v>6749</v>
      </c>
      <c r="AM104" s="470" t="s">
        <v>6342</v>
      </c>
      <c r="AN104" s="470" t="s">
        <v>6918</v>
      </c>
      <c r="AO104" s="470" t="s">
        <v>6351</v>
      </c>
      <c r="AP104" s="470"/>
      <c r="AQ104" s="470"/>
      <c r="AR104" s="470"/>
      <c r="AS104" s="470"/>
      <c r="AT104" s="470"/>
      <c r="AU104" s="470"/>
      <c r="AV104" s="470"/>
      <c r="AW104" s="470"/>
      <c r="AX104" s="470"/>
      <c r="AY104" s="470"/>
      <c r="AZ104" s="470"/>
      <c r="BA104" s="470"/>
      <c r="BB104" s="470"/>
      <c r="BC104" s="470"/>
      <c r="BD104" s="470"/>
      <c r="BE104" s="470"/>
      <c r="BF104" s="470"/>
      <c r="BG104" s="470"/>
      <c r="BH104" s="470"/>
      <c r="BI104" s="470"/>
      <c r="BJ104" s="470"/>
      <c r="BK104" s="470"/>
      <c r="BL104" s="474"/>
    </row>
    <row r="105" spans="1:64">
      <c r="A105" s="475">
        <v>43896</v>
      </c>
      <c r="B105" s="478">
        <v>66</v>
      </c>
      <c r="C105" s="478">
        <v>300</v>
      </c>
      <c r="D105" s="476" t="s">
        <v>615</v>
      </c>
      <c r="E105" s="477">
        <v>10</v>
      </c>
      <c r="F105" s="476" t="s">
        <v>100</v>
      </c>
      <c r="G105" s="477">
        <v>533</v>
      </c>
      <c r="H105" s="476" t="s">
        <v>6247</v>
      </c>
      <c r="I105" s="476" t="s">
        <v>6257</v>
      </c>
      <c r="J105" s="477">
        <v>27</v>
      </c>
      <c r="K105" s="476" t="s">
        <v>6266</v>
      </c>
      <c r="L105" s="476" t="s">
        <v>6283</v>
      </c>
      <c r="M105" s="476" t="s">
        <v>9</v>
      </c>
      <c r="N105" s="478">
        <v>0</v>
      </c>
      <c r="O105" s="479"/>
      <c r="P105" s="479"/>
      <c r="Q105" s="479"/>
      <c r="R105" s="476"/>
      <c r="S105" s="479">
        <v>0.19815972222222222</v>
      </c>
      <c r="T105" s="479">
        <v>0.26482638888888888</v>
      </c>
      <c r="U105" s="479">
        <v>0.28055555555555556</v>
      </c>
      <c r="V105" s="479">
        <v>0.42499999999999999</v>
      </c>
      <c r="W105" s="479">
        <v>0.50516203703703699</v>
      </c>
      <c r="X105" s="479">
        <v>0.74549768518518522</v>
      </c>
      <c r="Y105" s="479">
        <v>0.59305555555555556</v>
      </c>
      <c r="Z105" s="479">
        <v>0.90833333333333333</v>
      </c>
      <c r="AA105" s="479">
        <v>0.18680555555555556</v>
      </c>
      <c r="AB105" s="476" t="s">
        <v>6464</v>
      </c>
      <c r="AC105" s="478">
        <v>130</v>
      </c>
      <c r="AD105" s="476" t="s">
        <v>113</v>
      </c>
      <c r="AE105" s="476"/>
      <c r="AF105" s="478">
        <v>22.9</v>
      </c>
      <c r="AG105" s="477">
        <v>27.3</v>
      </c>
      <c r="AH105" s="476" t="s">
        <v>6292</v>
      </c>
      <c r="AI105" s="476" t="s">
        <v>6325</v>
      </c>
      <c r="AJ105" s="476" t="s">
        <v>839</v>
      </c>
      <c r="AK105" s="476" t="s">
        <v>6493</v>
      </c>
      <c r="AL105" s="476" t="s">
        <v>6750</v>
      </c>
      <c r="AM105" s="476" t="s">
        <v>6343</v>
      </c>
      <c r="AN105" s="476" t="s">
        <v>6919</v>
      </c>
      <c r="AO105" s="476" t="s">
        <v>6346</v>
      </c>
      <c r="AP105" s="476"/>
      <c r="AQ105" s="476"/>
      <c r="AR105" s="476"/>
      <c r="AS105" s="476"/>
      <c r="AT105" s="476"/>
      <c r="AU105" s="476"/>
      <c r="AV105" s="476"/>
      <c r="AW105" s="476"/>
      <c r="AX105" s="476"/>
      <c r="AY105" s="476"/>
      <c r="AZ105" s="476"/>
      <c r="BA105" s="476"/>
      <c r="BB105" s="476"/>
      <c r="BC105" s="476"/>
      <c r="BD105" s="476"/>
      <c r="BE105" s="476"/>
      <c r="BF105" s="476"/>
      <c r="BG105" s="476"/>
      <c r="BH105" s="476"/>
      <c r="BI105" s="476"/>
      <c r="BJ105" s="476" t="s">
        <v>6374</v>
      </c>
      <c r="BK105" s="476"/>
      <c r="BL105" s="480"/>
    </row>
    <row r="106" spans="1:64">
      <c r="A106" s="468">
        <v>43897</v>
      </c>
      <c r="B106" s="473">
        <v>67</v>
      </c>
      <c r="C106" s="473">
        <v>299</v>
      </c>
      <c r="D106" s="470" t="s">
        <v>615</v>
      </c>
      <c r="E106" s="469">
        <v>10</v>
      </c>
      <c r="F106" s="470" t="s">
        <v>103</v>
      </c>
      <c r="G106" s="469">
        <v>533</v>
      </c>
      <c r="H106" s="470" t="s">
        <v>6247</v>
      </c>
      <c r="I106" s="470" t="s">
        <v>6257</v>
      </c>
      <c r="J106" s="469">
        <v>28</v>
      </c>
      <c r="K106" s="470" t="s">
        <v>6267</v>
      </c>
      <c r="L106" s="470" t="s">
        <v>6284</v>
      </c>
      <c r="M106" s="470" t="s">
        <v>9</v>
      </c>
      <c r="N106" s="473">
        <v>0</v>
      </c>
      <c r="O106" s="471"/>
      <c r="P106" s="471"/>
      <c r="Q106" s="471"/>
      <c r="R106" s="470"/>
      <c r="S106" s="471">
        <v>0.19704861111111113</v>
      </c>
      <c r="T106" s="471">
        <v>0.26371527777777776</v>
      </c>
      <c r="U106" s="471"/>
      <c r="V106" s="471"/>
      <c r="W106" s="471">
        <v>0.50498842592592597</v>
      </c>
      <c r="X106" s="471">
        <v>0.74626157407407412</v>
      </c>
      <c r="Y106" s="471">
        <v>0.64374999999999993</v>
      </c>
      <c r="Z106" s="471">
        <v>0.94791666666666663</v>
      </c>
      <c r="AA106" s="471">
        <v>0.21944444444444444</v>
      </c>
      <c r="AB106" s="470" t="s">
        <v>6464</v>
      </c>
      <c r="AC106" s="473">
        <v>130</v>
      </c>
      <c r="AD106" s="470" t="s">
        <v>113</v>
      </c>
      <c r="AE106" s="470"/>
      <c r="AF106" s="473">
        <v>34.5</v>
      </c>
      <c r="AG106" s="469">
        <v>35.200000000000003</v>
      </c>
      <c r="AH106" s="470" t="s">
        <v>6293</v>
      </c>
      <c r="AI106" s="470" t="s">
        <v>6326</v>
      </c>
      <c r="AJ106" s="470" t="s">
        <v>6493</v>
      </c>
      <c r="AK106" s="470" t="s">
        <v>6493</v>
      </c>
      <c r="AL106" s="470"/>
      <c r="AM106" s="470"/>
      <c r="AN106" s="470"/>
      <c r="AO106" s="470"/>
      <c r="AP106" s="470"/>
      <c r="AQ106" s="470"/>
      <c r="AR106" s="470"/>
      <c r="AS106" s="470"/>
      <c r="AT106" s="470"/>
      <c r="AU106" s="470"/>
      <c r="AV106" s="470"/>
      <c r="AW106" s="470"/>
      <c r="AX106" s="470"/>
      <c r="AY106" s="470"/>
      <c r="AZ106" s="470"/>
      <c r="BA106" s="470"/>
      <c r="BB106" s="470"/>
      <c r="BC106" s="470"/>
      <c r="BD106" s="470"/>
      <c r="BE106" s="470"/>
      <c r="BF106" s="470"/>
      <c r="BG106" s="470"/>
      <c r="BH106" s="470"/>
      <c r="BI106" s="470"/>
      <c r="BJ106" s="470"/>
      <c r="BK106" s="470"/>
      <c r="BL106" s="474"/>
    </row>
    <row r="107" spans="1:64">
      <c r="A107" s="475">
        <v>43898</v>
      </c>
      <c r="B107" s="478">
        <v>68</v>
      </c>
      <c r="C107" s="478">
        <v>298</v>
      </c>
      <c r="D107" s="476" t="s">
        <v>615</v>
      </c>
      <c r="E107" s="477">
        <v>10</v>
      </c>
      <c r="F107" s="476" t="s">
        <v>106</v>
      </c>
      <c r="G107" s="477">
        <v>533</v>
      </c>
      <c r="H107" s="476" t="s">
        <v>6247</v>
      </c>
      <c r="I107" s="476" t="s">
        <v>6257</v>
      </c>
      <c r="J107" s="477">
        <v>29</v>
      </c>
      <c r="K107" s="476" t="s">
        <v>6268</v>
      </c>
      <c r="L107" s="476" t="s">
        <v>6285</v>
      </c>
      <c r="M107" s="476" t="s">
        <v>9</v>
      </c>
      <c r="N107" s="478">
        <v>1</v>
      </c>
      <c r="O107" s="479"/>
      <c r="P107" s="479"/>
      <c r="Q107" s="479"/>
      <c r="R107" s="476"/>
      <c r="S107" s="479">
        <v>0.19594907407407405</v>
      </c>
      <c r="T107" s="479">
        <v>0.26261574074074073</v>
      </c>
      <c r="U107" s="479"/>
      <c r="V107" s="479"/>
      <c r="W107" s="479">
        <v>0.50482638888888887</v>
      </c>
      <c r="X107" s="479">
        <v>0.74703703703703705</v>
      </c>
      <c r="Y107" s="479">
        <v>0.69652777777777775</v>
      </c>
      <c r="Z107" s="479">
        <v>0.98749999999999993</v>
      </c>
      <c r="AA107" s="479">
        <v>0.24791666666666667</v>
      </c>
      <c r="AB107" s="476" t="s">
        <v>6464</v>
      </c>
      <c r="AC107" s="478">
        <v>130</v>
      </c>
      <c r="AD107" s="476" t="s">
        <v>113</v>
      </c>
      <c r="AE107" s="476"/>
      <c r="AF107" s="478">
        <v>49.7</v>
      </c>
      <c r="AG107" s="477">
        <v>46.3</v>
      </c>
      <c r="AH107" s="476" t="s">
        <v>6294</v>
      </c>
      <c r="AI107" s="476" t="s">
        <v>6327</v>
      </c>
      <c r="AJ107" s="476" t="s">
        <v>6493</v>
      </c>
      <c r="AK107" s="476" t="s">
        <v>6493</v>
      </c>
      <c r="AL107" s="476" t="s">
        <v>736</v>
      </c>
      <c r="AM107" s="476"/>
      <c r="AN107" s="476"/>
      <c r="AO107" s="476"/>
      <c r="AP107" s="476"/>
      <c r="AQ107" s="476"/>
      <c r="AR107" s="476"/>
      <c r="AS107" s="476"/>
      <c r="AT107" s="476"/>
      <c r="AU107" s="476"/>
      <c r="AV107" s="476"/>
      <c r="AW107" s="476"/>
      <c r="AX107" s="476"/>
      <c r="AY107" s="476"/>
      <c r="AZ107" s="476"/>
      <c r="BA107" s="476"/>
      <c r="BB107" s="476"/>
      <c r="BC107" s="476"/>
      <c r="BD107" s="476"/>
      <c r="BE107" s="476"/>
      <c r="BF107" s="476"/>
      <c r="BG107" s="476"/>
      <c r="BH107" s="476"/>
      <c r="BI107" s="476"/>
      <c r="BJ107" s="476"/>
      <c r="BK107" s="476"/>
      <c r="BL107" s="480"/>
    </row>
    <row r="108" spans="1:64">
      <c r="A108" s="468">
        <v>43899</v>
      </c>
      <c r="B108" s="473">
        <v>69</v>
      </c>
      <c r="C108" s="473">
        <v>297</v>
      </c>
      <c r="D108" s="470" t="s">
        <v>615</v>
      </c>
      <c r="E108" s="469">
        <v>11</v>
      </c>
      <c r="F108" s="470" t="s">
        <v>88</v>
      </c>
      <c r="G108" s="469">
        <v>533</v>
      </c>
      <c r="H108" s="470" t="s">
        <v>6247</v>
      </c>
      <c r="I108" s="470" t="s">
        <v>6257</v>
      </c>
      <c r="J108" s="469">
        <v>30</v>
      </c>
      <c r="K108" s="470" t="s">
        <v>6272</v>
      </c>
      <c r="L108" s="470" t="s">
        <v>6288</v>
      </c>
      <c r="M108" s="470" t="s">
        <v>9</v>
      </c>
      <c r="N108" s="473">
        <v>1</v>
      </c>
      <c r="O108" s="471"/>
      <c r="P108" s="471"/>
      <c r="Q108" s="471"/>
      <c r="R108" s="470"/>
      <c r="S108" s="471">
        <v>0.1948263888888889</v>
      </c>
      <c r="T108" s="471">
        <v>0.26149305555555552</v>
      </c>
      <c r="U108" s="471"/>
      <c r="V108" s="471"/>
      <c r="W108" s="471">
        <v>0.50465277777777773</v>
      </c>
      <c r="X108" s="471">
        <v>0.74780092592592595</v>
      </c>
      <c r="Y108" s="471">
        <v>0.75</v>
      </c>
      <c r="Z108" s="471" t="s">
        <v>1107</v>
      </c>
      <c r="AA108" s="471">
        <v>0.27361111111111108</v>
      </c>
      <c r="AB108" s="470" t="s">
        <v>6462</v>
      </c>
      <c r="AC108" s="473">
        <v>129</v>
      </c>
      <c r="AD108" s="470" t="s">
        <v>116</v>
      </c>
      <c r="AE108" s="470" t="s">
        <v>6514</v>
      </c>
      <c r="AF108" s="473">
        <v>67.5</v>
      </c>
      <c r="AG108" s="469">
        <v>59.9</v>
      </c>
      <c r="AH108" s="470" t="s">
        <v>6295</v>
      </c>
      <c r="AI108" s="470" t="s">
        <v>6328</v>
      </c>
      <c r="AJ108" s="470" t="s">
        <v>874</v>
      </c>
      <c r="AK108" s="470" t="s">
        <v>6493</v>
      </c>
      <c r="AL108" s="470" t="s">
        <v>6751</v>
      </c>
      <c r="AM108" s="470" t="s">
        <v>6347</v>
      </c>
      <c r="AN108" s="470" t="s">
        <v>6920</v>
      </c>
      <c r="AO108" s="470" t="s">
        <v>6351</v>
      </c>
      <c r="AP108" s="470" t="s">
        <v>7011</v>
      </c>
      <c r="AQ108" s="470"/>
      <c r="AR108" s="470"/>
      <c r="AS108" s="470"/>
      <c r="AT108" s="470"/>
      <c r="AU108" s="470"/>
      <c r="AV108" s="470"/>
      <c r="AW108" s="470"/>
      <c r="AX108" s="470"/>
      <c r="AY108" s="470"/>
      <c r="AZ108" s="470"/>
      <c r="BA108" s="470"/>
      <c r="BB108" s="470"/>
      <c r="BC108" s="470"/>
      <c r="BD108" s="470"/>
      <c r="BE108" s="470"/>
      <c r="BF108" s="470"/>
      <c r="BG108" s="470"/>
      <c r="BH108" s="470"/>
      <c r="BI108" s="470"/>
      <c r="BJ108" s="470" t="s">
        <v>6375</v>
      </c>
      <c r="BK108" s="470"/>
      <c r="BL108" s="474"/>
    </row>
    <row r="109" spans="1:64">
      <c r="A109" s="475">
        <v>43900</v>
      </c>
      <c r="B109" s="478">
        <v>70</v>
      </c>
      <c r="C109" s="478">
        <v>296</v>
      </c>
      <c r="D109" s="476" t="s">
        <v>615</v>
      </c>
      <c r="E109" s="477">
        <v>11</v>
      </c>
      <c r="F109" s="476" t="s">
        <v>91</v>
      </c>
      <c r="G109" s="477">
        <v>534</v>
      </c>
      <c r="H109" s="476" t="s">
        <v>6248</v>
      </c>
      <c r="I109" s="476" t="s">
        <v>836</v>
      </c>
      <c r="J109" s="477">
        <v>1</v>
      </c>
      <c r="K109" s="476" t="s">
        <v>6270</v>
      </c>
      <c r="L109" s="476" t="s">
        <v>6287</v>
      </c>
      <c r="M109" s="476" t="s">
        <v>9</v>
      </c>
      <c r="N109" s="478">
        <v>1</v>
      </c>
      <c r="O109" s="479"/>
      <c r="P109" s="479"/>
      <c r="Q109" s="479"/>
      <c r="R109" s="476"/>
      <c r="S109" s="479">
        <v>0.19371527777777778</v>
      </c>
      <c r="T109" s="479">
        <v>0.26038194444444446</v>
      </c>
      <c r="U109" s="479"/>
      <c r="V109" s="479"/>
      <c r="W109" s="479">
        <v>0.50446759259259266</v>
      </c>
      <c r="X109" s="479">
        <v>0.74856481481481474</v>
      </c>
      <c r="Y109" s="479">
        <v>0.80347222222222225</v>
      </c>
      <c r="Z109" s="479">
        <v>2.4999999999999998E-2</v>
      </c>
      <c r="AA109" s="479">
        <v>0.29652777777777778</v>
      </c>
      <c r="AB109" s="476" t="s">
        <v>6462</v>
      </c>
      <c r="AC109" s="478">
        <v>129</v>
      </c>
      <c r="AD109" s="476" t="s">
        <v>116</v>
      </c>
      <c r="AE109" s="476"/>
      <c r="AF109" s="478">
        <v>86.7</v>
      </c>
      <c r="AG109" s="477">
        <v>74.7</v>
      </c>
      <c r="AH109" s="476" t="s">
        <v>6296</v>
      </c>
      <c r="AI109" s="476" t="s">
        <v>6330</v>
      </c>
      <c r="AJ109" s="476" t="s">
        <v>839</v>
      </c>
      <c r="AK109" s="476" t="s">
        <v>6493</v>
      </c>
      <c r="AL109" s="476" t="s">
        <v>6752</v>
      </c>
      <c r="AM109" s="476" t="s">
        <v>6344</v>
      </c>
      <c r="AN109" s="476" t="s">
        <v>6921</v>
      </c>
      <c r="AO109" s="476"/>
      <c r="AP109" s="476" t="s">
        <v>7012</v>
      </c>
      <c r="AQ109" s="476"/>
      <c r="AR109" s="476"/>
      <c r="AS109" s="476"/>
      <c r="AT109" s="476"/>
      <c r="AU109" s="476"/>
      <c r="AV109" s="476"/>
      <c r="AW109" s="476"/>
      <c r="AX109" s="476"/>
      <c r="AY109" s="476"/>
      <c r="AZ109" s="476"/>
      <c r="BA109" s="476"/>
      <c r="BB109" s="476"/>
      <c r="BC109" s="476"/>
      <c r="BD109" s="476"/>
      <c r="BE109" s="476"/>
      <c r="BF109" s="476"/>
      <c r="BG109" s="476"/>
      <c r="BH109" s="476"/>
      <c r="BI109" s="476"/>
      <c r="BJ109" s="476" t="s">
        <v>6376</v>
      </c>
      <c r="BK109" s="476"/>
      <c r="BL109" s="480"/>
    </row>
    <row r="110" spans="1:64">
      <c r="A110" s="468">
        <v>43901</v>
      </c>
      <c r="B110" s="473">
        <v>71</v>
      </c>
      <c r="C110" s="473">
        <v>295</v>
      </c>
      <c r="D110" s="470" t="s">
        <v>615</v>
      </c>
      <c r="E110" s="469">
        <v>11</v>
      </c>
      <c r="F110" s="470" t="s">
        <v>94</v>
      </c>
      <c r="G110" s="469">
        <v>534</v>
      </c>
      <c r="H110" s="470" t="s">
        <v>6248</v>
      </c>
      <c r="I110" s="470" t="s">
        <v>836</v>
      </c>
      <c r="J110" s="469">
        <v>3</v>
      </c>
      <c r="K110" s="470" t="s">
        <v>6258</v>
      </c>
      <c r="L110" s="470" t="s">
        <v>6273</v>
      </c>
      <c r="M110" s="470" t="s">
        <v>9</v>
      </c>
      <c r="N110" s="473">
        <v>1</v>
      </c>
      <c r="O110" s="471">
        <v>0.37152777777777773</v>
      </c>
      <c r="P110" s="471">
        <v>0.21180555555555555</v>
      </c>
      <c r="Q110" s="471"/>
      <c r="R110" s="470"/>
      <c r="S110" s="471">
        <v>0.19259259259259257</v>
      </c>
      <c r="T110" s="471">
        <v>0.25925925925925924</v>
      </c>
      <c r="U110" s="471"/>
      <c r="V110" s="471"/>
      <c r="W110" s="471">
        <v>0.50428240740740737</v>
      </c>
      <c r="X110" s="471">
        <v>0.7493171296296296</v>
      </c>
      <c r="Y110" s="471">
        <v>0.8569444444444444</v>
      </c>
      <c r="Z110" s="471">
        <v>6.25E-2</v>
      </c>
      <c r="AA110" s="471">
        <v>0.31875000000000003</v>
      </c>
      <c r="AB110" s="470" t="s">
        <v>6462</v>
      </c>
      <c r="AC110" s="473">
        <v>129</v>
      </c>
      <c r="AD110" s="470" t="s">
        <v>116</v>
      </c>
      <c r="AE110" s="470"/>
      <c r="AF110" s="473">
        <v>5.6</v>
      </c>
      <c r="AG110" s="469">
        <v>89.1</v>
      </c>
      <c r="AH110" s="470" t="s">
        <v>6297</v>
      </c>
      <c r="AI110" s="470" t="s">
        <v>6331</v>
      </c>
      <c r="AJ110" s="470" t="s">
        <v>6493</v>
      </c>
      <c r="AK110" s="470" t="s">
        <v>6493</v>
      </c>
      <c r="AL110" s="470" t="s">
        <v>6753</v>
      </c>
      <c r="AM110" s="470"/>
      <c r="AN110" s="470"/>
      <c r="AO110" s="470"/>
      <c r="AP110" s="470"/>
      <c r="AQ110" s="470"/>
      <c r="AR110" s="470"/>
      <c r="AS110" s="470"/>
      <c r="AT110" s="470"/>
      <c r="AU110" s="470"/>
      <c r="AV110" s="470"/>
      <c r="AW110" s="470"/>
      <c r="AX110" s="470"/>
      <c r="AY110" s="470"/>
      <c r="AZ110" s="470"/>
      <c r="BA110" s="470"/>
      <c r="BB110" s="470"/>
      <c r="BC110" s="470"/>
      <c r="BD110" s="470"/>
      <c r="BE110" s="470"/>
      <c r="BF110" s="470"/>
      <c r="BG110" s="470"/>
      <c r="BH110" s="470"/>
      <c r="BI110" s="470"/>
      <c r="BJ110" s="470"/>
      <c r="BK110" s="470"/>
      <c r="BL110" s="474"/>
    </row>
    <row r="111" spans="1:64">
      <c r="A111" s="475">
        <v>43902</v>
      </c>
      <c r="B111" s="478">
        <v>72</v>
      </c>
      <c r="C111" s="478">
        <v>294</v>
      </c>
      <c r="D111" s="476" t="s">
        <v>615</v>
      </c>
      <c r="E111" s="477">
        <v>11</v>
      </c>
      <c r="F111" s="476" t="s">
        <v>6714</v>
      </c>
      <c r="G111" s="477">
        <v>534</v>
      </c>
      <c r="H111" s="476" t="s">
        <v>6248</v>
      </c>
      <c r="I111" s="476" t="s">
        <v>836</v>
      </c>
      <c r="J111" s="477">
        <v>4</v>
      </c>
      <c r="K111" s="476" t="s">
        <v>6259</v>
      </c>
      <c r="L111" s="476" t="s">
        <v>6275</v>
      </c>
      <c r="M111" s="476" t="s">
        <v>9</v>
      </c>
      <c r="N111" s="478">
        <v>1</v>
      </c>
      <c r="O111" s="479"/>
      <c r="P111" s="479"/>
      <c r="Q111" s="479"/>
      <c r="R111" s="476"/>
      <c r="S111" s="479">
        <v>0.19145833333333331</v>
      </c>
      <c r="T111" s="479">
        <v>0.25812499999999999</v>
      </c>
      <c r="U111" s="479"/>
      <c r="V111" s="479"/>
      <c r="W111" s="479">
        <v>0.5040972222222222</v>
      </c>
      <c r="X111" s="479">
        <v>0.75008101851851849</v>
      </c>
      <c r="Y111" s="479">
        <v>0.90902777777777777</v>
      </c>
      <c r="Z111" s="479">
        <v>9.930555555555555E-2</v>
      </c>
      <c r="AA111" s="479">
        <v>0.34097222222222223</v>
      </c>
      <c r="AB111" s="476" t="s">
        <v>6462</v>
      </c>
      <c r="AC111" s="478">
        <v>129</v>
      </c>
      <c r="AD111" s="476" t="s">
        <v>116</v>
      </c>
      <c r="AE111" s="476"/>
      <c r="AF111" s="478">
        <v>22.6</v>
      </c>
      <c r="AG111" s="477">
        <v>1.9</v>
      </c>
      <c r="AH111" s="476" t="s">
        <v>6299</v>
      </c>
      <c r="AI111" s="476" t="s">
        <v>6332</v>
      </c>
      <c r="AJ111" s="476" t="s">
        <v>6493</v>
      </c>
      <c r="AK111" s="476" t="s">
        <v>6493</v>
      </c>
      <c r="AL111" s="476"/>
      <c r="AM111" s="476"/>
      <c r="AN111" s="476"/>
      <c r="AO111" s="476"/>
      <c r="AP111" s="476"/>
      <c r="AQ111" s="476"/>
      <c r="AR111" s="476"/>
      <c r="AS111" s="476"/>
      <c r="AT111" s="476"/>
      <c r="AU111" s="476"/>
      <c r="AV111" s="476"/>
      <c r="AW111" s="476"/>
      <c r="AX111" s="476"/>
      <c r="AY111" s="476"/>
      <c r="AZ111" s="476"/>
      <c r="BA111" s="476"/>
      <c r="BB111" s="476"/>
      <c r="BC111" s="476"/>
      <c r="BD111" s="476"/>
      <c r="BE111" s="476"/>
      <c r="BF111" s="476"/>
      <c r="BG111" s="476"/>
      <c r="BH111" s="476"/>
      <c r="BI111" s="476"/>
      <c r="BJ111" s="476"/>
      <c r="BK111" s="476"/>
      <c r="BL111" s="480"/>
    </row>
    <row r="112" spans="1:64">
      <c r="A112" s="468">
        <v>43903</v>
      </c>
      <c r="B112" s="473">
        <v>73</v>
      </c>
      <c r="C112" s="473">
        <v>293</v>
      </c>
      <c r="D112" s="470" t="s">
        <v>615</v>
      </c>
      <c r="E112" s="469">
        <v>11</v>
      </c>
      <c r="F112" s="470" t="s">
        <v>100</v>
      </c>
      <c r="G112" s="469">
        <v>534</v>
      </c>
      <c r="H112" s="470" t="s">
        <v>6248</v>
      </c>
      <c r="I112" s="470" t="s">
        <v>836</v>
      </c>
      <c r="J112" s="469">
        <v>5</v>
      </c>
      <c r="K112" s="470" t="s">
        <v>6260</v>
      </c>
      <c r="L112" s="470" t="s">
        <v>6276</v>
      </c>
      <c r="M112" s="470" t="s">
        <v>9</v>
      </c>
      <c r="N112" s="473">
        <v>1</v>
      </c>
      <c r="O112" s="471"/>
      <c r="P112" s="471"/>
      <c r="Q112" s="471"/>
      <c r="R112" s="470"/>
      <c r="S112" s="471">
        <v>0.19032407407407406</v>
      </c>
      <c r="T112" s="471">
        <v>0.25699074074074074</v>
      </c>
      <c r="U112" s="471"/>
      <c r="V112" s="471"/>
      <c r="W112" s="471">
        <v>0.50391203703703702</v>
      </c>
      <c r="X112" s="471">
        <v>0.75083333333333335</v>
      </c>
      <c r="Y112" s="471">
        <v>0.95972222222222225</v>
      </c>
      <c r="Z112" s="471">
        <v>0.13680555555555554</v>
      </c>
      <c r="AA112" s="471">
        <v>0.36458333333333331</v>
      </c>
      <c r="AB112" s="470" t="s">
        <v>6462</v>
      </c>
      <c r="AC112" s="473">
        <v>129</v>
      </c>
      <c r="AD112" s="470" t="s">
        <v>116</v>
      </c>
      <c r="AE112" s="470"/>
      <c r="AF112" s="473">
        <v>36.700000000000003</v>
      </c>
      <c r="AG112" s="469">
        <v>12</v>
      </c>
      <c r="AH112" s="470" t="s">
        <v>6300</v>
      </c>
      <c r="AI112" s="470" t="s">
        <v>6333</v>
      </c>
      <c r="AJ112" s="470" t="s">
        <v>6493</v>
      </c>
      <c r="AK112" s="470" t="s">
        <v>6493</v>
      </c>
      <c r="AL112" s="470"/>
      <c r="AM112" s="470"/>
      <c r="AN112" s="470"/>
      <c r="AO112" s="470"/>
      <c r="AP112" s="470"/>
      <c r="AQ112" s="470"/>
      <c r="AR112" s="470"/>
      <c r="AS112" s="470"/>
      <c r="AT112" s="470"/>
      <c r="AU112" s="470"/>
      <c r="AV112" s="470"/>
      <c r="AW112" s="470"/>
      <c r="AX112" s="470"/>
      <c r="AY112" s="470"/>
      <c r="AZ112" s="470"/>
      <c r="BA112" s="470"/>
      <c r="BB112" s="470"/>
      <c r="BC112" s="470"/>
      <c r="BD112" s="470"/>
      <c r="BE112" s="470"/>
      <c r="BF112" s="470"/>
      <c r="BG112" s="470"/>
      <c r="BH112" s="470"/>
      <c r="BI112" s="470"/>
      <c r="BJ112" s="470"/>
      <c r="BK112" s="470"/>
      <c r="BL112" s="474"/>
    </row>
    <row r="113" spans="1:64">
      <c r="A113" s="475">
        <v>43904</v>
      </c>
      <c r="B113" s="478">
        <v>74</v>
      </c>
      <c r="C113" s="478">
        <v>292</v>
      </c>
      <c r="D113" s="476" t="s">
        <v>615</v>
      </c>
      <c r="E113" s="477">
        <v>11</v>
      </c>
      <c r="F113" s="476" t="s">
        <v>103</v>
      </c>
      <c r="G113" s="477">
        <v>534</v>
      </c>
      <c r="H113" s="476" t="s">
        <v>6248</v>
      </c>
      <c r="I113" s="476" t="s">
        <v>836</v>
      </c>
      <c r="J113" s="477">
        <v>6</v>
      </c>
      <c r="K113" s="476" t="s">
        <v>6261</v>
      </c>
      <c r="L113" s="476" t="s">
        <v>6277</v>
      </c>
      <c r="M113" s="476" t="s">
        <v>9</v>
      </c>
      <c r="N113" s="478">
        <v>1</v>
      </c>
      <c r="O113" s="479"/>
      <c r="P113" s="479"/>
      <c r="Q113" s="479">
        <v>5.3657407407407404E-2</v>
      </c>
      <c r="R113" s="476" t="s">
        <v>17</v>
      </c>
      <c r="S113" s="479">
        <v>0.18918981481481481</v>
      </c>
      <c r="T113" s="479">
        <v>0.25585648148148149</v>
      </c>
      <c r="U113" s="479"/>
      <c r="V113" s="479"/>
      <c r="W113" s="479">
        <v>0.5037152777777778</v>
      </c>
      <c r="X113" s="479">
        <v>0.7515856481481481</v>
      </c>
      <c r="Y113" s="479" t="s">
        <v>1107</v>
      </c>
      <c r="Z113" s="479">
        <v>0.17500000000000002</v>
      </c>
      <c r="AA113" s="479">
        <v>0.38958333333333334</v>
      </c>
      <c r="AB113" s="476" t="s">
        <v>6462</v>
      </c>
      <c r="AC113" s="478">
        <v>129</v>
      </c>
      <c r="AD113" s="476" t="s">
        <v>116</v>
      </c>
      <c r="AE113" s="476"/>
      <c r="AF113" s="478">
        <v>47</v>
      </c>
      <c r="AG113" s="477">
        <v>18.8</v>
      </c>
      <c r="AH113" s="476" t="s">
        <v>6301</v>
      </c>
      <c r="AI113" s="476" t="s">
        <v>6334</v>
      </c>
      <c r="AJ113" s="476" t="s">
        <v>6493</v>
      </c>
      <c r="AK113" s="476" t="s">
        <v>6493</v>
      </c>
      <c r="AL113" s="476" t="s">
        <v>6754</v>
      </c>
      <c r="AM113" s="476"/>
      <c r="AN113" s="476"/>
      <c r="AO113" s="476"/>
      <c r="AP113" s="476"/>
      <c r="AQ113" s="476"/>
      <c r="AR113" s="476"/>
      <c r="AS113" s="476"/>
      <c r="AT113" s="476"/>
      <c r="AU113" s="476"/>
      <c r="AV113" s="476"/>
      <c r="AW113" s="476"/>
      <c r="AX113" s="476"/>
      <c r="AY113" s="476"/>
      <c r="AZ113" s="476"/>
      <c r="BA113" s="476"/>
      <c r="BB113" s="476"/>
      <c r="BC113" s="476"/>
      <c r="BD113" s="476"/>
      <c r="BE113" s="476"/>
      <c r="BF113" s="476"/>
      <c r="BG113" s="476"/>
      <c r="BH113" s="476"/>
      <c r="BI113" s="476"/>
      <c r="BJ113" s="476"/>
      <c r="BK113" s="476"/>
      <c r="BL113" s="480"/>
    </row>
    <row r="114" spans="1:64">
      <c r="A114" s="468">
        <v>43905</v>
      </c>
      <c r="B114" s="473">
        <v>75</v>
      </c>
      <c r="C114" s="473">
        <v>291</v>
      </c>
      <c r="D114" s="470" t="s">
        <v>615</v>
      </c>
      <c r="E114" s="469">
        <v>11</v>
      </c>
      <c r="F114" s="470" t="s">
        <v>106</v>
      </c>
      <c r="G114" s="469">
        <v>534</v>
      </c>
      <c r="H114" s="470" t="s">
        <v>6248</v>
      </c>
      <c r="I114" s="470" t="s">
        <v>836</v>
      </c>
      <c r="J114" s="469">
        <v>7</v>
      </c>
      <c r="K114" s="470" t="s">
        <v>6262</v>
      </c>
      <c r="L114" s="470" t="s">
        <v>6278</v>
      </c>
      <c r="M114" s="470" t="s">
        <v>9</v>
      </c>
      <c r="N114" s="473">
        <v>1</v>
      </c>
      <c r="O114" s="471"/>
      <c r="P114" s="471"/>
      <c r="Q114" s="471"/>
      <c r="R114" s="470"/>
      <c r="S114" s="471">
        <v>0.18805555555555556</v>
      </c>
      <c r="T114" s="471">
        <v>0.25472222222222224</v>
      </c>
      <c r="U114" s="471"/>
      <c r="V114" s="471"/>
      <c r="W114" s="471">
        <v>0.50353009259259263</v>
      </c>
      <c r="X114" s="471">
        <v>0.75232638888888881</v>
      </c>
      <c r="Y114" s="471">
        <v>8.3333333333333332E-3</v>
      </c>
      <c r="Z114" s="471">
        <v>0.21319444444444444</v>
      </c>
      <c r="AA114" s="471">
        <v>0.41805555555555557</v>
      </c>
      <c r="AB114" s="470" t="s">
        <v>6462</v>
      </c>
      <c r="AC114" s="473">
        <v>129</v>
      </c>
      <c r="AD114" s="470" t="s">
        <v>116</v>
      </c>
      <c r="AE114" s="470"/>
      <c r="AF114" s="473">
        <v>53.5</v>
      </c>
      <c r="AG114" s="469">
        <v>22.1</v>
      </c>
      <c r="AH114" s="470" t="s">
        <v>6302</v>
      </c>
      <c r="AI114" s="470" t="s">
        <v>6336</v>
      </c>
      <c r="AJ114" s="470" t="s">
        <v>6493</v>
      </c>
      <c r="AK114" s="470" t="s">
        <v>6493</v>
      </c>
      <c r="AL114" s="470"/>
      <c r="AM114" s="470"/>
      <c r="AN114" s="470"/>
      <c r="AO114" s="470"/>
      <c r="AP114" s="470"/>
      <c r="AQ114" s="470"/>
      <c r="AR114" s="470"/>
      <c r="AS114" s="470"/>
      <c r="AT114" s="470"/>
      <c r="AU114" s="470"/>
      <c r="AV114" s="470"/>
      <c r="AW114" s="470"/>
      <c r="AX114" s="470"/>
      <c r="AY114" s="470"/>
      <c r="AZ114" s="470"/>
      <c r="BA114" s="470"/>
      <c r="BB114" s="470"/>
      <c r="BC114" s="470"/>
      <c r="BD114" s="470"/>
      <c r="BE114" s="470"/>
      <c r="BF114" s="470"/>
      <c r="BG114" s="470"/>
      <c r="BH114" s="470"/>
      <c r="BI114" s="470"/>
      <c r="BJ114" s="470"/>
      <c r="BK114" s="470"/>
      <c r="BL114" s="474"/>
    </row>
    <row r="115" spans="1:64">
      <c r="A115" s="475">
        <v>43906</v>
      </c>
      <c r="B115" s="478">
        <v>76</v>
      </c>
      <c r="C115" s="478">
        <v>290</v>
      </c>
      <c r="D115" s="476" t="s">
        <v>615</v>
      </c>
      <c r="E115" s="477">
        <v>12</v>
      </c>
      <c r="F115" s="476" t="s">
        <v>88</v>
      </c>
      <c r="G115" s="477">
        <v>534</v>
      </c>
      <c r="H115" s="476" t="s">
        <v>6248</v>
      </c>
      <c r="I115" s="476" t="s">
        <v>836</v>
      </c>
      <c r="J115" s="477">
        <v>8</v>
      </c>
      <c r="K115" s="476" t="s">
        <v>6263</v>
      </c>
      <c r="L115" s="476" t="s">
        <v>6279</v>
      </c>
      <c r="M115" s="476" t="s">
        <v>9</v>
      </c>
      <c r="N115" s="478">
        <v>1</v>
      </c>
      <c r="O115" s="479"/>
      <c r="P115" s="479"/>
      <c r="Q115" s="479"/>
      <c r="R115" s="476"/>
      <c r="S115" s="479">
        <v>0.18690972222222221</v>
      </c>
      <c r="T115" s="479">
        <v>0.25357638888888889</v>
      </c>
      <c r="U115" s="479"/>
      <c r="V115" s="479"/>
      <c r="W115" s="479">
        <v>0.5033333333333333</v>
      </c>
      <c r="X115" s="479">
        <v>0.75307870370370367</v>
      </c>
      <c r="Y115" s="479">
        <v>5.4166666666666669E-2</v>
      </c>
      <c r="Z115" s="479">
        <v>0.25277777777777777</v>
      </c>
      <c r="AA115" s="479">
        <v>0.45069444444444445</v>
      </c>
      <c r="AB115" s="476" t="s">
        <v>6289</v>
      </c>
      <c r="AC115" s="478">
        <v>131</v>
      </c>
      <c r="AD115" s="476" t="s">
        <v>119</v>
      </c>
      <c r="AE115" s="476" t="s">
        <v>6515</v>
      </c>
      <c r="AF115" s="478">
        <v>56.3</v>
      </c>
      <c r="AG115" s="477">
        <v>22.1</v>
      </c>
      <c r="AH115" s="476" t="s">
        <v>6303</v>
      </c>
      <c r="AI115" s="476" t="s">
        <v>6337</v>
      </c>
      <c r="AJ115" s="476" t="s">
        <v>839</v>
      </c>
      <c r="AK115" s="476" t="s">
        <v>6493</v>
      </c>
      <c r="AL115" s="476" t="s">
        <v>6755</v>
      </c>
      <c r="AM115" s="476" t="s">
        <v>6346</v>
      </c>
      <c r="AN115" s="476"/>
      <c r="AO115" s="476"/>
      <c r="AP115" s="476"/>
      <c r="AQ115" s="476"/>
      <c r="AR115" s="476"/>
      <c r="AS115" s="476"/>
      <c r="AT115" s="476"/>
      <c r="AU115" s="476"/>
      <c r="AV115" s="476"/>
      <c r="AW115" s="476"/>
      <c r="AX115" s="476"/>
      <c r="AY115" s="476"/>
      <c r="AZ115" s="476"/>
      <c r="BA115" s="476"/>
      <c r="BB115" s="476"/>
      <c r="BC115" s="476"/>
      <c r="BD115" s="476"/>
      <c r="BE115" s="476"/>
      <c r="BF115" s="476"/>
      <c r="BG115" s="476"/>
      <c r="BH115" s="476"/>
      <c r="BI115" s="476"/>
      <c r="BJ115" s="476" t="s">
        <v>1031</v>
      </c>
      <c r="BK115" s="476"/>
      <c r="BL115" s="480"/>
    </row>
    <row r="116" spans="1:64">
      <c r="A116" s="468">
        <v>43907</v>
      </c>
      <c r="B116" s="473">
        <v>77</v>
      </c>
      <c r="C116" s="473">
        <v>289</v>
      </c>
      <c r="D116" s="470" t="s">
        <v>615</v>
      </c>
      <c r="E116" s="469">
        <v>12</v>
      </c>
      <c r="F116" s="470" t="s">
        <v>91</v>
      </c>
      <c r="G116" s="469">
        <v>534</v>
      </c>
      <c r="H116" s="470" t="s">
        <v>6248</v>
      </c>
      <c r="I116" s="470" t="s">
        <v>836</v>
      </c>
      <c r="J116" s="469">
        <v>9</v>
      </c>
      <c r="K116" s="470" t="s">
        <v>6264</v>
      </c>
      <c r="L116" s="470" t="s">
        <v>6280</v>
      </c>
      <c r="M116" s="470" t="s">
        <v>9</v>
      </c>
      <c r="N116" s="473">
        <v>1</v>
      </c>
      <c r="O116" s="471"/>
      <c r="P116" s="471"/>
      <c r="Q116" s="471"/>
      <c r="R116" s="470"/>
      <c r="S116" s="471">
        <v>0.18577546296296296</v>
      </c>
      <c r="T116" s="471">
        <v>0.25244212962962964</v>
      </c>
      <c r="U116" s="471"/>
      <c r="V116" s="471"/>
      <c r="W116" s="471">
        <v>0.50312499999999993</v>
      </c>
      <c r="X116" s="471">
        <v>0.75381944444444438</v>
      </c>
      <c r="Y116" s="471">
        <v>9.5833333333333326E-2</v>
      </c>
      <c r="Z116" s="471">
        <v>0.29166666666666669</v>
      </c>
      <c r="AA116" s="471">
        <v>0.4861111111111111</v>
      </c>
      <c r="AB116" s="470" t="s">
        <v>6289</v>
      </c>
      <c r="AC116" s="473">
        <v>131</v>
      </c>
      <c r="AD116" s="470" t="s">
        <v>119</v>
      </c>
      <c r="AE116" s="470"/>
      <c r="AF116" s="473">
        <v>55.8</v>
      </c>
      <c r="AG116" s="469">
        <v>19.100000000000001</v>
      </c>
      <c r="AH116" s="470" t="s">
        <v>6304</v>
      </c>
      <c r="AI116" s="470" t="s">
        <v>6338</v>
      </c>
      <c r="AJ116" s="470" t="s">
        <v>6493</v>
      </c>
      <c r="AK116" s="470" t="s">
        <v>6493</v>
      </c>
      <c r="AL116" s="470"/>
      <c r="AM116" s="470"/>
      <c r="AN116" s="470"/>
      <c r="AO116" s="470"/>
      <c r="AP116" s="470"/>
      <c r="AQ116" s="470"/>
      <c r="AR116" s="470"/>
      <c r="AS116" s="470"/>
      <c r="AT116" s="470"/>
      <c r="AU116" s="470"/>
      <c r="AV116" s="470"/>
      <c r="AW116" s="470"/>
      <c r="AX116" s="470"/>
      <c r="AY116" s="470"/>
      <c r="AZ116" s="470"/>
      <c r="BA116" s="470"/>
      <c r="BB116" s="470"/>
      <c r="BC116" s="470"/>
      <c r="BD116" s="470"/>
      <c r="BE116" s="470"/>
      <c r="BF116" s="470"/>
      <c r="BG116" s="470"/>
      <c r="BH116" s="470"/>
      <c r="BI116" s="470"/>
      <c r="BJ116" s="470"/>
      <c r="BK116" s="470"/>
      <c r="BL116" s="474"/>
    </row>
    <row r="117" spans="1:64">
      <c r="A117" s="475">
        <v>43908</v>
      </c>
      <c r="B117" s="478">
        <v>78</v>
      </c>
      <c r="C117" s="478">
        <v>288</v>
      </c>
      <c r="D117" s="476" t="s">
        <v>615</v>
      </c>
      <c r="E117" s="477">
        <v>12</v>
      </c>
      <c r="F117" s="476" t="s">
        <v>94</v>
      </c>
      <c r="G117" s="477">
        <v>534</v>
      </c>
      <c r="H117" s="476" t="s">
        <v>6248</v>
      </c>
      <c r="I117" s="476" t="s">
        <v>836</v>
      </c>
      <c r="J117" s="477">
        <v>10</v>
      </c>
      <c r="K117" s="476" t="s">
        <v>6265</v>
      </c>
      <c r="L117" s="476" t="s">
        <v>6281</v>
      </c>
      <c r="M117" s="476" t="s">
        <v>9</v>
      </c>
      <c r="N117" s="478">
        <v>1</v>
      </c>
      <c r="O117" s="479"/>
      <c r="P117" s="479"/>
      <c r="Q117" s="479"/>
      <c r="R117" s="476"/>
      <c r="S117" s="479">
        <v>0.18462962962962962</v>
      </c>
      <c r="T117" s="479">
        <v>0.2512962962962963</v>
      </c>
      <c r="U117" s="479"/>
      <c r="V117" s="479"/>
      <c r="W117" s="479">
        <v>0.50292824074074072</v>
      </c>
      <c r="X117" s="479">
        <v>0.75457175925925923</v>
      </c>
      <c r="Y117" s="479">
        <v>0.13125000000000001</v>
      </c>
      <c r="Z117" s="479">
        <v>0.32847222222222222</v>
      </c>
      <c r="AA117" s="479">
        <v>0.52569444444444446</v>
      </c>
      <c r="AB117" s="476" t="s">
        <v>6289</v>
      </c>
      <c r="AC117" s="478">
        <v>131</v>
      </c>
      <c r="AD117" s="476" t="s">
        <v>119</v>
      </c>
      <c r="AE117" s="476"/>
      <c r="AF117" s="478">
        <v>52.6</v>
      </c>
      <c r="AG117" s="477">
        <v>13.7</v>
      </c>
      <c r="AH117" s="476" t="s">
        <v>6305</v>
      </c>
      <c r="AI117" s="476" t="s">
        <v>6339</v>
      </c>
      <c r="AJ117" s="476" t="s">
        <v>6493</v>
      </c>
      <c r="AK117" s="476" t="s">
        <v>6493</v>
      </c>
      <c r="AL117" s="476"/>
      <c r="AM117" s="476"/>
      <c r="AN117" s="476"/>
      <c r="AO117" s="476"/>
      <c r="AP117" s="476"/>
      <c r="AQ117" s="476"/>
      <c r="AR117" s="476"/>
      <c r="AS117" s="476"/>
      <c r="AT117" s="476"/>
      <c r="AU117" s="476"/>
      <c r="AV117" s="476"/>
      <c r="AW117" s="476"/>
      <c r="AX117" s="476"/>
      <c r="AY117" s="476"/>
      <c r="AZ117" s="476"/>
      <c r="BA117" s="476"/>
      <c r="BB117" s="476"/>
      <c r="BC117" s="476"/>
      <c r="BD117" s="476"/>
      <c r="BE117" s="476"/>
      <c r="BF117" s="476"/>
      <c r="BG117" s="476"/>
      <c r="BH117" s="476"/>
      <c r="BI117" s="476"/>
      <c r="BJ117" s="476"/>
      <c r="BK117" s="476"/>
      <c r="BL117" s="480"/>
    </row>
    <row r="118" spans="1:64">
      <c r="A118" s="468">
        <v>43909</v>
      </c>
      <c r="B118" s="473">
        <v>79</v>
      </c>
      <c r="C118" s="473">
        <v>287</v>
      </c>
      <c r="D118" s="470" t="s">
        <v>615</v>
      </c>
      <c r="E118" s="469">
        <v>12</v>
      </c>
      <c r="F118" s="470" t="s">
        <v>6714</v>
      </c>
      <c r="G118" s="469">
        <v>534</v>
      </c>
      <c r="H118" s="470" t="s">
        <v>6248</v>
      </c>
      <c r="I118" s="470" t="s">
        <v>836</v>
      </c>
      <c r="J118" s="469">
        <v>11</v>
      </c>
      <c r="K118" s="470" t="s">
        <v>6271</v>
      </c>
      <c r="L118" s="470" t="s">
        <v>6282</v>
      </c>
      <c r="M118" s="470" t="s">
        <v>9</v>
      </c>
      <c r="N118" s="473">
        <v>1</v>
      </c>
      <c r="O118" s="471"/>
      <c r="P118" s="471"/>
      <c r="Q118" s="471"/>
      <c r="R118" s="470"/>
      <c r="S118" s="471">
        <v>0.18347222222222223</v>
      </c>
      <c r="T118" s="471">
        <v>0.25013888888888886</v>
      </c>
      <c r="U118" s="471"/>
      <c r="V118" s="471"/>
      <c r="W118" s="471">
        <v>0.50271990740740746</v>
      </c>
      <c r="X118" s="471">
        <v>0.75531250000000005</v>
      </c>
      <c r="Y118" s="471">
        <v>0.16250000000000001</v>
      </c>
      <c r="Z118" s="471">
        <v>0.36458333333333331</v>
      </c>
      <c r="AA118" s="471">
        <v>0.56666666666666665</v>
      </c>
      <c r="AB118" s="470" t="s">
        <v>6289</v>
      </c>
      <c r="AC118" s="473">
        <v>131</v>
      </c>
      <c r="AD118" s="470" t="s">
        <v>119</v>
      </c>
      <c r="AE118" s="470"/>
      <c r="AF118" s="473">
        <v>47.3</v>
      </c>
      <c r="AG118" s="469">
        <v>6.4</v>
      </c>
      <c r="AH118" s="470" t="s">
        <v>6306</v>
      </c>
      <c r="AI118" s="470" t="s">
        <v>6340</v>
      </c>
      <c r="AJ118" s="470" t="s">
        <v>838</v>
      </c>
      <c r="AK118" s="470" t="s">
        <v>13</v>
      </c>
      <c r="AL118" s="470" t="s">
        <v>6756</v>
      </c>
      <c r="AM118" s="470" t="s">
        <v>6342</v>
      </c>
      <c r="AN118" s="470" t="s">
        <v>6922</v>
      </c>
      <c r="AO118" s="470" t="s">
        <v>6351</v>
      </c>
      <c r="AP118" s="470"/>
      <c r="AQ118" s="470"/>
      <c r="AR118" s="470"/>
      <c r="AS118" s="470"/>
      <c r="AT118" s="470"/>
      <c r="AU118" s="470"/>
      <c r="AV118" s="470"/>
      <c r="AW118" s="470"/>
      <c r="AX118" s="470"/>
      <c r="AY118" s="470"/>
      <c r="AZ118" s="470"/>
      <c r="BA118" s="470"/>
      <c r="BB118" s="470"/>
      <c r="BC118" s="470"/>
      <c r="BD118" s="470"/>
      <c r="BE118" s="470"/>
      <c r="BF118" s="470"/>
      <c r="BG118" s="470"/>
      <c r="BH118" s="470"/>
      <c r="BI118" s="470"/>
      <c r="BJ118" s="470"/>
      <c r="BK118" s="470"/>
      <c r="BL118" s="474"/>
    </row>
    <row r="119" spans="1:64">
      <c r="A119" s="475">
        <v>43910</v>
      </c>
      <c r="B119" s="478">
        <v>80</v>
      </c>
      <c r="C119" s="478">
        <v>286</v>
      </c>
      <c r="D119" s="476" t="s">
        <v>615</v>
      </c>
      <c r="E119" s="477">
        <v>12</v>
      </c>
      <c r="F119" s="476" t="s">
        <v>100</v>
      </c>
      <c r="G119" s="477">
        <v>534</v>
      </c>
      <c r="H119" s="476" t="s">
        <v>6248</v>
      </c>
      <c r="I119" s="476" t="s">
        <v>836</v>
      </c>
      <c r="J119" s="477">
        <v>12</v>
      </c>
      <c r="K119" s="476" t="s">
        <v>6266</v>
      </c>
      <c r="L119" s="476" t="s">
        <v>6283</v>
      </c>
      <c r="M119" s="476" t="s">
        <v>9</v>
      </c>
      <c r="N119" s="478">
        <v>1</v>
      </c>
      <c r="O119" s="479"/>
      <c r="P119" s="479"/>
      <c r="Q119" s="479"/>
      <c r="R119" s="476"/>
      <c r="S119" s="479">
        <v>0.18232638888888889</v>
      </c>
      <c r="T119" s="479">
        <v>0.24899305555555554</v>
      </c>
      <c r="U119" s="479">
        <v>0.24861111111111112</v>
      </c>
      <c r="V119" s="479">
        <v>0.41736111111111113</v>
      </c>
      <c r="W119" s="479">
        <v>0.50252314814814814</v>
      </c>
      <c r="X119" s="479">
        <v>0.75605324074074076</v>
      </c>
      <c r="Y119" s="479">
        <v>0.18819444444444444</v>
      </c>
      <c r="Z119" s="479">
        <v>0.39861111111111108</v>
      </c>
      <c r="AA119" s="479">
        <v>0.60833333333333328</v>
      </c>
      <c r="AB119" s="476" t="s">
        <v>6289</v>
      </c>
      <c r="AC119" s="478">
        <v>131</v>
      </c>
      <c r="AD119" s="476" t="s">
        <v>119</v>
      </c>
      <c r="AE119" s="476"/>
      <c r="AF119" s="478">
        <v>40.4</v>
      </c>
      <c r="AG119" s="477">
        <v>97.6</v>
      </c>
      <c r="AH119" s="476" t="s">
        <v>6306</v>
      </c>
      <c r="AI119" s="476" t="s">
        <v>974</v>
      </c>
      <c r="AJ119" s="476" t="s">
        <v>839</v>
      </c>
      <c r="AK119" s="476" t="s">
        <v>6493</v>
      </c>
      <c r="AL119" s="476" t="s">
        <v>6757</v>
      </c>
      <c r="AM119" s="476" t="s">
        <v>6343</v>
      </c>
      <c r="AN119" s="476" t="s">
        <v>6923</v>
      </c>
      <c r="AO119" s="476" t="s">
        <v>6346</v>
      </c>
      <c r="AP119" s="476" t="s">
        <v>555</v>
      </c>
      <c r="AQ119" s="476"/>
      <c r="AR119" s="476"/>
      <c r="AS119" s="476"/>
      <c r="AT119" s="476"/>
      <c r="AU119" s="476"/>
      <c r="AV119" s="476"/>
      <c r="AW119" s="476"/>
      <c r="AX119" s="476"/>
      <c r="AY119" s="476"/>
      <c r="AZ119" s="476"/>
      <c r="BA119" s="476"/>
      <c r="BB119" s="476"/>
      <c r="BC119" s="476"/>
      <c r="BD119" s="476"/>
      <c r="BE119" s="476"/>
      <c r="BF119" s="476"/>
      <c r="BG119" s="476"/>
      <c r="BH119" s="476"/>
      <c r="BI119" s="476"/>
      <c r="BJ119" s="476" t="s">
        <v>7091</v>
      </c>
      <c r="BK119" s="476"/>
      <c r="BL119" s="480"/>
    </row>
    <row r="120" spans="1:64">
      <c r="A120" s="468">
        <v>43911</v>
      </c>
      <c r="B120" s="473">
        <v>81</v>
      </c>
      <c r="C120" s="473">
        <v>285</v>
      </c>
      <c r="D120" s="470" t="s">
        <v>615</v>
      </c>
      <c r="E120" s="469">
        <v>12</v>
      </c>
      <c r="F120" s="470" t="s">
        <v>103</v>
      </c>
      <c r="G120" s="469">
        <v>534</v>
      </c>
      <c r="H120" s="470" t="s">
        <v>6248</v>
      </c>
      <c r="I120" s="470" t="s">
        <v>836</v>
      </c>
      <c r="J120" s="469">
        <v>13</v>
      </c>
      <c r="K120" s="470" t="s">
        <v>6267</v>
      </c>
      <c r="L120" s="470" t="s">
        <v>6284</v>
      </c>
      <c r="M120" s="470" t="s">
        <v>9</v>
      </c>
      <c r="N120" s="473">
        <v>1</v>
      </c>
      <c r="O120" s="471"/>
      <c r="P120" s="471"/>
      <c r="Q120" s="471"/>
      <c r="R120" s="470"/>
      <c r="S120" s="471">
        <v>0.18118055555555557</v>
      </c>
      <c r="T120" s="471">
        <v>0.24784722222222222</v>
      </c>
      <c r="U120" s="471"/>
      <c r="V120" s="471"/>
      <c r="W120" s="471">
        <v>0.50231481481481477</v>
      </c>
      <c r="X120" s="471">
        <v>0.75678240740740732</v>
      </c>
      <c r="Y120" s="471">
        <v>0.21111111111111111</v>
      </c>
      <c r="Z120" s="471">
        <v>0.43055555555555558</v>
      </c>
      <c r="AA120" s="471">
        <v>0.65</v>
      </c>
      <c r="AB120" s="470" t="s">
        <v>6289</v>
      </c>
      <c r="AC120" s="473">
        <v>131</v>
      </c>
      <c r="AD120" s="470" t="s">
        <v>119</v>
      </c>
      <c r="AE120" s="470"/>
      <c r="AF120" s="473">
        <v>32.5</v>
      </c>
      <c r="AG120" s="469">
        <v>87.9</v>
      </c>
      <c r="AH120" s="470" t="s">
        <v>6307</v>
      </c>
      <c r="AI120" s="470" t="s">
        <v>6316</v>
      </c>
      <c r="AJ120" s="470" t="s">
        <v>6493</v>
      </c>
      <c r="AK120" s="470" t="s">
        <v>6493</v>
      </c>
      <c r="AL120" s="470"/>
      <c r="AM120" s="470"/>
      <c r="AN120" s="470"/>
      <c r="AO120" s="470"/>
      <c r="AP120" s="470"/>
      <c r="AQ120" s="470"/>
      <c r="AR120" s="470"/>
      <c r="AS120" s="470"/>
      <c r="AT120" s="470"/>
      <c r="AU120" s="470"/>
      <c r="AV120" s="470"/>
      <c r="AW120" s="470"/>
      <c r="AX120" s="470"/>
      <c r="AY120" s="470"/>
      <c r="AZ120" s="470"/>
      <c r="BA120" s="470"/>
      <c r="BB120" s="470"/>
      <c r="BC120" s="470"/>
      <c r="BD120" s="470"/>
      <c r="BE120" s="470"/>
      <c r="BF120" s="470"/>
      <c r="BG120" s="470"/>
      <c r="BH120" s="470"/>
      <c r="BI120" s="470"/>
      <c r="BJ120" s="470"/>
      <c r="BK120" s="470"/>
      <c r="BL120" s="474"/>
    </row>
    <row r="121" spans="1:64">
      <c r="A121" s="475">
        <v>43912</v>
      </c>
      <c r="B121" s="478">
        <v>82</v>
      </c>
      <c r="C121" s="478">
        <v>284</v>
      </c>
      <c r="D121" s="476" t="s">
        <v>615</v>
      </c>
      <c r="E121" s="477">
        <v>12</v>
      </c>
      <c r="F121" s="476" t="s">
        <v>106</v>
      </c>
      <c r="G121" s="477">
        <v>534</v>
      </c>
      <c r="H121" s="476" t="s">
        <v>6248</v>
      </c>
      <c r="I121" s="476" t="s">
        <v>836</v>
      </c>
      <c r="J121" s="477">
        <v>14</v>
      </c>
      <c r="K121" s="476" t="s">
        <v>6268</v>
      </c>
      <c r="L121" s="476" t="s">
        <v>6285</v>
      </c>
      <c r="M121" s="476" t="s">
        <v>9</v>
      </c>
      <c r="N121" s="478">
        <v>1</v>
      </c>
      <c r="O121" s="479"/>
      <c r="P121" s="479"/>
      <c r="Q121" s="479"/>
      <c r="R121" s="476"/>
      <c r="S121" s="479">
        <v>0.18002314814814815</v>
      </c>
      <c r="T121" s="479">
        <v>0.24668981481481481</v>
      </c>
      <c r="U121" s="479"/>
      <c r="V121" s="479"/>
      <c r="W121" s="479">
        <v>0.50210648148148151</v>
      </c>
      <c r="X121" s="479">
        <v>0.75752314814814825</v>
      </c>
      <c r="Y121" s="479">
        <v>0.23055555555555554</v>
      </c>
      <c r="Z121" s="479">
        <v>0.46111111111111108</v>
      </c>
      <c r="AA121" s="479">
        <v>0.69097222222222221</v>
      </c>
      <c r="AB121" s="476" t="s">
        <v>6289</v>
      </c>
      <c r="AC121" s="478">
        <v>131</v>
      </c>
      <c r="AD121" s="476" t="s">
        <v>119</v>
      </c>
      <c r="AE121" s="476"/>
      <c r="AF121" s="478">
        <v>23.7</v>
      </c>
      <c r="AG121" s="477">
        <v>77.5</v>
      </c>
      <c r="AH121" s="476" t="s">
        <v>6308</v>
      </c>
      <c r="AI121" s="476" t="s">
        <v>6317</v>
      </c>
      <c r="AJ121" s="476" t="s">
        <v>6493</v>
      </c>
      <c r="AK121" s="476" t="s">
        <v>6493</v>
      </c>
      <c r="AL121" s="476"/>
      <c r="AM121" s="476"/>
      <c r="AN121" s="476"/>
      <c r="AO121" s="476"/>
      <c r="AP121" s="476"/>
      <c r="AQ121" s="476"/>
      <c r="AR121" s="476"/>
      <c r="AS121" s="476"/>
      <c r="AT121" s="476"/>
      <c r="AU121" s="476"/>
      <c r="AV121" s="476"/>
      <c r="AW121" s="476"/>
      <c r="AX121" s="476"/>
      <c r="AY121" s="476"/>
      <c r="AZ121" s="476"/>
      <c r="BA121" s="476"/>
      <c r="BB121" s="476"/>
      <c r="BC121" s="476"/>
      <c r="BD121" s="476"/>
      <c r="BE121" s="476"/>
      <c r="BF121" s="476"/>
      <c r="BG121" s="476"/>
      <c r="BH121" s="476"/>
      <c r="BI121" s="476"/>
      <c r="BJ121" s="476"/>
      <c r="BK121" s="476"/>
      <c r="BL121" s="480"/>
    </row>
    <row r="122" spans="1:64">
      <c r="A122" s="468">
        <v>43913</v>
      </c>
      <c r="B122" s="473">
        <v>83</v>
      </c>
      <c r="C122" s="473">
        <v>283</v>
      </c>
      <c r="D122" s="470" t="s">
        <v>615</v>
      </c>
      <c r="E122" s="469">
        <v>13</v>
      </c>
      <c r="F122" s="470" t="s">
        <v>88</v>
      </c>
      <c r="G122" s="469">
        <v>534</v>
      </c>
      <c r="H122" s="470" t="s">
        <v>6248</v>
      </c>
      <c r="I122" s="470" t="s">
        <v>836</v>
      </c>
      <c r="J122" s="469">
        <v>15</v>
      </c>
      <c r="K122" s="470" t="s">
        <v>6269</v>
      </c>
      <c r="L122" s="470" t="s">
        <v>6286</v>
      </c>
      <c r="M122" s="470" t="s">
        <v>9</v>
      </c>
      <c r="N122" s="473">
        <v>1</v>
      </c>
      <c r="O122" s="471"/>
      <c r="P122" s="471"/>
      <c r="Q122" s="471"/>
      <c r="R122" s="470"/>
      <c r="S122" s="471">
        <v>0.17887731481481481</v>
      </c>
      <c r="T122" s="471">
        <v>0.24554398148148149</v>
      </c>
      <c r="U122" s="471"/>
      <c r="V122" s="471"/>
      <c r="W122" s="471">
        <v>0.50189814814814815</v>
      </c>
      <c r="X122" s="471">
        <v>0.75825231481481481</v>
      </c>
      <c r="Y122" s="471">
        <v>0.24861111111111112</v>
      </c>
      <c r="Z122" s="471">
        <v>0.48958333333333331</v>
      </c>
      <c r="AA122" s="471">
        <v>0.7319444444444444</v>
      </c>
      <c r="AB122" s="470" t="s">
        <v>6289</v>
      </c>
      <c r="AC122" s="473">
        <v>131</v>
      </c>
      <c r="AD122" s="470" t="s">
        <v>119</v>
      </c>
      <c r="AE122" s="470"/>
      <c r="AF122" s="473">
        <v>14.6</v>
      </c>
      <c r="AG122" s="469">
        <v>66.7</v>
      </c>
      <c r="AH122" s="470" t="s">
        <v>6309</v>
      </c>
      <c r="AI122" s="470" t="s">
        <v>6318</v>
      </c>
      <c r="AJ122" s="470" t="s">
        <v>6493</v>
      </c>
      <c r="AK122" s="470" t="s">
        <v>6493</v>
      </c>
      <c r="AL122" s="470"/>
      <c r="AM122" s="470"/>
      <c r="AN122" s="470"/>
      <c r="AO122" s="470"/>
      <c r="AP122" s="470"/>
      <c r="AQ122" s="470"/>
      <c r="AR122" s="470"/>
      <c r="AS122" s="470"/>
      <c r="AT122" s="470"/>
      <c r="AU122" s="470"/>
      <c r="AV122" s="470"/>
      <c r="AW122" s="470"/>
      <c r="AX122" s="470"/>
      <c r="AY122" s="470"/>
      <c r="AZ122" s="470"/>
      <c r="BA122" s="470"/>
      <c r="BB122" s="470"/>
      <c r="BC122" s="470"/>
      <c r="BD122" s="470"/>
      <c r="BE122" s="470"/>
      <c r="BF122" s="470"/>
      <c r="BG122" s="470"/>
      <c r="BH122" s="470"/>
      <c r="BI122" s="470"/>
      <c r="BJ122" s="470"/>
      <c r="BK122" s="470"/>
      <c r="BL122" s="474"/>
    </row>
    <row r="123" spans="1:64">
      <c r="A123" s="475">
        <v>43914</v>
      </c>
      <c r="B123" s="478">
        <v>84</v>
      </c>
      <c r="C123" s="478">
        <v>282</v>
      </c>
      <c r="D123" s="476" t="s">
        <v>615</v>
      </c>
      <c r="E123" s="477">
        <v>13</v>
      </c>
      <c r="F123" s="476" t="s">
        <v>91</v>
      </c>
      <c r="G123" s="477">
        <v>534</v>
      </c>
      <c r="H123" s="476" t="s">
        <v>6248</v>
      </c>
      <c r="I123" s="476" t="s">
        <v>6257</v>
      </c>
      <c r="J123" s="477">
        <v>16</v>
      </c>
      <c r="K123" s="476" t="s">
        <v>6270</v>
      </c>
      <c r="L123" s="476" t="s">
        <v>6286</v>
      </c>
      <c r="M123" s="476" t="s">
        <v>9</v>
      </c>
      <c r="N123" s="478">
        <v>1</v>
      </c>
      <c r="O123" s="479"/>
      <c r="P123" s="479"/>
      <c r="Q123" s="479"/>
      <c r="R123" s="476"/>
      <c r="S123" s="479">
        <v>0.1777199074074074</v>
      </c>
      <c r="T123" s="479">
        <v>0.24438657407407408</v>
      </c>
      <c r="U123" s="479"/>
      <c r="V123" s="479"/>
      <c r="W123" s="479">
        <v>0.50168981481481478</v>
      </c>
      <c r="X123" s="479">
        <v>0.75899305555555552</v>
      </c>
      <c r="Y123" s="479">
        <v>0.26527777777777778</v>
      </c>
      <c r="Z123" s="479">
        <v>0.51736111111111105</v>
      </c>
      <c r="AA123" s="479">
        <v>0.77222222222222225</v>
      </c>
      <c r="AB123" s="476" t="s">
        <v>6463</v>
      </c>
      <c r="AC123" s="478">
        <v>152</v>
      </c>
      <c r="AD123" s="476" t="s">
        <v>110</v>
      </c>
      <c r="AE123" s="476" t="s">
        <v>6516</v>
      </c>
      <c r="AF123" s="478">
        <v>5.2</v>
      </c>
      <c r="AG123" s="477">
        <v>55.6</v>
      </c>
      <c r="AH123" s="476" t="s">
        <v>6310</v>
      </c>
      <c r="AI123" s="476" t="s">
        <v>6319</v>
      </c>
      <c r="AJ123" s="476" t="s">
        <v>6493</v>
      </c>
      <c r="AK123" s="476" t="s">
        <v>6493</v>
      </c>
      <c r="AL123" s="476"/>
      <c r="AM123" s="476"/>
      <c r="AN123" s="476"/>
      <c r="AO123" s="476"/>
      <c r="AP123" s="476"/>
      <c r="AQ123" s="476"/>
      <c r="AR123" s="476"/>
      <c r="AS123" s="476"/>
      <c r="AT123" s="476"/>
      <c r="AU123" s="476"/>
      <c r="AV123" s="476"/>
      <c r="AW123" s="476"/>
      <c r="AX123" s="476"/>
      <c r="AY123" s="476"/>
      <c r="AZ123" s="476"/>
      <c r="BA123" s="476"/>
      <c r="BB123" s="476"/>
      <c r="BC123" s="476"/>
      <c r="BD123" s="476"/>
      <c r="BE123" s="476"/>
      <c r="BF123" s="476"/>
      <c r="BG123" s="476"/>
      <c r="BH123" s="476"/>
      <c r="BI123" s="476"/>
      <c r="BJ123" s="476"/>
      <c r="BK123" s="476"/>
      <c r="BL123" s="480"/>
    </row>
    <row r="124" spans="1:64">
      <c r="A124" s="468">
        <v>43915</v>
      </c>
      <c r="B124" s="473">
        <v>85</v>
      </c>
      <c r="C124" s="473">
        <v>281</v>
      </c>
      <c r="D124" s="470" t="s">
        <v>615</v>
      </c>
      <c r="E124" s="469">
        <v>13</v>
      </c>
      <c r="F124" s="470" t="s">
        <v>94</v>
      </c>
      <c r="G124" s="469">
        <v>534</v>
      </c>
      <c r="H124" s="470" t="s">
        <v>6248</v>
      </c>
      <c r="I124" s="470" t="s">
        <v>6257</v>
      </c>
      <c r="J124" s="469">
        <v>16</v>
      </c>
      <c r="K124" s="470" t="s">
        <v>6270</v>
      </c>
      <c r="L124" s="470" t="s">
        <v>6287</v>
      </c>
      <c r="M124" s="470" t="s">
        <v>10</v>
      </c>
      <c r="N124" s="473">
        <v>1</v>
      </c>
      <c r="O124" s="471"/>
      <c r="P124" s="471"/>
      <c r="Q124" s="471"/>
      <c r="R124" s="470"/>
      <c r="S124" s="471">
        <v>0.17657407407407408</v>
      </c>
      <c r="T124" s="471">
        <v>0.24324074074074073</v>
      </c>
      <c r="U124" s="471"/>
      <c r="V124" s="471"/>
      <c r="W124" s="471">
        <v>0.50148148148148153</v>
      </c>
      <c r="X124" s="471">
        <v>0.7597222222222223</v>
      </c>
      <c r="Y124" s="471">
        <v>0.28125</v>
      </c>
      <c r="Z124" s="471">
        <v>0.54583333333333328</v>
      </c>
      <c r="AA124" s="471">
        <v>0.8125</v>
      </c>
      <c r="AB124" s="470" t="s">
        <v>6463</v>
      </c>
      <c r="AC124" s="473">
        <v>152</v>
      </c>
      <c r="AD124" s="470" t="s">
        <v>110</v>
      </c>
      <c r="AE124" s="470"/>
      <c r="AF124" s="473">
        <v>95.7</v>
      </c>
      <c r="AG124" s="469">
        <v>44.5</v>
      </c>
      <c r="AH124" s="470" t="s">
        <v>6311</v>
      </c>
      <c r="AI124" s="470" t="s">
        <v>6341</v>
      </c>
      <c r="AJ124" s="470" t="s">
        <v>6493</v>
      </c>
      <c r="AK124" s="470" t="s">
        <v>6493</v>
      </c>
      <c r="AL124" s="470" t="s">
        <v>6727</v>
      </c>
      <c r="AM124" s="470"/>
      <c r="AN124" s="470"/>
      <c r="AO124" s="470"/>
      <c r="AP124" s="470"/>
      <c r="AQ124" s="470"/>
      <c r="AR124" s="470"/>
      <c r="AS124" s="470"/>
      <c r="AT124" s="470"/>
      <c r="AU124" s="470"/>
      <c r="AV124" s="470"/>
      <c r="AW124" s="470"/>
      <c r="AX124" s="470"/>
      <c r="AY124" s="470"/>
      <c r="AZ124" s="470"/>
      <c r="BA124" s="470"/>
      <c r="BB124" s="470"/>
      <c r="BC124" s="470"/>
      <c r="BD124" s="470"/>
      <c r="BE124" s="470"/>
      <c r="BF124" s="470"/>
      <c r="BG124" s="470"/>
      <c r="BH124" s="470"/>
      <c r="BI124" s="470"/>
      <c r="BJ124" s="470"/>
      <c r="BK124" s="470"/>
      <c r="BL124" s="474"/>
    </row>
    <row r="125" spans="1:64">
      <c r="A125" s="475">
        <v>43916</v>
      </c>
      <c r="B125" s="478">
        <v>86</v>
      </c>
      <c r="C125" s="478">
        <v>280</v>
      </c>
      <c r="D125" s="476" t="s">
        <v>615</v>
      </c>
      <c r="E125" s="477">
        <v>13</v>
      </c>
      <c r="F125" s="476" t="s">
        <v>6714</v>
      </c>
      <c r="G125" s="477">
        <v>534</v>
      </c>
      <c r="H125" s="476" t="s">
        <v>6248</v>
      </c>
      <c r="I125" s="476" t="s">
        <v>6257</v>
      </c>
      <c r="J125" s="477">
        <v>17</v>
      </c>
      <c r="K125" s="476" t="s">
        <v>1034</v>
      </c>
      <c r="L125" s="476" t="s">
        <v>6273</v>
      </c>
      <c r="M125" s="476" t="s">
        <v>9</v>
      </c>
      <c r="N125" s="478">
        <v>1</v>
      </c>
      <c r="O125" s="479"/>
      <c r="P125" s="479"/>
      <c r="Q125" s="479"/>
      <c r="R125" s="476"/>
      <c r="S125" s="479">
        <v>0.17542824074074073</v>
      </c>
      <c r="T125" s="479">
        <v>0.24209490740740738</v>
      </c>
      <c r="U125" s="479"/>
      <c r="V125" s="479"/>
      <c r="W125" s="479">
        <v>0.50127314814814816</v>
      </c>
      <c r="X125" s="479">
        <v>0.76045138888888886</v>
      </c>
      <c r="Y125" s="479">
        <v>0.29791666666666666</v>
      </c>
      <c r="Z125" s="479">
        <v>0.57430555555555551</v>
      </c>
      <c r="AA125" s="479">
        <v>0.8534722222222223</v>
      </c>
      <c r="AB125" s="476" t="s">
        <v>6463</v>
      </c>
      <c r="AC125" s="478">
        <v>152</v>
      </c>
      <c r="AD125" s="476" t="s">
        <v>110</v>
      </c>
      <c r="AE125" s="476"/>
      <c r="AF125" s="478">
        <v>86.3</v>
      </c>
      <c r="AG125" s="477">
        <v>33.5</v>
      </c>
      <c r="AH125" s="476" t="s">
        <v>6312</v>
      </c>
      <c r="AI125" s="476" t="s">
        <v>6341</v>
      </c>
      <c r="AJ125" s="476" t="s">
        <v>6493</v>
      </c>
      <c r="AK125" s="476" t="s">
        <v>6493</v>
      </c>
      <c r="AL125" s="476"/>
      <c r="AM125" s="476"/>
      <c r="AN125" s="476"/>
      <c r="AO125" s="476"/>
      <c r="AP125" s="476"/>
      <c r="AQ125" s="476"/>
      <c r="AR125" s="476"/>
      <c r="AS125" s="476"/>
      <c r="AT125" s="476"/>
      <c r="AU125" s="476"/>
      <c r="AV125" s="476"/>
      <c r="AW125" s="476"/>
      <c r="AX125" s="476"/>
      <c r="AY125" s="476"/>
      <c r="AZ125" s="476"/>
      <c r="BA125" s="476"/>
      <c r="BB125" s="476"/>
      <c r="BC125" s="476"/>
      <c r="BD125" s="476"/>
      <c r="BE125" s="476"/>
      <c r="BF125" s="476"/>
      <c r="BG125" s="476"/>
      <c r="BH125" s="476"/>
      <c r="BI125" s="476"/>
      <c r="BJ125" s="476"/>
      <c r="BK125" s="476"/>
      <c r="BL125" s="480"/>
    </row>
    <row r="126" spans="1:64">
      <c r="A126" s="468">
        <v>43917</v>
      </c>
      <c r="B126" s="473">
        <v>87</v>
      </c>
      <c r="C126" s="473">
        <v>279</v>
      </c>
      <c r="D126" s="470" t="s">
        <v>615</v>
      </c>
      <c r="E126" s="469">
        <v>13</v>
      </c>
      <c r="F126" s="470" t="s">
        <v>100</v>
      </c>
      <c r="G126" s="469">
        <v>534</v>
      </c>
      <c r="H126" s="470" t="s">
        <v>6248</v>
      </c>
      <c r="I126" s="470" t="s">
        <v>6257</v>
      </c>
      <c r="J126" s="469">
        <v>18</v>
      </c>
      <c r="K126" s="470" t="s">
        <v>6258</v>
      </c>
      <c r="L126" s="470" t="s">
        <v>6274</v>
      </c>
      <c r="M126" s="470" t="s">
        <v>9</v>
      </c>
      <c r="N126" s="473">
        <v>1</v>
      </c>
      <c r="O126" s="471"/>
      <c r="P126" s="471"/>
      <c r="Q126" s="471"/>
      <c r="R126" s="470"/>
      <c r="S126" s="471">
        <v>0.17427083333333335</v>
      </c>
      <c r="T126" s="471">
        <v>0.2409375</v>
      </c>
      <c r="U126" s="471"/>
      <c r="V126" s="471"/>
      <c r="W126" s="471">
        <v>0.5010648148148148</v>
      </c>
      <c r="X126" s="471">
        <v>0.76118055555555564</v>
      </c>
      <c r="Y126" s="471">
        <v>0.31597222222222221</v>
      </c>
      <c r="Z126" s="471">
        <v>0.60347222222222219</v>
      </c>
      <c r="AA126" s="471">
        <v>0.89444444444444438</v>
      </c>
      <c r="AB126" s="470" t="s">
        <v>6463</v>
      </c>
      <c r="AC126" s="473">
        <v>152</v>
      </c>
      <c r="AD126" s="470" t="s">
        <v>110</v>
      </c>
      <c r="AE126" s="470"/>
      <c r="AF126" s="473">
        <v>77.3</v>
      </c>
      <c r="AG126" s="469">
        <v>22.8</v>
      </c>
      <c r="AH126" s="470" t="s">
        <v>6313</v>
      </c>
      <c r="AI126" s="470" t="s">
        <v>6320</v>
      </c>
      <c r="AJ126" s="470" t="s">
        <v>6493</v>
      </c>
      <c r="AK126" s="470" t="s">
        <v>6493</v>
      </c>
      <c r="AL126" s="470"/>
      <c r="AM126" s="470"/>
      <c r="AN126" s="470"/>
      <c r="AO126" s="470"/>
      <c r="AP126" s="470"/>
      <c r="AQ126" s="470"/>
      <c r="AR126" s="470"/>
      <c r="AS126" s="470"/>
      <c r="AT126" s="470"/>
      <c r="AU126" s="470"/>
      <c r="AV126" s="470"/>
      <c r="AW126" s="470"/>
      <c r="AX126" s="470"/>
      <c r="AY126" s="470"/>
      <c r="AZ126" s="470"/>
      <c r="BA126" s="470"/>
      <c r="BB126" s="470"/>
      <c r="BC126" s="470"/>
      <c r="BD126" s="470"/>
      <c r="BE126" s="470"/>
      <c r="BF126" s="470"/>
      <c r="BG126" s="470"/>
      <c r="BH126" s="470"/>
      <c r="BI126" s="470"/>
      <c r="BJ126" s="470"/>
      <c r="BK126" s="470"/>
      <c r="BL126" s="474"/>
    </row>
    <row r="127" spans="1:64">
      <c r="A127" s="475">
        <v>43918</v>
      </c>
      <c r="B127" s="478">
        <v>88</v>
      </c>
      <c r="C127" s="478">
        <v>278</v>
      </c>
      <c r="D127" s="476" t="s">
        <v>615</v>
      </c>
      <c r="E127" s="477">
        <v>13</v>
      </c>
      <c r="F127" s="476" t="s">
        <v>103</v>
      </c>
      <c r="G127" s="477">
        <v>534</v>
      </c>
      <c r="H127" s="476" t="s">
        <v>6248</v>
      </c>
      <c r="I127" s="476" t="s">
        <v>6257</v>
      </c>
      <c r="J127" s="477">
        <v>19</v>
      </c>
      <c r="K127" s="476" t="s">
        <v>6259</v>
      </c>
      <c r="L127" s="476" t="s">
        <v>6275</v>
      </c>
      <c r="M127" s="476" t="s">
        <v>9</v>
      </c>
      <c r="N127" s="478">
        <v>1</v>
      </c>
      <c r="O127" s="479"/>
      <c r="P127" s="479"/>
      <c r="Q127" s="479"/>
      <c r="R127" s="476"/>
      <c r="S127" s="479">
        <v>0.173125</v>
      </c>
      <c r="T127" s="479">
        <v>0.23979166666666665</v>
      </c>
      <c r="U127" s="479"/>
      <c r="V127" s="479"/>
      <c r="W127" s="479">
        <v>0.50085648148148143</v>
      </c>
      <c r="X127" s="479">
        <v>0.7619097222222222</v>
      </c>
      <c r="Y127" s="479">
        <v>0.3354166666666667</v>
      </c>
      <c r="Z127" s="479">
        <v>0.63402777777777775</v>
      </c>
      <c r="AA127" s="479">
        <v>0.93680555555555556</v>
      </c>
      <c r="AB127" s="476" t="s">
        <v>6463</v>
      </c>
      <c r="AC127" s="478">
        <v>152</v>
      </c>
      <c r="AD127" s="476" t="s">
        <v>110</v>
      </c>
      <c r="AE127" s="476"/>
      <c r="AF127" s="478">
        <v>68.900000000000006</v>
      </c>
      <c r="AG127" s="477">
        <v>12.7</v>
      </c>
      <c r="AH127" s="476" t="s">
        <v>6314</v>
      </c>
      <c r="AI127" s="476" t="s">
        <v>6321</v>
      </c>
      <c r="AJ127" s="476" t="s">
        <v>6493</v>
      </c>
      <c r="AK127" s="476" t="s">
        <v>6493</v>
      </c>
      <c r="AL127" s="476"/>
      <c r="AM127" s="476"/>
      <c r="AN127" s="476"/>
      <c r="AO127" s="476"/>
      <c r="AP127" s="476"/>
      <c r="AQ127" s="476"/>
      <c r="AR127" s="476"/>
      <c r="AS127" s="476"/>
      <c r="AT127" s="476"/>
      <c r="AU127" s="476"/>
      <c r="AV127" s="476"/>
      <c r="AW127" s="476"/>
      <c r="AX127" s="476"/>
      <c r="AY127" s="476"/>
      <c r="AZ127" s="476"/>
      <c r="BA127" s="476"/>
      <c r="BB127" s="476"/>
      <c r="BC127" s="476"/>
      <c r="BD127" s="476"/>
      <c r="BE127" s="476"/>
      <c r="BF127" s="476"/>
      <c r="BG127" s="476"/>
      <c r="BH127" s="476"/>
      <c r="BI127" s="476"/>
      <c r="BJ127" s="476"/>
      <c r="BK127" s="476"/>
      <c r="BL127" s="480"/>
    </row>
    <row r="128" spans="1:64">
      <c r="A128" s="468">
        <v>43919</v>
      </c>
      <c r="B128" s="473">
        <v>89</v>
      </c>
      <c r="C128" s="473">
        <v>277</v>
      </c>
      <c r="D128" s="470" t="s">
        <v>615</v>
      </c>
      <c r="E128" s="469">
        <v>13</v>
      </c>
      <c r="F128" s="470" t="s">
        <v>106</v>
      </c>
      <c r="G128" s="469">
        <v>534</v>
      </c>
      <c r="H128" s="470" t="s">
        <v>6248</v>
      </c>
      <c r="I128" s="470" t="s">
        <v>6257</v>
      </c>
      <c r="J128" s="469">
        <v>20</v>
      </c>
      <c r="K128" s="470" t="s">
        <v>6260</v>
      </c>
      <c r="L128" s="470" t="s">
        <v>6276</v>
      </c>
      <c r="M128" s="470" t="s">
        <v>9</v>
      </c>
      <c r="N128" s="473">
        <v>1</v>
      </c>
      <c r="O128" s="471"/>
      <c r="P128" s="471"/>
      <c r="Q128" s="471"/>
      <c r="R128" s="470"/>
      <c r="S128" s="471">
        <v>0.17197916666666668</v>
      </c>
      <c r="T128" s="471">
        <v>0.23864583333333333</v>
      </c>
      <c r="U128" s="471"/>
      <c r="V128" s="471"/>
      <c r="W128" s="471">
        <v>0.50064814814814818</v>
      </c>
      <c r="X128" s="471">
        <v>0.76263888888888898</v>
      </c>
      <c r="Y128" s="471">
        <v>0.3576388888888889</v>
      </c>
      <c r="Z128" s="471">
        <v>0.66666666666666663</v>
      </c>
      <c r="AA128" s="471">
        <v>0.9784722222222223</v>
      </c>
      <c r="AB128" s="470" t="s">
        <v>6463</v>
      </c>
      <c r="AC128" s="473">
        <v>152</v>
      </c>
      <c r="AD128" s="470" t="s">
        <v>110</v>
      </c>
      <c r="AE128" s="470"/>
      <c r="AF128" s="473">
        <v>61.6</v>
      </c>
      <c r="AG128" s="469">
        <v>3.5</v>
      </c>
      <c r="AH128" s="470" t="s">
        <v>973</v>
      </c>
      <c r="AI128" s="470" t="s">
        <v>6322</v>
      </c>
      <c r="AJ128" s="470" t="s">
        <v>839</v>
      </c>
      <c r="AK128" s="470" t="s">
        <v>6493</v>
      </c>
      <c r="AL128" s="470" t="s">
        <v>6758</v>
      </c>
      <c r="AM128" s="470" t="s">
        <v>6346</v>
      </c>
      <c r="AN128" s="470"/>
      <c r="AO128" s="470"/>
      <c r="AP128" s="470"/>
      <c r="AQ128" s="470"/>
      <c r="AR128" s="470"/>
      <c r="AS128" s="470"/>
      <c r="AT128" s="470"/>
      <c r="AU128" s="470"/>
      <c r="AV128" s="470"/>
      <c r="AW128" s="470"/>
      <c r="AX128" s="470"/>
      <c r="AY128" s="470"/>
      <c r="AZ128" s="470"/>
      <c r="BA128" s="470"/>
      <c r="BB128" s="470"/>
      <c r="BC128" s="470"/>
      <c r="BD128" s="470"/>
      <c r="BE128" s="470"/>
      <c r="BF128" s="470"/>
      <c r="BG128" s="470"/>
      <c r="BH128" s="470"/>
      <c r="BI128" s="470"/>
      <c r="BJ128" s="470" t="s">
        <v>6377</v>
      </c>
      <c r="BK128" s="470"/>
      <c r="BL128" s="474"/>
    </row>
    <row r="129" spans="1:64">
      <c r="A129" s="475">
        <v>43920</v>
      </c>
      <c r="B129" s="478">
        <v>90</v>
      </c>
      <c r="C129" s="478">
        <v>276</v>
      </c>
      <c r="D129" s="476" t="s">
        <v>615</v>
      </c>
      <c r="E129" s="477">
        <v>14</v>
      </c>
      <c r="F129" s="476" t="s">
        <v>88</v>
      </c>
      <c r="G129" s="477">
        <v>534</v>
      </c>
      <c r="H129" s="476" t="s">
        <v>6248</v>
      </c>
      <c r="I129" s="476" t="s">
        <v>6257</v>
      </c>
      <c r="J129" s="477">
        <v>21</v>
      </c>
      <c r="K129" s="476" t="s">
        <v>6261</v>
      </c>
      <c r="L129" s="476" t="s">
        <v>6277</v>
      </c>
      <c r="M129" s="476" t="s">
        <v>9</v>
      </c>
      <c r="N129" s="478">
        <v>1</v>
      </c>
      <c r="O129" s="479"/>
      <c r="P129" s="479"/>
      <c r="Q129" s="479"/>
      <c r="R129" s="476"/>
      <c r="S129" s="479">
        <v>0.1708449074074074</v>
      </c>
      <c r="T129" s="479">
        <v>0.23751157407407408</v>
      </c>
      <c r="U129" s="479"/>
      <c r="V129" s="479"/>
      <c r="W129" s="479">
        <v>0.50043981481481481</v>
      </c>
      <c r="X129" s="479">
        <v>0.76336805555555554</v>
      </c>
      <c r="Y129" s="479">
        <v>0.3840277777777778</v>
      </c>
      <c r="Z129" s="479">
        <v>0.7006944444444444</v>
      </c>
      <c r="AA129" s="479" t="s">
        <v>1107</v>
      </c>
      <c r="AB129" s="476" t="s">
        <v>6463</v>
      </c>
      <c r="AC129" s="478">
        <v>152</v>
      </c>
      <c r="AD129" s="476" t="s">
        <v>110</v>
      </c>
      <c r="AE129" s="476"/>
      <c r="AF129" s="478">
        <v>55.8</v>
      </c>
      <c r="AG129" s="477">
        <v>95.7</v>
      </c>
      <c r="AH129" s="476" t="s">
        <v>973</v>
      </c>
      <c r="AI129" s="476" t="s">
        <v>6323</v>
      </c>
      <c r="AJ129" s="476" t="s">
        <v>6493</v>
      </c>
      <c r="AK129" s="476" t="s">
        <v>6493</v>
      </c>
      <c r="AL129" s="476"/>
      <c r="AM129" s="476"/>
      <c r="AN129" s="476"/>
      <c r="AO129" s="476"/>
      <c r="AP129" s="476"/>
      <c r="AQ129" s="476"/>
      <c r="AR129" s="476"/>
      <c r="AS129" s="476"/>
      <c r="AT129" s="476"/>
      <c r="AU129" s="476"/>
      <c r="AV129" s="476"/>
      <c r="AW129" s="476"/>
      <c r="AX129" s="476"/>
      <c r="AY129" s="476"/>
      <c r="AZ129" s="476"/>
      <c r="BA129" s="476"/>
      <c r="BB129" s="476"/>
      <c r="BC129" s="476"/>
      <c r="BD129" s="476"/>
      <c r="BE129" s="476"/>
      <c r="BF129" s="476"/>
      <c r="BG129" s="476"/>
      <c r="BH129" s="476"/>
      <c r="BI129" s="476"/>
      <c r="BJ129" s="476"/>
      <c r="BK129" s="476"/>
      <c r="BL129" s="480"/>
    </row>
    <row r="130" spans="1:64">
      <c r="A130" s="468">
        <v>43921</v>
      </c>
      <c r="B130" s="473">
        <v>91</v>
      </c>
      <c r="C130" s="473">
        <v>275</v>
      </c>
      <c r="D130" s="470" t="s">
        <v>615</v>
      </c>
      <c r="E130" s="469">
        <v>14</v>
      </c>
      <c r="F130" s="470" t="s">
        <v>91</v>
      </c>
      <c r="G130" s="469">
        <v>534</v>
      </c>
      <c r="H130" s="470" t="s">
        <v>6248</v>
      </c>
      <c r="I130" s="470" t="s">
        <v>6257</v>
      </c>
      <c r="J130" s="469">
        <v>22</v>
      </c>
      <c r="K130" s="470" t="s">
        <v>6262</v>
      </c>
      <c r="L130" s="470" t="s">
        <v>6278</v>
      </c>
      <c r="M130" s="470" t="s">
        <v>9</v>
      </c>
      <c r="N130" s="473">
        <v>1</v>
      </c>
      <c r="O130" s="471"/>
      <c r="P130" s="471"/>
      <c r="Q130" s="471"/>
      <c r="R130" s="470"/>
      <c r="S130" s="471">
        <v>0.16969907407407406</v>
      </c>
      <c r="T130" s="471">
        <v>0.23636574074074077</v>
      </c>
      <c r="U130" s="471"/>
      <c r="V130" s="471"/>
      <c r="W130" s="471">
        <v>0.50023148148148155</v>
      </c>
      <c r="X130" s="471">
        <v>0.76409722222222232</v>
      </c>
      <c r="Y130" s="471">
        <v>0.4152777777777778</v>
      </c>
      <c r="Z130" s="471">
        <v>0.73749999999999993</v>
      </c>
      <c r="AA130" s="471">
        <v>2.013888888888889E-2</v>
      </c>
      <c r="AB130" s="470" t="s">
        <v>6463</v>
      </c>
      <c r="AC130" s="473">
        <v>152</v>
      </c>
      <c r="AD130" s="470" t="s">
        <v>110</v>
      </c>
      <c r="AE130" s="470"/>
      <c r="AF130" s="473">
        <v>52.1</v>
      </c>
      <c r="AG130" s="469">
        <v>89.7</v>
      </c>
      <c r="AH130" s="470" t="s">
        <v>6290</v>
      </c>
      <c r="AI130" s="470" t="s">
        <v>6324</v>
      </c>
      <c r="AJ130" s="470" t="s">
        <v>6493</v>
      </c>
      <c r="AK130" s="470" t="s">
        <v>6493</v>
      </c>
      <c r="AL130" s="470"/>
      <c r="AM130" s="470"/>
      <c r="AN130" s="470"/>
      <c r="AO130" s="470"/>
      <c r="AP130" s="470"/>
      <c r="AQ130" s="470"/>
      <c r="AR130" s="470"/>
      <c r="AS130" s="470"/>
      <c r="AT130" s="470"/>
      <c r="AU130" s="470"/>
      <c r="AV130" s="470"/>
      <c r="AW130" s="470"/>
      <c r="AX130" s="470"/>
      <c r="AY130" s="470"/>
      <c r="AZ130" s="470"/>
      <c r="BA130" s="470"/>
      <c r="BB130" s="470"/>
      <c r="BC130" s="470"/>
      <c r="BD130" s="470"/>
      <c r="BE130" s="470"/>
      <c r="BF130" s="470"/>
      <c r="BG130" s="470"/>
      <c r="BH130" s="470"/>
      <c r="BI130" s="470"/>
      <c r="BJ130" s="470"/>
      <c r="BK130" s="470"/>
      <c r="BL130" s="474"/>
    </row>
    <row r="131" spans="1:64">
      <c r="A131" s="475">
        <v>43922</v>
      </c>
      <c r="B131" s="478">
        <v>92</v>
      </c>
      <c r="C131" s="478">
        <v>274</v>
      </c>
      <c r="D131" s="476" t="s">
        <v>618</v>
      </c>
      <c r="E131" s="477">
        <v>14</v>
      </c>
      <c r="F131" s="476" t="s">
        <v>94</v>
      </c>
      <c r="G131" s="477">
        <v>534</v>
      </c>
      <c r="H131" s="476" t="s">
        <v>6248</v>
      </c>
      <c r="I131" s="476" t="s">
        <v>6257</v>
      </c>
      <c r="J131" s="477">
        <v>23</v>
      </c>
      <c r="K131" s="476" t="s">
        <v>6263</v>
      </c>
      <c r="L131" s="476" t="s">
        <v>6279</v>
      </c>
      <c r="M131" s="476" t="s">
        <v>9</v>
      </c>
      <c r="N131" s="478">
        <v>1</v>
      </c>
      <c r="O131" s="479"/>
      <c r="P131" s="479"/>
      <c r="Q131" s="479"/>
      <c r="R131" s="476"/>
      <c r="S131" s="479">
        <v>0.16856481481481481</v>
      </c>
      <c r="T131" s="479">
        <v>0.23523148148148146</v>
      </c>
      <c r="U131" s="479"/>
      <c r="V131" s="479"/>
      <c r="W131" s="479">
        <v>0.50002314814814819</v>
      </c>
      <c r="X131" s="479">
        <v>0.76482638888888888</v>
      </c>
      <c r="Y131" s="479">
        <v>0.45277777777777778</v>
      </c>
      <c r="Z131" s="479">
        <v>0.77569444444444446</v>
      </c>
      <c r="AA131" s="479">
        <v>6.0416666666666667E-2</v>
      </c>
      <c r="AB131" s="476" t="s">
        <v>6464</v>
      </c>
      <c r="AC131" s="478">
        <v>130</v>
      </c>
      <c r="AD131" s="476" t="s">
        <v>113</v>
      </c>
      <c r="AE131" s="476" t="s">
        <v>6517</v>
      </c>
      <c r="AF131" s="478">
        <v>51.1</v>
      </c>
      <c r="AG131" s="477">
        <v>86.3</v>
      </c>
      <c r="AH131" s="476" t="s">
        <v>6315</v>
      </c>
      <c r="AI131" s="476" t="s">
        <v>6325</v>
      </c>
      <c r="AJ131" s="476" t="s">
        <v>6493</v>
      </c>
      <c r="AK131" s="476" t="s">
        <v>6493</v>
      </c>
      <c r="AL131" s="476"/>
      <c r="AM131" s="476"/>
      <c r="AN131" s="476"/>
      <c r="AO131" s="476"/>
      <c r="AP131" s="476"/>
      <c r="AQ131" s="476"/>
      <c r="AR131" s="476"/>
      <c r="AS131" s="476"/>
      <c r="AT131" s="476"/>
      <c r="AU131" s="476"/>
      <c r="AV131" s="476"/>
      <c r="AW131" s="476"/>
      <c r="AX131" s="476"/>
      <c r="AY131" s="476"/>
      <c r="AZ131" s="476"/>
      <c r="BA131" s="476"/>
      <c r="BB131" s="476"/>
      <c r="BC131" s="476"/>
      <c r="BD131" s="476"/>
      <c r="BE131" s="476"/>
      <c r="BF131" s="476"/>
      <c r="BG131" s="476"/>
      <c r="BH131" s="476"/>
      <c r="BI131" s="476"/>
      <c r="BJ131" s="476"/>
      <c r="BK131" s="476"/>
      <c r="BL131" s="480"/>
    </row>
    <row r="132" spans="1:64">
      <c r="A132" s="468">
        <v>43923</v>
      </c>
      <c r="B132" s="473">
        <v>93</v>
      </c>
      <c r="C132" s="473">
        <v>273</v>
      </c>
      <c r="D132" s="470" t="s">
        <v>618</v>
      </c>
      <c r="E132" s="469">
        <v>14</v>
      </c>
      <c r="F132" s="470" t="s">
        <v>6714</v>
      </c>
      <c r="G132" s="469">
        <v>534</v>
      </c>
      <c r="H132" s="470" t="s">
        <v>6248</v>
      </c>
      <c r="I132" s="470" t="s">
        <v>6257</v>
      </c>
      <c r="J132" s="469">
        <v>24</v>
      </c>
      <c r="K132" s="470" t="s">
        <v>6264</v>
      </c>
      <c r="L132" s="470" t="s">
        <v>6280</v>
      </c>
      <c r="M132" s="470" t="s">
        <v>9</v>
      </c>
      <c r="N132" s="473">
        <v>1</v>
      </c>
      <c r="O132" s="471"/>
      <c r="P132" s="471"/>
      <c r="Q132" s="471"/>
      <c r="R132" s="470"/>
      <c r="S132" s="471">
        <v>0.16743055555555555</v>
      </c>
      <c r="T132" s="471">
        <v>0.23409722222222221</v>
      </c>
      <c r="U132" s="471"/>
      <c r="V132" s="471"/>
      <c r="W132" s="471">
        <v>0.49982638888888892</v>
      </c>
      <c r="X132" s="471">
        <v>0.76555555555555566</v>
      </c>
      <c r="Y132" s="471">
        <v>0.49513888888888885</v>
      </c>
      <c r="Z132" s="471">
        <v>0.81458333333333333</v>
      </c>
      <c r="AA132" s="471">
        <v>9.7222222222222224E-2</v>
      </c>
      <c r="AB132" s="470" t="s">
        <v>6464</v>
      </c>
      <c r="AC132" s="473">
        <v>130</v>
      </c>
      <c r="AD132" s="470" t="s">
        <v>113</v>
      </c>
      <c r="AE132" s="470"/>
      <c r="AF132" s="473">
        <v>53.4</v>
      </c>
      <c r="AG132" s="469">
        <v>85.7</v>
      </c>
      <c r="AH132" s="470" t="s">
        <v>6291</v>
      </c>
      <c r="AI132" s="470" t="s">
        <v>6327</v>
      </c>
      <c r="AJ132" s="470" t="s">
        <v>874</v>
      </c>
      <c r="AK132" s="470" t="s">
        <v>6493</v>
      </c>
      <c r="AL132" s="470" t="s">
        <v>6759</v>
      </c>
      <c r="AM132" s="470" t="s">
        <v>6347</v>
      </c>
      <c r="AN132" s="470" t="s">
        <v>6924</v>
      </c>
      <c r="AO132" s="470" t="s">
        <v>6351</v>
      </c>
      <c r="AP132" s="470"/>
      <c r="AQ132" s="470"/>
      <c r="AR132" s="470"/>
      <c r="AS132" s="470"/>
      <c r="AT132" s="470"/>
      <c r="AU132" s="470"/>
      <c r="AV132" s="470"/>
      <c r="AW132" s="470"/>
      <c r="AX132" s="470"/>
      <c r="AY132" s="470"/>
      <c r="AZ132" s="470"/>
      <c r="BA132" s="470"/>
      <c r="BB132" s="470"/>
      <c r="BC132" s="470"/>
      <c r="BD132" s="470"/>
      <c r="BE132" s="470"/>
      <c r="BF132" s="470"/>
      <c r="BG132" s="470"/>
      <c r="BH132" s="470"/>
      <c r="BI132" s="470"/>
      <c r="BJ132" s="470" t="s">
        <v>6378</v>
      </c>
      <c r="BK132" s="470"/>
      <c r="BL132" s="474"/>
    </row>
    <row r="133" spans="1:64">
      <c r="A133" s="475">
        <v>43924</v>
      </c>
      <c r="B133" s="478">
        <v>94</v>
      </c>
      <c r="C133" s="478">
        <v>272</v>
      </c>
      <c r="D133" s="476" t="s">
        <v>618</v>
      </c>
      <c r="E133" s="477">
        <v>14</v>
      </c>
      <c r="F133" s="476" t="s">
        <v>100</v>
      </c>
      <c r="G133" s="477">
        <v>534</v>
      </c>
      <c r="H133" s="476" t="s">
        <v>6248</v>
      </c>
      <c r="I133" s="476" t="s">
        <v>6257</v>
      </c>
      <c r="J133" s="477">
        <v>25</v>
      </c>
      <c r="K133" s="476" t="s">
        <v>6265</v>
      </c>
      <c r="L133" s="476" t="s">
        <v>6281</v>
      </c>
      <c r="M133" s="476" t="s">
        <v>9</v>
      </c>
      <c r="N133" s="478">
        <v>1</v>
      </c>
      <c r="O133" s="479"/>
      <c r="P133" s="479"/>
      <c r="Q133" s="479"/>
      <c r="R133" s="476"/>
      <c r="S133" s="479">
        <v>0.1662962962962963</v>
      </c>
      <c r="T133" s="479">
        <v>0.23296296296296296</v>
      </c>
      <c r="U133" s="479"/>
      <c r="V133" s="479"/>
      <c r="W133" s="479">
        <v>0.49961805555555555</v>
      </c>
      <c r="X133" s="479">
        <v>0.76628472222222221</v>
      </c>
      <c r="Y133" s="479">
        <v>0.54305555555555551</v>
      </c>
      <c r="Z133" s="479">
        <v>0.85416666666666663</v>
      </c>
      <c r="AA133" s="479">
        <v>0.13055555555555556</v>
      </c>
      <c r="AB133" s="476" t="s">
        <v>6464</v>
      </c>
      <c r="AC133" s="478">
        <v>130</v>
      </c>
      <c r="AD133" s="476" t="s">
        <v>113</v>
      </c>
      <c r="AE133" s="476"/>
      <c r="AF133" s="478">
        <v>59.5</v>
      </c>
      <c r="AG133" s="477">
        <v>88.6</v>
      </c>
      <c r="AH133" s="476" t="s">
        <v>6292</v>
      </c>
      <c r="AI133" s="476" t="s">
        <v>6328</v>
      </c>
      <c r="AJ133" s="476" t="s">
        <v>6493</v>
      </c>
      <c r="AK133" s="476" t="s">
        <v>6493</v>
      </c>
      <c r="AL133" s="476"/>
      <c r="AM133" s="476"/>
      <c r="AN133" s="476"/>
      <c r="AO133" s="476"/>
      <c r="AP133" s="476"/>
      <c r="AQ133" s="476"/>
      <c r="AR133" s="476"/>
      <c r="AS133" s="476"/>
      <c r="AT133" s="476"/>
      <c r="AU133" s="476"/>
      <c r="AV133" s="476"/>
      <c r="AW133" s="476"/>
      <c r="AX133" s="476"/>
      <c r="AY133" s="476"/>
      <c r="AZ133" s="476"/>
      <c r="BA133" s="476"/>
      <c r="BB133" s="476"/>
      <c r="BC133" s="476"/>
      <c r="BD133" s="476"/>
      <c r="BE133" s="476"/>
      <c r="BF133" s="476"/>
      <c r="BG133" s="476"/>
      <c r="BH133" s="476"/>
      <c r="BI133" s="476"/>
      <c r="BJ133" s="476"/>
      <c r="BK133" s="476"/>
      <c r="BL133" s="480"/>
    </row>
    <row r="134" spans="1:64">
      <c r="A134" s="468">
        <v>43925</v>
      </c>
      <c r="B134" s="473">
        <v>95</v>
      </c>
      <c r="C134" s="473">
        <v>271</v>
      </c>
      <c r="D134" s="470" t="s">
        <v>618</v>
      </c>
      <c r="E134" s="469">
        <v>14</v>
      </c>
      <c r="F134" s="470" t="s">
        <v>103</v>
      </c>
      <c r="G134" s="469">
        <v>534</v>
      </c>
      <c r="H134" s="470" t="s">
        <v>6248</v>
      </c>
      <c r="I134" s="470" t="s">
        <v>6257</v>
      </c>
      <c r="J134" s="469">
        <v>26</v>
      </c>
      <c r="K134" s="470" t="s">
        <v>6271</v>
      </c>
      <c r="L134" s="470" t="s">
        <v>6282</v>
      </c>
      <c r="M134" s="470" t="s">
        <v>9</v>
      </c>
      <c r="N134" s="473">
        <v>1</v>
      </c>
      <c r="O134" s="471"/>
      <c r="P134" s="471"/>
      <c r="Q134" s="471"/>
      <c r="R134" s="470"/>
      <c r="S134" s="471">
        <v>0.16516203703703705</v>
      </c>
      <c r="T134" s="471">
        <v>0.2318287037037037</v>
      </c>
      <c r="U134" s="471"/>
      <c r="V134" s="471"/>
      <c r="W134" s="471">
        <v>0.49942129629629628</v>
      </c>
      <c r="X134" s="471">
        <v>0.76701388888888899</v>
      </c>
      <c r="Y134" s="471">
        <v>0.59375</v>
      </c>
      <c r="Z134" s="471">
        <v>0.89236111111111116</v>
      </c>
      <c r="AA134" s="471">
        <v>0.16041666666666668</v>
      </c>
      <c r="AB134" s="470" t="s">
        <v>6464</v>
      </c>
      <c r="AC134" s="473">
        <v>130</v>
      </c>
      <c r="AD134" s="470" t="s">
        <v>113</v>
      </c>
      <c r="AE134" s="470"/>
      <c r="AF134" s="473">
        <v>69.599999999999994</v>
      </c>
      <c r="AG134" s="469">
        <v>95</v>
      </c>
      <c r="AH134" s="470" t="s">
        <v>6293</v>
      </c>
      <c r="AI134" s="470" t="s">
        <v>6329</v>
      </c>
      <c r="AJ134" s="470" t="s">
        <v>838</v>
      </c>
      <c r="AK134" s="470" t="s">
        <v>13</v>
      </c>
      <c r="AL134" s="470" t="s">
        <v>6760</v>
      </c>
      <c r="AM134" s="470" t="s">
        <v>6342</v>
      </c>
      <c r="AN134" s="470" t="s">
        <v>6925</v>
      </c>
      <c r="AO134" s="470" t="s">
        <v>6351</v>
      </c>
      <c r="AP134" s="470"/>
      <c r="AQ134" s="470"/>
      <c r="AR134" s="470"/>
      <c r="AS134" s="470"/>
      <c r="AT134" s="470"/>
      <c r="AU134" s="470"/>
      <c r="AV134" s="470"/>
      <c r="AW134" s="470"/>
      <c r="AX134" s="470"/>
      <c r="AY134" s="470"/>
      <c r="AZ134" s="470"/>
      <c r="BA134" s="470"/>
      <c r="BB134" s="470"/>
      <c r="BC134" s="470"/>
      <c r="BD134" s="470"/>
      <c r="BE134" s="470"/>
      <c r="BF134" s="470"/>
      <c r="BG134" s="470"/>
      <c r="BH134" s="470"/>
      <c r="BI134" s="470"/>
      <c r="BJ134" s="470"/>
      <c r="BK134" s="470"/>
      <c r="BL134" s="474"/>
    </row>
    <row r="135" spans="1:64">
      <c r="A135" s="475">
        <v>43926</v>
      </c>
      <c r="B135" s="478">
        <v>96</v>
      </c>
      <c r="C135" s="478">
        <v>270</v>
      </c>
      <c r="D135" s="476" t="s">
        <v>618</v>
      </c>
      <c r="E135" s="477">
        <v>14</v>
      </c>
      <c r="F135" s="476" t="s">
        <v>106</v>
      </c>
      <c r="G135" s="477">
        <v>534</v>
      </c>
      <c r="H135" s="476" t="s">
        <v>6248</v>
      </c>
      <c r="I135" s="476" t="s">
        <v>6257</v>
      </c>
      <c r="J135" s="477">
        <v>27</v>
      </c>
      <c r="K135" s="476" t="s">
        <v>6266</v>
      </c>
      <c r="L135" s="476" t="s">
        <v>6283</v>
      </c>
      <c r="M135" s="476" t="s">
        <v>9</v>
      </c>
      <c r="N135" s="478">
        <v>1</v>
      </c>
      <c r="O135" s="479"/>
      <c r="P135" s="479"/>
      <c r="Q135" s="479"/>
      <c r="R135" s="476"/>
      <c r="S135" s="479">
        <v>0.16403935185185184</v>
      </c>
      <c r="T135" s="479">
        <v>0.23070601851851849</v>
      </c>
      <c r="U135" s="479">
        <v>0.23055555555555554</v>
      </c>
      <c r="V135" s="479">
        <v>0.37222222222222223</v>
      </c>
      <c r="W135" s="479">
        <v>0.49922453703703701</v>
      </c>
      <c r="X135" s="479">
        <v>0.7677314814814814</v>
      </c>
      <c r="Y135" s="479">
        <v>0.64652777777777781</v>
      </c>
      <c r="Z135" s="479">
        <v>0.92986111111111114</v>
      </c>
      <c r="AA135" s="479">
        <v>0.18611111111111112</v>
      </c>
      <c r="AB135" s="476" t="s">
        <v>6464</v>
      </c>
      <c r="AC135" s="478">
        <v>130</v>
      </c>
      <c r="AD135" s="476" t="s">
        <v>113</v>
      </c>
      <c r="AE135" s="476"/>
      <c r="AF135" s="478">
        <v>83.5</v>
      </c>
      <c r="AG135" s="477">
        <v>4.9000000000000004</v>
      </c>
      <c r="AH135" s="476" t="s">
        <v>6295</v>
      </c>
      <c r="AI135" s="476" t="s">
        <v>6330</v>
      </c>
      <c r="AJ135" s="476" t="s">
        <v>839</v>
      </c>
      <c r="AK135" s="476" t="s">
        <v>6493</v>
      </c>
      <c r="AL135" s="476" t="s">
        <v>6761</v>
      </c>
      <c r="AM135" s="476" t="s">
        <v>6343</v>
      </c>
      <c r="AN135" s="476" t="s">
        <v>1233</v>
      </c>
      <c r="AO135" s="476" t="s">
        <v>6344</v>
      </c>
      <c r="AP135" s="476"/>
      <c r="AQ135" s="476"/>
      <c r="AR135" s="476"/>
      <c r="AS135" s="476"/>
      <c r="AT135" s="476"/>
      <c r="AU135" s="476"/>
      <c r="AV135" s="476"/>
      <c r="AW135" s="476"/>
      <c r="AX135" s="476"/>
      <c r="AY135" s="476"/>
      <c r="AZ135" s="476"/>
      <c r="BA135" s="476"/>
      <c r="BB135" s="476"/>
      <c r="BC135" s="476"/>
      <c r="BD135" s="476"/>
      <c r="BE135" s="476"/>
      <c r="BF135" s="476"/>
      <c r="BG135" s="476"/>
      <c r="BH135" s="476"/>
      <c r="BI135" s="476"/>
      <c r="BJ135" s="476" t="s">
        <v>6380</v>
      </c>
      <c r="BK135" s="476"/>
      <c r="BL135" s="480"/>
    </row>
    <row r="136" spans="1:64">
      <c r="A136" s="468">
        <v>43927</v>
      </c>
      <c r="B136" s="473">
        <v>97</v>
      </c>
      <c r="C136" s="473">
        <v>269</v>
      </c>
      <c r="D136" s="470" t="s">
        <v>618</v>
      </c>
      <c r="E136" s="469">
        <v>15</v>
      </c>
      <c r="F136" s="470" t="s">
        <v>88</v>
      </c>
      <c r="G136" s="469">
        <v>534</v>
      </c>
      <c r="H136" s="470" t="s">
        <v>6248</v>
      </c>
      <c r="I136" s="470" t="s">
        <v>6257</v>
      </c>
      <c r="J136" s="469">
        <v>29</v>
      </c>
      <c r="K136" s="470" t="s">
        <v>6268</v>
      </c>
      <c r="L136" s="470" t="s">
        <v>6284</v>
      </c>
      <c r="M136" s="470" t="s">
        <v>9</v>
      </c>
      <c r="N136" s="473">
        <v>1</v>
      </c>
      <c r="O136" s="471">
        <v>0.37222222222222223</v>
      </c>
      <c r="P136" s="471">
        <v>0.22430555555555556</v>
      </c>
      <c r="Q136" s="471"/>
      <c r="R136" s="470"/>
      <c r="S136" s="471">
        <v>0.16292824074074075</v>
      </c>
      <c r="T136" s="471">
        <v>0.2295949074074074</v>
      </c>
      <c r="U136" s="471"/>
      <c r="V136" s="471"/>
      <c r="W136" s="471">
        <v>0.49902777777777779</v>
      </c>
      <c r="X136" s="471">
        <v>0.76846064814814818</v>
      </c>
      <c r="Y136" s="471">
        <v>0.70000000000000007</v>
      </c>
      <c r="Z136" s="471">
        <v>0.96736111111111101</v>
      </c>
      <c r="AA136" s="471">
        <v>0.20902777777777778</v>
      </c>
      <c r="AB136" s="470" t="s">
        <v>6464</v>
      </c>
      <c r="AC136" s="473">
        <v>130</v>
      </c>
      <c r="AD136" s="470" t="s">
        <v>113</v>
      </c>
      <c r="AE136" s="470"/>
      <c r="AF136" s="473">
        <v>0.6</v>
      </c>
      <c r="AG136" s="469">
        <v>17.7</v>
      </c>
      <c r="AH136" s="470" t="s">
        <v>6296</v>
      </c>
      <c r="AI136" s="470" t="s">
        <v>6331</v>
      </c>
      <c r="AJ136" s="470" t="s">
        <v>6493</v>
      </c>
      <c r="AK136" s="470" t="s">
        <v>6493</v>
      </c>
      <c r="AL136" s="470" t="s">
        <v>6762</v>
      </c>
      <c r="AM136" s="470"/>
      <c r="AN136" s="470"/>
      <c r="AO136" s="470"/>
      <c r="AP136" s="470"/>
      <c r="AQ136" s="470"/>
      <c r="AR136" s="470"/>
      <c r="AS136" s="470"/>
      <c r="AT136" s="470"/>
      <c r="AU136" s="470"/>
      <c r="AV136" s="470"/>
      <c r="AW136" s="470"/>
      <c r="AX136" s="470"/>
      <c r="AY136" s="470"/>
      <c r="AZ136" s="470"/>
      <c r="BA136" s="470"/>
      <c r="BB136" s="470"/>
      <c r="BC136" s="470"/>
      <c r="BD136" s="470"/>
      <c r="BE136" s="470"/>
      <c r="BF136" s="470"/>
      <c r="BG136" s="470"/>
      <c r="BH136" s="470"/>
      <c r="BI136" s="470"/>
      <c r="BJ136" s="470"/>
      <c r="BK136" s="470"/>
      <c r="BL136" s="474"/>
    </row>
    <row r="137" spans="1:64">
      <c r="A137" s="475">
        <v>43928</v>
      </c>
      <c r="B137" s="478">
        <v>98</v>
      </c>
      <c r="C137" s="478">
        <v>268</v>
      </c>
      <c r="D137" s="476" t="s">
        <v>618</v>
      </c>
      <c r="E137" s="477">
        <v>15</v>
      </c>
      <c r="F137" s="476" t="s">
        <v>91</v>
      </c>
      <c r="G137" s="477">
        <v>534</v>
      </c>
      <c r="H137" s="476" t="s">
        <v>6248</v>
      </c>
      <c r="I137" s="476" t="s">
        <v>6257</v>
      </c>
      <c r="J137" s="477">
        <v>30</v>
      </c>
      <c r="K137" s="476" t="s">
        <v>6272</v>
      </c>
      <c r="L137" s="476" t="s">
        <v>6288</v>
      </c>
      <c r="M137" s="476" t="s">
        <v>9</v>
      </c>
      <c r="N137" s="478">
        <v>1</v>
      </c>
      <c r="O137" s="479"/>
      <c r="P137" s="479"/>
      <c r="Q137" s="479"/>
      <c r="R137" s="476"/>
      <c r="S137" s="479">
        <v>0.16180555555555556</v>
      </c>
      <c r="T137" s="479">
        <v>0.22847222222222222</v>
      </c>
      <c r="U137" s="479"/>
      <c r="V137" s="479"/>
      <c r="W137" s="479">
        <v>0.49883101851851852</v>
      </c>
      <c r="X137" s="479">
        <v>0.76918981481481474</v>
      </c>
      <c r="Y137" s="479">
        <v>0.75347222222222221</v>
      </c>
      <c r="Z137" s="479" t="s">
        <v>1107</v>
      </c>
      <c r="AA137" s="479">
        <v>0.23194444444444443</v>
      </c>
      <c r="AB137" s="476" t="s">
        <v>6462</v>
      </c>
      <c r="AC137" s="478">
        <v>129</v>
      </c>
      <c r="AD137" s="476" t="s">
        <v>116</v>
      </c>
      <c r="AE137" s="476" t="s">
        <v>6518</v>
      </c>
      <c r="AF137" s="478">
        <v>19.600000000000001</v>
      </c>
      <c r="AG137" s="477">
        <v>32.1</v>
      </c>
      <c r="AH137" s="476" t="s">
        <v>6297</v>
      </c>
      <c r="AI137" s="476" t="s">
        <v>6332</v>
      </c>
      <c r="AJ137" s="476" t="s">
        <v>839</v>
      </c>
      <c r="AK137" s="476" t="s">
        <v>6493</v>
      </c>
      <c r="AL137" s="476" t="s">
        <v>823</v>
      </c>
      <c r="AM137" s="476" t="s">
        <v>6344</v>
      </c>
      <c r="AN137" s="476" t="s">
        <v>1241</v>
      </c>
      <c r="AO137" s="476" t="s">
        <v>6344</v>
      </c>
      <c r="AP137" s="476" t="s">
        <v>7013</v>
      </c>
      <c r="AQ137" s="476" t="s">
        <v>6346</v>
      </c>
      <c r="AR137" s="476" t="s">
        <v>7055</v>
      </c>
      <c r="AS137" s="476" t="s">
        <v>6346</v>
      </c>
      <c r="AT137" s="476" t="s">
        <v>7076</v>
      </c>
      <c r="AU137" s="476"/>
      <c r="AV137" s="476"/>
      <c r="AW137" s="476"/>
      <c r="AX137" s="476"/>
      <c r="AY137" s="476"/>
      <c r="AZ137" s="476"/>
      <c r="BA137" s="476"/>
      <c r="BB137" s="476"/>
      <c r="BC137" s="476"/>
      <c r="BD137" s="476"/>
      <c r="BE137" s="476"/>
      <c r="BF137" s="476"/>
      <c r="BG137" s="476"/>
      <c r="BH137" s="476"/>
      <c r="BI137" s="476"/>
      <c r="BJ137" s="476" t="s">
        <v>6381</v>
      </c>
      <c r="BK137" s="476"/>
      <c r="BL137" s="480"/>
    </row>
    <row r="138" spans="1:64">
      <c r="A138" s="468">
        <v>43929</v>
      </c>
      <c r="B138" s="473">
        <v>99</v>
      </c>
      <c r="C138" s="473">
        <v>267</v>
      </c>
      <c r="D138" s="470" t="s">
        <v>618</v>
      </c>
      <c r="E138" s="469">
        <v>15</v>
      </c>
      <c r="F138" s="470" t="s">
        <v>94</v>
      </c>
      <c r="G138" s="469">
        <v>534</v>
      </c>
      <c r="H138" s="470" t="s">
        <v>6249</v>
      </c>
      <c r="I138" s="470" t="s">
        <v>836</v>
      </c>
      <c r="J138" s="469">
        <v>1</v>
      </c>
      <c r="K138" s="470" t="s">
        <v>6270</v>
      </c>
      <c r="L138" s="470" t="s">
        <v>6287</v>
      </c>
      <c r="M138" s="470" t="s">
        <v>9</v>
      </c>
      <c r="N138" s="473">
        <v>1</v>
      </c>
      <c r="O138" s="471"/>
      <c r="P138" s="471"/>
      <c r="Q138" s="471"/>
      <c r="R138" s="470"/>
      <c r="S138" s="471">
        <v>0.16070601851851851</v>
      </c>
      <c r="T138" s="471">
        <v>0.22737268518518519</v>
      </c>
      <c r="U138" s="471"/>
      <c r="V138" s="471"/>
      <c r="W138" s="471">
        <v>0.49864583333333329</v>
      </c>
      <c r="X138" s="471">
        <v>0.76991898148148152</v>
      </c>
      <c r="Y138" s="471">
        <v>0.80625000000000002</v>
      </c>
      <c r="Z138" s="471">
        <v>4.8611111111111112E-3</v>
      </c>
      <c r="AA138" s="471">
        <v>0.25347222222222221</v>
      </c>
      <c r="AB138" s="470" t="s">
        <v>6462</v>
      </c>
      <c r="AC138" s="473">
        <v>129</v>
      </c>
      <c r="AD138" s="470" t="s">
        <v>116</v>
      </c>
      <c r="AE138" s="470"/>
      <c r="AF138" s="473">
        <v>39.1</v>
      </c>
      <c r="AG138" s="469">
        <v>47</v>
      </c>
      <c r="AH138" s="470" t="s">
        <v>6298</v>
      </c>
      <c r="AI138" s="470" t="s">
        <v>6334</v>
      </c>
      <c r="AJ138" s="470" t="s">
        <v>6493</v>
      </c>
      <c r="AK138" s="470" t="s">
        <v>6493</v>
      </c>
      <c r="AL138" s="470" t="s">
        <v>6763</v>
      </c>
      <c r="AM138" s="470"/>
      <c r="AN138" s="470"/>
      <c r="AO138" s="470"/>
      <c r="AP138" s="470"/>
      <c r="AQ138" s="470"/>
      <c r="AR138" s="470"/>
      <c r="AS138" s="470"/>
      <c r="AT138" s="470"/>
      <c r="AU138" s="470"/>
      <c r="AV138" s="470"/>
      <c r="AW138" s="470"/>
      <c r="AX138" s="470"/>
      <c r="AY138" s="470"/>
      <c r="AZ138" s="470"/>
      <c r="BA138" s="470"/>
      <c r="BB138" s="470"/>
      <c r="BC138" s="470"/>
      <c r="BD138" s="470"/>
      <c r="BE138" s="470"/>
      <c r="BF138" s="470"/>
      <c r="BG138" s="470"/>
      <c r="BH138" s="470"/>
      <c r="BI138" s="470"/>
      <c r="BJ138" s="470"/>
      <c r="BK138" s="470"/>
      <c r="BL138" s="474"/>
    </row>
    <row r="139" spans="1:64">
      <c r="A139" s="475">
        <v>43930</v>
      </c>
      <c r="B139" s="478">
        <v>100</v>
      </c>
      <c r="C139" s="478">
        <v>266</v>
      </c>
      <c r="D139" s="476" t="s">
        <v>618</v>
      </c>
      <c r="E139" s="477">
        <v>15</v>
      </c>
      <c r="F139" s="476" t="s">
        <v>6714</v>
      </c>
      <c r="G139" s="477">
        <v>534</v>
      </c>
      <c r="H139" s="476" t="s">
        <v>6249</v>
      </c>
      <c r="I139" s="476" t="s">
        <v>836</v>
      </c>
      <c r="J139" s="477">
        <v>2</v>
      </c>
      <c r="K139" s="476" t="s">
        <v>1034</v>
      </c>
      <c r="L139" s="476" t="s">
        <v>6273</v>
      </c>
      <c r="M139" s="476" t="s">
        <v>9</v>
      </c>
      <c r="N139" s="478">
        <v>1</v>
      </c>
      <c r="O139" s="479"/>
      <c r="P139" s="479"/>
      <c r="Q139" s="479"/>
      <c r="R139" s="476"/>
      <c r="S139" s="479">
        <v>0.15959490740740742</v>
      </c>
      <c r="T139" s="479">
        <v>0.22626157407407407</v>
      </c>
      <c r="U139" s="479"/>
      <c r="V139" s="479"/>
      <c r="W139" s="479">
        <v>0.49844907407407407</v>
      </c>
      <c r="X139" s="479">
        <v>0.77064814814814808</v>
      </c>
      <c r="Y139" s="479">
        <v>0.86041666666666661</v>
      </c>
      <c r="Z139" s="479">
        <v>4.2361111111111106E-2</v>
      </c>
      <c r="AA139" s="479">
        <v>0.27638888888888885</v>
      </c>
      <c r="AB139" s="476" t="s">
        <v>6462</v>
      </c>
      <c r="AC139" s="478">
        <v>129</v>
      </c>
      <c r="AD139" s="476" t="s">
        <v>116</v>
      </c>
      <c r="AE139" s="476"/>
      <c r="AF139" s="478">
        <v>57.4</v>
      </c>
      <c r="AG139" s="477">
        <v>60.9</v>
      </c>
      <c r="AH139" s="476" t="s">
        <v>6299</v>
      </c>
      <c r="AI139" s="476" t="s">
        <v>6335</v>
      </c>
      <c r="AJ139" s="476" t="s">
        <v>6493</v>
      </c>
      <c r="AK139" s="476" t="s">
        <v>6493</v>
      </c>
      <c r="AL139" s="476"/>
      <c r="AM139" s="476"/>
      <c r="AN139" s="476"/>
      <c r="AO139" s="476"/>
      <c r="AP139" s="476"/>
      <c r="AQ139" s="476"/>
      <c r="AR139" s="476"/>
      <c r="AS139" s="476"/>
      <c r="AT139" s="476"/>
      <c r="AU139" s="476"/>
      <c r="AV139" s="476"/>
      <c r="AW139" s="476"/>
      <c r="AX139" s="476"/>
      <c r="AY139" s="476"/>
      <c r="AZ139" s="476"/>
      <c r="BA139" s="476"/>
      <c r="BB139" s="476"/>
      <c r="BC139" s="476"/>
      <c r="BD139" s="476"/>
      <c r="BE139" s="476"/>
      <c r="BF139" s="476"/>
      <c r="BG139" s="476"/>
      <c r="BH139" s="476"/>
      <c r="BI139" s="476"/>
      <c r="BJ139" s="476"/>
      <c r="BK139" s="476"/>
      <c r="BL139" s="480"/>
    </row>
    <row r="140" spans="1:64">
      <c r="A140" s="468">
        <v>43931</v>
      </c>
      <c r="B140" s="473">
        <v>101</v>
      </c>
      <c r="C140" s="473">
        <v>265</v>
      </c>
      <c r="D140" s="470" t="s">
        <v>618</v>
      </c>
      <c r="E140" s="469">
        <v>15</v>
      </c>
      <c r="F140" s="470" t="s">
        <v>100</v>
      </c>
      <c r="G140" s="469">
        <v>534</v>
      </c>
      <c r="H140" s="470" t="s">
        <v>6249</v>
      </c>
      <c r="I140" s="470" t="s">
        <v>836</v>
      </c>
      <c r="J140" s="469">
        <v>3</v>
      </c>
      <c r="K140" s="470" t="s">
        <v>6258</v>
      </c>
      <c r="L140" s="470" t="s">
        <v>6274</v>
      </c>
      <c r="M140" s="470" t="s">
        <v>9</v>
      </c>
      <c r="N140" s="473">
        <v>1</v>
      </c>
      <c r="O140" s="471"/>
      <c r="P140" s="471"/>
      <c r="Q140" s="471"/>
      <c r="R140" s="470"/>
      <c r="S140" s="471">
        <v>0.15850694444444444</v>
      </c>
      <c r="T140" s="471">
        <v>0.22517361111111112</v>
      </c>
      <c r="U140" s="471"/>
      <c r="V140" s="471"/>
      <c r="W140" s="471">
        <v>0.49827546296296293</v>
      </c>
      <c r="X140" s="471">
        <v>0.77136574074074071</v>
      </c>
      <c r="Y140" s="471">
        <v>0.91249999999999998</v>
      </c>
      <c r="Z140" s="471">
        <v>8.1250000000000003E-2</v>
      </c>
      <c r="AA140" s="471">
        <v>0.30069444444444443</v>
      </c>
      <c r="AB140" s="470" t="s">
        <v>6462</v>
      </c>
      <c r="AC140" s="473">
        <v>129</v>
      </c>
      <c r="AD140" s="470" t="s">
        <v>116</v>
      </c>
      <c r="AE140" s="470"/>
      <c r="AF140" s="473">
        <v>73.2</v>
      </c>
      <c r="AG140" s="469">
        <v>72.400000000000006</v>
      </c>
      <c r="AH140" s="470" t="s">
        <v>6300</v>
      </c>
      <c r="AI140" s="470" t="s">
        <v>6336</v>
      </c>
      <c r="AJ140" s="470" t="s">
        <v>6493</v>
      </c>
      <c r="AK140" s="470" t="s">
        <v>6493</v>
      </c>
      <c r="AL140" s="470"/>
      <c r="AM140" s="470"/>
      <c r="AN140" s="470"/>
      <c r="AO140" s="470"/>
      <c r="AP140" s="470"/>
      <c r="AQ140" s="470"/>
      <c r="AR140" s="470"/>
      <c r="AS140" s="470"/>
      <c r="AT140" s="470"/>
      <c r="AU140" s="470"/>
      <c r="AV140" s="470"/>
      <c r="AW140" s="470"/>
      <c r="AX140" s="470"/>
      <c r="AY140" s="470"/>
      <c r="AZ140" s="470"/>
      <c r="BA140" s="470"/>
      <c r="BB140" s="470"/>
      <c r="BC140" s="470"/>
      <c r="BD140" s="470"/>
      <c r="BE140" s="470"/>
      <c r="BF140" s="470"/>
      <c r="BG140" s="470"/>
      <c r="BH140" s="470"/>
      <c r="BI140" s="470"/>
      <c r="BJ140" s="470"/>
      <c r="BK140" s="470"/>
      <c r="BL140" s="474"/>
    </row>
    <row r="141" spans="1:64">
      <c r="A141" s="475">
        <v>43932</v>
      </c>
      <c r="B141" s="478">
        <v>102</v>
      </c>
      <c r="C141" s="478">
        <v>264</v>
      </c>
      <c r="D141" s="476" t="s">
        <v>618</v>
      </c>
      <c r="E141" s="477">
        <v>15</v>
      </c>
      <c r="F141" s="476" t="s">
        <v>103</v>
      </c>
      <c r="G141" s="477">
        <v>534</v>
      </c>
      <c r="H141" s="476" t="s">
        <v>6249</v>
      </c>
      <c r="I141" s="476" t="s">
        <v>836</v>
      </c>
      <c r="J141" s="477">
        <v>4</v>
      </c>
      <c r="K141" s="476" t="s">
        <v>6259</v>
      </c>
      <c r="L141" s="476" t="s">
        <v>6275</v>
      </c>
      <c r="M141" s="476" t="s">
        <v>9</v>
      </c>
      <c r="N141" s="478">
        <v>1</v>
      </c>
      <c r="O141" s="479"/>
      <c r="P141" s="479"/>
      <c r="Q141" s="479"/>
      <c r="R141" s="476"/>
      <c r="S141" s="479">
        <v>0.15740740740740741</v>
      </c>
      <c r="T141" s="479">
        <v>0.22407407407407409</v>
      </c>
      <c r="U141" s="479"/>
      <c r="V141" s="479"/>
      <c r="W141" s="479">
        <v>0.49809027777777781</v>
      </c>
      <c r="X141" s="479">
        <v>0.77209490740740738</v>
      </c>
      <c r="Y141" s="479">
        <v>0.96111111111111114</v>
      </c>
      <c r="Z141" s="479">
        <v>0.12013888888888889</v>
      </c>
      <c r="AA141" s="479">
        <v>0.32916666666666666</v>
      </c>
      <c r="AB141" s="476" t="s">
        <v>6462</v>
      </c>
      <c r="AC141" s="478">
        <v>129</v>
      </c>
      <c r="AD141" s="476" t="s">
        <v>116</v>
      </c>
      <c r="AE141" s="476"/>
      <c r="AF141" s="478">
        <v>85.4</v>
      </c>
      <c r="AG141" s="477">
        <v>80.8</v>
      </c>
      <c r="AH141" s="476" t="s">
        <v>6301</v>
      </c>
      <c r="AI141" s="476" t="s">
        <v>6337</v>
      </c>
      <c r="AJ141" s="476" t="s">
        <v>6493</v>
      </c>
      <c r="AK141" s="476" t="s">
        <v>6493</v>
      </c>
      <c r="AL141" s="476"/>
      <c r="AM141" s="476"/>
      <c r="AN141" s="476"/>
      <c r="AO141" s="476"/>
      <c r="AP141" s="476"/>
      <c r="AQ141" s="476"/>
      <c r="AR141" s="476"/>
      <c r="AS141" s="476"/>
      <c r="AT141" s="476"/>
      <c r="AU141" s="476"/>
      <c r="AV141" s="476"/>
      <c r="AW141" s="476"/>
      <c r="AX141" s="476"/>
      <c r="AY141" s="476"/>
      <c r="AZ141" s="476"/>
      <c r="BA141" s="476"/>
      <c r="BB141" s="476"/>
      <c r="BC141" s="476"/>
      <c r="BD141" s="476"/>
      <c r="BE141" s="476"/>
      <c r="BF141" s="476"/>
      <c r="BG141" s="476"/>
      <c r="BH141" s="476"/>
      <c r="BI141" s="476"/>
      <c r="BJ141" s="476"/>
      <c r="BK141" s="476"/>
      <c r="BL141" s="480"/>
    </row>
    <row r="142" spans="1:64">
      <c r="A142" s="468">
        <v>43933</v>
      </c>
      <c r="B142" s="473">
        <v>103</v>
      </c>
      <c r="C142" s="473">
        <v>263</v>
      </c>
      <c r="D142" s="470" t="s">
        <v>618</v>
      </c>
      <c r="E142" s="469">
        <v>15</v>
      </c>
      <c r="F142" s="470" t="s">
        <v>106</v>
      </c>
      <c r="G142" s="469">
        <v>534</v>
      </c>
      <c r="H142" s="470" t="s">
        <v>6249</v>
      </c>
      <c r="I142" s="470" t="s">
        <v>836</v>
      </c>
      <c r="J142" s="469">
        <v>5</v>
      </c>
      <c r="K142" s="470" t="s">
        <v>6260</v>
      </c>
      <c r="L142" s="470" t="s">
        <v>6276</v>
      </c>
      <c r="M142" s="470" t="s">
        <v>9</v>
      </c>
      <c r="N142" s="473">
        <v>1</v>
      </c>
      <c r="O142" s="471"/>
      <c r="P142" s="471"/>
      <c r="Q142" s="471"/>
      <c r="R142" s="470"/>
      <c r="S142" s="471">
        <v>0.15633101851851852</v>
      </c>
      <c r="T142" s="471">
        <v>0.22299768518518517</v>
      </c>
      <c r="U142" s="471"/>
      <c r="V142" s="471"/>
      <c r="W142" s="471">
        <v>0.49790509259259258</v>
      </c>
      <c r="X142" s="471">
        <v>0.77282407407407405</v>
      </c>
      <c r="Y142" s="471" t="s">
        <v>1107</v>
      </c>
      <c r="Z142" s="471">
        <v>0.16111111111111112</v>
      </c>
      <c r="AA142" s="471">
        <v>0.3611111111111111</v>
      </c>
      <c r="AB142" s="470" t="s">
        <v>6462</v>
      </c>
      <c r="AC142" s="473">
        <v>129</v>
      </c>
      <c r="AD142" s="470" t="s">
        <v>116</v>
      </c>
      <c r="AE142" s="470"/>
      <c r="AF142" s="473">
        <v>93.6</v>
      </c>
      <c r="AG142" s="469">
        <v>85.5</v>
      </c>
      <c r="AH142" s="470" t="s">
        <v>6302</v>
      </c>
      <c r="AI142" s="470" t="s">
        <v>6338</v>
      </c>
      <c r="AJ142" s="470" t="s">
        <v>6493</v>
      </c>
      <c r="AK142" s="470" t="s">
        <v>6493</v>
      </c>
      <c r="AL142" s="470"/>
      <c r="AM142" s="470"/>
      <c r="AN142" s="470"/>
      <c r="AO142" s="470"/>
      <c r="AP142" s="470"/>
      <c r="AQ142" s="470"/>
      <c r="AR142" s="470"/>
      <c r="AS142" s="470"/>
      <c r="AT142" s="470"/>
      <c r="AU142" s="470"/>
      <c r="AV142" s="470"/>
      <c r="AW142" s="470"/>
      <c r="AX142" s="470"/>
      <c r="AY142" s="470"/>
      <c r="AZ142" s="470"/>
      <c r="BA142" s="470"/>
      <c r="BB142" s="470"/>
      <c r="BC142" s="470"/>
      <c r="BD142" s="470"/>
      <c r="BE142" s="470"/>
      <c r="BF142" s="470"/>
      <c r="BG142" s="470"/>
      <c r="BH142" s="470"/>
      <c r="BI142" s="470"/>
      <c r="BJ142" s="470"/>
      <c r="BK142" s="470"/>
      <c r="BL142" s="474"/>
    </row>
    <row r="143" spans="1:64">
      <c r="A143" s="475">
        <v>43934</v>
      </c>
      <c r="B143" s="478">
        <v>104</v>
      </c>
      <c r="C143" s="478">
        <v>262</v>
      </c>
      <c r="D143" s="476" t="s">
        <v>618</v>
      </c>
      <c r="E143" s="477">
        <v>16</v>
      </c>
      <c r="F143" s="476" t="s">
        <v>88</v>
      </c>
      <c r="G143" s="477">
        <v>534</v>
      </c>
      <c r="H143" s="476" t="s">
        <v>6249</v>
      </c>
      <c r="I143" s="476" t="s">
        <v>836</v>
      </c>
      <c r="J143" s="477">
        <v>6</v>
      </c>
      <c r="K143" s="476" t="s">
        <v>6261</v>
      </c>
      <c r="L143" s="476" t="s">
        <v>6277</v>
      </c>
      <c r="M143" s="476" t="s">
        <v>9</v>
      </c>
      <c r="N143" s="478">
        <v>1</v>
      </c>
      <c r="O143" s="479"/>
      <c r="P143" s="479"/>
      <c r="Q143" s="479">
        <v>0.40726851851851853</v>
      </c>
      <c r="R143" s="476" t="s">
        <v>18</v>
      </c>
      <c r="S143" s="479">
        <v>0.15525462962962963</v>
      </c>
      <c r="T143" s="479">
        <v>0.22192129629629631</v>
      </c>
      <c r="U143" s="479"/>
      <c r="V143" s="479"/>
      <c r="W143" s="479">
        <v>0.4977314814814815</v>
      </c>
      <c r="X143" s="479">
        <v>0.77355324074074072</v>
      </c>
      <c r="Y143" s="479">
        <v>6.2499999999999995E-3</v>
      </c>
      <c r="Z143" s="479">
        <v>0.20208333333333331</v>
      </c>
      <c r="AA143" s="479">
        <v>0.3972222222222222</v>
      </c>
      <c r="AB143" s="476" t="s">
        <v>6462</v>
      </c>
      <c r="AC143" s="478">
        <v>129</v>
      </c>
      <c r="AD143" s="476" t="s">
        <v>116</v>
      </c>
      <c r="AE143" s="476"/>
      <c r="AF143" s="478">
        <v>97.8</v>
      </c>
      <c r="AG143" s="477">
        <v>86.6</v>
      </c>
      <c r="AH143" s="476" t="s">
        <v>6303</v>
      </c>
      <c r="AI143" s="476" t="s">
        <v>6339</v>
      </c>
      <c r="AJ143" s="476" t="s">
        <v>839</v>
      </c>
      <c r="AK143" s="476" t="s">
        <v>6493</v>
      </c>
      <c r="AL143" s="476" t="s">
        <v>6764</v>
      </c>
      <c r="AM143" s="476" t="s">
        <v>6162</v>
      </c>
      <c r="AN143" s="476" t="s">
        <v>6926</v>
      </c>
      <c r="AO143" s="476"/>
      <c r="AP143" s="476"/>
      <c r="AQ143" s="476"/>
      <c r="AR143" s="476"/>
      <c r="AS143" s="476"/>
      <c r="AT143" s="476"/>
      <c r="AU143" s="476"/>
      <c r="AV143" s="476"/>
      <c r="AW143" s="476"/>
      <c r="AX143" s="476"/>
      <c r="AY143" s="476"/>
      <c r="AZ143" s="476"/>
      <c r="BA143" s="476"/>
      <c r="BB143" s="476"/>
      <c r="BC143" s="476"/>
      <c r="BD143" s="476"/>
      <c r="BE143" s="476"/>
      <c r="BF143" s="476"/>
      <c r="BG143" s="476"/>
      <c r="BH143" s="476"/>
      <c r="BI143" s="476"/>
      <c r="BJ143" s="476" t="s">
        <v>6379</v>
      </c>
      <c r="BK143" s="476"/>
      <c r="BL143" s="480"/>
    </row>
    <row r="144" spans="1:64">
      <c r="A144" s="468">
        <v>43935</v>
      </c>
      <c r="B144" s="473">
        <v>105</v>
      </c>
      <c r="C144" s="473">
        <v>261</v>
      </c>
      <c r="D144" s="470" t="s">
        <v>618</v>
      </c>
      <c r="E144" s="469">
        <v>16</v>
      </c>
      <c r="F144" s="470" t="s">
        <v>91</v>
      </c>
      <c r="G144" s="469">
        <v>534</v>
      </c>
      <c r="H144" s="470" t="s">
        <v>6249</v>
      </c>
      <c r="I144" s="470" t="s">
        <v>836</v>
      </c>
      <c r="J144" s="469">
        <v>7</v>
      </c>
      <c r="K144" s="470" t="s">
        <v>6262</v>
      </c>
      <c r="L144" s="470" t="s">
        <v>6278</v>
      </c>
      <c r="M144" s="470" t="s">
        <v>9</v>
      </c>
      <c r="N144" s="473">
        <v>1</v>
      </c>
      <c r="O144" s="471"/>
      <c r="P144" s="471"/>
      <c r="Q144" s="471"/>
      <c r="R144" s="470"/>
      <c r="S144" s="471">
        <v>0.15417824074074074</v>
      </c>
      <c r="T144" s="471">
        <v>0.22084490740740739</v>
      </c>
      <c r="U144" s="471"/>
      <c r="V144" s="471"/>
      <c r="W144" s="471">
        <v>0.49756944444444445</v>
      </c>
      <c r="X144" s="471">
        <v>0.77428240740740739</v>
      </c>
      <c r="Y144" s="471">
        <v>4.5833333333333337E-2</v>
      </c>
      <c r="Z144" s="471">
        <v>0.24097222222222223</v>
      </c>
      <c r="AA144" s="471">
        <v>0.43611111111111112</v>
      </c>
      <c r="AB144" s="470" t="s">
        <v>6289</v>
      </c>
      <c r="AC144" s="473">
        <v>131</v>
      </c>
      <c r="AD144" s="470" t="s">
        <v>119</v>
      </c>
      <c r="AE144" s="470" t="s">
        <v>6519</v>
      </c>
      <c r="AF144" s="473">
        <v>98.2</v>
      </c>
      <c r="AG144" s="469">
        <v>84.4</v>
      </c>
      <c r="AH144" s="470" t="s">
        <v>6304</v>
      </c>
      <c r="AI144" s="470" t="s">
        <v>6340</v>
      </c>
      <c r="AJ144" s="470" t="s">
        <v>839</v>
      </c>
      <c r="AK144" s="470" t="s">
        <v>6493</v>
      </c>
      <c r="AL144" s="470" t="s">
        <v>6765</v>
      </c>
      <c r="AM144" s="470" t="s">
        <v>6346</v>
      </c>
      <c r="AN144" s="470"/>
      <c r="AO144" s="470"/>
      <c r="AP144" s="470"/>
      <c r="AQ144" s="470"/>
      <c r="AR144" s="470"/>
      <c r="AS144" s="470"/>
      <c r="AT144" s="470"/>
      <c r="AU144" s="470"/>
      <c r="AV144" s="470"/>
      <c r="AW144" s="470"/>
      <c r="AX144" s="470"/>
      <c r="AY144" s="470"/>
      <c r="AZ144" s="470"/>
      <c r="BA144" s="470"/>
      <c r="BB144" s="470"/>
      <c r="BC144" s="470"/>
      <c r="BD144" s="470"/>
      <c r="BE144" s="470"/>
      <c r="BF144" s="470"/>
      <c r="BG144" s="470"/>
      <c r="BH144" s="470"/>
      <c r="BI144" s="470"/>
      <c r="BJ144" s="470" t="s">
        <v>6705</v>
      </c>
      <c r="BK144" s="470"/>
      <c r="BL144" s="474"/>
    </row>
    <row r="145" spans="1:64">
      <c r="A145" s="475">
        <v>43936</v>
      </c>
      <c r="B145" s="478">
        <v>106</v>
      </c>
      <c r="C145" s="478">
        <v>260</v>
      </c>
      <c r="D145" s="476" t="s">
        <v>618</v>
      </c>
      <c r="E145" s="477">
        <v>16</v>
      </c>
      <c r="F145" s="476" t="s">
        <v>94</v>
      </c>
      <c r="G145" s="477">
        <v>534</v>
      </c>
      <c r="H145" s="476" t="s">
        <v>6249</v>
      </c>
      <c r="I145" s="476" t="s">
        <v>836</v>
      </c>
      <c r="J145" s="477">
        <v>8</v>
      </c>
      <c r="K145" s="476" t="s">
        <v>6263</v>
      </c>
      <c r="L145" s="476" t="s">
        <v>6279</v>
      </c>
      <c r="M145" s="476" t="s">
        <v>9</v>
      </c>
      <c r="N145" s="478">
        <v>1</v>
      </c>
      <c r="O145" s="479"/>
      <c r="P145" s="479"/>
      <c r="Q145" s="479"/>
      <c r="R145" s="476"/>
      <c r="S145" s="479">
        <v>0.15311342592592592</v>
      </c>
      <c r="T145" s="479">
        <v>0.2197800925925926</v>
      </c>
      <c r="U145" s="479"/>
      <c r="V145" s="479"/>
      <c r="W145" s="479">
        <v>0.49739583333333331</v>
      </c>
      <c r="X145" s="479">
        <v>0.77501157407407406</v>
      </c>
      <c r="Y145" s="479">
        <v>7.9166666666666663E-2</v>
      </c>
      <c r="Z145" s="479">
        <v>0.27847222222222223</v>
      </c>
      <c r="AA145" s="479">
        <v>0.4777777777777778</v>
      </c>
      <c r="AB145" s="476" t="s">
        <v>6289</v>
      </c>
      <c r="AC145" s="478">
        <v>131</v>
      </c>
      <c r="AD145" s="476" t="s">
        <v>119</v>
      </c>
      <c r="AE145" s="476"/>
      <c r="AF145" s="478">
        <v>95.5</v>
      </c>
      <c r="AG145" s="477">
        <v>79.3</v>
      </c>
      <c r="AH145" s="476" t="s">
        <v>6305</v>
      </c>
      <c r="AI145" s="476" t="s">
        <v>974</v>
      </c>
      <c r="AJ145" s="476" t="s">
        <v>6493</v>
      </c>
      <c r="AK145" s="476" t="s">
        <v>6493</v>
      </c>
      <c r="AL145" s="476"/>
      <c r="AM145" s="476"/>
      <c r="AN145" s="476"/>
      <c r="AO145" s="476"/>
      <c r="AP145" s="476"/>
      <c r="AQ145" s="476"/>
      <c r="AR145" s="476"/>
      <c r="AS145" s="476"/>
      <c r="AT145" s="476"/>
      <c r="AU145" s="476"/>
      <c r="AV145" s="476"/>
      <c r="AW145" s="476"/>
      <c r="AX145" s="476"/>
      <c r="AY145" s="476"/>
      <c r="AZ145" s="476"/>
      <c r="BA145" s="476"/>
      <c r="BB145" s="476"/>
      <c r="BC145" s="476"/>
      <c r="BD145" s="476"/>
      <c r="BE145" s="476"/>
      <c r="BF145" s="476"/>
      <c r="BG145" s="476"/>
      <c r="BH145" s="476"/>
      <c r="BI145" s="476"/>
      <c r="BJ145" s="476"/>
      <c r="BK145" s="476"/>
      <c r="BL145" s="480"/>
    </row>
    <row r="146" spans="1:64">
      <c r="A146" s="468">
        <v>43937</v>
      </c>
      <c r="B146" s="473">
        <v>107</v>
      </c>
      <c r="C146" s="473">
        <v>259</v>
      </c>
      <c r="D146" s="470" t="s">
        <v>618</v>
      </c>
      <c r="E146" s="469">
        <v>16</v>
      </c>
      <c r="F146" s="470" t="s">
        <v>6714</v>
      </c>
      <c r="G146" s="469">
        <v>534</v>
      </c>
      <c r="H146" s="470" t="s">
        <v>6249</v>
      </c>
      <c r="I146" s="470" t="s">
        <v>836</v>
      </c>
      <c r="J146" s="469">
        <v>9</v>
      </c>
      <c r="K146" s="470" t="s">
        <v>6264</v>
      </c>
      <c r="L146" s="470" t="s">
        <v>6280</v>
      </c>
      <c r="M146" s="470" t="s">
        <v>9</v>
      </c>
      <c r="N146" s="473">
        <v>1</v>
      </c>
      <c r="O146" s="471"/>
      <c r="P146" s="471"/>
      <c r="Q146" s="471"/>
      <c r="R146" s="470"/>
      <c r="S146" s="471">
        <v>0.15206018518518519</v>
      </c>
      <c r="T146" s="471">
        <v>0.21872685185185184</v>
      </c>
      <c r="U146" s="471"/>
      <c r="V146" s="471"/>
      <c r="W146" s="471">
        <v>0.49723379629629627</v>
      </c>
      <c r="X146" s="471">
        <v>0.77574074074074073</v>
      </c>
      <c r="Y146" s="471">
        <v>0.10694444444444444</v>
      </c>
      <c r="Z146" s="471">
        <v>0.31319444444444444</v>
      </c>
      <c r="AA146" s="471">
        <v>0.52013888888888882</v>
      </c>
      <c r="AB146" s="470" t="s">
        <v>6289</v>
      </c>
      <c r="AC146" s="473">
        <v>131</v>
      </c>
      <c r="AD146" s="470" t="s">
        <v>119</v>
      </c>
      <c r="AE146" s="470"/>
      <c r="AF146" s="473">
        <v>90.3</v>
      </c>
      <c r="AG146" s="469">
        <v>71.900000000000006</v>
      </c>
      <c r="AH146" s="470" t="s">
        <v>6306</v>
      </c>
      <c r="AI146" s="470" t="s">
        <v>6316</v>
      </c>
      <c r="AJ146" s="470" t="s">
        <v>6493</v>
      </c>
      <c r="AK146" s="470" t="s">
        <v>6493</v>
      </c>
      <c r="AL146" s="470"/>
      <c r="AM146" s="470"/>
      <c r="AN146" s="470"/>
      <c r="AO146" s="470"/>
      <c r="AP146" s="470"/>
      <c r="AQ146" s="470"/>
      <c r="AR146" s="470"/>
      <c r="AS146" s="470"/>
      <c r="AT146" s="470"/>
      <c r="AU146" s="470"/>
      <c r="AV146" s="470"/>
      <c r="AW146" s="470"/>
      <c r="AX146" s="470"/>
      <c r="AY146" s="470"/>
      <c r="AZ146" s="470"/>
      <c r="BA146" s="470"/>
      <c r="BB146" s="470"/>
      <c r="BC146" s="470"/>
      <c r="BD146" s="470"/>
      <c r="BE146" s="470"/>
      <c r="BF146" s="470"/>
      <c r="BG146" s="470"/>
      <c r="BH146" s="470"/>
      <c r="BI146" s="470"/>
      <c r="BJ146" s="470"/>
      <c r="BK146" s="470"/>
      <c r="BL146" s="474"/>
    </row>
    <row r="147" spans="1:64">
      <c r="A147" s="475">
        <v>43938</v>
      </c>
      <c r="B147" s="478">
        <v>108</v>
      </c>
      <c r="C147" s="478">
        <v>258</v>
      </c>
      <c r="D147" s="476" t="s">
        <v>618</v>
      </c>
      <c r="E147" s="477">
        <v>16</v>
      </c>
      <c r="F147" s="476" t="s">
        <v>100</v>
      </c>
      <c r="G147" s="477">
        <v>534</v>
      </c>
      <c r="H147" s="476" t="s">
        <v>6249</v>
      </c>
      <c r="I147" s="476" t="s">
        <v>836</v>
      </c>
      <c r="J147" s="477">
        <v>10</v>
      </c>
      <c r="K147" s="476" t="s">
        <v>6265</v>
      </c>
      <c r="L147" s="476" t="s">
        <v>6281</v>
      </c>
      <c r="M147" s="476" t="s">
        <v>9</v>
      </c>
      <c r="N147" s="478">
        <v>1</v>
      </c>
      <c r="O147" s="479"/>
      <c r="P147" s="479"/>
      <c r="Q147" s="479"/>
      <c r="R147" s="476"/>
      <c r="S147" s="479">
        <v>0.15101851851851852</v>
      </c>
      <c r="T147" s="479">
        <v>0.21768518518518518</v>
      </c>
      <c r="U147" s="479"/>
      <c r="V147" s="479"/>
      <c r="W147" s="479">
        <v>0.49707175925925928</v>
      </c>
      <c r="X147" s="479">
        <v>0.7764699074074074</v>
      </c>
      <c r="Y147" s="479">
        <v>0.13055555555555556</v>
      </c>
      <c r="Z147" s="479">
        <v>0.34583333333333338</v>
      </c>
      <c r="AA147" s="479">
        <v>0.56180555555555556</v>
      </c>
      <c r="AB147" s="476" t="s">
        <v>6289</v>
      </c>
      <c r="AC147" s="478">
        <v>131</v>
      </c>
      <c r="AD147" s="476" t="s">
        <v>119</v>
      </c>
      <c r="AE147" s="476"/>
      <c r="AF147" s="478">
        <v>83.2</v>
      </c>
      <c r="AG147" s="477">
        <v>62.9</v>
      </c>
      <c r="AH147" s="476" t="s">
        <v>6307</v>
      </c>
      <c r="AI147" s="476" t="s">
        <v>6317</v>
      </c>
      <c r="AJ147" s="476" t="s">
        <v>839</v>
      </c>
      <c r="AK147" s="476" t="s">
        <v>6493</v>
      </c>
      <c r="AL147" s="476" t="s">
        <v>6766</v>
      </c>
      <c r="AM147" s="476" t="s">
        <v>6346</v>
      </c>
      <c r="AN147" s="476"/>
      <c r="AO147" s="476"/>
      <c r="AP147" s="476"/>
      <c r="AQ147" s="476"/>
      <c r="AR147" s="476"/>
      <c r="AS147" s="476"/>
      <c r="AT147" s="476"/>
      <c r="AU147" s="476"/>
      <c r="AV147" s="476"/>
      <c r="AW147" s="476"/>
      <c r="AX147" s="476"/>
      <c r="AY147" s="476"/>
      <c r="AZ147" s="476"/>
      <c r="BA147" s="476"/>
      <c r="BB147" s="476"/>
      <c r="BC147" s="476"/>
      <c r="BD147" s="476"/>
      <c r="BE147" s="476"/>
      <c r="BF147" s="476"/>
      <c r="BG147" s="476"/>
      <c r="BH147" s="476"/>
      <c r="BI147" s="476"/>
      <c r="BJ147" s="476" t="s">
        <v>6382</v>
      </c>
      <c r="BK147" s="476"/>
      <c r="BL147" s="480"/>
    </row>
    <row r="148" spans="1:64">
      <c r="A148" s="468">
        <v>43939</v>
      </c>
      <c r="B148" s="473">
        <v>109</v>
      </c>
      <c r="C148" s="473">
        <v>257</v>
      </c>
      <c r="D148" s="470" t="s">
        <v>618</v>
      </c>
      <c r="E148" s="469">
        <v>16</v>
      </c>
      <c r="F148" s="470" t="s">
        <v>103</v>
      </c>
      <c r="G148" s="469">
        <v>534</v>
      </c>
      <c r="H148" s="470" t="s">
        <v>6249</v>
      </c>
      <c r="I148" s="470" t="s">
        <v>836</v>
      </c>
      <c r="J148" s="469">
        <v>11</v>
      </c>
      <c r="K148" s="470" t="s">
        <v>6271</v>
      </c>
      <c r="L148" s="470" t="s">
        <v>6282</v>
      </c>
      <c r="M148" s="470" t="s">
        <v>9</v>
      </c>
      <c r="N148" s="473">
        <v>1</v>
      </c>
      <c r="O148" s="471"/>
      <c r="P148" s="471"/>
      <c r="Q148" s="471"/>
      <c r="R148" s="470"/>
      <c r="S148" s="471">
        <v>0.14998842592592593</v>
      </c>
      <c r="T148" s="471">
        <v>0.21665509259259261</v>
      </c>
      <c r="U148" s="471"/>
      <c r="V148" s="471"/>
      <c r="W148" s="471">
        <v>0.49692129629629633</v>
      </c>
      <c r="X148" s="471">
        <v>0.77719907407407407</v>
      </c>
      <c r="Y148" s="471">
        <v>0.15069444444444444</v>
      </c>
      <c r="Z148" s="471">
        <v>0.37638888888888888</v>
      </c>
      <c r="AA148" s="471">
        <v>0.60347222222222219</v>
      </c>
      <c r="AB148" s="470" t="s">
        <v>6289</v>
      </c>
      <c r="AC148" s="473">
        <v>131</v>
      </c>
      <c r="AD148" s="470" t="s">
        <v>119</v>
      </c>
      <c r="AE148" s="470"/>
      <c r="AF148" s="473">
        <v>74.8</v>
      </c>
      <c r="AG148" s="469">
        <v>52.6</v>
      </c>
      <c r="AH148" s="470" t="s">
        <v>6308</v>
      </c>
      <c r="AI148" s="470" t="s">
        <v>6318</v>
      </c>
      <c r="AJ148" s="470" t="s">
        <v>838</v>
      </c>
      <c r="AK148" s="470" t="s">
        <v>13</v>
      </c>
      <c r="AL148" s="470" t="s">
        <v>6767</v>
      </c>
      <c r="AM148" s="470" t="s">
        <v>6342</v>
      </c>
      <c r="AN148" s="470" t="s">
        <v>6927</v>
      </c>
      <c r="AO148" s="470" t="s">
        <v>6351</v>
      </c>
      <c r="AP148" s="470" t="s">
        <v>739</v>
      </c>
      <c r="AQ148" s="470"/>
      <c r="AR148" s="470"/>
      <c r="AS148" s="470"/>
      <c r="AT148" s="470"/>
      <c r="AU148" s="470"/>
      <c r="AV148" s="470"/>
      <c r="AW148" s="470"/>
      <c r="AX148" s="470"/>
      <c r="AY148" s="470"/>
      <c r="AZ148" s="470"/>
      <c r="BA148" s="470"/>
      <c r="BB148" s="470"/>
      <c r="BC148" s="470"/>
      <c r="BD148" s="470"/>
      <c r="BE148" s="470"/>
      <c r="BF148" s="470"/>
      <c r="BG148" s="470"/>
      <c r="BH148" s="470"/>
      <c r="BI148" s="470"/>
      <c r="BJ148" s="470"/>
      <c r="BK148" s="470"/>
      <c r="BL148" s="474"/>
    </row>
    <row r="149" spans="1:64">
      <c r="A149" s="475">
        <v>43940</v>
      </c>
      <c r="B149" s="478">
        <v>110</v>
      </c>
      <c r="C149" s="478">
        <v>256</v>
      </c>
      <c r="D149" s="476" t="s">
        <v>618</v>
      </c>
      <c r="E149" s="477">
        <v>16</v>
      </c>
      <c r="F149" s="476" t="s">
        <v>106</v>
      </c>
      <c r="G149" s="477">
        <v>534</v>
      </c>
      <c r="H149" s="476" t="s">
        <v>6249</v>
      </c>
      <c r="I149" s="476" t="s">
        <v>836</v>
      </c>
      <c r="J149" s="477">
        <v>12</v>
      </c>
      <c r="K149" s="476" t="s">
        <v>6266</v>
      </c>
      <c r="L149" s="476" t="s">
        <v>6283</v>
      </c>
      <c r="M149" s="476" t="s">
        <v>9</v>
      </c>
      <c r="N149" s="478">
        <v>1</v>
      </c>
      <c r="O149" s="479"/>
      <c r="P149" s="479"/>
      <c r="Q149" s="479"/>
      <c r="R149" s="476"/>
      <c r="S149" s="479">
        <v>0.14895833333333333</v>
      </c>
      <c r="T149" s="479">
        <v>0.21562499999999998</v>
      </c>
      <c r="U149" s="479">
        <v>0.21527777777777779</v>
      </c>
      <c r="V149" s="479">
        <v>0.40277777777777773</v>
      </c>
      <c r="W149" s="479">
        <v>0.49677083333333333</v>
      </c>
      <c r="X149" s="479">
        <v>0.77792824074074074</v>
      </c>
      <c r="Y149" s="479">
        <v>0.16874999999999998</v>
      </c>
      <c r="Z149" s="479">
        <v>0.4055555555555555</v>
      </c>
      <c r="AA149" s="479">
        <v>0.64444444444444449</v>
      </c>
      <c r="AB149" s="476" t="s">
        <v>6289</v>
      </c>
      <c r="AC149" s="478">
        <v>131</v>
      </c>
      <c r="AD149" s="476" t="s">
        <v>119</v>
      </c>
      <c r="AE149" s="476"/>
      <c r="AF149" s="478">
        <v>65.7</v>
      </c>
      <c r="AG149" s="477">
        <v>41.7</v>
      </c>
      <c r="AH149" s="476" t="s">
        <v>6309</v>
      </c>
      <c r="AI149" s="476" t="s">
        <v>6319</v>
      </c>
      <c r="AJ149" s="476" t="s">
        <v>839</v>
      </c>
      <c r="AK149" s="476" t="s">
        <v>6493</v>
      </c>
      <c r="AL149" s="476" t="s">
        <v>6768</v>
      </c>
      <c r="AM149" s="476" t="s">
        <v>6343</v>
      </c>
      <c r="AN149" s="476" t="s">
        <v>742</v>
      </c>
      <c r="AO149" s="476"/>
      <c r="AP149" s="476"/>
      <c r="AQ149" s="476"/>
      <c r="AR149" s="476"/>
      <c r="AS149" s="476"/>
      <c r="AT149" s="476"/>
      <c r="AU149" s="476"/>
      <c r="AV149" s="476"/>
      <c r="AW149" s="476"/>
      <c r="AX149" s="476"/>
      <c r="AY149" s="476"/>
      <c r="AZ149" s="476"/>
      <c r="BA149" s="476"/>
      <c r="BB149" s="476"/>
      <c r="BC149" s="476"/>
      <c r="BD149" s="476"/>
      <c r="BE149" s="476"/>
      <c r="BF149" s="476"/>
      <c r="BG149" s="476"/>
      <c r="BH149" s="476"/>
      <c r="BI149" s="476"/>
      <c r="BJ149" s="476"/>
      <c r="BK149" s="476"/>
      <c r="BL149" s="480"/>
    </row>
    <row r="150" spans="1:64">
      <c r="A150" s="468">
        <v>43941</v>
      </c>
      <c r="B150" s="473">
        <v>111</v>
      </c>
      <c r="C150" s="473">
        <v>255</v>
      </c>
      <c r="D150" s="470" t="s">
        <v>618</v>
      </c>
      <c r="E150" s="469">
        <v>17</v>
      </c>
      <c r="F150" s="470" t="s">
        <v>88</v>
      </c>
      <c r="G150" s="469">
        <v>534</v>
      </c>
      <c r="H150" s="470" t="s">
        <v>6249</v>
      </c>
      <c r="I150" s="470" t="s">
        <v>836</v>
      </c>
      <c r="J150" s="469">
        <v>13</v>
      </c>
      <c r="K150" s="470" t="s">
        <v>6267</v>
      </c>
      <c r="L150" s="470" t="s">
        <v>6284</v>
      </c>
      <c r="M150" s="470" t="s">
        <v>9</v>
      </c>
      <c r="N150" s="473">
        <v>1</v>
      </c>
      <c r="O150" s="471"/>
      <c r="P150" s="471"/>
      <c r="Q150" s="471"/>
      <c r="R150" s="470"/>
      <c r="S150" s="471">
        <v>0.1479398148148148</v>
      </c>
      <c r="T150" s="471">
        <v>0.21460648148148151</v>
      </c>
      <c r="U150" s="471"/>
      <c r="V150" s="471"/>
      <c r="W150" s="471">
        <v>0.49663194444444447</v>
      </c>
      <c r="X150" s="471">
        <v>0.77865740740740741</v>
      </c>
      <c r="Y150" s="471">
        <v>0.18541666666666667</v>
      </c>
      <c r="Z150" s="471">
        <v>0.43402777777777773</v>
      </c>
      <c r="AA150" s="471">
        <v>0.68402777777777779</v>
      </c>
      <c r="AB150" s="470" t="s">
        <v>6289</v>
      </c>
      <c r="AC150" s="473">
        <v>131</v>
      </c>
      <c r="AD150" s="470" t="s">
        <v>119</v>
      </c>
      <c r="AE150" s="470"/>
      <c r="AF150" s="473">
        <v>56.2</v>
      </c>
      <c r="AG150" s="469">
        <v>30.6</v>
      </c>
      <c r="AH150" s="470" t="s">
        <v>6310</v>
      </c>
      <c r="AI150" s="470" t="s">
        <v>6341</v>
      </c>
      <c r="AJ150" s="470" t="s">
        <v>6493</v>
      </c>
      <c r="AK150" s="470" t="s">
        <v>6493</v>
      </c>
      <c r="AL150" s="470"/>
      <c r="AM150" s="470"/>
      <c r="AN150" s="470"/>
      <c r="AO150" s="470"/>
      <c r="AP150" s="470"/>
      <c r="AQ150" s="470"/>
      <c r="AR150" s="470"/>
      <c r="AS150" s="470"/>
      <c r="AT150" s="470"/>
      <c r="AU150" s="470"/>
      <c r="AV150" s="470"/>
      <c r="AW150" s="470"/>
      <c r="AX150" s="470"/>
      <c r="AY150" s="470"/>
      <c r="AZ150" s="470"/>
      <c r="BA150" s="470"/>
      <c r="BB150" s="470"/>
      <c r="BC150" s="470"/>
      <c r="BD150" s="470"/>
      <c r="BE150" s="470"/>
      <c r="BF150" s="470"/>
      <c r="BG150" s="470"/>
      <c r="BH150" s="470"/>
      <c r="BI150" s="470"/>
      <c r="BJ150" s="470"/>
      <c r="BK150" s="470"/>
      <c r="BL150" s="474"/>
    </row>
    <row r="151" spans="1:64">
      <c r="A151" s="475">
        <v>43942</v>
      </c>
      <c r="B151" s="478">
        <v>112</v>
      </c>
      <c r="C151" s="478">
        <v>254</v>
      </c>
      <c r="D151" s="476" t="s">
        <v>618</v>
      </c>
      <c r="E151" s="477">
        <v>17</v>
      </c>
      <c r="F151" s="476" t="s">
        <v>91</v>
      </c>
      <c r="G151" s="477">
        <v>534</v>
      </c>
      <c r="H151" s="476" t="s">
        <v>6249</v>
      </c>
      <c r="I151" s="476" t="s">
        <v>836</v>
      </c>
      <c r="J151" s="477">
        <v>14</v>
      </c>
      <c r="K151" s="476" t="s">
        <v>6268</v>
      </c>
      <c r="L151" s="476" t="s">
        <v>6285</v>
      </c>
      <c r="M151" s="476" t="s">
        <v>9</v>
      </c>
      <c r="N151" s="478">
        <v>1</v>
      </c>
      <c r="O151" s="479"/>
      <c r="P151" s="479"/>
      <c r="Q151" s="479"/>
      <c r="R151" s="476"/>
      <c r="S151" s="479">
        <v>0.14693287037037037</v>
      </c>
      <c r="T151" s="479">
        <v>0.21359953703703705</v>
      </c>
      <c r="U151" s="479"/>
      <c r="V151" s="479"/>
      <c r="W151" s="479">
        <v>0.49649305555555556</v>
      </c>
      <c r="X151" s="479">
        <v>0.77938657407407408</v>
      </c>
      <c r="Y151" s="479">
        <v>0.20138888888888887</v>
      </c>
      <c r="Z151" s="479">
        <v>0.46180555555555558</v>
      </c>
      <c r="AA151" s="479">
        <v>0.72430555555555554</v>
      </c>
      <c r="AB151" s="476" t="s">
        <v>6289</v>
      </c>
      <c r="AC151" s="478">
        <v>131</v>
      </c>
      <c r="AD151" s="476" t="s">
        <v>119</v>
      </c>
      <c r="AE151" s="476"/>
      <c r="AF151" s="478">
        <v>46.8</v>
      </c>
      <c r="AG151" s="477">
        <v>19.399999999999999</v>
      </c>
      <c r="AH151" s="476" t="s">
        <v>6311</v>
      </c>
      <c r="AI151" s="476" t="s">
        <v>6320</v>
      </c>
      <c r="AJ151" s="476" t="s">
        <v>6493</v>
      </c>
      <c r="AK151" s="476" t="s">
        <v>6493</v>
      </c>
      <c r="AL151" s="476" t="s">
        <v>744</v>
      </c>
      <c r="AM151" s="476"/>
      <c r="AN151" s="476"/>
      <c r="AO151" s="476"/>
      <c r="AP151" s="476"/>
      <c r="AQ151" s="476"/>
      <c r="AR151" s="476"/>
      <c r="AS151" s="476"/>
      <c r="AT151" s="476"/>
      <c r="AU151" s="476"/>
      <c r="AV151" s="476"/>
      <c r="AW151" s="476"/>
      <c r="AX151" s="476"/>
      <c r="AY151" s="476"/>
      <c r="AZ151" s="476"/>
      <c r="BA151" s="476"/>
      <c r="BB151" s="476"/>
      <c r="BC151" s="476"/>
      <c r="BD151" s="476"/>
      <c r="BE151" s="476"/>
      <c r="BF151" s="476"/>
      <c r="BG151" s="476"/>
      <c r="BH151" s="476"/>
      <c r="BI151" s="476"/>
      <c r="BJ151" s="476"/>
      <c r="BK151" s="476"/>
      <c r="BL151" s="480"/>
    </row>
    <row r="152" spans="1:64">
      <c r="A152" s="468">
        <v>43943</v>
      </c>
      <c r="B152" s="473">
        <v>113</v>
      </c>
      <c r="C152" s="473">
        <v>253</v>
      </c>
      <c r="D152" s="470" t="s">
        <v>618</v>
      </c>
      <c r="E152" s="469">
        <v>17</v>
      </c>
      <c r="F152" s="470" t="s">
        <v>94</v>
      </c>
      <c r="G152" s="469">
        <v>534</v>
      </c>
      <c r="H152" s="470" t="s">
        <v>6249</v>
      </c>
      <c r="I152" s="470" t="s">
        <v>836</v>
      </c>
      <c r="J152" s="469">
        <v>15</v>
      </c>
      <c r="K152" s="470" t="s">
        <v>6269</v>
      </c>
      <c r="L152" s="470" t="s">
        <v>6286</v>
      </c>
      <c r="M152" s="470" t="s">
        <v>9</v>
      </c>
      <c r="N152" s="473">
        <v>1</v>
      </c>
      <c r="O152" s="471"/>
      <c r="P152" s="471"/>
      <c r="Q152" s="471"/>
      <c r="R152" s="470"/>
      <c r="S152" s="471">
        <v>0.1459375</v>
      </c>
      <c r="T152" s="471">
        <v>0.21260416666666668</v>
      </c>
      <c r="U152" s="471"/>
      <c r="V152" s="471"/>
      <c r="W152" s="471">
        <v>0.49635416666666665</v>
      </c>
      <c r="X152" s="471">
        <v>0.78011574074074075</v>
      </c>
      <c r="Y152" s="471">
        <v>0.21805555555555556</v>
      </c>
      <c r="Z152" s="471">
        <v>0.49027777777777781</v>
      </c>
      <c r="AA152" s="471">
        <v>0.76527777777777783</v>
      </c>
      <c r="AB152" s="470" t="s">
        <v>6463</v>
      </c>
      <c r="AC152" s="473">
        <v>152</v>
      </c>
      <c r="AD152" s="470" t="s">
        <v>110</v>
      </c>
      <c r="AE152" s="470" t="s">
        <v>6520</v>
      </c>
      <c r="AF152" s="473">
        <v>37.700000000000003</v>
      </c>
      <c r="AG152" s="469">
        <v>8.5</v>
      </c>
      <c r="AH152" s="470" t="s">
        <v>6312</v>
      </c>
      <c r="AI152" s="470" t="s">
        <v>6321</v>
      </c>
      <c r="AJ152" s="470" t="s">
        <v>839</v>
      </c>
      <c r="AK152" s="470" t="s">
        <v>6493</v>
      </c>
      <c r="AL152" s="470" t="s">
        <v>6769</v>
      </c>
      <c r="AM152" s="470" t="s">
        <v>6346</v>
      </c>
      <c r="AN152" s="470" t="s">
        <v>748</v>
      </c>
      <c r="AO152" s="470"/>
      <c r="AP152" s="470"/>
      <c r="AQ152" s="470"/>
      <c r="AR152" s="470"/>
      <c r="AS152" s="470"/>
      <c r="AT152" s="470"/>
      <c r="AU152" s="470"/>
      <c r="AV152" s="470"/>
      <c r="AW152" s="470"/>
      <c r="AX152" s="470"/>
      <c r="AY152" s="470"/>
      <c r="AZ152" s="470"/>
      <c r="BA152" s="470"/>
      <c r="BB152" s="470"/>
      <c r="BC152" s="470"/>
      <c r="BD152" s="470"/>
      <c r="BE152" s="470"/>
      <c r="BF152" s="470"/>
      <c r="BG152" s="470"/>
      <c r="BH152" s="470"/>
      <c r="BI152" s="470"/>
      <c r="BJ152" s="470" t="s">
        <v>6426</v>
      </c>
      <c r="BK152" s="470"/>
      <c r="BL152" s="474"/>
    </row>
    <row r="153" spans="1:64">
      <c r="A153" s="475">
        <v>43944</v>
      </c>
      <c r="B153" s="478">
        <v>114</v>
      </c>
      <c r="C153" s="478">
        <v>252</v>
      </c>
      <c r="D153" s="476" t="s">
        <v>618</v>
      </c>
      <c r="E153" s="477">
        <v>17</v>
      </c>
      <c r="F153" s="476" t="s">
        <v>6714</v>
      </c>
      <c r="G153" s="477">
        <v>534</v>
      </c>
      <c r="H153" s="476" t="s">
        <v>6249</v>
      </c>
      <c r="I153" s="476" t="s">
        <v>6257</v>
      </c>
      <c r="J153" s="477">
        <v>16</v>
      </c>
      <c r="K153" s="476" t="s">
        <v>6270</v>
      </c>
      <c r="L153" s="476" t="s">
        <v>6287</v>
      </c>
      <c r="M153" s="476" t="s">
        <v>9</v>
      </c>
      <c r="N153" s="478">
        <v>1</v>
      </c>
      <c r="O153" s="479"/>
      <c r="P153" s="479"/>
      <c r="Q153" s="479"/>
      <c r="R153" s="476"/>
      <c r="S153" s="479">
        <v>0.14495370370370372</v>
      </c>
      <c r="T153" s="479">
        <v>0.21162037037037038</v>
      </c>
      <c r="U153" s="479"/>
      <c r="V153" s="479"/>
      <c r="W153" s="479">
        <v>0.49622685185185184</v>
      </c>
      <c r="X153" s="479">
        <v>0.78084490740740742</v>
      </c>
      <c r="Y153" s="479">
        <v>0.23541666666666669</v>
      </c>
      <c r="Z153" s="479">
        <v>0.51874999999999993</v>
      </c>
      <c r="AA153" s="479">
        <v>0.80694444444444446</v>
      </c>
      <c r="AB153" s="476" t="s">
        <v>6463</v>
      </c>
      <c r="AC153" s="478">
        <v>152</v>
      </c>
      <c r="AD153" s="476" t="s">
        <v>110</v>
      </c>
      <c r="AE153" s="476"/>
      <c r="AF153" s="478">
        <v>29.1</v>
      </c>
      <c r="AG153" s="477">
        <v>98.1</v>
      </c>
      <c r="AH153" s="476" t="s">
        <v>6312</v>
      </c>
      <c r="AI153" s="476" t="s">
        <v>6322</v>
      </c>
      <c r="AJ153" s="476" t="s">
        <v>6493</v>
      </c>
      <c r="AK153" s="476" t="s">
        <v>6493</v>
      </c>
      <c r="AL153" s="476"/>
      <c r="AM153" s="476"/>
      <c r="AN153" s="476"/>
      <c r="AO153" s="476"/>
      <c r="AP153" s="476"/>
      <c r="AQ153" s="476"/>
      <c r="AR153" s="476"/>
      <c r="AS153" s="476"/>
      <c r="AT153" s="476"/>
      <c r="AU153" s="476"/>
      <c r="AV153" s="476"/>
      <c r="AW153" s="476"/>
      <c r="AX153" s="476"/>
      <c r="AY153" s="476"/>
      <c r="AZ153" s="476"/>
      <c r="BA153" s="476"/>
      <c r="BB153" s="476"/>
      <c r="BC153" s="476"/>
      <c r="BD153" s="476"/>
      <c r="BE153" s="476"/>
      <c r="BF153" s="476"/>
      <c r="BG153" s="476"/>
      <c r="BH153" s="476"/>
      <c r="BI153" s="476"/>
      <c r="BJ153" s="476"/>
      <c r="BK153" s="476"/>
      <c r="BL153" s="480"/>
    </row>
    <row r="154" spans="1:64">
      <c r="A154" s="468">
        <v>43945</v>
      </c>
      <c r="B154" s="473">
        <v>115</v>
      </c>
      <c r="C154" s="473">
        <v>251</v>
      </c>
      <c r="D154" s="470" t="s">
        <v>618</v>
      </c>
      <c r="E154" s="469">
        <v>17</v>
      </c>
      <c r="F154" s="470" t="s">
        <v>100</v>
      </c>
      <c r="G154" s="469">
        <v>534</v>
      </c>
      <c r="H154" s="470" t="s">
        <v>6249</v>
      </c>
      <c r="I154" s="470" t="s">
        <v>6257</v>
      </c>
      <c r="J154" s="469">
        <v>17</v>
      </c>
      <c r="K154" s="470" t="s">
        <v>1034</v>
      </c>
      <c r="L154" s="470" t="s">
        <v>6273</v>
      </c>
      <c r="M154" s="470" t="s">
        <v>9</v>
      </c>
      <c r="N154" s="473">
        <v>1</v>
      </c>
      <c r="O154" s="471"/>
      <c r="P154" s="471"/>
      <c r="Q154" s="471"/>
      <c r="R154" s="470"/>
      <c r="S154" s="471">
        <v>0.14396990740740742</v>
      </c>
      <c r="T154" s="471">
        <v>0.21063657407407407</v>
      </c>
      <c r="U154" s="471"/>
      <c r="V154" s="471"/>
      <c r="W154" s="471">
        <v>0.49609953703703707</v>
      </c>
      <c r="X154" s="471">
        <v>0.78156250000000005</v>
      </c>
      <c r="Y154" s="471">
        <v>0.25416666666666665</v>
      </c>
      <c r="Z154" s="471">
        <v>0.5493055555555556</v>
      </c>
      <c r="AA154" s="471">
        <v>0.84861111111111109</v>
      </c>
      <c r="AB154" s="470" t="s">
        <v>6463</v>
      </c>
      <c r="AC154" s="473">
        <v>152</v>
      </c>
      <c r="AD154" s="470" t="s">
        <v>110</v>
      </c>
      <c r="AE154" s="470"/>
      <c r="AF154" s="473">
        <v>21.2</v>
      </c>
      <c r="AG154" s="469">
        <v>88.2</v>
      </c>
      <c r="AH154" s="470" t="s">
        <v>6313</v>
      </c>
      <c r="AI154" s="470" t="s">
        <v>6323</v>
      </c>
      <c r="AJ154" s="470" t="s">
        <v>6493</v>
      </c>
      <c r="AK154" s="470" t="s">
        <v>6493</v>
      </c>
      <c r="AL154" s="470"/>
      <c r="AM154" s="470"/>
      <c r="AN154" s="470"/>
      <c r="AO154" s="470"/>
      <c r="AP154" s="470"/>
      <c r="AQ154" s="470"/>
      <c r="AR154" s="470"/>
      <c r="AS154" s="470"/>
      <c r="AT154" s="470"/>
      <c r="AU154" s="470"/>
      <c r="AV154" s="470"/>
      <c r="AW154" s="470"/>
      <c r="AX154" s="470"/>
      <c r="AY154" s="470"/>
      <c r="AZ154" s="470"/>
      <c r="BA154" s="470"/>
      <c r="BB154" s="470"/>
      <c r="BC154" s="470"/>
      <c r="BD154" s="470"/>
      <c r="BE154" s="470"/>
      <c r="BF154" s="470"/>
      <c r="BG154" s="470"/>
      <c r="BH154" s="470"/>
      <c r="BI154" s="470"/>
      <c r="BJ154" s="470"/>
      <c r="BK154" s="470"/>
      <c r="BL154" s="474"/>
    </row>
    <row r="155" spans="1:64">
      <c r="A155" s="475">
        <v>43946</v>
      </c>
      <c r="B155" s="478">
        <v>116</v>
      </c>
      <c r="C155" s="478">
        <v>250</v>
      </c>
      <c r="D155" s="476" t="s">
        <v>618</v>
      </c>
      <c r="E155" s="477">
        <v>17</v>
      </c>
      <c r="F155" s="476" t="s">
        <v>103</v>
      </c>
      <c r="G155" s="477">
        <v>534</v>
      </c>
      <c r="H155" s="476" t="s">
        <v>6249</v>
      </c>
      <c r="I155" s="476" t="s">
        <v>6257</v>
      </c>
      <c r="J155" s="477">
        <v>18</v>
      </c>
      <c r="K155" s="476" t="s">
        <v>6258</v>
      </c>
      <c r="L155" s="476" t="s">
        <v>6274</v>
      </c>
      <c r="M155" s="476" t="s">
        <v>9</v>
      </c>
      <c r="N155" s="478">
        <v>1</v>
      </c>
      <c r="O155" s="479"/>
      <c r="P155" s="479"/>
      <c r="Q155" s="479"/>
      <c r="R155" s="476"/>
      <c r="S155" s="479">
        <v>0.14300925925925925</v>
      </c>
      <c r="T155" s="479">
        <v>0.2096759259259259</v>
      </c>
      <c r="U155" s="479"/>
      <c r="V155" s="479"/>
      <c r="W155" s="479">
        <v>0.4959837962962963</v>
      </c>
      <c r="X155" s="479">
        <v>0.78229166666666661</v>
      </c>
      <c r="Y155" s="479">
        <v>0.27569444444444446</v>
      </c>
      <c r="Z155" s="479">
        <v>0.58124999999999993</v>
      </c>
      <c r="AA155" s="479">
        <v>0.89166666666666661</v>
      </c>
      <c r="AB155" s="476" t="s">
        <v>6463</v>
      </c>
      <c r="AC155" s="478">
        <v>152</v>
      </c>
      <c r="AD155" s="476" t="s">
        <v>110</v>
      </c>
      <c r="AE155" s="476"/>
      <c r="AF155" s="478">
        <v>14.2</v>
      </c>
      <c r="AG155" s="477">
        <v>79.2</v>
      </c>
      <c r="AH155" s="476" t="s">
        <v>6314</v>
      </c>
      <c r="AI155" s="476" t="s">
        <v>6324</v>
      </c>
      <c r="AJ155" s="476" t="s">
        <v>839</v>
      </c>
      <c r="AK155" s="476" t="s">
        <v>6493</v>
      </c>
      <c r="AL155" s="476" t="s">
        <v>6770</v>
      </c>
      <c r="AM155" s="476" t="s">
        <v>6344</v>
      </c>
      <c r="AN155" s="476"/>
      <c r="AO155" s="476"/>
      <c r="AP155" s="476"/>
      <c r="AQ155" s="476"/>
      <c r="AR155" s="476"/>
      <c r="AS155" s="476"/>
      <c r="AT155" s="476"/>
      <c r="AU155" s="476"/>
      <c r="AV155" s="476"/>
      <c r="AW155" s="476"/>
      <c r="AX155" s="476"/>
      <c r="AY155" s="476"/>
      <c r="AZ155" s="476"/>
      <c r="BA155" s="476"/>
      <c r="BB155" s="476"/>
      <c r="BC155" s="476"/>
      <c r="BD155" s="476"/>
      <c r="BE155" s="476"/>
      <c r="BF155" s="476"/>
      <c r="BG155" s="476"/>
      <c r="BH155" s="476"/>
      <c r="BI155" s="476"/>
      <c r="BJ155" s="476" t="s">
        <v>6383</v>
      </c>
      <c r="BK155" s="476"/>
      <c r="BL155" s="480"/>
    </row>
    <row r="156" spans="1:64">
      <c r="A156" s="468">
        <v>43947</v>
      </c>
      <c r="B156" s="473">
        <v>117</v>
      </c>
      <c r="C156" s="473">
        <v>249</v>
      </c>
      <c r="D156" s="470" t="s">
        <v>618</v>
      </c>
      <c r="E156" s="469">
        <v>17</v>
      </c>
      <c r="F156" s="470" t="s">
        <v>106</v>
      </c>
      <c r="G156" s="469">
        <v>534</v>
      </c>
      <c r="H156" s="470" t="s">
        <v>6249</v>
      </c>
      <c r="I156" s="470" t="s">
        <v>6257</v>
      </c>
      <c r="J156" s="469">
        <v>19</v>
      </c>
      <c r="K156" s="470" t="s">
        <v>6259</v>
      </c>
      <c r="L156" s="470" t="s">
        <v>6275</v>
      </c>
      <c r="M156" s="470" t="s">
        <v>9</v>
      </c>
      <c r="N156" s="473">
        <v>1</v>
      </c>
      <c r="O156" s="471"/>
      <c r="P156" s="471"/>
      <c r="Q156" s="471"/>
      <c r="R156" s="470"/>
      <c r="S156" s="471">
        <v>0.14206018518518518</v>
      </c>
      <c r="T156" s="471">
        <v>0.20872685185185183</v>
      </c>
      <c r="U156" s="471"/>
      <c r="V156" s="471"/>
      <c r="W156" s="471">
        <v>0.49587962962962967</v>
      </c>
      <c r="X156" s="471">
        <v>0.78302083333333339</v>
      </c>
      <c r="Y156" s="471">
        <v>0.30069444444444443</v>
      </c>
      <c r="Z156" s="471">
        <v>0.61527777777777781</v>
      </c>
      <c r="AA156" s="471">
        <v>0.93402777777777779</v>
      </c>
      <c r="AB156" s="470" t="s">
        <v>6463</v>
      </c>
      <c r="AC156" s="473">
        <v>152</v>
      </c>
      <c r="AD156" s="470" t="s">
        <v>110</v>
      </c>
      <c r="AE156" s="470"/>
      <c r="AF156" s="473">
        <v>8.3000000000000007</v>
      </c>
      <c r="AG156" s="469">
        <v>71.2</v>
      </c>
      <c r="AH156" s="470" t="s">
        <v>973</v>
      </c>
      <c r="AI156" s="470" t="s">
        <v>6325</v>
      </c>
      <c r="AJ156" s="470" t="s">
        <v>6493</v>
      </c>
      <c r="AK156" s="470" t="s">
        <v>6493</v>
      </c>
      <c r="AL156" s="470"/>
      <c r="AM156" s="470"/>
      <c r="AN156" s="470"/>
      <c r="AO156" s="470"/>
      <c r="AP156" s="470"/>
      <c r="AQ156" s="470"/>
      <c r="AR156" s="470"/>
      <c r="AS156" s="470"/>
      <c r="AT156" s="470"/>
      <c r="AU156" s="470"/>
      <c r="AV156" s="470"/>
      <c r="AW156" s="470"/>
      <c r="AX156" s="470"/>
      <c r="AY156" s="470"/>
      <c r="AZ156" s="470"/>
      <c r="BA156" s="470"/>
      <c r="BB156" s="470"/>
      <c r="BC156" s="470"/>
      <c r="BD156" s="470"/>
      <c r="BE156" s="470"/>
      <c r="BF156" s="470"/>
      <c r="BG156" s="470"/>
      <c r="BH156" s="470"/>
      <c r="BI156" s="470"/>
      <c r="BJ156" s="470"/>
      <c r="BK156" s="470"/>
      <c r="BL156" s="474"/>
    </row>
    <row r="157" spans="1:64">
      <c r="A157" s="475">
        <v>43948</v>
      </c>
      <c r="B157" s="478">
        <v>118</v>
      </c>
      <c r="C157" s="478">
        <v>248</v>
      </c>
      <c r="D157" s="476" t="s">
        <v>618</v>
      </c>
      <c r="E157" s="477">
        <v>18</v>
      </c>
      <c r="F157" s="476" t="s">
        <v>88</v>
      </c>
      <c r="G157" s="477">
        <v>534</v>
      </c>
      <c r="H157" s="476" t="s">
        <v>6249</v>
      </c>
      <c r="I157" s="476" t="s">
        <v>6257</v>
      </c>
      <c r="J157" s="477">
        <v>20</v>
      </c>
      <c r="K157" s="476" t="s">
        <v>6260</v>
      </c>
      <c r="L157" s="476" t="s">
        <v>6275</v>
      </c>
      <c r="M157" s="476" t="s">
        <v>9</v>
      </c>
      <c r="N157" s="478">
        <v>1</v>
      </c>
      <c r="O157" s="479"/>
      <c r="P157" s="479"/>
      <c r="Q157" s="479"/>
      <c r="R157" s="476"/>
      <c r="S157" s="479">
        <v>0.1411226851851852</v>
      </c>
      <c r="T157" s="479">
        <v>0.20778935185185185</v>
      </c>
      <c r="U157" s="479"/>
      <c r="V157" s="479"/>
      <c r="W157" s="479">
        <v>0.49576388888888889</v>
      </c>
      <c r="X157" s="479">
        <v>0.78374999999999995</v>
      </c>
      <c r="Y157" s="479">
        <v>0.3298611111111111</v>
      </c>
      <c r="Z157" s="479">
        <v>0.65138888888888891</v>
      </c>
      <c r="AA157" s="479">
        <v>0.97361111111111109</v>
      </c>
      <c r="AB157" s="476" t="s">
        <v>6463</v>
      </c>
      <c r="AC157" s="478">
        <v>152</v>
      </c>
      <c r="AD157" s="476" t="s">
        <v>110</v>
      </c>
      <c r="AE157" s="476"/>
      <c r="AF157" s="478">
        <v>3.8</v>
      </c>
      <c r="AG157" s="477">
        <v>64.5</v>
      </c>
      <c r="AH157" s="476" t="s">
        <v>6290</v>
      </c>
      <c r="AI157" s="476" t="s">
        <v>6326</v>
      </c>
      <c r="AJ157" s="476" t="s">
        <v>6493</v>
      </c>
      <c r="AK157" s="476" t="s">
        <v>6493</v>
      </c>
      <c r="AL157" s="476"/>
      <c r="AM157" s="476"/>
      <c r="AN157" s="476"/>
      <c r="AO157" s="476"/>
      <c r="AP157" s="476"/>
      <c r="AQ157" s="476"/>
      <c r="AR157" s="476"/>
      <c r="AS157" s="476"/>
      <c r="AT157" s="476"/>
      <c r="AU157" s="476"/>
      <c r="AV157" s="476"/>
      <c r="AW157" s="476"/>
      <c r="AX157" s="476"/>
      <c r="AY157" s="476"/>
      <c r="AZ157" s="476"/>
      <c r="BA157" s="476"/>
      <c r="BB157" s="476"/>
      <c r="BC157" s="476"/>
      <c r="BD157" s="476"/>
      <c r="BE157" s="476"/>
      <c r="BF157" s="476"/>
      <c r="BG157" s="476"/>
      <c r="BH157" s="476"/>
      <c r="BI157" s="476"/>
      <c r="BJ157" s="476"/>
      <c r="BK157" s="476"/>
      <c r="BL157" s="480"/>
    </row>
    <row r="158" spans="1:64">
      <c r="A158" s="468">
        <v>43949</v>
      </c>
      <c r="B158" s="473">
        <v>119</v>
      </c>
      <c r="C158" s="473">
        <v>247</v>
      </c>
      <c r="D158" s="470" t="s">
        <v>618</v>
      </c>
      <c r="E158" s="469">
        <v>18</v>
      </c>
      <c r="F158" s="470" t="s">
        <v>91</v>
      </c>
      <c r="G158" s="469">
        <v>534</v>
      </c>
      <c r="H158" s="470" t="s">
        <v>6249</v>
      </c>
      <c r="I158" s="470" t="s">
        <v>6257</v>
      </c>
      <c r="J158" s="469">
        <v>21</v>
      </c>
      <c r="K158" s="470" t="s">
        <v>6261</v>
      </c>
      <c r="L158" s="470" t="s">
        <v>6276</v>
      </c>
      <c r="M158" s="470" t="s">
        <v>9</v>
      </c>
      <c r="N158" s="473">
        <v>1</v>
      </c>
      <c r="O158" s="471"/>
      <c r="P158" s="471"/>
      <c r="Q158" s="471"/>
      <c r="R158" s="470"/>
      <c r="S158" s="471">
        <v>0.14019675925925926</v>
      </c>
      <c r="T158" s="471">
        <v>0.20686342592592591</v>
      </c>
      <c r="U158" s="471"/>
      <c r="V158" s="471"/>
      <c r="W158" s="471">
        <v>0.4956712962962963</v>
      </c>
      <c r="X158" s="471">
        <v>0.78447916666666673</v>
      </c>
      <c r="Y158" s="471">
        <v>0.36527777777777781</v>
      </c>
      <c r="Z158" s="471">
        <v>0.68888888888888899</v>
      </c>
      <c r="AA158" s="471" t="s">
        <v>1107</v>
      </c>
      <c r="AB158" s="470" t="s">
        <v>6463</v>
      </c>
      <c r="AC158" s="473">
        <v>152</v>
      </c>
      <c r="AD158" s="470" t="s">
        <v>110</v>
      </c>
      <c r="AE158" s="470"/>
      <c r="AF158" s="473">
        <v>1.2</v>
      </c>
      <c r="AG158" s="469">
        <v>59.4</v>
      </c>
      <c r="AH158" s="470" t="s">
        <v>6315</v>
      </c>
      <c r="AI158" s="470" t="s">
        <v>6327</v>
      </c>
      <c r="AJ158" s="470" t="s">
        <v>6493</v>
      </c>
      <c r="AK158" s="470" t="s">
        <v>6493</v>
      </c>
      <c r="AL158" s="470"/>
      <c r="AM158" s="470"/>
      <c r="AN158" s="470"/>
      <c r="AO158" s="470"/>
      <c r="AP158" s="470"/>
      <c r="AQ158" s="470"/>
      <c r="AR158" s="470"/>
      <c r="AS158" s="470"/>
      <c r="AT158" s="470"/>
      <c r="AU158" s="470"/>
      <c r="AV158" s="470"/>
      <c r="AW158" s="470"/>
      <c r="AX158" s="470"/>
      <c r="AY158" s="470"/>
      <c r="AZ158" s="470"/>
      <c r="BA158" s="470"/>
      <c r="BB158" s="470"/>
      <c r="BC158" s="470"/>
      <c r="BD158" s="470"/>
      <c r="BE158" s="470"/>
      <c r="BF158" s="470"/>
      <c r="BG158" s="470"/>
      <c r="BH158" s="470"/>
      <c r="BI158" s="470"/>
      <c r="BJ158" s="470"/>
      <c r="BK158" s="470"/>
      <c r="BL158" s="474"/>
    </row>
    <row r="159" spans="1:64">
      <c r="A159" s="475">
        <v>43950</v>
      </c>
      <c r="B159" s="478">
        <v>120</v>
      </c>
      <c r="C159" s="478">
        <v>246</v>
      </c>
      <c r="D159" s="476" t="s">
        <v>618</v>
      </c>
      <c r="E159" s="477">
        <v>18</v>
      </c>
      <c r="F159" s="476" t="s">
        <v>94</v>
      </c>
      <c r="G159" s="477">
        <v>534</v>
      </c>
      <c r="H159" s="476" t="s">
        <v>6249</v>
      </c>
      <c r="I159" s="476" t="s">
        <v>6257</v>
      </c>
      <c r="J159" s="477">
        <v>22</v>
      </c>
      <c r="K159" s="476" t="s">
        <v>6262</v>
      </c>
      <c r="L159" s="476" t="s">
        <v>6277</v>
      </c>
      <c r="M159" s="476" t="s">
        <v>9</v>
      </c>
      <c r="N159" s="478">
        <v>1</v>
      </c>
      <c r="O159" s="479"/>
      <c r="P159" s="479"/>
      <c r="Q159" s="479"/>
      <c r="R159" s="476"/>
      <c r="S159" s="479">
        <v>0.13928240740740741</v>
      </c>
      <c r="T159" s="479">
        <v>0.20594907407407406</v>
      </c>
      <c r="U159" s="479"/>
      <c r="V159" s="479"/>
      <c r="W159" s="479">
        <v>0.49556712962962962</v>
      </c>
      <c r="X159" s="479">
        <v>0.78519675925925936</v>
      </c>
      <c r="Y159" s="479">
        <v>0.40486111111111112</v>
      </c>
      <c r="Z159" s="479">
        <v>0.72638888888888886</v>
      </c>
      <c r="AA159" s="479">
        <v>1.1805555555555555E-2</v>
      </c>
      <c r="AB159" s="476" t="s">
        <v>6463</v>
      </c>
      <c r="AC159" s="478">
        <v>152</v>
      </c>
      <c r="AD159" s="476" t="s">
        <v>110</v>
      </c>
      <c r="AE159" s="476"/>
      <c r="AF159" s="478">
        <v>0.9</v>
      </c>
      <c r="AG159" s="477">
        <v>56.4</v>
      </c>
      <c r="AH159" s="476" t="s">
        <v>6291</v>
      </c>
      <c r="AI159" s="476" t="s">
        <v>6328</v>
      </c>
      <c r="AJ159" s="476" t="s">
        <v>6493</v>
      </c>
      <c r="AK159" s="476" t="s">
        <v>6493</v>
      </c>
      <c r="AL159" s="476"/>
      <c r="AM159" s="476"/>
      <c r="AN159" s="476"/>
      <c r="AO159" s="476"/>
      <c r="AP159" s="476"/>
      <c r="AQ159" s="476"/>
      <c r="AR159" s="476"/>
      <c r="AS159" s="476"/>
      <c r="AT159" s="476"/>
      <c r="AU159" s="476"/>
      <c r="AV159" s="476"/>
      <c r="AW159" s="476"/>
      <c r="AX159" s="476"/>
      <c r="AY159" s="476"/>
      <c r="AZ159" s="476"/>
      <c r="BA159" s="476"/>
      <c r="BB159" s="476"/>
      <c r="BC159" s="476"/>
      <c r="BD159" s="476"/>
      <c r="BE159" s="476"/>
      <c r="BF159" s="476"/>
      <c r="BG159" s="476"/>
      <c r="BH159" s="476"/>
      <c r="BI159" s="476"/>
      <c r="BJ159" s="476"/>
      <c r="BK159" s="476"/>
      <c r="BL159" s="480"/>
    </row>
    <row r="160" spans="1:64">
      <c r="A160" s="468">
        <v>43951</v>
      </c>
      <c r="B160" s="473">
        <v>121</v>
      </c>
      <c r="C160" s="473">
        <v>245</v>
      </c>
      <c r="D160" s="470" t="s">
        <v>618</v>
      </c>
      <c r="E160" s="469">
        <v>18</v>
      </c>
      <c r="F160" s="470" t="s">
        <v>6714</v>
      </c>
      <c r="G160" s="469">
        <v>534</v>
      </c>
      <c r="H160" s="470" t="s">
        <v>6249</v>
      </c>
      <c r="I160" s="470" t="s">
        <v>6257</v>
      </c>
      <c r="J160" s="469">
        <v>23</v>
      </c>
      <c r="K160" s="470" t="s">
        <v>6263</v>
      </c>
      <c r="L160" s="470" t="s">
        <v>6278</v>
      </c>
      <c r="M160" s="470" t="s">
        <v>9</v>
      </c>
      <c r="N160" s="473">
        <v>1</v>
      </c>
      <c r="O160" s="471"/>
      <c r="P160" s="471"/>
      <c r="Q160" s="471"/>
      <c r="R160" s="470"/>
      <c r="S160" s="471">
        <v>0.13837962962962963</v>
      </c>
      <c r="T160" s="471">
        <v>0.20504629629629631</v>
      </c>
      <c r="U160" s="471"/>
      <c r="V160" s="471"/>
      <c r="W160" s="471">
        <v>0.49548611111111113</v>
      </c>
      <c r="X160" s="471">
        <v>0.78592592592592592</v>
      </c>
      <c r="Y160" s="471">
        <v>0.44930555555555557</v>
      </c>
      <c r="Z160" s="471">
        <v>0.76458333333333339</v>
      </c>
      <c r="AA160" s="471">
        <v>4.5138888888888888E-2</v>
      </c>
      <c r="AB160" s="470" t="s">
        <v>6464</v>
      </c>
      <c r="AC160" s="473">
        <v>130</v>
      </c>
      <c r="AD160" s="470" t="s">
        <v>113</v>
      </c>
      <c r="AE160" s="470" t="s">
        <v>6521</v>
      </c>
      <c r="AF160" s="473">
        <v>3.2</v>
      </c>
      <c r="AG160" s="469">
        <v>55.7</v>
      </c>
      <c r="AH160" s="470" t="s">
        <v>6292</v>
      </c>
      <c r="AI160" s="470" t="s">
        <v>6329</v>
      </c>
      <c r="AJ160" s="470" t="s">
        <v>6493</v>
      </c>
      <c r="AK160" s="470" t="s">
        <v>6493</v>
      </c>
      <c r="AL160" s="470"/>
      <c r="AM160" s="470"/>
      <c r="AN160" s="470"/>
      <c r="AO160" s="470"/>
      <c r="AP160" s="470"/>
      <c r="AQ160" s="470"/>
      <c r="AR160" s="470"/>
      <c r="AS160" s="470"/>
      <c r="AT160" s="470"/>
      <c r="AU160" s="470"/>
      <c r="AV160" s="470"/>
      <c r="AW160" s="470"/>
      <c r="AX160" s="470"/>
      <c r="AY160" s="470"/>
      <c r="AZ160" s="470"/>
      <c r="BA160" s="470"/>
      <c r="BB160" s="470"/>
      <c r="BC160" s="470"/>
      <c r="BD160" s="470"/>
      <c r="BE160" s="470"/>
      <c r="BF160" s="470"/>
      <c r="BG160" s="470"/>
      <c r="BH160" s="470"/>
      <c r="BI160" s="470"/>
      <c r="BJ160" s="470"/>
      <c r="BK160" s="470"/>
      <c r="BL160" s="474"/>
    </row>
    <row r="161" spans="1:64">
      <c r="A161" s="475">
        <v>43952</v>
      </c>
      <c r="B161" s="478">
        <v>122</v>
      </c>
      <c r="C161" s="478">
        <v>244</v>
      </c>
      <c r="D161" s="476" t="s">
        <v>620</v>
      </c>
      <c r="E161" s="477">
        <v>18</v>
      </c>
      <c r="F161" s="476" t="s">
        <v>100</v>
      </c>
      <c r="G161" s="477">
        <v>534</v>
      </c>
      <c r="H161" s="476" t="s">
        <v>6249</v>
      </c>
      <c r="I161" s="476" t="s">
        <v>6257</v>
      </c>
      <c r="J161" s="477">
        <v>24</v>
      </c>
      <c r="K161" s="476" t="s">
        <v>6264</v>
      </c>
      <c r="L161" s="476" t="s">
        <v>6280</v>
      </c>
      <c r="M161" s="476" t="s">
        <v>9</v>
      </c>
      <c r="N161" s="478">
        <v>1</v>
      </c>
      <c r="O161" s="479"/>
      <c r="P161" s="479"/>
      <c r="Q161" s="479"/>
      <c r="R161" s="476"/>
      <c r="S161" s="479">
        <v>0.13748842592592592</v>
      </c>
      <c r="T161" s="479">
        <v>0.2041550925925926</v>
      </c>
      <c r="U161" s="479"/>
      <c r="V161" s="479"/>
      <c r="W161" s="479">
        <v>0.49540509259259258</v>
      </c>
      <c r="X161" s="479">
        <v>0.78664351851851855</v>
      </c>
      <c r="Y161" s="479">
        <v>0.49791666666666662</v>
      </c>
      <c r="Z161" s="479">
        <v>0.80208333333333337</v>
      </c>
      <c r="AA161" s="479">
        <v>7.4999999999999997E-2</v>
      </c>
      <c r="AB161" s="476" t="s">
        <v>6464</v>
      </c>
      <c r="AC161" s="478">
        <v>130</v>
      </c>
      <c r="AD161" s="476" t="s">
        <v>113</v>
      </c>
      <c r="AE161" s="476"/>
      <c r="AF161" s="478">
        <v>8.5</v>
      </c>
      <c r="AG161" s="477">
        <v>57.8</v>
      </c>
      <c r="AH161" s="476" t="s">
        <v>6293</v>
      </c>
      <c r="AI161" s="476" t="s">
        <v>6330</v>
      </c>
      <c r="AJ161" s="476" t="s">
        <v>839</v>
      </c>
      <c r="AK161" s="476" t="s">
        <v>6493</v>
      </c>
      <c r="AL161" s="476" t="s">
        <v>6771</v>
      </c>
      <c r="AM161" s="476" t="s">
        <v>6344</v>
      </c>
      <c r="AN161" s="476" t="s">
        <v>6928</v>
      </c>
      <c r="AO161" s="476" t="s">
        <v>6346</v>
      </c>
      <c r="AP161" s="476" t="s">
        <v>7014</v>
      </c>
      <c r="AQ161" s="476" t="s">
        <v>6346</v>
      </c>
      <c r="AR161" s="476" t="s">
        <v>754</v>
      </c>
      <c r="AS161" s="476"/>
      <c r="AT161" s="476"/>
      <c r="AU161" s="476"/>
      <c r="AV161" s="476"/>
      <c r="AW161" s="476"/>
      <c r="AX161" s="476"/>
      <c r="AY161" s="476"/>
      <c r="AZ161" s="476"/>
      <c r="BA161" s="476"/>
      <c r="BB161" s="476"/>
      <c r="BC161" s="476"/>
      <c r="BD161" s="476"/>
      <c r="BE161" s="476"/>
      <c r="BF161" s="476"/>
      <c r="BG161" s="476"/>
      <c r="BH161" s="476"/>
      <c r="BI161" s="476"/>
      <c r="BJ161" s="476" t="s">
        <v>7092</v>
      </c>
      <c r="BK161" s="476"/>
      <c r="BL161" s="480"/>
    </row>
    <row r="162" spans="1:64">
      <c r="A162" s="468">
        <v>43953</v>
      </c>
      <c r="B162" s="473">
        <v>123</v>
      </c>
      <c r="C162" s="473">
        <v>243</v>
      </c>
      <c r="D162" s="470" t="s">
        <v>620</v>
      </c>
      <c r="E162" s="469">
        <v>18</v>
      </c>
      <c r="F162" s="470" t="s">
        <v>103</v>
      </c>
      <c r="G162" s="469">
        <v>534</v>
      </c>
      <c r="H162" s="470" t="s">
        <v>6249</v>
      </c>
      <c r="I162" s="470" t="s">
        <v>6257</v>
      </c>
      <c r="J162" s="469">
        <v>25</v>
      </c>
      <c r="K162" s="470" t="s">
        <v>6265</v>
      </c>
      <c r="L162" s="470" t="s">
        <v>6281</v>
      </c>
      <c r="M162" s="470" t="s">
        <v>9</v>
      </c>
      <c r="N162" s="473">
        <v>1</v>
      </c>
      <c r="O162" s="471"/>
      <c r="P162" s="471"/>
      <c r="Q162" s="471"/>
      <c r="R162" s="470"/>
      <c r="S162" s="471">
        <v>0.13662037037037036</v>
      </c>
      <c r="T162" s="471">
        <v>0.20328703703703702</v>
      </c>
      <c r="U162" s="471"/>
      <c r="V162" s="471"/>
      <c r="W162" s="471">
        <v>0.49532407407407408</v>
      </c>
      <c r="X162" s="471">
        <v>0.78736111111111118</v>
      </c>
      <c r="Y162" s="471">
        <v>0.54791666666666672</v>
      </c>
      <c r="Z162" s="471">
        <v>0.83888888888888891</v>
      </c>
      <c r="AA162" s="471">
        <v>0.1013888888888889</v>
      </c>
      <c r="AB162" s="470" t="s">
        <v>6464</v>
      </c>
      <c r="AC162" s="473">
        <v>130</v>
      </c>
      <c r="AD162" s="470" t="s">
        <v>113</v>
      </c>
      <c r="AE162" s="470"/>
      <c r="AF162" s="473">
        <v>17.2</v>
      </c>
      <c r="AG162" s="469">
        <v>62.9</v>
      </c>
      <c r="AH162" s="470" t="s">
        <v>6294</v>
      </c>
      <c r="AI162" s="470" t="s">
        <v>6332</v>
      </c>
      <c r="AJ162" s="470" t="s">
        <v>6493</v>
      </c>
      <c r="AK162" s="470" t="s">
        <v>6493</v>
      </c>
      <c r="AL162" s="470"/>
      <c r="AM162" s="470"/>
      <c r="AN162" s="470"/>
      <c r="AO162" s="470"/>
      <c r="AP162" s="470"/>
      <c r="AQ162" s="470"/>
      <c r="AR162" s="470"/>
      <c r="AS162" s="470"/>
      <c r="AT162" s="470"/>
      <c r="AU162" s="470"/>
      <c r="AV162" s="470"/>
      <c r="AW162" s="470"/>
      <c r="AX162" s="470"/>
      <c r="AY162" s="470"/>
      <c r="AZ162" s="470"/>
      <c r="BA162" s="470"/>
      <c r="BB162" s="470"/>
      <c r="BC162" s="470"/>
      <c r="BD162" s="470"/>
      <c r="BE162" s="470"/>
      <c r="BF162" s="470"/>
      <c r="BG162" s="470"/>
      <c r="BH162" s="470"/>
      <c r="BI162" s="470"/>
      <c r="BJ162" s="470"/>
      <c r="BK162" s="470"/>
      <c r="BL162" s="474"/>
    </row>
    <row r="163" spans="1:64">
      <c r="A163" s="475">
        <v>43954</v>
      </c>
      <c r="B163" s="478">
        <v>124</v>
      </c>
      <c r="C163" s="478">
        <v>242</v>
      </c>
      <c r="D163" s="476" t="s">
        <v>620</v>
      </c>
      <c r="E163" s="477">
        <v>18</v>
      </c>
      <c r="F163" s="476" t="s">
        <v>106</v>
      </c>
      <c r="G163" s="477">
        <v>534</v>
      </c>
      <c r="H163" s="476" t="s">
        <v>6249</v>
      </c>
      <c r="I163" s="476" t="s">
        <v>6257</v>
      </c>
      <c r="J163" s="477">
        <v>26</v>
      </c>
      <c r="K163" s="476" t="s">
        <v>6271</v>
      </c>
      <c r="L163" s="476" t="s">
        <v>6282</v>
      </c>
      <c r="M163" s="476" t="s">
        <v>9</v>
      </c>
      <c r="N163" s="478">
        <v>1</v>
      </c>
      <c r="O163" s="479"/>
      <c r="P163" s="479"/>
      <c r="Q163" s="479"/>
      <c r="R163" s="476"/>
      <c r="S163" s="479">
        <v>0.13576388888888888</v>
      </c>
      <c r="T163" s="479">
        <v>0.20243055555555556</v>
      </c>
      <c r="U163" s="479"/>
      <c r="V163" s="479"/>
      <c r="W163" s="479">
        <v>0.49525462962962963</v>
      </c>
      <c r="X163" s="479">
        <v>0.7880787037037037</v>
      </c>
      <c r="Y163" s="479">
        <v>0.6</v>
      </c>
      <c r="Z163" s="479">
        <v>0.875</v>
      </c>
      <c r="AA163" s="479">
        <v>0.12430555555555556</v>
      </c>
      <c r="AB163" s="476" t="s">
        <v>6464</v>
      </c>
      <c r="AC163" s="478">
        <v>130</v>
      </c>
      <c r="AD163" s="476" t="s">
        <v>113</v>
      </c>
      <c r="AE163" s="476"/>
      <c r="AF163" s="478">
        <v>29.1</v>
      </c>
      <c r="AG163" s="477">
        <v>70.900000000000006</v>
      </c>
      <c r="AH163" s="476" t="s">
        <v>6295</v>
      </c>
      <c r="AI163" s="476" t="s">
        <v>6333</v>
      </c>
      <c r="AJ163" s="476" t="s">
        <v>838</v>
      </c>
      <c r="AK163" s="476" t="s">
        <v>13</v>
      </c>
      <c r="AL163" s="476" t="s">
        <v>6772</v>
      </c>
      <c r="AM163" s="476" t="s">
        <v>6342</v>
      </c>
      <c r="AN163" s="476" t="s">
        <v>6929</v>
      </c>
      <c r="AO163" s="476" t="s">
        <v>6351</v>
      </c>
      <c r="AP163" s="476"/>
      <c r="AQ163" s="476"/>
      <c r="AR163" s="476"/>
      <c r="AS163" s="476"/>
      <c r="AT163" s="476"/>
      <c r="AU163" s="476"/>
      <c r="AV163" s="476"/>
      <c r="AW163" s="476"/>
      <c r="AX163" s="476"/>
      <c r="AY163" s="476"/>
      <c r="AZ163" s="476"/>
      <c r="BA163" s="476"/>
      <c r="BB163" s="476"/>
      <c r="BC163" s="476"/>
      <c r="BD163" s="476"/>
      <c r="BE163" s="476"/>
      <c r="BF163" s="476"/>
      <c r="BG163" s="476"/>
      <c r="BH163" s="476"/>
      <c r="BI163" s="476"/>
      <c r="BJ163" s="476"/>
      <c r="BK163" s="476"/>
      <c r="BL163" s="480"/>
    </row>
    <row r="164" spans="1:64">
      <c r="A164" s="468">
        <v>43955</v>
      </c>
      <c r="B164" s="473">
        <v>125</v>
      </c>
      <c r="C164" s="473">
        <v>241</v>
      </c>
      <c r="D164" s="470" t="s">
        <v>620</v>
      </c>
      <c r="E164" s="469">
        <v>19</v>
      </c>
      <c r="F164" s="470" t="s">
        <v>88</v>
      </c>
      <c r="G164" s="469">
        <v>534</v>
      </c>
      <c r="H164" s="470" t="s">
        <v>6249</v>
      </c>
      <c r="I164" s="470" t="s">
        <v>6257</v>
      </c>
      <c r="J164" s="469">
        <v>27</v>
      </c>
      <c r="K164" s="470" t="s">
        <v>6266</v>
      </c>
      <c r="L164" s="470" t="s">
        <v>6283</v>
      </c>
      <c r="M164" s="470" t="s">
        <v>9</v>
      </c>
      <c r="N164" s="473">
        <v>1</v>
      </c>
      <c r="O164" s="471"/>
      <c r="P164" s="471"/>
      <c r="Q164" s="471"/>
      <c r="R164" s="470"/>
      <c r="S164" s="471">
        <v>0.13491898148148149</v>
      </c>
      <c r="T164" s="471">
        <v>0.20158564814814817</v>
      </c>
      <c r="U164" s="471">
        <v>0.20138888888888887</v>
      </c>
      <c r="V164" s="471">
        <v>0.3972222222222222</v>
      </c>
      <c r="W164" s="471">
        <v>0.49518518518518517</v>
      </c>
      <c r="X164" s="471">
        <v>0.78879629629629633</v>
      </c>
      <c r="Y164" s="471">
        <v>0.65138888888888891</v>
      </c>
      <c r="Z164" s="471">
        <v>0.91111111111111109</v>
      </c>
      <c r="AA164" s="471">
        <v>0.14652777777777778</v>
      </c>
      <c r="AB164" s="470" t="s">
        <v>6464</v>
      </c>
      <c r="AC164" s="473">
        <v>130</v>
      </c>
      <c r="AD164" s="470" t="s">
        <v>113</v>
      </c>
      <c r="AE164" s="470"/>
      <c r="AF164" s="473">
        <v>43.8</v>
      </c>
      <c r="AG164" s="469">
        <v>81.3</v>
      </c>
      <c r="AH164" s="470" t="s">
        <v>6296</v>
      </c>
      <c r="AI164" s="470" t="s">
        <v>6334</v>
      </c>
      <c r="AJ164" s="470" t="s">
        <v>839</v>
      </c>
      <c r="AK164" s="470" t="s">
        <v>6493</v>
      </c>
      <c r="AL164" s="470" t="s">
        <v>6773</v>
      </c>
      <c r="AM164" s="470" t="s">
        <v>6343</v>
      </c>
      <c r="AN164" s="470" t="s">
        <v>1240</v>
      </c>
      <c r="AO164" s="470" t="s">
        <v>6344</v>
      </c>
      <c r="AP164" s="470"/>
      <c r="AQ164" s="470"/>
      <c r="AR164" s="470"/>
      <c r="AS164" s="470"/>
      <c r="AT164" s="470"/>
      <c r="AU164" s="470"/>
      <c r="AV164" s="470"/>
      <c r="AW164" s="470"/>
      <c r="AX164" s="470"/>
      <c r="AY164" s="470"/>
      <c r="AZ164" s="470"/>
      <c r="BA164" s="470"/>
      <c r="BB164" s="470"/>
      <c r="BC164" s="470"/>
      <c r="BD164" s="470"/>
      <c r="BE164" s="470"/>
      <c r="BF164" s="470"/>
      <c r="BG164" s="470"/>
      <c r="BH164" s="470"/>
      <c r="BI164" s="470"/>
      <c r="BJ164" s="470" t="s">
        <v>6427</v>
      </c>
      <c r="BK164" s="470"/>
      <c r="BL164" s="474"/>
    </row>
    <row r="165" spans="1:64">
      <c r="A165" s="475">
        <v>43956</v>
      </c>
      <c r="B165" s="478">
        <v>126</v>
      </c>
      <c r="C165" s="478">
        <v>240</v>
      </c>
      <c r="D165" s="476" t="s">
        <v>620</v>
      </c>
      <c r="E165" s="477">
        <v>19</v>
      </c>
      <c r="F165" s="476" t="s">
        <v>91</v>
      </c>
      <c r="G165" s="477">
        <v>534</v>
      </c>
      <c r="H165" s="476" t="s">
        <v>6249</v>
      </c>
      <c r="I165" s="476" t="s">
        <v>6257</v>
      </c>
      <c r="J165" s="477">
        <v>28</v>
      </c>
      <c r="K165" s="476" t="s">
        <v>6267</v>
      </c>
      <c r="L165" s="476" t="s">
        <v>6284</v>
      </c>
      <c r="M165" s="476" t="s">
        <v>9</v>
      </c>
      <c r="N165" s="478">
        <v>1</v>
      </c>
      <c r="O165" s="479"/>
      <c r="P165" s="479"/>
      <c r="Q165" s="479"/>
      <c r="R165" s="476"/>
      <c r="S165" s="479">
        <v>0.13408564814814813</v>
      </c>
      <c r="T165" s="479">
        <v>0.20075231481481481</v>
      </c>
      <c r="U165" s="479"/>
      <c r="V165" s="479"/>
      <c r="W165" s="479">
        <v>0.49512731481481481</v>
      </c>
      <c r="X165" s="479">
        <v>0.78951388888888896</v>
      </c>
      <c r="Y165" s="479">
        <v>0.70416666666666661</v>
      </c>
      <c r="Z165" s="479">
        <v>0.9472222222222223</v>
      </c>
      <c r="AA165" s="479">
        <v>0.1673611111111111</v>
      </c>
      <c r="AB165" s="476" t="s">
        <v>6464</v>
      </c>
      <c r="AC165" s="478">
        <v>130</v>
      </c>
      <c r="AD165" s="476" t="s">
        <v>113</v>
      </c>
      <c r="AE165" s="476"/>
      <c r="AF165" s="478">
        <v>60.5</v>
      </c>
      <c r="AG165" s="477">
        <v>93.6</v>
      </c>
      <c r="AH165" s="476" t="s">
        <v>6297</v>
      </c>
      <c r="AI165" s="476" t="s">
        <v>6335</v>
      </c>
      <c r="AJ165" s="476" t="s">
        <v>839</v>
      </c>
      <c r="AK165" s="476" t="s">
        <v>6493</v>
      </c>
      <c r="AL165" s="476" t="s">
        <v>6774</v>
      </c>
      <c r="AM165" s="476" t="s">
        <v>6348</v>
      </c>
      <c r="AN165" s="476"/>
      <c r="AO165" s="476"/>
      <c r="AP165" s="476"/>
      <c r="AQ165" s="476"/>
      <c r="AR165" s="476"/>
      <c r="AS165" s="476"/>
      <c r="AT165" s="476"/>
      <c r="AU165" s="476"/>
      <c r="AV165" s="476"/>
      <c r="AW165" s="476"/>
      <c r="AX165" s="476"/>
      <c r="AY165" s="476"/>
      <c r="AZ165" s="476"/>
      <c r="BA165" s="476"/>
      <c r="BB165" s="476"/>
      <c r="BC165" s="476"/>
      <c r="BD165" s="476"/>
      <c r="BE165" s="476"/>
      <c r="BF165" s="476"/>
      <c r="BG165" s="476"/>
      <c r="BH165" s="476"/>
      <c r="BI165" s="476"/>
      <c r="BJ165" s="476" t="s">
        <v>6385</v>
      </c>
      <c r="BK165" s="476"/>
      <c r="BL165" s="480"/>
    </row>
    <row r="166" spans="1:64">
      <c r="A166" s="468">
        <v>43957</v>
      </c>
      <c r="B166" s="473">
        <v>127</v>
      </c>
      <c r="C166" s="473">
        <v>239</v>
      </c>
      <c r="D166" s="470" t="s">
        <v>620</v>
      </c>
      <c r="E166" s="469">
        <v>19</v>
      </c>
      <c r="F166" s="470" t="s">
        <v>94</v>
      </c>
      <c r="G166" s="469">
        <v>534</v>
      </c>
      <c r="H166" s="470" t="s">
        <v>6249</v>
      </c>
      <c r="I166" s="470" t="s">
        <v>6257</v>
      </c>
      <c r="J166" s="469">
        <v>29</v>
      </c>
      <c r="K166" s="470" t="s">
        <v>6268</v>
      </c>
      <c r="L166" s="470" t="s">
        <v>6285</v>
      </c>
      <c r="M166" s="470" t="s">
        <v>9</v>
      </c>
      <c r="N166" s="473">
        <v>1</v>
      </c>
      <c r="O166" s="471"/>
      <c r="P166" s="471"/>
      <c r="Q166" s="471"/>
      <c r="R166" s="470"/>
      <c r="S166" s="471">
        <v>0.13327546296296297</v>
      </c>
      <c r="T166" s="471">
        <v>0.19994212962962962</v>
      </c>
      <c r="U166" s="471"/>
      <c r="V166" s="471"/>
      <c r="W166" s="471">
        <v>0.49508101851851855</v>
      </c>
      <c r="X166" s="471">
        <v>0.79021990740740744</v>
      </c>
      <c r="Y166" s="471">
        <v>0.75694444444444453</v>
      </c>
      <c r="Z166" s="471">
        <v>0.98541666666666661</v>
      </c>
      <c r="AA166" s="471">
        <v>0.18958333333333333</v>
      </c>
      <c r="AB166" s="470" t="s">
        <v>6464</v>
      </c>
      <c r="AC166" s="473">
        <v>130</v>
      </c>
      <c r="AD166" s="470" t="s">
        <v>113</v>
      </c>
      <c r="AE166" s="470"/>
      <c r="AF166" s="473">
        <v>78</v>
      </c>
      <c r="AG166" s="469">
        <v>6.7</v>
      </c>
      <c r="AH166" s="470" t="s">
        <v>6299</v>
      </c>
      <c r="AI166" s="470" t="s">
        <v>6336</v>
      </c>
      <c r="AJ166" s="470" t="s">
        <v>874</v>
      </c>
      <c r="AK166" s="470" t="s">
        <v>6493</v>
      </c>
      <c r="AL166" s="470" t="s">
        <v>6775</v>
      </c>
      <c r="AM166" s="470" t="s">
        <v>6347</v>
      </c>
      <c r="AN166" s="470" t="s">
        <v>6930</v>
      </c>
      <c r="AO166" s="470" t="s">
        <v>6351</v>
      </c>
      <c r="AP166" s="470"/>
      <c r="AQ166" s="470"/>
      <c r="AR166" s="470"/>
      <c r="AS166" s="470"/>
      <c r="AT166" s="470"/>
      <c r="AU166" s="470"/>
      <c r="AV166" s="470"/>
      <c r="AW166" s="470"/>
      <c r="AX166" s="470"/>
      <c r="AY166" s="470"/>
      <c r="AZ166" s="470"/>
      <c r="BA166" s="470"/>
      <c r="BB166" s="470"/>
      <c r="BC166" s="470"/>
      <c r="BD166" s="470"/>
      <c r="BE166" s="470"/>
      <c r="BF166" s="470"/>
      <c r="BG166" s="470"/>
      <c r="BH166" s="470"/>
      <c r="BI166" s="470"/>
      <c r="BJ166" s="470" t="s">
        <v>6386</v>
      </c>
      <c r="BK166" s="470"/>
      <c r="BL166" s="474"/>
    </row>
    <row r="167" spans="1:64">
      <c r="A167" s="475">
        <v>43958</v>
      </c>
      <c r="B167" s="478">
        <v>128</v>
      </c>
      <c r="C167" s="478">
        <v>238</v>
      </c>
      <c r="D167" s="476" t="s">
        <v>620</v>
      </c>
      <c r="E167" s="477">
        <v>19</v>
      </c>
      <c r="F167" s="476" t="s">
        <v>6714</v>
      </c>
      <c r="G167" s="477">
        <v>534</v>
      </c>
      <c r="H167" s="476" t="s">
        <v>6249</v>
      </c>
      <c r="I167" s="476" t="s">
        <v>6257</v>
      </c>
      <c r="J167" s="477">
        <v>30</v>
      </c>
      <c r="K167" s="476" t="s">
        <v>6272</v>
      </c>
      <c r="L167" s="476" t="s">
        <v>6288</v>
      </c>
      <c r="M167" s="476" t="s">
        <v>9</v>
      </c>
      <c r="N167" s="478">
        <v>1</v>
      </c>
      <c r="O167" s="479"/>
      <c r="P167" s="479"/>
      <c r="Q167" s="479"/>
      <c r="R167" s="476"/>
      <c r="S167" s="479">
        <v>0.13247685185185185</v>
      </c>
      <c r="T167" s="479">
        <v>0.19914351851851853</v>
      </c>
      <c r="U167" s="479"/>
      <c r="V167" s="479"/>
      <c r="W167" s="479">
        <v>0.49503472222222222</v>
      </c>
      <c r="X167" s="479">
        <v>0.79092592592592592</v>
      </c>
      <c r="Y167" s="479">
        <v>0.80972222222222223</v>
      </c>
      <c r="Z167" s="479" t="s">
        <v>1107</v>
      </c>
      <c r="AA167" s="479">
        <v>0.21249999999999999</v>
      </c>
      <c r="AB167" s="476" t="s">
        <v>6462</v>
      </c>
      <c r="AC167" s="478">
        <v>129</v>
      </c>
      <c r="AD167" s="476" t="s">
        <v>116</v>
      </c>
      <c r="AE167" s="476" t="s">
        <v>6522</v>
      </c>
      <c r="AF167" s="478">
        <v>95.1</v>
      </c>
      <c r="AG167" s="477">
        <v>19.3</v>
      </c>
      <c r="AH167" s="476" t="s">
        <v>6300</v>
      </c>
      <c r="AI167" s="476" t="s">
        <v>6337</v>
      </c>
      <c r="AJ167" s="476" t="s">
        <v>839</v>
      </c>
      <c r="AK167" s="476" t="s">
        <v>6493</v>
      </c>
      <c r="AL167" s="476" t="s">
        <v>1234</v>
      </c>
      <c r="AM167" s="476" t="s">
        <v>6344</v>
      </c>
      <c r="AN167" s="476" t="s">
        <v>6931</v>
      </c>
      <c r="AO167" s="476" t="s">
        <v>6346</v>
      </c>
      <c r="AP167" s="476" t="s">
        <v>7015</v>
      </c>
      <c r="AQ167" s="476" t="s">
        <v>6344</v>
      </c>
      <c r="AR167" s="476" t="s">
        <v>7056</v>
      </c>
      <c r="AS167" s="476" t="s">
        <v>6346</v>
      </c>
      <c r="AT167" s="476" t="s">
        <v>7077</v>
      </c>
      <c r="AU167" s="476" t="s">
        <v>6346</v>
      </c>
      <c r="AV167" s="476" t="s">
        <v>7085</v>
      </c>
      <c r="AW167" s="476"/>
      <c r="AX167" s="476"/>
      <c r="AY167" s="476"/>
      <c r="AZ167" s="476"/>
      <c r="BA167" s="476"/>
      <c r="BB167" s="476"/>
      <c r="BC167" s="476"/>
      <c r="BD167" s="476"/>
      <c r="BE167" s="476"/>
      <c r="BF167" s="476"/>
      <c r="BG167" s="476"/>
      <c r="BH167" s="476"/>
      <c r="BI167" s="476"/>
      <c r="BJ167" s="476" t="s">
        <v>6387</v>
      </c>
      <c r="BK167" s="476"/>
      <c r="BL167" s="480"/>
    </row>
    <row r="168" spans="1:64">
      <c r="A168" s="468">
        <v>43959</v>
      </c>
      <c r="B168" s="473">
        <v>129</v>
      </c>
      <c r="C168" s="473">
        <v>237</v>
      </c>
      <c r="D168" s="470" t="s">
        <v>620</v>
      </c>
      <c r="E168" s="469">
        <v>19</v>
      </c>
      <c r="F168" s="470" t="s">
        <v>100</v>
      </c>
      <c r="G168" s="469">
        <v>534</v>
      </c>
      <c r="H168" s="470" t="s">
        <v>6250</v>
      </c>
      <c r="I168" s="470" t="s">
        <v>836</v>
      </c>
      <c r="J168" s="469">
        <v>2</v>
      </c>
      <c r="K168" s="470" t="s">
        <v>1034</v>
      </c>
      <c r="L168" s="470" t="s">
        <v>6273</v>
      </c>
      <c r="M168" s="470" t="s">
        <v>9</v>
      </c>
      <c r="N168" s="473">
        <v>1</v>
      </c>
      <c r="O168" s="471">
        <v>0.24027777777777778</v>
      </c>
      <c r="P168" s="471">
        <v>0.10625</v>
      </c>
      <c r="Q168" s="471"/>
      <c r="R168" s="470"/>
      <c r="S168" s="471">
        <v>0.13168981481481482</v>
      </c>
      <c r="T168" s="471">
        <v>0.19835648148148147</v>
      </c>
      <c r="U168" s="471"/>
      <c r="V168" s="471"/>
      <c r="W168" s="471">
        <v>0.49500000000000005</v>
      </c>
      <c r="X168" s="471">
        <v>0.79163194444444451</v>
      </c>
      <c r="Y168" s="471">
        <v>0.8618055555555556</v>
      </c>
      <c r="Z168" s="471">
        <v>2.4999999999999998E-2</v>
      </c>
      <c r="AA168" s="471">
        <v>0.2388888888888889</v>
      </c>
      <c r="AB168" s="470" t="s">
        <v>6462</v>
      </c>
      <c r="AC168" s="473">
        <v>129</v>
      </c>
      <c r="AD168" s="470" t="s">
        <v>116</v>
      </c>
      <c r="AE168" s="470"/>
      <c r="AF168" s="473">
        <v>10.5</v>
      </c>
      <c r="AG168" s="469">
        <v>30.4</v>
      </c>
      <c r="AH168" s="470" t="s">
        <v>6301</v>
      </c>
      <c r="AI168" s="470" t="s">
        <v>6339</v>
      </c>
      <c r="AJ168" s="470" t="s">
        <v>6493</v>
      </c>
      <c r="AK168" s="470" t="s">
        <v>6493</v>
      </c>
      <c r="AL168" s="470" t="s">
        <v>6776</v>
      </c>
      <c r="AM168" s="470"/>
      <c r="AN168" s="470" t="s">
        <v>6932</v>
      </c>
      <c r="AO168" s="470"/>
      <c r="AP168" s="470" t="s">
        <v>7016</v>
      </c>
      <c r="AQ168" s="470"/>
      <c r="AR168" s="470"/>
      <c r="AS168" s="470"/>
      <c r="AT168" s="470"/>
      <c r="AU168" s="470"/>
      <c r="AV168" s="470"/>
      <c r="AW168" s="470"/>
      <c r="AX168" s="470"/>
      <c r="AY168" s="470"/>
      <c r="AZ168" s="470"/>
      <c r="BA168" s="470"/>
      <c r="BB168" s="470"/>
      <c r="BC168" s="470"/>
      <c r="BD168" s="470"/>
      <c r="BE168" s="470"/>
      <c r="BF168" s="470"/>
      <c r="BG168" s="470"/>
      <c r="BH168" s="470"/>
      <c r="BI168" s="470"/>
      <c r="BJ168" s="470"/>
      <c r="BK168" s="470"/>
      <c r="BL168" s="474"/>
    </row>
    <row r="169" spans="1:64">
      <c r="A169" s="475">
        <v>43960</v>
      </c>
      <c r="B169" s="478">
        <v>130</v>
      </c>
      <c r="C169" s="478">
        <v>236</v>
      </c>
      <c r="D169" s="476" t="s">
        <v>620</v>
      </c>
      <c r="E169" s="477">
        <v>19</v>
      </c>
      <c r="F169" s="476" t="s">
        <v>103</v>
      </c>
      <c r="G169" s="477">
        <v>534</v>
      </c>
      <c r="H169" s="476" t="s">
        <v>6250</v>
      </c>
      <c r="I169" s="476" t="s">
        <v>836</v>
      </c>
      <c r="J169" s="477">
        <v>3</v>
      </c>
      <c r="K169" s="476" t="s">
        <v>6258</v>
      </c>
      <c r="L169" s="476" t="s">
        <v>6274</v>
      </c>
      <c r="M169" s="476" t="s">
        <v>9</v>
      </c>
      <c r="N169" s="478">
        <v>1</v>
      </c>
      <c r="O169" s="479"/>
      <c r="P169" s="479"/>
      <c r="Q169" s="479"/>
      <c r="R169" s="476"/>
      <c r="S169" s="479">
        <v>0.13092592592592592</v>
      </c>
      <c r="T169" s="479">
        <v>0.19759259259259257</v>
      </c>
      <c r="U169" s="479"/>
      <c r="V169" s="479"/>
      <c r="W169" s="479">
        <v>0.49496527777777777</v>
      </c>
      <c r="X169" s="479">
        <v>0.79233796296296299</v>
      </c>
      <c r="Y169" s="479">
        <v>0.91111111111111109</v>
      </c>
      <c r="Z169" s="479">
        <v>6.5972222222222224E-2</v>
      </c>
      <c r="AA169" s="479">
        <v>0.26944444444444443</v>
      </c>
      <c r="AB169" s="476" t="s">
        <v>6462</v>
      </c>
      <c r="AC169" s="478">
        <v>129</v>
      </c>
      <c r="AD169" s="476" t="s">
        <v>116</v>
      </c>
      <c r="AE169" s="476"/>
      <c r="AF169" s="478">
        <v>23</v>
      </c>
      <c r="AG169" s="477">
        <v>38.9</v>
      </c>
      <c r="AH169" s="476" t="s">
        <v>6302</v>
      </c>
      <c r="AI169" s="476" t="s">
        <v>6340</v>
      </c>
      <c r="AJ169" s="476" t="s">
        <v>6493</v>
      </c>
      <c r="AK169" s="476" t="s">
        <v>6493</v>
      </c>
      <c r="AL169" s="476"/>
      <c r="AM169" s="476"/>
      <c r="AN169" s="476"/>
      <c r="AO169" s="476"/>
      <c r="AP169" s="476"/>
      <c r="AQ169" s="476"/>
      <c r="AR169" s="476"/>
      <c r="AS169" s="476"/>
      <c r="AT169" s="476"/>
      <c r="AU169" s="476"/>
      <c r="AV169" s="476"/>
      <c r="AW169" s="476"/>
      <c r="AX169" s="476"/>
      <c r="AY169" s="476"/>
      <c r="AZ169" s="476"/>
      <c r="BA169" s="476"/>
      <c r="BB169" s="476"/>
      <c r="BC169" s="476"/>
      <c r="BD169" s="476"/>
      <c r="BE169" s="476"/>
      <c r="BF169" s="476"/>
      <c r="BG169" s="476"/>
      <c r="BH169" s="476"/>
      <c r="BI169" s="476"/>
      <c r="BJ169" s="476"/>
      <c r="BK169" s="476"/>
      <c r="BL169" s="480"/>
    </row>
    <row r="170" spans="1:64">
      <c r="A170" s="468">
        <v>43961</v>
      </c>
      <c r="B170" s="473">
        <v>131</v>
      </c>
      <c r="C170" s="473">
        <v>235</v>
      </c>
      <c r="D170" s="470" t="s">
        <v>620</v>
      </c>
      <c r="E170" s="469">
        <v>19</v>
      </c>
      <c r="F170" s="470" t="s">
        <v>106</v>
      </c>
      <c r="G170" s="469">
        <v>534</v>
      </c>
      <c r="H170" s="470" t="s">
        <v>6250</v>
      </c>
      <c r="I170" s="470" t="s">
        <v>836</v>
      </c>
      <c r="J170" s="469">
        <v>4</v>
      </c>
      <c r="K170" s="470" t="s">
        <v>6259</v>
      </c>
      <c r="L170" s="470" t="s">
        <v>6275</v>
      </c>
      <c r="M170" s="470" t="s">
        <v>9</v>
      </c>
      <c r="N170" s="473">
        <v>1</v>
      </c>
      <c r="O170" s="471"/>
      <c r="P170" s="471"/>
      <c r="Q170" s="471"/>
      <c r="R170" s="470"/>
      <c r="S170" s="471">
        <v>0.13018518518518518</v>
      </c>
      <c r="T170" s="471">
        <v>0.19685185185185183</v>
      </c>
      <c r="U170" s="471"/>
      <c r="V170" s="471"/>
      <c r="W170" s="471">
        <v>0.49494212962962963</v>
      </c>
      <c r="X170" s="471">
        <v>0.79303240740740744</v>
      </c>
      <c r="Y170" s="471">
        <v>0.95486111111111116</v>
      </c>
      <c r="Z170" s="471">
        <v>0.1076388888888889</v>
      </c>
      <c r="AA170" s="471">
        <v>0.30416666666666664</v>
      </c>
      <c r="AB170" s="470" t="s">
        <v>6462</v>
      </c>
      <c r="AC170" s="473">
        <v>129</v>
      </c>
      <c r="AD170" s="470" t="s">
        <v>116</v>
      </c>
      <c r="AE170" s="470"/>
      <c r="AF170" s="473">
        <v>32</v>
      </c>
      <c r="AG170" s="469">
        <v>44.2</v>
      </c>
      <c r="AH170" s="470" t="s">
        <v>6303</v>
      </c>
      <c r="AI170" s="470" t="s">
        <v>974</v>
      </c>
      <c r="AJ170" s="470" t="s">
        <v>6493</v>
      </c>
      <c r="AK170" s="470" t="s">
        <v>6493</v>
      </c>
      <c r="AL170" s="470" t="s">
        <v>807</v>
      </c>
      <c r="AM170" s="470"/>
      <c r="AN170" s="470"/>
      <c r="AO170" s="470"/>
      <c r="AP170" s="470"/>
      <c r="AQ170" s="470"/>
      <c r="AR170" s="470"/>
      <c r="AS170" s="470"/>
      <c r="AT170" s="470"/>
      <c r="AU170" s="470"/>
      <c r="AV170" s="470"/>
      <c r="AW170" s="470"/>
      <c r="AX170" s="470"/>
      <c r="AY170" s="470"/>
      <c r="AZ170" s="470"/>
      <c r="BA170" s="470"/>
      <c r="BB170" s="470"/>
      <c r="BC170" s="470"/>
      <c r="BD170" s="470"/>
      <c r="BE170" s="470"/>
      <c r="BF170" s="470"/>
      <c r="BG170" s="470"/>
      <c r="BH170" s="470"/>
      <c r="BI170" s="470"/>
      <c r="BJ170" s="470"/>
      <c r="BK170" s="470"/>
      <c r="BL170" s="474"/>
    </row>
    <row r="171" spans="1:64">
      <c r="A171" s="475">
        <v>43962</v>
      </c>
      <c r="B171" s="478">
        <v>132</v>
      </c>
      <c r="C171" s="478">
        <v>234</v>
      </c>
      <c r="D171" s="476" t="s">
        <v>620</v>
      </c>
      <c r="E171" s="477">
        <v>20</v>
      </c>
      <c r="F171" s="476" t="s">
        <v>88</v>
      </c>
      <c r="G171" s="477">
        <v>534</v>
      </c>
      <c r="H171" s="476" t="s">
        <v>6250</v>
      </c>
      <c r="I171" s="476" t="s">
        <v>836</v>
      </c>
      <c r="J171" s="477">
        <v>5</v>
      </c>
      <c r="K171" s="476" t="s">
        <v>6260</v>
      </c>
      <c r="L171" s="476" t="s">
        <v>6276</v>
      </c>
      <c r="M171" s="476" t="s">
        <v>9</v>
      </c>
      <c r="N171" s="478">
        <v>1</v>
      </c>
      <c r="O171" s="479"/>
      <c r="P171" s="479"/>
      <c r="Q171" s="479"/>
      <c r="R171" s="476"/>
      <c r="S171" s="479">
        <v>0.12945601851851851</v>
      </c>
      <c r="T171" s="479">
        <v>0.19612268518518516</v>
      </c>
      <c r="U171" s="479"/>
      <c r="V171" s="479"/>
      <c r="W171" s="479">
        <v>0.49491898148148145</v>
      </c>
      <c r="X171" s="479">
        <v>0.79372685185185177</v>
      </c>
      <c r="Y171" s="479">
        <v>0.9916666666666667</v>
      </c>
      <c r="Z171" s="479">
        <v>0.14930555555555555</v>
      </c>
      <c r="AA171" s="479">
        <v>0.3430555555555555</v>
      </c>
      <c r="AB171" s="476" t="s">
        <v>6462</v>
      </c>
      <c r="AC171" s="478">
        <v>129</v>
      </c>
      <c r="AD171" s="476" t="s">
        <v>116</v>
      </c>
      <c r="AE171" s="476"/>
      <c r="AF171" s="478">
        <v>37.200000000000003</v>
      </c>
      <c r="AG171" s="477">
        <v>46.2</v>
      </c>
      <c r="AH171" s="476" t="s">
        <v>6304</v>
      </c>
      <c r="AI171" s="476" t="s">
        <v>6316</v>
      </c>
      <c r="AJ171" s="476" t="s">
        <v>839</v>
      </c>
      <c r="AK171" s="476" t="s">
        <v>6493</v>
      </c>
      <c r="AL171" s="476" t="s">
        <v>6777</v>
      </c>
      <c r="AM171" s="476" t="s">
        <v>6346</v>
      </c>
      <c r="AN171" s="476"/>
      <c r="AO171" s="476"/>
      <c r="AP171" s="476"/>
      <c r="AQ171" s="476"/>
      <c r="AR171" s="476"/>
      <c r="AS171" s="476"/>
      <c r="AT171" s="476"/>
      <c r="AU171" s="476"/>
      <c r="AV171" s="476"/>
      <c r="AW171" s="476"/>
      <c r="AX171" s="476"/>
      <c r="AY171" s="476"/>
      <c r="AZ171" s="476"/>
      <c r="BA171" s="476"/>
      <c r="BB171" s="476"/>
      <c r="BC171" s="476"/>
      <c r="BD171" s="476"/>
      <c r="BE171" s="476"/>
      <c r="BF171" s="476"/>
      <c r="BG171" s="476"/>
      <c r="BH171" s="476"/>
      <c r="BI171" s="476"/>
      <c r="BJ171" s="476" t="s">
        <v>6388</v>
      </c>
      <c r="BK171" s="476"/>
      <c r="BL171" s="480"/>
    </row>
    <row r="172" spans="1:64">
      <c r="A172" s="468">
        <v>43963</v>
      </c>
      <c r="B172" s="473">
        <v>133</v>
      </c>
      <c r="C172" s="473">
        <v>233</v>
      </c>
      <c r="D172" s="470" t="s">
        <v>620</v>
      </c>
      <c r="E172" s="469">
        <v>20</v>
      </c>
      <c r="F172" s="470" t="s">
        <v>91</v>
      </c>
      <c r="G172" s="469">
        <v>534</v>
      </c>
      <c r="H172" s="470" t="s">
        <v>6250</v>
      </c>
      <c r="I172" s="470" t="s">
        <v>836</v>
      </c>
      <c r="J172" s="469">
        <v>6</v>
      </c>
      <c r="K172" s="470" t="s">
        <v>6261</v>
      </c>
      <c r="L172" s="470" t="s">
        <v>6277</v>
      </c>
      <c r="M172" s="470" t="s">
        <v>9</v>
      </c>
      <c r="N172" s="473">
        <v>1</v>
      </c>
      <c r="O172" s="471"/>
      <c r="P172" s="471"/>
      <c r="Q172" s="471"/>
      <c r="R172" s="470"/>
      <c r="S172" s="471">
        <v>0.12873842592592591</v>
      </c>
      <c r="T172" s="471">
        <v>0.19540509259259262</v>
      </c>
      <c r="U172" s="471"/>
      <c r="V172" s="471"/>
      <c r="W172" s="471">
        <v>0.49490740740740741</v>
      </c>
      <c r="X172" s="471">
        <v>0.79440972222222228</v>
      </c>
      <c r="Y172" s="471" t="s">
        <v>1107</v>
      </c>
      <c r="Z172" s="471">
        <v>0.18888888888888888</v>
      </c>
      <c r="AA172" s="471">
        <v>0.38541666666666669</v>
      </c>
      <c r="AB172" s="470" t="s">
        <v>6462</v>
      </c>
      <c r="AC172" s="473">
        <v>129</v>
      </c>
      <c r="AD172" s="470" t="s">
        <v>116</v>
      </c>
      <c r="AE172" s="470"/>
      <c r="AF172" s="473">
        <v>38.799999999999997</v>
      </c>
      <c r="AG172" s="469">
        <v>44.9</v>
      </c>
      <c r="AH172" s="470" t="s">
        <v>6305</v>
      </c>
      <c r="AI172" s="470" t="s">
        <v>6317</v>
      </c>
      <c r="AJ172" s="470" t="s">
        <v>6493</v>
      </c>
      <c r="AK172" s="470" t="s">
        <v>6493</v>
      </c>
      <c r="AL172" s="470"/>
      <c r="AM172" s="470"/>
      <c r="AN172" s="470"/>
      <c r="AO172" s="470"/>
      <c r="AP172" s="470"/>
      <c r="AQ172" s="470"/>
      <c r="AR172" s="470"/>
      <c r="AS172" s="470"/>
      <c r="AT172" s="470"/>
      <c r="AU172" s="470"/>
      <c r="AV172" s="470"/>
      <c r="AW172" s="470"/>
      <c r="AX172" s="470"/>
      <c r="AY172" s="470"/>
      <c r="AZ172" s="470"/>
      <c r="BA172" s="470"/>
      <c r="BB172" s="470"/>
      <c r="BC172" s="470"/>
      <c r="BD172" s="470"/>
      <c r="BE172" s="470"/>
      <c r="BF172" s="470"/>
      <c r="BG172" s="470"/>
      <c r="BH172" s="470"/>
      <c r="BI172" s="470"/>
      <c r="BJ172" s="470"/>
      <c r="BK172" s="470"/>
      <c r="BL172" s="474"/>
    </row>
    <row r="173" spans="1:64">
      <c r="A173" s="475">
        <v>43964</v>
      </c>
      <c r="B173" s="478">
        <v>134</v>
      </c>
      <c r="C173" s="478">
        <v>232</v>
      </c>
      <c r="D173" s="476" t="s">
        <v>620</v>
      </c>
      <c r="E173" s="477">
        <v>20</v>
      </c>
      <c r="F173" s="476" t="s">
        <v>94</v>
      </c>
      <c r="G173" s="477">
        <v>534</v>
      </c>
      <c r="H173" s="476" t="s">
        <v>6250</v>
      </c>
      <c r="I173" s="476" t="s">
        <v>836</v>
      </c>
      <c r="J173" s="477">
        <v>7</v>
      </c>
      <c r="K173" s="476" t="s">
        <v>6262</v>
      </c>
      <c r="L173" s="476" t="s">
        <v>6278</v>
      </c>
      <c r="M173" s="476" t="s">
        <v>9</v>
      </c>
      <c r="N173" s="478">
        <v>1</v>
      </c>
      <c r="O173" s="479"/>
      <c r="P173" s="479"/>
      <c r="Q173" s="479"/>
      <c r="R173" s="476"/>
      <c r="S173" s="479">
        <v>0.12804398148148147</v>
      </c>
      <c r="T173" s="479">
        <v>0.19471064814814812</v>
      </c>
      <c r="U173" s="479"/>
      <c r="V173" s="479"/>
      <c r="W173" s="479">
        <v>0.49490740740740741</v>
      </c>
      <c r="X173" s="479">
        <v>0.79509259259259257</v>
      </c>
      <c r="Y173" s="479">
        <v>2.2222222222222223E-2</v>
      </c>
      <c r="Z173" s="479">
        <v>0.22500000000000001</v>
      </c>
      <c r="AA173" s="479">
        <v>0.4284722222222222</v>
      </c>
      <c r="AB173" s="476" t="s">
        <v>6462</v>
      </c>
      <c r="AC173" s="478">
        <v>129</v>
      </c>
      <c r="AD173" s="476" t="s">
        <v>116</v>
      </c>
      <c r="AE173" s="476"/>
      <c r="AF173" s="478">
        <v>37.1</v>
      </c>
      <c r="AG173" s="477">
        <v>40.6</v>
      </c>
      <c r="AH173" s="476" t="s">
        <v>6306</v>
      </c>
      <c r="AI173" s="476" t="s">
        <v>6318</v>
      </c>
      <c r="AJ173" s="476" t="s">
        <v>839</v>
      </c>
      <c r="AK173" s="476" t="s">
        <v>6493</v>
      </c>
      <c r="AL173" s="476" t="s">
        <v>6778</v>
      </c>
      <c r="AM173" s="476" t="s">
        <v>6162</v>
      </c>
      <c r="AN173" s="476" t="s">
        <v>758</v>
      </c>
      <c r="AO173" s="476"/>
      <c r="AP173" s="476"/>
      <c r="AQ173" s="476"/>
      <c r="AR173" s="476"/>
      <c r="AS173" s="476"/>
      <c r="AT173" s="476"/>
      <c r="AU173" s="476"/>
      <c r="AV173" s="476"/>
      <c r="AW173" s="476"/>
      <c r="AX173" s="476"/>
      <c r="AY173" s="476"/>
      <c r="AZ173" s="476"/>
      <c r="BA173" s="476"/>
      <c r="BB173" s="476"/>
      <c r="BC173" s="476"/>
      <c r="BD173" s="476"/>
      <c r="BE173" s="476"/>
      <c r="BF173" s="476"/>
      <c r="BG173" s="476"/>
      <c r="BH173" s="476"/>
      <c r="BI173" s="476"/>
      <c r="BJ173" s="476" t="s">
        <v>6384</v>
      </c>
      <c r="BK173" s="476"/>
      <c r="BL173" s="480"/>
    </row>
    <row r="174" spans="1:64">
      <c r="A174" s="468">
        <v>43965</v>
      </c>
      <c r="B174" s="473">
        <v>135</v>
      </c>
      <c r="C174" s="473">
        <v>231</v>
      </c>
      <c r="D174" s="470" t="s">
        <v>620</v>
      </c>
      <c r="E174" s="469">
        <v>20</v>
      </c>
      <c r="F174" s="470" t="s">
        <v>6714</v>
      </c>
      <c r="G174" s="469">
        <v>534</v>
      </c>
      <c r="H174" s="470" t="s">
        <v>6250</v>
      </c>
      <c r="I174" s="470" t="s">
        <v>836</v>
      </c>
      <c r="J174" s="469">
        <v>8</v>
      </c>
      <c r="K174" s="470" t="s">
        <v>6263</v>
      </c>
      <c r="L174" s="470" t="s">
        <v>6279</v>
      </c>
      <c r="M174" s="470" t="s">
        <v>9</v>
      </c>
      <c r="N174" s="473">
        <v>1</v>
      </c>
      <c r="O174" s="471"/>
      <c r="P174" s="471"/>
      <c r="Q174" s="471">
        <v>0.27677083333333335</v>
      </c>
      <c r="R174" s="470" t="s">
        <v>19</v>
      </c>
      <c r="S174" s="471">
        <v>0.12737268518518519</v>
      </c>
      <c r="T174" s="471">
        <v>0.19403935185185184</v>
      </c>
      <c r="U174" s="471"/>
      <c r="V174" s="471"/>
      <c r="W174" s="471">
        <v>0.49490740740740741</v>
      </c>
      <c r="X174" s="471">
        <v>0.79577546296296298</v>
      </c>
      <c r="Y174" s="471">
        <v>4.7916666666666663E-2</v>
      </c>
      <c r="Z174" s="471">
        <v>0.25972222222222224</v>
      </c>
      <c r="AA174" s="471">
        <v>0.47152777777777777</v>
      </c>
      <c r="AB174" s="470" t="s">
        <v>6289</v>
      </c>
      <c r="AC174" s="473">
        <v>131</v>
      </c>
      <c r="AD174" s="470" t="s">
        <v>119</v>
      </c>
      <c r="AE174" s="470" t="s">
        <v>6523</v>
      </c>
      <c r="AF174" s="473">
        <v>32.6</v>
      </c>
      <c r="AG174" s="469">
        <v>33.799999999999997</v>
      </c>
      <c r="AH174" s="470" t="s">
        <v>6307</v>
      </c>
      <c r="AI174" s="470" t="s">
        <v>6319</v>
      </c>
      <c r="AJ174" s="470" t="s">
        <v>6493</v>
      </c>
      <c r="AK174" s="470" t="s">
        <v>6493</v>
      </c>
      <c r="AL174" s="470" t="s">
        <v>6779</v>
      </c>
      <c r="AM174" s="470"/>
      <c r="AN174" s="470"/>
      <c r="AO174" s="470"/>
      <c r="AP174" s="470"/>
      <c r="AQ174" s="470"/>
      <c r="AR174" s="470"/>
      <c r="AS174" s="470"/>
      <c r="AT174" s="470"/>
      <c r="AU174" s="470"/>
      <c r="AV174" s="470"/>
      <c r="AW174" s="470"/>
      <c r="AX174" s="470"/>
      <c r="AY174" s="470"/>
      <c r="AZ174" s="470"/>
      <c r="BA174" s="470"/>
      <c r="BB174" s="470"/>
      <c r="BC174" s="470"/>
      <c r="BD174" s="470"/>
      <c r="BE174" s="470"/>
      <c r="BF174" s="470"/>
      <c r="BG174" s="470"/>
      <c r="BH174" s="470"/>
      <c r="BI174" s="470"/>
      <c r="BJ174" s="470"/>
      <c r="BK174" s="470"/>
      <c r="BL174" s="474"/>
    </row>
    <row r="175" spans="1:64">
      <c r="A175" s="475">
        <v>43966</v>
      </c>
      <c r="B175" s="478">
        <v>136</v>
      </c>
      <c r="C175" s="478">
        <v>230</v>
      </c>
      <c r="D175" s="476" t="s">
        <v>620</v>
      </c>
      <c r="E175" s="477">
        <v>20</v>
      </c>
      <c r="F175" s="476" t="s">
        <v>100</v>
      </c>
      <c r="G175" s="477">
        <v>534</v>
      </c>
      <c r="H175" s="476" t="s">
        <v>6250</v>
      </c>
      <c r="I175" s="476" t="s">
        <v>836</v>
      </c>
      <c r="J175" s="477">
        <v>9</v>
      </c>
      <c r="K175" s="476" t="s">
        <v>6264</v>
      </c>
      <c r="L175" s="476" t="s">
        <v>6280</v>
      </c>
      <c r="M175" s="476" t="s">
        <v>9</v>
      </c>
      <c r="N175" s="478">
        <v>1</v>
      </c>
      <c r="O175" s="479"/>
      <c r="P175" s="479"/>
      <c r="Q175" s="479"/>
      <c r="R175" s="476"/>
      <c r="S175" s="479">
        <v>0.12671296296296297</v>
      </c>
      <c r="T175" s="479">
        <v>0.19337962962962962</v>
      </c>
      <c r="U175" s="479"/>
      <c r="V175" s="479"/>
      <c r="W175" s="479">
        <v>0.49490740740740741</v>
      </c>
      <c r="X175" s="479">
        <v>0.79644675925925934</v>
      </c>
      <c r="Y175" s="479">
        <v>6.9444444444444434E-2</v>
      </c>
      <c r="Z175" s="479">
        <v>0.29097222222222224</v>
      </c>
      <c r="AA175" s="479">
        <v>0.51388888888888895</v>
      </c>
      <c r="AB175" s="476" t="s">
        <v>6289</v>
      </c>
      <c r="AC175" s="478">
        <v>131</v>
      </c>
      <c r="AD175" s="476" t="s">
        <v>119</v>
      </c>
      <c r="AE175" s="476"/>
      <c r="AF175" s="478">
        <v>26</v>
      </c>
      <c r="AG175" s="477">
        <v>25.1</v>
      </c>
      <c r="AH175" s="476" t="s">
        <v>6308</v>
      </c>
      <c r="AI175" s="476" t="s">
        <v>6341</v>
      </c>
      <c r="AJ175" s="476" t="s">
        <v>6493</v>
      </c>
      <c r="AK175" s="476" t="s">
        <v>6493</v>
      </c>
      <c r="AL175" s="476"/>
      <c r="AM175" s="476"/>
      <c r="AN175" s="476"/>
      <c r="AO175" s="476"/>
      <c r="AP175" s="476"/>
      <c r="AQ175" s="476"/>
      <c r="AR175" s="476"/>
      <c r="AS175" s="476"/>
      <c r="AT175" s="476"/>
      <c r="AU175" s="476"/>
      <c r="AV175" s="476"/>
      <c r="AW175" s="476"/>
      <c r="AX175" s="476"/>
      <c r="AY175" s="476"/>
      <c r="AZ175" s="476"/>
      <c r="BA175" s="476"/>
      <c r="BB175" s="476"/>
      <c r="BC175" s="476"/>
      <c r="BD175" s="476"/>
      <c r="BE175" s="476"/>
      <c r="BF175" s="476"/>
      <c r="BG175" s="476"/>
      <c r="BH175" s="476"/>
      <c r="BI175" s="476"/>
      <c r="BJ175" s="476"/>
      <c r="BK175" s="476"/>
      <c r="BL175" s="480"/>
    </row>
    <row r="176" spans="1:64">
      <c r="A176" s="468">
        <v>43967</v>
      </c>
      <c r="B176" s="473">
        <v>137</v>
      </c>
      <c r="C176" s="473">
        <v>229</v>
      </c>
      <c r="D176" s="470" t="s">
        <v>620</v>
      </c>
      <c r="E176" s="469">
        <v>20</v>
      </c>
      <c r="F176" s="470" t="s">
        <v>103</v>
      </c>
      <c r="G176" s="469">
        <v>534</v>
      </c>
      <c r="H176" s="470" t="s">
        <v>6250</v>
      </c>
      <c r="I176" s="470" t="s">
        <v>836</v>
      </c>
      <c r="J176" s="469">
        <v>10</v>
      </c>
      <c r="K176" s="470" t="s">
        <v>6265</v>
      </c>
      <c r="L176" s="470" t="s">
        <v>6281</v>
      </c>
      <c r="M176" s="470" t="s">
        <v>9</v>
      </c>
      <c r="N176" s="473">
        <v>1</v>
      </c>
      <c r="O176" s="471"/>
      <c r="P176" s="471"/>
      <c r="Q176" s="471"/>
      <c r="R176" s="470"/>
      <c r="S176" s="471">
        <v>0.12606481481481482</v>
      </c>
      <c r="T176" s="471">
        <v>0.19273148148148148</v>
      </c>
      <c r="U176" s="471"/>
      <c r="V176" s="471"/>
      <c r="W176" s="471">
        <v>0.49491898148148145</v>
      </c>
      <c r="X176" s="471">
        <v>0.79710648148148155</v>
      </c>
      <c r="Y176" s="471">
        <v>8.8888888888888892E-2</v>
      </c>
      <c r="Z176" s="471">
        <v>0.32083333333333336</v>
      </c>
      <c r="AA176" s="471">
        <v>0.55486111111111114</v>
      </c>
      <c r="AB176" s="470" t="s">
        <v>6289</v>
      </c>
      <c r="AC176" s="473">
        <v>131</v>
      </c>
      <c r="AD176" s="470" t="s">
        <v>119</v>
      </c>
      <c r="AE176" s="470"/>
      <c r="AF176" s="473">
        <v>17.899999999999999</v>
      </c>
      <c r="AG176" s="469">
        <v>15</v>
      </c>
      <c r="AH176" s="470" t="s">
        <v>6309</v>
      </c>
      <c r="AI176" s="470" t="s">
        <v>6320</v>
      </c>
      <c r="AJ176" s="470" t="s">
        <v>6493</v>
      </c>
      <c r="AK176" s="470" t="s">
        <v>6493</v>
      </c>
      <c r="AL176" s="470"/>
      <c r="AM176" s="470"/>
      <c r="AN176" s="470"/>
      <c r="AO176" s="470"/>
      <c r="AP176" s="470"/>
      <c r="AQ176" s="470"/>
      <c r="AR176" s="470"/>
      <c r="AS176" s="470"/>
      <c r="AT176" s="470"/>
      <c r="AU176" s="470"/>
      <c r="AV176" s="470"/>
      <c r="AW176" s="470"/>
      <c r="AX176" s="470"/>
      <c r="AY176" s="470"/>
      <c r="AZ176" s="470"/>
      <c r="BA176" s="470"/>
      <c r="BB176" s="470"/>
      <c r="BC176" s="470"/>
      <c r="BD176" s="470"/>
      <c r="BE176" s="470"/>
      <c r="BF176" s="470"/>
      <c r="BG176" s="470"/>
      <c r="BH176" s="470"/>
      <c r="BI176" s="470"/>
      <c r="BJ176" s="470"/>
      <c r="BK176" s="470"/>
      <c r="BL176" s="474"/>
    </row>
    <row r="177" spans="1:64">
      <c r="A177" s="475">
        <v>43968</v>
      </c>
      <c r="B177" s="478">
        <v>138</v>
      </c>
      <c r="C177" s="478">
        <v>228</v>
      </c>
      <c r="D177" s="476" t="s">
        <v>620</v>
      </c>
      <c r="E177" s="477">
        <v>20</v>
      </c>
      <c r="F177" s="476" t="s">
        <v>106</v>
      </c>
      <c r="G177" s="477">
        <v>534</v>
      </c>
      <c r="H177" s="476" t="s">
        <v>6250</v>
      </c>
      <c r="I177" s="476" t="s">
        <v>836</v>
      </c>
      <c r="J177" s="477">
        <v>11</v>
      </c>
      <c r="K177" s="476" t="s">
        <v>6271</v>
      </c>
      <c r="L177" s="476" t="s">
        <v>6282</v>
      </c>
      <c r="M177" s="476" t="s">
        <v>9</v>
      </c>
      <c r="N177" s="478">
        <v>1</v>
      </c>
      <c r="O177" s="479"/>
      <c r="P177" s="479"/>
      <c r="Q177" s="479"/>
      <c r="R177" s="476"/>
      <c r="S177" s="479">
        <v>0.12545138888888888</v>
      </c>
      <c r="T177" s="479">
        <v>0.19211805555555558</v>
      </c>
      <c r="U177" s="479"/>
      <c r="V177" s="479"/>
      <c r="W177" s="479">
        <v>0.49494212962962963</v>
      </c>
      <c r="X177" s="479">
        <v>0.79776620370370377</v>
      </c>
      <c r="Y177" s="479">
        <v>0.10555555555555556</v>
      </c>
      <c r="Z177" s="479">
        <v>0.35000000000000003</v>
      </c>
      <c r="AA177" s="479">
        <v>0.59583333333333333</v>
      </c>
      <c r="AB177" s="476" t="s">
        <v>6289</v>
      </c>
      <c r="AC177" s="478">
        <v>131</v>
      </c>
      <c r="AD177" s="476" t="s">
        <v>119</v>
      </c>
      <c r="AE177" s="476"/>
      <c r="AF177" s="478">
        <v>9</v>
      </c>
      <c r="AG177" s="477">
        <v>4.0999999999999996</v>
      </c>
      <c r="AH177" s="476" t="s">
        <v>6310</v>
      </c>
      <c r="AI177" s="476" t="s">
        <v>6321</v>
      </c>
      <c r="AJ177" s="476" t="s">
        <v>6493</v>
      </c>
      <c r="AK177" s="476" t="s">
        <v>6493</v>
      </c>
      <c r="AL177" s="476"/>
      <c r="AM177" s="476"/>
      <c r="AN177" s="476"/>
      <c r="AO177" s="476"/>
      <c r="AP177" s="476"/>
      <c r="AQ177" s="476"/>
      <c r="AR177" s="476"/>
      <c r="AS177" s="476"/>
      <c r="AT177" s="476"/>
      <c r="AU177" s="476"/>
      <c r="AV177" s="476"/>
      <c r="AW177" s="476"/>
      <c r="AX177" s="476"/>
      <c r="AY177" s="476"/>
      <c r="AZ177" s="476"/>
      <c r="BA177" s="476"/>
      <c r="BB177" s="476"/>
      <c r="BC177" s="476"/>
      <c r="BD177" s="476"/>
      <c r="BE177" s="476"/>
      <c r="BF177" s="476"/>
      <c r="BG177" s="476"/>
      <c r="BH177" s="476"/>
      <c r="BI177" s="476"/>
      <c r="BJ177" s="476"/>
      <c r="BK177" s="476"/>
      <c r="BL177" s="480"/>
    </row>
    <row r="178" spans="1:64">
      <c r="A178" s="468">
        <v>43969</v>
      </c>
      <c r="B178" s="473">
        <v>139</v>
      </c>
      <c r="C178" s="473">
        <v>227</v>
      </c>
      <c r="D178" s="470" t="s">
        <v>620</v>
      </c>
      <c r="E178" s="469">
        <v>21</v>
      </c>
      <c r="F178" s="470" t="s">
        <v>88</v>
      </c>
      <c r="G178" s="469">
        <v>534</v>
      </c>
      <c r="H178" s="470" t="s">
        <v>6250</v>
      </c>
      <c r="I178" s="470" t="s">
        <v>836</v>
      </c>
      <c r="J178" s="469">
        <v>11</v>
      </c>
      <c r="K178" s="470" t="s">
        <v>6271</v>
      </c>
      <c r="L178" s="470" t="s">
        <v>6282</v>
      </c>
      <c r="M178" s="470" t="s">
        <v>10</v>
      </c>
      <c r="N178" s="473">
        <v>1</v>
      </c>
      <c r="O178" s="471"/>
      <c r="P178" s="471"/>
      <c r="Q178" s="471"/>
      <c r="R178" s="470"/>
      <c r="S178" s="471">
        <v>0.12484953703703704</v>
      </c>
      <c r="T178" s="471">
        <v>0.1915162037037037</v>
      </c>
      <c r="U178" s="471"/>
      <c r="V178" s="471"/>
      <c r="W178" s="471">
        <v>0.49496527777777777</v>
      </c>
      <c r="X178" s="471">
        <v>0.79842592592592598</v>
      </c>
      <c r="Y178" s="471">
        <v>0.12222222222222223</v>
      </c>
      <c r="Z178" s="471">
        <v>0.37708333333333338</v>
      </c>
      <c r="AA178" s="471">
        <v>0.63541666666666663</v>
      </c>
      <c r="AB178" s="470" t="s">
        <v>6289</v>
      </c>
      <c r="AC178" s="473">
        <v>131</v>
      </c>
      <c r="AD178" s="470" t="s">
        <v>119</v>
      </c>
      <c r="AE178" s="470"/>
      <c r="AF178" s="473">
        <v>99.7</v>
      </c>
      <c r="AG178" s="469">
        <v>93</v>
      </c>
      <c r="AH178" s="470" t="s">
        <v>6310</v>
      </c>
      <c r="AI178" s="470" t="s">
        <v>6322</v>
      </c>
      <c r="AJ178" s="470" t="s">
        <v>838</v>
      </c>
      <c r="AK178" s="470" t="s">
        <v>13</v>
      </c>
      <c r="AL178" s="470" t="s">
        <v>6709</v>
      </c>
      <c r="AM178" s="470" t="s">
        <v>6342</v>
      </c>
      <c r="AN178" s="470" t="s">
        <v>6933</v>
      </c>
      <c r="AO178" s="470" t="s">
        <v>6342</v>
      </c>
      <c r="AP178" s="470" t="s">
        <v>7017</v>
      </c>
      <c r="AQ178" s="470" t="s">
        <v>6351</v>
      </c>
      <c r="AR178" s="470" t="s">
        <v>6727</v>
      </c>
      <c r="AS178" s="470"/>
      <c r="AT178" s="470"/>
      <c r="AU178" s="470"/>
      <c r="AV178" s="470"/>
      <c r="AW178" s="470"/>
      <c r="AX178" s="470"/>
      <c r="AY178" s="470"/>
      <c r="AZ178" s="470"/>
      <c r="BA178" s="470"/>
      <c r="BB178" s="470"/>
      <c r="BC178" s="470"/>
      <c r="BD178" s="470"/>
      <c r="BE178" s="470"/>
      <c r="BF178" s="470"/>
      <c r="BG178" s="470"/>
      <c r="BH178" s="470"/>
      <c r="BI178" s="470"/>
      <c r="BJ178" s="470" t="s">
        <v>6710</v>
      </c>
      <c r="BK178" s="470"/>
      <c r="BL178" s="474"/>
    </row>
    <row r="179" spans="1:64">
      <c r="A179" s="475">
        <v>43970</v>
      </c>
      <c r="B179" s="478">
        <v>140</v>
      </c>
      <c r="C179" s="478">
        <v>226</v>
      </c>
      <c r="D179" s="476" t="s">
        <v>620</v>
      </c>
      <c r="E179" s="477">
        <v>21</v>
      </c>
      <c r="F179" s="476" t="s">
        <v>91</v>
      </c>
      <c r="G179" s="477">
        <v>534</v>
      </c>
      <c r="H179" s="476" t="s">
        <v>6250</v>
      </c>
      <c r="I179" s="476" t="s">
        <v>836</v>
      </c>
      <c r="J179" s="477">
        <v>12</v>
      </c>
      <c r="K179" s="476" t="s">
        <v>6266</v>
      </c>
      <c r="L179" s="476" t="s">
        <v>6283</v>
      </c>
      <c r="M179" s="476" t="s">
        <v>9</v>
      </c>
      <c r="N179" s="478">
        <v>1</v>
      </c>
      <c r="O179" s="479"/>
      <c r="P179" s="479"/>
      <c r="Q179" s="479"/>
      <c r="R179" s="476"/>
      <c r="S179" s="479">
        <v>0.12427083333333333</v>
      </c>
      <c r="T179" s="479">
        <v>0.19093749999999998</v>
      </c>
      <c r="U179" s="479">
        <v>0.19027777777777777</v>
      </c>
      <c r="V179" s="479">
        <v>0.29375000000000001</v>
      </c>
      <c r="W179" s="479">
        <v>0.49500000000000005</v>
      </c>
      <c r="X179" s="479">
        <v>0.7990624999999999</v>
      </c>
      <c r="Y179" s="479">
        <v>0.13819444444444443</v>
      </c>
      <c r="Z179" s="479">
        <v>0.4055555555555555</v>
      </c>
      <c r="AA179" s="479">
        <v>0.67569444444444438</v>
      </c>
      <c r="AB179" s="476" t="s">
        <v>6289</v>
      </c>
      <c r="AC179" s="478">
        <v>131</v>
      </c>
      <c r="AD179" s="476" t="s">
        <v>119</v>
      </c>
      <c r="AE179" s="476"/>
      <c r="AF179" s="478">
        <v>90.6</v>
      </c>
      <c r="AG179" s="477">
        <v>82</v>
      </c>
      <c r="AH179" s="476" t="s">
        <v>6311</v>
      </c>
      <c r="AI179" s="476" t="s">
        <v>6323</v>
      </c>
      <c r="AJ179" s="476" t="s">
        <v>839</v>
      </c>
      <c r="AK179" s="476" t="s">
        <v>6493</v>
      </c>
      <c r="AL179" s="476" t="s">
        <v>6780</v>
      </c>
      <c r="AM179" s="476" t="s">
        <v>6343</v>
      </c>
      <c r="AN179" s="476" t="s">
        <v>6934</v>
      </c>
      <c r="AO179" s="476" t="s">
        <v>6346</v>
      </c>
      <c r="AP179" s="476"/>
      <c r="AQ179" s="476"/>
      <c r="AR179" s="476"/>
      <c r="AS179" s="476"/>
      <c r="AT179" s="476"/>
      <c r="AU179" s="476"/>
      <c r="AV179" s="476"/>
      <c r="AW179" s="476"/>
      <c r="AX179" s="476"/>
      <c r="AY179" s="476"/>
      <c r="AZ179" s="476"/>
      <c r="BA179" s="476"/>
      <c r="BB179" s="476"/>
      <c r="BC179" s="476"/>
      <c r="BD179" s="476"/>
      <c r="BE179" s="476"/>
      <c r="BF179" s="476"/>
      <c r="BG179" s="476"/>
      <c r="BH179" s="476"/>
      <c r="BI179" s="476"/>
      <c r="BJ179" s="476" t="s">
        <v>6711</v>
      </c>
      <c r="BK179" s="476"/>
      <c r="BL179" s="480"/>
    </row>
    <row r="180" spans="1:64">
      <c r="A180" s="468">
        <v>43971</v>
      </c>
      <c r="B180" s="473">
        <v>141</v>
      </c>
      <c r="C180" s="473">
        <v>225</v>
      </c>
      <c r="D180" s="470" t="s">
        <v>620</v>
      </c>
      <c r="E180" s="469">
        <v>21</v>
      </c>
      <c r="F180" s="470" t="s">
        <v>94</v>
      </c>
      <c r="G180" s="469">
        <v>534</v>
      </c>
      <c r="H180" s="470" t="s">
        <v>6250</v>
      </c>
      <c r="I180" s="470" t="s">
        <v>836</v>
      </c>
      <c r="J180" s="469">
        <v>13</v>
      </c>
      <c r="K180" s="470" t="s">
        <v>6267</v>
      </c>
      <c r="L180" s="470" t="s">
        <v>6284</v>
      </c>
      <c r="M180" s="470" t="s">
        <v>9</v>
      </c>
      <c r="N180" s="473">
        <v>1</v>
      </c>
      <c r="O180" s="471"/>
      <c r="P180" s="471"/>
      <c r="Q180" s="471"/>
      <c r="R180" s="470"/>
      <c r="S180" s="471">
        <v>0.1237037037037037</v>
      </c>
      <c r="T180" s="471">
        <v>0.19037037037037038</v>
      </c>
      <c r="U180" s="471"/>
      <c r="V180" s="471"/>
      <c r="W180" s="471">
        <v>0.49503472222222222</v>
      </c>
      <c r="X180" s="471">
        <v>0.79969907407407403</v>
      </c>
      <c r="Y180" s="471">
        <v>0.15486111111111112</v>
      </c>
      <c r="Z180" s="471">
        <v>0.43402777777777773</v>
      </c>
      <c r="AA180" s="471">
        <v>0.71736111111111101</v>
      </c>
      <c r="AB180" s="470" t="s">
        <v>6289</v>
      </c>
      <c r="AC180" s="473">
        <v>131</v>
      </c>
      <c r="AD180" s="470" t="s">
        <v>119</v>
      </c>
      <c r="AE180" s="470"/>
      <c r="AF180" s="473">
        <v>82.1</v>
      </c>
      <c r="AG180" s="469">
        <v>71.599999999999994</v>
      </c>
      <c r="AH180" s="470" t="s">
        <v>6312</v>
      </c>
      <c r="AI180" s="470" t="s">
        <v>6324</v>
      </c>
      <c r="AJ180" s="470" t="s">
        <v>6493</v>
      </c>
      <c r="AK180" s="470" t="s">
        <v>6493</v>
      </c>
      <c r="AL180" s="470"/>
      <c r="AM180" s="470"/>
      <c r="AN180" s="470"/>
      <c r="AO180" s="470"/>
      <c r="AP180" s="470"/>
      <c r="AQ180" s="470"/>
      <c r="AR180" s="470"/>
      <c r="AS180" s="470"/>
      <c r="AT180" s="470"/>
      <c r="AU180" s="470"/>
      <c r="AV180" s="470"/>
      <c r="AW180" s="470"/>
      <c r="AX180" s="470"/>
      <c r="AY180" s="470"/>
      <c r="AZ180" s="470"/>
      <c r="BA180" s="470"/>
      <c r="BB180" s="470"/>
      <c r="BC180" s="470"/>
      <c r="BD180" s="470"/>
      <c r="BE180" s="470"/>
      <c r="BF180" s="470"/>
      <c r="BG180" s="470"/>
      <c r="BH180" s="470"/>
      <c r="BI180" s="470"/>
      <c r="BJ180" s="470"/>
      <c r="BK180" s="470"/>
      <c r="BL180" s="474"/>
    </row>
    <row r="181" spans="1:64">
      <c r="A181" s="475">
        <v>43972</v>
      </c>
      <c r="B181" s="478">
        <v>142</v>
      </c>
      <c r="C181" s="478">
        <v>224</v>
      </c>
      <c r="D181" s="476" t="s">
        <v>620</v>
      </c>
      <c r="E181" s="477">
        <v>21</v>
      </c>
      <c r="F181" s="476" t="s">
        <v>6714</v>
      </c>
      <c r="G181" s="477">
        <v>534</v>
      </c>
      <c r="H181" s="476" t="s">
        <v>6250</v>
      </c>
      <c r="I181" s="476" t="s">
        <v>836</v>
      </c>
      <c r="J181" s="477">
        <v>14</v>
      </c>
      <c r="K181" s="476" t="s">
        <v>6268</v>
      </c>
      <c r="L181" s="476" t="s">
        <v>6285</v>
      </c>
      <c r="M181" s="476" t="s">
        <v>9</v>
      </c>
      <c r="N181" s="478">
        <v>1</v>
      </c>
      <c r="O181" s="479"/>
      <c r="P181" s="479"/>
      <c r="Q181" s="479"/>
      <c r="R181" s="476"/>
      <c r="S181" s="479">
        <v>0.12317129629629631</v>
      </c>
      <c r="T181" s="479">
        <v>0.18983796296296296</v>
      </c>
      <c r="U181" s="479"/>
      <c r="V181" s="479"/>
      <c r="W181" s="479">
        <v>0.49508101851851855</v>
      </c>
      <c r="X181" s="479">
        <v>0.80033564814814817</v>
      </c>
      <c r="Y181" s="479">
        <v>0.17291666666666669</v>
      </c>
      <c r="Z181" s="479">
        <v>0.46388888888888885</v>
      </c>
      <c r="AA181" s="479">
        <v>0.76041666666666663</v>
      </c>
      <c r="AB181" s="476" t="s">
        <v>6289</v>
      </c>
      <c r="AC181" s="478">
        <v>131</v>
      </c>
      <c r="AD181" s="476" t="s">
        <v>119</v>
      </c>
      <c r="AE181" s="476"/>
      <c r="AF181" s="478">
        <v>74.5</v>
      </c>
      <c r="AG181" s="477">
        <v>61.9</v>
      </c>
      <c r="AH181" s="476" t="s">
        <v>6313</v>
      </c>
      <c r="AI181" s="476" t="s">
        <v>6325</v>
      </c>
      <c r="AJ181" s="476" t="s">
        <v>6493</v>
      </c>
      <c r="AK181" s="476" t="s">
        <v>6493</v>
      </c>
      <c r="AL181" s="476"/>
      <c r="AM181" s="476"/>
      <c r="AN181" s="476"/>
      <c r="AO181" s="476"/>
      <c r="AP181" s="476"/>
      <c r="AQ181" s="476"/>
      <c r="AR181" s="476"/>
      <c r="AS181" s="476"/>
      <c r="AT181" s="476"/>
      <c r="AU181" s="476"/>
      <c r="AV181" s="476"/>
      <c r="AW181" s="476"/>
      <c r="AX181" s="476"/>
      <c r="AY181" s="476"/>
      <c r="AZ181" s="476"/>
      <c r="BA181" s="476"/>
      <c r="BB181" s="476"/>
      <c r="BC181" s="476"/>
      <c r="BD181" s="476"/>
      <c r="BE181" s="476"/>
      <c r="BF181" s="476"/>
      <c r="BG181" s="476"/>
      <c r="BH181" s="476"/>
      <c r="BI181" s="476"/>
      <c r="BJ181" s="476"/>
      <c r="BK181" s="476"/>
      <c r="BL181" s="480"/>
    </row>
    <row r="182" spans="1:64">
      <c r="A182" s="468">
        <v>43973</v>
      </c>
      <c r="B182" s="473">
        <v>143</v>
      </c>
      <c r="C182" s="473">
        <v>223</v>
      </c>
      <c r="D182" s="470" t="s">
        <v>620</v>
      </c>
      <c r="E182" s="469">
        <v>21</v>
      </c>
      <c r="F182" s="470" t="s">
        <v>100</v>
      </c>
      <c r="G182" s="469">
        <v>534</v>
      </c>
      <c r="H182" s="470" t="s">
        <v>6250</v>
      </c>
      <c r="I182" s="470" t="s">
        <v>836</v>
      </c>
      <c r="J182" s="469">
        <v>15</v>
      </c>
      <c r="K182" s="470" t="s">
        <v>6269</v>
      </c>
      <c r="L182" s="470" t="s">
        <v>6286</v>
      </c>
      <c r="M182" s="470" t="s">
        <v>9</v>
      </c>
      <c r="N182" s="473">
        <v>1</v>
      </c>
      <c r="O182" s="471"/>
      <c r="P182" s="471"/>
      <c r="Q182" s="471"/>
      <c r="R182" s="470"/>
      <c r="S182" s="471">
        <v>0.12265046296296296</v>
      </c>
      <c r="T182" s="471">
        <v>0.18931712962962963</v>
      </c>
      <c r="U182" s="471"/>
      <c r="V182" s="471"/>
      <c r="W182" s="471">
        <v>0.49513888888888885</v>
      </c>
      <c r="X182" s="471">
        <v>0.80094907407407412</v>
      </c>
      <c r="Y182" s="471">
        <v>0.19305555555555554</v>
      </c>
      <c r="Z182" s="471">
        <v>0.49583333333333335</v>
      </c>
      <c r="AA182" s="471">
        <v>0.80347222222222225</v>
      </c>
      <c r="AB182" s="470" t="s">
        <v>6463</v>
      </c>
      <c r="AC182" s="473">
        <v>152</v>
      </c>
      <c r="AD182" s="470" t="s">
        <v>110</v>
      </c>
      <c r="AE182" s="470" t="s">
        <v>6524</v>
      </c>
      <c r="AF182" s="473">
        <v>68</v>
      </c>
      <c r="AG182" s="469">
        <v>53.3</v>
      </c>
      <c r="AH182" s="470" t="s">
        <v>6314</v>
      </c>
      <c r="AI182" s="470" t="s">
        <v>6326</v>
      </c>
      <c r="AJ182" s="470" t="s">
        <v>6493</v>
      </c>
      <c r="AK182" s="470" t="s">
        <v>6493</v>
      </c>
      <c r="AL182" s="470"/>
      <c r="AM182" s="470"/>
      <c r="AN182" s="470"/>
      <c r="AO182" s="470"/>
      <c r="AP182" s="470"/>
      <c r="AQ182" s="470"/>
      <c r="AR182" s="470"/>
      <c r="AS182" s="470"/>
      <c r="AT182" s="470"/>
      <c r="AU182" s="470"/>
      <c r="AV182" s="470"/>
      <c r="AW182" s="470"/>
      <c r="AX182" s="470"/>
      <c r="AY182" s="470"/>
      <c r="AZ182" s="470"/>
      <c r="BA182" s="470"/>
      <c r="BB182" s="470"/>
      <c r="BC182" s="470"/>
      <c r="BD182" s="470"/>
      <c r="BE182" s="470"/>
      <c r="BF182" s="470"/>
      <c r="BG182" s="470"/>
      <c r="BH182" s="470"/>
      <c r="BI182" s="470"/>
      <c r="BJ182" s="470"/>
      <c r="BK182" s="470"/>
      <c r="BL182" s="474"/>
    </row>
    <row r="183" spans="1:64">
      <c r="A183" s="475">
        <v>43974</v>
      </c>
      <c r="B183" s="478">
        <v>144</v>
      </c>
      <c r="C183" s="478">
        <v>222</v>
      </c>
      <c r="D183" s="476" t="s">
        <v>620</v>
      </c>
      <c r="E183" s="477">
        <v>21</v>
      </c>
      <c r="F183" s="476" t="s">
        <v>103</v>
      </c>
      <c r="G183" s="477">
        <v>534</v>
      </c>
      <c r="H183" s="476" t="s">
        <v>6250</v>
      </c>
      <c r="I183" s="476" t="s">
        <v>6257</v>
      </c>
      <c r="J183" s="477">
        <v>16</v>
      </c>
      <c r="K183" s="476" t="s">
        <v>6270</v>
      </c>
      <c r="L183" s="476" t="s">
        <v>6287</v>
      </c>
      <c r="M183" s="476" t="s">
        <v>9</v>
      </c>
      <c r="N183" s="478">
        <v>1</v>
      </c>
      <c r="O183" s="479"/>
      <c r="P183" s="479"/>
      <c r="Q183" s="479"/>
      <c r="R183" s="476"/>
      <c r="S183" s="479">
        <v>0.12215277777777778</v>
      </c>
      <c r="T183" s="479">
        <v>0.18881944444444443</v>
      </c>
      <c r="U183" s="479"/>
      <c r="V183" s="479"/>
      <c r="W183" s="479">
        <v>0.49518518518518517</v>
      </c>
      <c r="X183" s="479">
        <v>0.80156250000000007</v>
      </c>
      <c r="Y183" s="479">
        <v>0.21736111111111112</v>
      </c>
      <c r="Z183" s="479">
        <v>0.52986111111111112</v>
      </c>
      <c r="AA183" s="479">
        <v>0.84583333333333333</v>
      </c>
      <c r="AB183" s="476" t="s">
        <v>6463</v>
      </c>
      <c r="AC183" s="478">
        <v>152</v>
      </c>
      <c r="AD183" s="476" t="s">
        <v>110</v>
      </c>
      <c r="AE183" s="476"/>
      <c r="AF183" s="478">
        <v>62.9</v>
      </c>
      <c r="AG183" s="477">
        <v>45.9</v>
      </c>
      <c r="AH183" s="476" t="s">
        <v>973</v>
      </c>
      <c r="AI183" s="476" t="s">
        <v>6327</v>
      </c>
      <c r="AJ183" s="476" t="s">
        <v>6493</v>
      </c>
      <c r="AK183" s="476" t="s">
        <v>6493</v>
      </c>
      <c r="AL183" s="476"/>
      <c r="AM183" s="476"/>
      <c r="AN183" s="476"/>
      <c r="AO183" s="476"/>
      <c r="AP183" s="476"/>
      <c r="AQ183" s="476"/>
      <c r="AR183" s="476"/>
      <c r="AS183" s="476"/>
      <c r="AT183" s="476"/>
      <c r="AU183" s="476"/>
      <c r="AV183" s="476"/>
      <c r="AW183" s="476"/>
      <c r="AX183" s="476"/>
      <c r="AY183" s="476"/>
      <c r="AZ183" s="476"/>
      <c r="BA183" s="476"/>
      <c r="BB183" s="476"/>
      <c r="BC183" s="476"/>
      <c r="BD183" s="476"/>
      <c r="BE183" s="476"/>
      <c r="BF183" s="476"/>
      <c r="BG183" s="476"/>
      <c r="BH183" s="476"/>
      <c r="BI183" s="476"/>
      <c r="BJ183" s="476"/>
      <c r="BK183" s="476"/>
      <c r="BL183" s="480"/>
    </row>
    <row r="184" spans="1:64">
      <c r="A184" s="468">
        <v>43975</v>
      </c>
      <c r="B184" s="473">
        <v>145</v>
      </c>
      <c r="C184" s="473">
        <v>221</v>
      </c>
      <c r="D184" s="470" t="s">
        <v>620</v>
      </c>
      <c r="E184" s="469">
        <v>21</v>
      </c>
      <c r="F184" s="470" t="s">
        <v>106</v>
      </c>
      <c r="G184" s="469">
        <v>534</v>
      </c>
      <c r="H184" s="470" t="s">
        <v>6250</v>
      </c>
      <c r="I184" s="470" t="s">
        <v>6257</v>
      </c>
      <c r="J184" s="469">
        <v>17</v>
      </c>
      <c r="K184" s="470" t="s">
        <v>1034</v>
      </c>
      <c r="L184" s="470" t="s">
        <v>6273</v>
      </c>
      <c r="M184" s="470" t="s">
        <v>9</v>
      </c>
      <c r="N184" s="473">
        <v>1</v>
      </c>
      <c r="O184" s="471"/>
      <c r="P184" s="471"/>
      <c r="Q184" s="471"/>
      <c r="R184" s="470"/>
      <c r="S184" s="471">
        <v>0.12167824074074074</v>
      </c>
      <c r="T184" s="471">
        <v>0.18834490740740739</v>
      </c>
      <c r="U184" s="471"/>
      <c r="V184" s="471"/>
      <c r="W184" s="471">
        <v>0.49525462962962963</v>
      </c>
      <c r="X184" s="471">
        <v>0.80216435185185186</v>
      </c>
      <c r="Y184" s="471">
        <v>0.24513888888888888</v>
      </c>
      <c r="Z184" s="471">
        <v>0.56527777777777777</v>
      </c>
      <c r="AA184" s="471">
        <v>0.8881944444444444</v>
      </c>
      <c r="AB184" s="470" t="s">
        <v>6463</v>
      </c>
      <c r="AC184" s="473">
        <v>152</v>
      </c>
      <c r="AD184" s="470" t="s">
        <v>110</v>
      </c>
      <c r="AE184" s="470"/>
      <c r="AF184" s="473">
        <v>59.2</v>
      </c>
      <c r="AG184" s="469">
        <v>39.9</v>
      </c>
      <c r="AH184" s="470" t="s">
        <v>6290</v>
      </c>
      <c r="AI184" s="470" t="s">
        <v>6328</v>
      </c>
      <c r="AJ184" s="470" t="s">
        <v>6493</v>
      </c>
      <c r="AK184" s="470" t="s">
        <v>6493</v>
      </c>
      <c r="AL184" s="470"/>
      <c r="AM184" s="470"/>
      <c r="AN184" s="470"/>
      <c r="AO184" s="470"/>
      <c r="AP184" s="470"/>
      <c r="AQ184" s="470"/>
      <c r="AR184" s="470"/>
      <c r="AS184" s="470"/>
      <c r="AT184" s="470"/>
      <c r="AU184" s="470"/>
      <c r="AV184" s="470"/>
      <c r="AW184" s="470"/>
      <c r="AX184" s="470"/>
      <c r="AY184" s="470"/>
      <c r="AZ184" s="470"/>
      <c r="BA184" s="470"/>
      <c r="BB184" s="470"/>
      <c r="BC184" s="470"/>
      <c r="BD184" s="470"/>
      <c r="BE184" s="470"/>
      <c r="BF184" s="470"/>
      <c r="BG184" s="470"/>
      <c r="BH184" s="470"/>
      <c r="BI184" s="470"/>
      <c r="BJ184" s="470"/>
      <c r="BK184" s="470"/>
      <c r="BL184" s="474"/>
    </row>
    <row r="185" spans="1:64">
      <c r="A185" s="475">
        <v>43976</v>
      </c>
      <c r="B185" s="478">
        <v>146</v>
      </c>
      <c r="C185" s="478">
        <v>220</v>
      </c>
      <c r="D185" s="476" t="s">
        <v>620</v>
      </c>
      <c r="E185" s="477">
        <v>22</v>
      </c>
      <c r="F185" s="476" t="s">
        <v>88</v>
      </c>
      <c r="G185" s="477">
        <v>534</v>
      </c>
      <c r="H185" s="476" t="s">
        <v>6250</v>
      </c>
      <c r="I185" s="476" t="s">
        <v>6257</v>
      </c>
      <c r="J185" s="477">
        <v>18</v>
      </c>
      <c r="K185" s="476" t="s">
        <v>6258</v>
      </c>
      <c r="L185" s="476" t="s">
        <v>6274</v>
      </c>
      <c r="M185" s="476" t="s">
        <v>9</v>
      </c>
      <c r="N185" s="478">
        <v>1</v>
      </c>
      <c r="O185" s="479"/>
      <c r="P185" s="479"/>
      <c r="Q185" s="479"/>
      <c r="R185" s="476"/>
      <c r="S185" s="479">
        <v>0.12121527777777778</v>
      </c>
      <c r="T185" s="479">
        <v>0.18788194444444442</v>
      </c>
      <c r="U185" s="479"/>
      <c r="V185" s="479"/>
      <c r="W185" s="479">
        <v>0.49532407407407408</v>
      </c>
      <c r="X185" s="479">
        <v>0.80275462962962962</v>
      </c>
      <c r="Y185" s="479">
        <v>0.27847222222222223</v>
      </c>
      <c r="Z185" s="479">
        <v>0.60277777777777775</v>
      </c>
      <c r="AA185" s="479">
        <v>0.92638888888888893</v>
      </c>
      <c r="AB185" s="476" t="s">
        <v>6463</v>
      </c>
      <c r="AC185" s="478">
        <v>152</v>
      </c>
      <c r="AD185" s="476" t="s">
        <v>110</v>
      </c>
      <c r="AE185" s="476"/>
      <c r="AF185" s="478">
        <v>57.3</v>
      </c>
      <c r="AG185" s="477">
        <v>35.299999999999997</v>
      </c>
      <c r="AH185" s="476" t="s">
        <v>6315</v>
      </c>
      <c r="AI185" s="476" t="s">
        <v>6329</v>
      </c>
      <c r="AJ185" s="476" t="s">
        <v>6493</v>
      </c>
      <c r="AK185" s="476" t="s">
        <v>6493</v>
      </c>
      <c r="AL185" s="476"/>
      <c r="AM185" s="476"/>
      <c r="AN185" s="476"/>
      <c r="AO185" s="476"/>
      <c r="AP185" s="476"/>
      <c r="AQ185" s="476"/>
      <c r="AR185" s="476"/>
      <c r="AS185" s="476"/>
      <c r="AT185" s="476"/>
      <c r="AU185" s="476"/>
      <c r="AV185" s="476"/>
      <c r="AW185" s="476"/>
      <c r="AX185" s="476"/>
      <c r="AY185" s="476"/>
      <c r="AZ185" s="476"/>
      <c r="BA185" s="476"/>
      <c r="BB185" s="476"/>
      <c r="BC185" s="476"/>
      <c r="BD185" s="476"/>
      <c r="BE185" s="476"/>
      <c r="BF185" s="476"/>
      <c r="BG185" s="476"/>
      <c r="BH185" s="476"/>
      <c r="BI185" s="476"/>
      <c r="BJ185" s="476"/>
      <c r="BK185" s="476"/>
      <c r="BL185" s="480"/>
    </row>
    <row r="186" spans="1:64">
      <c r="A186" s="468">
        <v>43977</v>
      </c>
      <c r="B186" s="473">
        <v>147</v>
      </c>
      <c r="C186" s="473">
        <v>219</v>
      </c>
      <c r="D186" s="470" t="s">
        <v>620</v>
      </c>
      <c r="E186" s="469">
        <v>22</v>
      </c>
      <c r="F186" s="470" t="s">
        <v>91</v>
      </c>
      <c r="G186" s="469">
        <v>534</v>
      </c>
      <c r="H186" s="470" t="s">
        <v>6250</v>
      </c>
      <c r="I186" s="470" t="s">
        <v>6257</v>
      </c>
      <c r="J186" s="469">
        <v>19</v>
      </c>
      <c r="K186" s="470" t="s">
        <v>6259</v>
      </c>
      <c r="L186" s="470" t="s">
        <v>6275</v>
      </c>
      <c r="M186" s="470" t="s">
        <v>9</v>
      </c>
      <c r="N186" s="473">
        <v>1</v>
      </c>
      <c r="O186" s="471"/>
      <c r="P186" s="471"/>
      <c r="Q186" s="471"/>
      <c r="R186" s="470"/>
      <c r="S186" s="471">
        <v>0.12078703703703704</v>
      </c>
      <c r="T186" s="471">
        <v>0.18745370370370371</v>
      </c>
      <c r="U186" s="471"/>
      <c r="V186" s="471"/>
      <c r="W186" s="471">
        <v>0.49539351851851854</v>
      </c>
      <c r="X186" s="471">
        <v>0.80333333333333334</v>
      </c>
      <c r="Y186" s="471">
        <v>0.31805555555555554</v>
      </c>
      <c r="Z186" s="471">
        <v>0.64097222222222217</v>
      </c>
      <c r="AA186" s="471">
        <v>0.96180555555555547</v>
      </c>
      <c r="AB186" s="470" t="s">
        <v>6463</v>
      </c>
      <c r="AC186" s="473">
        <v>152</v>
      </c>
      <c r="AD186" s="470" t="s">
        <v>110</v>
      </c>
      <c r="AE186" s="470"/>
      <c r="AF186" s="473">
        <v>57.1</v>
      </c>
      <c r="AG186" s="469">
        <v>32.299999999999997</v>
      </c>
      <c r="AH186" s="470" t="s">
        <v>6291</v>
      </c>
      <c r="AI186" s="470" t="s">
        <v>6330</v>
      </c>
      <c r="AJ186" s="470" t="s">
        <v>6493</v>
      </c>
      <c r="AK186" s="470" t="s">
        <v>6493</v>
      </c>
      <c r="AL186" s="470"/>
      <c r="AM186" s="470"/>
      <c r="AN186" s="470"/>
      <c r="AO186" s="470"/>
      <c r="AP186" s="470"/>
      <c r="AQ186" s="470"/>
      <c r="AR186" s="470"/>
      <c r="AS186" s="470"/>
      <c r="AT186" s="470"/>
      <c r="AU186" s="470"/>
      <c r="AV186" s="470"/>
      <c r="AW186" s="470"/>
      <c r="AX186" s="470"/>
      <c r="AY186" s="470"/>
      <c r="AZ186" s="470"/>
      <c r="BA186" s="470"/>
      <c r="BB186" s="470"/>
      <c r="BC186" s="470"/>
      <c r="BD186" s="470"/>
      <c r="BE186" s="470"/>
      <c r="BF186" s="470"/>
      <c r="BG186" s="470"/>
      <c r="BH186" s="470"/>
      <c r="BI186" s="470"/>
      <c r="BJ186" s="470"/>
      <c r="BK186" s="470"/>
      <c r="BL186" s="474"/>
    </row>
    <row r="187" spans="1:64">
      <c r="A187" s="475">
        <v>43978</v>
      </c>
      <c r="B187" s="478">
        <v>148</v>
      </c>
      <c r="C187" s="478">
        <v>218</v>
      </c>
      <c r="D187" s="476" t="s">
        <v>620</v>
      </c>
      <c r="E187" s="477">
        <v>22</v>
      </c>
      <c r="F187" s="476" t="s">
        <v>94</v>
      </c>
      <c r="G187" s="477">
        <v>534</v>
      </c>
      <c r="H187" s="476" t="s">
        <v>6250</v>
      </c>
      <c r="I187" s="476" t="s">
        <v>6257</v>
      </c>
      <c r="J187" s="477">
        <v>20</v>
      </c>
      <c r="K187" s="476" t="s">
        <v>6260</v>
      </c>
      <c r="L187" s="476" t="s">
        <v>6276</v>
      </c>
      <c r="M187" s="476" t="s">
        <v>9</v>
      </c>
      <c r="N187" s="478">
        <v>1</v>
      </c>
      <c r="O187" s="479"/>
      <c r="P187" s="479"/>
      <c r="Q187" s="479"/>
      <c r="R187" s="476"/>
      <c r="S187" s="479">
        <v>0.12037037037037036</v>
      </c>
      <c r="T187" s="479">
        <v>0.18703703703703703</v>
      </c>
      <c r="U187" s="479"/>
      <c r="V187" s="479"/>
      <c r="W187" s="479">
        <v>0.49547453703703703</v>
      </c>
      <c r="X187" s="479">
        <v>0.80390046296296302</v>
      </c>
      <c r="Y187" s="479">
        <v>0.3611111111111111</v>
      </c>
      <c r="Z187" s="479">
        <v>0.67847222222222225</v>
      </c>
      <c r="AA187" s="479">
        <v>0.99236111111111114</v>
      </c>
      <c r="AB187" s="476" t="s">
        <v>6463</v>
      </c>
      <c r="AC187" s="478">
        <v>152</v>
      </c>
      <c r="AD187" s="476" t="s">
        <v>110</v>
      </c>
      <c r="AE187" s="476"/>
      <c r="AF187" s="478">
        <v>58.8</v>
      </c>
      <c r="AG187" s="477">
        <v>31.1</v>
      </c>
      <c r="AH187" s="476" t="s">
        <v>6292</v>
      </c>
      <c r="AI187" s="476" t="s">
        <v>6331</v>
      </c>
      <c r="AJ187" s="476" t="s">
        <v>6493</v>
      </c>
      <c r="AK187" s="476" t="s">
        <v>6493</v>
      </c>
      <c r="AL187" s="476"/>
      <c r="AM187" s="476"/>
      <c r="AN187" s="476"/>
      <c r="AO187" s="476"/>
      <c r="AP187" s="476"/>
      <c r="AQ187" s="476"/>
      <c r="AR187" s="476"/>
      <c r="AS187" s="476"/>
      <c r="AT187" s="476"/>
      <c r="AU187" s="476"/>
      <c r="AV187" s="476"/>
      <c r="AW187" s="476"/>
      <c r="AX187" s="476"/>
      <c r="AY187" s="476"/>
      <c r="AZ187" s="476"/>
      <c r="BA187" s="476"/>
      <c r="BB187" s="476"/>
      <c r="BC187" s="476"/>
      <c r="BD187" s="476"/>
      <c r="BE187" s="476"/>
      <c r="BF187" s="476"/>
      <c r="BG187" s="476"/>
      <c r="BH187" s="476"/>
      <c r="BI187" s="476"/>
      <c r="BJ187" s="476"/>
      <c r="BK187" s="476"/>
      <c r="BL187" s="480"/>
    </row>
    <row r="188" spans="1:64">
      <c r="A188" s="468">
        <v>43979</v>
      </c>
      <c r="B188" s="473">
        <v>149</v>
      </c>
      <c r="C188" s="473">
        <v>217</v>
      </c>
      <c r="D188" s="470" t="s">
        <v>620</v>
      </c>
      <c r="E188" s="469">
        <v>22</v>
      </c>
      <c r="F188" s="470" t="s">
        <v>6714</v>
      </c>
      <c r="G188" s="469">
        <v>534</v>
      </c>
      <c r="H188" s="470" t="s">
        <v>6250</v>
      </c>
      <c r="I188" s="470" t="s">
        <v>6257</v>
      </c>
      <c r="J188" s="469">
        <v>21</v>
      </c>
      <c r="K188" s="470" t="s">
        <v>6261</v>
      </c>
      <c r="L188" s="470" t="s">
        <v>6277</v>
      </c>
      <c r="M188" s="470" t="s">
        <v>9</v>
      </c>
      <c r="N188" s="473">
        <v>1</v>
      </c>
      <c r="O188" s="471"/>
      <c r="P188" s="471"/>
      <c r="Q188" s="471"/>
      <c r="R188" s="470"/>
      <c r="S188" s="471">
        <v>0.11997685185185185</v>
      </c>
      <c r="T188" s="471">
        <v>0.18664351851851854</v>
      </c>
      <c r="U188" s="471"/>
      <c r="V188" s="471"/>
      <c r="W188" s="471">
        <v>0.49555555555555553</v>
      </c>
      <c r="X188" s="471">
        <v>0.80445601851851845</v>
      </c>
      <c r="Y188" s="471">
        <v>0.40833333333333338</v>
      </c>
      <c r="Z188" s="471">
        <v>0.71597222222222223</v>
      </c>
      <c r="AA188" s="471" t="s">
        <v>1107</v>
      </c>
      <c r="AB188" s="470" t="s">
        <v>6463</v>
      </c>
      <c r="AC188" s="473">
        <v>152</v>
      </c>
      <c r="AD188" s="470" t="s">
        <v>110</v>
      </c>
      <c r="AE188" s="470"/>
      <c r="AF188" s="473">
        <v>62.6</v>
      </c>
      <c r="AG188" s="469">
        <v>31.7</v>
      </c>
      <c r="AH188" s="470" t="s">
        <v>6293</v>
      </c>
      <c r="AI188" s="470" t="s">
        <v>6332</v>
      </c>
      <c r="AJ188" s="470" t="s">
        <v>6493</v>
      </c>
      <c r="AK188" s="470" t="s">
        <v>6493</v>
      </c>
      <c r="AL188" s="470"/>
      <c r="AM188" s="470"/>
      <c r="AN188" s="470"/>
      <c r="AO188" s="470"/>
      <c r="AP188" s="470"/>
      <c r="AQ188" s="470"/>
      <c r="AR188" s="470"/>
      <c r="AS188" s="470"/>
      <c r="AT188" s="470"/>
      <c r="AU188" s="470"/>
      <c r="AV188" s="470"/>
      <c r="AW188" s="470"/>
      <c r="AX188" s="470"/>
      <c r="AY188" s="470"/>
      <c r="AZ188" s="470"/>
      <c r="BA188" s="470"/>
      <c r="BB188" s="470"/>
      <c r="BC188" s="470"/>
      <c r="BD188" s="470"/>
      <c r="BE188" s="470"/>
      <c r="BF188" s="470"/>
      <c r="BG188" s="470"/>
      <c r="BH188" s="470"/>
      <c r="BI188" s="470"/>
      <c r="BJ188" s="470"/>
      <c r="BK188" s="470"/>
      <c r="BL188" s="474"/>
    </row>
    <row r="189" spans="1:64">
      <c r="A189" s="475">
        <v>43980</v>
      </c>
      <c r="B189" s="478">
        <v>150</v>
      </c>
      <c r="C189" s="478">
        <v>216</v>
      </c>
      <c r="D189" s="476" t="s">
        <v>620</v>
      </c>
      <c r="E189" s="477">
        <v>22</v>
      </c>
      <c r="F189" s="476" t="s">
        <v>100</v>
      </c>
      <c r="G189" s="477">
        <v>534</v>
      </c>
      <c r="H189" s="476" t="s">
        <v>6250</v>
      </c>
      <c r="I189" s="476" t="s">
        <v>6257</v>
      </c>
      <c r="J189" s="477">
        <v>22</v>
      </c>
      <c r="K189" s="476" t="s">
        <v>6262</v>
      </c>
      <c r="L189" s="476" t="s">
        <v>6278</v>
      </c>
      <c r="M189" s="476" t="s">
        <v>9</v>
      </c>
      <c r="N189" s="478">
        <v>1</v>
      </c>
      <c r="O189" s="479"/>
      <c r="P189" s="479"/>
      <c r="Q189" s="479"/>
      <c r="R189" s="476"/>
      <c r="S189" s="479">
        <v>0.11961805555555556</v>
      </c>
      <c r="T189" s="479">
        <v>0.18628472222222223</v>
      </c>
      <c r="U189" s="479"/>
      <c r="V189" s="479"/>
      <c r="W189" s="479">
        <v>0.49564814814814812</v>
      </c>
      <c r="X189" s="479">
        <v>0.80500000000000005</v>
      </c>
      <c r="Y189" s="479">
        <v>0.45624999999999999</v>
      </c>
      <c r="Z189" s="479">
        <v>0.75138888888888899</v>
      </c>
      <c r="AA189" s="479">
        <v>1.8749999999999999E-2</v>
      </c>
      <c r="AB189" s="476" t="s">
        <v>6463</v>
      </c>
      <c r="AC189" s="478">
        <v>152</v>
      </c>
      <c r="AD189" s="476" t="s">
        <v>110</v>
      </c>
      <c r="AE189" s="476"/>
      <c r="AF189" s="478">
        <v>68.7</v>
      </c>
      <c r="AG189" s="477">
        <v>34.4</v>
      </c>
      <c r="AH189" s="476" t="s">
        <v>6294</v>
      </c>
      <c r="AI189" s="476" t="s">
        <v>6333</v>
      </c>
      <c r="AJ189" s="476" t="s">
        <v>6493</v>
      </c>
      <c r="AK189" s="476" t="s">
        <v>6493</v>
      </c>
      <c r="AL189" s="476"/>
      <c r="AM189" s="476"/>
      <c r="AN189" s="476"/>
      <c r="AO189" s="476"/>
      <c r="AP189" s="476"/>
      <c r="AQ189" s="476"/>
      <c r="AR189" s="476"/>
      <c r="AS189" s="476"/>
      <c r="AT189" s="476"/>
      <c r="AU189" s="476"/>
      <c r="AV189" s="476"/>
      <c r="AW189" s="476"/>
      <c r="AX189" s="476"/>
      <c r="AY189" s="476"/>
      <c r="AZ189" s="476"/>
      <c r="BA189" s="476"/>
      <c r="BB189" s="476"/>
      <c r="BC189" s="476"/>
      <c r="BD189" s="476"/>
      <c r="BE189" s="476"/>
      <c r="BF189" s="476"/>
      <c r="BG189" s="476"/>
      <c r="BH189" s="476"/>
      <c r="BI189" s="476"/>
      <c r="BJ189" s="476"/>
      <c r="BK189" s="476"/>
      <c r="BL189" s="480"/>
    </row>
    <row r="190" spans="1:64">
      <c r="A190" s="468">
        <v>43981</v>
      </c>
      <c r="B190" s="473">
        <v>151</v>
      </c>
      <c r="C190" s="473">
        <v>215</v>
      </c>
      <c r="D190" s="470" t="s">
        <v>620</v>
      </c>
      <c r="E190" s="469">
        <v>22</v>
      </c>
      <c r="F190" s="470" t="s">
        <v>103</v>
      </c>
      <c r="G190" s="469">
        <v>534</v>
      </c>
      <c r="H190" s="470" t="s">
        <v>6250</v>
      </c>
      <c r="I190" s="470" t="s">
        <v>6257</v>
      </c>
      <c r="J190" s="469">
        <v>23</v>
      </c>
      <c r="K190" s="470" t="s">
        <v>6263</v>
      </c>
      <c r="L190" s="470" t="s">
        <v>6279</v>
      </c>
      <c r="M190" s="470" t="s">
        <v>9</v>
      </c>
      <c r="N190" s="473">
        <v>1</v>
      </c>
      <c r="O190" s="471"/>
      <c r="P190" s="471"/>
      <c r="Q190" s="471"/>
      <c r="R190" s="470"/>
      <c r="S190" s="471">
        <v>0.11927083333333333</v>
      </c>
      <c r="T190" s="471">
        <v>0.18593750000000001</v>
      </c>
      <c r="U190" s="471"/>
      <c r="V190" s="471"/>
      <c r="W190" s="471">
        <v>0.49574074074074076</v>
      </c>
      <c r="X190" s="471">
        <v>0.80553240740740739</v>
      </c>
      <c r="Y190" s="471">
        <v>0.50555555555555554</v>
      </c>
      <c r="Z190" s="471">
        <v>0.78680555555555554</v>
      </c>
      <c r="AA190" s="471">
        <v>4.2361111111111106E-2</v>
      </c>
      <c r="AB190" s="470" t="s">
        <v>6464</v>
      </c>
      <c r="AC190" s="473">
        <v>130</v>
      </c>
      <c r="AD190" s="470" t="s">
        <v>113</v>
      </c>
      <c r="AE190" s="470" t="s">
        <v>6525</v>
      </c>
      <c r="AF190" s="473">
        <v>77</v>
      </c>
      <c r="AG190" s="469">
        <v>39</v>
      </c>
      <c r="AH190" s="470" t="s">
        <v>6295</v>
      </c>
      <c r="AI190" s="470" t="s">
        <v>6334</v>
      </c>
      <c r="AJ190" s="470" t="s">
        <v>6493</v>
      </c>
      <c r="AK190" s="470" t="s">
        <v>6493</v>
      </c>
      <c r="AL190" s="470"/>
      <c r="AM190" s="470"/>
      <c r="AN190" s="470"/>
      <c r="AO190" s="470"/>
      <c r="AP190" s="470"/>
      <c r="AQ190" s="470"/>
      <c r="AR190" s="470"/>
      <c r="AS190" s="470"/>
      <c r="AT190" s="470"/>
      <c r="AU190" s="470"/>
      <c r="AV190" s="470"/>
      <c r="AW190" s="470"/>
      <c r="AX190" s="470"/>
      <c r="AY190" s="470"/>
      <c r="AZ190" s="470"/>
      <c r="BA190" s="470"/>
      <c r="BB190" s="470"/>
      <c r="BC190" s="470"/>
      <c r="BD190" s="470"/>
      <c r="BE190" s="470"/>
      <c r="BF190" s="470"/>
      <c r="BG190" s="470"/>
      <c r="BH190" s="470"/>
      <c r="BI190" s="470"/>
      <c r="BJ190" s="470"/>
      <c r="BK190" s="470"/>
      <c r="BL190" s="474"/>
    </row>
    <row r="191" spans="1:64">
      <c r="A191" s="475">
        <v>43982</v>
      </c>
      <c r="B191" s="478">
        <v>152</v>
      </c>
      <c r="C191" s="478">
        <v>214</v>
      </c>
      <c r="D191" s="476" t="s">
        <v>620</v>
      </c>
      <c r="E191" s="477">
        <v>22</v>
      </c>
      <c r="F191" s="476" t="s">
        <v>106</v>
      </c>
      <c r="G191" s="477">
        <v>534</v>
      </c>
      <c r="H191" s="476" t="s">
        <v>6250</v>
      </c>
      <c r="I191" s="476" t="s">
        <v>6257</v>
      </c>
      <c r="J191" s="477">
        <v>24</v>
      </c>
      <c r="K191" s="476" t="s">
        <v>6264</v>
      </c>
      <c r="L191" s="476" t="s">
        <v>6280</v>
      </c>
      <c r="M191" s="476" t="s">
        <v>9</v>
      </c>
      <c r="N191" s="478">
        <v>1</v>
      </c>
      <c r="O191" s="479"/>
      <c r="P191" s="479"/>
      <c r="Q191" s="479"/>
      <c r="R191" s="476"/>
      <c r="S191" s="479">
        <v>0.11894675925925925</v>
      </c>
      <c r="T191" s="479">
        <v>0.18561342592592592</v>
      </c>
      <c r="U191" s="479"/>
      <c r="V191" s="479"/>
      <c r="W191" s="479">
        <v>0.49583333333333335</v>
      </c>
      <c r="X191" s="479">
        <v>0.8060532407407407</v>
      </c>
      <c r="Y191" s="479">
        <v>0.55555555555555558</v>
      </c>
      <c r="Z191" s="479">
        <v>0.82152777777777775</v>
      </c>
      <c r="AA191" s="479">
        <v>6.3194444444444442E-2</v>
      </c>
      <c r="AB191" s="476" t="s">
        <v>6464</v>
      </c>
      <c r="AC191" s="478">
        <v>130</v>
      </c>
      <c r="AD191" s="476" t="s">
        <v>113</v>
      </c>
      <c r="AE191" s="476"/>
      <c r="AF191" s="478">
        <v>87.5</v>
      </c>
      <c r="AG191" s="477">
        <v>45.7</v>
      </c>
      <c r="AH191" s="476" t="s">
        <v>6296</v>
      </c>
      <c r="AI191" s="476" t="s">
        <v>6335</v>
      </c>
      <c r="AJ191" s="476" t="s">
        <v>6493</v>
      </c>
      <c r="AK191" s="476" t="s">
        <v>6493</v>
      </c>
      <c r="AL191" s="476"/>
      <c r="AM191" s="476"/>
      <c r="AN191" s="476"/>
      <c r="AO191" s="476"/>
      <c r="AP191" s="476"/>
      <c r="AQ191" s="476"/>
      <c r="AR191" s="476"/>
      <c r="AS191" s="476"/>
      <c r="AT191" s="476"/>
      <c r="AU191" s="476"/>
      <c r="AV191" s="476"/>
      <c r="AW191" s="476"/>
      <c r="AX191" s="476"/>
      <c r="AY191" s="476"/>
      <c r="AZ191" s="476"/>
      <c r="BA191" s="476"/>
      <c r="BB191" s="476"/>
      <c r="BC191" s="476"/>
      <c r="BD191" s="476"/>
      <c r="BE191" s="476"/>
      <c r="BF191" s="476"/>
      <c r="BG191" s="476"/>
      <c r="BH191" s="476"/>
      <c r="BI191" s="476"/>
      <c r="BJ191" s="476"/>
      <c r="BK191" s="476"/>
      <c r="BL191" s="480"/>
    </row>
    <row r="192" spans="1:64">
      <c r="A192" s="468">
        <v>43983</v>
      </c>
      <c r="B192" s="473">
        <v>153</v>
      </c>
      <c r="C192" s="473">
        <v>213</v>
      </c>
      <c r="D192" s="470" t="s">
        <v>623</v>
      </c>
      <c r="E192" s="469">
        <v>23</v>
      </c>
      <c r="F192" s="470" t="s">
        <v>88</v>
      </c>
      <c r="G192" s="469">
        <v>534</v>
      </c>
      <c r="H192" s="470" t="s">
        <v>6250</v>
      </c>
      <c r="I192" s="470" t="s">
        <v>6257</v>
      </c>
      <c r="J192" s="469">
        <v>25</v>
      </c>
      <c r="K192" s="470" t="s">
        <v>6265</v>
      </c>
      <c r="L192" s="470" t="s">
        <v>6281</v>
      </c>
      <c r="M192" s="470" t="s">
        <v>9</v>
      </c>
      <c r="N192" s="473">
        <v>1</v>
      </c>
      <c r="O192" s="471"/>
      <c r="P192" s="471"/>
      <c r="Q192" s="471"/>
      <c r="R192" s="470"/>
      <c r="S192" s="471">
        <v>0.11864583333333334</v>
      </c>
      <c r="T192" s="471">
        <v>0.18531249999999999</v>
      </c>
      <c r="U192" s="471"/>
      <c r="V192" s="471"/>
      <c r="W192" s="471">
        <v>0.49593749999999998</v>
      </c>
      <c r="X192" s="471">
        <v>0.80656250000000007</v>
      </c>
      <c r="Y192" s="471">
        <v>0.60625000000000007</v>
      </c>
      <c r="Z192" s="471">
        <v>0.8569444444444444</v>
      </c>
      <c r="AA192" s="471">
        <v>8.4722222222222213E-2</v>
      </c>
      <c r="AB192" s="470" t="s">
        <v>6464</v>
      </c>
      <c r="AC192" s="473">
        <v>130</v>
      </c>
      <c r="AD192" s="470" t="s">
        <v>113</v>
      </c>
      <c r="AE192" s="470"/>
      <c r="AF192" s="473">
        <v>99.8</v>
      </c>
      <c r="AG192" s="469">
        <v>53.9</v>
      </c>
      <c r="AH192" s="470" t="s">
        <v>6297</v>
      </c>
      <c r="AI192" s="470" t="s">
        <v>6337</v>
      </c>
      <c r="AJ192" s="470" t="s">
        <v>839</v>
      </c>
      <c r="AK192" s="470" t="s">
        <v>6493</v>
      </c>
      <c r="AL192" s="470" t="s">
        <v>6781</v>
      </c>
      <c r="AM192" s="470" t="s">
        <v>6346</v>
      </c>
      <c r="AN192" s="470" t="s">
        <v>1235</v>
      </c>
      <c r="AO192" s="470" t="s">
        <v>6344</v>
      </c>
      <c r="AP192" s="470" t="s">
        <v>7018</v>
      </c>
      <c r="AQ192" s="470" t="s">
        <v>6346</v>
      </c>
      <c r="AR192" s="470"/>
      <c r="AS192" s="470"/>
      <c r="AT192" s="470"/>
      <c r="AU192" s="470"/>
      <c r="AV192" s="470"/>
      <c r="AW192" s="470"/>
      <c r="AX192" s="470"/>
      <c r="AY192" s="470"/>
      <c r="AZ192" s="470"/>
      <c r="BA192" s="470"/>
      <c r="BB192" s="470"/>
      <c r="BC192" s="470"/>
      <c r="BD192" s="470"/>
      <c r="BE192" s="470"/>
      <c r="BF192" s="470"/>
      <c r="BG192" s="470"/>
      <c r="BH192" s="470"/>
      <c r="BI192" s="470"/>
      <c r="BJ192" s="470" t="s">
        <v>7093</v>
      </c>
      <c r="BK192" s="470"/>
      <c r="BL192" s="474"/>
    </row>
    <row r="193" spans="1:64">
      <c r="A193" s="475">
        <v>43984</v>
      </c>
      <c r="B193" s="478">
        <v>154</v>
      </c>
      <c r="C193" s="478">
        <v>212</v>
      </c>
      <c r="D193" s="476" t="s">
        <v>623</v>
      </c>
      <c r="E193" s="477">
        <v>23</v>
      </c>
      <c r="F193" s="476" t="s">
        <v>91</v>
      </c>
      <c r="G193" s="477">
        <v>534</v>
      </c>
      <c r="H193" s="476" t="s">
        <v>6250</v>
      </c>
      <c r="I193" s="476" t="s">
        <v>6257</v>
      </c>
      <c r="J193" s="477">
        <v>27</v>
      </c>
      <c r="K193" s="476" t="s">
        <v>6266</v>
      </c>
      <c r="L193" s="476" t="s">
        <v>6283</v>
      </c>
      <c r="M193" s="476" t="s">
        <v>9</v>
      </c>
      <c r="N193" s="478">
        <v>1</v>
      </c>
      <c r="O193" s="479">
        <v>0.18680555555555556</v>
      </c>
      <c r="P193" s="479">
        <v>6.6666666666666666E-2</v>
      </c>
      <c r="Q193" s="479"/>
      <c r="R193" s="476"/>
      <c r="S193" s="479">
        <v>0.11836805555555556</v>
      </c>
      <c r="T193" s="479">
        <v>0.1850347222222222</v>
      </c>
      <c r="U193" s="479"/>
      <c r="V193" s="479"/>
      <c r="W193" s="479">
        <v>0.49604166666666666</v>
      </c>
      <c r="X193" s="479">
        <v>0.80704861111111104</v>
      </c>
      <c r="Y193" s="479">
        <v>0.65763888888888888</v>
      </c>
      <c r="Z193" s="479">
        <v>0.8930555555555556</v>
      </c>
      <c r="AA193" s="479">
        <v>0.10416666666666667</v>
      </c>
      <c r="AB193" s="476" t="s">
        <v>6464</v>
      </c>
      <c r="AC193" s="478">
        <v>130</v>
      </c>
      <c r="AD193" s="476" t="s">
        <v>113</v>
      </c>
      <c r="AE193" s="476"/>
      <c r="AF193" s="478">
        <v>13.4</v>
      </c>
      <c r="AG193" s="477">
        <v>63.4</v>
      </c>
      <c r="AH193" s="476" t="s">
        <v>6298</v>
      </c>
      <c r="AI193" s="476" t="s">
        <v>6338</v>
      </c>
      <c r="AJ193" s="476" t="s">
        <v>838</v>
      </c>
      <c r="AK193" s="476" t="s">
        <v>13</v>
      </c>
      <c r="AL193" s="476" t="s">
        <v>6782</v>
      </c>
      <c r="AM193" s="476" t="s">
        <v>6342</v>
      </c>
      <c r="AN193" s="476" t="s">
        <v>6935</v>
      </c>
      <c r="AO193" s="476" t="s">
        <v>6351</v>
      </c>
      <c r="AP193" s="476" t="s">
        <v>7019</v>
      </c>
      <c r="AQ193" s="476" t="s">
        <v>6342</v>
      </c>
      <c r="AR193" s="476" t="s">
        <v>7057</v>
      </c>
      <c r="AS193" s="476"/>
      <c r="AT193" s="476"/>
      <c r="AU193" s="476"/>
      <c r="AV193" s="476"/>
      <c r="AW193" s="476"/>
      <c r="AX193" s="476"/>
      <c r="AY193" s="476"/>
      <c r="AZ193" s="476"/>
      <c r="BA193" s="476"/>
      <c r="BB193" s="476"/>
      <c r="BC193" s="476"/>
      <c r="BD193" s="476"/>
      <c r="BE193" s="476"/>
      <c r="BF193" s="476"/>
      <c r="BG193" s="476"/>
      <c r="BH193" s="476"/>
      <c r="BI193" s="476"/>
      <c r="BJ193" s="476" t="s">
        <v>6563</v>
      </c>
      <c r="BK193" s="476"/>
      <c r="BL193" s="480"/>
    </row>
    <row r="194" spans="1:64">
      <c r="A194" s="468">
        <v>43985</v>
      </c>
      <c r="B194" s="473">
        <v>155</v>
      </c>
      <c r="C194" s="473">
        <v>211</v>
      </c>
      <c r="D194" s="470" t="s">
        <v>623</v>
      </c>
      <c r="E194" s="469">
        <v>23</v>
      </c>
      <c r="F194" s="470" t="s">
        <v>94</v>
      </c>
      <c r="G194" s="469">
        <v>534</v>
      </c>
      <c r="H194" s="470" t="s">
        <v>6250</v>
      </c>
      <c r="I194" s="470" t="s">
        <v>6257</v>
      </c>
      <c r="J194" s="469">
        <v>28</v>
      </c>
      <c r="K194" s="470" t="s">
        <v>6267</v>
      </c>
      <c r="L194" s="470" t="s">
        <v>6284</v>
      </c>
      <c r="M194" s="470" t="s">
        <v>9</v>
      </c>
      <c r="N194" s="473">
        <v>1</v>
      </c>
      <c r="O194" s="471"/>
      <c r="P194" s="471"/>
      <c r="Q194" s="471"/>
      <c r="R194" s="470"/>
      <c r="S194" s="471">
        <v>0.11811342592592593</v>
      </c>
      <c r="T194" s="471">
        <v>0.18478009259259257</v>
      </c>
      <c r="U194" s="471">
        <v>0.18472222222222223</v>
      </c>
      <c r="V194" s="471">
        <v>0.3923611111111111</v>
      </c>
      <c r="W194" s="471">
        <v>0.49615740740740738</v>
      </c>
      <c r="X194" s="471">
        <v>0.80753472222222233</v>
      </c>
      <c r="Y194" s="471">
        <v>0.70972222222222225</v>
      </c>
      <c r="Z194" s="471">
        <v>0.93055555555555547</v>
      </c>
      <c r="AA194" s="471">
        <v>0.12638888888888888</v>
      </c>
      <c r="AB194" s="470" t="s">
        <v>6464</v>
      </c>
      <c r="AC194" s="473">
        <v>130</v>
      </c>
      <c r="AD194" s="470" t="s">
        <v>113</v>
      </c>
      <c r="AE194" s="470"/>
      <c r="AF194" s="473">
        <v>27.7</v>
      </c>
      <c r="AG194" s="469">
        <v>73.400000000000006</v>
      </c>
      <c r="AH194" s="470" t="s">
        <v>6299</v>
      </c>
      <c r="AI194" s="470" t="s">
        <v>6339</v>
      </c>
      <c r="AJ194" s="470" t="s">
        <v>839</v>
      </c>
      <c r="AK194" s="470" t="s">
        <v>6493</v>
      </c>
      <c r="AL194" s="470" t="s">
        <v>6783</v>
      </c>
      <c r="AM194" s="470" t="s">
        <v>6343</v>
      </c>
      <c r="AN194" s="470" t="s">
        <v>1222</v>
      </c>
      <c r="AO194" s="470" t="s">
        <v>6344</v>
      </c>
      <c r="AP194" s="470"/>
      <c r="AQ194" s="470"/>
      <c r="AR194" s="470"/>
      <c r="AS194" s="470"/>
      <c r="AT194" s="470"/>
      <c r="AU194" s="470"/>
      <c r="AV194" s="470"/>
      <c r="AW194" s="470"/>
      <c r="AX194" s="470"/>
      <c r="AY194" s="470"/>
      <c r="AZ194" s="470"/>
      <c r="BA194" s="470"/>
      <c r="BB194" s="470"/>
      <c r="BC194" s="470"/>
      <c r="BD194" s="470"/>
      <c r="BE194" s="470"/>
      <c r="BF194" s="470"/>
      <c r="BG194" s="470"/>
      <c r="BH194" s="470"/>
      <c r="BI194" s="470"/>
      <c r="BJ194" s="470" t="s">
        <v>6428</v>
      </c>
      <c r="BK194" s="470"/>
      <c r="BL194" s="474"/>
    </row>
    <row r="195" spans="1:64">
      <c r="A195" s="475">
        <v>43986</v>
      </c>
      <c r="B195" s="478">
        <v>156</v>
      </c>
      <c r="C195" s="478">
        <v>210</v>
      </c>
      <c r="D195" s="476" t="s">
        <v>623</v>
      </c>
      <c r="E195" s="477">
        <v>23</v>
      </c>
      <c r="F195" s="476" t="s">
        <v>6714</v>
      </c>
      <c r="G195" s="477">
        <v>534</v>
      </c>
      <c r="H195" s="476" t="s">
        <v>6250</v>
      </c>
      <c r="I195" s="476" t="s">
        <v>6257</v>
      </c>
      <c r="J195" s="477">
        <v>29</v>
      </c>
      <c r="K195" s="476" t="s">
        <v>6268</v>
      </c>
      <c r="L195" s="476" t="s">
        <v>6285</v>
      </c>
      <c r="M195" s="476" t="s">
        <v>9</v>
      </c>
      <c r="N195" s="478">
        <v>1</v>
      </c>
      <c r="O195" s="479"/>
      <c r="P195" s="479"/>
      <c r="Q195" s="479"/>
      <c r="R195" s="476"/>
      <c r="S195" s="479">
        <v>0.11788194444444444</v>
      </c>
      <c r="T195" s="479">
        <v>0.18454861111111109</v>
      </c>
      <c r="U195" s="479"/>
      <c r="V195" s="479"/>
      <c r="W195" s="479">
        <v>0.49627314814814816</v>
      </c>
      <c r="X195" s="479">
        <v>0.80798611111111107</v>
      </c>
      <c r="Y195" s="479">
        <v>0.76180555555555562</v>
      </c>
      <c r="Z195" s="479">
        <v>0.97013888888888899</v>
      </c>
      <c r="AA195" s="479">
        <v>0.15069444444444444</v>
      </c>
      <c r="AB195" s="476" t="s">
        <v>6464</v>
      </c>
      <c r="AC195" s="478">
        <v>130</v>
      </c>
      <c r="AD195" s="476" t="s">
        <v>113</v>
      </c>
      <c r="AE195" s="476"/>
      <c r="AF195" s="478">
        <v>41.7</v>
      </c>
      <c r="AG195" s="477">
        <v>83.1</v>
      </c>
      <c r="AH195" s="476" t="s">
        <v>6300</v>
      </c>
      <c r="AI195" s="476" t="s">
        <v>6340</v>
      </c>
      <c r="AJ195" s="476" t="s">
        <v>6493</v>
      </c>
      <c r="AK195" s="476" t="s">
        <v>6493</v>
      </c>
      <c r="AL195" s="476"/>
      <c r="AM195" s="476"/>
      <c r="AN195" s="476"/>
      <c r="AO195" s="476"/>
      <c r="AP195" s="476"/>
      <c r="AQ195" s="476"/>
      <c r="AR195" s="476"/>
      <c r="AS195" s="476"/>
      <c r="AT195" s="476"/>
      <c r="AU195" s="476"/>
      <c r="AV195" s="476"/>
      <c r="AW195" s="476"/>
      <c r="AX195" s="476"/>
      <c r="AY195" s="476"/>
      <c r="AZ195" s="476"/>
      <c r="BA195" s="476"/>
      <c r="BB195" s="476"/>
      <c r="BC195" s="476"/>
      <c r="BD195" s="476"/>
      <c r="BE195" s="476"/>
      <c r="BF195" s="476"/>
      <c r="BG195" s="476"/>
      <c r="BH195" s="476"/>
      <c r="BI195" s="476"/>
      <c r="BJ195" s="476"/>
      <c r="BK195" s="476"/>
      <c r="BL195" s="480"/>
    </row>
    <row r="196" spans="1:64">
      <c r="A196" s="468">
        <v>43987</v>
      </c>
      <c r="B196" s="473">
        <v>157</v>
      </c>
      <c r="C196" s="473">
        <v>209</v>
      </c>
      <c r="D196" s="470" t="s">
        <v>623</v>
      </c>
      <c r="E196" s="469">
        <v>23</v>
      </c>
      <c r="F196" s="470" t="s">
        <v>100</v>
      </c>
      <c r="G196" s="469">
        <v>534</v>
      </c>
      <c r="H196" s="470" t="s">
        <v>6250</v>
      </c>
      <c r="I196" s="470" t="s">
        <v>6257</v>
      </c>
      <c r="J196" s="469">
        <v>30</v>
      </c>
      <c r="K196" s="470" t="s">
        <v>6272</v>
      </c>
      <c r="L196" s="470" t="s">
        <v>6288</v>
      </c>
      <c r="M196" s="470" t="s">
        <v>9</v>
      </c>
      <c r="N196" s="473">
        <v>1</v>
      </c>
      <c r="O196" s="471"/>
      <c r="P196" s="471"/>
      <c r="Q196" s="471"/>
      <c r="R196" s="470"/>
      <c r="S196" s="471">
        <v>0.11767361111111112</v>
      </c>
      <c r="T196" s="471">
        <v>0.18434027777777776</v>
      </c>
      <c r="U196" s="471"/>
      <c r="V196" s="471"/>
      <c r="W196" s="471">
        <v>0.49638888888888894</v>
      </c>
      <c r="X196" s="471">
        <v>0.80843750000000003</v>
      </c>
      <c r="Y196" s="471">
        <v>0.81180555555555556</v>
      </c>
      <c r="Z196" s="471" t="s">
        <v>1107</v>
      </c>
      <c r="AA196" s="471">
        <v>0.17847222222222223</v>
      </c>
      <c r="AB196" s="470" t="s">
        <v>6462</v>
      </c>
      <c r="AC196" s="473">
        <v>129</v>
      </c>
      <c r="AD196" s="470" t="s">
        <v>116</v>
      </c>
      <c r="AE196" s="470" t="s">
        <v>6526</v>
      </c>
      <c r="AF196" s="473">
        <v>54.4</v>
      </c>
      <c r="AG196" s="469">
        <v>91.8</v>
      </c>
      <c r="AH196" s="470" t="s">
        <v>6301</v>
      </c>
      <c r="AI196" s="470" t="s">
        <v>974</v>
      </c>
      <c r="AJ196" s="470" t="s">
        <v>839</v>
      </c>
      <c r="AK196" s="470" t="s">
        <v>6493</v>
      </c>
      <c r="AL196" s="470" t="s">
        <v>811</v>
      </c>
      <c r="AM196" s="470" t="s">
        <v>6344</v>
      </c>
      <c r="AN196" s="470" t="s">
        <v>6936</v>
      </c>
      <c r="AO196" s="470" t="s">
        <v>6346</v>
      </c>
      <c r="AP196" s="470" t="s">
        <v>7020</v>
      </c>
      <c r="AQ196" s="470" t="s">
        <v>6346</v>
      </c>
      <c r="AR196" s="470" t="s">
        <v>7058</v>
      </c>
      <c r="AS196" s="470"/>
      <c r="AT196" s="470"/>
      <c r="AU196" s="470"/>
      <c r="AV196" s="470"/>
      <c r="AW196" s="470"/>
      <c r="AX196" s="470"/>
      <c r="AY196" s="470"/>
      <c r="AZ196" s="470"/>
      <c r="BA196" s="470"/>
      <c r="BB196" s="470"/>
      <c r="BC196" s="470"/>
      <c r="BD196" s="470"/>
      <c r="BE196" s="470"/>
      <c r="BF196" s="470"/>
      <c r="BG196" s="470"/>
      <c r="BH196" s="470"/>
      <c r="BI196" s="470"/>
      <c r="BJ196" s="470" t="s">
        <v>6390</v>
      </c>
      <c r="BK196" s="470"/>
      <c r="BL196" s="474"/>
    </row>
    <row r="197" spans="1:64">
      <c r="A197" s="475">
        <v>43988</v>
      </c>
      <c r="B197" s="478">
        <v>158</v>
      </c>
      <c r="C197" s="478">
        <v>208</v>
      </c>
      <c r="D197" s="476" t="s">
        <v>623</v>
      </c>
      <c r="E197" s="477">
        <v>23</v>
      </c>
      <c r="F197" s="476" t="s">
        <v>103</v>
      </c>
      <c r="G197" s="477">
        <v>534</v>
      </c>
      <c r="H197" s="476" t="s">
        <v>6251</v>
      </c>
      <c r="I197" s="476" t="s">
        <v>836</v>
      </c>
      <c r="J197" s="477">
        <v>1</v>
      </c>
      <c r="K197" s="476" t="s">
        <v>6270</v>
      </c>
      <c r="L197" s="476" t="s">
        <v>6287</v>
      </c>
      <c r="M197" s="476" t="s">
        <v>9</v>
      </c>
      <c r="N197" s="478">
        <v>1</v>
      </c>
      <c r="O197" s="479"/>
      <c r="P197" s="479"/>
      <c r="Q197" s="479"/>
      <c r="R197" s="476"/>
      <c r="S197" s="479">
        <v>0.11747685185185186</v>
      </c>
      <c r="T197" s="479">
        <v>0.18414351851851851</v>
      </c>
      <c r="U197" s="479"/>
      <c r="V197" s="479"/>
      <c r="W197" s="479">
        <v>0.4965046296296296</v>
      </c>
      <c r="X197" s="479">
        <v>0.80886574074074069</v>
      </c>
      <c r="Y197" s="479">
        <v>0.85833333333333339</v>
      </c>
      <c r="Z197" s="479">
        <v>1.1805555555555555E-2</v>
      </c>
      <c r="AA197" s="479">
        <v>0.21111111111111111</v>
      </c>
      <c r="AB197" s="476" t="s">
        <v>6462</v>
      </c>
      <c r="AC197" s="478">
        <v>129</v>
      </c>
      <c r="AD197" s="476" t="s">
        <v>116</v>
      </c>
      <c r="AE197" s="476"/>
      <c r="AF197" s="478">
        <v>65.2</v>
      </c>
      <c r="AG197" s="477">
        <v>98.7</v>
      </c>
      <c r="AH197" s="476" t="s">
        <v>6302</v>
      </c>
      <c r="AI197" s="476" t="s">
        <v>6316</v>
      </c>
      <c r="AJ197" s="476" t="s">
        <v>839</v>
      </c>
      <c r="AK197" s="476" t="s">
        <v>6493</v>
      </c>
      <c r="AL197" s="476" t="s">
        <v>6784</v>
      </c>
      <c r="AM197" s="476" t="s">
        <v>6346</v>
      </c>
      <c r="AN197" s="476" t="s">
        <v>6937</v>
      </c>
      <c r="AO197" s="476"/>
      <c r="AP197" s="476"/>
      <c r="AQ197" s="476"/>
      <c r="AR197" s="476"/>
      <c r="AS197" s="476"/>
      <c r="AT197" s="476"/>
      <c r="AU197" s="476"/>
      <c r="AV197" s="476"/>
      <c r="AW197" s="476"/>
      <c r="AX197" s="476"/>
      <c r="AY197" s="476"/>
      <c r="AZ197" s="476"/>
      <c r="BA197" s="476"/>
      <c r="BB197" s="476"/>
      <c r="BC197" s="476"/>
      <c r="BD197" s="476"/>
      <c r="BE197" s="476"/>
      <c r="BF197" s="476"/>
      <c r="BG197" s="476"/>
      <c r="BH197" s="476"/>
      <c r="BI197" s="476"/>
      <c r="BJ197" s="476" t="s">
        <v>6586</v>
      </c>
      <c r="BK197" s="476"/>
      <c r="BL197" s="480"/>
    </row>
    <row r="198" spans="1:64">
      <c r="A198" s="468">
        <v>43989</v>
      </c>
      <c r="B198" s="473">
        <v>159</v>
      </c>
      <c r="C198" s="473">
        <v>207</v>
      </c>
      <c r="D198" s="470" t="s">
        <v>623</v>
      </c>
      <c r="E198" s="469">
        <v>23</v>
      </c>
      <c r="F198" s="470" t="s">
        <v>106</v>
      </c>
      <c r="G198" s="469">
        <v>534</v>
      </c>
      <c r="H198" s="470" t="s">
        <v>6251</v>
      </c>
      <c r="I198" s="470" t="s">
        <v>836</v>
      </c>
      <c r="J198" s="469">
        <v>2</v>
      </c>
      <c r="K198" s="470" t="s">
        <v>1034</v>
      </c>
      <c r="L198" s="470" t="s">
        <v>6273</v>
      </c>
      <c r="M198" s="470" t="s">
        <v>9</v>
      </c>
      <c r="N198" s="473">
        <v>1</v>
      </c>
      <c r="O198" s="471"/>
      <c r="P198" s="471"/>
      <c r="Q198" s="471"/>
      <c r="R198" s="470"/>
      <c r="S198" s="471">
        <v>0.11731481481481482</v>
      </c>
      <c r="T198" s="471">
        <v>0.1839814814814815</v>
      </c>
      <c r="U198" s="471"/>
      <c r="V198" s="471"/>
      <c r="W198" s="471">
        <v>0.49663194444444447</v>
      </c>
      <c r="X198" s="471">
        <v>0.80928240740740742</v>
      </c>
      <c r="Y198" s="471">
        <v>0.89930555555555547</v>
      </c>
      <c r="Z198" s="471">
        <v>5.4166666666666669E-2</v>
      </c>
      <c r="AA198" s="471">
        <v>0.24861111111111112</v>
      </c>
      <c r="AB198" s="470" t="s">
        <v>6462</v>
      </c>
      <c r="AC198" s="473">
        <v>129</v>
      </c>
      <c r="AD198" s="470" t="s">
        <v>116</v>
      </c>
      <c r="AE198" s="470"/>
      <c r="AF198" s="473">
        <v>73.2</v>
      </c>
      <c r="AG198" s="469">
        <v>3.1</v>
      </c>
      <c r="AH198" s="470" t="s">
        <v>6304</v>
      </c>
      <c r="AI198" s="470" t="s">
        <v>6318</v>
      </c>
      <c r="AJ198" s="470" t="s">
        <v>6493</v>
      </c>
      <c r="AK198" s="470" t="s">
        <v>6493</v>
      </c>
      <c r="AL198" s="470"/>
      <c r="AM198" s="470"/>
      <c r="AN198" s="470"/>
      <c r="AO198" s="470"/>
      <c r="AP198" s="470"/>
      <c r="AQ198" s="470"/>
      <c r="AR198" s="470"/>
      <c r="AS198" s="470"/>
      <c r="AT198" s="470"/>
      <c r="AU198" s="470"/>
      <c r="AV198" s="470"/>
      <c r="AW198" s="470"/>
      <c r="AX198" s="470"/>
      <c r="AY198" s="470"/>
      <c r="AZ198" s="470"/>
      <c r="BA198" s="470"/>
      <c r="BB198" s="470"/>
      <c r="BC198" s="470"/>
      <c r="BD198" s="470"/>
      <c r="BE198" s="470"/>
      <c r="BF198" s="470"/>
      <c r="BG198" s="470"/>
      <c r="BH198" s="470"/>
      <c r="BI198" s="470"/>
      <c r="BJ198" s="470"/>
      <c r="BK198" s="470"/>
      <c r="BL198" s="474"/>
    </row>
    <row r="199" spans="1:64">
      <c r="A199" s="475">
        <v>43990</v>
      </c>
      <c r="B199" s="478">
        <v>160</v>
      </c>
      <c r="C199" s="478">
        <v>206</v>
      </c>
      <c r="D199" s="476" t="s">
        <v>623</v>
      </c>
      <c r="E199" s="477">
        <v>24</v>
      </c>
      <c r="F199" s="476" t="s">
        <v>88</v>
      </c>
      <c r="G199" s="477">
        <v>534</v>
      </c>
      <c r="H199" s="476" t="s">
        <v>6251</v>
      </c>
      <c r="I199" s="476" t="s">
        <v>836</v>
      </c>
      <c r="J199" s="477">
        <v>3</v>
      </c>
      <c r="K199" s="476" t="s">
        <v>6258</v>
      </c>
      <c r="L199" s="476" t="s">
        <v>6274</v>
      </c>
      <c r="M199" s="476" t="s">
        <v>9</v>
      </c>
      <c r="N199" s="478">
        <v>1</v>
      </c>
      <c r="O199" s="479"/>
      <c r="P199" s="479"/>
      <c r="Q199" s="479"/>
      <c r="R199" s="476"/>
      <c r="S199" s="479">
        <v>0.11717592592592592</v>
      </c>
      <c r="T199" s="479">
        <v>0.18384259259259259</v>
      </c>
      <c r="U199" s="479"/>
      <c r="V199" s="479"/>
      <c r="W199" s="479">
        <v>0.49675925925925929</v>
      </c>
      <c r="X199" s="479">
        <v>0.80967592592592597</v>
      </c>
      <c r="Y199" s="479">
        <v>0.93402777777777779</v>
      </c>
      <c r="Z199" s="479">
        <v>9.4444444444444442E-2</v>
      </c>
      <c r="AA199" s="479">
        <v>0.28958333333333336</v>
      </c>
      <c r="AB199" s="476" t="s">
        <v>6462</v>
      </c>
      <c r="AC199" s="478">
        <v>129</v>
      </c>
      <c r="AD199" s="476" t="s">
        <v>116</v>
      </c>
      <c r="AE199" s="476"/>
      <c r="AF199" s="478">
        <v>78.2</v>
      </c>
      <c r="AG199" s="477">
        <v>4.8</v>
      </c>
      <c r="AH199" s="476" t="s">
        <v>6305</v>
      </c>
      <c r="AI199" s="476" t="s">
        <v>6319</v>
      </c>
      <c r="AJ199" s="476" t="s">
        <v>6493</v>
      </c>
      <c r="AK199" s="476" t="s">
        <v>6493</v>
      </c>
      <c r="AL199" s="476"/>
      <c r="AM199" s="476"/>
      <c r="AN199" s="476"/>
      <c r="AO199" s="476"/>
      <c r="AP199" s="476"/>
      <c r="AQ199" s="476"/>
      <c r="AR199" s="476"/>
      <c r="AS199" s="476"/>
      <c r="AT199" s="476"/>
      <c r="AU199" s="476"/>
      <c r="AV199" s="476"/>
      <c r="AW199" s="476"/>
      <c r="AX199" s="476"/>
      <c r="AY199" s="476"/>
      <c r="AZ199" s="476"/>
      <c r="BA199" s="476"/>
      <c r="BB199" s="476"/>
      <c r="BC199" s="476"/>
      <c r="BD199" s="476"/>
      <c r="BE199" s="476"/>
      <c r="BF199" s="476"/>
      <c r="BG199" s="476"/>
      <c r="BH199" s="476"/>
      <c r="BI199" s="476"/>
      <c r="BJ199" s="476"/>
      <c r="BK199" s="476"/>
      <c r="BL199" s="480"/>
    </row>
    <row r="200" spans="1:64">
      <c r="A200" s="468">
        <v>43991</v>
      </c>
      <c r="B200" s="473">
        <v>161</v>
      </c>
      <c r="C200" s="473">
        <v>205</v>
      </c>
      <c r="D200" s="470" t="s">
        <v>623</v>
      </c>
      <c r="E200" s="469">
        <v>24</v>
      </c>
      <c r="F200" s="470" t="s">
        <v>91</v>
      </c>
      <c r="G200" s="469">
        <v>534</v>
      </c>
      <c r="H200" s="470" t="s">
        <v>6251</v>
      </c>
      <c r="I200" s="470" t="s">
        <v>836</v>
      </c>
      <c r="J200" s="469">
        <v>4</v>
      </c>
      <c r="K200" s="470" t="s">
        <v>6259</v>
      </c>
      <c r="L200" s="470" t="s">
        <v>6275</v>
      </c>
      <c r="M200" s="470" t="s">
        <v>9</v>
      </c>
      <c r="N200" s="473">
        <v>1</v>
      </c>
      <c r="O200" s="471"/>
      <c r="P200" s="471"/>
      <c r="Q200" s="471"/>
      <c r="R200" s="470"/>
      <c r="S200" s="471">
        <v>0.11706018518518518</v>
      </c>
      <c r="T200" s="471">
        <v>0.18372685185185186</v>
      </c>
      <c r="U200" s="471"/>
      <c r="V200" s="471"/>
      <c r="W200" s="471">
        <v>0.49688657407407405</v>
      </c>
      <c r="X200" s="471">
        <v>0.81005787037037036</v>
      </c>
      <c r="Y200" s="471">
        <v>0.96319444444444446</v>
      </c>
      <c r="Z200" s="471">
        <v>0.13402777777777777</v>
      </c>
      <c r="AA200" s="471">
        <v>0.33333333333333331</v>
      </c>
      <c r="AB200" s="470" t="s">
        <v>6462</v>
      </c>
      <c r="AC200" s="473">
        <v>129</v>
      </c>
      <c r="AD200" s="470" t="s">
        <v>116</v>
      </c>
      <c r="AE200" s="470"/>
      <c r="AF200" s="473">
        <v>80.099999999999994</v>
      </c>
      <c r="AG200" s="469">
        <v>3.6</v>
      </c>
      <c r="AH200" s="470" t="s">
        <v>6306</v>
      </c>
      <c r="AI200" s="470" t="s">
        <v>6341</v>
      </c>
      <c r="AJ200" s="470" t="s">
        <v>6493</v>
      </c>
      <c r="AK200" s="470" t="s">
        <v>6493</v>
      </c>
      <c r="AL200" s="470"/>
      <c r="AM200" s="470"/>
      <c r="AN200" s="470"/>
      <c r="AO200" s="470"/>
      <c r="AP200" s="470"/>
      <c r="AQ200" s="470"/>
      <c r="AR200" s="470"/>
      <c r="AS200" s="470"/>
      <c r="AT200" s="470"/>
      <c r="AU200" s="470"/>
      <c r="AV200" s="470"/>
      <c r="AW200" s="470"/>
      <c r="AX200" s="470"/>
      <c r="AY200" s="470"/>
      <c r="AZ200" s="470"/>
      <c r="BA200" s="470"/>
      <c r="BB200" s="470"/>
      <c r="BC200" s="470"/>
      <c r="BD200" s="470"/>
      <c r="BE200" s="470"/>
      <c r="BF200" s="470"/>
      <c r="BG200" s="470"/>
      <c r="BH200" s="470"/>
      <c r="BI200" s="470"/>
      <c r="BJ200" s="470"/>
      <c r="BK200" s="470"/>
      <c r="BL200" s="474"/>
    </row>
    <row r="201" spans="1:64">
      <c r="A201" s="475">
        <v>43992</v>
      </c>
      <c r="B201" s="478">
        <v>162</v>
      </c>
      <c r="C201" s="478">
        <v>204</v>
      </c>
      <c r="D201" s="476" t="s">
        <v>623</v>
      </c>
      <c r="E201" s="477">
        <v>24</v>
      </c>
      <c r="F201" s="476" t="s">
        <v>94</v>
      </c>
      <c r="G201" s="477">
        <v>534</v>
      </c>
      <c r="H201" s="476" t="s">
        <v>6251</v>
      </c>
      <c r="I201" s="476" t="s">
        <v>836</v>
      </c>
      <c r="J201" s="477">
        <v>5</v>
      </c>
      <c r="K201" s="476" t="s">
        <v>6260</v>
      </c>
      <c r="L201" s="476" t="s">
        <v>6276</v>
      </c>
      <c r="M201" s="476" t="s">
        <v>9</v>
      </c>
      <c r="N201" s="478">
        <v>1</v>
      </c>
      <c r="O201" s="479"/>
      <c r="P201" s="479"/>
      <c r="Q201" s="479"/>
      <c r="R201" s="476"/>
      <c r="S201" s="479">
        <v>0.1169675925925926</v>
      </c>
      <c r="T201" s="479">
        <v>0.18363425925925925</v>
      </c>
      <c r="U201" s="479"/>
      <c r="V201" s="479"/>
      <c r="W201" s="479">
        <v>0.49702546296296296</v>
      </c>
      <c r="X201" s="479">
        <v>0.81041666666666667</v>
      </c>
      <c r="Y201" s="479">
        <v>0.9868055555555556</v>
      </c>
      <c r="Z201" s="479">
        <v>0.17013888888888887</v>
      </c>
      <c r="AA201" s="479">
        <v>0.37777777777777777</v>
      </c>
      <c r="AB201" s="476" t="s">
        <v>6462</v>
      </c>
      <c r="AC201" s="478">
        <v>129</v>
      </c>
      <c r="AD201" s="476" t="s">
        <v>116</v>
      </c>
      <c r="AE201" s="476"/>
      <c r="AF201" s="478">
        <v>78.900000000000006</v>
      </c>
      <c r="AG201" s="477">
        <v>99.7</v>
      </c>
      <c r="AH201" s="476" t="s">
        <v>6306</v>
      </c>
      <c r="AI201" s="476" t="s">
        <v>6320</v>
      </c>
      <c r="AJ201" s="476" t="s">
        <v>839</v>
      </c>
      <c r="AK201" s="476" t="s">
        <v>6493</v>
      </c>
      <c r="AL201" s="476" t="s">
        <v>6785</v>
      </c>
      <c r="AM201" s="476" t="s">
        <v>6346</v>
      </c>
      <c r="AN201" s="476"/>
      <c r="AO201" s="476"/>
      <c r="AP201" s="476"/>
      <c r="AQ201" s="476"/>
      <c r="AR201" s="476"/>
      <c r="AS201" s="476"/>
      <c r="AT201" s="476"/>
      <c r="AU201" s="476"/>
      <c r="AV201" s="476"/>
      <c r="AW201" s="476"/>
      <c r="AX201" s="476"/>
      <c r="AY201" s="476"/>
      <c r="AZ201" s="476"/>
      <c r="BA201" s="476"/>
      <c r="BB201" s="476"/>
      <c r="BC201" s="476"/>
      <c r="BD201" s="476"/>
      <c r="BE201" s="476"/>
      <c r="BF201" s="476"/>
      <c r="BG201" s="476"/>
      <c r="BH201" s="476"/>
      <c r="BI201" s="476"/>
      <c r="BJ201" s="476" t="s">
        <v>6391</v>
      </c>
      <c r="BK201" s="476"/>
      <c r="BL201" s="480"/>
    </row>
    <row r="202" spans="1:64">
      <c r="A202" s="468">
        <v>43993</v>
      </c>
      <c r="B202" s="473">
        <v>163</v>
      </c>
      <c r="C202" s="473">
        <v>203</v>
      </c>
      <c r="D202" s="470" t="s">
        <v>623</v>
      </c>
      <c r="E202" s="469">
        <v>24</v>
      </c>
      <c r="F202" s="470" t="s">
        <v>6714</v>
      </c>
      <c r="G202" s="469">
        <v>534</v>
      </c>
      <c r="H202" s="470" t="s">
        <v>6251</v>
      </c>
      <c r="I202" s="470" t="s">
        <v>836</v>
      </c>
      <c r="J202" s="469">
        <v>6</v>
      </c>
      <c r="K202" s="470" t="s">
        <v>6261</v>
      </c>
      <c r="L202" s="470" t="s">
        <v>6277</v>
      </c>
      <c r="M202" s="470" t="s">
        <v>9</v>
      </c>
      <c r="N202" s="473">
        <v>1</v>
      </c>
      <c r="O202" s="471"/>
      <c r="P202" s="471"/>
      <c r="Q202" s="471"/>
      <c r="R202" s="470"/>
      <c r="S202" s="471">
        <v>0.11689814814814814</v>
      </c>
      <c r="T202" s="471">
        <v>0.18356481481481482</v>
      </c>
      <c r="U202" s="471"/>
      <c r="V202" s="471"/>
      <c r="W202" s="471">
        <v>0.49716435185185182</v>
      </c>
      <c r="X202" s="471">
        <v>0.81075231481481491</v>
      </c>
      <c r="Y202" s="471" t="s">
        <v>1107</v>
      </c>
      <c r="Z202" s="471">
        <v>0.20416666666666669</v>
      </c>
      <c r="AA202" s="471">
        <v>0.42083333333333334</v>
      </c>
      <c r="AB202" s="470" t="s">
        <v>6462</v>
      </c>
      <c r="AC202" s="473">
        <v>129</v>
      </c>
      <c r="AD202" s="470" t="s">
        <v>116</v>
      </c>
      <c r="AE202" s="470"/>
      <c r="AF202" s="473">
        <v>75.099999999999994</v>
      </c>
      <c r="AG202" s="469">
        <v>93.4</v>
      </c>
      <c r="AH202" s="470" t="s">
        <v>6307</v>
      </c>
      <c r="AI202" s="470" t="s">
        <v>6321</v>
      </c>
      <c r="AJ202" s="470" t="s">
        <v>6493</v>
      </c>
      <c r="AK202" s="470" t="s">
        <v>6493</v>
      </c>
      <c r="AL202" s="470" t="s">
        <v>599</v>
      </c>
      <c r="AM202" s="470"/>
      <c r="AN202" s="470"/>
      <c r="AO202" s="470"/>
      <c r="AP202" s="470"/>
      <c r="AQ202" s="470"/>
      <c r="AR202" s="470"/>
      <c r="AS202" s="470"/>
      <c r="AT202" s="470"/>
      <c r="AU202" s="470"/>
      <c r="AV202" s="470"/>
      <c r="AW202" s="470"/>
      <c r="AX202" s="470"/>
      <c r="AY202" s="470"/>
      <c r="AZ202" s="470"/>
      <c r="BA202" s="470"/>
      <c r="BB202" s="470"/>
      <c r="BC202" s="470"/>
      <c r="BD202" s="470"/>
      <c r="BE202" s="470"/>
      <c r="BF202" s="470"/>
      <c r="BG202" s="470"/>
      <c r="BH202" s="470"/>
      <c r="BI202" s="470"/>
      <c r="BJ202" s="470"/>
      <c r="BK202" s="470"/>
      <c r="BL202" s="474"/>
    </row>
    <row r="203" spans="1:64">
      <c r="A203" s="475">
        <v>43994</v>
      </c>
      <c r="B203" s="478">
        <v>164</v>
      </c>
      <c r="C203" s="478">
        <v>202</v>
      </c>
      <c r="D203" s="476" t="s">
        <v>623</v>
      </c>
      <c r="E203" s="477">
        <v>24</v>
      </c>
      <c r="F203" s="476" t="s">
        <v>100</v>
      </c>
      <c r="G203" s="477">
        <v>534</v>
      </c>
      <c r="H203" s="476" t="s">
        <v>6251</v>
      </c>
      <c r="I203" s="476" t="s">
        <v>836</v>
      </c>
      <c r="J203" s="477">
        <v>7</v>
      </c>
      <c r="K203" s="476" t="s">
        <v>6262</v>
      </c>
      <c r="L203" s="476" t="s">
        <v>6278</v>
      </c>
      <c r="M203" s="476" t="s">
        <v>9</v>
      </c>
      <c r="N203" s="478">
        <v>1</v>
      </c>
      <c r="O203" s="479"/>
      <c r="P203" s="479"/>
      <c r="Q203" s="479"/>
      <c r="R203" s="476"/>
      <c r="S203" s="479">
        <v>0.11685185185185186</v>
      </c>
      <c r="T203" s="479">
        <v>0.18351851851851853</v>
      </c>
      <c r="U203" s="479"/>
      <c r="V203" s="479"/>
      <c r="W203" s="479">
        <v>0.49730324074074073</v>
      </c>
      <c r="X203" s="479">
        <v>0.81107638888888889</v>
      </c>
      <c r="Y203" s="479">
        <v>6.9444444444444441E-3</v>
      </c>
      <c r="Z203" s="479">
        <v>0.23472222222222219</v>
      </c>
      <c r="AA203" s="479">
        <v>0.46319444444444446</v>
      </c>
      <c r="AB203" s="476" t="s">
        <v>6462</v>
      </c>
      <c r="AC203" s="478">
        <v>129</v>
      </c>
      <c r="AD203" s="476" t="s">
        <v>116</v>
      </c>
      <c r="AE203" s="476"/>
      <c r="AF203" s="478">
        <v>69</v>
      </c>
      <c r="AG203" s="477">
        <v>85.2</v>
      </c>
      <c r="AH203" s="476" t="s">
        <v>6308</v>
      </c>
      <c r="AI203" s="476" t="s">
        <v>6322</v>
      </c>
      <c r="AJ203" s="476" t="s">
        <v>6493</v>
      </c>
      <c r="AK203" s="476" t="s">
        <v>6493</v>
      </c>
      <c r="AL203" s="476" t="s">
        <v>760</v>
      </c>
      <c r="AM203" s="476"/>
      <c r="AN203" s="476"/>
      <c r="AO203" s="476"/>
      <c r="AP203" s="476"/>
      <c r="AQ203" s="476"/>
      <c r="AR203" s="476"/>
      <c r="AS203" s="476"/>
      <c r="AT203" s="476"/>
      <c r="AU203" s="476"/>
      <c r="AV203" s="476"/>
      <c r="AW203" s="476"/>
      <c r="AX203" s="476"/>
      <c r="AY203" s="476"/>
      <c r="AZ203" s="476"/>
      <c r="BA203" s="476"/>
      <c r="BB203" s="476"/>
      <c r="BC203" s="476"/>
      <c r="BD203" s="476"/>
      <c r="BE203" s="476"/>
      <c r="BF203" s="476"/>
      <c r="BG203" s="476"/>
      <c r="BH203" s="476"/>
      <c r="BI203" s="476"/>
      <c r="BJ203" s="476"/>
      <c r="BK203" s="476"/>
      <c r="BL203" s="480"/>
    </row>
    <row r="204" spans="1:64">
      <c r="A204" s="468">
        <v>43995</v>
      </c>
      <c r="B204" s="473">
        <v>165</v>
      </c>
      <c r="C204" s="473">
        <v>201</v>
      </c>
      <c r="D204" s="470" t="s">
        <v>623</v>
      </c>
      <c r="E204" s="469">
        <v>24</v>
      </c>
      <c r="F204" s="470" t="s">
        <v>103</v>
      </c>
      <c r="G204" s="469">
        <v>534</v>
      </c>
      <c r="H204" s="470" t="s">
        <v>6251</v>
      </c>
      <c r="I204" s="470" t="s">
        <v>836</v>
      </c>
      <c r="J204" s="469">
        <v>8</v>
      </c>
      <c r="K204" s="470" t="s">
        <v>6263</v>
      </c>
      <c r="L204" s="470" t="s">
        <v>6279</v>
      </c>
      <c r="M204" s="470" t="s">
        <v>9</v>
      </c>
      <c r="N204" s="473">
        <v>1</v>
      </c>
      <c r="O204" s="471"/>
      <c r="P204" s="471"/>
      <c r="Q204" s="471"/>
      <c r="R204" s="470"/>
      <c r="S204" s="471">
        <v>0.1168287037037037</v>
      </c>
      <c r="T204" s="471">
        <v>0.18349537037037036</v>
      </c>
      <c r="U204" s="471"/>
      <c r="V204" s="471"/>
      <c r="W204" s="471">
        <v>0.49744212962962964</v>
      </c>
      <c r="X204" s="471">
        <v>0.81138888888888883</v>
      </c>
      <c r="Y204" s="471">
        <v>2.4999999999999998E-2</v>
      </c>
      <c r="Z204" s="471">
        <v>0.26458333333333334</v>
      </c>
      <c r="AA204" s="471">
        <v>0.50486111111111109</v>
      </c>
      <c r="AB204" s="470" t="s">
        <v>6289</v>
      </c>
      <c r="AC204" s="473">
        <v>131</v>
      </c>
      <c r="AD204" s="470" t="s">
        <v>119</v>
      </c>
      <c r="AE204" s="470" t="s">
        <v>6527</v>
      </c>
      <c r="AF204" s="473">
        <v>61.4</v>
      </c>
      <c r="AG204" s="469">
        <v>75.400000000000006</v>
      </c>
      <c r="AH204" s="470" t="s">
        <v>6309</v>
      </c>
      <c r="AI204" s="470" t="s">
        <v>6323</v>
      </c>
      <c r="AJ204" s="470" t="s">
        <v>6493</v>
      </c>
      <c r="AK204" s="470" t="s">
        <v>6493</v>
      </c>
      <c r="AL204" s="470"/>
      <c r="AM204" s="470"/>
      <c r="AN204" s="470"/>
      <c r="AO204" s="470"/>
      <c r="AP204" s="470"/>
      <c r="AQ204" s="470"/>
      <c r="AR204" s="470"/>
      <c r="AS204" s="470"/>
      <c r="AT204" s="470"/>
      <c r="AU204" s="470"/>
      <c r="AV204" s="470"/>
      <c r="AW204" s="470"/>
      <c r="AX204" s="470"/>
      <c r="AY204" s="470"/>
      <c r="AZ204" s="470"/>
      <c r="BA204" s="470"/>
      <c r="BB204" s="470"/>
      <c r="BC204" s="470"/>
      <c r="BD204" s="470"/>
      <c r="BE204" s="470"/>
      <c r="BF204" s="470"/>
      <c r="BG204" s="470"/>
      <c r="BH204" s="470"/>
      <c r="BI204" s="470"/>
      <c r="BJ204" s="470"/>
      <c r="BK204" s="470"/>
      <c r="BL204" s="474"/>
    </row>
    <row r="205" spans="1:64">
      <c r="A205" s="475">
        <v>43996</v>
      </c>
      <c r="B205" s="478">
        <v>166</v>
      </c>
      <c r="C205" s="478">
        <v>200</v>
      </c>
      <c r="D205" s="476" t="s">
        <v>623</v>
      </c>
      <c r="E205" s="477">
        <v>24</v>
      </c>
      <c r="F205" s="476" t="s">
        <v>106</v>
      </c>
      <c r="G205" s="477">
        <v>534</v>
      </c>
      <c r="H205" s="476" t="s">
        <v>6251</v>
      </c>
      <c r="I205" s="476" t="s">
        <v>836</v>
      </c>
      <c r="J205" s="477">
        <v>9</v>
      </c>
      <c r="K205" s="476" t="s">
        <v>6264</v>
      </c>
      <c r="L205" s="476" t="s">
        <v>6280</v>
      </c>
      <c r="M205" s="476" t="s">
        <v>9</v>
      </c>
      <c r="N205" s="478">
        <v>1</v>
      </c>
      <c r="O205" s="479"/>
      <c r="P205" s="479"/>
      <c r="Q205" s="479"/>
      <c r="R205" s="476"/>
      <c r="S205" s="479">
        <v>0.11681712962962963</v>
      </c>
      <c r="T205" s="479">
        <v>0.1834837962962963</v>
      </c>
      <c r="U205" s="479"/>
      <c r="V205" s="479"/>
      <c r="W205" s="479">
        <v>0.49758101851851855</v>
      </c>
      <c r="X205" s="479">
        <v>0.81166666666666665</v>
      </c>
      <c r="Y205" s="479">
        <v>4.0972222222222222E-2</v>
      </c>
      <c r="Z205" s="479">
        <v>0.29236111111111113</v>
      </c>
      <c r="AA205" s="479">
        <v>0.54583333333333328</v>
      </c>
      <c r="AB205" s="476" t="s">
        <v>6289</v>
      </c>
      <c r="AC205" s="478">
        <v>131</v>
      </c>
      <c r="AD205" s="476" t="s">
        <v>119</v>
      </c>
      <c r="AE205" s="476"/>
      <c r="AF205" s="478">
        <v>52.7</v>
      </c>
      <c r="AG205" s="477">
        <v>64.8</v>
      </c>
      <c r="AH205" s="476" t="s">
        <v>6310</v>
      </c>
      <c r="AI205" s="476" t="s">
        <v>6324</v>
      </c>
      <c r="AJ205" s="476" t="s">
        <v>6493</v>
      </c>
      <c r="AK205" s="476" t="s">
        <v>6493</v>
      </c>
      <c r="AL205" s="476"/>
      <c r="AM205" s="476"/>
      <c r="AN205" s="476"/>
      <c r="AO205" s="476"/>
      <c r="AP205" s="476"/>
      <c r="AQ205" s="476"/>
      <c r="AR205" s="476"/>
      <c r="AS205" s="476"/>
      <c r="AT205" s="476"/>
      <c r="AU205" s="476"/>
      <c r="AV205" s="476"/>
      <c r="AW205" s="476"/>
      <c r="AX205" s="476"/>
      <c r="AY205" s="476"/>
      <c r="AZ205" s="476"/>
      <c r="BA205" s="476"/>
      <c r="BB205" s="476"/>
      <c r="BC205" s="476"/>
      <c r="BD205" s="476"/>
      <c r="BE205" s="476"/>
      <c r="BF205" s="476"/>
      <c r="BG205" s="476"/>
      <c r="BH205" s="476"/>
      <c r="BI205" s="476"/>
      <c r="BJ205" s="476"/>
      <c r="BK205" s="476"/>
      <c r="BL205" s="480"/>
    </row>
    <row r="206" spans="1:64">
      <c r="A206" s="468">
        <v>43997</v>
      </c>
      <c r="B206" s="473">
        <v>167</v>
      </c>
      <c r="C206" s="473">
        <v>199</v>
      </c>
      <c r="D206" s="470" t="s">
        <v>623</v>
      </c>
      <c r="E206" s="469">
        <v>25</v>
      </c>
      <c r="F206" s="470" t="s">
        <v>88</v>
      </c>
      <c r="G206" s="469">
        <v>534</v>
      </c>
      <c r="H206" s="470" t="s">
        <v>6251</v>
      </c>
      <c r="I206" s="470" t="s">
        <v>836</v>
      </c>
      <c r="J206" s="469">
        <v>10</v>
      </c>
      <c r="K206" s="470" t="s">
        <v>6265</v>
      </c>
      <c r="L206" s="470" t="s">
        <v>6281</v>
      </c>
      <c r="M206" s="470" t="s">
        <v>9</v>
      </c>
      <c r="N206" s="473">
        <v>1</v>
      </c>
      <c r="O206" s="471"/>
      <c r="P206" s="471"/>
      <c r="Q206" s="471">
        <v>0.55192129629629627</v>
      </c>
      <c r="R206" s="470" t="s">
        <v>20</v>
      </c>
      <c r="S206" s="471">
        <v>0.11684027777777778</v>
      </c>
      <c r="T206" s="471">
        <v>0.18350694444444446</v>
      </c>
      <c r="U206" s="471"/>
      <c r="V206" s="471"/>
      <c r="W206" s="471">
        <v>0.4977199074074074</v>
      </c>
      <c r="X206" s="471">
        <v>0.81193287037037043</v>
      </c>
      <c r="Y206" s="471">
        <v>5.7638888888888885E-2</v>
      </c>
      <c r="Z206" s="471">
        <v>0.32013888888888892</v>
      </c>
      <c r="AA206" s="471">
        <v>0.5854166666666667</v>
      </c>
      <c r="AB206" s="470" t="s">
        <v>6289</v>
      </c>
      <c r="AC206" s="473">
        <v>131</v>
      </c>
      <c r="AD206" s="470" t="s">
        <v>119</v>
      </c>
      <c r="AE206" s="470"/>
      <c r="AF206" s="473">
        <v>43.7</v>
      </c>
      <c r="AG206" s="469">
        <v>53.9</v>
      </c>
      <c r="AH206" s="470" t="s">
        <v>6311</v>
      </c>
      <c r="AI206" s="470" t="s">
        <v>6325</v>
      </c>
      <c r="AJ206" s="470" t="s">
        <v>839</v>
      </c>
      <c r="AK206" s="470" t="s">
        <v>6493</v>
      </c>
      <c r="AL206" s="470" t="s">
        <v>6786</v>
      </c>
      <c r="AM206" s="470" t="s">
        <v>6346</v>
      </c>
      <c r="AN206" s="470" t="s">
        <v>6938</v>
      </c>
      <c r="AO206" s="470"/>
      <c r="AP206" s="470"/>
      <c r="AQ206" s="470"/>
      <c r="AR206" s="470"/>
      <c r="AS206" s="470"/>
      <c r="AT206" s="470"/>
      <c r="AU206" s="470"/>
      <c r="AV206" s="470"/>
      <c r="AW206" s="470"/>
      <c r="AX206" s="470"/>
      <c r="AY206" s="470"/>
      <c r="AZ206" s="470"/>
      <c r="BA206" s="470"/>
      <c r="BB206" s="470"/>
      <c r="BC206" s="470"/>
      <c r="BD206" s="470"/>
      <c r="BE206" s="470"/>
      <c r="BF206" s="470"/>
      <c r="BG206" s="470"/>
      <c r="BH206" s="470"/>
      <c r="BI206" s="470"/>
      <c r="BJ206" s="470" t="s">
        <v>6429</v>
      </c>
      <c r="BK206" s="470"/>
      <c r="BL206" s="474"/>
    </row>
    <row r="207" spans="1:64">
      <c r="A207" s="475">
        <v>43998</v>
      </c>
      <c r="B207" s="478">
        <v>168</v>
      </c>
      <c r="C207" s="478">
        <v>198</v>
      </c>
      <c r="D207" s="476" t="s">
        <v>623</v>
      </c>
      <c r="E207" s="477">
        <v>25</v>
      </c>
      <c r="F207" s="476" t="s">
        <v>91</v>
      </c>
      <c r="G207" s="477">
        <v>534</v>
      </c>
      <c r="H207" s="476" t="s">
        <v>6251</v>
      </c>
      <c r="I207" s="476" t="s">
        <v>836</v>
      </c>
      <c r="J207" s="477">
        <v>11</v>
      </c>
      <c r="K207" s="476" t="s">
        <v>6271</v>
      </c>
      <c r="L207" s="476" t="s">
        <v>6282</v>
      </c>
      <c r="M207" s="476" t="s">
        <v>9</v>
      </c>
      <c r="N207" s="478">
        <v>1</v>
      </c>
      <c r="O207" s="479"/>
      <c r="P207" s="479"/>
      <c r="Q207" s="479"/>
      <c r="R207" s="476"/>
      <c r="S207" s="479">
        <v>0.11688657407407409</v>
      </c>
      <c r="T207" s="479">
        <v>0.18355324074074075</v>
      </c>
      <c r="U207" s="479"/>
      <c r="V207" s="479"/>
      <c r="W207" s="479">
        <v>0.49785879629629631</v>
      </c>
      <c r="X207" s="479">
        <v>0.81217592592592591</v>
      </c>
      <c r="Y207" s="479">
        <v>7.3611111111111113E-2</v>
      </c>
      <c r="Z207" s="479">
        <v>0.34791666666666665</v>
      </c>
      <c r="AA207" s="479">
        <v>0.62708333333333333</v>
      </c>
      <c r="AB207" s="476" t="s">
        <v>6289</v>
      </c>
      <c r="AC207" s="478">
        <v>131</v>
      </c>
      <c r="AD207" s="476" t="s">
        <v>119</v>
      </c>
      <c r="AE207" s="476"/>
      <c r="AF207" s="478">
        <v>35</v>
      </c>
      <c r="AG207" s="477">
        <v>43.2</v>
      </c>
      <c r="AH207" s="476" t="s">
        <v>6312</v>
      </c>
      <c r="AI207" s="476" t="s">
        <v>6326</v>
      </c>
      <c r="AJ207" s="476" t="s">
        <v>838</v>
      </c>
      <c r="AK207" s="476" t="s">
        <v>13</v>
      </c>
      <c r="AL207" s="476" t="s">
        <v>6787</v>
      </c>
      <c r="AM207" s="476" t="s">
        <v>6342</v>
      </c>
      <c r="AN207" s="476" t="s">
        <v>6939</v>
      </c>
      <c r="AO207" s="476" t="s">
        <v>6351</v>
      </c>
      <c r="AP207" s="476"/>
      <c r="AQ207" s="476"/>
      <c r="AR207" s="476"/>
      <c r="AS207" s="476"/>
      <c r="AT207" s="476"/>
      <c r="AU207" s="476"/>
      <c r="AV207" s="476"/>
      <c r="AW207" s="476"/>
      <c r="AX207" s="476"/>
      <c r="AY207" s="476"/>
      <c r="AZ207" s="476"/>
      <c r="BA207" s="476"/>
      <c r="BB207" s="476"/>
      <c r="BC207" s="476"/>
      <c r="BD207" s="476"/>
      <c r="BE207" s="476"/>
      <c r="BF207" s="476"/>
      <c r="BG207" s="476"/>
      <c r="BH207" s="476"/>
      <c r="BI207" s="476"/>
      <c r="BJ207" s="476"/>
      <c r="BK207" s="476"/>
      <c r="BL207" s="480"/>
    </row>
    <row r="208" spans="1:64">
      <c r="A208" s="468">
        <v>43999</v>
      </c>
      <c r="B208" s="473">
        <v>169</v>
      </c>
      <c r="C208" s="473">
        <v>197</v>
      </c>
      <c r="D208" s="470" t="s">
        <v>623</v>
      </c>
      <c r="E208" s="469">
        <v>25</v>
      </c>
      <c r="F208" s="470" t="s">
        <v>94</v>
      </c>
      <c r="G208" s="469">
        <v>534</v>
      </c>
      <c r="H208" s="470" t="s">
        <v>6251</v>
      </c>
      <c r="I208" s="470" t="s">
        <v>836</v>
      </c>
      <c r="J208" s="469">
        <v>12</v>
      </c>
      <c r="K208" s="470" t="s">
        <v>6266</v>
      </c>
      <c r="L208" s="470" t="s">
        <v>6283</v>
      </c>
      <c r="M208" s="470" t="s">
        <v>9</v>
      </c>
      <c r="N208" s="473">
        <v>1</v>
      </c>
      <c r="O208" s="471"/>
      <c r="P208" s="471"/>
      <c r="Q208" s="471"/>
      <c r="R208" s="470"/>
      <c r="S208" s="471">
        <v>0.11694444444444445</v>
      </c>
      <c r="T208" s="471">
        <v>0.18361111111111109</v>
      </c>
      <c r="U208" s="471">
        <v>0.18333333333333335</v>
      </c>
      <c r="V208" s="471">
        <v>0.39305555555555555</v>
      </c>
      <c r="W208" s="471">
        <v>0.49800925925925926</v>
      </c>
      <c r="X208" s="471">
        <v>0.81239583333333332</v>
      </c>
      <c r="Y208" s="471">
        <v>9.0972222222222218E-2</v>
      </c>
      <c r="Z208" s="471">
        <v>0.37777777777777777</v>
      </c>
      <c r="AA208" s="471">
        <v>0.66875000000000007</v>
      </c>
      <c r="AB208" s="470" t="s">
        <v>6289</v>
      </c>
      <c r="AC208" s="473">
        <v>131</v>
      </c>
      <c r="AD208" s="470" t="s">
        <v>119</v>
      </c>
      <c r="AE208" s="470"/>
      <c r="AF208" s="473">
        <v>27.1</v>
      </c>
      <c r="AG208" s="469">
        <v>33.200000000000003</v>
      </c>
      <c r="AH208" s="470" t="s">
        <v>6313</v>
      </c>
      <c r="AI208" s="470" t="s">
        <v>6327</v>
      </c>
      <c r="AJ208" s="470" t="s">
        <v>839</v>
      </c>
      <c r="AK208" s="470" t="s">
        <v>6493</v>
      </c>
      <c r="AL208" s="470" t="s">
        <v>6788</v>
      </c>
      <c r="AM208" s="470" t="s">
        <v>6343</v>
      </c>
      <c r="AN208" s="470"/>
      <c r="AO208" s="470"/>
      <c r="AP208" s="470"/>
      <c r="AQ208" s="470"/>
      <c r="AR208" s="470"/>
      <c r="AS208" s="470"/>
      <c r="AT208" s="470"/>
      <c r="AU208" s="470"/>
      <c r="AV208" s="470"/>
      <c r="AW208" s="470"/>
      <c r="AX208" s="470"/>
      <c r="AY208" s="470"/>
      <c r="AZ208" s="470"/>
      <c r="BA208" s="470"/>
      <c r="BB208" s="470"/>
      <c r="BC208" s="470"/>
      <c r="BD208" s="470"/>
      <c r="BE208" s="470"/>
      <c r="BF208" s="470"/>
      <c r="BG208" s="470"/>
      <c r="BH208" s="470"/>
      <c r="BI208" s="470"/>
      <c r="BJ208" s="470"/>
      <c r="BK208" s="470"/>
      <c r="BL208" s="474"/>
    </row>
    <row r="209" spans="1:64">
      <c r="A209" s="475">
        <v>44000</v>
      </c>
      <c r="B209" s="478">
        <v>170</v>
      </c>
      <c r="C209" s="478">
        <v>196</v>
      </c>
      <c r="D209" s="476" t="s">
        <v>623</v>
      </c>
      <c r="E209" s="477">
        <v>25</v>
      </c>
      <c r="F209" s="476" t="s">
        <v>6714</v>
      </c>
      <c r="G209" s="477">
        <v>534</v>
      </c>
      <c r="H209" s="476" t="s">
        <v>6251</v>
      </c>
      <c r="I209" s="476" t="s">
        <v>836</v>
      </c>
      <c r="J209" s="477">
        <v>13</v>
      </c>
      <c r="K209" s="476" t="s">
        <v>6267</v>
      </c>
      <c r="L209" s="476" t="s">
        <v>6284</v>
      </c>
      <c r="M209" s="476" t="s">
        <v>9</v>
      </c>
      <c r="N209" s="478">
        <v>1</v>
      </c>
      <c r="O209" s="479"/>
      <c r="P209" s="479"/>
      <c r="Q209" s="479"/>
      <c r="R209" s="476"/>
      <c r="S209" s="479">
        <v>0.11703703703703704</v>
      </c>
      <c r="T209" s="479">
        <v>0.1837037037037037</v>
      </c>
      <c r="U209" s="479"/>
      <c r="V209" s="479"/>
      <c r="W209" s="479">
        <v>0.49814814814814817</v>
      </c>
      <c r="X209" s="479">
        <v>0.81260416666666668</v>
      </c>
      <c r="Y209" s="479">
        <v>0.11041666666666666</v>
      </c>
      <c r="Z209" s="479">
        <v>0.40833333333333338</v>
      </c>
      <c r="AA209" s="479">
        <v>0.71180555555555547</v>
      </c>
      <c r="AB209" s="476" t="s">
        <v>6289</v>
      </c>
      <c r="AC209" s="478">
        <v>131</v>
      </c>
      <c r="AD209" s="476" t="s">
        <v>119</v>
      </c>
      <c r="AE209" s="476"/>
      <c r="AF209" s="478">
        <v>20.399999999999999</v>
      </c>
      <c r="AG209" s="477">
        <v>24.4</v>
      </c>
      <c r="AH209" s="476" t="s">
        <v>6314</v>
      </c>
      <c r="AI209" s="476" t="s">
        <v>6328</v>
      </c>
      <c r="AJ209" s="476" t="s">
        <v>6493</v>
      </c>
      <c r="AK209" s="476" t="s">
        <v>6493</v>
      </c>
      <c r="AL209" s="476"/>
      <c r="AM209" s="476"/>
      <c r="AN209" s="476"/>
      <c r="AO209" s="476"/>
      <c r="AP209" s="476"/>
      <c r="AQ209" s="476"/>
      <c r="AR209" s="476"/>
      <c r="AS209" s="476"/>
      <c r="AT209" s="476"/>
      <c r="AU209" s="476"/>
      <c r="AV209" s="476"/>
      <c r="AW209" s="476"/>
      <c r="AX209" s="476"/>
      <c r="AY209" s="476"/>
      <c r="AZ209" s="476"/>
      <c r="BA209" s="476"/>
      <c r="BB209" s="476"/>
      <c r="BC209" s="476"/>
      <c r="BD209" s="476"/>
      <c r="BE209" s="476"/>
      <c r="BF209" s="476"/>
      <c r="BG209" s="476"/>
      <c r="BH209" s="476"/>
      <c r="BI209" s="476"/>
      <c r="BJ209" s="476"/>
      <c r="BK209" s="476"/>
      <c r="BL209" s="480"/>
    </row>
    <row r="210" spans="1:64">
      <c r="A210" s="468">
        <v>44001</v>
      </c>
      <c r="B210" s="473">
        <v>171</v>
      </c>
      <c r="C210" s="473">
        <v>195</v>
      </c>
      <c r="D210" s="470" t="s">
        <v>623</v>
      </c>
      <c r="E210" s="469">
        <v>25</v>
      </c>
      <c r="F210" s="470" t="s">
        <v>100</v>
      </c>
      <c r="G210" s="469">
        <v>534</v>
      </c>
      <c r="H210" s="470" t="s">
        <v>6251</v>
      </c>
      <c r="I210" s="470" t="s">
        <v>836</v>
      </c>
      <c r="J210" s="469">
        <v>14</v>
      </c>
      <c r="K210" s="470" t="s">
        <v>6268</v>
      </c>
      <c r="L210" s="470" t="s">
        <v>6285</v>
      </c>
      <c r="M210" s="470" t="s">
        <v>9</v>
      </c>
      <c r="N210" s="473">
        <v>1</v>
      </c>
      <c r="O210" s="471"/>
      <c r="P210" s="471"/>
      <c r="Q210" s="471"/>
      <c r="R210" s="470"/>
      <c r="S210" s="471">
        <v>0.11714120370370369</v>
      </c>
      <c r="T210" s="471">
        <v>0.18380787037037039</v>
      </c>
      <c r="U210" s="471"/>
      <c r="V210" s="471"/>
      <c r="W210" s="471">
        <v>0.49829861111111112</v>
      </c>
      <c r="X210" s="471">
        <v>0.81277777777777782</v>
      </c>
      <c r="Y210" s="471">
        <v>0.13263888888888889</v>
      </c>
      <c r="Z210" s="471">
        <v>0.44166666666666665</v>
      </c>
      <c r="AA210" s="471">
        <v>0.75486111111111109</v>
      </c>
      <c r="AB210" s="470" t="s">
        <v>6289</v>
      </c>
      <c r="AC210" s="473">
        <v>131</v>
      </c>
      <c r="AD210" s="470" t="s">
        <v>119</v>
      </c>
      <c r="AE210" s="470"/>
      <c r="AF210" s="473">
        <v>15.4</v>
      </c>
      <c r="AG210" s="469">
        <v>17</v>
      </c>
      <c r="AH210" s="470" t="s">
        <v>973</v>
      </c>
      <c r="AI210" s="470" t="s">
        <v>6329</v>
      </c>
      <c r="AJ210" s="470" t="s">
        <v>6493</v>
      </c>
      <c r="AK210" s="470" t="s">
        <v>6493</v>
      </c>
      <c r="AL210" s="470"/>
      <c r="AM210" s="470"/>
      <c r="AN210" s="470"/>
      <c r="AO210" s="470"/>
      <c r="AP210" s="470"/>
      <c r="AQ210" s="470"/>
      <c r="AR210" s="470"/>
      <c r="AS210" s="470"/>
      <c r="AT210" s="470"/>
      <c r="AU210" s="470"/>
      <c r="AV210" s="470"/>
      <c r="AW210" s="470"/>
      <c r="AX210" s="470"/>
      <c r="AY210" s="470"/>
      <c r="AZ210" s="470"/>
      <c r="BA210" s="470"/>
      <c r="BB210" s="470"/>
      <c r="BC210" s="470"/>
      <c r="BD210" s="470"/>
      <c r="BE210" s="470"/>
      <c r="BF210" s="470"/>
      <c r="BG210" s="470"/>
      <c r="BH210" s="470"/>
      <c r="BI210" s="470"/>
      <c r="BJ210" s="470"/>
      <c r="BK210" s="470"/>
      <c r="BL210" s="474"/>
    </row>
    <row r="211" spans="1:64">
      <c r="A211" s="475">
        <v>44002</v>
      </c>
      <c r="B211" s="478">
        <v>172</v>
      </c>
      <c r="C211" s="478">
        <v>194</v>
      </c>
      <c r="D211" s="476" t="s">
        <v>623</v>
      </c>
      <c r="E211" s="477">
        <v>25</v>
      </c>
      <c r="F211" s="476" t="s">
        <v>103</v>
      </c>
      <c r="G211" s="477">
        <v>534</v>
      </c>
      <c r="H211" s="476" t="s">
        <v>6251</v>
      </c>
      <c r="I211" s="476" t="s">
        <v>836</v>
      </c>
      <c r="J211" s="477">
        <v>15</v>
      </c>
      <c r="K211" s="476" t="s">
        <v>6269</v>
      </c>
      <c r="L211" s="476" t="s">
        <v>6286</v>
      </c>
      <c r="M211" s="476" t="s">
        <v>9</v>
      </c>
      <c r="N211" s="478">
        <v>1</v>
      </c>
      <c r="O211" s="479"/>
      <c r="P211" s="479"/>
      <c r="Q211" s="479"/>
      <c r="R211" s="476"/>
      <c r="S211" s="479">
        <v>0.11726851851851851</v>
      </c>
      <c r="T211" s="479">
        <v>0.18393518518518517</v>
      </c>
      <c r="U211" s="479"/>
      <c r="V211" s="479"/>
      <c r="W211" s="479">
        <v>0.49843750000000003</v>
      </c>
      <c r="X211" s="479">
        <v>0.81293981481481481</v>
      </c>
      <c r="Y211" s="479">
        <v>0.15972222222222224</v>
      </c>
      <c r="Z211" s="479">
        <v>0.4770833333333333</v>
      </c>
      <c r="AA211" s="479">
        <v>0.79791666666666661</v>
      </c>
      <c r="AB211" s="476" t="s">
        <v>6289</v>
      </c>
      <c r="AC211" s="478">
        <v>131</v>
      </c>
      <c r="AD211" s="476" t="s">
        <v>119</v>
      </c>
      <c r="AE211" s="476"/>
      <c r="AF211" s="478">
        <v>12.3</v>
      </c>
      <c r="AG211" s="477">
        <v>11.4</v>
      </c>
      <c r="AH211" s="476" t="s">
        <v>6290</v>
      </c>
      <c r="AI211" s="476" t="s">
        <v>6330</v>
      </c>
      <c r="AJ211" s="476" t="s">
        <v>874</v>
      </c>
      <c r="AK211" s="476" t="s">
        <v>6493</v>
      </c>
      <c r="AL211" s="476" t="s">
        <v>6789</v>
      </c>
      <c r="AM211" s="476" t="s">
        <v>6346</v>
      </c>
      <c r="AN211" s="476" t="s">
        <v>6940</v>
      </c>
      <c r="AO211" s="476" t="s">
        <v>6345</v>
      </c>
      <c r="AP211" s="476" t="s">
        <v>6900</v>
      </c>
      <c r="AQ211" s="476" t="s">
        <v>6351</v>
      </c>
      <c r="AR211" s="476" t="s">
        <v>558</v>
      </c>
      <c r="AS211" s="476"/>
      <c r="AT211" s="476"/>
      <c r="AU211" s="476"/>
      <c r="AV211" s="476"/>
      <c r="AW211" s="476"/>
      <c r="AX211" s="476"/>
      <c r="AY211" s="476"/>
      <c r="AZ211" s="476"/>
      <c r="BA211" s="476"/>
      <c r="BB211" s="476"/>
      <c r="BC211" s="476"/>
      <c r="BD211" s="476"/>
      <c r="BE211" s="476"/>
      <c r="BF211" s="476"/>
      <c r="BG211" s="476"/>
      <c r="BH211" s="476"/>
      <c r="BI211" s="476"/>
      <c r="BJ211" s="476" t="s">
        <v>6430</v>
      </c>
      <c r="BK211" s="476"/>
      <c r="BL211" s="480"/>
    </row>
    <row r="212" spans="1:64">
      <c r="A212" s="468">
        <v>44003</v>
      </c>
      <c r="B212" s="473">
        <v>173</v>
      </c>
      <c r="C212" s="473">
        <v>193</v>
      </c>
      <c r="D212" s="470" t="s">
        <v>623</v>
      </c>
      <c r="E212" s="469">
        <v>25</v>
      </c>
      <c r="F212" s="470" t="s">
        <v>106</v>
      </c>
      <c r="G212" s="469">
        <v>534</v>
      </c>
      <c r="H212" s="470" t="s">
        <v>6251</v>
      </c>
      <c r="I212" s="470" t="s">
        <v>6257</v>
      </c>
      <c r="J212" s="469">
        <v>16</v>
      </c>
      <c r="K212" s="470" t="s">
        <v>6270</v>
      </c>
      <c r="L212" s="470" t="s">
        <v>6287</v>
      </c>
      <c r="M212" s="470" t="s">
        <v>9</v>
      </c>
      <c r="N212" s="473">
        <v>1</v>
      </c>
      <c r="O212" s="471"/>
      <c r="P212" s="471"/>
      <c r="Q212" s="471"/>
      <c r="R212" s="470"/>
      <c r="S212" s="471">
        <v>0.11743055555555555</v>
      </c>
      <c r="T212" s="471">
        <v>0.18409722222222222</v>
      </c>
      <c r="U212" s="471"/>
      <c r="V212" s="471"/>
      <c r="W212" s="471">
        <v>0.49858796296296298</v>
      </c>
      <c r="X212" s="471">
        <v>0.81307870370370372</v>
      </c>
      <c r="Y212" s="471">
        <v>0.19097222222222221</v>
      </c>
      <c r="Z212" s="471">
        <v>0.51458333333333328</v>
      </c>
      <c r="AA212" s="471">
        <v>0.83888888888888891</v>
      </c>
      <c r="AB212" s="470" t="s">
        <v>6463</v>
      </c>
      <c r="AC212" s="473">
        <v>152</v>
      </c>
      <c r="AD212" s="470" t="s">
        <v>110</v>
      </c>
      <c r="AE212" s="470" t="s">
        <v>6528</v>
      </c>
      <c r="AF212" s="473">
        <v>11.2</v>
      </c>
      <c r="AG212" s="469">
        <v>7.6</v>
      </c>
      <c r="AH212" s="470" t="s">
        <v>6315</v>
      </c>
      <c r="AI212" s="470" t="s">
        <v>6331</v>
      </c>
      <c r="AJ212" s="470" t="s">
        <v>839</v>
      </c>
      <c r="AK212" s="470" t="s">
        <v>6493</v>
      </c>
      <c r="AL212" s="470" t="s">
        <v>11</v>
      </c>
      <c r="AM212" s="470" t="s">
        <v>6344</v>
      </c>
      <c r="AN212" s="470"/>
      <c r="AO212" s="470"/>
      <c r="AP212" s="470"/>
      <c r="AQ212" s="470"/>
      <c r="AR212" s="470"/>
      <c r="AS212" s="470"/>
      <c r="AT212" s="470"/>
      <c r="AU212" s="470"/>
      <c r="AV212" s="470"/>
      <c r="AW212" s="470"/>
      <c r="AX212" s="470"/>
      <c r="AY212" s="470"/>
      <c r="AZ212" s="470"/>
      <c r="BA212" s="470"/>
      <c r="BB212" s="470"/>
      <c r="BC212" s="470"/>
      <c r="BD212" s="470"/>
      <c r="BE212" s="470"/>
      <c r="BF212" s="470"/>
      <c r="BG212" s="470"/>
      <c r="BH212" s="470"/>
      <c r="BI212" s="470"/>
      <c r="BJ212" s="470" t="s">
        <v>1053</v>
      </c>
      <c r="BK212" s="470"/>
      <c r="BL212" s="474"/>
    </row>
    <row r="213" spans="1:64">
      <c r="A213" s="475">
        <v>44004</v>
      </c>
      <c r="B213" s="478">
        <v>174</v>
      </c>
      <c r="C213" s="478">
        <v>192</v>
      </c>
      <c r="D213" s="476" t="s">
        <v>623</v>
      </c>
      <c r="E213" s="477">
        <v>26</v>
      </c>
      <c r="F213" s="476" t="s">
        <v>88</v>
      </c>
      <c r="G213" s="477">
        <v>534</v>
      </c>
      <c r="H213" s="476" t="s">
        <v>6251</v>
      </c>
      <c r="I213" s="476" t="s">
        <v>6257</v>
      </c>
      <c r="J213" s="477">
        <v>17</v>
      </c>
      <c r="K213" s="476" t="s">
        <v>1034</v>
      </c>
      <c r="L213" s="476" t="s">
        <v>6273</v>
      </c>
      <c r="M213" s="476" t="s">
        <v>9</v>
      </c>
      <c r="N213" s="478">
        <v>1</v>
      </c>
      <c r="O213" s="479"/>
      <c r="P213" s="479"/>
      <c r="Q213" s="479"/>
      <c r="R213" s="476"/>
      <c r="S213" s="479">
        <v>0.1175925925925926</v>
      </c>
      <c r="T213" s="479">
        <v>0.18425925925925926</v>
      </c>
      <c r="U213" s="479"/>
      <c r="V213" s="479"/>
      <c r="W213" s="479">
        <v>0.49872685185185189</v>
      </c>
      <c r="X213" s="479">
        <v>0.81319444444444444</v>
      </c>
      <c r="Y213" s="479">
        <v>0.22847222222222222</v>
      </c>
      <c r="Z213" s="479">
        <v>0.55347222222222225</v>
      </c>
      <c r="AA213" s="479">
        <v>0.87569444444444444</v>
      </c>
      <c r="AB213" s="476" t="s">
        <v>6463</v>
      </c>
      <c r="AC213" s="478">
        <v>152</v>
      </c>
      <c r="AD213" s="476" t="s">
        <v>110</v>
      </c>
      <c r="AE213" s="476"/>
      <c r="AF213" s="478">
        <v>12.3</v>
      </c>
      <c r="AG213" s="477">
        <v>5.7</v>
      </c>
      <c r="AH213" s="476" t="s">
        <v>6291</v>
      </c>
      <c r="AI213" s="476" t="s">
        <v>6332</v>
      </c>
      <c r="AJ213" s="476" t="s">
        <v>839</v>
      </c>
      <c r="AK213" s="476" t="s">
        <v>6493</v>
      </c>
      <c r="AL213" s="476" t="s">
        <v>12</v>
      </c>
      <c r="AM213" s="476" t="s">
        <v>6344</v>
      </c>
      <c r="AN213" s="476" t="s">
        <v>6941</v>
      </c>
      <c r="AO213" s="476" t="s">
        <v>6346</v>
      </c>
      <c r="AP213" s="476" t="s">
        <v>7021</v>
      </c>
      <c r="AQ213" s="476" t="s">
        <v>6346</v>
      </c>
      <c r="AR213" s="476"/>
      <c r="AS213" s="476"/>
      <c r="AT213" s="476"/>
      <c r="AU213" s="476"/>
      <c r="AV213" s="476"/>
      <c r="AW213" s="476"/>
      <c r="AX213" s="476"/>
      <c r="AY213" s="476"/>
      <c r="AZ213" s="476"/>
      <c r="BA213" s="476"/>
      <c r="BB213" s="476"/>
      <c r="BC213" s="476"/>
      <c r="BD213" s="476"/>
      <c r="BE213" s="476"/>
      <c r="BF213" s="476"/>
      <c r="BG213" s="476"/>
      <c r="BH213" s="476"/>
      <c r="BI213" s="476"/>
      <c r="BJ213" s="476" t="s">
        <v>6394</v>
      </c>
      <c r="BK213" s="476"/>
      <c r="BL213" s="480"/>
    </row>
    <row r="214" spans="1:64">
      <c r="A214" s="468">
        <v>44005</v>
      </c>
      <c r="B214" s="473">
        <v>175</v>
      </c>
      <c r="C214" s="473">
        <v>191</v>
      </c>
      <c r="D214" s="470" t="s">
        <v>623</v>
      </c>
      <c r="E214" s="469">
        <v>26</v>
      </c>
      <c r="F214" s="470" t="s">
        <v>91</v>
      </c>
      <c r="G214" s="469">
        <v>534</v>
      </c>
      <c r="H214" s="470" t="s">
        <v>6251</v>
      </c>
      <c r="I214" s="470" t="s">
        <v>6257</v>
      </c>
      <c r="J214" s="469">
        <v>18</v>
      </c>
      <c r="K214" s="470" t="s">
        <v>6258</v>
      </c>
      <c r="L214" s="470" t="s">
        <v>6274</v>
      </c>
      <c r="M214" s="470" t="s">
        <v>9</v>
      </c>
      <c r="N214" s="473">
        <v>1</v>
      </c>
      <c r="O214" s="471"/>
      <c r="P214" s="471"/>
      <c r="Q214" s="471"/>
      <c r="R214" s="470"/>
      <c r="S214" s="471">
        <v>0.11778935185185185</v>
      </c>
      <c r="T214" s="471">
        <v>0.18445601851851853</v>
      </c>
      <c r="U214" s="471"/>
      <c r="V214" s="471"/>
      <c r="W214" s="471">
        <v>0.49887731481481484</v>
      </c>
      <c r="X214" s="471">
        <v>0.81328703703703698</v>
      </c>
      <c r="Y214" s="471">
        <v>0.2722222222222222</v>
      </c>
      <c r="Z214" s="471">
        <v>0.59166666666666667</v>
      </c>
      <c r="AA214" s="471">
        <v>0.90902777777777777</v>
      </c>
      <c r="AB214" s="470" t="s">
        <v>6463</v>
      </c>
      <c r="AC214" s="473">
        <v>152</v>
      </c>
      <c r="AD214" s="470" t="s">
        <v>110</v>
      </c>
      <c r="AE214" s="470"/>
      <c r="AF214" s="473">
        <v>15.5</v>
      </c>
      <c r="AG214" s="469">
        <v>5.7</v>
      </c>
      <c r="AH214" s="470" t="s">
        <v>6292</v>
      </c>
      <c r="AI214" s="470" t="s">
        <v>6333</v>
      </c>
      <c r="AJ214" s="470" t="s">
        <v>6493</v>
      </c>
      <c r="AK214" s="470" t="s">
        <v>6493</v>
      </c>
      <c r="AL214" s="470"/>
      <c r="AM214" s="470"/>
      <c r="AN214" s="470"/>
      <c r="AO214" s="470"/>
      <c r="AP214" s="470"/>
      <c r="AQ214" s="470"/>
      <c r="AR214" s="470"/>
      <c r="AS214" s="470"/>
      <c r="AT214" s="470"/>
      <c r="AU214" s="470"/>
      <c r="AV214" s="470"/>
      <c r="AW214" s="470"/>
      <c r="AX214" s="470"/>
      <c r="AY214" s="470"/>
      <c r="AZ214" s="470"/>
      <c r="BA214" s="470"/>
      <c r="BB214" s="470"/>
      <c r="BC214" s="470"/>
      <c r="BD214" s="470"/>
      <c r="BE214" s="470"/>
      <c r="BF214" s="470"/>
      <c r="BG214" s="470"/>
      <c r="BH214" s="470"/>
      <c r="BI214" s="470"/>
      <c r="BJ214" s="470"/>
      <c r="BK214" s="470"/>
      <c r="BL214" s="474"/>
    </row>
    <row r="215" spans="1:64">
      <c r="A215" s="475">
        <v>44006</v>
      </c>
      <c r="B215" s="478">
        <v>176</v>
      </c>
      <c r="C215" s="478">
        <v>190</v>
      </c>
      <c r="D215" s="476" t="s">
        <v>623</v>
      </c>
      <c r="E215" s="477">
        <v>26</v>
      </c>
      <c r="F215" s="476" t="s">
        <v>94</v>
      </c>
      <c r="G215" s="477">
        <v>534</v>
      </c>
      <c r="H215" s="476" t="s">
        <v>6251</v>
      </c>
      <c r="I215" s="476" t="s">
        <v>6257</v>
      </c>
      <c r="J215" s="477">
        <v>19</v>
      </c>
      <c r="K215" s="476" t="s">
        <v>6259</v>
      </c>
      <c r="L215" s="476" t="s">
        <v>6275</v>
      </c>
      <c r="M215" s="476" t="s">
        <v>9</v>
      </c>
      <c r="N215" s="478">
        <v>1</v>
      </c>
      <c r="O215" s="479"/>
      <c r="P215" s="479"/>
      <c r="Q215" s="479"/>
      <c r="R215" s="476"/>
      <c r="S215" s="479">
        <v>0.11799768518518518</v>
      </c>
      <c r="T215" s="479">
        <v>0.18466435185185184</v>
      </c>
      <c r="U215" s="479"/>
      <c r="V215" s="479"/>
      <c r="W215" s="479">
        <v>0.49901620370370375</v>
      </c>
      <c r="X215" s="479">
        <v>0.81335648148148154</v>
      </c>
      <c r="Y215" s="479">
        <v>0.31805555555555554</v>
      </c>
      <c r="Z215" s="479">
        <v>0.63055555555555554</v>
      </c>
      <c r="AA215" s="479">
        <v>0.93680555555555556</v>
      </c>
      <c r="AB215" s="476" t="s">
        <v>6463</v>
      </c>
      <c r="AC215" s="478">
        <v>152</v>
      </c>
      <c r="AD215" s="476" t="s">
        <v>110</v>
      </c>
      <c r="AE215" s="476"/>
      <c r="AF215" s="478">
        <v>20.5</v>
      </c>
      <c r="AG215" s="477">
        <v>7.4</v>
      </c>
      <c r="AH215" s="476" t="s">
        <v>6293</v>
      </c>
      <c r="AI215" s="476" t="s">
        <v>6334</v>
      </c>
      <c r="AJ215" s="476" t="s">
        <v>6493</v>
      </c>
      <c r="AK215" s="476" t="s">
        <v>6493</v>
      </c>
      <c r="AL215" s="476"/>
      <c r="AM215" s="476"/>
      <c r="AN215" s="476"/>
      <c r="AO215" s="476"/>
      <c r="AP215" s="476"/>
      <c r="AQ215" s="476"/>
      <c r="AR215" s="476"/>
      <c r="AS215" s="476"/>
      <c r="AT215" s="476"/>
      <c r="AU215" s="476"/>
      <c r="AV215" s="476"/>
      <c r="AW215" s="476"/>
      <c r="AX215" s="476"/>
      <c r="AY215" s="476"/>
      <c r="AZ215" s="476"/>
      <c r="BA215" s="476"/>
      <c r="BB215" s="476"/>
      <c r="BC215" s="476"/>
      <c r="BD215" s="476"/>
      <c r="BE215" s="476"/>
      <c r="BF215" s="476"/>
      <c r="BG215" s="476"/>
      <c r="BH215" s="476"/>
      <c r="BI215" s="476"/>
      <c r="BJ215" s="476"/>
      <c r="BK215" s="476"/>
      <c r="BL215" s="480"/>
    </row>
    <row r="216" spans="1:64">
      <c r="A216" s="468">
        <v>44007</v>
      </c>
      <c r="B216" s="473">
        <v>177</v>
      </c>
      <c r="C216" s="473">
        <v>189</v>
      </c>
      <c r="D216" s="470" t="s">
        <v>623</v>
      </c>
      <c r="E216" s="469">
        <v>26</v>
      </c>
      <c r="F216" s="470" t="s">
        <v>6714</v>
      </c>
      <c r="G216" s="469">
        <v>534</v>
      </c>
      <c r="H216" s="470" t="s">
        <v>6251</v>
      </c>
      <c r="I216" s="470" t="s">
        <v>6257</v>
      </c>
      <c r="J216" s="469">
        <v>20</v>
      </c>
      <c r="K216" s="470" t="s">
        <v>6260</v>
      </c>
      <c r="L216" s="470" t="s">
        <v>6276</v>
      </c>
      <c r="M216" s="470" t="s">
        <v>9</v>
      </c>
      <c r="N216" s="473">
        <v>1</v>
      </c>
      <c r="O216" s="471"/>
      <c r="P216" s="471"/>
      <c r="Q216" s="471"/>
      <c r="R216" s="470"/>
      <c r="S216" s="471">
        <v>0.11824074074074074</v>
      </c>
      <c r="T216" s="471">
        <v>0.18490740740740741</v>
      </c>
      <c r="U216" s="471"/>
      <c r="V216" s="471"/>
      <c r="W216" s="471">
        <v>0.49915509259259255</v>
      </c>
      <c r="X216" s="471">
        <v>0.81340277777777781</v>
      </c>
      <c r="Y216" s="471">
        <v>0.36736111111111108</v>
      </c>
      <c r="Z216" s="471">
        <v>0.66666666666666663</v>
      </c>
      <c r="AA216" s="471">
        <v>0.96111111111111114</v>
      </c>
      <c r="AB216" s="470" t="s">
        <v>6463</v>
      </c>
      <c r="AC216" s="473">
        <v>152</v>
      </c>
      <c r="AD216" s="470" t="s">
        <v>110</v>
      </c>
      <c r="AE216" s="470"/>
      <c r="AF216" s="473">
        <v>27.3</v>
      </c>
      <c r="AG216" s="469">
        <v>10.7</v>
      </c>
      <c r="AH216" s="470" t="s">
        <v>6294</v>
      </c>
      <c r="AI216" s="470" t="s">
        <v>6335</v>
      </c>
      <c r="AJ216" s="470" t="s">
        <v>6493</v>
      </c>
      <c r="AK216" s="470" t="s">
        <v>6493</v>
      </c>
      <c r="AL216" s="470"/>
      <c r="AM216" s="470"/>
      <c r="AN216" s="470"/>
      <c r="AO216" s="470"/>
      <c r="AP216" s="470"/>
      <c r="AQ216" s="470"/>
      <c r="AR216" s="470"/>
      <c r="AS216" s="470"/>
      <c r="AT216" s="470"/>
      <c r="AU216" s="470"/>
      <c r="AV216" s="470"/>
      <c r="AW216" s="470"/>
      <c r="AX216" s="470"/>
      <c r="AY216" s="470"/>
      <c r="AZ216" s="470"/>
      <c r="BA216" s="470"/>
      <c r="BB216" s="470"/>
      <c r="BC216" s="470"/>
      <c r="BD216" s="470"/>
      <c r="BE216" s="470"/>
      <c r="BF216" s="470"/>
      <c r="BG216" s="470"/>
      <c r="BH216" s="470"/>
      <c r="BI216" s="470"/>
      <c r="BJ216" s="470"/>
      <c r="BK216" s="470"/>
      <c r="BL216" s="474"/>
    </row>
    <row r="217" spans="1:64">
      <c r="A217" s="475">
        <v>44008</v>
      </c>
      <c r="B217" s="478">
        <v>178</v>
      </c>
      <c r="C217" s="478">
        <v>188</v>
      </c>
      <c r="D217" s="476" t="s">
        <v>623</v>
      </c>
      <c r="E217" s="477">
        <v>26</v>
      </c>
      <c r="F217" s="476" t="s">
        <v>100</v>
      </c>
      <c r="G217" s="477">
        <v>534</v>
      </c>
      <c r="H217" s="476" t="s">
        <v>6251</v>
      </c>
      <c r="I217" s="476" t="s">
        <v>6257</v>
      </c>
      <c r="J217" s="477">
        <v>21</v>
      </c>
      <c r="K217" s="476" t="s">
        <v>6261</v>
      </c>
      <c r="L217" s="476" t="s">
        <v>6277</v>
      </c>
      <c r="M217" s="476" t="s">
        <v>9</v>
      </c>
      <c r="N217" s="478">
        <v>1</v>
      </c>
      <c r="O217" s="479"/>
      <c r="P217" s="479"/>
      <c r="Q217" s="479"/>
      <c r="R217" s="476"/>
      <c r="S217" s="479">
        <v>0.1184837962962963</v>
      </c>
      <c r="T217" s="479">
        <v>0.18515046296296298</v>
      </c>
      <c r="U217" s="479"/>
      <c r="V217" s="479"/>
      <c r="W217" s="479">
        <v>0.49929398148148146</v>
      </c>
      <c r="X217" s="479">
        <v>0.81342592592592589</v>
      </c>
      <c r="Y217" s="479">
        <v>0.41666666666666669</v>
      </c>
      <c r="Z217" s="479">
        <v>0.70208333333333339</v>
      </c>
      <c r="AA217" s="479">
        <v>0.98333333333333339</v>
      </c>
      <c r="AB217" s="476" t="s">
        <v>6463</v>
      </c>
      <c r="AC217" s="478">
        <v>152</v>
      </c>
      <c r="AD217" s="476" t="s">
        <v>110</v>
      </c>
      <c r="AE217" s="476"/>
      <c r="AF217" s="478">
        <v>35.6</v>
      </c>
      <c r="AG217" s="477">
        <v>15.3</v>
      </c>
      <c r="AH217" s="476" t="s">
        <v>6295</v>
      </c>
      <c r="AI217" s="476" t="s">
        <v>6336</v>
      </c>
      <c r="AJ217" s="476" t="s">
        <v>839</v>
      </c>
      <c r="AK217" s="476" t="s">
        <v>6493</v>
      </c>
      <c r="AL217" s="476" t="s">
        <v>6790</v>
      </c>
      <c r="AM217" s="476" t="s">
        <v>6344</v>
      </c>
      <c r="AN217" s="476" t="s">
        <v>6942</v>
      </c>
      <c r="AO217" s="476" t="s">
        <v>6346</v>
      </c>
      <c r="AP217" s="476"/>
      <c r="AQ217" s="476"/>
      <c r="AR217" s="476"/>
      <c r="AS217" s="476"/>
      <c r="AT217" s="476"/>
      <c r="AU217" s="476"/>
      <c r="AV217" s="476"/>
      <c r="AW217" s="476"/>
      <c r="AX217" s="476"/>
      <c r="AY217" s="476"/>
      <c r="AZ217" s="476"/>
      <c r="BA217" s="476"/>
      <c r="BB217" s="476"/>
      <c r="BC217" s="476"/>
      <c r="BD217" s="476"/>
      <c r="BE217" s="476"/>
      <c r="BF217" s="476"/>
      <c r="BG217" s="476"/>
      <c r="BH217" s="476"/>
      <c r="BI217" s="476"/>
      <c r="BJ217" s="476" t="s">
        <v>6431</v>
      </c>
      <c r="BK217" s="476"/>
      <c r="BL217" s="480"/>
    </row>
    <row r="218" spans="1:64">
      <c r="A218" s="468">
        <v>44009</v>
      </c>
      <c r="B218" s="473">
        <v>179</v>
      </c>
      <c r="C218" s="473">
        <v>187</v>
      </c>
      <c r="D218" s="470" t="s">
        <v>623</v>
      </c>
      <c r="E218" s="469">
        <v>26</v>
      </c>
      <c r="F218" s="470" t="s">
        <v>103</v>
      </c>
      <c r="G218" s="469">
        <v>534</v>
      </c>
      <c r="H218" s="470" t="s">
        <v>6251</v>
      </c>
      <c r="I218" s="470" t="s">
        <v>6257</v>
      </c>
      <c r="J218" s="469">
        <v>22</v>
      </c>
      <c r="K218" s="470" t="s">
        <v>6262</v>
      </c>
      <c r="L218" s="470" t="s">
        <v>6278</v>
      </c>
      <c r="M218" s="470" t="s">
        <v>9</v>
      </c>
      <c r="N218" s="473">
        <v>1</v>
      </c>
      <c r="O218" s="471"/>
      <c r="P218" s="471"/>
      <c r="Q218" s="471"/>
      <c r="R218" s="470"/>
      <c r="S218" s="471">
        <v>0.11876157407407407</v>
      </c>
      <c r="T218" s="471">
        <v>0.18542824074074074</v>
      </c>
      <c r="U218" s="471"/>
      <c r="V218" s="471"/>
      <c r="W218" s="471">
        <v>0.49943287037037037</v>
      </c>
      <c r="X218" s="471">
        <v>0.81343750000000004</v>
      </c>
      <c r="Y218" s="471">
        <v>0.46597222222222223</v>
      </c>
      <c r="Z218" s="471">
        <v>0.73611111111111116</v>
      </c>
      <c r="AA218" s="471" t="s">
        <v>1107</v>
      </c>
      <c r="AB218" s="470" t="s">
        <v>6463</v>
      </c>
      <c r="AC218" s="473">
        <v>152</v>
      </c>
      <c r="AD218" s="470" t="s">
        <v>110</v>
      </c>
      <c r="AE218" s="470"/>
      <c r="AF218" s="473">
        <v>45</v>
      </c>
      <c r="AG218" s="469">
        <v>21</v>
      </c>
      <c r="AH218" s="470" t="s">
        <v>6296</v>
      </c>
      <c r="AI218" s="470" t="s">
        <v>6337</v>
      </c>
      <c r="AJ218" s="470" t="s">
        <v>6493</v>
      </c>
      <c r="AK218" s="470" t="s">
        <v>6493</v>
      </c>
      <c r="AL218" s="470"/>
      <c r="AM218" s="470"/>
      <c r="AN218" s="470"/>
      <c r="AO218" s="470"/>
      <c r="AP218" s="470"/>
      <c r="AQ218" s="470"/>
      <c r="AR218" s="470"/>
      <c r="AS218" s="470"/>
      <c r="AT218" s="470"/>
      <c r="AU218" s="470"/>
      <c r="AV218" s="470"/>
      <c r="AW218" s="470"/>
      <c r="AX218" s="470"/>
      <c r="AY218" s="470"/>
      <c r="AZ218" s="470"/>
      <c r="BA218" s="470"/>
      <c r="BB218" s="470"/>
      <c r="BC218" s="470"/>
      <c r="BD218" s="470"/>
      <c r="BE218" s="470"/>
      <c r="BF218" s="470"/>
      <c r="BG218" s="470"/>
      <c r="BH218" s="470"/>
      <c r="BI218" s="470"/>
      <c r="BJ218" s="470"/>
      <c r="BK218" s="470"/>
      <c r="BL218" s="474"/>
    </row>
    <row r="219" spans="1:64">
      <c r="A219" s="475">
        <v>44010</v>
      </c>
      <c r="B219" s="478">
        <v>180</v>
      </c>
      <c r="C219" s="478">
        <v>186</v>
      </c>
      <c r="D219" s="476" t="s">
        <v>623</v>
      </c>
      <c r="E219" s="477">
        <v>26</v>
      </c>
      <c r="F219" s="476" t="s">
        <v>106</v>
      </c>
      <c r="G219" s="477">
        <v>534</v>
      </c>
      <c r="H219" s="476" t="s">
        <v>6251</v>
      </c>
      <c r="I219" s="476" t="s">
        <v>6257</v>
      </c>
      <c r="J219" s="477">
        <v>23</v>
      </c>
      <c r="K219" s="476" t="s">
        <v>6263</v>
      </c>
      <c r="L219" s="476" t="s">
        <v>6279</v>
      </c>
      <c r="M219" s="476" t="s">
        <v>9</v>
      </c>
      <c r="N219" s="478">
        <v>1</v>
      </c>
      <c r="O219" s="479"/>
      <c r="P219" s="479"/>
      <c r="Q219" s="479"/>
      <c r="R219" s="476"/>
      <c r="S219" s="479">
        <v>0.11905092592592592</v>
      </c>
      <c r="T219" s="479">
        <v>0.1857175925925926</v>
      </c>
      <c r="U219" s="479"/>
      <c r="V219" s="479"/>
      <c r="W219" s="479">
        <v>0.49956018518518519</v>
      </c>
      <c r="X219" s="479">
        <v>0.81341435185185185</v>
      </c>
      <c r="Y219" s="479">
        <v>0.51527777777777783</v>
      </c>
      <c r="Z219" s="479">
        <v>0.77013888888888893</v>
      </c>
      <c r="AA219" s="479">
        <v>3.472222222222222E-3</v>
      </c>
      <c r="AB219" s="476" t="s">
        <v>6464</v>
      </c>
      <c r="AC219" s="478">
        <v>130</v>
      </c>
      <c r="AD219" s="476" t="s">
        <v>113</v>
      </c>
      <c r="AE219" s="476" t="s">
        <v>6529</v>
      </c>
      <c r="AF219" s="478">
        <v>55.4</v>
      </c>
      <c r="AG219" s="477">
        <v>27.4</v>
      </c>
      <c r="AH219" s="476" t="s">
        <v>6297</v>
      </c>
      <c r="AI219" s="476" t="s">
        <v>6338</v>
      </c>
      <c r="AJ219" s="476" t="s">
        <v>6493</v>
      </c>
      <c r="AK219" s="476" t="s">
        <v>6493</v>
      </c>
      <c r="AL219" s="476"/>
      <c r="AM219" s="476"/>
      <c r="AN219" s="476"/>
      <c r="AO219" s="476"/>
      <c r="AP219" s="476"/>
      <c r="AQ219" s="476"/>
      <c r="AR219" s="476"/>
      <c r="AS219" s="476"/>
      <c r="AT219" s="476"/>
      <c r="AU219" s="476"/>
      <c r="AV219" s="476"/>
      <c r="AW219" s="476"/>
      <c r="AX219" s="476"/>
      <c r="AY219" s="476"/>
      <c r="AZ219" s="476"/>
      <c r="BA219" s="476"/>
      <c r="BB219" s="476"/>
      <c r="BC219" s="476"/>
      <c r="BD219" s="476"/>
      <c r="BE219" s="476"/>
      <c r="BF219" s="476"/>
      <c r="BG219" s="476"/>
      <c r="BH219" s="476"/>
      <c r="BI219" s="476"/>
      <c r="BJ219" s="476"/>
      <c r="BK219" s="476"/>
      <c r="BL219" s="480"/>
    </row>
    <row r="220" spans="1:64">
      <c r="A220" s="468">
        <v>44011</v>
      </c>
      <c r="B220" s="473">
        <v>181</v>
      </c>
      <c r="C220" s="473">
        <v>185</v>
      </c>
      <c r="D220" s="470" t="s">
        <v>623</v>
      </c>
      <c r="E220" s="469">
        <v>27</v>
      </c>
      <c r="F220" s="470" t="s">
        <v>88</v>
      </c>
      <c r="G220" s="469">
        <v>534</v>
      </c>
      <c r="H220" s="470" t="s">
        <v>6251</v>
      </c>
      <c r="I220" s="470" t="s">
        <v>6257</v>
      </c>
      <c r="J220" s="469">
        <v>24</v>
      </c>
      <c r="K220" s="470" t="s">
        <v>6264</v>
      </c>
      <c r="L220" s="470" t="s">
        <v>6280</v>
      </c>
      <c r="M220" s="470" t="s">
        <v>9</v>
      </c>
      <c r="N220" s="473">
        <v>1</v>
      </c>
      <c r="O220" s="471"/>
      <c r="P220" s="471"/>
      <c r="Q220" s="471"/>
      <c r="R220" s="470"/>
      <c r="S220" s="471">
        <v>0.11936342592592593</v>
      </c>
      <c r="T220" s="471">
        <v>0.18603009259259259</v>
      </c>
      <c r="U220" s="471"/>
      <c r="V220" s="471"/>
      <c r="W220" s="471">
        <v>0.4996990740740741</v>
      </c>
      <c r="X220" s="471">
        <v>0.81336805555555547</v>
      </c>
      <c r="Y220" s="471">
        <v>0.56458333333333333</v>
      </c>
      <c r="Z220" s="471">
        <v>0.80486111111111114</v>
      </c>
      <c r="AA220" s="471">
        <v>2.2916666666666669E-2</v>
      </c>
      <c r="AB220" s="470" t="s">
        <v>6464</v>
      </c>
      <c r="AC220" s="473">
        <v>130</v>
      </c>
      <c r="AD220" s="470" t="s">
        <v>113</v>
      </c>
      <c r="AE220" s="470"/>
      <c r="AF220" s="473">
        <v>66.3</v>
      </c>
      <c r="AG220" s="469">
        <v>34.4</v>
      </c>
      <c r="AH220" s="470" t="s">
        <v>6298</v>
      </c>
      <c r="AI220" s="470" t="s">
        <v>6339</v>
      </c>
      <c r="AJ220" s="470" t="s">
        <v>6493</v>
      </c>
      <c r="AK220" s="470" t="s">
        <v>6493</v>
      </c>
      <c r="AL220" s="470"/>
      <c r="AM220" s="470"/>
      <c r="AN220" s="470"/>
      <c r="AO220" s="470"/>
      <c r="AP220" s="470"/>
      <c r="AQ220" s="470"/>
      <c r="AR220" s="470"/>
      <c r="AS220" s="470"/>
      <c r="AT220" s="470"/>
      <c r="AU220" s="470"/>
      <c r="AV220" s="470"/>
      <c r="AW220" s="470"/>
      <c r="AX220" s="470"/>
      <c r="AY220" s="470"/>
      <c r="AZ220" s="470"/>
      <c r="BA220" s="470"/>
      <c r="BB220" s="470"/>
      <c r="BC220" s="470"/>
      <c r="BD220" s="470"/>
      <c r="BE220" s="470"/>
      <c r="BF220" s="470"/>
      <c r="BG220" s="470"/>
      <c r="BH220" s="470"/>
      <c r="BI220" s="470"/>
      <c r="BJ220" s="470"/>
      <c r="BK220" s="470"/>
      <c r="BL220" s="474"/>
    </row>
    <row r="221" spans="1:64">
      <c r="A221" s="475">
        <v>44012</v>
      </c>
      <c r="B221" s="478">
        <v>182</v>
      </c>
      <c r="C221" s="478">
        <v>184</v>
      </c>
      <c r="D221" s="476" t="s">
        <v>623</v>
      </c>
      <c r="E221" s="477">
        <v>27</v>
      </c>
      <c r="F221" s="476" t="s">
        <v>91</v>
      </c>
      <c r="G221" s="477">
        <v>534</v>
      </c>
      <c r="H221" s="476" t="s">
        <v>6251</v>
      </c>
      <c r="I221" s="476" t="s">
        <v>6257</v>
      </c>
      <c r="J221" s="477">
        <v>25</v>
      </c>
      <c r="K221" s="476" t="s">
        <v>6265</v>
      </c>
      <c r="L221" s="476" t="s">
        <v>6281</v>
      </c>
      <c r="M221" s="476" t="s">
        <v>9</v>
      </c>
      <c r="N221" s="478">
        <v>1</v>
      </c>
      <c r="O221" s="479"/>
      <c r="P221" s="479"/>
      <c r="Q221" s="479"/>
      <c r="R221" s="476"/>
      <c r="S221" s="479">
        <v>0.1196875</v>
      </c>
      <c r="T221" s="479">
        <v>0.18635416666666668</v>
      </c>
      <c r="U221" s="479"/>
      <c r="V221" s="479"/>
      <c r="W221" s="479">
        <v>0.49982638888888892</v>
      </c>
      <c r="X221" s="479">
        <v>0.81329861111111112</v>
      </c>
      <c r="Y221" s="479">
        <v>0.61458333333333337</v>
      </c>
      <c r="Z221" s="479">
        <v>0.84097222222222223</v>
      </c>
      <c r="AA221" s="479">
        <v>4.3750000000000004E-2</v>
      </c>
      <c r="AB221" s="476" t="s">
        <v>6464</v>
      </c>
      <c r="AC221" s="478">
        <v>130</v>
      </c>
      <c r="AD221" s="476" t="s">
        <v>113</v>
      </c>
      <c r="AE221" s="476"/>
      <c r="AF221" s="478">
        <v>77.400000000000006</v>
      </c>
      <c r="AG221" s="477">
        <v>41.5</v>
      </c>
      <c r="AH221" s="476" t="s">
        <v>6299</v>
      </c>
      <c r="AI221" s="476" t="s">
        <v>974</v>
      </c>
      <c r="AJ221" s="476" t="s">
        <v>839</v>
      </c>
      <c r="AK221" s="476" t="s">
        <v>6493</v>
      </c>
      <c r="AL221" s="476" t="s">
        <v>6791</v>
      </c>
      <c r="AM221" s="476" t="s">
        <v>6344</v>
      </c>
      <c r="AN221" s="476"/>
      <c r="AO221" s="476"/>
      <c r="AP221" s="476"/>
      <c r="AQ221" s="476"/>
      <c r="AR221" s="476"/>
      <c r="AS221" s="476"/>
      <c r="AT221" s="476"/>
      <c r="AU221" s="476"/>
      <c r="AV221" s="476"/>
      <c r="AW221" s="476"/>
      <c r="AX221" s="476"/>
      <c r="AY221" s="476"/>
      <c r="AZ221" s="476"/>
      <c r="BA221" s="476"/>
      <c r="BB221" s="476"/>
      <c r="BC221" s="476"/>
      <c r="BD221" s="476"/>
      <c r="BE221" s="476"/>
      <c r="BF221" s="476"/>
      <c r="BG221" s="476"/>
      <c r="BH221" s="476"/>
      <c r="BI221" s="476"/>
      <c r="BJ221" s="476" t="s">
        <v>6432</v>
      </c>
      <c r="BK221" s="476"/>
      <c r="BL221" s="480"/>
    </row>
    <row r="222" spans="1:64">
      <c r="A222" s="468">
        <v>44013</v>
      </c>
      <c r="B222" s="473">
        <v>183</v>
      </c>
      <c r="C222" s="473">
        <v>183</v>
      </c>
      <c r="D222" s="470" t="s">
        <v>626</v>
      </c>
      <c r="E222" s="469">
        <v>27</v>
      </c>
      <c r="F222" s="470" t="s">
        <v>94</v>
      </c>
      <c r="G222" s="469">
        <v>534</v>
      </c>
      <c r="H222" s="470" t="s">
        <v>6251</v>
      </c>
      <c r="I222" s="470" t="s">
        <v>6257</v>
      </c>
      <c r="J222" s="469">
        <v>26</v>
      </c>
      <c r="K222" s="470" t="s">
        <v>6271</v>
      </c>
      <c r="L222" s="470" t="s">
        <v>6282</v>
      </c>
      <c r="M222" s="470" t="s">
        <v>9</v>
      </c>
      <c r="N222" s="473">
        <v>1</v>
      </c>
      <c r="O222" s="471"/>
      <c r="P222" s="471"/>
      <c r="Q222" s="471"/>
      <c r="R222" s="470"/>
      <c r="S222" s="471">
        <v>0.12003472222222222</v>
      </c>
      <c r="T222" s="471">
        <v>0.18670138888888888</v>
      </c>
      <c r="U222" s="471"/>
      <c r="V222" s="471"/>
      <c r="W222" s="471">
        <v>0.49995370370370368</v>
      </c>
      <c r="X222" s="471">
        <v>0.81320601851851848</v>
      </c>
      <c r="Y222" s="471">
        <v>0.66597222222222219</v>
      </c>
      <c r="Z222" s="471">
        <v>0.87916666666666676</v>
      </c>
      <c r="AA222" s="471">
        <v>6.6666666666666666E-2</v>
      </c>
      <c r="AB222" s="470" t="s">
        <v>6464</v>
      </c>
      <c r="AC222" s="473">
        <v>130</v>
      </c>
      <c r="AD222" s="470" t="s">
        <v>113</v>
      </c>
      <c r="AE222" s="470"/>
      <c r="AF222" s="473">
        <v>88.3</v>
      </c>
      <c r="AG222" s="469">
        <v>48.5</v>
      </c>
      <c r="AH222" s="470" t="s">
        <v>6300</v>
      </c>
      <c r="AI222" s="470" t="s">
        <v>6316</v>
      </c>
      <c r="AJ222" s="470" t="s">
        <v>838</v>
      </c>
      <c r="AK222" s="470" t="s">
        <v>13</v>
      </c>
      <c r="AL222" s="470" t="s">
        <v>6792</v>
      </c>
      <c r="AM222" s="470" t="s">
        <v>6342</v>
      </c>
      <c r="AN222" s="470" t="s">
        <v>6943</v>
      </c>
      <c r="AO222" s="470" t="s">
        <v>6351</v>
      </c>
      <c r="AP222" s="470" t="s">
        <v>7022</v>
      </c>
      <c r="AQ222" s="470" t="s">
        <v>6349</v>
      </c>
      <c r="AR222" s="470"/>
      <c r="AS222" s="470"/>
      <c r="AT222" s="470"/>
      <c r="AU222" s="470"/>
      <c r="AV222" s="470"/>
      <c r="AW222" s="470"/>
      <c r="AX222" s="470"/>
      <c r="AY222" s="470"/>
      <c r="AZ222" s="470"/>
      <c r="BA222" s="470"/>
      <c r="BB222" s="470"/>
      <c r="BC222" s="470"/>
      <c r="BD222" s="470"/>
      <c r="BE222" s="470"/>
      <c r="BF222" s="470"/>
      <c r="BG222" s="470"/>
      <c r="BH222" s="470"/>
      <c r="BI222" s="470"/>
      <c r="BJ222" s="470"/>
      <c r="BK222" s="470" t="s">
        <v>977</v>
      </c>
      <c r="BL222" s="474"/>
    </row>
    <row r="223" spans="1:64">
      <c r="A223" s="475">
        <v>44014</v>
      </c>
      <c r="B223" s="478">
        <v>184</v>
      </c>
      <c r="C223" s="478">
        <v>182</v>
      </c>
      <c r="D223" s="476" t="s">
        <v>626</v>
      </c>
      <c r="E223" s="477">
        <v>27</v>
      </c>
      <c r="F223" s="476" t="s">
        <v>6714</v>
      </c>
      <c r="G223" s="477">
        <v>534</v>
      </c>
      <c r="H223" s="476" t="s">
        <v>6251</v>
      </c>
      <c r="I223" s="476" t="s">
        <v>6257</v>
      </c>
      <c r="J223" s="477">
        <v>27</v>
      </c>
      <c r="K223" s="476" t="s">
        <v>6266</v>
      </c>
      <c r="L223" s="476" t="s">
        <v>6283</v>
      </c>
      <c r="M223" s="476" t="s">
        <v>9</v>
      </c>
      <c r="N223" s="478">
        <v>1</v>
      </c>
      <c r="O223" s="479"/>
      <c r="P223" s="479"/>
      <c r="Q223" s="479"/>
      <c r="R223" s="476"/>
      <c r="S223" s="479">
        <v>0.12039351851851852</v>
      </c>
      <c r="T223" s="479">
        <v>0.18706018518518519</v>
      </c>
      <c r="U223" s="479">
        <v>0.18680555555555556</v>
      </c>
      <c r="V223" s="479">
        <v>0.20069444444444443</v>
      </c>
      <c r="W223" s="479">
        <v>0.50008101851851849</v>
      </c>
      <c r="X223" s="479">
        <v>0.81309027777777787</v>
      </c>
      <c r="Y223" s="479">
        <v>0.71597222222222223</v>
      </c>
      <c r="Z223" s="479">
        <v>0.91805555555555562</v>
      </c>
      <c r="AA223" s="479">
        <v>9.1666666666666674E-2</v>
      </c>
      <c r="AB223" s="476" t="s">
        <v>6464</v>
      </c>
      <c r="AC223" s="478">
        <v>130</v>
      </c>
      <c r="AD223" s="476" t="s">
        <v>113</v>
      </c>
      <c r="AE223" s="476"/>
      <c r="AF223" s="478">
        <v>98.5</v>
      </c>
      <c r="AG223" s="477">
        <v>54.8</v>
      </c>
      <c r="AH223" s="476" t="s">
        <v>6301</v>
      </c>
      <c r="AI223" s="476" t="s">
        <v>6317</v>
      </c>
      <c r="AJ223" s="476" t="s">
        <v>839</v>
      </c>
      <c r="AK223" s="476" t="s">
        <v>6493</v>
      </c>
      <c r="AL223" s="476" t="s">
        <v>6793</v>
      </c>
      <c r="AM223" s="476" t="s">
        <v>6343</v>
      </c>
      <c r="AN223" s="476"/>
      <c r="AO223" s="476"/>
      <c r="AP223" s="476"/>
      <c r="AQ223" s="476"/>
      <c r="AR223" s="476"/>
      <c r="AS223" s="476"/>
      <c r="AT223" s="476"/>
      <c r="AU223" s="476"/>
      <c r="AV223" s="476"/>
      <c r="AW223" s="476"/>
      <c r="AX223" s="476"/>
      <c r="AY223" s="476"/>
      <c r="AZ223" s="476"/>
      <c r="BA223" s="476"/>
      <c r="BB223" s="476"/>
      <c r="BC223" s="476"/>
      <c r="BD223" s="476"/>
      <c r="BE223" s="476"/>
      <c r="BF223" s="476"/>
      <c r="BG223" s="476"/>
      <c r="BH223" s="476"/>
      <c r="BI223" s="476"/>
      <c r="BJ223" s="476"/>
      <c r="BK223" s="476"/>
      <c r="BL223" s="480"/>
    </row>
    <row r="224" spans="1:64">
      <c r="A224" s="468">
        <v>44015</v>
      </c>
      <c r="B224" s="473">
        <v>185</v>
      </c>
      <c r="C224" s="473">
        <v>181</v>
      </c>
      <c r="D224" s="470" t="s">
        <v>626</v>
      </c>
      <c r="E224" s="469">
        <v>27</v>
      </c>
      <c r="F224" s="470" t="s">
        <v>100</v>
      </c>
      <c r="G224" s="469">
        <v>534</v>
      </c>
      <c r="H224" s="470" t="s">
        <v>6251</v>
      </c>
      <c r="I224" s="470" t="s">
        <v>6257</v>
      </c>
      <c r="J224" s="469">
        <v>29</v>
      </c>
      <c r="K224" s="470" t="s">
        <v>6268</v>
      </c>
      <c r="L224" s="470" t="s">
        <v>6285</v>
      </c>
      <c r="M224" s="470" t="s">
        <v>9</v>
      </c>
      <c r="N224" s="473">
        <v>1</v>
      </c>
      <c r="O224" s="471">
        <v>0.20069444444444443</v>
      </c>
      <c r="P224" s="471">
        <v>0.11666666666666665</v>
      </c>
      <c r="Q224" s="471"/>
      <c r="R224" s="470"/>
      <c r="S224" s="471">
        <v>0.12077546296296297</v>
      </c>
      <c r="T224" s="471">
        <v>0.18744212962962961</v>
      </c>
      <c r="U224" s="471"/>
      <c r="V224" s="471"/>
      <c r="W224" s="471">
        <v>0.50019675925925922</v>
      </c>
      <c r="X224" s="471">
        <v>0.81295138888888896</v>
      </c>
      <c r="Y224" s="471">
        <v>0.7631944444444444</v>
      </c>
      <c r="Z224" s="471">
        <v>0.95972222222222225</v>
      </c>
      <c r="AA224" s="471">
        <v>0.12083333333333333</v>
      </c>
      <c r="AB224" s="470" t="s">
        <v>6464</v>
      </c>
      <c r="AC224" s="473">
        <v>130</v>
      </c>
      <c r="AD224" s="470" t="s">
        <v>113</v>
      </c>
      <c r="AE224" s="470"/>
      <c r="AF224" s="473">
        <v>7.6</v>
      </c>
      <c r="AG224" s="469">
        <v>60.2</v>
      </c>
      <c r="AH224" s="470" t="s">
        <v>6302</v>
      </c>
      <c r="AI224" s="470" t="s">
        <v>6318</v>
      </c>
      <c r="AJ224" s="470" t="s">
        <v>6493</v>
      </c>
      <c r="AK224" s="470" t="s">
        <v>6493</v>
      </c>
      <c r="AL224" s="470" t="s">
        <v>6794</v>
      </c>
      <c r="AM224" s="470"/>
      <c r="AN224" s="470"/>
      <c r="AO224" s="470"/>
      <c r="AP224" s="470"/>
      <c r="AQ224" s="470"/>
      <c r="AR224" s="470"/>
      <c r="AS224" s="470"/>
      <c r="AT224" s="470"/>
      <c r="AU224" s="470"/>
      <c r="AV224" s="470"/>
      <c r="AW224" s="470"/>
      <c r="AX224" s="470"/>
      <c r="AY224" s="470"/>
      <c r="AZ224" s="470"/>
      <c r="BA224" s="470"/>
      <c r="BB224" s="470"/>
      <c r="BC224" s="470"/>
      <c r="BD224" s="470"/>
      <c r="BE224" s="470"/>
      <c r="BF224" s="470"/>
      <c r="BG224" s="470"/>
      <c r="BH224" s="470"/>
      <c r="BI224" s="470"/>
      <c r="BJ224" s="470"/>
      <c r="BK224" s="470"/>
      <c r="BL224" s="474"/>
    </row>
    <row r="225" spans="1:64">
      <c r="A225" s="475">
        <v>44016</v>
      </c>
      <c r="B225" s="478">
        <v>186</v>
      </c>
      <c r="C225" s="478">
        <v>180</v>
      </c>
      <c r="D225" s="476" t="s">
        <v>626</v>
      </c>
      <c r="E225" s="477">
        <v>27</v>
      </c>
      <c r="F225" s="476" t="s">
        <v>103</v>
      </c>
      <c r="G225" s="477">
        <v>534</v>
      </c>
      <c r="H225" s="476" t="s">
        <v>6251</v>
      </c>
      <c r="I225" s="476" t="s">
        <v>6257</v>
      </c>
      <c r="J225" s="477">
        <v>30</v>
      </c>
      <c r="K225" s="476" t="s">
        <v>6272</v>
      </c>
      <c r="L225" s="476" t="s">
        <v>6288</v>
      </c>
      <c r="M225" s="476" t="s">
        <v>9</v>
      </c>
      <c r="N225" s="478">
        <v>1</v>
      </c>
      <c r="O225" s="479"/>
      <c r="P225" s="479"/>
      <c r="Q225" s="479"/>
      <c r="R225" s="476"/>
      <c r="S225" s="479">
        <v>0.12116898148148147</v>
      </c>
      <c r="T225" s="479">
        <v>0.18783564814814815</v>
      </c>
      <c r="U225" s="479"/>
      <c r="V225" s="479"/>
      <c r="W225" s="479">
        <v>0.50031250000000005</v>
      </c>
      <c r="X225" s="479">
        <v>0.81278935185185175</v>
      </c>
      <c r="Y225" s="479">
        <v>0.80694444444444446</v>
      </c>
      <c r="Z225" s="479" t="s">
        <v>1107</v>
      </c>
      <c r="AA225" s="479">
        <v>0.15555555555555556</v>
      </c>
      <c r="AB225" s="476" t="s">
        <v>6464</v>
      </c>
      <c r="AC225" s="478">
        <v>130</v>
      </c>
      <c r="AD225" s="476" t="s">
        <v>113</v>
      </c>
      <c r="AE225" s="476"/>
      <c r="AF225" s="478">
        <v>15.1</v>
      </c>
      <c r="AG225" s="477">
        <v>64.099999999999994</v>
      </c>
      <c r="AH225" s="476" t="s">
        <v>6303</v>
      </c>
      <c r="AI225" s="476" t="s">
        <v>6319</v>
      </c>
      <c r="AJ225" s="476" t="s">
        <v>839</v>
      </c>
      <c r="AK225" s="476" t="s">
        <v>6493</v>
      </c>
      <c r="AL225" s="476" t="s">
        <v>1236</v>
      </c>
      <c r="AM225" s="476" t="s">
        <v>6344</v>
      </c>
      <c r="AN225" s="476" t="s">
        <v>6944</v>
      </c>
      <c r="AO225" s="476" t="s">
        <v>6346</v>
      </c>
      <c r="AP225" s="476" t="s">
        <v>7023</v>
      </c>
      <c r="AQ225" s="476" t="s">
        <v>6349</v>
      </c>
      <c r="AR225" s="476" t="s">
        <v>7059</v>
      </c>
      <c r="AS225" s="476"/>
      <c r="AT225" s="476"/>
      <c r="AU225" s="476"/>
      <c r="AV225" s="476"/>
      <c r="AW225" s="476"/>
      <c r="AX225" s="476"/>
      <c r="AY225" s="476"/>
      <c r="AZ225" s="476"/>
      <c r="BA225" s="476"/>
      <c r="BB225" s="476"/>
      <c r="BC225" s="476"/>
      <c r="BD225" s="476"/>
      <c r="BE225" s="476"/>
      <c r="BF225" s="476"/>
      <c r="BG225" s="476"/>
      <c r="BH225" s="476"/>
      <c r="BI225" s="476"/>
      <c r="BJ225" s="476" t="s">
        <v>6395</v>
      </c>
      <c r="BK225" s="476" t="s">
        <v>978</v>
      </c>
      <c r="BL225" s="480"/>
    </row>
    <row r="226" spans="1:64">
      <c r="A226" s="468">
        <v>44017</v>
      </c>
      <c r="B226" s="473">
        <v>187</v>
      </c>
      <c r="C226" s="473">
        <v>179</v>
      </c>
      <c r="D226" s="470" t="s">
        <v>626</v>
      </c>
      <c r="E226" s="469">
        <v>27</v>
      </c>
      <c r="F226" s="470" t="s">
        <v>106</v>
      </c>
      <c r="G226" s="469">
        <v>534</v>
      </c>
      <c r="H226" s="470" t="s">
        <v>6252</v>
      </c>
      <c r="I226" s="470" t="s">
        <v>836</v>
      </c>
      <c r="J226" s="469">
        <v>1</v>
      </c>
      <c r="K226" s="470" t="s">
        <v>6270</v>
      </c>
      <c r="L226" s="470" t="s">
        <v>6287</v>
      </c>
      <c r="M226" s="470" t="s">
        <v>9</v>
      </c>
      <c r="N226" s="473">
        <v>1</v>
      </c>
      <c r="O226" s="471"/>
      <c r="P226" s="471"/>
      <c r="Q226" s="471"/>
      <c r="R226" s="470"/>
      <c r="S226" s="471">
        <v>0.12158564814814815</v>
      </c>
      <c r="T226" s="471">
        <v>0.18825231481481483</v>
      </c>
      <c r="U226" s="471"/>
      <c r="V226" s="471"/>
      <c r="W226" s="471">
        <v>0.50042824074074077</v>
      </c>
      <c r="X226" s="471">
        <v>0.81260416666666668</v>
      </c>
      <c r="Y226" s="471">
        <v>0.84375</v>
      </c>
      <c r="Z226" s="471">
        <v>1.3888888888888889E-3</v>
      </c>
      <c r="AA226" s="471">
        <v>0.19583333333333333</v>
      </c>
      <c r="AB226" s="470" t="s">
        <v>6462</v>
      </c>
      <c r="AC226" s="473">
        <v>129</v>
      </c>
      <c r="AD226" s="470" t="s">
        <v>116</v>
      </c>
      <c r="AE226" s="470" t="s">
        <v>6530</v>
      </c>
      <c r="AF226" s="473">
        <v>20.7</v>
      </c>
      <c r="AG226" s="469">
        <v>66.3</v>
      </c>
      <c r="AH226" s="470" t="s">
        <v>6304</v>
      </c>
      <c r="AI226" s="470" t="s">
        <v>6341</v>
      </c>
      <c r="AJ226" s="470" t="s">
        <v>839</v>
      </c>
      <c r="AK226" s="470" t="s">
        <v>6493</v>
      </c>
      <c r="AL226" s="470" t="s">
        <v>6795</v>
      </c>
      <c r="AM226" s="470"/>
      <c r="AN226" s="470" t="s">
        <v>6945</v>
      </c>
      <c r="AO226" s="470" t="s">
        <v>6349</v>
      </c>
      <c r="AP226" s="470" t="s">
        <v>7024</v>
      </c>
      <c r="AQ226" s="470"/>
      <c r="AR226" s="470"/>
      <c r="AS226" s="470"/>
      <c r="AT226" s="470"/>
      <c r="AU226" s="470"/>
      <c r="AV226" s="470"/>
      <c r="AW226" s="470"/>
      <c r="AX226" s="470"/>
      <c r="AY226" s="470"/>
      <c r="AZ226" s="470"/>
      <c r="BA226" s="470"/>
      <c r="BB226" s="470"/>
      <c r="BC226" s="470"/>
      <c r="BD226" s="470"/>
      <c r="BE226" s="470"/>
      <c r="BF226" s="470"/>
      <c r="BG226" s="470"/>
      <c r="BH226" s="470"/>
      <c r="BI226" s="470"/>
      <c r="BJ226" s="470"/>
      <c r="BK226" s="470" t="s">
        <v>979</v>
      </c>
      <c r="BL226" s="474"/>
    </row>
    <row r="227" spans="1:64">
      <c r="A227" s="475">
        <v>44018</v>
      </c>
      <c r="B227" s="478">
        <v>188</v>
      </c>
      <c r="C227" s="478">
        <v>178</v>
      </c>
      <c r="D227" s="476" t="s">
        <v>626</v>
      </c>
      <c r="E227" s="477">
        <v>28</v>
      </c>
      <c r="F227" s="476" t="s">
        <v>88</v>
      </c>
      <c r="G227" s="477">
        <v>534</v>
      </c>
      <c r="H227" s="476" t="s">
        <v>6252</v>
      </c>
      <c r="I227" s="476" t="s">
        <v>836</v>
      </c>
      <c r="J227" s="477">
        <v>2</v>
      </c>
      <c r="K227" s="476" t="s">
        <v>1034</v>
      </c>
      <c r="L227" s="476" t="s">
        <v>6273</v>
      </c>
      <c r="M227" s="476" t="s">
        <v>9</v>
      </c>
      <c r="N227" s="478">
        <v>1</v>
      </c>
      <c r="O227" s="479"/>
      <c r="P227" s="479"/>
      <c r="Q227" s="479"/>
      <c r="R227" s="476"/>
      <c r="S227" s="479">
        <v>0.12201388888888888</v>
      </c>
      <c r="T227" s="479">
        <v>0.18868055555555555</v>
      </c>
      <c r="U227" s="479"/>
      <c r="V227" s="479"/>
      <c r="W227" s="479">
        <v>0.50053240740740745</v>
      </c>
      <c r="X227" s="479">
        <v>0.81239583333333332</v>
      </c>
      <c r="Y227" s="479">
        <v>0.875</v>
      </c>
      <c r="Z227" s="479">
        <v>4.1666666666666664E-2</v>
      </c>
      <c r="AA227" s="479">
        <v>0.2388888888888889</v>
      </c>
      <c r="AB227" s="476" t="s">
        <v>6462</v>
      </c>
      <c r="AC227" s="478">
        <v>129</v>
      </c>
      <c r="AD227" s="476" t="s">
        <v>116</v>
      </c>
      <c r="AE227" s="476"/>
      <c r="AF227" s="478">
        <v>24</v>
      </c>
      <c r="AG227" s="477">
        <v>66.400000000000006</v>
      </c>
      <c r="AH227" s="476" t="s">
        <v>6305</v>
      </c>
      <c r="AI227" s="476" t="s">
        <v>6320</v>
      </c>
      <c r="AJ227" s="476" t="s">
        <v>6493</v>
      </c>
      <c r="AK227" s="476" t="s">
        <v>6493</v>
      </c>
      <c r="AL227" s="476"/>
      <c r="AM227" s="476"/>
      <c r="AN227" s="476"/>
      <c r="AO227" s="476"/>
      <c r="AP227" s="476"/>
      <c r="AQ227" s="476"/>
      <c r="AR227" s="476"/>
      <c r="AS227" s="476"/>
      <c r="AT227" s="476"/>
      <c r="AU227" s="476"/>
      <c r="AV227" s="476"/>
      <c r="AW227" s="476"/>
      <c r="AX227" s="476"/>
      <c r="AY227" s="476"/>
      <c r="AZ227" s="476"/>
      <c r="BA227" s="476"/>
      <c r="BB227" s="476"/>
      <c r="BC227" s="476"/>
      <c r="BD227" s="476"/>
      <c r="BE227" s="476"/>
      <c r="BF227" s="476"/>
      <c r="BG227" s="476"/>
      <c r="BH227" s="476"/>
      <c r="BI227" s="476"/>
      <c r="BJ227" s="476"/>
      <c r="BK227" s="476"/>
      <c r="BL227" s="480"/>
    </row>
    <row r="228" spans="1:64">
      <c r="A228" s="468">
        <v>44019</v>
      </c>
      <c r="B228" s="473">
        <v>189</v>
      </c>
      <c r="C228" s="473">
        <v>177</v>
      </c>
      <c r="D228" s="470" t="s">
        <v>626</v>
      </c>
      <c r="E228" s="469">
        <v>28</v>
      </c>
      <c r="F228" s="470" t="s">
        <v>91</v>
      </c>
      <c r="G228" s="469">
        <v>534</v>
      </c>
      <c r="H228" s="470" t="s">
        <v>6252</v>
      </c>
      <c r="I228" s="470" t="s">
        <v>836</v>
      </c>
      <c r="J228" s="469">
        <v>3</v>
      </c>
      <c r="K228" s="470" t="s">
        <v>6258</v>
      </c>
      <c r="L228" s="470" t="s">
        <v>6274</v>
      </c>
      <c r="M228" s="470" t="s">
        <v>9</v>
      </c>
      <c r="N228" s="473">
        <v>1</v>
      </c>
      <c r="O228" s="471"/>
      <c r="P228" s="471"/>
      <c r="Q228" s="471"/>
      <c r="R228" s="470"/>
      <c r="S228" s="471">
        <v>0.12245370370370372</v>
      </c>
      <c r="T228" s="471">
        <v>0.18912037037037036</v>
      </c>
      <c r="U228" s="471"/>
      <c r="V228" s="471"/>
      <c r="W228" s="471">
        <v>0.50063657407407403</v>
      </c>
      <c r="X228" s="471">
        <v>0.81216435185185187</v>
      </c>
      <c r="Y228" s="471">
        <v>0.90138888888888891</v>
      </c>
      <c r="Z228" s="471">
        <v>7.9861111111111105E-2</v>
      </c>
      <c r="AA228" s="471">
        <v>0.28263888888888888</v>
      </c>
      <c r="AB228" s="470" t="s">
        <v>6462</v>
      </c>
      <c r="AC228" s="473">
        <v>129</v>
      </c>
      <c r="AD228" s="470" t="s">
        <v>116</v>
      </c>
      <c r="AE228" s="470"/>
      <c r="AF228" s="473">
        <v>24.8</v>
      </c>
      <c r="AG228" s="469">
        <v>64.2</v>
      </c>
      <c r="AH228" s="470" t="s">
        <v>6306</v>
      </c>
      <c r="AI228" s="470" t="s">
        <v>6321</v>
      </c>
      <c r="AJ228" s="470" t="s">
        <v>6493</v>
      </c>
      <c r="AK228" s="470" t="s">
        <v>6493</v>
      </c>
      <c r="AL228" s="470"/>
      <c r="AM228" s="470"/>
      <c r="AN228" s="470"/>
      <c r="AO228" s="470"/>
      <c r="AP228" s="470"/>
      <c r="AQ228" s="470"/>
      <c r="AR228" s="470"/>
      <c r="AS228" s="470"/>
      <c r="AT228" s="470"/>
      <c r="AU228" s="470"/>
      <c r="AV228" s="470"/>
      <c r="AW228" s="470"/>
      <c r="AX228" s="470"/>
      <c r="AY228" s="470"/>
      <c r="AZ228" s="470"/>
      <c r="BA228" s="470"/>
      <c r="BB228" s="470"/>
      <c r="BC228" s="470"/>
      <c r="BD228" s="470"/>
      <c r="BE228" s="470"/>
      <c r="BF228" s="470"/>
      <c r="BG228" s="470"/>
      <c r="BH228" s="470"/>
      <c r="BI228" s="470"/>
      <c r="BJ228" s="470"/>
      <c r="BK228" s="470"/>
      <c r="BL228" s="474"/>
    </row>
    <row r="229" spans="1:64">
      <c r="A229" s="475">
        <v>44020</v>
      </c>
      <c r="B229" s="478">
        <v>190</v>
      </c>
      <c r="C229" s="478">
        <v>176</v>
      </c>
      <c r="D229" s="476" t="s">
        <v>626</v>
      </c>
      <c r="E229" s="477">
        <v>28</v>
      </c>
      <c r="F229" s="476" t="s">
        <v>94</v>
      </c>
      <c r="G229" s="477">
        <v>534</v>
      </c>
      <c r="H229" s="476" t="s">
        <v>6252</v>
      </c>
      <c r="I229" s="476" t="s">
        <v>836</v>
      </c>
      <c r="J229" s="477">
        <v>4</v>
      </c>
      <c r="K229" s="476" t="s">
        <v>6259</v>
      </c>
      <c r="L229" s="476" t="s">
        <v>6275</v>
      </c>
      <c r="M229" s="476" t="s">
        <v>9</v>
      </c>
      <c r="N229" s="478">
        <v>1</v>
      </c>
      <c r="O229" s="479"/>
      <c r="P229" s="479"/>
      <c r="Q229" s="479"/>
      <c r="R229" s="476"/>
      <c r="S229" s="479">
        <v>0.12290509259259259</v>
      </c>
      <c r="T229" s="479">
        <v>0.18957175925925926</v>
      </c>
      <c r="U229" s="479"/>
      <c r="V229" s="479"/>
      <c r="W229" s="479">
        <v>0.50074074074074071</v>
      </c>
      <c r="X229" s="479">
        <v>0.81190972222222213</v>
      </c>
      <c r="Y229" s="479">
        <v>0.92361111111111116</v>
      </c>
      <c r="Z229" s="479">
        <v>0.11458333333333333</v>
      </c>
      <c r="AA229" s="479">
        <v>0.32777777777777778</v>
      </c>
      <c r="AB229" s="476" t="s">
        <v>6462</v>
      </c>
      <c r="AC229" s="478">
        <v>129</v>
      </c>
      <c r="AD229" s="476" t="s">
        <v>116</v>
      </c>
      <c r="AE229" s="476"/>
      <c r="AF229" s="478">
        <v>23.1</v>
      </c>
      <c r="AG229" s="477">
        <v>59.9</v>
      </c>
      <c r="AH229" s="476" t="s">
        <v>6307</v>
      </c>
      <c r="AI229" s="476" t="s">
        <v>6322</v>
      </c>
      <c r="AJ229" s="476" t="s">
        <v>6493</v>
      </c>
      <c r="AK229" s="476" t="s">
        <v>6493</v>
      </c>
      <c r="AL229" s="476"/>
      <c r="AM229" s="476"/>
      <c r="AN229" s="476"/>
      <c r="AO229" s="476"/>
      <c r="AP229" s="476"/>
      <c r="AQ229" s="476"/>
      <c r="AR229" s="476"/>
      <c r="AS229" s="476"/>
      <c r="AT229" s="476"/>
      <c r="AU229" s="476"/>
      <c r="AV229" s="476"/>
      <c r="AW229" s="476"/>
      <c r="AX229" s="476"/>
      <c r="AY229" s="476"/>
      <c r="AZ229" s="476"/>
      <c r="BA229" s="476"/>
      <c r="BB229" s="476"/>
      <c r="BC229" s="476"/>
      <c r="BD229" s="476"/>
      <c r="BE229" s="476"/>
      <c r="BF229" s="476"/>
      <c r="BG229" s="476"/>
      <c r="BH229" s="476"/>
      <c r="BI229" s="476"/>
      <c r="BJ229" s="476"/>
      <c r="BK229" s="476"/>
      <c r="BL229" s="480"/>
    </row>
    <row r="230" spans="1:64">
      <c r="A230" s="468">
        <v>44021</v>
      </c>
      <c r="B230" s="473">
        <v>191</v>
      </c>
      <c r="C230" s="473">
        <v>175</v>
      </c>
      <c r="D230" s="470" t="s">
        <v>626</v>
      </c>
      <c r="E230" s="469">
        <v>28</v>
      </c>
      <c r="F230" s="470" t="s">
        <v>6714</v>
      </c>
      <c r="G230" s="469">
        <v>534</v>
      </c>
      <c r="H230" s="470" t="s">
        <v>6252</v>
      </c>
      <c r="I230" s="470" t="s">
        <v>836</v>
      </c>
      <c r="J230" s="469">
        <v>5</v>
      </c>
      <c r="K230" s="470" t="s">
        <v>6260</v>
      </c>
      <c r="L230" s="470" t="s">
        <v>6276</v>
      </c>
      <c r="M230" s="470" t="s">
        <v>9</v>
      </c>
      <c r="N230" s="473">
        <v>1</v>
      </c>
      <c r="O230" s="471"/>
      <c r="P230" s="471"/>
      <c r="Q230" s="471"/>
      <c r="R230" s="470"/>
      <c r="S230" s="471">
        <v>0.12337962962962963</v>
      </c>
      <c r="T230" s="471">
        <v>0.1900462962962963</v>
      </c>
      <c r="U230" s="471"/>
      <c r="V230" s="471"/>
      <c r="W230" s="471">
        <v>0.50083333333333335</v>
      </c>
      <c r="X230" s="471">
        <v>0.81162037037037038</v>
      </c>
      <c r="Y230" s="471">
        <v>0.94236111111111109</v>
      </c>
      <c r="Z230" s="471">
        <v>0.14652777777777778</v>
      </c>
      <c r="AA230" s="471">
        <v>0.37083333333333335</v>
      </c>
      <c r="AB230" s="470" t="s">
        <v>6462</v>
      </c>
      <c r="AC230" s="473">
        <v>129</v>
      </c>
      <c r="AD230" s="470" t="s">
        <v>116</v>
      </c>
      <c r="AE230" s="470"/>
      <c r="AF230" s="473">
        <v>19.2</v>
      </c>
      <c r="AG230" s="469">
        <v>53.5</v>
      </c>
      <c r="AH230" s="470" t="s">
        <v>6308</v>
      </c>
      <c r="AI230" s="470" t="s">
        <v>6323</v>
      </c>
      <c r="AJ230" s="470" t="s">
        <v>839</v>
      </c>
      <c r="AK230" s="470" t="s">
        <v>6493</v>
      </c>
      <c r="AL230" s="470" t="s">
        <v>6796</v>
      </c>
      <c r="AM230" s="470" t="s">
        <v>6346</v>
      </c>
      <c r="AN230" s="470"/>
      <c r="AO230" s="470"/>
      <c r="AP230" s="470"/>
      <c r="AQ230" s="470"/>
      <c r="AR230" s="470"/>
      <c r="AS230" s="470"/>
      <c r="AT230" s="470"/>
      <c r="AU230" s="470"/>
      <c r="AV230" s="470"/>
      <c r="AW230" s="470"/>
      <c r="AX230" s="470"/>
      <c r="AY230" s="470"/>
      <c r="AZ230" s="470"/>
      <c r="BA230" s="470"/>
      <c r="BB230" s="470"/>
      <c r="BC230" s="470"/>
      <c r="BD230" s="470"/>
      <c r="BE230" s="470"/>
      <c r="BF230" s="470"/>
      <c r="BG230" s="470"/>
      <c r="BH230" s="470"/>
      <c r="BI230" s="470"/>
      <c r="BJ230" s="470" t="s">
        <v>6396</v>
      </c>
      <c r="BK230" s="470"/>
      <c r="BL230" s="474"/>
    </row>
    <row r="231" spans="1:64">
      <c r="A231" s="475">
        <v>44022</v>
      </c>
      <c r="B231" s="478">
        <v>192</v>
      </c>
      <c r="C231" s="478">
        <v>174</v>
      </c>
      <c r="D231" s="476" t="s">
        <v>626</v>
      </c>
      <c r="E231" s="477">
        <v>28</v>
      </c>
      <c r="F231" s="476" t="s">
        <v>100</v>
      </c>
      <c r="G231" s="477">
        <v>534</v>
      </c>
      <c r="H231" s="476" t="s">
        <v>6252</v>
      </c>
      <c r="I231" s="476" t="s">
        <v>836</v>
      </c>
      <c r="J231" s="477">
        <v>6</v>
      </c>
      <c r="K231" s="476" t="s">
        <v>6261</v>
      </c>
      <c r="L231" s="476" t="s">
        <v>6277</v>
      </c>
      <c r="M231" s="476" t="s">
        <v>9</v>
      </c>
      <c r="N231" s="478">
        <v>1</v>
      </c>
      <c r="O231" s="479"/>
      <c r="P231" s="479"/>
      <c r="Q231" s="479"/>
      <c r="R231" s="476"/>
      <c r="S231" s="479">
        <v>0.12386574074074075</v>
      </c>
      <c r="T231" s="479">
        <v>0.1905324074074074</v>
      </c>
      <c r="U231" s="479"/>
      <c r="V231" s="479"/>
      <c r="W231" s="479">
        <v>0.50092592592592589</v>
      </c>
      <c r="X231" s="479">
        <v>0.81131944444444448</v>
      </c>
      <c r="Y231" s="479">
        <v>0.95972222222222225</v>
      </c>
      <c r="Z231" s="479">
        <v>0.17708333333333334</v>
      </c>
      <c r="AA231" s="479">
        <v>0.41319444444444442</v>
      </c>
      <c r="AB231" s="476" t="s">
        <v>6462</v>
      </c>
      <c r="AC231" s="478">
        <v>129</v>
      </c>
      <c r="AD231" s="476" t="s">
        <v>116</v>
      </c>
      <c r="AE231" s="476"/>
      <c r="AF231" s="478">
        <v>13.2</v>
      </c>
      <c r="AG231" s="477">
        <v>45.3</v>
      </c>
      <c r="AH231" s="476" t="s">
        <v>6309</v>
      </c>
      <c r="AI231" s="476" t="s">
        <v>6324</v>
      </c>
      <c r="AJ231" s="476" t="s">
        <v>6493</v>
      </c>
      <c r="AK231" s="476" t="s">
        <v>6493</v>
      </c>
      <c r="AL231" s="476"/>
      <c r="AM231" s="476"/>
      <c r="AN231" s="476"/>
      <c r="AO231" s="476"/>
      <c r="AP231" s="476"/>
      <c r="AQ231" s="476"/>
      <c r="AR231" s="476"/>
      <c r="AS231" s="476"/>
      <c r="AT231" s="476"/>
      <c r="AU231" s="476"/>
      <c r="AV231" s="476"/>
      <c r="AW231" s="476"/>
      <c r="AX231" s="476"/>
      <c r="AY231" s="476"/>
      <c r="AZ231" s="476"/>
      <c r="BA231" s="476"/>
      <c r="BB231" s="476"/>
      <c r="BC231" s="476"/>
      <c r="BD231" s="476"/>
      <c r="BE231" s="476"/>
      <c r="BF231" s="476"/>
      <c r="BG231" s="476"/>
      <c r="BH231" s="476"/>
      <c r="BI231" s="476"/>
      <c r="BJ231" s="476"/>
      <c r="BK231" s="476"/>
      <c r="BL231" s="480"/>
    </row>
    <row r="232" spans="1:64">
      <c r="A232" s="468">
        <v>44023</v>
      </c>
      <c r="B232" s="473">
        <v>193</v>
      </c>
      <c r="C232" s="473">
        <v>173</v>
      </c>
      <c r="D232" s="470" t="s">
        <v>626</v>
      </c>
      <c r="E232" s="469">
        <v>28</v>
      </c>
      <c r="F232" s="470" t="s">
        <v>103</v>
      </c>
      <c r="G232" s="469">
        <v>534</v>
      </c>
      <c r="H232" s="470" t="s">
        <v>6252</v>
      </c>
      <c r="I232" s="470" t="s">
        <v>836</v>
      </c>
      <c r="J232" s="469">
        <v>7</v>
      </c>
      <c r="K232" s="470" t="s">
        <v>6262</v>
      </c>
      <c r="L232" s="470" t="s">
        <v>6277</v>
      </c>
      <c r="M232" s="470" t="s">
        <v>9</v>
      </c>
      <c r="N232" s="473">
        <v>1</v>
      </c>
      <c r="O232" s="471"/>
      <c r="P232" s="471"/>
      <c r="Q232" s="471"/>
      <c r="R232" s="470"/>
      <c r="S232" s="471">
        <v>0.12436342592592593</v>
      </c>
      <c r="T232" s="471">
        <v>0.1910300925925926</v>
      </c>
      <c r="U232" s="471"/>
      <c r="V232" s="471"/>
      <c r="W232" s="471">
        <v>0.50100694444444438</v>
      </c>
      <c r="X232" s="471">
        <v>0.81099537037037039</v>
      </c>
      <c r="Y232" s="471">
        <v>0.97569444444444453</v>
      </c>
      <c r="Z232" s="471">
        <v>0.20555555555555557</v>
      </c>
      <c r="AA232" s="471">
        <v>0.45416666666666666</v>
      </c>
      <c r="AB232" s="470" t="s">
        <v>6462</v>
      </c>
      <c r="AC232" s="473">
        <v>129</v>
      </c>
      <c r="AD232" s="470" t="s">
        <v>116</v>
      </c>
      <c r="AE232" s="470"/>
      <c r="AF232" s="473">
        <v>5.7</v>
      </c>
      <c r="AG232" s="469">
        <v>35.700000000000003</v>
      </c>
      <c r="AH232" s="470" t="s">
        <v>6310</v>
      </c>
      <c r="AI232" s="470" t="s">
        <v>6325</v>
      </c>
      <c r="AJ232" s="470" t="s">
        <v>6493</v>
      </c>
      <c r="AK232" s="470" t="s">
        <v>6493</v>
      </c>
      <c r="AL232" s="470"/>
      <c r="AM232" s="470"/>
      <c r="AN232" s="470"/>
      <c r="AO232" s="470"/>
      <c r="AP232" s="470"/>
      <c r="AQ232" s="470"/>
      <c r="AR232" s="470"/>
      <c r="AS232" s="470"/>
      <c r="AT232" s="470"/>
      <c r="AU232" s="470"/>
      <c r="AV232" s="470"/>
      <c r="AW232" s="470"/>
      <c r="AX232" s="470"/>
      <c r="AY232" s="470"/>
      <c r="AZ232" s="470"/>
      <c r="BA232" s="470"/>
      <c r="BB232" s="470"/>
      <c r="BC232" s="470"/>
      <c r="BD232" s="470"/>
      <c r="BE232" s="470"/>
      <c r="BF232" s="470"/>
      <c r="BG232" s="470"/>
      <c r="BH232" s="470"/>
      <c r="BI232" s="470"/>
      <c r="BJ232" s="470"/>
      <c r="BK232" s="470"/>
      <c r="BL232" s="474"/>
    </row>
    <row r="233" spans="1:64">
      <c r="A233" s="475">
        <v>44024</v>
      </c>
      <c r="B233" s="478">
        <v>194</v>
      </c>
      <c r="C233" s="478">
        <v>172</v>
      </c>
      <c r="D233" s="476" t="s">
        <v>626</v>
      </c>
      <c r="E233" s="477">
        <v>28</v>
      </c>
      <c r="F233" s="476" t="s">
        <v>106</v>
      </c>
      <c r="G233" s="477">
        <v>534</v>
      </c>
      <c r="H233" s="476" t="s">
        <v>6252</v>
      </c>
      <c r="I233" s="476" t="s">
        <v>836</v>
      </c>
      <c r="J233" s="477">
        <v>7</v>
      </c>
      <c r="K233" s="476" t="s">
        <v>6262</v>
      </c>
      <c r="L233" s="476" t="s">
        <v>6278</v>
      </c>
      <c r="M233" s="476" t="s">
        <v>10</v>
      </c>
      <c r="N233" s="478">
        <v>1</v>
      </c>
      <c r="O233" s="479"/>
      <c r="P233" s="479"/>
      <c r="Q233" s="479"/>
      <c r="R233" s="476"/>
      <c r="S233" s="479">
        <v>0.12487268518518518</v>
      </c>
      <c r="T233" s="479">
        <v>0.19153935185185186</v>
      </c>
      <c r="U233" s="479"/>
      <c r="V233" s="479"/>
      <c r="W233" s="479">
        <v>0.50108796296296299</v>
      </c>
      <c r="X233" s="479">
        <v>0.81064814814814812</v>
      </c>
      <c r="Y233" s="479">
        <v>0.99236111111111114</v>
      </c>
      <c r="Z233" s="479">
        <v>0.23402777777777781</v>
      </c>
      <c r="AA233" s="479">
        <v>0.49444444444444446</v>
      </c>
      <c r="AB233" s="476" t="s">
        <v>6289</v>
      </c>
      <c r="AC233" s="478">
        <v>131</v>
      </c>
      <c r="AD233" s="476" t="s">
        <v>119</v>
      </c>
      <c r="AE233" s="476" t="s">
        <v>6531</v>
      </c>
      <c r="AF233" s="478">
        <v>97.2</v>
      </c>
      <c r="AG233" s="477">
        <v>25.2</v>
      </c>
      <c r="AH233" s="476" t="s">
        <v>6311</v>
      </c>
      <c r="AI233" s="476" t="s">
        <v>6326</v>
      </c>
      <c r="AJ233" s="476" t="s">
        <v>6493</v>
      </c>
      <c r="AK233" s="476" t="s">
        <v>6493</v>
      </c>
      <c r="AL233" s="476" t="s">
        <v>6727</v>
      </c>
      <c r="AM233" s="476"/>
      <c r="AN233" s="476"/>
      <c r="AO233" s="476"/>
      <c r="AP233" s="476"/>
      <c r="AQ233" s="476"/>
      <c r="AR233" s="476"/>
      <c r="AS233" s="476"/>
      <c r="AT233" s="476"/>
      <c r="AU233" s="476"/>
      <c r="AV233" s="476"/>
      <c r="AW233" s="476"/>
      <c r="AX233" s="476"/>
      <c r="AY233" s="476"/>
      <c r="AZ233" s="476"/>
      <c r="BA233" s="476"/>
      <c r="BB233" s="476"/>
      <c r="BC233" s="476"/>
      <c r="BD233" s="476"/>
      <c r="BE233" s="476"/>
      <c r="BF233" s="476"/>
      <c r="BG233" s="476"/>
      <c r="BH233" s="476"/>
      <c r="BI233" s="476"/>
      <c r="BJ233" s="476"/>
      <c r="BK233" s="476"/>
      <c r="BL233" s="480"/>
    </row>
    <row r="234" spans="1:64">
      <c r="A234" s="468">
        <v>44025</v>
      </c>
      <c r="B234" s="473">
        <v>195</v>
      </c>
      <c r="C234" s="473">
        <v>171</v>
      </c>
      <c r="D234" s="470" t="s">
        <v>626</v>
      </c>
      <c r="E234" s="469">
        <v>29</v>
      </c>
      <c r="F234" s="470" t="s">
        <v>88</v>
      </c>
      <c r="G234" s="469">
        <v>534</v>
      </c>
      <c r="H234" s="470" t="s">
        <v>6252</v>
      </c>
      <c r="I234" s="470" t="s">
        <v>836</v>
      </c>
      <c r="J234" s="469">
        <v>8</v>
      </c>
      <c r="K234" s="470" t="s">
        <v>6263</v>
      </c>
      <c r="L234" s="470" t="s">
        <v>6279</v>
      </c>
      <c r="M234" s="470" t="s">
        <v>9</v>
      </c>
      <c r="N234" s="473">
        <v>1</v>
      </c>
      <c r="O234" s="471"/>
      <c r="P234" s="471"/>
      <c r="Q234" s="471"/>
      <c r="R234" s="470"/>
      <c r="S234" s="471">
        <v>0.12539351851851852</v>
      </c>
      <c r="T234" s="471">
        <v>0.19206018518518519</v>
      </c>
      <c r="U234" s="471"/>
      <c r="V234" s="471"/>
      <c r="W234" s="471">
        <v>0.50116898148148148</v>
      </c>
      <c r="X234" s="471">
        <v>0.81027777777777776</v>
      </c>
      <c r="Y234" s="471" t="s">
        <v>1107</v>
      </c>
      <c r="Z234" s="471">
        <v>0.26180555555555557</v>
      </c>
      <c r="AA234" s="471">
        <v>0.53541666666666665</v>
      </c>
      <c r="AB234" s="470" t="s">
        <v>6289</v>
      </c>
      <c r="AC234" s="473">
        <v>131</v>
      </c>
      <c r="AD234" s="470" t="s">
        <v>119</v>
      </c>
      <c r="AE234" s="470"/>
      <c r="AF234" s="473">
        <v>88.3</v>
      </c>
      <c r="AG234" s="469">
        <v>14.3</v>
      </c>
      <c r="AH234" s="470" t="s">
        <v>6312</v>
      </c>
      <c r="AI234" s="470" t="s">
        <v>6327</v>
      </c>
      <c r="AJ234" s="470" t="s">
        <v>839</v>
      </c>
      <c r="AK234" s="470" t="s">
        <v>6493</v>
      </c>
      <c r="AL234" s="470" t="s">
        <v>6797</v>
      </c>
      <c r="AM234" s="470" t="s">
        <v>6346</v>
      </c>
      <c r="AN234" s="470"/>
      <c r="AO234" s="470"/>
      <c r="AP234" s="470"/>
      <c r="AQ234" s="470"/>
      <c r="AR234" s="470"/>
      <c r="AS234" s="470"/>
      <c r="AT234" s="470"/>
      <c r="AU234" s="470"/>
      <c r="AV234" s="470"/>
      <c r="AW234" s="470"/>
      <c r="AX234" s="470"/>
      <c r="AY234" s="470"/>
      <c r="AZ234" s="470"/>
      <c r="BA234" s="470"/>
      <c r="BB234" s="470"/>
      <c r="BC234" s="470"/>
      <c r="BD234" s="470"/>
      <c r="BE234" s="470"/>
      <c r="BF234" s="470"/>
      <c r="BG234" s="470"/>
      <c r="BH234" s="470"/>
      <c r="BI234" s="470"/>
      <c r="BJ234" s="470" t="s">
        <v>6397</v>
      </c>
      <c r="BK234" s="470"/>
      <c r="BL234" s="474"/>
    </row>
    <row r="235" spans="1:64">
      <c r="A235" s="475">
        <v>44026</v>
      </c>
      <c r="B235" s="478">
        <v>196</v>
      </c>
      <c r="C235" s="478">
        <v>170</v>
      </c>
      <c r="D235" s="476" t="s">
        <v>626</v>
      </c>
      <c r="E235" s="477">
        <v>29</v>
      </c>
      <c r="F235" s="476" t="s">
        <v>91</v>
      </c>
      <c r="G235" s="477">
        <v>534</v>
      </c>
      <c r="H235" s="476" t="s">
        <v>6252</v>
      </c>
      <c r="I235" s="476" t="s">
        <v>836</v>
      </c>
      <c r="J235" s="477">
        <v>9</v>
      </c>
      <c r="K235" s="476" t="s">
        <v>6264</v>
      </c>
      <c r="L235" s="476" t="s">
        <v>6280</v>
      </c>
      <c r="M235" s="476" t="s">
        <v>9</v>
      </c>
      <c r="N235" s="478">
        <v>1</v>
      </c>
      <c r="O235" s="479"/>
      <c r="P235" s="479"/>
      <c r="Q235" s="479"/>
      <c r="R235" s="476"/>
      <c r="S235" s="479">
        <v>0.12592592592592591</v>
      </c>
      <c r="T235" s="479">
        <v>0.19259259259259257</v>
      </c>
      <c r="U235" s="479"/>
      <c r="V235" s="479"/>
      <c r="W235" s="479">
        <v>0.50123842592592593</v>
      </c>
      <c r="X235" s="479">
        <v>0.80988425925925922</v>
      </c>
      <c r="Y235" s="479">
        <v>9.0277777777777787E-3</v>
      </c>
      <c r="Z235" s="479">
        <v>0.29097222222222224</v>
      </c>
      <c r="AA235" s="479">
        <v>0.57708333333333328</v>
      </c>
      <c r="AB235" s="476" t="s">
        <v>6289</v>
      </c>
      <c r="AC235" s="478">
        <v>131</v>
      </c>
      <c r="AD235" s="476" t="s">
        <v>119</v>
      </c>
      <c r="AE235" s="476"/>
      <c r="AF235" s="478">
        <v>79.599999999999994</v>
      </c>
      <c r="AG235" s="477">
        <v>3.7</v>
      </c>
      <c r="AH235" s="476" t="s">
        <v>6313</v>
      </c>
      <c r="AI235" s="476" t="s">
        <v>6328</v>
      </c>
      <c r="AJ235" s="476" t="s">
        <v>839</v>
      </c>
      <c r="AK235" s="476" t="s">
        <v>6493</v>
      </c>
      <c r="AL235" s="476" t="s">
        <v>6798</v>
      </c>
      <c r="AM235" s="476" t="s">
        <v>6348</v>
      </c>
      <c r="AN235" s="476"/>
      <c r="AO235" s="476"/>
      <c r="AP235" s="476"/>
      <c r="AQ235" s="476"/>
      <c r="AR235" s="476"/>
      <c r="AS235" s="476"/>
      <c r="AT235" s="476"/>
      <c r="AU235" s="476"/>
      <c r="AV235" s="476"/>
      <c r="AW235" s="476"/>
      <c r="AX235" s="476"/>
      <c r="AY235" s="476"/>
      <c r="AZ235" s="476"/>
      <c r="BA235" s="476"/>
      <c r="BB235" s="476"/>
      <c r="BC235" s="476"/>
      <c r="BD235" s="476"/>
      <c r="BE235" s="476"/>
      <c r="BF235" s="476"/>
      <c r="BG235" s="476"/>
      <c r="BH235" s="476"/>
      <c r="BI235" s="476"/>
      <c r="BJ235" s="476" t="s">
        <v>1004</v>
      </c>
      <c r="BK235" s="476"/>
      <c r="BL235" s="480"/>
    </row>
    <row r="236" spans="1:64">
      <c r="A236" s="468">
        <v>44027</v>
      </c>
      <c r="B236" s="473">
        <v>197</v>
      </c>
      <c r="C236" s="473">
        <v>169</v>
      </c>
      <c r="D236" s="470" t="s">
        <v>626</v>
      </c>
      <c r="E236" s="469">
        <v>29</v>
      </c>
      <c r="F236" s="470" t="s">
        <v>94</v>
      </c>
      <c r="G236" s="469">
        <v>534</v>
      </c>
      <c r="H236" s="470" t="s">
        <v>6252</v>
      </c>
      <c r="I236" s="470" t="s">
        <v>836</v>
      </c>
      <c r="J236" s="469">
        <v>10</v>
      </c>
      <c r="K236" s="470" t="s">
        <v>6265</v>
      </c>
      <c r="L236" s="470" t="s">
        <v>6281</v>
      </c>
      <c r="M236" s="470" t="s">
        <v>9</v>
      </c>
      <c r="N236" s="473">
        <v>1</v>
      </c>
      <c r="O236" s="471"/>
      <c r="P236" s="471"/>
      <c r="Q236" s="471"/>
      <c r="R236" s="470"/>
      <c r="S236" s="471">
        <v>0.12646990740740741</v>
      </c>
      <c r="T236" s="471">
        <v>0.19313657407407406</v>
      </c>
      <c r="U236" s="471"/>
      <c r="V236" s="471"/>
      <c r="W236" s="471">
        <v>0.50129629629629624</v>
      </c>
      <c r="X236" s="471">
        <v>0.8094675925925926</v>
      </c>
      <c r="Y236" s="471">
        <v>2.7083333333333334E-2</v>
      </c>
      <c r="Z236" s="471">
        <v>0.32083333333333336</v>
      </c>
      <c r="AA236" s="471">
        <v>0.61875000000000002</v>
      </c>
      <c r="AB236" s="470" t="s">
        <v>6289</v>
      </c>
      <c r="AC236" s="473">
        <v>131</v>
      </c>
      <c r="AD236" s="470" t="s">
        <v>119</v>
      </c>
      <c r="AE236" s="470"/>
      <c r="AF236" s="473">
        <v>71.900000000000006</v>
      </c>
      <c r="AG236" s="469">
        <v>93.9</v>
      </c>
      <c r="AH236" s="470" t="s">
        <v>6313</v>
      </c>
      <c r="AI236" s="470" t="s">
        <v>6329</v>
      </c>
      <c r="AJ236" s="470" t="s">
        <v>6493</v>
      </c>
      <c r="AK236" s="470" t="s">
        <v>6493</v>
      </c>
      <c r="AL236" s="470"/>
      <c r="AM236" s="470"/>
      <c r="AN236" s="470"/>
      <c r="AO236" s="470"/>
      <c r="AP236" s="470"/>
      <c r="AQ236" s="470"/>
      <c r="AR236" s="470"/>
      <c r="AS236" s="470"/>
      <c r="AT236" s="470"/>
      <c r="AU236" s="470"/>
      <c r="AV236" s="470"/>
      <c r="AW236" s="470"/>
      <c r="AX236" s="470"/>
      <c r="AY236" s="470"/>
      <c r="AZ236" s="470"/>
      <c r="BA236" s="470"/>
      <c r="BB236" s="470"/>
      <c r="BC236" s="470"/>
      <c r="BD236" s="470"/>
      <c r="BE236" s="470"/>
      <c r="BF236" s="470"/>
      <c r="BG236" s="470"/>
      <c r="BH236" s="470"/>
      <c r="BI236" s="470"/>
      <c r="BJ236" s="470"/>
      <c r="BK236" s="470"/>
      <c r="BL236" s="474"/>
    </row>
    <row r="237" spans="1:64">
      <c r="A237" s="475">
        <v>44028</v>
      </c>
      <c r="B237" s="478">
        <v>198</v>
      </c>
      <c r="C237" s="478">
        <v>168</v>
      </c>
      <c r="D237" s="476" t="s">
        <v>626</v>
      </c>
      <c r="E237" s="477">
        <v>29</v>
      </c>
      <c r="F237" s="476" t="s">
        <v>6714</v>
      </c>
      <c r="G237" s="477">
        <v>534</v>
      </c>
      <c r="H237" s="476" t="s">
        <v>6252</v>
      </c>
      <c r="I237" s="476" t="s">
        <v>836</v>
      </c>
      <c r="J237" s="477">
        <v>11</v>
      </c>
      <c r="K237" s="476" t="s">
        <v>6271</v>
      </c>
      <c r="L237" s="476" t="s">
        <v>6282</v>
      </c>
      <c r="M237" s="476" t="s">
        <v>9</v>
      </c>
      <c r="N237" s="478">
        <v>1</v>
      </c>
      <c r="O237" s="479"/>
      <c r="P237" s="479"/>
      <c r="Q237" s="479">
        <v>4.6296296296296302E-3</v>
      </c>
      <c r="R237" s="476" t="s">
        <v>21</v>
      </c>
      <c r="S237" s="479">
        <v>0.1270138888888889</v>
      </c>
      <c r="T237" s="479">
        <v>0.19368055555555555</v>
      </c>
      <c r="U237" s="479"/>
      <c r="V237" s="479"/>
      <c r="W237" s="479">
        <v>0.50135416666666666</v>
      </c>
      <c r="X237" s="479">
        <v>0.80902777777777779</v>
      </c>
      <c r="Y237" s="479">
        <v>4.7916666666666663E-2</v>
      </c>
      <c r="Z237" s="479">
        <v>0.3527777777777778</v>
      </c>
      <c r="AA237" s="479">
        <v>0.66180555555555554</v>
      </c>
      <c r="AB237" s="476" t="s">
        <v>6289</v>
      </c>
      <c r="AC237" s="478">
        <v>131</v>
      </c>
      <c r="AD237" s="476" t="s">
        <v>119</v>
      </c>
      <c r="AE237" s="476"/>
      <c r="AF237" s="478">
        <v>65.7</v>
      </c>
      <c r="AG237" s="477">
        <v>85.5</v>
      </c>
      <c r="AH237" s="476" t="s">
        <v>6314</v>
      </c>
      <c r="AI237" s="476" t="s">
        <v>6330</v>
      </c>
      <c r="AJ237" s="476" t="s">
        <v>838</v>
      </c>
      <c r="AK237" s="476" t="s">
        <v>13</v>
      </c>
      <c r="AL237" s="476" t="s">
        <v>6799</v>
      </c>
      <c r="AM237" s="476" t="s">
        <v>6342</v>
      </c>
      <c r="AN237" s="476" t="s">
        <v>6946</v>
      </c>
      <c r="AO237" s="476" t="s">
        <v>6351</v>
      </c>
      <c r="AP237" s="476" t="s">
        <v>7025</v>
      </c>
      <c r="AQ237" s="476"/>
      <c r="AR237" s="476"/>
      <c r="AS237" s="476"/>
      <c r="AT237" s="476"/>
      <c r="AU237" s="476"/>
      <c r="AV237" s="476"/>
      <c r="AW237" s="476"/>
      <c r="AX237" s="476"/>
      <c r="AY237" s="476"/>
      <c r="AZ237" s="476"/>
      <c r="BA237" s="476"/>
      <c r="BB237" s="476"/>
      <c r="BC237" s="476"/>
      <c r="BD237" s="476"/>
      <c r="BE237" s="476"/>
      <c r="BF237" s="476"/>
      <c r="BG237" s="476"/>
      <c r="BH237" s="476"/>
      <c r="BI237" s="476"/>
      <c r="BJ237" s="476"/>
      <c r="BK237" s="476"/>
      <c r="BL237" s="480"/>
    </row>
    <row r="238" spans="1:64">
      <c r="A238" s="468">
        <v>44029</v>
      </c>
      <c r="B238" s="473">
        <v>199</v>
      </c>
      <c r="C238" s="473">
        <v>167</v>
      </c>
      <c r="D238" s="470" t="s">
        <v>626</v>
      </c>
      <c r="E238" s="469">
        <v>29</v>
      </c>
      <c r="F238" s="470" t="s">
        <v>100</v>
      </c>
      <c r="G238" s="469">
        <v>534</v>
      </c>
      <c r="H238" s="470" t="s">
        <v>6252</v>
      </c>
      <c r="I238" s="470" t="s">
        <v>836</v>
      </c>
      <c r="J238" s="469">
        <v>12</v>
      </c>
      <c r="K238" s="470" t="s">
        <v>6266</v>
      </c>
      <c r="L238" s="470" t="s">
        <v>6283</v>
      </c>
      <c r="M238" s="470" t="s">
        <v>9</v>
      </c>
      <c r="N238" s="473">
        <v>1</v>
      </c>
      <c r="O238" s="471"/>
      <c r="P238" s="471"/>
      <c r="Q238" s="471"/>
      <c r="R238" s="470"/>
      <c r="S238" s="471">
        <v>0.12758101851851852</v>
      </c>
      <c r="T238" s="471">
        <v>0.19424768518518518</v>
      </c>
      <c r="U238" s="471">
        <v>0.19375000000000001</v>
      </c>
      <c r="V238" s="471">
        <v>0.39861111111111108</v>
      </c>
      <c r="W238" s="471">
        <v>0.50141203703703707</v>
      </c>
      <c r="X238" s="471">
        <v>0.80856481481481479</v>
      </c>
      <c r="Y238" s="471">
        <v>7.2916666666666671E-2</v>
      </c>
      <c r="Z238" s="471">
        <v>0.38750000000000001</v>
      </c>
      <c r="AA238" s="471">
        <v>0.7055555555555556</v>
      </c>
      <c r="AB238" s="470" t="s">
        <v>6289</v>
      </c>
      <c r="AC238" s="473">
        <v>131</v>
      </c>
      <c r="AD238" s="470" t="s">
        <v>119</v>
      </c>
      <c r="AE238" s="470"/>
      <c r="AF238" s="473">
        <v>61.6</v>
      </c>
      <c r="AG238" s="469">
        <v>79</v>
      </c>
      <c r="AH238" s="470" t="s">
        <v>973</v>
      </c>
      <c r="AI238" s="470" t="s">
        <v>6331</v>
      </c>
      <c r="AJ238" s="470" t="s">
        <v>839</v>
      </c>
      <c r="AK238" s="470" t="s">
        <v>6493</v>
      </c>
      <c r="AL238" s="470" t="s">
        <v>6800</v>
      </c>
      <c r="AM238" s="470" t="s">
        <v>6343</v>
      </c>
      <c r="AN238" s="470"/>
      <c r="AO238" s="470"/>
      <c r="AP238" s="470"/>
      <c r="AQ238" s="470"/>
      <c r="AR238" s="470"/>
      <c r="AS238" s="470"/>
      <c r="AT238" s="470"/>
      <c r="AU238" s="470"/>
      <c r="AV238" s="470"/>
      <c r="AW238" s="470"/>
      <c r="AX238" s="470"/>
      <c r="AY238" s="470"/>
      <c r="AZ238" s="470"/>
      <c r="BA238" s="470"/>
      <c r="BB238" s="470"/>
      <c r="BC238" s="470"/>
      <c r="BD238" s="470"/>
      <c r="BE238" s="470"/>
      <c r="BF238" s="470"/>
      <c r="BG238" s="470"/>
      <c r="BH238" s="470"/>
      <c r="BI238" s="470"/>
      <c r="BJ238" s="470"/>
      <c r="BK238" s="470"/>
      <c r="BL238" s="474"/>
    </row>
    <row r="239" spans="1:64">
      <c r="A239" s="475">
        <v>44030</v>
      </c>
      <c r="B239" s="478">
        <v>200</v>
      </c>
      <c r="C239" s="478">
        <v>166</v>
      </c>
      <c r="D239" s="476" t="s">
        <v>626</v>
      </c>
      <c r="E239" s="477">
        <v>29</v>
      </c>
      <c r="F239" s="476" t="s">
        <v>103</v>
      </c>
      <c r="G239" s="477">
        <v>534</v>
      </c>
      <c r="H239" s="476" t="s">
        <v>6252</v>
      </c>
      <c r="I239" s="476" t="s">
        <v>836</v>
      </c>
      <c r="J239" s="477">
        <v>13</v>
      </c>
      <c r="K239" s="476" t="s">
        <v>6267</v>
      </c>
      <c r="L239" s="476" t="s">
        <v>6284</v>
      </c>
      <c r="M239" s="476" t="s">
        <v>9</v>
      </c>
      <c r="N239" s="478">
        <v>1</v>
      </c>
      <c r="O239" s="479"/>
      <c r="P239" s="479"/>
      <c r="Q239" s="479"/>
      <c r="R239" s="476"/>
      <c r="S239" s="479">
        <v>0.12815972222222222</v>
      </c>
      <c r="T239" s="479">
        <v>0.1948263888888889</v>
      </c>
      <c r="U239" s="479"/>
      <c r="V239" s="479"/>
      <c r="W239" s="479">
        <v>0.50144675925925919</v>
      </c>
      <c r="X239" s="479">
        <v>0.80807870370370372</v>
      </c>
      <c r="Y239" s="479">
        <v>0.10208333333333335</v>
      </c>
      <c r="Z239" s="479">
        <v>0.4236111111111111</v>
      </c>
      <c r="AA239" s="479">
        <v>0.74722222222222223</v>
      </c>
      <c r="AB239" s="476" t="s">
        <v>6289</v>
      </c>
      <c r="AC239" s="478">
        <v>131</v>
      </c>
      <c r="AD239" s="476" t="s">
        <v>119</v>
      </c>
      <c r="AE239" s="476"/>
      <c r="AF239" s="478">
        <v>60.1</v>
      </c>
      <c r="AG239" s="477">
        <v>74.7</v>
      </c>
      <c r="AH239" s="476" t="s">
        <v>6290</v>
      </c>
      <c r="AI239" s="476" t="s">
        <v>6332</v>
      </c>
      <c r="AJ239" s="476" t="s">
        <v>6493</v>
      </c>
      <c r="AK239" s="476" t="s">
        <v>6493</v>
      </c>
      <c r="AL239" s="476"/>
      <c r="AM239" s="476"/>
      <c r="AN239" s="476"/>
      <c r="AO239" s="476"/>
      <c r="AP239" s="476"/>
      <c r="AQ239" s="476"/>
      <c r="AR239" s="476"/>
      <c r="AS239" s="476"/>
      <c r="AT239" s="476"/>
      <c r="AU239" s="476"/>
      <c r="AV239" s="476"/>
      <c r="AW239" s="476"/>
      <c r="AX239" s="476"/>
      <c r="AY239" s="476"/>
      <c r="AZ239" s="476"/>
      <c r="BA239" s="476"/>
      <c r="BB239" s="476"/>
      <c r="BC239" s="476"/>
      <c r="BD239" s="476"/>
      <c r="BE239" s="476"/>
      <c r="BF239" s="476"/>
      <c r="BG239" s="476"/>
      <c r="BH239" s="476"/>
      <c r="BI239" s="476"/>
      <c r="BJ239" s="476"/>
      <c r="BK239" s="476"/>
      <c r="BL239" s="480"/>
    </row>
    <row r="240" spans="1:64">
      <c r="A240" s="468">
        <v>44031</v>
      </c>
      <c r="B240" s="473">
        <v>201</v>
      </c>
      <c r="C240" s="473">
        <v>165</v>
      </c>
      <c r="D240" s="470" t="s">
        <v>626</v>
      </c>
      <c r="E240" s="469">
        <v>29</v>
      </c>
      <c r="F240" s="470" t="s">
        <v>106</v>
      </c>
      <c r="G240" s="469">
        <v>534</v>
      </c>
      <c r="H240" s="470" t="s">
        <v>6252</v>
      </c>
      <c r="I240" s="470" t="s">
        <v>836</v>
      </c>
      <c r="J240" s="469">
        <v>14</v>
      </c>
      <c r="K240" s="470" t="s">
        <v>6268</v>
      </c>
      <c r="L240" s="470" t="s">
        <v>6285</v>
      </c>
      <c r="M240" s="470" t="s">
        <v>9</v>
      </c>
      <c r="N240" s="473">
        <v>1</v>
      </c>
      <c r="O240" s="471"/>
      <c r="P240" s="471"/>
      <c r="Q240" s="471"/>
      <c r="R240" s="470"/>
      <c r="S240" s="471">
        <v>0.12873842592592591</v>
      </c>
      <c r="T240" s="471">
        <v>0.19540509259259262</v>
      </c>
      <c r="U240" s="471"/>
      <c r="V240" s="471"/>
      <c r="W240" s="471">
        <v>0.50149305555555557</v>
      </c>
      <c r="X240" s="471">
        <v>0.80758101851851849</v>
      </c>
      <c r="Y240" s="471">
        <v>0.13749999999999998</v>
      </c>
      <c r="Z240" s="471">
        <v>0.46249999999999997</v>
      </c>
      <c r="AA240" s="471">
        <v>0.78611111111111109</v>
      </c>
      <c r="AB240" s="470" t="s">
        <v>6289</v>
      </c>
      <c r="AC240" s="473">
        <v>131</v>
      </c>
      <c r="AD240" s="470" t="s">
        <v>119</v>
      </c>
      <c r="AE240" s="470"/>
      <c r="AF240" s="473">
        <v>61.3</v>
      </c>
      <c r="AG240" s="469">
        <v>73</v>
      </c>
      <c r="AH240" s="470" t="s">
        <v>6315</v>
      </c>
      <c r="AI240" s="470" t="s">
        <v>6333</v>
      </c>
      <c r="AJ240" s="470" t="s">
        <v>6493</v>
      </c>
      <c r="AK240" s="470" t="s">
        <v>6493</v>
      </c>
      <c r="AL240" s="470"/>
      <c r="AM240" s="470"/>
      <c r="AN240" s="470"/>
      <c r="AO240" s="470"/>
      <c r="AP240" s="470"/>
      <c r="AQ240" s="470"/>
      <c r="AR240" s="470"/>
      <c r="AS240" s="470"/>
      <c r="AT240" s="470"/>
      <c r="AU240" s="470"/>
      <c r="AV240" s="470"/>
      <c r="AW240" s="470"/>
      <c r="AX240" s="470"/>
      <c r="AY240" s="470"/>
      <c r="AZ240" s="470"/>
      <c r="BA240" s="470"/>
      <c r="BB240" s="470"/>
      <c r="BC240" s="470"/>
      <c r="BD240" s="470"/>
      <c r="BE240" s="470"/>
      <c r="BF240" s="470"/>
      <c r="BG240" s="470"/>
      <c r="BH240" s="470"/>
      <c r="BI240" s="470"/>
      <c r="BJ240" s="470"/>
      <c r="BK240" s="470"/>
      <c r="BL240" s="474"/>
    </row>
    <row r="241" spans="1:64">
      <c r="A241" s="475">
        <v>44032</v>
      </c>
      <c r="B241" s="478">
        <v>202</v>
      </c>
      <c r="C241" s="478">
        <v>164</v>
      </c>
      <c r="D241" s="476" t="s">
        <v>626</v>
      </c>
      <c r="E241" s="477">
        <v>30</v>
      </c>
      <c r="F241" s="476" t="s">
        <v>88</v>
      </c>
      <c r="G241" s="477">
        <v>534</v>
      </c>
      <c r="H241" s="476" t="s">
        <v>6252</v>
      </c>
      <c r="I241" s="476" t="s">
        <v>836</v>
      </c>
      <c r="J241" s="477">
        <v>15</v>
      </c>
      <c r="K241" s="476" t="s">
        <v>6269</v>
      </c>
      <c r="L241" s="476" t="s">
        <v>6286</v>
      </c>
      <c r="M241" s="476" t="s">
        <v>9</v>
      </c>
      <c r="N241" s="478">
        <v>1</v>
      </c>
      <c r="O241" s="479"/>
      <c r="P241" s="479"/>
      <c r="Q241" s="479"/>
      <c r="R241" s="476"/>
      <c r="S241" s="479">
        <v>0.1293287037037037</v>
      </c>
      <c r="T241" s="479">
        <v>0.19599537037037038</v>
      </c>
      <c r="U241" s="479"/>
      <c r="V241" s="479"/>
      <c r="W241" s="479">
        <v>0.50152777777777779</v>
      </c>
      <c r="X241" s="479">
        <v>0.80704861111111104</v>
      </c>
      <c r="Y241" s="479">
        <v>0.17916666666666667</v>
      </c>
      <c r="Z241" s="479">
        <v>0.50208333333333333</v>
      </c>
      <c r="AA241" s="479">
        <v>0.82152777777777775</v>
      </c>
      <c r="AB241" s="476" t="s">
        <v>6463</v>
      </c>
      <c r="AC241" s="478">
        <v>152</v>
      </c>
      <c r="AD241" s="476" t="s">
        <v>110</v>
      </c>
      <c r="AE241" s="476" t="s">
        <v>6532</v>
      </c>
      <c r="AF241" s="478">
        <v>65.3</v>
      </c>
      <c r="AG241" s="477">
        <v>73.7</v>
      </c>
      <c r="AH241" s="476" t="s">
        <v>6291</v>
      </c>
      <c r="AI241" s="476" t="s">
        <v>6334</v>
      </c>
      <c r="AJ241" s="476" t="s">
        <v>6493</v>
      </c>
      <c r="AK241" s="476" t="s">
        <v>6493</v>
      </c>
      <c r="AL241" s="476"/>
      <c r="AM241" s="476"/>
      <c r="AN241" s="476"/>
      <c r="AO241" s="476"/>
      <c r="AP241" s="476"/>
      <c r="AQ241" s="476"/>
      <c r="AR241" s="476"/>
      <c r="AS241" s="476"/>
      <c r="AT241" s="476"/>
      <c r="AU241" s="476"/>
      <c r="AV241" s="476"/>
      <c r="AW241" s="476"/>
      <c r="AX241" s="476"/>
      <c r="AY241" s="476"/>
      <c r="AZ241" s="476"/>
      <c r="BA241" s="476"/>
      <c r="BB241" s="476"/>
      <c r="BC241" s="476"/>
      <c r="BD241" s="476"/>
      <c r="BE241" s="476"/>
      <c r="BF241" s="476"/>
      <c r="BG241" s="476"/>
      <c r="BH241" s="476"/>
      <c r="BI241" s="476"/>
      <c r="BJ241" s="476"/>
      <c r="BK241" s="476"/>
      <c r="BL241" s="480"/>
    </row>
    <row r="242" spans="1:64">
      <c r="A242" s="468">
        <v>44033</v>
      </c>
      <c r="B242" s="473">
        <v>203</v>
      </c>
      <c r="C242" s="473">
        <v>163</v>
      </c>
      <c r="D242" s="470" t="s">
        <v>626</v>
      </c>
      <c r="E242" s="469">
        <v>30</v>
      </c>
      <c r="F242" s="470" t="s">
        <v>91</v>
      </c>
      <c r="G242" s="469">
        <v>534</v>
      </c>
      <c r="H242" s="470" t="s">
        <v>6252</v>
      </c>
      <c r="I242" s="470" t="s">
        <v>6257</v>
      </c>
      <c r="J242" s="469">
        <v>16</v>
      </c>
      <c r="K242" s="470" t="s">
        <v>6270</v>
      </c>
      <c r="L242" s="470" t="s">
        <v>6287</v>
      </c>
      <c r="M242" s="470" t="s">
        <v>9</v>
      </c>
      <c r="N242" s="473">
        <v>1</v>
      </c>
      <c r="O242" s="471"/>
      <c r="P242" s="471"/>
      <c r="Q242" s="471"/>
      <c r="R242" s="470"/>
      <c r="S242" s="471">
        <v>0.12993055555555555</v>
      </c>
      <c r="T242" s="471">
        <v>0.19659722222222223</v>
      </c>
      <c r="U242" s="471"/>
      <c r="V242" s="471"/>
      <c r="W242" s="471">
        <v>0.50155092592592598</v>
      </c>
      <c r="X242" s="471">
        <v>0.80650462962962965</v>
      </c>
      <c r="Y242" s="471">
        <v>0.22569444444444445</v>
      </c>
      <c r="Z242" s="471">
        <v>0.54097222222222219</v>
      </c>
      <c r="AA242" s="471">
        <v>0.85138888888888886</v>
      </c>
      <c r="AB242" s="470" t="s">
        <v>6463</v>
      </c>
      <c r="AC242" s="473">
        <v>152</v>
      </c>
      <c r="AD242" s="470" t="s">
        <v>110</v>
      </c>
      <c r="AE242" s="470"/>
      <c r="AF242" s="473">
        <v>72</v>
      </c>
      <c r="AG242" s="469">
        <v>76.900000000000006</v>
      </c>
      <c r="AH242" s="470" t="s">
        <v>6292</v>
      </c>
      <c r="AI242" s="470" t="s">
        <v>6335</v>
      </c>
      <c r="AJ242" s="470" t="s">
        <v>6493</v>
      </c>
      <c r="AK242" s="470" t="s">
        <v>6493</v>
      </c>
      <c r="AL242" s="470"/>
      <c r="AM242" s="470"/>
      <c r="AN242" s="470"/>
      <c r="AO242" s="470"/>
      <c r="AP242" s="470"/>
      <c r="AQ242" s="470"/>
      <c r="AR242" s="470"/>
      <c r="AS242" s="470"/>
      <c r="AT242" s="470"/>
      <c r="AU242" s="470"/>
      <c r="AV242" s="470"/>
      <c r="AW242" s="470"/>
      <c r="AX242" s="470"/>
      <c r="AY242" s="470"/>
      <c r="AZ242" s="470"/>
      <c r="BA242" s="470"/>
      <c r="BB242" s="470"/>
      <c r="BC242" s="470"/>
      <c r="BD242" s="470"/>
      <c r="BE242" s="470"/>
      <c r="BF242" s="470"/>
      <c r="BG242" s="470"/>
      <c r="BH242" s="470"/>
      <c r="BI242" s="470"/>
      <c r="BJ242" s="470"/>
      <c r="BK242" s="470"/>
      <c r="BL242" s="474"/>
    </row>
    <row r="243" spans="1:64">
      <c r="A243" s="475">
        <v>44034</v>
      </c>
      <c r="B243" s="478">
        <v>204</v>
      </c>
      <c r="C243" s="478">
        <v>162</v>
      </c>
      <c r="D243" s="476" t="s">
        <v>626</v>
      </c>
      <c r="E243" s="477">
        <v>30</v>
      </c>
      <c r="F243" s="476" t="s">
        <v>94</v>
      </c>
      <c r="G243" s="477">
        <v>534</v>
      </c>
      <c r="H243" s="476" t="s">
        <v>6252</v>
      </c>
      <c r="I243" s="476" t="s">
        <v>6257</v>
      </c>
      <c r="J243" s="477">
        <v>17</v>
      </c>
      <c r="K243" s="476" t="s">
        <v>1034</v>
      </c>
      <c r="L243" s="476" t="s">
        <v>6273</v>
      </c>
      <c r="M243" s="476" t="s">
        <v>9</v>
      </c>
      <c r="N243" s="478">
        <v>1</v>
      </c>
      <c r="O243" s="479"/>
      <c r="P243" s="479"/>
      <c r="Q243" s="479"/>
      <c r="R243" s="476"/>
      <c r="S243" s="479">
        <v>0.1305324074074074</v>
      </c>
      <c r="T243" s="479">
        <v>0.19719907407407408</v>
      </c>
      <c r="U243" s="479"/>
      <c r="V243" s="479"/>
      <c r="W243" s="479">
        <v>0.50157407407407406</v>
      </c>
      <c r="X243" s="479">
        <v>0.80593750000000008</v>
      </c>
      <c r="Y243" s="479">
        <v>0.27430555555555552</v>
      </c>
      <c r="Z243" s="479">
        <v>0.57916666666666672</v>
      </c>
      <c r="AA243" s="479">
        <v>0.87777777777777777</v>
      </c>
      <c r="AB243" s="476" t="s">
        <v>6463</v>
      </c>
      <c r="AC243" s="478">
        <v>152</v>
      </c>
      <c r="AD243" s="476" t="s">
        <v>110</v>
      </c>
      <c r="AE243" s="476"/>
      <c r="AF243" s="478">
        <v>80.900000000000006</v>
      </c>
      <c r="AG243" s="477">
        <v>82.1</v>
      </c>
      <c r="AH243" s="476" t="s">
        <v>6293</v>
      </c>
      <c r="AI243" s="476" t="s">
        <v>6337</v>
      </c>
      <c r="AJ243" s="476" t="s">
        <v>6493</v>
      </c>
      <c r="AK243" s="476" t="s">
        <v>6493</v>
      </c>
      <c r="AL243" s="476"/>
      <c r="AM243" s="476"/>
      <c r="AN243" s="476"/>
      <c r="AO243" s="476"/>
      <c r="AP243" s="476"/>
      <c r="AQ243" s="476"/>
      <c r="AR243" s="476"/>
      <c r="AS243" s="476"/>
      <c r="AT243" s="476"/>
      <c r="AU243" s="476"/>
      <c r="AV243" s="476"/>
      <c r="AW243" s="476"/>
      <c r="AX243" s="476"/>
      <c r="AY243" s="476"/>
      <c r="AZ243" s="476"/>
      <c r="BA243" s="476"/>
      <c r="BB243" s="476"/>
      <c r="BC243" s="476"/>
      <c r="BD243" s="476"/>
      <c r="BE243" s="476"/>
      <c r="BF243" s="476"/>
      <c r="BG243" s="476"/>
      <c r="BH243" s="476"/>
      <c r="BI243" s="476"/>
      <c r="BJ243" s="476"/>
      <c r="BK243" s="476"/>
      <c r="BL243" s="480"/>
    </row>
    <row r="244" spans="1:64">
      <c r="A244" s="468">
        <v>44035</v>
      </c>
      <c r="B244" s="473">
        <v>205</v>
      </c>
      <c r="C244" s="473">
        <v>161</v>
      </c>
      <c r="D244" s="470" t="s">
        <v>626</v>
      </c>
      <c r="E244" s="469">
        <v>30</v>
      </c>
      <c r="F244" s="470" t="s">
        <v>6714</v>
      </c>
      <c r="G244" s="469">
        <v>534</v>
      </c>
      <c r="H244" s="470" t="s">
        <v>6252</v>
      </c>
      <c r="I244" s="470" t="s">
        <v>6257</v>
      </c>
      <c r="J244" s="469">
        <v>18</v>
      </c>
      <c r="K244" s="470" t="s">
        <v>6258</v>
      </c>
      <c r="L244" s="470" t="s">
        <v>6274</v>
      </c>
      <c r="M244" s="470" t="s">
        <v>9</v>
      </c>
      <c r="N244" s="473">
        <v>1</v>
      </c>
      <c r="O244" s="471"/>
      <c r="P244" s="471"/>
      <c r="Q244" s="471"/>
      <c r="R244" s="470"/>
      <c r="S244" s="471">
        <v>0.13114583333333332</v>
      </c>
      <c r="T244" s="471">
        <v>0.19781250000000003</v>
      </c>
      <c r="U244" s="471"/>
      <c r="V244" s="471"/>
      <c r="W244" s="471">
        <v>0.5015856481481481</v>
      </c>
      <c r="X244" s="471">
        <v>0.80534722222222221</v>
      </c>
      <c r="Y244" s="471">
        <v>0.32569444444444445</v>
      </c>
      <c r="Z244" s="471">
        <v>0.61527777777777781</v>
      </c>
      <c r="AA244" s="471">
        <v>0.90138888888888891</v>
      </c>
      <c r="AB244" s="470" t="s">
        <v>6463</v>
      </c>
      <c r="AC244" s="473">
        <v>152</v>
      </c>
      <c r="AD244" s="470" t="s">
        <v>110</v>
      </c>
      <c r="AE244" s="470"/>
      <c r="AF244" s="473">
        <v>91.5</v>
      </c>
      <c r="AG244" s="469">
        <v>88.8</v>
      </c>
      <c r="AH244" s="470" t="s">
        <v>6294</v>
      </c>
      <c r="AI244" s="470" t="s">
        <v>6338</v>
      </c>
      <c r="AJ244" s="470" t="s">
        <v>6493</v>
      </c>
      <c r="AK244" s="470" t="s">
        <v>6493</v>
      </c>
      <c r="AL244" s="470"/>
      <c r="AM244" s="470"/>
      <c r="AN244" s="470"/>
      <c r="AO244" s="470"/>
      <c r="AP244" s="470"/>
      <c r="AQ244" s="470"/>
      <c r="AR244" s="470"/>
      <c r="AS244" s="470"/>
      <c r="AT244" s="470"/>
      <c r="AU244" s="470"/>
      <c r="AV244" s="470"/>
      <c r="AW244" s="470"/>
      <c r="AX244" s="470"/>
      <c r="AY244" s="470"/>
      <c r="AZ244" s="470"/>
      <c r="BA244" s="470"/>
      <c r="BB244" s="470"/>
      <c r="BC244" s="470"/>
      <c r="BD244" s="470"/>
      <c r="BE244" s="470"/>
      <c r="BF244" s="470"/>
      <c r="BG244" s="470"/>
      <c r="BH244" s="470"/>
      <c r="BI244" s="470"/>
      <c r="BJ244" s="470"/>
      <c r="BK244" s="470"/>
      <c r="BL244" s="474"/>
    </row>
    <row r="245" spans="1:64">
      <c r="A245" s="475">
        <v>44036</v>
      </c>
      <c r="B245" s="478">
        <v>206</v>
      </c>
      <c r="C245" s="478">
        <v>160</v>
      </c>
      <c r="D245" s="476" t="s">
        <v>626</v>
      </c>
      <c r="E245" s="477">
        <v>30</v>
      </c>
      <c r="F245" s="476" t="s">
        <v>100</v>
      </c>
      <c r="G245" s="477">
        <v>534</v>
      </c>
      <c r="H245" s="476" t="s">
        <v>6252</v>
      </c>
      <c r="I245" s="476" t="s">
        <v>6257</v>
      </c>
      <c r="J245" s="477">
        <v>20</v>
      </c>
      <c r="K245" s="476" t="s">
        <v>6260</v>
      </c>
      <c r="L245" s="476" t="s">
        <v>6275</v>
      </c>
      <c r="M245" s="476" t="s">
        <v>9</v>
      </c>
      <c r="N245" s="478">
        <v>1</v>
      </c>
      <c r="O245" s="479">
        <v>0.27430555555555552</v>
      </c>
      <c r="P245" s="479">
        <v>0.17083333333333331</v>
      </c>
      <c r="Q245" s="479"/>
      <c r="R245" s="476"/>
      <c r="S245" s="479">
        <v>0.13177083333333334</v>
      </c>
      <c r="T245" s="479">
        <v>0.19843750000000002</v>
      </c>
      <c r="U245" s="479"/>
      <c r="V245" s="479"/>
      <c r="W245" s="479">
        <v>0.5015856481481481</v>
      </c>
      <c r="X245" s="479">
        <v>0.80474537037037042</v>
      </c>
      <c r="Y245" s="479">
        <v>0.3756944444444445</v>
      </c>
      <c r="Z245" s="479">
        <v>0.65069444444444446</v>
      </c>
      <c r="AA245" s="479">
        <v>0.92222222222222217</v>
      </c>
      <c r="AB245" s="476" t="s">
        <v>6463</v>
      </c>
      <c r="AC245" s="478">
        <v>152</v>
      </c>
      <c r="AD245" s="476" t="s">
        <v>110</v>
      </c>
      <c r="AE245" s="476"/>
      <c r="AF245" s="478">
        <v>3.1</v>
      </c>
      <c r="AG245" s="477">
        <v>96.4</v>
      </c>
      <c r="AH245" s="476" t="s">
        <v>6295</v>
      </c>
      <c r="AI245" s="476" t="s">
        <v>6339</v>
      </c>
      <c r="AJ245" s="476" t="s">
        <v>839</v>
      </c>
      <c r="AK245" s="476" t="s">
        <v>6493</v>
      </c>
      <c r="AL245" s="476" t="s">
        <v>6801</v>
      </c>
      <c r="AM245" s="476" t="s">
        <v>6346</v>
      </c>
      <c r="AN245" s="476" t="s">
        <v>6947</v>
      </c>
      <c r="AO245" s="476" t="s">
        <v>6345</v>
      </c>
      <c r="AP245" s="476" t="s">
        <v>7026</v>
      </c>
      <c r="AQ245" s="476"/>
      <c r="AR245" s="476"/>
      <c r="AS245" s="476"/>
      <c r="AT245" s="476"/>
      <c r="AU245" s="476"/>
      <c r="AV245" s="476"/>
      <c r="AW245" s="476"/>
      <c r="AX245" s="476"/>
      <c r="AY245" s="476"/>
      <c r="AZ245" s="476"/>
      <c r="BA245" s="476"/>
      <c r="BB245" s="476"/>
      <c r="BC245" s="476"/>
      <c r="BD245" s="476"/>
      <c r="BE245" s="476"/>
      <c r="BF245" s="476"/>
      <c r="BG245" s="476"/>
      <c r="BH245" s="476"/>
      <c r="BI245" s="476"/>
      <c r="BJ245" s="476" t="s">
        <v>6706</v>
      </c>
      <c r="BK245" s="476"/>
      <c r="BL245" s="480"/>
    </row>
    <row r="246" spans="1:64">
      <c r="A246" s="468">
        <v>44037</v>
      </c>
      <c r="B246" s="473">
        <v>207</v>
      </c>
      <c r="C246" s="473">
        <v>159</v>
      </c>
      <c r="D246" s="470" t="s">
        <v>626</v>
      </c>
      <c r="E246" s="469">
        <v>30</v>
      </c>
      <c r="F246" s="470" t="s">
        <v>103</v>
      </c>
      <c r="G246" s="469">
        <v>534</v>
      </c>
      <c r="H246" s="470" t="s">
        <v>6252</v>
      </c>
      <c r="I246" s="470" t="s">
        <v>6257</v>
      </c>
      <c r="J246" s="469">
        <v>21</v>
      </c>
      <c r="K246" s="470" t="s">
        <v>6261</v>
      </c>
      <c r="L246" s="470" t="s">
        <v>6277</v>
      </c>
      <c r="M246" s="470" t="s">
        <v>9</v>
      </c>
      <c r="N246" s="473">
        <v>1</v>
      </c>
      <c r="O246" s="471"/>
      <c r="P246" s="471"/>
      <c r="Q246" s="471"/>
      <c r="R246" s="470"/>
      <c r="S246" s="471">
        <v>0.13239583333333335</v>
      </c>
      <c r="T246" s="471">
        <v>0.1990625</v>
      </c>
      <c r="U246" s="471"/>
      <c r="V246" s="471"/>
      <c r="W246" s="471">
        <v>0.5015856481481481</v>
      </c>
      <c r="X246" s="471">
        <v>0.80412037037037043</v>
      </c>
      <c r="Y246" s="471">
        <v>0.42569444444444443</v>
      </c>
      <c r="Z246" s="471">
        <v>0.68541666666666667</v>
      </c>
      <c r="AA246" s="471">
        <v>0.94236111111111109</v>
      </c>
      <c r="AB246" s="470" t="s">
        <v>6463</v>
      </c>
      <c r="AC246" s="473">
        <v>152</v>
      </c>
      <c r="AD246" s="470" t="s">
        <v>110</v>
      </c>
      <c r="AE246" s="470"/>
      <c r="AF246" s="473">
        <v>14.9</v>
      </c>
      <c r="AG246" s="469">
        <v>4.3</v>
      </c>
      <c r="AH246" s="470" t="s">
        <v>6297</v>
      </c>
      <c r="AI246" s="470" t="s">
        <v>6340</v>
      </c>
      <c r="AJ246" s="470" t="s">
        <v>6493</v>
      </c>
      <c r="AK246" s="470" t="s">
        <v>6493</v>
      </c>
      <c r="AL246" s="470"/>
      <c r="AM246" s="470"/>
      <c r="AN246" s="470"/>
      <c r="AO246" s="470"/>
      <c r="AP246" s="470"/>
      <c r="AQ246" s="470"/>
      <c r="AR246" s="470"/>
      <c r="AS246" s="470"/>
      <c r="AT246" s="470"/>
      <c r="AU246" s="470"/>
      <c r="AV246" s="470"/>
      <c r="AW246" s="470"/>
      <c r="AX246" s="470"/>
      <c r="AY246" s="470"/>
      <c r="AZ246" s="470"/>
      <c r="BA246" s="470"/>
      <c r="BB246" s="470"/>
      <c r="BC246" s="470"/>
      <c r="BD246" s="470"/>
      <c r="BE246" s="470"/>
      <c r="BF246" s="470"/>
      <c r="BG246" s="470"/>
      <c r="BH246" s="470"/>
      <c r="BI246" s="470"/>
      <c r="BJ246" s="470"/>
      <c r="BK246" s="470"/>
      <c r="BL246" s="474"/>
    </row>
    <row r="247" spans="1:64">
      <c r="A247" s="475">
        <v>44038</v>
      </c>
      <c r="B247" s="478">
        <v>208</v>
      </c>
      <c r="C247" s="478">
        <v>158</v>
      </c>
      <c r="D247" s="476" t="s">
        <v>626</v>
      </c>
      <c r="E247" s="477">
        <v>30</v>
      </c>
      <c r="F247" s="476" t="s">
        <v>106</v>
      </c>
      <c r="G247" s="477">
        <v>534</v>
      </c>
      <c r="H247" s="476" t="s">
        <v>6252</v>
      </c>
      <c r="I247" s="476" t="s">
        <v>6257</v>
      </c>
      <c r="J247" s="477">
        <v>22</v>
      </c>
      <c r="K247" s="476" t="s">
        <v>6262</v>
      </c>
      <c r="L247" s="476" t="s">
        <v>6278</v>
      </c>
      <c r="M247" s="476" t="s">
        <v>9</v>
      </c>
      <c r="N247" s="478">
        <v>1</v>
      </c>
      <c r="O247" s="479"/>
      <c r="P247" s="479"/>
      <c r="Q247" s="479"/>
      <c r="R247" s="476"/>
      <c r="S247" s="479">
        <v>0.1330324074074074</v>
      </c>
      <c r="T247" s="479">
        <v>0.19969907407407406</v>
      </c>
      <c r="U247" s="479"/>
      <c r="V247" s="479"/>
      <c r="W247" s="479">
        <v>0.5015856481481481</v>
      </c>
      <c r="X247" s="479">
        <v>0.80347222222222225</v>
      </c>
      <c r="Y247" s="479">
        <v>0.47569444444444442</v>
      </c>
      <c r="Z247" s="479">
        <v>0.72013888888888899</v>
      </c>
      <c r="AA247" s="479">
        <v>0.96250000000000002</v>
      </c>
      <c r="AB247" s="476" t="s">
        <v>6463</v>
      </c>
      <c r="AC247" s="478">
        <v>152</v>
      </c>
      <c r="AD247" s="476" t="s">
        <v>110</v>
      </c>
      <c r="AE247" s="476"/>
      <c r="AF247" s="478">
        <v>26.5</v>
      </c>
      <c r="AG247" s="477">
        <v>11.9</v>
      </c>
      <c r="AH247" s="476" t="s">
        <v>6298</v>
      </c>
      <c r="AI247" s="476" t="s">
        <v>974</v>
      </c>
      <c r="AJ247" s="476" t="s">
        <v>6493</v>
      </c>
      <c r="AK247" s="476" t="s">
        <v>6493</v>
      </c>
      <c r="AL247" s="476" t="s">
        <v>762</v>
      </c>
      <c r="AM247" s="476"/>
      <c r="AN247" s="476"/>
      <c r="AO247" s="476"/>
      <c r="AP247" s="476"/>
      <c r="AQ247" s="476"/>
      <c r="AR247" s="476"/>
      <c r="AS247" s="476"/>
      <c r="AT247" s="476"/>
      <c r="AU247" s="476"/>
      <c r="AV247" s="476"/>
      <c r="AW247" s="476"/>
      <c r="AX247" s="476"/>
      <c r="AY247" s="476"/>
      <c r="AZ247" s="476"/>
      <c r="BA247" s="476"/>
      <c r="BB247" s="476"/>
      <c r="BC247" s="476"/>
      <c r="BD247" s="476"/>
      <c r="BE247" s="476"/>
      <c r="BF247" s="476"/>
      <c r="BG247" s="476"/>
      <c r="BH247" s="476"/>
      <c r="BI247" s="476"/>
      <c r="BJ247" s="476"/>
      <c r="BK247" s="476"/>
      <c r="BL247" s="480"/>
    </row>
    <row r="248" spans="1:64">
      <c r="A248" s="468">
        <v>44039</v>
      </c>
      <c r="B248" s="473">
        <v>209</v>
      </c>
      <c r="C248" s="473">
        <v>157</v>
      </c>
      <c r="D248" s="470" t="s">
        <v>626</v>
      </c>
      <c r="E248" s="469">
        <v>31</v>
      </c>
      <c r="F248" s="470" t="s">
        <v>88</v>
      </c>
      <c r="G248" s="469">
        <v>534</v>
      </c>
      <c r="H248" s="470" t="s">
        <v>6252</v>
      </c>
      <c r="I248" s="470" t="s">
        <v>6257</v>
      </c>
      <c r="J248" s="469">
        <v>23</v>
      </c>
      <c r="K248" s="470" t="s">
        <v>6263</v>
      </c>
      <c r="L248" s="470" t="s">
        <v>6279</v>
      </c>
      <c r="M248" s="470" t="s">
        <v>9</v>
      </c>
      <c r="N248" s="473">
        <v>1</v>
      </c>
      <c r="O248" s="471"/>
      <c r="P248" s="471"/>
      <c r="Q248" s="471"/>
      <c r="R248" s="470"/>
      <c r="S248" s="471">
        <v>0.13366898148148149</v>
      </c>
      <c r="T248" s="471">
        <v>0.20033564814814817</v>
      </c>
      <c r="U248" s="471"/>
      <c r="V248" s="471"/>
      <c r="W248" s="471">
        <v>0.50157407407407406</v>
      </c>
      <c r="X248" s="471">
        <v>0.802800925925926</v>
      </c>
      <c r="Y248" s="471">
        <v>0.52500000000000002</v>
      </c>
      <c r="Z248" s="471">
        <v>0.75555555555555554</v>
      </c>
      <c r="AA248" s="471">
        <v>0.98402777777777783</v>
      </c>
      <c r="AB248" s="470" t="s">
        <v>6464</v>
      </c>
      <c r="AC248" s="473">
        <v>130</v>
      </c>
      <c r="AD248" s="470" t="s">
        <v>113</v>
      </c>
      <c r="AE248" s="470" t="s">
        <v>6533</v>
      </c>
      <c r="AF248" s="473">
        <v>37.299999999999997</v>
      </c>
      <c r="AG248" s="469">
        <v>18.7</v>
      </c>
      <c r="AH248" s="470" t="s">
        <v>6299</v>
      </c>
      <c r="AI248" s="470" t="s">
        <v>6316</v>
      </c>
      <c r="AJ248" s="470" t="s">
        <v>6493</v>
      </c>
      <c r="AK248" s="470" t="s">
        <v>6493</v>
      </c>
      <c r="AL248" s="470"/>
      <c r="AM248" s="470"/>
      <c r="AN248" s="470"/>
      <c r="AO248" s="470"/>
      <c r="AP248" s="470"/>
      <c r="AQ248" s="470"/>
      <c r="AR248" s="470"/>
      <c r="AS248" s="470"/>
      <c r="AT248" s="470"/>
      <c r="AU248" s="470"/>
      <c r="AV248" s="470"/>
      <c r="AW248" s="470"/>
      <c r="AX248" s="470"/>
      <c r="AY248" s="470"/>
      <c r="AZ248" s="470"/>
      <c r="BA248" s="470"/>
      <c r="BB248" s="470"/>
      <c r="BC248" s="470"/>
      <c r="BD248" s="470"/>
      <c r="BE248" s="470"/>
      <c r="BF248" s="470"/>
      <c r="BG248" s="470"/>
      <c r="BH248" s="470"/>
      <c r="BI248" s="470"/>
      <c r="BJ248" s="470"/>
      <c r="BK248" s="470"/>
      <c r="BL248" s="474"/>
    </row>
    <row r="249" spans="1:64">
      <c r="A249" s="475">
        <v>44040</v>
      </c>
      <c r="B249" s="478">
        <v>210</v>
      </c>
      <c r="C249" s="478">
        <v>156</v>
      </c>
      <c r="D249" s="476" t="s">
        <v>626</v>
      </c>
      <c r="E249" s="477">
        <v>31</v>
      </c>
      <c r="F249" s="476" t="s">
        <v>91</v>
      </c>
      <c r="G249" s="477">
        <v>534</v>
      </c>
      <c r="H249" s="476" t="s">
        <v>6252</v>
      </c>
      <c r="I249" s="476" t="s">
        <v>6257</v>
      </c>
      <c r="J249" s="477">
        <v>24</v>
      </c>
      <c r="K249" s="476" t="s">
        <v>6264</v>
      </c>
      <c r="L249" s="476" t="s">
        <v>6280</v>
      </c>
      <c r="M249" s="476" t="s">
        <v>9</v>
      </c>
      <c r="N249" s="478">
        <v>1</v>
      </c>
      <c r="O249" s="479"/>
      <c r="P249" s="479"/>
      <c r="Q249" s="479"/>
      <c r="R249" s="476"/>
      <c r="S249" s="479">
        <v>0.13431712962962963</v>
      </c>
      <c r="T249" s="479">
        <v>0.20098379629629629</v>
      </c>
      <c r="U249" s="479"/>
      <c r="V249" s="479"/>
      <c r="W249" s="479">
        <v>0.50155092592592598</v>
      </c>
      <c r="X249" s="479">
        <v>0.80211805555555549</v>
      </c>
      <c r="Y249" s="479">
        <v>0.57500000000000007</v>
      </c>
      <c r="Z249" s="479">
        <v>0.79166666666666663</v>
      </c>
      <c r="AA249" s="479" t="s">
        <v>1107</v>
      </c>
      <c r="AB249" s="476" t="s">
        <v>6464</v>
      </c>
      <c r="AC249" s="478">
        <v>130</v>
      </c>
      <c r="AD249" s="476" t="s">
        <v>113</v>
      </c>
      <c r="AE249" s="476"/>
      <c r="AF249" s="478">
        <v>47</v>
      </c>
      <c r="AG249" s="477">
        <v>24.6</v>
      </c>
      <c r="AH249" s="476" t="s">
        <v>6300</v>
      </c>
      <c r="AI249" s="476" t="s">
        <v>6317</v>
      </c>
      <c r="AJ249" s="476" t="s">
        <v>6493</v>
      </c>
      <c r="AK249" s="476" t="s">
        <v>6493</v>
      </c>
      <c r="AL249" s="476"/>
      <c r="AM249" s="476"/>
      <c r="AN249" s="476"/>
      <c r="AO249" s="476"/>
      <c r="AP249" s="476"/>
      <c r="AQ249" s="476"/>
      <c r="AR249" s="476"/>
      <c r="AS249" s="476"/>
      <c r="AT249" s="476"/>
      <c r="AU249" s="476"/>
      <c r="AV249" s="476"/>
      <c r="AW249" s="476"/>
      <c r="AX249" s="476"/>
      <c r="AY249" s="476"/>
      <c r="AZ249" s="476"/>
      <c r="BA249" s="476"/>
      <c r="BB249" s="476"/>
      <c r="BC249" s="476"/>
      <c r="BD249" s="476"/>
      <c r="BE249" s="476"/>
      <c r="BF249" s="476"/>
      <c r="BG249" s="476"/>
      <c r="BH249" s="476"/>
      <c r="BI249" s="476"/>
      <c r="BJ249" s="476"/>
      <c r="BK249" s="476"/>
      <c r="BL249" s="480"/>
    </row>
    <row r="250" spans="1:64">
      <c r="A250" s="468">
        <v>44041</v>
      </c>
      <c r="B250" s="473">
        <v>211</v>
      </c>
      <c r="C250" s="473">
        <v>155</v>
      </c>
      <c r="D250" s="470" t="s">
        <v>626</v>
      </c>
      <c r="E250" s="469">
        <v>31</v>
      </c>
      <c r="F250" s="470" t="s">
        <v>94</v>
      </c>
      <c r="G250" s="469">
        <v>534</v>
      </c>
      <c r="H250" s="470" t="s">
        <v>6252</v>
      </c>
      <c r="I250" s="470" t="s">
        <v>6257</v>
      </c>
      <c r="J250" s="469">
        <v>25</v>
      </c>
      <c r="K250" s="470" t="s">
        <v>6265</v>
      </c>
      <c r="L250" s="470" t="s">
        <v>6281</v>
      </c>
      <c r="M250" s="470" t="s">
        <v>9</v>
      </c>
      <c r="N250" s="473">
        <v>1</v>
      </c>
      <c r="O250" s="471"/>
      <c r="P250" s="471"/>
      <c r="Q250" s="471"/>
      <c r="R250" s="470"/>
      <c r="S250" s="471">
        <v>0.13496527777777778</v>
      </c>
      <c r="T250" s="471">
        <v>0.20163194444444443</v>
      </c>
      <c r="U250" s="471"/>
      <c r="V250" s="471"/>
      <c r="W250" s="471">
        <v>0.50152777777777779</v>
      </c>
      <c r="X250" s="471">
        <v>0.80141203703703701</v>
      </c>
      <c r="Y250" s="471">
        <v>0.62430555555555556</v>
      </c>
      <c r="Z250" s="471">
        <v>0.82986111111111116</v>
      </c>
      <c r="AA250" s="471">
        <v>7.6388888888888886E-3</v>
      </c>
      <c r="AB250" s="470" t="s">
        <v>6464</v>
      </c>
      <c r="AC250" s="473">
        <v>130</v>
      </c>
      <c r="AD250" s="470" t="s">
        <v>113</v>
      </c>
      <c r="AE250" s="470"/>
      <c r="AF250" s="473">
        <v>55.4</v>
      </c>
      <c r="AG250" s="469">
        <v>29.4</v>
      </c>
      <c r="AH250" s="470" t="s">
        <v>6301</v>
      </c>
      <c r="AI250" s="470" t="s">
        <v>6318</v>
      </c>
      <c r="AJ250" s="470" t="s">
        <v>839</v>
      </c>
      <c r="AK250" s="470" t="s">
        <v>6493</v>
      </c>
      <c r="AL250" s="470" t="s">
        <v>6802</v>
      </c>
      <c r="AM250" s="470" t="s">
        <v>6349</v>
      </c>
      <c r="AN250" s="470"/>
      <c r="AO250" s="470"/>
      <c r="AP250" s="470"/>
      <c r="AQ250" s="470"/>
      <c r="AR250" s="470"/>
      <c r="AS250" s="470"/>
      <c r="AT250" s="470"/>
      <c r="AU250" s="470"/>
      <c r="AV250" s="470"/>
      <c r="AW250" s="470"/>
      <c r="AX250" s="470"/>
      <c r="AY250" s="470"/>
      <c r="AZ250" s="470"/>
      <c r="BA250" s="470"/>
      <c r="BB250" s="470"/>
      <c r="BC250" s="470"/>
      <c r="BD250" s="470"/>
      <c r="BE250" s="470"/>
      <c r="BF250" s="470"/>
      <c r="BG250" s="470"/>
      <c r="BH250" s="470"/>
      <c r="BI250" s="470"/>
      <c r="BJ250" s="470"/>
      <c r="BK250" s="470" t="s">
        <v>980</v>
      </c>
      <c r="BL250" s="474"/>
    </row>
    <row r="251" spans="1:64">
      <c r="A251" s="475">
        <v>44042</v>
      </c>
      <c r="B251" s="478">
        <v>212</v>
      </c>
      <c r="C251" s="478">
        <v>154</v>
      </c>
      <c r="D251" s="476" t="s">
        <v>626</v>
      </c>
      <c r="E251" s="477">
        <v>31</v>
      </c>
      <c r="F251" s="476" t="s">
        <v>6714</v>
      </c>
      <c r="G251" s="477">
        <v>534</v>
      </c>
      <c r="H251" s="476" t="s">
        <v>6252</v>
      </c>
      <c r="I251" s="476" t="s">
        <v>6257</v>
      </c>
      <c r="J251" s="477">
        <v>26</v>
      </c>
      <c r="K251" s="476" t="s">
        <v>6271</v>
      </c>
      <c r="L251" s="476" t="s">
        <v>6282</v>
      </c>
      <c r="M251" s="476" t="s">
        <v>9</v>
      </c>
      <c r="N251" s="478">
        <v>1</v>
      </c>
      <c r="O251" s="479"/>
      <c r="P251" s="479"/>
      <c r="Q251" s="479"/>
      <c r="R251" s="476"/>
      <c r="S251" s="479">
        <v>0.13561342592592593</v>
      </c>
      <c r="T251" s="479">
        <v>0.20228009259259258</v>
      </c>
      <c r="U251" s="479"/>
      <c r="V251" s="479"/>
      <c r="W251" s="479">
        <v>0.50149305555555557</v>
      </c>
      <c r="X251" s="479">
        <v>0.80069444444444438</v>
      </c>
      <c r="Y251" s="479">
        <v>0.67222222222222217</v>
      </c>
      <c r="Z251" s="479">
        <v>0.87013888888888891</v>
      </c>
      <c r="AA251" s="479">
        <v>3.5416666666666666E-2</v>
      </c>
      <c r="AB251" s="476" t="s">
        <v>6464</v>
      </c>
      <c r="AC251" s="478">
        <v>130</v>
      </c>
      <c r="AD251" s="476" t="s">
        <v>113</v>
      </c>
      <c r="AE251" s="476"/>
      <c r="AF251" s="478">
        <v>62.4</v>
      </c>
      <c r="AG251" s="477">
        <v>32.9</v>
      </c>
      <c r="AH251" s="476" t="s">
        <v>6302</v>
      </c>
      <c r="AI251" s="476" t="s">
        <v>6341</v>
      </c>
      <c r="AJ251" s="476" t="s">
        <v>838</v>
      </c>
      <c r="AK251" s="476" t="s">
        <v>13</v>
      </c>
      <c r="AL251" s="476" t="s">
        <v>6803</v>
      </c>
      <c r="AM251" s="476" t="s">
        <v>6342</v>
      </c>
      <c r="AN251" s="476" t="s">
        <v>6929</v>
      </c>
      <c r="AO251" s="476" t="s">
        <v>6351</v>
      </c>
      <c r="AP251" s="476" t="s">
        <v>7027</v>
      </c>
      <c r="AQ251" s="476" t="s">
        <v>6344</v>
      </c>
      <c r="AR251" s="476" t="s">
        <v>7060</v>
      </c>
      <c r="AS251" s="476" t="s">
        <v>6349</v>
      </c>
      <c r="AT251" s="476"/>
      <c r="AU251" s="476"/>
      <c r="AV251" s="476"/>
      <c r="AW251" s="476"/>
      <c r="AX251" s="476"/>
      <c r="AY251" s="476"/>
      <c r="AZ251" s="476"/>
      <c r="BA251" s="476"/>
      <c r="BB251" s="476"/>
      <c r="BC251" s="476"/>
      <c r="BD251" s="476"/>
      <c r="BE251" s="476"/>
      <c r="BF251" s="476"/>
      <c r="BG251" s="476"/>
      <c r="BH251" s="476"/>
      <c r="BI251" s="476"/>
      <c r="BJ251" s="476" t="s">
        <v>6398</v>
      </c>
      <c r="BK251" s="476" t="s">
        <v>981</v>
      </c>
      <c r="BL251" s="480"/>
    </row>
    <row r="252" spans="1:64">
      <c r="A252" s="468">
        <v>44043</v>
      </c>
      <c r="B252" s="473">
        <v>213</v>
      </c>
      <c r="C252" s="473">
        <v>153</v>
      </c>
      <c r="D252" s="470" t="s">
        <v>626</v>
      </c>
      <c r="E252" s="469">
        <v>31</v>
      </c>
      <c r="F252" s="470" t="s">
        <v>100</v>
      </c>
      <c r="G252" s="469">
        <v>534</v>
      </c>
      <c r="H252" s="470" t="s">
        <v>6252</v>
      </c>
      <c r="I252" s="470" t="s">
        <v>6257</v>
      </c>
      <c r="J252" s="469">
        <v>27</v>
      </c>
      <c r="K252" s="470" t="s">
        <v>6266</v>
      </c>
      <c r="L252" s="470" t="s">
        <v>6283</v>
      </c>
      <c r="M252" s="470" t="s">
        <v>9</v>
      </c>
      <c r="N252" s="473">
        <v>1</v>
      </c>
      <c r="O252" s="471"/>
      <c r="P252" s="471"/>
      <c r="Q252" s="471"/>
      <c r="R252" s="470"/>
      <c r="S252" s="471">
        <v>0.13627314814814814</v>
      </c>
      <c r="T252" s="471">
        <v>0.20293981481481482</v>
      </c>
      <c r="U252" s="471">
        <v>0.20277777777777781</v>
      </c>
      <c r="V252" s="471">
        <v>0.40138888888888885</v>
      </c>
      <c r="W252" s="471">
        <v>0.50144675925925919</v>
      </c>
      <c r="X252" s="471">
        <v>0.79995370370370367</v>
      </c>
      <c r="Y252" s="471">
        <v>0.71597222222222223</v>
      </c>
      <c r="Z252" s="471">
        <v>0.91041666666666676</v>
      </c>
      <c r="AA252" s="471">
        <v>6.805555555555555E-2</v>
      </c>
      <c r="AB252" s="470" t="s">
        <v>6464</v>
      </c>
      <c r="AC252" s="473">
        <v>130</v>
      </c>
      <c r="AD252" s="470" t="s">
        <v>113</v>
      </c>
      <c r="AE252" s="470"/>
      <c r="AF252" s="473">
        <v>67.900000000000006</v>
      </c>
      <c r="AG252" s="469">
        <v>35</v>
      </c>
      <c r="AH252" s="470" t="s">
        <v>6303</v>
      </c>
      <c r="AI252" s="470" t="s">
        <v>6320</v>
      </c>
      <c r="AJ252" s="470" t="s">
        <v>839</v>
      </c>
      <c r="AK252" s="470" t="s">
        <v>6493</v>
      </c>
      <c r="AL252" s="470" t="s">
        <v>6804</v>
      </c>
      <c r="AM252" s="470" t="s">
        <v>6343</v>
      </c>
      <c r="AN252" s="470" t="s">
        <v>6948</v>
      </c>
      <c r="AO252" s="470" t="s">
        <v>6346</v>
      </c>
      <c r="AP252" s="470" t="s">
        <v>7028</v>
      </c>
      <c r="AQ252" s="470" t="s">
        <v>6346</v>
      </c>
      <c r="AR252" s="470"/>
      <c r="AS252" s="470"/>
      <c r="AT252" s="470"/>
      <c r="AU252" s="470"/>
      <c r="AV252" s="470"/>
      <c r="AW252" s="470"/>
      <c r="AX252" s="470"/>
      <c r="AY252" s="470"/>
      <c r="AZ252" s="470"/>
      <c r="BA252" s="470"/>
      <c r="BB252" s="470"/>
      <c r="BC252" s="470"/>
      <c r="BD252" s="470"/>
      <c r="BE252" s="470"/>
      <c r="BF252" s="470"/>
      <c r="BG252" s="470"/>
      <c r="BH252" s="470"/>
      <c r="BI252" s="470"/>
      <c r="BJ252" s="470" t="s">
        <v>6433</v>
      </c>
      <c r="BK252" s="470"/>
      <c r="BL252" s="474"/>
    </row>
    <row r="253" spans="1:64">
      <c r="A253" s="475">
        <v>44044</v>
      </c>
      <c r="B253" s="478">
        <v>214</v>
      </c>
      <c r="C253" s="478">
        <v>152</v>
      </c>
      <c r="D253" s="476" t="s">
        <v>629</v>
      </c>
      <c r="E253" s="477">
        <v>31</v>
      </c>
      <c r="F253" s="476" t="s">
        <v>103</v>
      </c>
      <c r="G253" s="477">
        <v>534</v>
      </c>
      <c r="H253" s="476" t="s">
        <v>6252</v>
      </c>
      <c r="I253" s="476" t="s">
        <v>6257</v>
      </c>
      <c r="J253" s="477">
        <v>28</v>
      </c>
      <c r="K253" s="476" t="s">
        <v>6267</v>
      </c>
      <c r="L253" s="476" t="s">
        <v>6284</v>
      </c>
      <c r="M253" s="476" t="s">
        <v>9</v>
      </c>
      <c r="N253" s="478">
        <v>1</v>
      </c>
      <c r="O253" s="479"/>
      <c r="P253" s="479"/>
      <c r="Q253" s="479"/>
      <c r="R253" s="476"/>
      <c r="S253" s="479">
        <v>0.13693287037037036</v>
      </c>
      <c r="T253" s="479">
        <v>0.20359953703703704</v>
      </c>
      <c r="U253" s="479"/>
      <c r="V253" s="479"/>
      <c r="W253" s="479">
        <v>0.50140046296296303</v>
      </c>
      <c r="X253" s="479">
        <v>0.79920138888888881</v>
      </c>
      <c r="Y253" s="479">
        <v>0.75486111111111109</v>
      </c>
      <c r="Z253" s="479">
        <v>0.9506944444444444</v>
      </c>
      <c r="AA253" s="479">
        <v>0.10486111111111111</v>
      </c>
      <c r="AB253" s="476" t="s">
        <v>6464</v>
      </c>
      <c r="AC253" s="478">
        <v>130</v>
      </c>
      <c r="AD253" s="476" t="s">
        <v>113</v>
      </c>
      <c r="AE253" s="476"/>
      <c r="AF253" s="478">
        <v>71.900000000000006</v>
      </c>
      <c r="AG253" s="477">
        <v>35.700000000000003</v>
      </c>
      <c r="AH253" s="476" t="s">
        <v>6304</v>
      </c>
      <c r="AI253" s="476" t="s">
        <v>6321</v>
      </c>
      <c r="AJ253" s="476" t="s">
        <v>6493</v>
      </c>
      <c r="AK253" s="476" t="s">
        <v>6493</v>
      </c>
      <c r="AL253" s="476"/>
      <c r="AM253" s="476"/>
      <c r="AN253" s="476"/>
      <c r="AO253" s="476"/>
      <c r="AP253" s="476"/>
      <c r="AQ253" s="476"/>
      <c r="AR253" s="476"/>
      <c r="AS253" s="476"/>
      <c r="AT253" s="476"/>
      <c r="AU253" s="476"/>
      <c r="AV253" s="476"/>
      <c r="AW253" s="476"/>
      <c r="AX253" s="476"/>
      <c r="AY253" s="476"/>
      <c r="AZ253" s="476"/>
      <c r="BA253" s="476"/>
      <c r="BB253" s="476"/>
      <c r="BC253" s="476"/>
      <c r="BD253" s="476"/>
      <c r="BE253" s="476"/>
      <c r="BF253" s="476"/>
      <c r="BG253" s="476"/>
      <c r="BH253" s="476"/>
      <c r="BI253" s="476"/>
      <c r="BJ253" s="476"/>
      <c r="BK253" s="476"/>
      <c r="BL253" s="480"/>
    </row>
    <row r="254" spans="1:64">
      <c r="A254" s="468">
        <v>44045</v>
      </c>
      <c r="B254" s="473">
        <v>215</v>
      </c>
      <c r="C254" s="473">
        <v>151</v>
      </c>
      <c r="D254" s="470" t="s">
        <v>629</v>
      </c>
      <c r="E254" s="469">
        <v>31</v>
      </c>
      <c r="F254" s="470" t="s">
        <v>106</v>
      </c>
      <c r="G254" s="469">
        <v>534</v>
      </c>
      <c r="H254" s="470" t="s">
        <v>6252</v>
      </c>
      <c r="I254" s="470" t="s">
        <v>6257</v>
      </c>
      <c r="J254" s="469">
        <v>29</v>
      </c>
      <c r="K254" s="470" t="s">
        <v>6268</v>
      </c>
      <c r="L254" s="470" t="s">
        <v>6285</v>
      </c>
      <c r="M254" s="470" t="s">
        <v>9</v>
      </c>
      <c r="N254" s="473">
        <v>1</v>
      </c>
      <c r="O254" s="471"/>
      <c r="P254" s="471"/>
      <c r="Q254" s="471"/>
      <c r="R254" s="470"/>
      <c r="S254" s="471">
        <v>0.13760416666666667</v>
      </c>
      <c r="T254" s="471">
        <v>0.20427083333333332</v>
      </c>
      <c r="U254" s="471"/>
      <c r="V254" s="471"/>
      <c r="W254" s="471">
        <v>0.50134259259259262</v>
      </c>
      <c r="X254" s="471">
        <v>0.79842592592592598</v>
      </c>
      <c r="Y254" s="471">
        <v>0.78819444444444453</v>
      </c>
      <c r="Z254" s="471">
        <v>0.98888888888888893</v>
      </c>
      <c r="AA254" s="471">
        <v>0.14583333333333334</v>
      </c>
      <c r="AB254" s="470" t="s">
        <v>6464</v>
      </c>
      <c r="AC254" s="473">
        <v>130</v>
      </c>
      <c r="AD254" s="470" t="s">
        <v>113</v>
      </c>
      <c r="AE254" s="470"/>
      <c r="AF254" s="473">
        <v>74.2</v>
      </c>
      <c r="AG254" s="469">
        <v>35</v>
      </c>
      <c r="AH254" s="470" t="s">
        <v>6305</v>
      </c>
      <c r="AI254" s="470" t="s">
        <v>6322</v>
      </c>
      <c r="AJ254" s="470" t="s">
        <v>839</v>
      </c>
      <c r="AK254" s="470" t="s">
        <v>6493</v>
      </c>
      <c r="AL254" s="470" t="s">
        <v>6805</v>
      </c>
      <c r="AM254" s="470" t="s">
        <v>6349</v>
      </c>
      <c r="AN254" s="470"/>
      <c r="AO254" s="470"/>
      <c r="AP254" s="470"/>
      <c r="AQ254" s="470"/>
      <c r="AR254" s="470"/>
      <c r="AS254" s="470"/>
      <c r="AT254" s="470"/>
      <c r="AU254" s="470"/>
      <c r="AV254" s="470"/>
      <c r="AW254" s="470"/>
      <c r="AX254" s="470"/>
      <c r="AY254" s="470"/>
      <c r="AZ254" s="470"/>
      <c r="BA254" s="470"/>
      <c r="BB254" s="470"/>
      <c r="BC254" s="470"/>
      <c r="BD254" s="470"/>
      <c r="BE254" s="470"/>
      <c r="BF254" s="470"/>
      <c r="BG254" s="470"/>
      <c r="BH254" s="470"/>
      <c r="BI254" s="470"/>
      <c r="BJ254" s="470"/>
      <c r="BK254" s="470" t="s">
        <v>982</v>
      </c>
      <c r="BL254" s="474"/>
    </row>
    <row r="255" spans="1:64">
      <c r="A255" s="475">
        <v>44046</v>
      </c>
      <c r="B255" s="478">
        <v>216</v>
      </c>
      <c r="C255" s="478">
        <v>150</v>
      </c>
      <c r="D255" s="476" t="s">
        <v>629</v>
      </c>
      <c r="E255" s="477">
        <v>32</v>
      </c>
      <c r="F255" s="476" t="s">
        <v>88</v>
      </c>
      <c r="G255" s="477">
        <v>534</v>
      </c>
      <c r="H255" s="476" t="s">
        <v>6252</v>
      </c>
      <c r="I255" s="476" t="s">
        <v>6257</v>
      </c>
      <c r="J255" s="477">
        <v>30</v>
      </c>
      <c r="K255" s="476" t="s">
        <v>6272</v>
      </c>
      <c r="L255" s="476" t="s">
        <v>6288</v>
      </c>
      <c r="M255" s="476" t="s">
        <v>9</v>
      </c>
      <c r="N255" s="478">
        <v>1</v>
      </c>
      <c r="O255" s="479"/>
      <c r="P255" s="479"/>
      <c r="Q255" s="479"/>
      <c r="R255" s="476"/>
      <c r="S255" s="479">
        <v>0.13826388888888888</v>
      </c>
      <c r="T255" s="479">
        <v>0.20493055555555553</v>
      </c>
      <c r="U255" s="479"/>
      <c r="V255" s="479"/>
      <c r="W255" s="479">
        <v>0.5012847222222222</v>
      </c>
      <c r="X255" s="479">
        <v>0.79762731481481486</v>
      </c>
      <c r="Y255" s="479">
        <v>0.81597222222222221</v>
      </c>
      <c r="Z255" s="479" t="s">
        <v>1107</v>
      </c>
      <c r="AA255" s="479">
        <v>0.19027777777777777</v>
      </c>
      <c r="AB255" s="476" t="s">
        <v>6462</v>
      </c>
      <c r="AC255" s="478">
        <v>129</v>
      </c>
      <c r="AD255" s="476" t="s">
        <v>116</v>
      </c>
      <c r="AE255" s="476" t="s">
        <v>6534</v>
      </c>
      <c r="AF255" s="478">
        <v>74.8</v>
      </c>
      <c r="AG255" s="477">
        <v>32.700000000000003</v>
      </c>
      <c r="AH255" s="476" t="s">
        <v>6306</v>
      </c>
      <c r="AI255" s="476" t="s">
        <v>6323</v>
      </c>
      <c r="AJ255" s="476" t="s">
        <v>874</v>
      </c>
      <c r="AK255" s="476" t="s">
        <v>6493</v>
      </c>
      <c r="AL255" s="476" t="s">
        <v>6806</v>
      </c>
      <c r="AM255" s="476" t="s">
        <v>6344</v>
      </c>
      <c r="AN255" s="476" t="s">
        <v>6949</v>
      </c>
      <c r="AO255" s="476" t="s">
        <v>6347</v>
      </c>
      <c r="AP255" s="476" t="s">
        <v>6900</v>
      </c>
      <c r="AQ255" s="476" t="s">
        <v>6351</v>
      </c>
      <c r="AR255" s="476" t="s">
        <v>7061</v>
      </c>
      <c r="AS255" s="476" t="s">
        <v>6349</v>
      </c>
      <c r="AT255" s="476" t="s">
        <v>7078</v>
      </c>
      <c r="AU255" s="476" t="s">
        <v>6349</v>
      </c>
      <c r="AV255" s="476" t="s">
        <v>7086</v>
      </c>
      <c r="AW255" s="476"/>
      <c r="AX255" s="476"/>
      <c r="AY255" s="476"/>
      <c r="AZ255" s="476"/>
      <c r="BA255" s="476"/>
      <c r="BB255" s="476"/>
      <c r="BC255" s="476"/>
      <c r="BD255" s="476"/>
      <c r="BE255" s="476"/>
      <c r="BF255" s="476"/>
      <c r="BG255" s="476"/>
      <c r="BH255" s="476"/>
      <c r="BI255" s="476"/>
      <c r="BJ255" s="476" t="s">
        <v>6399</v>
      </c>
      <c r="BK255" s="476" t="s">
        <v>983</v>
      </c>
      <c r="BL255" s="480" t="s">
        <v>998</v>
      </c>
    </row>
    <row r="256" spans="1:64">
      <c r="A256" s="468">
        <v>44047</v>
      </c>
      <c r="B256" s="473">
        <v>217</v>
      </c>
      <c r="C256" s="473">
        <v>149</v>
      </c>
      <c r="D256" s="470" t="s">
        <v>629</v>
      </c>
      <c r="E256" s="469">
        <v>32</v>
      </c>
      <c r="F256" s="470" t="s">
        <v>91</v>
      </c>
      <c r="G256" s="469">
        <v>534</v>
      </c>
      <c r="H256" s="470" t="s">
        <v>6253</v>
      </c>
      <c r="I256" s="470" t="s">
        <v>836</v>
      </c>
      <c r="J256" s="469">
        <v>1</v>
      </c>
      <c r="K256" s="470" t="s">
        <v>6270</v>
      </c>
      <c r="L256" s="470" t="s">
        <v>6287</v>
      </c>
      <c r="M256" s="470" t="s">
        <v>9</v>
      </c>
      <c r="N256" s="473">
        <v>1</v>
      </c>
      <c r="O256" s="471"/>
      <c r="P256" s="471"/>
      <c r="Q256" s="471"/>
      <c r="R256" s="470"/>
      <c r="S256" s="471">
        <v>0.13893518518518519</v>
      </c>
      <c r="T256" s="471">
        <v>0.20560185185185187</v>
      </c>
      <c r="U256" s="471"/>
      <c r="V256" s="471"/>
      <c r="W256" s="471">
        <v>0.50121527777777775</v>
      </c>
      <c r="X256" s="471">
        <v>0.79682870370370373</v>
      </c>
      <c r="Y256" s="471">
        <v>0.83888888888888891</v>
      </c>
      <c r="Z256" s="471">
        <v>2.4999999999999998E-2</v>
      </c>
      <c r="AA256" s="471">
        <v>0.23402777777777781</v>
      </c>
      <c r="AB256" s="470" t="s">
        <v>6462</v>
      </c>
      <c r="AC256" s="473">
        <v>129</v>
      </c>
      <c r="AD256" s="470" t="s">
        <v>116</v>
      </c>
      <c r="AE256" s="470"/>
      <c r="AF256" s="473">
        <v>73.5</v>
      </c>
      <c r="AG256" s="469">
        <v>28.8</v>
      </c>
      <c r="AH256" s="470" t="s">
        <v>6307</v>
      </c>
      <c r="AI256" s="470" t="s">
        <v>6324</v>
      </c>
      <c r="AJ256" s="470" t="s">
        <v>839</v>
      </c>
      <c r="AK256" s="470" t="s">
        <v>6493</v>
      </c>
      <c r="AL256" s="470" t="s">
        <v>6807</v>
      </c>
      <c r="AM256" s="470" t="s">
        <v>6348</v>
      </c>
      <c r="AN256" s="470" t="s">
        <v>6950</v>
      </c>
      <c r="AO256" s="470"/>
      <c r="AP256" s="470" t="s">
        <v>7029</v>
      </c>
      <c r="AQ256" s="470" t="s">
        <v>6349</v>
      </c>
      <c r="AR256" s="470"/>
      <c r="AS256" s="470"/>
      <c r="AT256" s="470"/>
      <c r="AU256" s="470"/>
      <c r="AV256" s="470"/>
      <c r="AW256" s="470"/>
      <c r="AX256" s="470"/>
      <c r="AY256" s="470"/>
      <c r="AZ256" s="470"/>
      <c r="BA256" s="470"/>
      <c r="BB256" s="470"/>
      <c r="BC256" s="470"/>
      <c r="BD256" s="470"/>
      <c r="BE256" s="470"/>
      <c r="BF256" s="470"/>
      <c r="BG256" s="470"/>
      <c r="BH256" s="470"/>
      <c r="BI256" s="470"/>
      <c r="BJ256" s="470" t="s">
        <v>6400</v>
      </c>
      <c r="BK256" s="470" t="s">
        <v>984</v>
      </c>
      <c r="BL256" s="474"/>
    </row>
    <row r="257" spans="1:64">
      <c r="A257" s="481">
        <v>44048</v>
      </c>
      <c r="B257" s="484">
        <v>218</v>
      </c>
      <c r="C257" s="484">
        <v>148</v>
      </c>
      <c r="D257" s="482" t="s">
        <v>629</v>
      </c>
      <c r="E257" s="483">
        <v>32</v>
      </c>
      <c r="F257" s="482" t="s">
        <v>94</v>
      </c>
      <c r="G257" s="483">
        <v>534</v>
      </c>
      <c r="H257" s="482" t="s">
        <v>6253</v>
      </c>
      <c r="I257" s="482" t="s">
        <v>836</v>
      </c>
      <c r="J257" s="483">
        <v>2</v>
      </c>
      <c r="K257" s="482" t="s">
        <v>1034</v>
      </c>
      <c r="L257" s="482" t="s">
        <v>6273</v>
      </c>
      <c r="M257" s="482" t="s">
        <v>9</v>
      </c>
      <c r="N257" s="484">
        <v>1</v>
      </c>
      <c r="O257" s="485"/>
      <c r="P257" s="485"/>
      <c r="Q257" s="485"/>
      <c r="R257" s="482"/>
      <c r="S257" s="485">
        <v>0.1396064814814815</v>
      </c>
      <c r="T257" s="485">
        <v>0.20627314814814815</v>
      </c>
      <c r="U257" s="485"/>
      <c r="V257" s="485"/>
      <c r="W257" s="485">
        <v>0.50113425925925925</v>
      </c>
      <c r="X257" s="485">
        <v>0.79599537037037038</v>
      </c>
      <c r="Y257" s="485">
        <v>0.85972222222222217</v>
      </c>
      <c r="Z257" s="485">
        <v>5.9027777777777783E-2</v>
      </c>
      <c r="AA257" s="485">
        <v>0.27847222222222223</v>
      </c>
      <c r="AB257" s="482" t="s">
        <v>6462</v>
      </c>
      <c r="AC257" s="484">
        <v>129</v>
      </c>
      <c r="AD257" s="482" t="s">
        <v>116</v>
      </c>
      <c r="AE257" s="482"/>
      <c r="AF257" s="484">
        <v>70.400000000000006</v>
      </c>
      <c r="AG257" s="483">
        <v>23.1</v>
      </c>
      <c r="AH257" s="482" t="s">
        <v>6308</v>
      </c>
      <c r="AI257" s="482" t="s">
        <v>6325</v>
      </c>
      <c r="AJ257" s="482" t="s">
        <v>6493</v>
      </c>
      <c r="AK257" s="482" t="s">
        <v>6493</v>
      </c>
      <c r="AL257" s="482"/>
      <c r="AM257" s="482"/>
      <c r="AN257" s="482"/>
      <c r="AO257" s="482"/>
      <c r="AP257" s="482"/>
      <c r="AQ257" s="482"/>
      <c r="AR257" s="482"/>
      <c r="AS257" s="482"/>
      <c r="AT257" s="482"/>
      <c r="AU257" s="482"/>
      <c r="AV257" s="482"/>
      <c r="AW257" s="482"/>
      <c r="AX257" s="482"/>
      <c r="AY257" s="482"/>
      <c r="AZ257" s="482"/>
      <c r="BA257" s="482"/>
      <c r="BB257" s="482"/>
      <c r="BC257" s="482"/>
      <c r="BD257" s="482"/>
      <c r="BE257" s="482"/>
      <c r="BF257" s="482"/>
      <c r="BG257" s="482"/>
      <c r="BH257" s="482"/>
      <c r="BI257" s="482"/>
      <c r="BJ257" s="482"/>
      <c r="BK257" s="482"/>
      <c r="BL257" s="486"/>
    </row>
    <row r="258" spans="1:64">
      <c r="A258" s="468">
        <v>44049</v>
      </c>
      <c r="B258" s="473">
        <v>219</v>
      </c>
      <c r="C258" s="473">
        <v>147</v>
      </c>
      <c r="D258" s="470" t="s">
        <v>629</v>
      </c>
      <c r="E258" s="469">
        <v>32</v>
      </c>
      <c r="F258" s="470" t="s">
        <v>6714</v>
      </c>
      <c r="G258" s="469">
        <v>534</v>
      </c>
      <c r="H258" s="470" t="s">
        <v>6253</v>
      </c>
      <c r="I258" s="470" t="s">
        <v>836</v>
      </c>
      <c r="J258" s="469">
        <v>3</v>
      </c>
      <c r="K258" s="470" t="s">
        <v>6258</v>
      </c>
      <c r="L258" s="470" t="s">
        <v>6274</v>
      </c>
      <c r="M258" s="470" t="s">
        <v>9</v>
      </c>
      <c r="N258" s="473">
        <v>1</v>
      </c>
      <c r="O258" s="471"/>
      <c r="P258" s="471"/>
      <c r="Q258" s="471"/>
      <c r="R258" s="470"/>
      <c r="S258" s="471">
        <v>0.14028935185185185</v>
      </c>
      <c r="T258" s="471">
        <v>0.20695601851851853</v>
      </c>
      <c r="U258" s="471"/>
      <c r="V258" s="471"/>
      <c r="W258" s="471">
        <v>0.50105324074074076</v>
      </c>
      <c r="X258" s="471">
        <v>0.79516203703703703</v>
      </c>
      <c r="Y258" s="471">
        <v>0.87777777777777777</v>
      </c>
      <c r="Z258" s="471">
        <v>9.0277777777777776E-2</v>
      </c>
      <c r="AA258" s="471">
        <v>0.32083333333333336</v>
      </c>
      <c r="AB258" s="470" t="s">
        <v>6462</v>
      </c>
      <c r="AC258" s="473">
        <v>129</v>
      </c>
      <c r="AD258" s="470" t="s">
        <v>116</v>
      </c>
      <c r="AE258" s="470"/>
      <c r="AF258" s="473">
        <v>65.5</v>
      </c>
      <c r="AG258" s="469">
        <v>15.9</v>
      </c>
      <c r="AH258" s="470" t="s">
        <v>6309</v>
      </c>
      <c r="AI258" s="470" t="s">
        <v>6326</v>
      </c>
      <c r="AJ258" s="470" t="s">
        <v>6493</v>
      </c>
      <c r="AK258" s="470" t="s">
        <v>6493</v>
      </c>
      <c r="AL258" s="470"/>
      <c r="AM258" s="470"/>
      <c r="AN258" s="470"/>
      <c r="AO258" s="470"/>
      <c r="AP258" s="470"/>
      <c r="AQ258" s="470"/>
      <c r="AR258" s="470"/>
      <c r="AS258" s="470"/>
      <c r="AT258" s="470"/>
      <c r="AU258" s="470"/>
      <c r="AV258" s="470"/>
      <c r="AW258" s="470"/>
      <c r="AX258" s="470"/>
      <c r="AY258" s="470"/>
      <c r="AZ258" s="470"/>
      <c r="BA258" s="470"/>
      <c r="BB258" s="470"/>
      <c r="BC258" s="470"/>
      <c r="BD258" s="470"/>
      <c r="BE258" s="470"/>
      <c r="BF258" s="470"/>
      <c r="BG258" s="470"/>
      <c r="BH258" s="470"/>
      <c r="BI258" s="470"/>
      <c r="BJ258" s="470"/>
      <c r="BK258" s="470"/>
      <c r="BL258" s="474"/>
    </row>
    <row r="259" spans="1:64">
      <c r="A259" s="475">
        <v>44050</v>
      </c>
      <c r="B259" s="478">
        <v>220</v>
      </c>
      <c r="C259" s="478">
        <v>146</v>
      </c>
      <c r="D259" s="476" t="s">
        <v>629</v>
      </c>
      <c r="E259" s="477">
        <v>32</v>
      </c>
      <c r="F259" s="476" t="s">
        <v>100</v>
      </c>
      <c r="G259" s="477">
        <v>534</v>
      </c>
      <c r="H259" s="476" t="s">
        <v>6253</v>
      </c>
      <c r="I259" s="476" t="s">
        <v>836</v>
      </c>
      <c r="J259" s="477">
        <v>4</v>
      </c>
      <c r="K259" s="476" t="s">
        <v>6259</v>
      </c>
      <c r="L259" s="476" t="s">
        <v>6275</v>
      </c>
      <c r="M259" s="476" t="s">
        <v>9</v>
      </c>
      <c r="N259" s="478">
        <v>1</v>
      </c>
      <c r="O259" s="479"/>
      <c r="P259" s="479"/>
      <c r="Q259" s="479"/>
      <c r="R259" s="476"/>
      <c r="S259" s="479">
        <v>0.14096064814814815</v>
      </c>
      <c r="T259" s="479">
        <v>0.20762731481481481</v>
      </c>
      <c r="U259" s="479"/>
      <c r="V259" s="479"/>
      <c r="W259" s="479">
        <v>0.50097222222222226</v>
      </c>
      <c r="X259" s="479">
        <v>0.79430555555555549</v>
      </c>
      <c r="Y259" s="479">
        <v>0.89444444444444438</v>
      </c>
      <c r="Z259" s="479">
        <v>0.11944444444444445</v>
      </c>
      <c r="AA259" s="479">
        <v>0.36319444444444443</v>
      </c>
      <c r="AB259" s="476" t="s">
        <v>6462</v>
      </c>
      <c r="AC259" s="478">
        <v>129</v>
      </c>
      <c r="AD259" s="476" t="s">
        <v>116</v>
      </c>
      <c r="AE259" s="476"/>
      <c r="AF259" s="478">
        <v>58.9</v>
      </c>
      <c r="AG259" s="477">
        <v>7.2</v>
      </c>
      <c r="AH259" s="476" t="s">
        <v>6310</v>
      </c>
      <c r="AI259" s="476" t="s">
        <v>6327</v>
      </c>
      <c r="AJ259" s="476" t="s">
        <v>6493</v>
      </c>
      <c r="AK259" s="476" t="s">
        <v>6493</v>
      </c>
      <c r="AL259" s="476"/>
      <c r="AM259" s="476"/>
      <c r="AN259" s="476"/>
      <c r="AO259" s="476"/>
      <c r="AP259" s="476"/>
      <c r="AQ259" s="476"/>
      <c r="AR259" s="476"/>
      <c r="AS259" s="476"/>
      <c r="AT259" s="476"/>
      <c r="AU259" s="476"/>
      <c r="AV259" s="476"/>
      <c r="AW259" s="476"/>
      <c r="AX259" s="476"/>
      <c r="AY259" s="476"/>
      <c r="AZ259" s="476"/>
      <c r="BA259" s="476"/>
      <c r="BB259" s="476"/>
      <c r="BC259" s="476"/>
      <c r="BD259" s="476"/>
      <c r="BE259" s="476"/>
      <c r="BF259" s="476"/>
      <c r="BG259" s="476"/>
      <c r="BH259" s="476"/>
      <c r="BI259" s="476"/>
      <c r="BJ259" s="476"/>
      <c r="BK259" s="476"/>
      <c r="BL259" s="480"/>
    </row>
    <row r="260" spans="1:64">
      <c r="A260" s="468">
        <v>44051</v>
      </c>
      <c r="B260" s="473">
        <v>221</v>
      </c>
      <c r="C260" s="473">
        <v>145</v>
      </c>
      <c r="D260" s="470" t="s">
        <v>629</v>
      </c>
      <c r="E260" s="469">
        <v>32</v>
      </c>
      <c r="F260" s="470" t="s">
        <v>103</v>
      </c>
      <c r="G260" s="469">
        <v>534</v>
      </c>
      <c r="H260" s="470" t="s">
        <v>6253</v>
      </c>
      <c r="I260" s="470" t="s">
        <v>836</v>
      </c>
      <c r="J260" s="469">
        <v>5</v>
      </c>
      <c r="K260" s="470" t="s">
        <v>6260</v>
      </c>
      <c r="L260" s="470" t="s">
        <v>6276</v>
      </c>
      <c r="M260" s="470" t="s">
        <v>9</v>
      </c>
      <c r="N260" s="473">
        <v>1</v>
      </c>
      <c r="O260" s="471"/>
      <c r="P260" s="471"/>
      <c r="Q260" s="471"/>
      <c r="R260" s="470"/>
      <c r="S260" s="471">
        <v>0.1416435185185185</v>
      </c>
      <c r="T260" s="471">
        <v>0.20831018518518518</v>
      </c>
      <c r="U260" s="471"/>
      <c r="V260" s="471"/>
      <c r="W260" s="471">
        <v>0.50086805555555558</v>
      </c>
      <c r="X260" s="471">
        <v>0.79343750000000002</v>
      </c>
      <c r="Y260" s="471">
        <v>0.91041666666666676</v>
      </c>
      <c r="Z260" s="471">
        <v>0.14722222222222223</v>
      </c>
      <c r="AA260" s="471">
        <v>0.40347222222222223</v>
      </c>
      <c r="AB260" s="470" t="s">
        <v>6462</v>
      </c>
      <c r="AC260" s="473">
        <v>129</v>
      </c>
      <c r="AD260" s="470" t="s">
        <v>116</v>
      </c>
      <c r="AE260" s="470"/>
      <c r="AF260" s="473">
        <v>51.1</v>
      </c>
      <c r="AG260" s="469">
        <v>97.3</v>
      </c>
      <c r="AH260" s="470" t="s">
        <v>6310</v>
      </c>
      <c r="AI260" s="470" t="s">
        <v>6328</v>
      </c>
      <c r="AJ260" s="470" t="s">
        <v>6493</v>
      </c>
      <c r="AK260" s="470" t="s">
        <v>6493</v>
      </c>
      <c r="AL260" s="470"/>
      <c r="AM260" s="470"/>
      <c r="AN260" s="470"/>
      <c r="AO260" s="470"/>
      <c r="AP260" s="470"/>
      <c r="AQ260" s="470"/>
      <c r="AR260" s="470"/>
      <c r="AS260" s="470"/>
      <c r="AT260" s="470"/>
      <c r="AU260" s="470"/>
      <c r="AV260" s="470"/>
      <c r="AW260" s="470"/>
      <c r="AX260" s="470"/>
      <c r="AY260" s="470"/>
      <c r="AZ260" s="470"/>
      <c r="BA260" s="470"/>
      <c r="BB260" s="470"/>
      <c r="BC260" s="470"/>
      <c r="BD260" s="470"/>
      <c r="BE260" s="470"/>
      <c r="BF260" s="470"/>
      <c r="BG260" s="470"/>
      <c r="BH260" s="470"/>
      <c r="BI260" s="470"/>
      <c r="BJ260" s="470"/>
      <c r="BK260" s="470"/>
      <c r="BL260" s="474"/>
    </row>
    <row r="261" spans="1:64">
      <c r="A261" s="475">
        <v>44052</v>
      </c>
      <c r="B261" s="478">
        <v>222</v>
      </c>
      <c r="C261" s="478">
        <v>144</v>
      </c>
      <c r="D261" s="476" t="s">
        <v>629</v>
      </c>
      <c r="E261" s="477">
        <v>32</v>
      </c>
      <c r="F261" s="476" t="s">
        <v>106</v>
      </c>
      <c r="G261" s="477">
        <v>534</v>
      </c>
      <c r="H261" s="476" t="s">
        <v>6253</v>
      </c>
      <c r="I261" s="476" t="s">
        <v>836</v>
      </c>
      <c r="J261" s="477">
        <v>6</v>
      </c>
      <c r="K261" s="476" t="s">
        <v>6261</v>
      </c>
      <c r="L261" s="476" t="s">
        <v>6277</v>
      </c>
      <c r="M261" s="476" t="s">
        <v>9</v>
      </c>
      <c r="N261" s="478">
        <v>1</v>
      </c>
      <c r="O261" s="479"/>
      <c r="P261" s="479"/>
      <c r="Q261" s="479"/>
      <c r="R261" s="476"/>
      <c r="S261" s="479">
        <v>0.14231481481481481</v>
      </c>
      <c r="T261" s="479">
        <v>0.20898148148148146</v>
      </c>
      <c r="U261" s="479"/>
      <c r="V261" s="479"/>
      <c r="W261" s="479">
        <v>0.5007638888888889</v>
      </c>
      <c r="X261" s="479">
        <v>0.79254629629629625</v>
      </c>
      <c r="Y261" s="479">
        <v>0.92638888888888893</v>
      </c>
      <c r="Z261" s="479">
        <v>0.17569444444444446</v>
      </c>
      <c r="AA261" s="479">
        <v>0.44444444444444442</v>
      </c>
      <c r="AB261" s="476" t="s">
        <v>6462</v>
      </c>
      <c r="AC261" s="478">
        <v>129</v>
      </c>
      <c r="AD261" s="476" t="s">
        <v>116</v>
      </c>
      <c r="AE261" s="476"/>
      <c r="AF261" s="478">
        <v>42.3</v>
      </c>
      <c r="AG261" s="477">
        <v>86.6</v>
      </c>
      <c r="AH261" s="476" t="s">
        <v>6311</v>
      </c>
      <c r="AI261" s="476" t="s">
        <v>6329</v>
      </c>
      <c r="AJ261" s="476" t="s">
        <v>6493</v>
      </c>
      <c r="AK261" s="476" t="s">
        <v>6493</v>
      </c>
      <c r="AL261" s="476" t="s">
        <v>808</v>
      </c>
      <c r="AM261" s="476"/>
      <c r="AN261" s="476"/>
      <c r="AO261" s="476"/>
      <c r="AP261" s="476"/>
      <c r="AQ261" s="476"/>
      <c r="AR261" s="476"/>
      <c r="AS261" s="476"/>
      <c r="AT261" s="476"/>
      <c r="AU261" s="476"/>
      <c r="AV261" s="476"/>
      <c r="AW261" s="476"/>
      <c r="AX261" s="476"/>
      <c r="AY261" s="476"/>
      <c r="AZ261" s="476"/>
      <c r="BA261" s="476"/>
      <c r="BB261" s="476"/>
      <c r="BC261" s="476"/>
      <c r="BD261" s="476"/>
      <c r="BE261" s="476"/>
      <c r="BF261" s="476"/>
      <c r="BG261" s="476"/>
      <c r="BH261" s="476"/>
      <c r="BI261" s="476"/>
      <c r="BJ261" s="476"/>
      <c r="BK261" s="476"/>
      <c r="BL261" s="480"/>
    </row>
    <row r="262" spans="1:64">
      <c r="A262" s="468">
        <v>44053</v>
      </c>
      <c r="B262" s="473">
        <v>223</v>
      </c>
      <c r="C262" s="473">
        <v>143</v>
      </c>
      <c r="D262" s="470" t="s">
        <v>629</v>
      </c>
      <c r="E262" s="469">
        <v>33</v>
      </c>
      <c r="F262" s="470" t="s">
        <v>88</v>
      </c>
      <c r="G262" s="469">
        <v>534</v>
      </c>
      <c r="H262" s="470" t="s">
        <v>6253</v>
      </c>
      <c r="I262" s="470" t="s">
        <v>836</v>
      </c>
      <c r="J262" s="469">
        <v>7</v>
      </c>
      <c r="K262" s="470" t="s">
        <v>6262</v>
      </c>
      <c r="L262" s="470" t="s">
        <v>6278</v>
      </c>
      <c r="M262" s="470" t="s">
        <v>9</v>
      </c>
      <c r="N262" s="473">
        <v>1</v>
      </c>
      <c r="O262" s="471"/>
      <c r="P262" s="471"/>
      <c r="Q262" s="471"/>
      <c r="R262" s="470"/>
      <c r="S262" s="471">
        <v>0.14299768518518519</v>
      </c>
      <c r="T262" s="471">
        <v>0.20966435185185184</v>
      </c>
      <c r="U262" s="471"/>
      <c r="V262" s="471"/>
      <c r="W262" s="471">
        <v>0.50065972222222221</v>
      </c>
      <c r="X262" s="471">
        <v>0.79165509259259259</v>
      </c>
      <c r="Y262" s="471">
        <v>0.94374999999999998</v>
      </c>
      <c r="Z262" s="471">
        <v>0.20416666666666669</v>
      </c>
      <c r="AA262" s="471">
        <v>0.48541666666666666</v>
      </c>
      <c r="AB262" s="470" t="s">
        <v>6462</v>
      </c>
      <c r="AC262" s="473">
        <v>129</v>
      </c>
      <c r="AD262" s="470" t="s">
        <v>116</v>
      </c>
      <c r="AE262" s="470"/>
      <c r="AF262" s="473">
        <v>33.200000000000003</v>
      </c>
      <c r="AG262" s="469">
        <v>75.599999999999994</v>
      </c>
      <c r="AH262" s="470" t="s">
        <v>6312</v>
      </c>
      <c r="AI262" s="470" t="s">
        <v>6330</v>
      </c>
      <c r="AJ262" s="470" t="s">
        <v>6493</v>
      </c>
      <c r="AK262" s="470" t="s">
        <v>6493</v>
      </c>
      <c r="AL262" s="470"/>
      <c r="AM262" s="470"/>
      <c r="AN262" s="470"/>
      <c r="AO262" s="470"/>
      <c r="AP262" s="470"/>
      <c r="AQ262" s="470"/>
      <c r="AR262" s="470"/>
      <c r="AS262" s="470"/>
      <c r="AT262" s="470"/>
      <c r="AU262" s="470"/>
      <c r="AV262" s="470"/>
      <c r="AW262" s="470"/>
      <c r="AX262" s="470"/>
      <c r="AY262" s="470"/>
      <c r="AZ262" s="470"/>
      <c r="BA262" s="470"/>
      <c r="BB262" s="470"/>
      <c r="BC262" s="470"/>
      <c r="BD262" s="470"/>
      <c r="BE262" s="470"/>
      <c r="BF262" s="470"/>
      <c r="BG262" s="470"/>
      <c r="BH262" s="470"/>
      <c r="BI262" s="470"/>
      <c r="BJ262" s="470"/>
      <c r="BK262" s="470"/>
      <c r="BL262" s="474"/>
    </row>
    <row r="263" spans="1:64">
      <c r="A263" s="475">
        <v>44054</v>
      </c>
      <c r="B263" s="478">
        <v>224</v>
      </c>
      <c r="C263" s="478">
        <v>142</v>
      </c>
      <c r="D263" s="476" t="s">
        <v>629</v>
      </c>
      <c r="E263" s="477">
        <v>33</v>
      </c>
      <c r="F263" s="476" t="s">
        <v>91</v>
      </c>
      <c r="G263" s="477">
        <v>534</v>
      </c>
      <c r="H263" s="476" t="s">
        <v>6253</v>
      </c>
      <c r="I263" s="476" t="s">
        <v>836</v>
      </c>
      <c r="J263" s="477">
        <v>8</v>
      </c>
      <c r="K263" s="476" t="s">
        <v>6263</v>
      </c>
      <c r="L263" s="476" t="s">
        <v>6279</v>
      </c>
      <c r="M263" s="476" t="s">
        <v>9</v>
      </c>
      <c r="N263" s="478">
        <v>1</v>
      </c>
      <c r="O263" s="479"/>
      <c r="P263" s="479"/>
      <c r="Q263" s="479"/>
      <c r="R263" s="476"/>
      <c r="S263" s="479">
        <v>0.14368055555555556</v>
      </c>
      <c r="T263" s="479">
        <v>0.21034722222222221</v>
      </c>
      <c r="U263" s="479"/>
      <c r="V263" s="479"/>
      <c r="W263" s="479">
        <v>0.50054398148148149</v>
      </c>
      <c r="X263" s="479">
        <v>0.79074074074074074</v>
      </c>
      <c r="Y263" s="479">
        <v>0.96388888888888891</v>
      </c>
      <c r="Z263" s="479">
        <v>0.23333333333333331</v>
      </c>
      <c r="AA263" s="479">
        <v>0.52638888888888891</v>
      </c>
      <c r="AB263" s="476" t="s">
        <v>6289</v>
      </c>
      <c r="AC263" s="478">
        <v>131</v>
      </c>
      <c r="AD263" s="476" t="s">
        <v>119</v>
      </c>
      <c r="AE263" s="476" t="s">
        <v>6535</v>
      </c>
      <c r="AF263" s="478">
        <v>24.3</v>
      </c>
      <c r="AG263" s="477">
        <v>64.8</v>
      </c>
      <c r="AH263" s="476" t="s">
        <v>6313</v>
      </c>
      <c r="AI263" s="476" t="s">
        <v>6331</v>
      </c>
      <c r="AJ263" s="476" t="s">
        <v>874</v>
      </c>
      <c r="AK263" s="476" t="s">
        <v>6493</v>
      </c>
      <c r="AL263" s="476" t="s">
        <v>6808</v>
      </c>
      <c r="AM263" s="476" t="s">
        <v>6347</v>
      </c>
      <c r="AN263" s="476" t="s">
        <v>6951</v>
      </c>
      <c r="AO263" s="476" t="s">
        <v>6351</v>
      </c>
      <c r="AP263" s="476" t="s">
        <v>764</v>
      </c>
      <c r="AQ263" s="476"/>
      <c r="AR263" s="476"/>
      <c r="AS263" s="476"/>
      <c r="AT263" s="476"/>
      <c r="AU263" s="476"/>
      <c r="AV263" s="476"/>
      <c r="AW263" s="476"/>
      <c r="AX263" s="476"/>
      <c r="AY263" s="476"/>
      <c r="AZ263" s="476"/>
      <c r="BA263" s="476"/>
      <c r="BB263" s="476"/>
      <c r="BC263" s="476"/>
      <c r="BD263" s="476"/>
      <c r="BE263" s="476"/>
      <c r="BF263" s="476"/>
      <c r="BG263" s="476"/>
      <c r="BH263" s="476"/>
      <c r="BI263" s="476"/>
      <c r="BJ263" s="476" t="s">
        <v>6401</v>
      </c>
      <c r="BK263" s="476"/>
      <c r="BL263" s="480"/>
    </row>
    <row r="264" spans="1:64">
      <c r="A264" s="468">
        <v>44055</v>
      </c>
      <c r="B264" s="473">
        <v>225</v>
      </c>
      <c r="C264" s="473">
        <v>141</v>
      </c>
      <c r="D264" s="470" t="s">
        <v>629</v>
      </c>
      <c r="E264" s="469">
        <v>33</v>
      </c>
      <c r="F264" s="470" t="s">
        <v>94</v>
      </c>
      <c r="G264" s="469">
        <v>534</v>
      </c>
      <c r="H264" s="470" t="s">
        <v>6253</v>
      </c>
      <c r="I264" s="470" t="s">
        <v>836</v>
      </c>
      <c r="J264" s="469">
        <v>9</v>
      </c>
      <c r="K264" s="470" t="s">
        <v>6264</v>
      </c>
      <c r="L264" s="470" t="s">
        <v>6280</v>
      </c>
      <c r="M264" s="470" t="s">
        <v>9</v>
      </c>
      <c r="N264" s="473">
        <v>1</v>
      </c>
      <c r="O264" s="471"/>
      <c r="P264" s="471"/>
      <c r="Q264" s="471"/>
      <c r="R264" s="470"/>
      <c r="S264" s="471">
        <v>0.14436342592592591</v>
      </c>
      <c r="T264" s="471">
        <v>0.21103009259259262</v>
      </c>
      <c r="U264" s="471"/>
      <c r="V264" s="471"/>
      <c r="W264" s="471">
        <v>0.50042824074074077</v>
      </c>
      <c r="X264" s="471">
        <v>0.78981481481481486</v>
      </c>
      <c r="Y264" s="471">
        <v>0.98611111111111116</v>
      </c>
      <c r="Z264" s="471">
        <v>0.2638888888888889</v>
      </c>
      <c r="AA264" s="471">
        <v>0.56874999999999998</v>
      </c>
      <c r="AB264" s="470" t="s">
        <v>6289</v>
      </c>
      <c r="AC264" s="473">
        <v>131</v>
      </c>
      <c r="AD264" s="470" t="s">
        <v>119</v>
      </c>
      <c r="AE264" s="470"/>
      <c r="AF264" s="473">
        <v>16.399999999999999</v>
      </c>
      <c r="AG264" s="469">
        <v>54.9</v>
      </c>
      <c r="AH264" s="470" t="s">
        <v>6314</v>
      </c>
      <c r="AI264" s="470" t="s">
        <v>6332</v>
      </c>
      <c r="AJ264" s="470" t="s">
        <v>874</v>
      </c>
      <c r="AK264" s="470" t="s">
        <v>6493</v>
      </c>
      <c r="AL264" s="470" t="s">
        <v>1223</v>
      </c>
      <c r="AM264" s="470" t="s">
        <v>6344</v>
      </c>
      <c r="AN264" s="470" t="s">
        <v>6952</v>
      </c>
      <c r="AO264" s="470" t="s">
        <v>6345</v>
      </c>
      <c r="AP264" s="470" t="s">
        <v>6900</v>
      </c>
      <c r="AQ264" s="470" t="s">
        <v>6351</v>
      </c>
      <c r="AR264" s="470"/>
      <c r="AS264" s="470"/>
      <c r="AT264" s="470"/>
      <c r="AU264" s="470"/>
      <c r="AV264" s="470"/>
      <c r="AW264" s="470"/>
      <c r="AX264" s="470"/>
      <c r="AY264" s="470"/>
      <c r="AZ264" s="470"/>
      <c r="BA264" s="470"/>
      <c r="BB264" s="470"/>
      <c r="BC264" s="470"/>
      <c r="BD264" s="470"/>
      <c r="BE264" s="470"/>
      <c r="BF264" s="470"/>
      <c r="BG264" s="470"/>
      <c r="BH264" s="470"/>
      <c r="BI264" s="470"/>
      <c r="BJ264" s="470" t="s">
        <v>6402</v>
      </c>
      <c r="BK264" s="470"/>
      <c r="BL264" s="474"/>
    </row>
    <row r="265" spans="1:64">
      <c r="A265" s="475">
        <v>44056</v>
      </c>
      <c r="B265" s="478">
        <v>226</v>
      </c>
      <c r="C265" s="478">
        <v>140</v>
      </c>
      <c r="D265" s="476" t="s">
        <v>629</v>
      </c>
      <c r="E265" s="477">
        <v>33</v>
      </c>
      <c r="F265" s="476" t="s">
        <v>6714</v>
      </c>
      <c r="G265" s="477">
        <v>534</v>
      </c>
      <c r="H265" s="476" t="s">
        <v>6253</v>
      </c>
      <c r="I265" s="476" t="s">
        <v>836</v>
      </c>
      <c r="J265" s="477">
        <v>10</v>
      </c>
      <c r="K265" s="476" t="s">
        <v>6265</v>
      </c>
      <c r="L265" s="476" t="s">
        <v>6281</v>
      </c>
      <c r="M265" s="476" t="s">
        <v>9</v>
      </c>
      <c r="N265" s="478">
        <v>1</v>
      </c>
      <c r="O265" s="479"/>
      <c r="P265" s="479"/>
      <c r="Q265" s="479"/>
      <c r="R265" s="476"/>
      <c r="S265" s="479">
        <v>0.14504629629629631</v>
      </c>
      <c r="T265" s="479">
        <v>0.21171296296296296</v>
      </c>
      <c r="U265" s="479"/>
      <c r="V265" s="479"/>
      <c r="W265" s="479">
        <v>0.50028935185185186</v>
      </c>
      <c r="X265" s="479">
        <v>0.78887731481481482</v>
      </c>
      <c r="Y265" s="479" t="s">
        <v>1107</v>
      </c>
      <c r="Z265" s="479">
        <v>0.29652777777777778</v>
      </c>
      <c r="AA265" s="479">
        <v>0.61111111111111105</v>
      </c>
      <c r="AB265" s="476" t="s">
        <v>6289</v>
      </c>
      <c r="AC265" s="478">
        <v>131</v>
      </c>
      <c r="AD265" s="476" t="s">
        <v>119</v>
      </c>
      <c r="AE265" s="476"/>
      <c r="AF265" s="478">
        <v>10.1</v>
      </c>
      <c r="AG265" s="477">
        <v>46.4</v>
      </c>
      <c r="AH265" s="476" t="s">
        <v>973</v>
      </c>
      <c r="AI265" s="476" t="s">
        <v>6333</v>
      </c>
      <c r="AJ265" s="476" t="s">
        <v>6493</v>
      </c>
      <c r="AK265" s="476" t="s">
        <v>6493</v>
      </c>
      <c r="AL265" s="476"/>
      <c r="AM265" s="476"/>
      <c r="AN265" s="476"/>
      <c r="AO265" s="476"/>
      <c r="AP265" s="476"/>
      <c r="AQ265" s="476"/>
      <c r="AR265" s="476"/>
      <c r="AS265" s="476"/>
      <c r="AT265" s="476"/>
      <c r="AU265" s="476"/>
      <c r="AV265" s="476"/>
      <c r="AW265" s="476"/>
      <c r="AX265" s="476"/>
      <c r="AY265" s="476"/>
      <c r="AZ265" s="476"/>
      <c r="BA265" s="476"/>
      <c r="BB265" s="476"/>
      <c r="BC265" s="476"/>
      <c r="BD265" s="476"/>
      <c r="BE265" s="476"/>
      <c r="BF265" s="476"/>
      <c r="BG265" s="476"/>
      <c r="BH265" s="476"/>
      <c r="BI265" s="476"/>
      <c r="BJ265" s="476"/>
      <c r="BK265" s="476"/>
      <c r="BL265" s="480"/>
    </row>
    <row r="266" spans="1:64">
      <c r="A266" s="468">
        <v>44057</v>
      </c>
      <c r="B266" s="473">
        <v>227</v>
      </c>
      <c r="C266" s="473">
        <v>139</v>
      </c>
      <c r="D266" s="470" t="s">
        <v>629</v>
      </c>
      <c r="E266" s="469">
        <v>33</v>
      </c>
      <c r="F266" s="470" t="s">
        <v>100</v>
      </c>
      <c r="G266" s="469">
        <v>534</v>
      </c>
      <c r="H266" s="470" t="s">
        <v>6253</v>
      </c>
      <c r="I266" s="470" t="s">
        <v>836</v>
      </c>
      <c r="J266" s="469">
        <v>11</v>
      </c>
      <c r="K266" s="470" t="s">
        <v>6271</v>
      </c>
      <c r="L266" s="470" t="s">
        <v>6281</v>
      </c>
      <c r="M266" s="470" t="s">
        <v>9</v>
      </c>
      <c r="N266" s="473">
        <v>1</v>
      </c>
      <c r="O266" s="471"/>
      <c r="P266" s="471"/>
      <c r="Q266" s="471"/>
      <c r="R266" s="470"/>
      <c r="S266" s="471">
        <v>0.14572916666666666</v>
      </c>
      <c r="T266" s="471">
        <v>0.21239583333333334</v>
      </c>
      <c r="U266" s="471"/>
      <c r="V266" s="471"/>
      <c r="W266" s="471">
        <v>0.5001620370370371</v>
      </c>
      <c r="X266" s="471">
        <v>0.78791666666666671</v>
      </c>
      <c r="Y266" s="471">
        <v>1.3194444444444444E-2</v>
      </c>
      <c r="Z266" s="471">
        <v>0.33194444444444443</v>
      </c>
      <c r="AA266" s="471">
        <v>0.65347222222222223</v>
      </c>
      <c r="AB266" s="470" t="s">
        <v>6289</v>
      </c>
      <c r="AC266" s="473">
        <v>131</v>
      </c>
      <c r="AD266" s="470" t="s">
        <v>119</v>
      </c>
      <c r="AE266" s="470"/>
      <c r="AF266" s="473">
        <v>6.2</v>
      </c>
      <c r="AG266" s="469">
        <v>40.1</v>
      </c>
      <c r="AH266" s="470" t="s">
        <v>6290</v>
      </c>
      <c r="AI266" s="470" t="s">
        <v>6334</v>
      </c>
      <c r="AJ266" s="470" t="s">
        <v>6493</v>
      </c>
      <c r="AK266" s="470" t="s">
        <v>6493</v>
      </c>
      <c r="AL266" s="470"/>
      <c r="AM266" s="470"/>
      <c r="AN266" s="470"/>
      <c r="AO266" s="470"/>
      <c r="AP266" s="470"/>
      <c r="AQ266" s="470"/>
      <c r="AR266" s="470"/>
      <c r="AS266" s="470"/>
      <c r="AT266" s="470"/>
      <c r="AU266" s="470"/>
      <c r="AV266" s="470"/>
      <c r="AW266" s="470"/>
      <c r="AX266" s="470"/>
      <c r="AY266" s="470"/>
      <c r="AZ266" s="470"/>
      <c r="BA266" s="470"/>
      <c r="BB266" s="470"/>
      <c r="BC266" s="470"/>
      <c r="BD266" s="470"/>
      <c r="BE266" s="470"/>
      <c r="BF266" s="470"/>
      <c r="BG266" s="470"/>
      <c r="BH266" s="470"/>
      <c r="BI266" s="470"/>
      <c r="BJ266" s="470"/>
      <c r="BK266" s="470"/>
      <c r="BL266" s="474"/>
    </row>
    <row r="267" spans="1:64">
      <c r="A267" s="475">
        <v>44058</v>
      </c>
      <c r="B267" s="478">
        <v>228</v>
      </c>
      <c r="C267" s="478">
        <v>138</v>
      </c>
      <c r="D267" s="476" t="s">
        <v>629</v>
      </c>
      <c r="E267" s="477">
        <v>33</v>
      </c>
      <c r="F267" s="476" t="s">
        <v>103</v>
      </c>
      <c r="G267" s="477">
        <v>534</v>
      </c>
      <c r="H267" s="476" t="s">
        <v>6253</v>
      </c>
      <c r="I267" s="476" t="s">
        <v>836</v>
      </c>
      <c r="J267" s="477">
        <v>12</v>
      </c>
      <c r="K267" s="476" t="s">
        <v>6266</v>
      </c>
      <c r="L267" s="476" t="s">
        <v>6282</v>
      </c>
      <c r="M267" s="476" t="s">
        <v>9</v>
      </c>
      <c r="N267" s="478">
        <v>1</v>
      </c>
      <c r="O267" s="479"/>
      <c r="P267" s="479"/>
      <c r="Q267" s="479"/>
      <c r="R267" s="476"/>
      <c r="S267" s="479">
        <v>0.14641203703703703</v>
      </c>
      <c r="T267" s="479">
        <v>0.21307870370370371</v>
      </c>
      <c r="U267" s="479"/>
      <c r="V267" s="479"/>
      <c r="W267" s="479">
        <v>0.50002314814814819</v>
      </c>
      <c r="X267" s="479">
        <v>0.7869560185185186</v>
      </c>
      <c r="Y267" s="479">
        <v>4.5833333333333337E-2</v>
      </c>
      <c r="Z267" s="479">
        <v>0.36944444444444446</v>
      </c>
      <c r="AA267" s="479">
        <v>0.69374999999999998</v>
      </c>
      <c r="AB267" s="476" t="s">
        <v>6289</v>
      </c>
      <c r="AC267" s="478">
        <v>131</v>
      </c>
      <c r="AD267" s="476" t="s">
        <v>119</v>
      </c>
      <c r="AE267" s="476"/>
      <c r="AF267" s="478">
        <v>5.2</v>
      </c>
      <c r="AG267" s="477">
        <v>36.4</v>
      </c>
      <c r="AH267" s="476" t="s">
        <v>6315</v>
      </c>
      <c r="AI267" s="476" t="s">
        <v>6335</v>
      </c>
      <c r="AJ267" s="476" t="s">
        <v>838</v>
      </c>
      <c r="AK267" s="476" t="s">
        <v>13</v>
      </c>
      <c r="AL267" s="476" t="s">
        <v>6809</v>
      </c>
      <c r="AM267" s="476" t="s">
        <v>6342</v>
      </c>
      <c r="AN267" s="476" t="s">
        <v>6953</v>
      </c>
      <c r="AO267" s="476" t="s">
        <v>6351</v>
      </c>
      <c r="AP267" s="476"/>
      <c r="AQ267" s="476"/>
      <c r="AR267" s="476"/>
      <c r="AS267" s="476"/>
      <c r="AT267" s="476"/>
      <c r="AU267" s="476"/>
      <c r="AV267" s="476"/>
      <c r="AW267" s="476"/>
      <c r="AX267" s="476"/>
      <c r="AY267" s="476"/>
      <c r="AZ267" s="476"/>
      <c r="BA267" s="476"/>
      <c r="BB267" s="476"/>
      <c r="BC267" s="476"/>
      <c r="BD267" s="476"/>
      <c r="BE267" s="476"/>
      <c r="BF267" s="476"/>
      <c r="BG267" s="476"/>
      <c r="BH267" s="476"/>
      <c r="BI267" s="476"/>
      <c r="BJ267" s="476"/>
      <c r="BK267" s="476"/>
      <c r="BL267" s="480"/>
    </row>
    <row r="268" spans="1:64">
      <c r="A268" s="468">
        <v>44059</v>
      </c>
      <c r="B268" s="473">
        <v>229</v>
      </c>
      <c r="C268" s="473">
        <v>137</v>
      </c>
      <c r="D268" s="470" t="s">
        <v>629</v>
      </c>
      <c r="E268" s="469">
        <v>33</v>
      </c>
      <c r="F268" s="470" t="s">
        <v>106</v>
      </c>
      <c r="G268" s="469">
        <v>534</v>
      </c>
      <c r="H268" s="470" t="s">
        <v>6253</v>
      </c>
      <c r="I268" s="470" t="s">
        <v>836</v>
      </c>
      <c r="J268" s="469">
        <v>13</v>
      </c>
      <c r="K268" s="470" t="s">
        <v>6267</v>
      </c>
      <c r="L268" s="470" t="s">
        <v>6284</v>
      </c>
      <c r="M268" s="470" t="s">
        <v>9</v>
      </c>
      <c r="N268" s="473">
        <v>1</v>
      </c>
      <c r="O268" s="471"/>
      <c r="P268" s="471"/>
      <c r="Q268" s="471">
        <v>0.35532407407407413</v>
      </c>
      <c r="R268" s="470" t="s">
        <v>22</v>
      </c>
      <c r="S268" s="471">
        <v>0.14709490740740741</v>
      </c>
      <c r="T268" s="471">
        <v>0.21376157407407406</v>
      </c>
      <c r="U268" s="471">
        <v>0.21319444444444444</v>
      </c>
      <c r="V268" s="471">
        <v>0.40416666666666662</v>
      </c>
      <c r="W268" s="471">
        <v>0.49987268518518518</v>
      </c>
      <c r="X268" s="471">
        <v>0.78598379629629633</v>
      </c>
      <c r="Y268" s="471">
        <v>8.4027777777777771E-2</v>
      </c>
      <c r="Z268" s="471">
        <v>0.40833333333333338</v>
      </c>
      <c r="AA268" s="471">
        <v>0.73055555555555562</v>
      </c>
      <c r="AB268" s="470" t="s">
        <v>6289</v>
      </c>
      <c r="AC268" s="473">
        <v>131</v>
      </c>
      <c r="AD268" s="470" t="s">
        <v>119</v>
      </c>
      <c r="AE268" s="470"/>
      <c r="AF268" s="473">
        <v>7.6</v>
      </c>
      <c r="AG268" s="469">
        <v>35.799999999999997</v>
      </c>
      <c r="AH268" s="470" t="s">
        <v>6291</v>
      </c>
      <c r="AI268" s="470" t="s">
        <v>6336</v>
      </c>
      <c r="AJ268" s="470" t="s">
        <v>839</v>
      </c>
      <c r="AK268" s="470" t="s">
        <v>6493</v>
      </c>
      <c r="AL268" s="470" t="s">
        <v>6810</v>
      </c>
      <c r="AM268" s="470" t="s">
        <v>6343</v>
      </c>
      <c r="AN268" s="470" t="s">
        <v>6954</v>
      </c>
      <c r="AO268" s="470"/>
      <c r="AP268" s="470"/>
      <c r="AQ268" s="470"/>
      <c r="AR268" s="470"/>
      <c r="AS268" s="470"/>
      <c r="AT268" s="470"/>
      <c r="AU268" s="470"/>
      <c r="AV268" s="470"/>
      <c r="AW268" s="470"/>
      <c r="AX268" s="470"/>
      <c r="AY268" s="470"/>
      <c r="AZ268" s="470"/>
      <c r="BA268" s="470"/>
      <c r="BB268" s="470"/>
      <c r="BC268" s="470"/>
      <c r="BD268" s="470"/>
      <c r="BE268" s="470"/>
      <c r="BF268" s="470"/>
      <c r="BG268" s="470"/>
      <c r="BH268" s="470"/>
      <c r="BI268" s="470"/>
      <c r="BJ268" s="470"/>
      <c r="BK268" s="470"/>
      <c r="BL268" s="474"/>
    </row>
    <row r="269" spans="1:64">
      <c r="A269" s="475">
        <v>44060</v>
      </c>
      <c r="B269" s="478">
        <v>230</v>
      </c>
      <c r="C269" s="478">
        <v>136</v>
      </c>
      <c r="D269" s="476" t="s">
        <v>629</v>
      </c>
      <c r="E269" s="477">
        <v>34</v>
      </c>
      <c r="F269" s="476" t="s">
        <v>88</v>
      </c>
      <c r="G269" s="477">
        <v>534</v>
      </c>
      <c r="H269" s="476" t="s">
        <v>6253</v>
      </c>
      <c r="I269" s="476" t="s">
        <v>836</v>
      </c>
      <c r="J269" s="477">
        <v>14</v>
      </c>
      <c r="K269" s="476" t="s">
        <v>6268</v>
      </c>
      <c r="L269" s="476" t="s">
        <v>6285</v>
      </c>
      <c r="M269" s="476" t="s">
        <v>9</v>
      </c>
      <c r="N269" s="478">
        <v>1</v>
      </c>
      <c r="O269" s="479"/>
      <c r="P269" s="479"/>
      <c r="Q269" s="479"/>
      <c r="R269" s="476"/>
      <c r="S269" s="479">
        <v>0.14778935185185185</v>
      </c>
      <c r="T269" s="479">
        <v>0.2144560185185185</v>
      </c>
      <c r="U269" s="479"/>
      <c r="V269" s="479"/>
      <c r="W269" s="479">
        <v>0.49972222222222223</v>
      </c>
      <c r="X269" s="479">
        <v>0.78498842592592588</v>
      </c>
      <c r="Y269" s="479">
        <v>0.12847222222222224</v>
      </c>
      <c r="Z269" s="479">
        <v>0.44791666666666669</v>
      </c>
      <c r="AA269" s="479">
        <v>0.7631944444444444</v>
      </c>
      <c r="AB269" s="476" t="s">
        <v>6289</v>
      </c>
      <c r="AC269" s="478">
        <v>131</v>
      </c>
      <c r="AD269" s="476" t="s">
        <v>119</v>
      </c>
      <c r="AE269" s="476"/>
      <c r="AF269" s="478">
        <v>13.5</v>
      </c>
      <c r="AG269" s="477">
        <v>38.299999999999997</v>
      </c>
      <c r="AH269" s="476" t="s">
        <v>6292</v>
      </c>
      <c r="AI269" s="476" t="s">
        <v>6337</v>
      </c>
      <c r="AJ269" s="476" t="s">
        <v>6493</v>
      </c>
      <c r="AK269" s="476" t="s">
        <v>6493</v>
      </c>
      <c r="AL269" s="476"/>
      <c r="AM269" s="476"/>
      <c r="AN269" s="476"/>
      <c r="AO269" s="476"/>
      <c r="AP269" s="476"/>
      <c r="AQ269" s="476"/>
      <c r="AR269" s="476"/>
      <c r="AS269" s="476"/>
      <c r="AT269" s="476"/>
      <c r="AU269" s="476"/>
      <c r="AV269" s="476"/>
      <c r="AW269" s="476"/>
      <c r="AX269" s="476"/>
      <c r="AY269" s="476"/>
      <c r="AZ269" s="476"/>
      <c r="BA269" s="476"/>
      <c r="BB269" s="476"/>
      <c r="BC269" s="476"/>
      <c r="BD269" s="476"/>
      <c r="BE269" s="476"/>
      <c r="BF269" s="476"/>
      <c r="BG269" s="476"/>
      <c r="BH269" s="476"/>
      <c r="BI269" s="476"/>
      <c r="BJ269" s="476"/>
      <c r="BK269" s="476"/>
      <c r="BL269" s="480"/>
    </row>
    <row r="270" spans="1:64">
      <c r="A270" s="468">
        <v>44061</v>
      </c>
      <c r="B270" s="473">
        <v>231</v>
      </c>
      <c r="C270" s="473">
        <v>135</v>
      </c>
      <c r="D270" s="470" t="s">
        <v>629</v>
      </c>
      <c r="E270" s="469">
        <v>34</v>
      </c>
      <c r="F270" s="470" t="s">
        <v>91</v>
      </c>
      <c r="G270" s="469">
        <v>534</v>
      </c>
      <c r="H270" s="470" t="s">
        <v>6253</v>
      </c>
      <c r="I270" s="470" t="s">
        <v>836</v>
      </c>
      <c r="J270" s="469">
        <v>15</v>
      </c>
      <c r="K270" s="470" t="s">
        <v>6269</v>
      </c>
      <c r="L270" s="470" t="s">
        <v>6286</v>
      </c>
      <c r="M270" s="470" t="s">
        <v>9</v>
      </c>
      <c r="N270" s="473">
        <v>1</v>
      </c>
      <c r="O270" s="471"/>
      <c r="P270" s="471"/>
      <c r="Q270" s="471"/>
      <c r="R270" s="470"/>
      <c r="S270" s="471">
        <v>0.14847222222222223</v>
      </c>
      <c r="T270" s="471">
        <v>0.21513888888888888</v>
      </c>
      <c r="U270" s="471"/>
      <c r="V270" s="471"/>
      <c r="W270" s="471">
        <v>0.49956018518518519</v>
      </c>
      <c r="X270" s="471">
        <v>0.78399305555555554</v>
      </c>
      <c r="Y270" s="471">
        <v>0.17708333333333334</v>
      </c>
      <c r="Z270" s="471">
        <v>0.48680555555555555</v>
      </c>
      <c r="AA270" s="471">
        <v>0.79166666666666663</v>
      </c>
      <c r="AB270" s="470" t="s">
        <v>6463</v>
      </c>
      <c r="AC270" s="473">
        <v>152</v>
      </c>
      <c r="AD270" s="470" t="s">
        <v>110</v>
      </c>
      <c r="AE270" s="470" t="s">
        <v>6536</v>
      </c>
      <c r="AF270" s="473">
        <v>22.9</v>
      </c>
      <c r="AG270" s="469">
        <v>44</v>
      </c>
      <c r="AH270" s="470" t="s">
        <v>6293</v>
      </c>
      <c r="AI270" s="470" t="s">
        <v>6338</v>
      </c>
      <c r="AJ270" s="470" t="s">
        <v>6493</v>
      </c>
      <c r="AK270" s="470" t="s">
        <v>6493</v>
      </c>
      <c r="AL270" s="470"/>
      <c r="AM270" s="470"/>
      <c r="AN270" s="470"/>
      <c r="AO270" s="470"/>
      <c r="AP270" s="470"/>
      <c r="AQ270" s="470"/>
      <c r="AR270" s="470"/>
      <c r="AS270" s="470"/>
      <c r="AT270" s="470"/>
      <c r="AU270" s="470"/>
      <c r="AV270" s="470"/>
      <c r="AW270" s="470"/>
      <c r="AX270" s="470"/>
      <c r="AY270" s="470"/>
      <c r="AZ270" s="470"/>
      <c r="BA270" s="470"/>
      <c r="BB270" s="470"/>
      <c r="BC270" s="470"/>
      <c r="BD270" s="470"/>
      <c r="BE270" s="470"/>
      <c r="BF270" s="470"/>
      <c r="BG270" s="470"/>
      <c r="BH270" s="470"/>
      <c r="BI270" s="470"/>
      <c r="BJ270" s="470"/>
      <c r="BK270" s="470"/>
      <c r="BL270" s="474"/>
    </row>
    <row r="271" spans="1:64">
      <c r="A271" s="475">
        <v>44062</v>
      </c>
      <c r="B271" s="478">
        <v>232</v>
      </c>
      <c r="C271" s="478">
        <v>134</v>
      </c>
      <c r="D271" s="476" t="s">
        <v>629</v>
      </c>
      <c r="E271" s="477">
        <v>34</v>
      </c>
      <c r="F271" s="476" t="s">
        <v>94</v>
      </c>
      <c r="G271" s="477">
        <v>534</v>
      </c>
      <c r="H271" s="476" t="s">
        <v>6253</v>
      </c>
      <c r="I271" s="476" t="s">
        <v>6257</v>
      </c>
      <c r="J271" s="477">
        <v>16</v>
      </c>
      <c r="K271" s="476" t="s">
        <v>6270</v>
      </c>
      <c r="L271" s="476" t="s">
        <v>6287</v>
      </c>
      <c r="M271" s="476" t="s">
        <v>9</v>
      </c>
      <c r="N271" s="478">
        <v>1</v>
      </c>
      <c r="O271" s="479"/>
      <c r="P271" s="479"/>
      <c r="Q271" s="479"/>
      <c r="R271" s="476"/>
      <c r="S271" s="479">
        <v>0.1491550925925926</v>
      </c>
      <c r="T271" s="479">
        <v>0.21582175925925925</v>
      </c>
      <c r="U271" s="479"/>
      <c r="V271" s="479"/>
      <c r="W271" s="479">
        <v>0.49939814814814815</v>
      </c>
      <c r="X271" s="479">
        <v>0.78298611111111116</v>
      </c>
      <c r="Y271" s="479">
        <v>0.22847222222222222</v>
      </c>
      <c r="Z271" s="479">
        <v>0.52500000000000002</v>
      </c>
      <c r="AA271" s="479">
        <v>0.81666666666666676</v>
      </c>
      <c r="AB271" s="476" t="s">
        <v>6463</v>
      </c>
      <c r="AC271" s="478">
        <v>152</v>
      </c>
      <c r="AD271" s="476" t="s">
        <v>110</v>
      </c>
      <c r="AE271" s="476"/>
      <c r="AF271" s="478">
        <v>35.1</v>
      </c>
      <c r="AG271" s="477">
        <v>52.2</v>
      </c>
      <c r="AH271" s="476" t="s">
        <v>6294</v>
      </c>
      <c r="AI271" s="476" t="s">
        <v>6339</v>
      </c>
      <c r="AJ271" s="476" t="s">
        <v>6493</v>
      </c>
      <c r="AK271" s="476" t="s">
        <v>6493</v>
      </c>
      <c r="AL271" s="476"/>
      <c r="AM271" s="476"/>
      <c r="AN271" s="476"/>
      <c r="AO271" s="476"/>
      <c r="AP271" s="476"/>
      <c r="AQ271" s="476"/>
      <c r="AR271" s="476"/>
      <c r="AS271" s="476"/>
      <c r="AT271" s="476"/>
      <c r="AU271" s="476"/>
      <c r="AV271" s="476"/>
      <c r="AW271" s="476"/>
      <c r="AX271" s="476"/>
      <c r="AY271" s="476"/>
      <c r="AZ271" s="476"/>
      <c r="BA271" s="476"/>
      <c r="BB271" s="476"/>
      <c r="BC271" s="476"/>
      <c r="BD271" s="476"/>
      <c r="BE271" s="476"/>
      <c r="BF271" s="476"/>
      <c r="BG271" s="476"/>
      <c r="BH271" s="476"/>
      <c r="BI271" s="476"/>
      <c r="BJ271" s="476"/>
      <c r="BK271" s="476"/>
      <c r="BL271" s="480"/>
    </row>
    <row r="272" spans="1:64">
      <c r="A272" s="468">
        <v>44063</v>
      </c>
      <c r="B272" s="473">
        <v>233</v>
      </c>
      <c r="C272" s="473">
        <v>133</v>
      </c>
      <c r="D272" s="470" t="s">
        <v>629</v>
      </c>
      <c r="E272" s="469">
        <v>34</v>
      </c>
      <c r="F272" s="470" t="s">
        <v>6714</v>
      </c>
      <c r="G272" s="469">
        <v>534</v>
      </c>
      <c r="H272" s="470" t="s">
        <v>6253</v>
      </c>
      <c r="I272" s="470" t="s">
        <v>6257</v>
      </c>
      <c r="J272" s="469">
        <v>17</v>
      </c>
      <c r="K272" s="470" t="s">
        <v>1034</v>
      </c>
      <c r="L272" s="470" t="s">
        <v>6273</v>
      </c>
      <c r="M272" s="470" t="s">
        <v>9</v>
      </c>
      <c r="N272" s="473">
        <v>1</v>
      </c>
      <c r="O272" s="471"/>
      <c r="P272" s="471"/>
      <c r="Q272" s="471"/>
      <c r="R272" s="470"/>
      <c r="S272" s="471">
        <v>0.14983796296296295</v>
      </c>
      <c r="T272" s="471">
        <v>0.21650462962962966</v>
      </c>
      <c r="U272" s="471"/>
      <c r="V272" s="471"/>
      <c r="W272" s="471">
        <v>0.49923611111111116</v>
      </c>
      <c r="X272" s="471">
        <v>0.78195601851851848</v>
      </c>
      <c r="Y272" s="471">
        <v>0.27986111111111112</v>
      </c>
      <c r="Z272" s="471">
        <v>0.56180555555555556</v>
      </c>
      <c r="AA272" s="471">
        <v>0.83888888888888891</v>
      </c>
      <c r="AB272" s="470" t="s">
        <v>6463</v>
      </c>
      <c r="AC272" s="473">
        <v>152</v>
      </c>
      <c r="AD272" s="470" t="s">
        <v>110</v>
      </c>
      <c r="AE272" s="470"/>
      <c r="AF272" s="473">
        <v>49.4</v>
      </c>
      <c r="AG272" s="469">
        <v>62.3</v>
      </c>
      <c r="AH272" s="470" t="s">
        <v>6295</v>
      </c>
      <c r="AI272" s="470" t="s">
        <v>6340</v>
      </c>
      <c r="AJ272" s="470" t="s">
        <v>6493</v>
      </c>
      <c r="AK272" s="470" t="s">
        <v>6493</v>
      </c>
      <c r="AL272" s="470"/>
      <c r="AM272" s="470"/>
      <c r="AN272" s="470"/>
      <c r="AO272" s="470"/>
      <c r="AP272" s="470"/>
      <c r="AQ272" s="470"/>
      <c r="AR272" s="470"/>
      <c r="AS272" s="470"/>
      <c r="AT272" s="470"/>
      <c r="AU272" s="470"/>
      <c r="AV272" s="470"/>
      <c r="AW272" s="470"/>
      <c r="AX272" s="470"/>
      <c r="AY272" s="470"/>
      <c r="AZ272" s="470"/>
      <c r="BA272" s="470"/>
      <c r="BB272" s="470"/>
      <c r="BC272" s="470"/>
      <c r="BD272" s="470"/>
      <c r="BE272" s="470"/>
      <c r="BF272" s="470"/>
      <c r="BG272" s="470"/>
      <c r="BH272" s="470"/>
      <c r="BI272" s="470"/>
      <c r="BJ272" s="470"/>
      <c r="BK272" s="470"/>
      <c r="BL272" s="474"/>
    </row>
    <row r="273" spans="1:64">
      <c r="A273" s="475">
        <v>44064</v>
      </c>
      <c r="B273" s="478">
        <v>234</v>
      </c>
      <c r="C273" s="478">
        <v>132</v>
      </c>
      <c r="D273" s="476" t="s">
        <v>629</v>
      </c>
      <c r="E273" s="477">
        <v>34</v>
      </c>
      <c r="F273" s="476" t="s">
        <v>100</v>
      </c>
      <c r="G273" s="477">
        <v>534</v>
      </c>
      <c r="H273" s="476" t="s">
        <v>6253</v>
      </c>
      <c r="I273" s="476" t="s">
        <v>6257</v>
      </c>
      <c r="J273" s="477">
        <v>18</v>
      </c>
      <c r="K273" s="476" t="s">
        <v>6258</v>
      </c>
      <c r="L273" s="476" t="s">
        <v>6274</v>
      </c>
      <c r="M273" s="476" t="s">
        <v>9</v>
      </c>
      <c r="N273" s="478">
        <v>1</v>
      </c>
      <c r="O273" s="479"/>
      <c r="P273" s="479"/>
      <c r="Q273" s="479"/>
      <c r="R273" s="476"/>
      <c r="S273" s="479">
        <v>0.15052083333333333</v>
      </c>
      <c r="T273" s="479">
        <v>0.21718750000000001</v>
      </c>
      <c r="U273" s="479"/>
      <c r="V273" s="479"/>
      <c r="W273" s="479">
        <v>0.49906249999999996</v>
      </c>
      <c r="X273" s="479">
        <v>0.78092592592592591</v>
      </c>
      <c r="Y273" s="479">
        <v>0.33263888888888887</v>
      </c>
      <c r="Z273" s="479">
        <v>0.59791666666666665</v>
      </c>
      <c r="AA273" s="479">
        <v>0.85972222222222217</v>
      </c>
      <c r="AB273" s="476" t="s">
        <v>6463</v>
      </c>
      <c r="AC273" s="478">
        <v>152</v>
      </c>
      <c r="AD273" s="476" t="s">
        <v>110</v>
      </c>
      <c r="AE273" s="476"/>
      <c r="AF273" s="478">
        <v>64.599999999999994</v>
      </c>
      <c r="AG273" s="477">
        <v>73.2</v>
      </c>
      <c r="AH273" s="476" t="s">
        <v>6296</v>
      </c>
      <c r="AI273" s="476" t="s">
        <v>6316</v>
      </c>
      <c r="AJ273" s="476" t="s">
        <v>6493</v>
      </c>
      <c r="AK273" s="476" t="s">
        <v>6493</v>
      </c>
      <c r="AL273" s="476"/>
      <c r="AM273" s="476"/>
      <c r="AN273" s="476"/>
      <c r="AO273" s="476"/>
      <c r="AP273" s="476"/>
      <c r="AQ273" s="476"/>
      <c r="AR273" s="476"/>
      <c r="AS273" s="476"/>
      <c r="AT273" s="476"/>
      <c r="AU273" s="476"/>
      <c r="AV273" s="476"/>
      <c r="AW273" s="476"/>
      <c r="AX273" s="476"/>
      <c r="AY273" s="476"/>
      <c r="AZ273" s="476"/>
      <c r="BA273" s="476"/>
      <c r="BB273" s="476"/>
      <c r="BC273" s="476"/>
      <c r="BD273" s="476"/>
      <c r="BE273" s="476"/>
      <c r="BF273" s="476"/>
      <c r="BG273" s="476"/>
      <c r="BH273" s="476"/>
      <c r="BI273" s="476"/>
      <c r="BJ273" s="476"/>
      <c r="BK273" s="476"/>
      <c r="BL273" s="480"/>
    </row>
    <row r="274" spans="1:64">
      <c r="A274" s="468">
        <v>44065</v>
      </c>
      <c r="B274" s="473">
        <v>235</v>
      </c>
      <c r="C274" s="473">
        <v>131</v>
      </c>
      <c r="D274" s="470" t="s">
        <v>629</v>
      </c>
      <c r="E274" s="469">
        <v>34</v>
      </c>
      <c r="F274" s="470" t="s">
        <v>103</v>
      </c>
      <c r="G274" s="469">
        <v>534</v>
      </c>
      <c r="H274" s="470" t="s">
        <v>6253</v>
      </c>
      <c r="I274" s="470" t="s">
        <v>6257</v>
      </c>
      <c r="J274" s="469">
        <v>19</v>
      </c>
      <c r="K274" s="470" t="s">
        <v>6259</v>
      </c>
      <c r="L274" s="470" t="s">
        <v>6275</v>
      </c>
      <c r="M274" s="470" t="s">
        <v>9</v>
      </c>
      <c r="N274" s="473">
        <v>1</v>
      </c>
      <c r="O274" s="471"/>
      <c r="P274" s="471"/>
      <c r="Q274" s="471"/>
      <c r="R274" s="470"/>
      <c r="S274" s="471">
        <v>0.1512037037037037</v>
      </c>
      <c r="T274" s="471">
        <v>0.21787037037037038</v>
      </c>
      <c r="U274" s="471"/>
      <c r="V274" s="471"/>
      <c r="W274" s="471">
        <v>0.49887731481481484</v>
      </c>
      <c r="X274" s="471">
        <v>0.7798842592592593</v>
      </c>
      <c r="Y274" s="471">
        <v>0.3840277777777778</v>
      </c>
      <c r="Z274" s="471">
        <v>0.6333333333333333</v>
      </c>
      <c r="AA274" s="471">
        <v>0.87986111111111109</v>
      </c>
      <c r="AB274" s="470" t="s">
        <v>6463</v>
      </c>
      <c r="AC274" s="473">
        <v>152</v>
      </c>
      <c r="AD274" s="470" t="s">
        <v>110</v>
      </c>
      <c r="AE274" s="470"/>
      <c r="AF274" s="473">
        <v>79.7</v>
      </c>
      <c r="AG274" s="469">
        <v>84</v>
      </c>
      <c r="AH274" s="470" t="s">
        <v>6297</v>
      </c>
      <c r="AI274" s="470" t="s">
        <v>6317</v>
      </c>
      <c r="AJ274" s="470" t="s">
        <v>6493</v>
      </c>
      <c r="AK274" s="470" t="s">
        <v>6493</v>
      </c>
      <c r="AL274" s="470"/>
      <c r="AM274" s="470"/>
      <c r="AN274" s="470"/>
      <c r="AO274" s="470"/>
      <c r="AP274" s="470"/>
      <c r="AQ274" s="470"/>
      <c r="AR274" s="470"/>
      <c r="AS274" s="470"/>
      <c r="AT274" s="470"/>
      <c r="AU274" s="470"/>
      <c r="AV274" s="470"/>
      <c r="AW274" s="470"/>
      <c r="AX274" s="470"/>
      <c r="AY274" s="470"/>
      <c r="AZ274" s="470"/>
      <c r="BA274" s="470"/>
      <c r="BB274" s="470"/>
      <c r="BC274" s="470"/>
      <c r="BD274" s="470"/>
      <c r="BE274" s="470"/>
      <c r="BF274" s="470"/>
      <c r="BG274" s="470"/>
      <c r="BH274" s="470"/>
      <c r="BI274" s="470"/>
      <c r="BJ274" s="470"/>
      <c r="BK274" s="470"/>
      <c r="BL274" s="474"/>
    </row>
    <row r="275" spans="1:64">
      <c r="A275" s="475">
        <v>44066</v>
      </c>
      <c r="B275" s="478">
        <v>236</v>
      </c>
      <c r="C275" s="478">
        <v>130</v>
      </c>
      <c r="D275" s="476" t="s">
        <v>629</v>
      </c>
      <c r="E275" s="477">
        <v>34</v>
      </c>
      <c r="F275" s="476" t="s">
        <v>106</v>
      </c>
      <c r="G275" s="477">
        <v>534</v>
      </c>
      <c r="H275" s="476" t="s">
        <v>6253</v>
      </c>
      <c r="I275" s="476" t="s">
        <v>6257</v>
      </c>
      <c r="J275" s="477">
        <v>20</v>
      </c>
      <c r="K275" s="476" t="s">
        <v>6260</v>
      </c>
      <c r="L275" s="476" t="s">
        <v>6276</v>
      </c>
      <c r="M275" s="476" t="s">
        <v>9</v>
      </c>
      <c r="N275" s="478">
        <v>1</v>
      </c>
      <c r="O275" s="479"/>
      <c r="P275" s="479"/>
      <c r="Q275" s="479"/>
      <c r="R275" s="476"/>
      <c r="S275" s="479">
        <v>0.15188657407407408</v>
      </c>
      <c r="T275" s="479">
        <v>0.21855324074074076</v>
      </c>
      <c r="U275" s="479"/>
      <c r="V275" s="479"/>
      <c r="W275" s="479">
        <v>0.49869212962962961</v>
      </c>
      <c r="X275" s="479">
        <v>0.77883101851851855</v>
      </c>
      <c r="Y275" s="479">
        <v>0.43472222222222223</v>
      </c>
      <c r="Z275" s="479">
        <v>0.66875000000000007</v>
      </c>
      <c r="AA275" s="479">
        <v>0.90138888888888891</v>
      </c>
      <c r="AB275" s="476" t="s">
        <v>6463</v>
      </c>
      <c r="AC275" s="478">
        <v>152</v>
      </c>
      <c r="AD275" s="476" t="s">
        <v>110</v>
      </c>
      <c r="AE275" s="476"/>
      <c r="AF275" s="478">
        <v>93.6</v>
      </c>
      <c r="AG275" s="477">
        <v>93.8</v>
      </c>
      <c r="AH275" s="476" t="s">
        <v>6298</v>
      </c>
      <c r="AI275" s="476" t="s">
        <v>6318</v>
      </c>
      <c r="AJ275" s="476" t="s">
        <v>839</v>
      </c>
      <c r="AK275" s="476" t="s">
        <v>6493</v>
      </c>
      <c r="AL275" s="476" t="s">
        <v>6811</v>
      </c>
      <c r="AM275" s="476" t="s">
        <v>6346</v>
      </c>
      <c r="AN275" s="476"/>
      <c r="AO275" s="476"/>
      <c r="AP275" s="476"/>
      <c r="AQ275" s="476"/>
      <c r="AR275" s="476"/>
      <c r="AS275" s="476"/>
      <c r="AT275" s="476"/>
      <c r="AU275" s="476"/>
      <c r="AV275" s="476"/>
      <c r="AW275" s="476"/>
      <c r="AX275" s="476"/>
      <c r="AY275" s="476"/>
      <c r="AZ275" s="476"/>
      <c r="BA275" s="476"/>
      <c r="BB275" s="476"/>
      <c r="BC275" s="476"/>
      <c r="BD275" s="476"/>
      <c r="BE275" s="476"/>
      <c r="BF275" s="476"/>
      <c r="BG275" s="476"/>
      <c r="BH275" s="476"/>
      <c r="BI275" s="476"/>
      <c r="BJ275" s="476" t="s">
        <v>1030</v>
      </c>
      <c r="BK275" s="476"/>
      <c r="BL275" s="480"/>
    </row>
    <row r="276" spans="1:64">
      <c r="A276" s="468">
        <v>44067</v>
      </c>
      <c r="B276" s="473">
        <v>237</v>
      </c>
      <c r="C276" s="473">
        <v>129</v>
      </c>
      <c r="D276" s="470" t="s">
        <v>629</v>
      </c>
      <c r="E276" s="469">
        <v>35</v>
      </c>
      <c r="F276" s="470" t="s">
        <v>88</v>
      </c>
      <c r="G276" s="469">
        <v>534</v>
      </c>
      <c r="H276" s="470" t="s">
        <v>6253</v>
      </c>
      <c r="I276" s="470" t="s">
        <v>6257</v>
      </c>
      <c r="J276" s="469">
        <v>22</v>
      </c>
      <c r="K276" s="470" t="s">
        <v>6262</v>
      </c>
      <c r="L276" s="470" t="s">
        <v>6277</v>
      </c>
      <c r="M276" s="470" t="s">
        <v>9</v>
      </c>
      <c r="N276" s="473">
        <v>1</v>
      </c>
      <c r="O276" s="471">
        <v>0.27499999999999997</v>
      </c>
      <c r="P276" s="471">
        <v>0.16874999999999998</v>
      </c>
      <c r="Q276" s="471"/>
      <c r="R276" s="470"/>
      <c r="S276" s="471">
        <v>0.15256944444444445</v>
      </c>
      <c r="T276" s="471">
        <v>0.2192361111111111</v>
      </c>
      <c r="U276" s="471"/>
      <c r="V276" s="471"/>
      <c r="W276" s="471">
        <v>0.49850694444444449</v>
      </c>
      <c r="X276" s="471">
        <v>0.77777777777777779</v>
      </c>
      <c r="Y276" s="471">
        <v>0.48541666666666666</v>
      </c>
      <c r="Z276" s="471">
        <v>0.7055555555555556</v>
      </c>
      <c r="AA276" s="471">
        <v>0.92569444444444438</v>
      </c>
      <c r="AB276" s="470" t="s">
        <v>6463</v>
      </c>
      <c r="AC276" s="473">
        <v>152</v>
      </c>
      <c r="AD276" s="470" t="s">
        <v>110</v>
      </c>
      <c r="AE276" s="470"/>
      <c r="AF276" s="473">
        <v>5.6</v>
      </c>
      <c r="AG276" s="469">
        <v>1.8</v>
      </c>
      <c r="AH276" s="470" t="s">
        <v>6300</v>
      </c>
      <c r="AI276" s="470" t="s">
        <v>6319</v>
      </c>
      <c r="AJ276" s="470" t="s">
        <v>839</v>
      </c>
      <c r="AK276" s="470" t="s">
        <v>6493</v>
      </c>
      <c r="AL276" s="470" t="s">
        <v>1224</v>
      </c>
      <c r="AM276" s="470" t="s">
        <v>6344</v>
      </c>
      <c r="AN276" s="470" t="s">
        <v>6955</v>
      </c>
      <c r="AO276" s="470"/>
      <c r="AP276" s="470"/>
      <c r="AQ276" s="470"/>
      <c r="AR276" s="470"/>
      <c r="AS276" s="470"/>
      <c r="AT276" s="470"/>
      <c r="AU276" s="470"/>
      <c r="AV276" s="470"/>
      <c r="AW276" s="470"/>
      <c r="AX276" s="470"/>
      <c r="AY276" s="470"/>
      <c r="AZ276" s="470"/>
      <c r="BA276" s="470"/>
      <c r="BB276" s="470"/>
      <c r="BC276" s="470"/>
      <c r="BD276" s="470"/>
      <c r="BE276" s="470"/>
      <c r="BF276" s="470"/>
      <c r="BG276" s="470"/>
      <c r="BH276" s="470"/>
      <c r="BI276" s="470"/>
      <c r="BJ276" s="470" t="s">
        <v>6707</v>
      </c>
      <c r="BK276" s="470"/>
      <c r="BL276" s="474"/>
    </row>
    <row r="277" spans="1:64">
      <c r="A277" s="475">
        <v>44068</v>
      </c>
      <c r="B277" s="478">
        <v>238</v>
      </c>
      <c r="C277" s="478">
        <v>128</v>
      </c>
      <c r="D277" s="476" t="s">
        <v>629</v>
      </c>
      <c r="E277" s="477">
        <v>35</v>
      </c>
      <c r="F277" s="476" t="s">
        <v>91</v>
      </c>
      <c r="G277" s="477">
        <v>534</v>
      </c>
      <c r="H277" s="476" t="s">
        <v>6253</v>
      </c>
      <c r="I277" s="476" t="s">
        <v>6257</v>
      </c>
      <c r="J277" s="477">
        <v>23</v>
      </c>
      <c r="K277" s="476" t="s">
        <v>6263</v>
      </c>
      <c r="L277" s="476" t="s">
        <v>6279</v>
      </c>
      <c r="M277" s="476" t="s">
        <v>9</v>
      </c>
      <c r="N277" s="478">
        <v>1</v>
      </c>
      <c r="O277" s="479"/>
      <c r="P277" s="479"/>
      <c r="Q277" s="479"/>
      <c r="R277" s="476"/>
      <c r="S277" s="479">
        <v>0.1532523148148148</v>
      </c>
      <c r="T277" s="479">
        <v>0.21991898148148148</v>
      </c>
      <c r="U277" s="479"/>
      <c r="V277" s="479"/>
      <c r="W277" s="479">
        <v>0.49831018518518522</v>
      </c>
      <c r="X277" s="479">
        <v>0.77670138888888884</v>
      </c>
      <c r="Y277" s="479">
        <v>0.53611111111111109</v>
      </c>
      <c r="Z277" s="479">
        <v>0.74375000000000002</v>
      </c>
      <c r="AA277" s="479">
        <v>0.95138888888888884</v>
      </c>
      <c r="AB277" s="476" t="s">
        <v>6464</v>
      </c>
      <c r="AC277" s="478">
        <v>130</v>
      </c>
      <c r="AD277" s="476" t="s">
        <v>113</v>
      </c>
      <c r="AE277" s="476" t="s">
        <v>6537</v>
      </c>
      <c r="AF277" s="478">
        <v>15.3</v>
      </c>
      <c r="AG277" s="477">
        <v>7.8</v>
      </c>
      <c r="AH277" s="476" t="s">
        <v>6301</v>
      </c>
      <c r="AI277" s="476" t="s">
        <v>6341</v>
      </c>
      <c r="AJ277" s="476" t="s">
        <v>874</v>
      </c>
      <c r="AK277" s="476" t="s">
        <v>6493</v>
      </c>
      <c r="AL277" s="476" t="s">
        <v>6812</v>
      </c>
      <c r="AM277" s="476" t="s">
        <v>6347</v>
      </c>
      <c r="AN277" s="476" t="s">
        <v>6900</v>
      </c>
      <c r="AO277" s="476" t="s">
        <v>6351</v>
      </c>
      <c r="AP277" s="476"/>
      <c r="AQ277" s="476"/>
      <c r="AR277" s="476"/>
      <c r="AS277" s="476"/>
      <c r="AT277" s="476"/>
      <c r="AU277" s="476"/>
      <c r="AV277" s="476"/>
      <c r="AW277" s="476"/>
      <c r="AX277" s="476"/>
      <c r="AY277" s="476"/>
      <c r="AZ277" s="476"/>
      <c r="BA277" s="476"/>
      <c r="BB277" s="476"/>
      <c r="BC277" s="476"/>
      <c r="BD277" s="476"/>
      <c r="BE277" s="476"/>
      <c r="BF277" s="476"/>
      <c r="BG277" s="476"/>
      <c r="BH277" s="476"/>
      <c r="BI277" s="476"/>
      <c r="BJ277" s="476" t="s">
        <v>6708</v>
      </c>
      <c r="BK277" s="476"/>
      <c r="BL277" s="480"/>
    </row>
    <row r="278" spans="1:64">
      <c r="A278" s="468">
        <v>44069</v>
      </c>
      <c r="B278" s="473">
        <v>239</v>
      </c>
      <c r="C278" s="473">
        <v>127</v>
      </c>
      <c r="D278" s="470" t="s">
        <v>629</v>
      </c>
      <c r="E278" s="469">
        <v>35</v>
      </c>
      <c r="F278" s="470" t="s">
        <v>94</v>
      </c>
      <c r="G278" s="469">
        <v>534</v>
      </c>
      <c r="H278" s="470" t="s">
        <v>6253</v>
      </c>
      <c r="I278" s="470" t="s">
        <v>6257</v>
      </c>
      <c r="J278" s="469">
        <v>24</v>
      </c>
      <c r="K278" s="470" t="s">
        <v>6264</v>
      </c>
      <c r="L278" s="470" t="s">
        <v>6280</v>
      </c>
      <c r="M278" s="470" t="s">
        <v>9</v>
      </c>
      <c r="N278" s="473">
        <v>1</v>
      </c>
      <c r="O278" s="471"/>
      <c r="P278" s="471"/>
      <c r="Q278" s="471"/>
      <c r="R278" s="470"/>
      <c r="S278" s="471">
        <v>0.1539351851851852</v>
      </c>
      <c r="T278" s="471">
        <v>0.22060185185185185</v>
      </c>
      <c r="U278" s="471"/>
      <c r="V278" s="471"/>
      <c r="W278" s="471">
        <v>0.49811342592592589</v>
      </c>
      <c r="X278" s="471">
        <v>0.7756249999999999</v>
      </c>
      <c r="Y278" s="471">
        <v>0.58402777777777781</v>
      </c>
      <c r="Z278" s="471">
        <v>0.78263888888888899</v>
      </c>
      <c r="AA278" s="471">
        <v>0.98263888888888884</v>
      </c>
      <c r="AB278" s="470" t="s">
        <v>6464</v>
      </c>
      <c r="AC278" s="473">
        <v>130</v>
      </c>
      <c r="AD278" s="470" t="s">
        <v>113</v>
      </c>
      <c r="AE278" s="470"/>
      <c r="AF278" s="473">
        <v>22.6</v>
      </c>
      <c r="AG278" s="469">
        <v>11.6</v>
      </c>
      <c r="AH278" s="470" t="s">
        <v>6302</v>
      </c>
      <c r="AI278" s="470" t="s">
        <v>6320</v>
      </c>
      <c r="AJ278" s="470" t="s">
        <v>6493</v>
      </c>
      <c r="AK278" s="470" t="s">
        <v>6493</v>
      </c>
      <c r="AL278" s="470"/>
      <c r="AM278" s="470"/>
      <c r="AN278" s="470"/>
      <c r="AO278" s="470"/>
      <c r="AP278" s="470"/>
      <c r="AQ278" s="470"/>
      <c r="AR278" s="470"/>
      <c r="AS278" s="470"/>
      <c r="AT278" s="470"/>
      <c r="AU278" s="470"/>
      <c r="AV278" s="470"/>
      <c r="AW278" s="470"/>
      <c r="AX278" s="470"/>
      <c r="AY278" s="470"/>
      <c r="AZ278" s="470"/>
      <c r="BA278" s="470"/>
      <c r="BB278" s="470"/>
      <c r="BC278" s="470"/>
      <c r="BD278" s="470"/>
      <c r="BE278" s="470"/>
      <c r="BF278" s="470"/>
      <c r="BG278" s="470"/>
      <c r="BH278" s="470"/>
      <c r="BI278" s="470"/>
      <c r="BJ278" s="470"/>
      <c r="BK278" s="470"/>
      <c r="BL278" s="474"/>
    </row>
    <row r="279" spans="1:64">
      <c r="A279" s="475">
        <v>44070</v>
      </c>
      <c r="B279" s="478">
        <v>240</v>
      </c>
      <c r="C279" s="478">
        <v>126</v>
      </c>
      <c r="D279" s="476" t="s">
        <v>629</v>
      </c>
      <c r="E279" s="477">
        <v>35</v>
      </c>
      <c r="F279" s="476" t="s">
        <v>6714</v>
      </c>
      <c r="G279" s="477">
        <v>534</v>
      </c>
      <c r="H279" s="476" t="s">
        <v>6253</v>
      </c>
      <c r="I279" s="476" t="s">
        <v>6257</v>
      </c>
      <c r="J279" s="477">
        <v>25</v>
      </c>
      <c r="K279" s="476" t="s">
        <v>6265</v>
      </c>
      <c r="L279" s="476" t="s">
        <v>6281</v>
      </c>
      <c r="M279" s="476" t="s">
        <v>9</v>
      </c>
      <c r="N279" s="478">
        <v>1</v>
      </c>
      <c r="O279" s="479"/>
      <c r="P279" s="479"/>
      <c r="Q279" s="479"/>
      <c r="R279" s="476"/>
      <c r="S279" s="479">
        <v>0.15460648148148148</v>
      </c>
      <c r="T279" s="479">
        <v>0.22127314814814814</v>
      </c>
      <c r="U279" s="479"/>
      <c r="V279" s="479"/>
      <c r="W279" s="479">
        <v>0.49790509259259258</v>
      </c>
      <c r="X279" s="479">
        <v>0.77454861111111117</v>
      </c>
      <c r="Y279" s="479">
        <v>0.62916666666666665</v>
      </c>
      <c r="Z279" s="479">
        <v>0.82291666666666663</v>
      </c>
      <c r="AA279" s="479" t="s">
        <v>1107</v>
      </c>
      <c r="AB279" s="476" t="s">
        <v>6464</v>
      </c>
      <c r="AC279" s="478">
        <v>130</v>
      </c>
      <c r="AD279" s="476" t="s">
        <v>113</v>
      </c>
      <c r="AE279" s="476"/>
      <c r="AF279" s="478">
        <v>27.6</v>
      </c>
      <c r="AG279" s="477">
        <v>13.3</v>
      </c>
      <c r="AH279" s="476" t="s">
        <v>6303</v>
      </c>
      <c r="AI279" s="476" t="s">
        <v>6321</v>
      </c>
      <c r="AJ279" s="476" t="s">
        <v>839</v>
      </c>
      <c r="AK279" s="476" t="s">
        <v>6493</v>
      </c>
      <c r="AL279" s="476" t="s">
        <v>6813</v>
      </c>
      <c r="AM279" s="476" t="s">
        <v>6349</v>
      </c>
      <c r="AN279" s="476"/>
      <c r="AO279" s="476"/>
      <c r="AP279" s="476"/>
      <c r="AQ279" s="476"/>
      <c r="AR279" s="476"/>
      <c r="AS279" s="476"/>
      <c r="AT279" s="476"/>
      <c r="AU279" s="476"/>
      <c r="AV279" s="476"/>
      <c r="AW279" s="476"/>
      <c r="AX279" s="476"/>
      <c r="AY279" s="476"/>
      <c r="AZ279" s="476"/>
      <c r="BA279" s="476"/>
      <c r="BB279" s="476"/>
      <c r="BC279" s="476"/>
      <c r="BD279" s="476"/>
      <c r="BE279" s="476"/>
      <c r="BF279" s="476"/>
      <c r="BG279" s="476"/>
      <c r="BH279" s="476"/>
      <c r="BI279" s="476"/>
      <c r="BJ279" s="476"/>
      <c r="BK279" s="476" t="s">
        <v>985</v>
      </c>
      <c r="BL279" s="480"/>
    </row>
    <row r="280" spans="1:64">
      <c r="A280" s="468">
        <v>44071</v>
      </c>
      <c r="B280" s="473">
        <v>241</v>
      </c>
      <c r="C280" s="473">
        <v>125</v>
      </c>
      <c r="D280" s="470" t="s">
        <v>629</v>
      </c>
      <c r="E280" s="469">
        <v>35</v>
      </c>
      <c r="F280" s="470" t="s">
        <v>100</v>
      </c>
      <c r="G280" s="469">
        <v>534</v>
      </c>
      <c r="H280" s="470" t="s">
        <v>6253</v>
      </c>
      <c r="I280" s="470" t="s">
        <v>6257</v>
      </c>
      <c r="J280" s="469">
        <v>26</v>
      </c>
      <c r="K280" s="470" t="s">
        <v>6271</v>
      </c>
      <c r="L280" s="470" t="s">
        <v>6282</v>
      </c>
      <c r="M280" s="470" t="s">
        <v>9</v>
      </c>
      <c r="N280" s="473">
        <v>1</v>
      </c>
      <c r="O280" s="471"/>
      <c r="P280" s="471"/>
      <c r="Q280" s="471"/>
      <c r="R280" s="470"/>
      <c r="S280" s="471">
        <v>0.15528935185185186</v>
      </c>
      <c r="T280" s="471">
        <v>0.22195601851851851</v>
      </c>
      <c r="U280" s="471"/>
      <c r="V280" s="471"/>
      <c r="W280" s="471">
        <v>0.49770833333333336</v>
      </c>
      <c r="X280" s="471">
        <v>0.77344907407407415</v>
      </c>
      <c r="Y280" s="471">
        <v>0.66875000000000007</v>
      </c>
      <c r="Z280" s="471">
        <v>0.86249999999999993</v>
      </c>
      <c r="AA280" s="471">
        <v>1.7361111111111112E-2</v>
      </c>
      <c r="AB280" s="470" t="s">
        <v>6464</v>
      </c>
      <c r="AC280" s="473">
        <v>130</v>
      </c>
      <c r="AD280" s="470" t="s">
        <v>113</v>
      </c>
      <c r="AE280" s="470"/>
      <c r="AF280" s="473">
        <v>30.4</v>
      </c>
      <c r="AG280" s="469">
        <v>13.1</v>
      </c>
      <c r="AH280" s="470" t="s">
        <v>6304</v>
      </c>
      <c r="AI280" s="470" t="s">
        <v>6322</v>
      </c>
      <c r="AJ280" s="470" t="s">
        <v>8</v>
      </c>
      <c r="AK280" s="470" t="s">
        <v>13</v>
      </c>
      <c r="AL280" s="470" t="s">
        <v>6814</v>
      </c>
      <c r="AM280" s="470" t="s">
        <v>6342</v>
      </c>
      <c r="AN280" s="470" t="s">
        <v>6956</v>
      </c>
      <c r="AO280" s="470" t="s">
        <v>6351</v>
      </c>
      <c r="AP280" s="470" t="s">
        <v>7030</v>
      </c>
      <c r="AQ280" s="470" t="s">
        <v>6351</v>
      </c>
      <c r="AR280" s="470" t="s">
        <v>7062</v>
      </c>
      <c r="AS280" s="470" t="s">
        <v>6349</v>
      </c>
      <c r="AT280" s="470"/>
      <c r="AU280" s="470"/>
      <c r="AV280" s="470"/>
      <c r="AW280" s="470"/>
      <c r="AX280" s="470"/>
      <c r="AY280" s="470"/>
      <c r="AZ280" s="470"/>
      <c r="BA280" s="470"/>
      <c r="BB280" s="470"/>
      <c r="BC280" s="470"/>
      <c r="BD280" s="470"/>
      <c r="BE280" s="470"/>
      <c r="BF280" s="470"/>
      <c r="BG280" s="470"/>
      <c r="BH280" s="470"/>
      <c r="BI280" s="470"/>
      <c r="BJ280" s="470" t="s">
        <v>6434</v>
      </c>
      <c r="BK280" s="470" t="s">
        <v>986</v>
      </c>
      <c r="BL280" s="474"/>
    </row>
    <row r="281" spans="1:64">
      <c r="A281" s="475">
        <v>44072</v>
      </c>
      <c r="B281" s="478">
        <v>242</v>
      </c>
      <c r="C281" s="478">
        <v>124</v>
      </c>
      <c r="D281" s="476" t="s">
        <v>629</v>
      </c>
      <c r="E281" s="477">
        <v>35</v>
      </c>
      <c r="F281" s="476" t="s">
        <v>103</v>
      </c>
      <c r="G281" s="477">
        <v>534</v>
      </c>
      <c r="H281" s="476" t="s">
        <v>6253</v>
      </c>
      <c r="I281" s="476" t="s">
        <v>6257</v>
      </c>
      <c r="J281" s="477">
        <v>27</v>
      </c>
      <c r="K281" s="476" t="s">
        <v>6266</v>
      </c>
      <c r="L281" s="476" t="s">
        <v>6283</v>
      </c>
      <c r="M281" s="476" t="s">
        <v>9</v>
      </c>
      <c r="N281" s="478">
        <v>1</v>
      </c>
      <c r="O281" s="479"/>
      <c r="P281" s="479"/>
      <c r="Q281" s="479"/>
      <c r="R281" s="476"/>
      <c r="S281" s="479">
        <v>0.15597222222222221</v>
      </c>
      <c r="T281" s="479">
        <v>0.22263888888888891</v>
      </c>
      <c r="U281" s="479">
        <v>0.22222222222222221</v>
      </c>
      <c r="V281" s="479">
        <v>0.4055555555555555</v>
      </c>
      <c r="W281" s="479">
        <v>0.49748842592592596</v>
      </c>
      <c r="X281" s="479">
        <v>0.77234953703703713</v>
      </c>
      <c r="Y281" s="479">
        <v>0.70347222222222217</v>
      </c>
      <c r="Z281" s="479">
        <v>0.90138888888888891</v>
      </c>
      <c r="AA281" s="479">
        <v>5.6944444444444443E-2</v>
      </c>
      <c r="AB281" s="476" t="s">
        <v>6464</v>
      </c>
      <c r="AC281" s="478">
        <v>130</v>
      </c>
      <c r="AD281" s="476" t="s">
        <v>113</v>
      </c>
      <c r="AE281" s="476"/>
      <c r="AF281" s="478">
        <v>31.4</v>
      </c>
      <c r="AG281" s="477">
        <v>11.3</v>
      </c>
      <c r="AH281" s="476" t="s">
        <v>6305</v>
      </c>
      <c r="AI281" s="476" t="s">
        <v>6324</v>
      </c>
      <c r="AJ281" s="476" t="s">
        <v>840</v>
      </c>
      <c r="AK281" s="476" t="s">
        <v>6493</v>
      </c>
      <c r="AL281" s="476" t="s">
        <v>6815</v>
      </c>
      <c r="AM281" s="476" t="s">
        <v>6343</v>
      </c>
      <c r="AN281" s="476" t="s">
        <v>6957</v>
      </c>
      <c r="AO281" s="476" t="s">
        <v>6347</v>
      </c>
      <c r="AP281" s="476" t="s">
        <v>7010</v>
      </c>
      <c r="AQ281" s="476" t="s">
        <v>6352</v>
      </c>
      <c r="AR281" s="476" t="s">
        <v>7063</v>
      </c>
      <c r="AS281" s="476" t="s">
        <v>6346</v>
      </c>
      <c r="AT281" s="476"/>
      <c r="AU281" s="476"/>
      <c r="AV281" s="476"/>
      <c r="AW281" s="476"/>
      <c r="AX281" s="476"/>
      <c r="AY281" s="476"/>
      <c r="AZ281" s="476"/>
      <c r="BA281" s="476"/>
      <c r="BB281" s="476"/>
      <c r="BC281" s="476"/>
      <c r="BD281" s="476"/>
      <c r="BE281" s="476"/>
      <c r="BF281" s="476"/>
      <c r="BG281" s="476"/>
      <c r="BH281" s="476"/>
      <c r="BI281" s="476"/>
      <c r="BJ281" s="476" t="s">
        <v>6435</v>
      </c>
      <c r="BK281" s="476"/>
      <c r="BL281" s="480"/>
    </row>
    <row r="282" spans="1:64">
      <c r="A282" s="468">
        <v>44073</v>
      </c>
      <c r="B282" s="473">
        <v>243</v>
      </c>
      <c r="C282" s="473">
        <v>123</v>
      </c>
      <c r="D282" s="470" t="s">
        <v>629</v>
      </c>
      <c r="E282" s="469">
        <v>35</v>
      </c>
      <c r="F282" s="470" t="s">
        <v>106</v>
      </c>
      <c r="G282" s="469">
        <v>534</v>
      </c>
      <c r="H282" s="470" t="s">
        <v>6253</v>
      </c>
      <c r="I282" s="470" t="s">
        <v>6257</v>
      </c>
      <c r="J282" s="469">
        <v>28</v>
      </c>
      <c r="K282" s="470" t="s">
        <v>6267</v>
      </c>
      <c r="L282" s="470" t="s">
        <v>6284</v>
      </c>
      <c r="M282" s="470" t="s">
        <v>9</v>
      </c>
      <c r="N282" s="473">
        <v>1</v>
      </c>
      <c r="O282" s="471"/>
      <c r="P282" s="471"/>
      <c r="Q282" s="471"/>
      <c r="R282" s="470"/>
      <c r="S282" s="471">
        <v>0.15664351851851852</v>
      </c>
      <c r="T282" s="471">
        <v>0.22331018518518519</v>
      </c>
      <c r="U282" s="471"/>
      <c r="V282" s="471"/>
      <c r="W282" s="471">
        <v>0.49728009259259259</v>
      </c>
      <c r="X282" s="471">
        <v>0.77123842592592595</v>
      </c>
      <c r="Y282" s="471">
        <v>0.7319444444444444</v>
      </c>
      <c r="Z282" s="471">
        <v>0.9375</v>
      </c>
      <c r="AA282" s="471">
        <v>9.930555555555555E-2</v>
      </c>
      <c r="AB282" s="470" t="s">
        <v>6464</v>
      </c>
      <c r="AC282" s="473">
        <v>130</v>
      </c>
      <c r="AD282" s="470" t="s">
        <v>113</v>
      </c>
      <c r="AE282" s="470"/>
      <c r="AF282" s="473">
        <v>30.7</v>
      </c>
      <c r="AG282" s="469">
        <v>7.9</v>
      </c>
      <c r="AH282" s="470" t="s">
        <v>6306</v>
      </c>
      <c r="AI282" s="470" t="s">
        <v>6325</v>
      </c>
      <c r="AJ282" s="470" t="s">
        <v>874</v>
      </c>
      <c r="AK282" s="470" t="s">
        <v>6493</v>
      </c>
      <c r="AL282" s="470" t="s">
        <v>6816</v>
      </c>
      <c r="AM282" s="470" t="s">
        <v>6345</v>
      </c>
      <c r="AN282" s="470" t="s">
        <v>6900</v>
      </c>
      <c r="AO282" s="470" t="s">
        <v>6351</v>
      </c>
      <c r="AP282" s="470"/>
      <c r="AQ282" s="470"/>
      <c r="AR282" s="470"/>
      <c r="AS282" s="470"/>
      <c r="AT282" s="470"/>
      <c r="AU282" s="470"/>
      <c r="AV282" s="470"/>
      <c r="AW282" s="470"/>
      <c r="AX282" s="470"/>
      <c r="AY282" s="470"/>
      <c r="AZ282" s="470"/>
      <c r="BA282" s="470"/>
      <c r="BB282" s="470"/>
      <c r="BC282" s="470"/>
      <c r="BD282" s="470"/>
      <c r="BE282" s="470"/>
      <c r="BF282" s="470"/>
      <c r="BG282" s="470"/>
      <c r="BH282" s="470"/>
      <c r="BI282" s="470"/>
      <c r="BJ282" s="470" t="s">
        <v>6436</v>
      </c>
      <c r="BK282" s="470"/>
      <c r="BL282" s="474"/>
    </row>
    <row r="283" spans="1:64">
      <c r="A283" s="475">
        <v>44074</v>
      </c>
      <c r="B283" s="478">
        <v>244</v>
      </c>
      <c r="C283" s="478">
        <v>122</v>
      </c>
      <c r="D283" s="476" t="s">
        <v>629</v>
      </c>
      <c r="E283" s="477">
        <v>36</v>
      </c>
      <c r="F283" s="476" t="s">
        <v>88</v>
      </c>
      <c r="G283" s="477">
        <v>534</v>
      </c>
      <c r="H283" s="476" t="s">
        <v>6253</v>
      </c>
      <c r="I283" s="476" t="s">
        <v>6257</v>
      </c>
      <c r="J283" s="477">
        <v>29</v>
      </c>
      <c r="K283" s="476" t="s">
        <v>6268</v>
      </c>
      <c r="L283" s="476" t="s">
        <v>6285</v>
      </c>
      <c r="M283" s="476" t="s">
        <v>9</v>
      </c>
      <c r="N283" s="478">
        <v>1</v>
      </c>
      <c r="O283" s="479"/>
      <c r="P283" s="479"/>
      <c r="Q283" s="479"/>
      <c r="R283" s="476"/>
      <c r="S283" s="479">
        <v>0.15732638888888889</v>
      </c>
      <c r="T283" s="479">
        <v>0.22399305555555557</v>
      </c>
      <c r="U283" s="479"/>
      <c r="V283" s="479"/>
      <c r="W283" s="479">
        <v>0.49706018518518519</v>
      </c>
      <c r="X283" s="479">
        <v>0.77012731481481478</v>
      </c>
      <c r="Y283" s="479">
        <v>0.75624999999999998</v>
      </c>
      <c r="Z283" s="479">
        <v>0.97152777777777777</v>
      </c>
      <c r="AA283" s="479">
        <v>0.14305555555555557</v>
      </c>
      <c r="AB283" s="476" t="s">
        <v>6464</v>
      </c>
      <c r="AC283" s="478">
        <v>130</v>
      </c>
      <c r="AD283" s="476" t="s">
        <v>113</v>
      </c>
      <c r="AE283" s="476"/>
      <c r="AF283" s="478">
        <v>28.4</v>
      </c>
      <c r="AG283" s="477">
        <v>3.1</v>
      </c>
      <c r="AH283" s="476" t="s">
        <v>6307</v>
      </c>
      <c r="AI283" s="476" t="s">
        <v>6326</v>
      </c>
      <c r="AJ283" s="476" t="s">
        <v>839</v>
      </c>
      <c r="AK283" s="476" t="s">
        <v>6493</v>
      </c>
      <c r="AL283" s="476" t="s">
        <v>1225</v>
      </c>
      <c r="AM283" s="476" t="s">
        <v>6344</v>
      </c>
      <c r="AN283" s="476" t="s">
        <v>6958</v>
      </c>
      <c r="AO283" s="476" t="s">
        <v>6346</v>
      </c>
      <c r="AP283" s="476" t="s">
        <v>7031</v>
      </c>
      <c r="AQ283" s="476" t="s">
        <v>6349</v>
      </c>
      <c r="AR283" s="476"/>
      <c r="AS283" s="476"/>
      <c r="AT283" s="476"/>
      <c r="AU283" s="476"/>
      <c r="AV283" s="476"/>
      <c r="AW283" s="476"/>
      <c r="AX283" s="476"/>
      <c r="AY283" s="476"/>
      <c r="AZ283" s="476"/>
      <c r="BA283" s="476"/>
      <c r="BB283" s="476"/>
      <c r="BC283" s="476"/>
      <c r="BD283" s="476"/>
      <c r="BE283" s="476"/>
      <c r="BF283" s="476"/>
      <c r="BG283" s="476"/>
      <c r="BH283" s="476"/>
      <c r="BI283" s="476"/>
      <c r="BJ283" s="476" t="s">
        <v>6404</v>
      </c>
      <c r="BK283" s="476" t="s">
        <v>987</v>
      </c>
      <c r="BL283" s="480"/>
    </row>
    <row r="284" spans="1:64">
      <c r="A284" s="468">
        <v>44075</v>
      </c>
      <c r="B284" s="473">
        <v>245</v>
      </c>
      <c r="C284" s="473">
        <v>121</v>
      </c>
      <c r="D284" s="470" t="s">
        <v>631</v>
      </c>
      <c r="E284" s="469">
        <v>36</v>
      </c>
      <c r="F284" s="470" t="s">
        <v>91</v>
      </c>
      <c r="G284" s="469">
        <v>534</v>
      </c>
      <c r="H284" s="470" t="s">
        <v>6253</v>
      </c>
      <c r="I284" s="470" t="s">
        <v>6257</v>
      </c>
      <c r="J284" s="469">
        <v>30</v>
      </c>
      <c r="K284" s="470" t="s">
        <v>6272</v>
      </c>
      <c r="L284" s="470" t="s">
        <v>6288</v>
      </c>
      <c r="M284" s="470" t="s">
        <v>9</v>
      </c>
      <c r="N284" s="473">
        <v>1</v>
      </c>
      <c r="O284" s="471"/>
      <c r="P284" s="471"/>
      <c r="Q284" s="471"/>
      <c r="R284" s="470"/>
      <c r="S284" s="471">
        <v>0.15799768518518517</v>
      </c>
      <c r="T284" s="471">
        <v>0.22466435185185185</v>
      </c>
      <c r="U284" s="471"/>
      <c r="V284" s="471"/>
      <c r="W284" s="471">
        <v>0.49684027777777778</v>
      </c>
      <c r="X284" s="471">
        <v>0.76900462962962957</v>
      </c>
      <c r="Y284" s="471">
        <v>0.77708333333333324</v>
      </c>
      <c r="Z284" s="471" t="s">
        <v>1107</v>
      </c>
      <c r="AA284" s="471">
        <v>0.1875</v>
      </c>
      <c r="AB284" s="470" t="s">
        <v>6464</v>
      </c>
      <c r="AC284" s="473">
        <v>130</v>
      </c>
      <c r="AD284" s="470" t="s">
        <v>113</v>
      </c>
      <c r="AE284" s="470"/>
      <c r="AF284" s="473">
        <v>24.8</v>
      </c>
      <c r="AG284" s="469">
        <v>97.1</v>
      </c>
      <c r="AH284" s="470" t="s">
        <v>6307</v>
      </c>
      <c r="AI284" s="470" t="s">
        <v>6327</v>
      </c>
      <c r="AJ284" s="470" t="s">
        <v>839</v>
      </c>
      <c r="AK284" s="470" t="s">
        <v>6493</v>
      </c>
      <c r="AL284" s="470" t="s">
        <v>1237</v>
      </c>
      <c r="AM284" s="470" t="s">
        <v>6344</v>
      </c>
      <c r="AN284" s="470" t="s">
        <v>6959</v>
      </c>
      <c r="AO284" s="470" t="s">
        <v>6348</v>
      </c>
      <c r="AP284" s="470" t="s">
        <v>7032</v>
      </c>
      <c r="AQ284" s="470" t="s">
        <v>6349</v>
      </c>
      <c r="AR284" s="470" t="s">
        <v>7064</v>
      </c>
      <c r="AS284" s="470" t="s">
        <v>6349</v>
      </c>
      <c r="AT284" s="470" t="s">
        <v>7079</v>
      </c>
      <c r="AU284" s="470"/>
      <c r="AV284" s="470"/>
      <c r="AW284" s="470"/>
      <c r="AX284" s="470"/>
      <c r="AY284" s="470"/>
      <c r="AZ284" s="470"/>
      <c r="BA284" s="470"/>
      <c r="BB284" s="470"/>
      <c r="BC284" s="470"/>
      <c r="BD284" s="470"/>
      <c r="BE284" s="470"/>
      <c r="BF284" s="470"/>
      <c r="BG284" s="470"/>
      <c r="BH284" s="470"/>
      <c r="BI284" s="470"/>
      <c r="BJ284" s="470" t="s">
        <v>6405</v>
      </c>
      <c r="BK284" s="470" t="s">
        <v>988</v>
      </c>
      <c r="BL284" s="474" t="s">
        <v>999</v>
      </c>
    </row>
    <row r="285" spans="1:64">
      <c r="A285" s="475">
        <v>44076</v>
      </c>
      <c r="B285" s="478">
        <v>246</v>
      </c>
      <c r="C285" s="478">
        <v>120</v>
      </c>
      <c r="D285" s="476" t="s">
        <v>631</v>
      </c>
      <c r="E285" s="477">
        <v>36</v>
      </c>
      <c r="F285" s="476" t="s">
        <v>94</v>
      </c>
      <c r="G285" s="477">
        <v>534</v>
      </c>
      <c r="H285" s="476" t="s">
        <v>6254</v>
      </c>
      <c r="I285" s="476" t="s">
        <v>836</v>
      </c>
      <c r="J285" s="477">
        <v>1</v>
      </c>
      <c r="K285" s="476" t="s">
        <v>6270</v>
      </c>
      <c r="L285" s="476" t="s">
        <v>6287</v>
      </c>
      <c r="M285" s="476" t="s">
        <v>9</v>
      </c>
      <c r="N285" s="478">
        <v>1</v>
      </c>
      <c r="O285" s="479"/>
      <c r="P285" s="479"/>
      <c r="Q285" s="479"/>
      <c r="R285" s="476"/>
      <c r="S285" s="479">
        <v>0.15868055555555557</v>
      </c>
      <c r="T285" s="479">
        <v>0.22534722222222223</v>
      </c>
      <c r="U285" s="479"/>
      <c r="V285" s="479"/>
      <c r="W285" s="479">
        <v>0.49660879629629634</v>
      </c>
      <c r="X285" s="479">
        <v>0.76788194444444446</v>
      </c>
      <c r="Y285" s="479">
        <v>0.79583333333333339</v>
      </c>
      <c r="Z285" s="479">
        <v>3.472222222222222E-3</v>
      </c>
      <c r="AA285" s="479">
        <v>0.23055555555555554</v>
      </c>
      <c r="AB285" s="476" t="s">
        <v>6462</v>
      </c>
      <c r="AC285" s="478">
        <v>129</v>
      </c>
      <c r="AD285" s="476" t="s">
        <v>116</v>
      </c>
      <c r="AE285" s="476" t="s">
        <v>6538</v>
      </c>
      <c r="AF285" s="478">
        <v>19.7</v>
      </c>
      <c r="AG285" s="477">
        <v>89.8</v>
      </c>
      <c r="AH285" s="476" t="s">
        <v>6308</v>
      </c>
      <c r="AI285" s="476" t="s">
        <v>6328</v>
      </c>
      <c r="AJ285" s="476" t="s">
        <v>839</v>
      </c>
      <c r="AK285" s="476" t="s">
        <v>6493</v>
      </c>
      <c r="AL285" s="476" t="s">
        <v>6817</v>
      </c>
      <c r="AM285" s="476"/>
      <c r="AN285" s="476" t="s">
        <v>6960</v>
      </c>
      <c r="AO285" s="476" t="s">
        <v>6349</v>
      </c>
      <c r="AP285" s="476" t="s">
        <v>7033</v>
      </c>
      <c r="AQ285" s="476"/>
      <c r="AR285" s="476"/>
      <c r="AS285" s="476"/>
      <c r="AT285" s="476"/>
      <c r="AU285" s="476"/>
      <c r="AV285" s="476"/>
      <c r="AW285" s="476"/>
      <c r="AX285" s="476"/>
      <c r="AY285" s="476"/>
      <c r="AZ285" s="476"/>
      <c r="BA285" s="476"/>
      <c r="BB285" s="476"/>
      <c r="BC285" s="476"/>
      <c r="BD285" s="476"/>
      <c r="BE285" s="476"/>
      <c r="BF285" s="476"/>
      <c r="BG285" s="476"/>
      <c r="BH285" s="476"/>
      <c r="BI285" s="476"/>
      <c r="BJ285" s="476"/>
      <c r="BK285" s="476" t="s">
        <v>989</v>
      </c>
      <c r="BL285" s="480"/>
    </row>
    <row r="286" spans="1:64">
      <c r="A286" s="468">
        <v>44077</v>
      </c>
      <c r="B286" s="473">
        <v>247</v>
      </c>
      <c r="C286" s="473">
        <v>119</v>
      </c>
      <c r="D286" s="470" t="s">
        <v>631</v>
      </c>
      <c r="E286" s="469">
        <v>36</v>
      </c>
      <c r="F286" s="470" t="s">
        <v>6714</v>
      </c>
      <c r="G286" s="469">
        <v>534</v>
      </c>
      <c r="H286" s="470" t="s">
        <v>6254</v>
      </c>
      <c r="I286" s="470" t="s">
        <v>836</v>
      </c>
      <c r="J286" s="469">
        <v>2</v>
      </c>
      <c r="K286" s="470" t="s">
        <v>1034</v>
      </c>
      <c r="L286" s="470" t="s">
        <v>6273</v>
      </c>
      <c r="M286" s="470" t="s">
        <v>9</v>
      </c>
      <c r="N286" s="473">
        <v>1</v>
      </c>
      <c r="O286" s="471"/>
      <c r="P286" s="471"/>
      <c r="Q286" s="471"/>
      <c r="R286" s="470"/>
      <c r="S286" s="471">
        <v>0.15935185185185186</v>
      </c>
      <c r="T286" s="471">
        <v>0.22601851851851851</v>
      </c>
      <c r="U286" s="471"/>
      <c r="V286" s="471"/>
      <c r="W286" s="471">
        <v>0.49638888888888894</v>
      </c>
      <c r="X286" s="471">
        <v>0.76674768518518521</v>
      </c>
      <c r="Y286" s="471">
        <v>0.81319444444444444</v>
      </c>
      <c r="Z286" s="471">
        <v>3.3333333333333333E-2</v>
      </c>
      <c r="AA286" s="471">
        <v>0.2722222222222222</v>
      </c>
      <c r="AB286" s="470" t="s">
        <v>6462</v>
      </c>
      <c r="AC286" s="473">
        <v>129</v>
      </c>
      <c r="AD286" s="470" t="s">
        <v>116</v>
      </c>
      <c r="AE286" s="470"/>
      <c r="AF286" s="473">
        <v>13.3</v>
      </c>
      <c r="AG286" s="469">
        <v>81.3</v>
      </c>
      <c r="AH286" s="470" t="s">
        <v>6309</v>
      </c>
      <c r="AI286" s="470" t="s">
        <v>6329</v>
      </c>
      <c r="AJ286" s="470" t="s">
        <v>6493</v>
      </c>
      <c r="AK286" s="470" t="s">
        <v>6493</v>
      </c>
      <c r="AL286" s="470"/>
      <c r="AM286" s="470"/>
      <c r="AN286" s="470"/>
      <c r="AO286" s="470"/>
      <c r="AP286" s="470"/>
      <c r="AQ286" s="470"/>
      <c r="AR286" s="470"/>
      <c r="AS286" s="470"/>
      <c r="AT286" s="470"/>
      <c r="AU286" s="470"/>
      <c r="AV286" s="470"/>
      <c r="AW286" s="470"/>
      <c r="AX286" s="470"/>
      <c r="AY286" s="470"/>
      <c r="AZ286" s="470"/>
      <c r="BA286" s="470"/>
      <c r="BB286" s="470"/>
      <c r="BC286" s="470"/>
      <c r="BD286" s="470"/>
      <c r="BE286" s="470"/>
      <c r="BF286" s="470"/>
      <c r="BG286" s="470"/>
      <c r="BH286" s="470"/>
      <c r="BI286" s="470"/>
      <c r="BJ286" s="470"/>
      <c r="BK286" s="470"/>
      <c r="BL286" s="474"/>
    </row>
    <row r="287" spans="1:64">
      <c r="A287" s="475">
        <v>44078</v>
      </c>
      <c r="B287" s="478">
        <v>248</v>
      </c>
      <c r="C287" s="478">
        <v>118</v>
      </c>
      <c r="D287" s="476" t="s">
        <v>631</v>
      </c>
      <c r="E287" s="477">
        <v>36</v>
      </c>
      <c r="F287" s="476" t="s">
        <v>100</v>
      </c>
      <c r="G287" s="477">
        <v>534</v>
      </c>
      <c r="H287" s="476" t="s">
        <v>6254</v>
      </c>
      <c r="I287" s="476" t="s">
        <v>836</v>
      </c>
      <c r="J287" s="477">
        <v>3</v>
      </c>
      <c r="K287" s="476" t="s">
        <v>6258</v>
      </c>
      <c r="L287" s="476" t="s">
        <v>6273</v>
      </c>
      <c r="M287" s="476" t="s">
        <v>9</v>
      </c>
      <c r="N287" s="478">
        <v>1</v>
      </c>
      <c r="O287" s="479"/>
      <c r="P287" s="479"/>
      <c r="Q287" s="479"/>
      <c r="R287" s="476"/>
      <c r="S287" s="479">
        <v>0.16003472222222223</v>
      </c>
      <c r="T287" s="479">
        <v>0.22670138888888888</v>
      </c>
      <c r="U287" s="479"/>
      <c r="V287" s="479"/>
      <c r="W287" s="479">
        <v>0.49615740740740738</v>
      </c>
      <c r="X287" s="479">
        <v>0.76561342592592585</v>
      </c>
      <c r="Y287" s="479">
        <v>0.82916666666666661</v>
      </c>
      <c r="Z287" s="479">
        <v>6.25E-2</v>
      </c>
      <c r="AA287" s="479">
        <v>0.31319444444444444</v>
      </c>
      <c r="AB287" s="476" t="s">
        <v>6462</v>
      </c>
      <c r="AC287" s="478">
        <v>129</v>
      </c>
      <c r="AD287" s="476" t="s">
        <v>116</v>
      </c>
      <c r="AE287" s="476"/>
      <c r="AF287" s="478">
        <v>5.8</v>
      </c>
      <c r="AG287" s="477">
        <v>71.8</v>
      </c>
      <c r="AH287" s="476" t="s">
        <v>6310</v>
      </c>
      <c r="AI287" s="476" t="s">
        <v>6330</v>
      </c>
      <c r="AJ287" s="476" t="s">
        <v>6493</v>
      </c>
      <c r="AK287" s="476" t="s">
        <v>6493</v>
      </c>
      <c r="AL287" s="476"/>
      <c r="AM287" s="476"/>
      <c r="AN287" s="476"/>
      <c r="AO287" s="476"/>
      <c r="AP287" s="476"/>
      <c r="AQ287" s="476"/>
      <c r="AR287" s="476"/>
      <c r="AS287" s="476"/>
      <c r="AT287" s="476"/>
      <c r="AU287" s="476"/>
      <c r="AV287" s="476"/>
      <c r="AW287" s="476"/>
      <c r="AX287" s="476"/>
      <c r="AY287" s="476"/>
      <c r="AZ287" s="476"/>
      <c r="BA287" s="476"/>
      <c r="BB287" s="476"/>
      <c r="BC287" s="476"/>
      <c r="BD287" s="476"/>
      <c r="BE287" s="476"/>
      <c r="BF287" s="476"/>
      <c r="BG287" s="476"/>
      <c r="BH287" s="476"/>
      <c r="BI287" s="476"/>
      <c r="BJ287" s="476"/>
      <c r="BK287" s="476"/>
      <c r="BL287" s="480"/>
    </row>
    <row r="288" spans="1:64">
      <c r="A288" s="468">
        <v>44079</v>
      </c>
      <c r="B288" s="473">
        <v>249</v>
      </c>
      <c r="C288" s="473">
        <v>117</v>
      </c>
      <c r="D288" s="470" t="s">
        <v>631</v>
      </c>
      <c r="E288" s="469">
        <v>36</v>
      </c>
      <c r="F288" s="470" t="s">
        <v>103</v>
      </c>
      <c r="G288" s="469">
        <v>534</v>
      </c>
      <c r="H288" s="470" t="s">
        <v>6254</v>
      </c>
      <c r="I288" s="470" t="s">
        <v>836</v>
      </c>
      <c r="J288" s="469">
        <v>3</v>
      </c>
      <c r="K288" s="470" t="s">
        <v>6258</v>
      </c>
      <c r="L288" s="470" t="s">
        <v>6274</v>
      </c>
      <c r="M288" s="470" t="s">
        <v>10</v>
      </c>
      <c r="N288" s="473">
        <v>1</v>
      </c>
      <c r="O288" s="471"/>
      <c r="P288" s="471"/>
      <c r="Q288" s="471"/>
      <c r="R288" s="470"/>
      <c r="S288" s="471">
        <v>0.16070601851851851</v>
      </c>
      <c r="T288" s="471">
        <v>0.22737268518518519</v>
      </c>
      <c r="U288" s="471"/>
      <c r="V288" s="471"/>
      <c r="W288" s="471">
        <v>0.49592592592592594</v>
      </c>
      <c r="X288" s="471">
        <v>0.76446759259259256</v>
      </c>
      <c r="Y288" s="471">
        <v>0.84513888888888899</v>
      </c>
      <c r="Z288" s="471">
        <v>9.0277777777777776E-2</v>
      </c>
      <c r="AA288" s="471">
        <v>0.35486111111111113</v>
      </c>
      <c r="AB288" s="470" t="s">
        <v>6462</v>
      </c>
      <c r="AC288" s="473">
        <v>129</v>
      </c>
      <c r="AD288" s="470" t="s">
        <v>116</v>
      </c>
      <c r="AE288" s="470"/>
      <c r="AF288" s="473">
        <v>97.2</v>
      </c>
      <c r="AG288" s="469">
        <v>61.4</v>
      </c>
      <c r="AH288" s="470" t="s">
        <v>6311</v>
      </c>
      <c r="AI288" s="470" t="s">
        <v>6331</v>
      </c>
      <c r="AJ288" s="470" t="s">
        <v>6493</v>
      </c>
      <c r="AK288" s="470" t="s">
        <v>6493</v>
      </c>
      <c r="AL288" s="470" t="s">
        <v>6727</v>
      </c>
      <c r="AM288" s="470"/>
      <c r="AN288" s="470"/>
      <c r="AO288" s="470"/>
      <c r="AP288" s="470"/>
      <c r="AQ288" s="470"/>
      <c r="AR288" s="470"/>
      <c r="AS288" s="470"/>
      <c r="AT288" s="470"/>
      <c r="AU288" s="470"/>
      <c r="AV288" s="470"/>
      <c r="AW288" s="470"/>
      <c r="AX288" s="470"/>
      <c r="AY288" s="470"/>
      <c r="AZ288" s="470"/>
      <c r="BA288" s="470"/>
      <c r="BB288" s="470"/>
      <c r="BC288" s="470"/>
      <c r="BD288" s="470"/>
      <c r="BE288" s="470"/>
      <c r="BF288" s="470"/>
      <c r="BG288" s="470"/>
      <c r="BH288" s="470"/>
      <c r="BI288" s="470"/>
      <c r="BJ288" s="470"/>
      <c r="BK288" s="470"/>
      <c r="BL288" s="474"/>
    </row>
    <row r="289" spans="1:64">
      <c r="A289" s="475">
        <v>44080</v>
      </c>
      <c r="B289" s="478">
        <v>250</v>
      </c>
      <c r="C289" s="478">
        <v>116</v>
      </c>
      <c r="D289" s="476" t="s">
        <v>631</v>
      </c>
      <c r="E289" s="477">
        <v>36</v>
      </c>
      <c r="F289" s="476" t="s">
        <v>106</v>
      </c>
      <c r="G289" s="477">
        <v>534</v>
      </c>
      <c r="H289" s="476" t="s">
        <v>6254</v>
      </c>
      <c r="I289" s="476" t="s">
        <v>836</v>
      </c>
      <c r="J289" s="477">
        <v>4</v>
      </c>
      <c r="K289" s="476" t="s">
        <v>6259</v>
      </c>
      <c r="L289" s="476" t="s">
        <v>6275</v>
      </c>
      <c r="M289" s="476" t="s">
        <v>9</v>
      </c>
      <c r="N289" s="478">
        <v>1</v>
      </c>
      <c r="O289" s="479"/>
      <c r="P289" s="479"/>
      <c r="Q289" s="479"/>
      <c r="R289" s="476"/>
      <c r="S289" s="479">
        <v>0.16138888888888889</v>
      </c>
      <c r="T289" s="479">
        <v>0.22805555555555557</v>
      </c>
      <c r="U289" s="479"/>
      <c r="V289" s="479"/>
      <c r="W289" s="479">
        <v>0.4956828703703704</v>
      </c>
      <c r="X289" s="479">
        <v>0.76332175925925927</v>
      </c>
      <c r="Y289" s="479">
        <v>0.8618055555555556</v>
      </c>
      <c r="Z289" s="479">
        <v>0.11805555555555557</v>
      </c>
      <c r="AA289" s="479">
        <v>0.39513888888888887</v>
      </c>
      <c r="AB289" s="476" t="s">
        <v>6462</v>
      </c>
      <c r="AC289" s="478">
        <v>129</v>
      </c>
      <c r="AD289" s="476" t="s">
        <v>116</v>
      </c>
      <c r="AE289" s="476"/>
      <c r="AF289" s="478">
        <v>88</v>
      </c>
      <c r="AG289" s="477">
        <v>50.3</v>
      </c>
      <c r="AH289" s="476" t="s">
        <v>6312</v>
      </c>
      <c r="AI289" s="476" t="s">
        <v>6332</v>
      </c>
      <c r="AJ289" s="476" t="s">
        <v>6493</v>
      </c>
      <c r="AK289" s="476" t="s">
        <v>6493</v>
      </c>
      <c r="AL289" s="476"/>
      <c r="AM289" s="476"/>
      <c r="AN289" s="476"/>
      <c r="AO289" s="476"/>
      <c r="AP289" s="476"/>
      <c r="AQ289" s="476"/>
      <c r="AR289" s="476"/>
      <c r="AS289" s="476"/>
      <c r="AT289" s="476"/>
      <c r="AU289" s="476"/>
      <c r="AV289" s="476"/>
      <c r="AW289" s="476"/>
      <c r="AX289" s="476"/>
      <c r="AY289" s="476"/>
      <c r="AZ289" s="476"/>
      <c r="BA289" s="476"/>
      <c r="BB289" s="476"/>
      <c r="BC289" s="476"/>
      <c r="BD289" s="476"/>
      <c r="BE289" s="476"/>
      <c r="BF289" s="476"/>
      <c r="BG289" s="476"/>
      <c r="BH289" s="476"/>
      <c r="BI289" s="476"/>
      <c r="BJ289" s="476"/>
      <c r="BK289" s="476"/>
      <c r="BL289" s="480"/>
    </row>
    <row r="290" spans="1:64">
      <c r="A290" s="468">
        <v>44081</v>
      </c>
      <c r="B290" s="473">
        <v>251</v>
      </c>
      <c r="C290" s="473">
        <v>115</v>
      </c>
      <c r="D290" s="470" t="s">
        <v>631</v>
      </c>
      <c r="E290" s="469">
        <v>37</v>
      </c>
      <c r="F290" s="470" t="s">
        <v>88</v>
      </c>
      <c r="G290" s="469">
        <v>534</v>
      </c>
      <c r="H290" s="470" t="s">
        <v>6254</v>
      </c>
      <c r="I290" s="470" t="s">
        <v>836</v>
      </c>
      <c r="J290" s="469">
        <v>5</v>
      </c>
      <c r="K290" s="470" t="s">
        <v>6260</v>
      </c>
      <c r="L290" s="470" t="s">
        <v>6276</v>
      </c>
      <c r="M290" s="470" t="s">
        <v>9</v>
      </c>
      <c r="N290" s="473">
        <v>1</v>
      </c>
      <c r="O290" s="471"/>
      <c r="P290" s="471"/>
      <c r="Q290" s="471"/>
      <c r="R290" s="470"/>
      <c r="S290" s="471">
        <v>0.1620601851851852</v>
      </c>
      <c r="T290" s="471">
        <v>0.22872685185185185</v>
      </c>
      <c r="U290" s="471"/>
      <c r="V290" s="471"/>
      <c r="W290" s="471">
        <v>0.4954513888888889</v>
      </c>
      <c r="X290" s="471">
        <v>0.76217592592592587</v>
      </c>
      <c r="Y290" s="471">
        <v>0.87916666666666676</v>
      </c>
      <c r="Z290" s="471">
        <v>0.14652777777777778</v>
      </c>
      <c r="AA290" s="471">
        <v>0.43611111111111112</v>
      </c>
      <c r="AB290" s="470" t="s">
        <v>6462</v>
      </c>
      <c r="AC290" s="473">
        <v>129</v>
      </c>
      <c r="AD290" s="470" t="s">
        <v>116</v>
      </c>
      <c r="AE290" s="470"/>
      <c r="AF290" s="473">
        <v>78.5</v>
      </c>
      <c r="AG290" s="469">
        <v>39.1</v>
      </c>
      <c r="AH290" s="470" t="s">
        <v>6313</v>
      </c>
      <c r="AI290" s="470" t="s">
        <v>6332</v>
      </c>
      <c r="AJ290" s="470" t="s">
        <v>6493</v>
      </c>
      <c r="AK290" s="470" t="s">
        <v>6493</v>
      </c>
      <c r="AL290" s="470" t="s">
        <v>769</v>
      </c>
      <c r="AM290" s="470"/>
      <c r="AN290" s="470"/>
      <c r="AO290" s="470"/>
      <c r="AP290" s="470"/>
      <c r="AQ290" s="470"/>
      <c r="AR290" s="470"/>
      <c r="AS290" s="470"/>
      <c r="AT290" s="470"/>
      <c r="AU290" s="470"/>
      <c r="AV290" s="470"/>
      <c r="AW290" s="470"/>
      <c r="AX290" s="470"/>
      <c r="AY290" s="470"/>
      <c r="AZ290" s="470"/>
      <c r="BA290" s="470"/>
      <c r="BB290" s="470"/>
      <c r="BC290" s="470"/>
      <c r="BD290" s="470"/>
      <c r="BE290" s="470"/>
      <c r="BF290" s="470"/>
      <c r="BG290" s="470"/>
      <c r="BH290" s="470"/>
      <c r="BI290" s="470"/>
      <c r="BJ290" s="470"/>
      <c r="BK290" s="470"/>
      <c r="BL290" s="474"/>
    </row>
    <row r="291" spans="1:64">
      <c r="A291" s="475">
        <v>44082</v>
      </c>
      <c r="B291" s="478">
        <v>252</v>
      </c>
      <c r="C291" s="478">
        <v>114</v>
      </c>
      <c r="D291" s="476" t="s">
        <v>631</v>
      </c>
      <c r="E291" s="477">
        <v>37</v>
      </c>
      <c r="F291" s="476" t="s">
        <v>91</v>
      </c>
      <c r="G291" s="477">
        <v>534</v>
      </c>
      <c r="H291" s="476" t="s">
        <v>6254</v>
      </c>
      <c r="I291" s="476" t="s">
        <v>836</v>
      </c>
      <c r="J291" s="477">
        <v>6</v>
      </c>
      <c r="K291" s="476" t="s">
        <v>6261</v>
      </c>
      <c r="L291" s="476" t="s">
        <v>6277</v>
      </c>
      <c r="M291" s="476" t="s">
        <v>9</v>
      </c>
      <c r="N291" s="478">
        <v>1</v>
      </c>
      <c r="O291" s="479"/>
      <c r="P291" s="479"/>
      <c r="Q291" s="479"/>
      <c r="R291" s="476"/>
      <c r="S291" s="479">
        <v>0.16273148148148148</v>
      </c>
      <c r="T291" s="479">
        <v>0.22939814814814816</v>
      </c>
      <c r="U291" s="479"/>
      <c r="V291" s="479"/>
      <c r="W291" s="479">
        <v>0.49520833333333331</v>
      </c>
      <c r="X291" s="479">
        <v>0.76101851851851843</v>
      </c>
      <c r="Y291" s="479">
        <v>0.90069444444444446</v>
      </c>
      <c r="Z291" s="479">
        <v>0.1763888888888889</v>
      </c>
      <c r="AA291" s="479">
        <v>0.4777777777777778</v>
      </c>
      <c r="AB291" s="476" t="s">
        <v>6462</v>
      </c>
      <c r="AC291" s="478">
        <v>129</v>
      </c>
      <c r="AD291" s="476" t="s">
        <v>116</v>
      </c>
      <c r="AE291" s="476"/>
      <c r="AF291" s="478">
        <v>69.3</v>
      </c>
      <c r="AG291" s="477">
        <v>28.1</v>
      </c>
      <c r="AH291" s="476" t="s">
        <v>6314</v>
      </c>
      <c r="AI291" s="476" t="s">
        <v>6333</v>
      </c>
      <c r="AJ291" s="476" t="s">
        <v>6493</v>
      </c>
      <c r="AK291" s="476" t="s">
        <v>6493</v>
      </c>
      <c r="AL291" s="476"/>
      <c r="AM291" s="476"/>
      <c r="AN291" s="476"/>
      <c r="AO291" s="476"/>
      <c r="AP291" s="476"/>
      <c r="AQ291" s="476"/>
      <c r="AR291" s="476"/>
      <c r="AS291" s="476"/>
      <c r="AT291" s="476"/>
      <c r="AU291" s="476"/>
      <c r="AV291" s="476"/>
      <c r="AW291" s="476"/>
      <c r="AX291" s="476"/>
      <c r="AY291" s="476"/>
      <c r="AZ291" s="476"/>
      <c r="BA291" s="476"/>
      <c r="BB291" s="476"/>
      <c r="BC291" s="476"/>
      <c r="BD291" s="476"/>
      <c r="BE291" s="476"/>
      <c r="BF291" s="476"/>
      <c r="BG291" s="476"/>
      <c r="BH291" s="476"/>
      <c r="BI291" s="476"/>
      <c r="BJ291" s="476"/>
      <c r="BK291" s="476"/>
      <c r="BL291" s="480"/>
    </row>
    <row r="292" spans="1:64">
      <c r="A292" s="468">
        <v>44083</v>
      </c>
      <c r="B292" s="473">
        <v>253</v>
      </c>
      <c r="C292" s="473">
        <v>113</v>
      </c>
      <c r="D292" s="470" t="s">
        <v>631</v>
      </c>
      <c r="E292" s="469">
        <v>37</v>
      </c>
      <c r="F292" s="470" t="s">
        <v>94</v>
      </c>
      <c r="G292" s="469">
        <v>534</v>
      </c>
      <c r="H292" s="470" t="s">
        <v>6254</v>
      </c>
      <c r="I292" s="470" t="s">
        <v>836</v>
      </c>
      <c r="J292" s="469">
        <v>7</v>
      </c>
      <c r="K292" s="470" t="s">
        <v>6262</v>
      </c>
      <c r="L292" s="470" t="s">
        <v>6278</v>
      </c>
      <c r="M292" s="470" t="s">
        <v>9</v>
      </c>
      <c r="N292" s="473">
        <v>1</v>
      </c>
      <c r="O292" s="471"/>
      <c r="P292" s="471"/>
      <c r="Q292" s="471"/>
      <c r="R292" s="470"/>
      <c r="S292" s="471">
        <v>0.16341435185185185</v>
      </c>
      <c r="T292" s="471">
        <v>0.2300810185185185</v>
      </c>
      <c r="U292" s="471"/>
      <c r="V292" s="471"/>
      <c r="W292" s="471">
        <v>0.49496527777777777</v>
      </c>
      <c r="X292" s="471">
        <v>0.75986111111111121</v>
      </c>
      <c r="Y292" s="471">
        <v>0.92499999999999993</v>
      </c>
      <c r="Z292" s="471">
        <v>0.20833333333333334</v>
      </c>
      <c r="AA292" s="471">
        <v>0.52013888888888882</v>
      </c>
      <c r="AB292" s="470" t="s">
        <v>6462</v>
      </c>
      <c r="AC292" s="473">
        <v>129</v>
      </c>
      <c r="AD292" s="470" t="s">
        <v>116</v>
      </c>
      <c r="AE292" s="470"/>
      <c r="AF292" s="473">
        <v>60.9</v>
      </c>
      <c r="AG292" s="469">
        <v>17.8</v>
      </c>
      <c r="AH292" s="470" t="s">
        <v>973</v>
      </c>
      <c r="AI292" s="470" t="s">
        <v>6334</v>
      </c>
      <c r="AJ292" s="470" t="s">
        <v>839</v>
      </c>
      <c r="AK292" s="470" t="s">
        <v>6493</v>
      </c>
      <c r="AL292" s="470" t="s">
        <v>6818</v>
      </c>
      <c r="AM292" s="470" t="s">
        <v>6348</v>
      </c>
      <c r="AN292" s="470"/>
      <c r="AO292" s="470"/>
      <c r="AP292" s="470"/>
      <c r="AQ292" s="470"/>
      <c r="AR292" s="470"/>
      <c r="AS292" s="470"/>
      <c r="AT292" s="470"/>
      <c r="AU292" s="470"/>
      <c r="AV292" s="470"/>
      <c r="AW292" s="470"/>
      <c r="AX292" s="470"/>
      <c r="AY292" s="470"/>
      <c r="AZ292" s="470"/>
      <c r="BA292" s="470"/>
      <c r="BB292" s="470"/>
      <c r="BC292" s="470"/>
      <c r="BD292" s="470"/>
      <c r="BE292" s="470"/>
      <c r="BF292" s="470"/>
      <c r="BG292" s="470"/>
      <c r="BH292" s="470"/>
      <c r="BI292" s="470"/>
      <c r="BJ292" s="470" t="s">
        <v>1025</v>
      </c>
      <c r="BK292" s="470"/>
      <c r="BL292" s="474"/>
    </row>
    <row r="293" spans="1:64">
      <c r="A293" s="475">
        <v>44084</v>
      </c>
      <c r="B293" s="478">
        <v>254</v>
      </c>
      <c r="C293" s="478">
        <v>112</v>
      </c>
      <c r="D293" s="476" t="s">
        <v>631</v>
      </c>
      <c r="E293" s="477">
        <v>37</v>
      </c>
      <c r="F293" s="476" t="s">
        <v>6714</v>
      </c>
      <c r="G293" s="477">
        <v>534</v>
      </c>
      <c r="H293" s="476" t="s">
        <v>6254</v>
      </c>
      <c r="I293" s="476" t="s">
        <v>836</v>
      </c>
      <c r="J293" s="477">
        <v>8</v>
      </c>
      <c r="K293" s="476" t="s">
        <v>6263</v>
      </c>
      <c r="L293" s="476" t="s">
        <v>6279</v>
      </c>
      <c r="M293" s="476" t="s">
        <v>9</v>
      </c>
      <c r="N293" s="478">
        <v>1</v>
      </c>
      <c r="O293" s="479"/>
      <c r="P293" s="479"/>
      <c r="Q293" s="479"/>
      <c r="R293" s="476"/>
      <c r="S293" s="479">
        <v>0.16408564814814816</v>
      </c>
      <c r="T293" s="479">
        <v>0.23075231481481481</v>
      </c>
      <c r="U293" s="479"/>
      <c r="V293" s="479"/>
      <c r="W293" s="479">
        <v>0.49472222222222223</v>
      </c>
      <c r="X293" s="479">
        <v>0.75869212962962962</v>
      </c>
      <c r="Y293" s="479">
        <v>0.95486111111111116</v>
      </c>
      <c r="Z293" s="479">
        <v>0.24166666666666667</v>
      </c>
      <c r="AA293" s="479">
        <v>0.56111111111111112</v>
      </c>
      <c r="AB293" s="476" t="s">
        <v>6289</v>
      </c>
      <c r="AC293" s="478">
        <v>131</v>
      </c>
      <c r="AD293" s="476" t="s">
        <v>119</v>
      </c>
      <c r="AE293" s="476" t="s">
        <v>6539</v>
      </c>
      <c r="AF293" s="478">
        <v>54.2</v>
      </c>
      <c r="AG293" s="477">
        <v>9.1</v>
      </c>
      <c r="AH293" s="476" t="s">
        <v>6290</v>
      </c>
      <c r="AI293" s="476" t="s">
        <v>6335</v>
      </c>
      <c r="AJ293" s="476" t="s">
        <v>6493</v>
      </c>
      <c r="AK293" s="476" t="s">
        <v>6493</v>
      </c>
      <c r="AL293" s="476"/>
      <c r="AM293" s="476"/>
      <c r="AN293" s="476"/>
      <c r="AO293" s="476"/>
      <c r="AP293" s="476"/>
      <c r="AQ293" s="476"/>
      <c r="AR293" s="476"/>
      <c r="AS293" s="476"/>
      <c r="AT293" s="476"/>
      <c r="AU293" s="476"/>
      <c r="AV293" s="476"/>
      <c r="AW293" s="476"/>
      <c r="AX293" s="476"/>
      <c r="AY293" s="476"/>
      <c r="AZ293" s="476"/>
      <c r="BA293" s="476"/>
      <c r="BB293" s="476"/>
      <c r="BC293" s="476"/>
      <c r="BD293" s="476"/>
      <c r="BE293" s="476"/>
      <c r="BF293" s="476"/>
      <c r="BG293" s="476"/>
      <c r="BH293" s="476"/>
      <c r="BI293" s="476"/>
      <c r="BJ293" s="476"/>
      <c r="BK293" s="476"/>
      <c r="BL293" s="480"/>
    </row>
    <row r="294" spans="1:64">
      <c r="A294" s="468">
        <v>44085</v>
      </c>
      <c r="B294" s="473">
        <v>255</v>
      </c>
      <c r="C294" s="473">
        <v>111</v>
      </c>
      <c r="D294" s="470" t="s">
        <v>631</v>
      </c>
      <c r="E294" s="469">
        <v>37</v>
      </c>
      <c r="F294" s="470" t="s">
        <v>100</v>
      </c>
      <c r="G294" s="469">
        <v>534</v>
      </c>
      <c r="H294" s="470" t="s">
        <v>6254</v>
      </c>
      <c r="I294" s="470" t="s">
        <v>836</v>
      </c>
      <c r="J294" s="469">
        <v>9</v>
      </c>
      <c r="K294" s="470" t="s">
        <v>6264</v>
      </c>
      <c r="L294" s="470" t="s">
        <v>6280</v>
      </c>
      <c r="M294" s="470" t="s">
        <v>9</v>
      </c>
      <c r="N294" s="473">
        <v>1</v>
      </c>
      <c r="O294" s="471"/>
      <c r="P294" s="471"/>
      <c r="Q294" s="471"/>
      <c r="R294" s="470"/>
      <c r="S294" s="471">
        <v>0.16475694444444444</v>
      </c>
      <c r="T294" s="471">
        <v>0.23142361111111112</v>
      </c>
      <c r="U294" s="471"/>
      <c r="V294" s="471"/>
      <c r="W294" s="471">
        <v>0.49447916666666664</v>
      </c>
      <c r="X294" s="471">
        <v>0.75753472222222218</v>
      </c>
      <c r="Y294" s="471">
        <v>0.9902777777777777</v>
      </c>
      <c r="Z294" s="471">
        <v>0.27777777777777779</v>
      </c>
      <c r="AA294" s="471">
        <v>0.6020833333333333</v>
      </c>
      <c r="AB294" s="470" t="s">
        <v>6289</v>
      </c>
      <c r="AC294" s="473">
        <v>131</v>
      </c>
      <c r="AD294" s="470" t="s">
        <v>119</v>
      </c>
      <c r="AE294" s="470"/>
      <c r="AF294" s="473">
        <v>49.8</v>
      </c>
      <c r="AG294" s="469">
        <v>2.4</v>
      </c>
      <c r="AH294" s="470" t="s">
        <v>6315</v>
      </c>
      <c r="AI294" s="470" t="s">
        <v>6336</v>
      </c>
      <c r="AJ294" s="470" t="s">
        <v>6493</v>
      </c>
      <c r="AK294" s="470" t="s">
        <v>6493</v>
      </c>
      <c r="AL294" s="470"/>
      <c r="AM294" s="470"/>
      <c r="AN294" s="470"/>
      <c r="AO294" s="470"/>
      <c r="AP294" s="470"/>
      <c r="AQ294" s="470"/>
      <c r="AR294" s="470"/>
      <c r="AS294" s="470"/>
      <c r="AT294" s="470"/>
      <c r="AU294" s="470"/>
      <c r="AV294" s="470"/>
      <c r="AW294" s="470"/>
      <c r="AX294" s="470"/>
      <c r="AY294" s="470"/>
      <c r="AZ294" s="470"/>
      <c r="BA294" s="470"/>
      <c r="BB294" s="470"/>
      <c r="BC294" s="470"/>
      <c r="BD294" s="470"/>
      <c r="BE294" s="470"/>
      <c r="BF294" s="470"/>
      <c r="BG294" s="470"/>
      <c r="BH294" s="470"/>
      <c r="BI294" s="470"/>
      <c r="BJ294" s="470"/>
      <c r="BK294" s="470"/>
      <c r="BL294" s="474"/>
    </row>
    <row r="295" spans="1:64">
      <c r="A295" s="475">
        <v>44086</v>
      </c>
      <c r="B295" s="478">
        <v>256</v>
      </c>
      <c r="C295" s="478">
        <v>110</v>
      </c>
      <c r="D295" s="476" t="s">
        <v>631</v>
      </c>
      <c r="E295" s="477">
        <v>37</v>
      </c>
      <c r="F295" s="476" t="s">
        <v>103</v>
      </c>
      <c r="G295" s="477">
        <v>534</v>
      </c>
      <c r="H295" s="476" t="s">
        <v>6254</v>
      </c>
      <c r="I295" s="476" t="s">
        <v>836</v>
      </c>
      <c r="J295" s="477">
        <v>10</v>
      </c>
      <c r="K295" s="476" t="s">
        <v>6265</v>
      </c>
      <c r="L295" s="476" t="s">
        <v>6281</v>
      </c>
      <c r="M295" s="476" t="s">
        <v>9</v>
      </c>
      <c r="N295" s="478">
        <v>1</v>
      </c>
      <c r="O295" s="479"/>
      <c r="P295" s="479"/>
      <c r="Q295" s="479"/>
      <c r="R295" s="476"/>
      <c r="S295" s="479">
        <v>0.16543981481481482</v>
      </c>
      <c r="T295" s="479">
        <v>0.2321064814814815</v>
      </c>
      <c r="U295" s="479"/>
      <c r="V295" s="479"/>
      <c r="W295" s="479">
        <v>0.4942361111111111</v>
      </c>
      <c r="X295" s="479">
        <v>0.75636574074074081</v>
      </c>
      <c r="Y295" s="479" t="s">
        <v>1107</v>
      </c>
      <c r="Z295" s="479">
        <v>0.31527777777777777</v>
      </c>
      <c r="AA295" s="479">
        <v>0.63958333333333328</v>
      </c>
      <c r="AB295" s="476" t="s">
        <v>6289</v>
      </c>
      <c r="AC295" s="478">
        <v>131</v>
      </c>
      <c r="AD295" s="476" t="s">
        <v>119</v>
      </c>
      <c r="AE295" s="476"/>
      <c r="AF295" s="478">
        <v>48.5</v>
      </c>
      <c r="AG295" s="477">
        <v>98.5</v>
      </c>
      <c r="AH295" s="476" t="s">
        <v>6315</v>
      </c>
      <c r="AI295" s="476" t="s">
        <v>6337</v>
      </c>
      <c r="AJ295" s="476" t="s">
        <v>6493</v>
      </c>
      <c r="AK295" s="476" t="s">
        <v>6493</v>
      </c>
      <c r="AL295" s="476"/>
      <c r="AM295" s="476"/>
      <c r="AN295" s="476"/>
      <c r="AO295" s="476"/>
      <c r="AP295" s="476"/>
      <c r="AQ295" s="476"/>
      <c r="AR295" s="476"/>
      <c r="AS295" s="476"/>
      <c r="AT295" s="476"/>
      <c r="AU295" s="476"/>
      <c r="AV295" s="476"/>
      <c r="AW295" s="476"/>
      <c r="AX295" s="476"/>
      <c r="AY295" s="476"/>
      <c r="AZ295" s="476"/>
      <c r="BA295" s="476"/>
      <c r="BB295" s="476"/>
      <c r="BC295" s="476"/>
      <c r="BD295" s="476"/>
      <c r="BE295" s="476"/>
      <c r="BF295" s="476"/>
      <c r="BG295" s="476"/>
      <c r="BH295" s="476"/>
      <c r="BI295" s="476"/>
      <c r="BJ295" s="476"/>
      <c r="BK295" s="476"/>
      <c r="BL295" s="480"/>
    </row>
    <row r="296" spans="1:64">
      <c r="A296" s="468">
        <v>44087</v>
      </c>
      <c r="B296" s="473">
        <v>257</v>
      </c>
      <c r="C296" s="473">
        <v>109</v>
      </c>
      <c r="D296" s="470" t="s">
        <v>631</v>
      </c>
      <c r="E296" s="469">
        <v>37</v>
      </c>
      <c r="F296" s="470" t="s">
        <v>106</v>
      </c>
      <c r="G296" s="469">
        <v>534</v>
      </c>
      <c r="H296" s="470" t="s">
        <v>6254</v>
      </c>
      <c r="I296" s="470" t="s">
        <v>836</v>
      </c>
      <c r="J296" s="469">
        <v>11</v>
      </c>
      <c r="K296" s="470" t="s">
        <v>6271</v>
      </c>
      <c r="L296" s="470" t="s">
        <v>6282</v>
      </c>
      <c r="M296" s="470" t="s">
        <v>9</v>
      </c>
      <c r="N296" s="473">
        <v>1</v>
      </c>
      <c r="O296" s="471"/>
      <c r="P296" s="471"/>
      <c r="Q296" s="471"/>
      <c r="R296" s="470"/>
      <c r="S296" s="471">
        <v>0.16611111111111113</v>
      </c>
      <c r="T296" s="471">
        <v>0.23277777777777778</v>
      </c>
      <c r="U296" s="471"/>
      <c r="V296" s="471"/>
      <c r="W296" s="471">
        <v>0.49399305555555556</v>
      </c>
      <c r="X296" s="471">
        <v>0.75519675925925922</v>
      </c>
      <c r="Y296" s="471">
        <v>3.125E-2</v>
      </c>
      <c r="Z296" s="471">
        <v>0.35347222222222219</v>
      </c>
      <c r="AA296" s="471">
        <v>0.67361111111111116</v>
      </c>
      <c r="AB296" s="470" t="s">
        <v>6289</v>
      </c>
      <c r="AC296" s="473">
        <v>131</v>
      </c>
      <c r="AD296" s="470" t="s">
        <v>119</v>
      </c>
      <c r="AE296" s="470"/>
      <c r="AF296" s="473">
        <v>50.8</v>
      </c>
      <c r="AG296" s="469">
        <v>97.9</v>
      </c>
      <c r="AH296" s="470" t="s">
        <v>6291</v>
      </c>
      <c r="AI296" s="470" t="s">
        <v>6339</v>
      </c>
      <c r="AJ296" s="470" t="s">
        <v>838</v>
      </c>
      <c r="AK296" s="470" t="s">
        <v>13</v>
      </c>
      <c r="AL296" s="470" t="s">
        <v>6819</v>
      </c>
      <c r="AM296" s="470" t="s">
        <v>6342</v>
      </c>
      <c r="AN296" s="470" t="s">
        <v>6961</v>
      </c>
      <c r="AO296" s="470" t="s">
        <v>6351</v>
      </c>
      <c r="AP296" s="470"/>
      <c r="AQ296" s="470"/>
      <c r="AR296" s="470"/>
      <c r="AS296" s="470"/>
      <c r="AT296" s="470"/>
      <c r="AU296" s="470"/>
      <c r="AV296" s="470"/>
      <c r="AW296" s="470"/>
      <c r="AX296" s="470"/>
      <c r="AY296" s="470"/>
      <c r="AZ296" s="470"/>
      <c r="BA296" s="470"/>
      <c r="BB296" s="470"/>
      <c r="BC296" s="470"/>
      <c r="BD296" s="470"/>
      <c r="BE296" s="470"/>
      <c r="BF296" s="470"/>
      <c r="BG296" s="470"/>
      <c r="BH296" s="470"/>
      <c r="BI296" s="470"/>
      <c r="BJ296" s="470"/>
      <c r="BK296" s="470"/>
      <c r="BL296" s="474"/>
    </row>
    <row r="297" spans="1:64">
      <c r="A297" s="475">
        <v>44088</v>
      </c>
      <c r="B297" s="478">
        <v>258</v>
      </c>
      <c r="C297" s="478">
        <v>108</v>
      </c>
      <c r="D297" s="476" t="s">
        <v>631</v>
      </c>
      <c r="E297" s="477">
        <v>38</v>
      </c>
      <c r="F297" s="476" t="s">
        <v>88</v>
      </c>
      <c r="G297" s="477">
        <v>534</v>
      </c>
      <c r="H297" s="476" t="s">
        <v>6254</v>
      </c>
      <c r="I297" s="476" t="s">
        <v>836</v>
      </c>
      <c r="J297" s="477">
        <v>12</v>
      </c>
      <c r="K297" s="476" t="s">
        <v>6266</v>
      </c>
      <c r="L297" s="476" t="s">
        <v>6283</v>
      </c>
      <c r="M297" s="476" t="s">
        <v>9</v>
      </c>
      <c r="N297" s="478">
        <v>1</v>
      </c>
      <c r="O297" s="479"/>
      <c r="P297" s="479"/>
      <c r="Q297" s="479"/>
      <c r="R297" s="476"/>
      <c r="S297" s="479">
        <v>0.16679398148148147</v>
      </c>
      <c r="T297" s="479">
        <v>0.23346064814814815</v>
      </c>
      <c r="U297" s="479">
        <v>0.23333333333333331</v>
      </c>
      <c r="V297" s="479">
        <v>0.4069444444444445</v>
      </c>
      <c r="W297" s="479">
        <v>0.49373842592592593</v>
      </c>
      <c r="X297" s="479">
        <v>0.75402777777777785</v>
      </c>
      <c r="Y297" s="479">
        <v>7.7083333333333337E-2</v>
      </c>
      <c r="Z297" s="479">
        <v>0.3923611111111111</v>
      </c>
      <c r="AA297" s="479">
        <v>0.70347222222222217</v>
      </c>
      <c r="AB297" s="476" t="s">
        <v>6289</v>
      </c>
      <c r="AC297" s="478">
        <v>131</v>
      </c>
      <c r="AD297" s="476" t="s">
        <v>119</v>
      </c>
      <c r="AE297" s="476"/>
      <c r="AF297" s="478">
        <v>57.1</v>
      </c>
      <c r="AG297" s="477">
        <v>0.9</v>
      </c>
      <c r="AH297" s="476" t="s">
        <v>6293</v>
      </c>
      <c r="AI297" s="476" t="s">
        <v>6340</v>
      </c>
      <c r="AJ297" s="476" t="s">
        <v>839</v>
      </c>
      <c r="AK297" s="476" t="s">
        <v>6493</v>
      </c>
      <c r="AL297" s="476" t="s">
        <v>6820</v>
      </c>
      <c r="AM297" s="476" t="s">
        <v>6343</v>
      </c>
      <c r="AN297" s="476"/>
      <c r="AO297" s="476"/>
      <c r="AP297" s="476"/>
      <c r="AQ297" s="476"/>
      <c r="AR297" s="476"/>
      <c r="AS297" s="476"/>
      <c r="AT297" s="476"/>
      <c r="AU297" s="476"/>
      <c r="AV297" s="476"/>
      <c r="AW297" s="476"/>
      <c r="AX297" s="476"/>
      <c r="AY297" s="476"/>
      <c r="AZ297" s="476"/>
      <c r="BA297" s="476"/>
      <c r="BB297" s="476"/>
      <c r="BC297" s="476"/>
      <c r="BD297" s="476"/>
      <c r="BE297" s="476"/>
      <c r="BF297" s="476"/>
      <c r="BG297" s="476"/>
      <c r="BH297" s="476"/>
      <c r="BI297" s="476"/>
      <c r="BJ297" s="476"/>
      <c r="BK297" s="476"/>
      <c r="BL297" s="480"/>
    </row>
    <row r="298" spans="1:64">
      <c r="A298" s="468">
        <v>44089</v>
      </c>
      <c r="B298" s="473">
        <v>259</v>
      </c>
      <c r="C298" s="473">
        <v>107</v>
      </c>
      <c r="D298" s="470" t="s">
        <v>631</v>
      </c>
      <c r="E298" s="469">
        <v>38</v>
      </c>
      <c r="F298" s="470" t="s">
        <v>91</v>
      </c>
      <c r="G298" s="469">
        <v>534</v>
      </c>
      <c r="H298" s="470" t="s">
        <v>6254</v>
      </c>
      <c r="I298" s="470" t="s">
        <v>836</v>
      </c>
      <c r="J298" s="469">
        <v>13</v>
      </c>
      <c r="K298" s="470" t="s">
        <v>6267</v>
      </c>
      <c r="L298" s="470" t="s">
        <v>6284</v>
      </c>
      <c r="M298" s="470" t="s">
        <v>9</v>
      </c>
      <c r="N298" s="473">
        <v>1</v>
      </c>
      <c r="O298" s="471"/>
      <c r="P298" s="471"/>
      <c r="Q298" s="471"/>
      <c r="R298" s="470"/>
      <c r="S298" s="471">
        <v>0.16746527777777778</v>
      </c>
      <c r="T298" s="471">
        <v>0.23413194444444443</v>
      </c>
      <c r="U298" s="471"/>
      <c r="V298" s="471"/>
      <c r="W298" s="471">
        <v>0.49349537037037039</v>
      </c>
      <c r="X298" s="471">
        <v>0.75284722222222211</v>
      </c>
      <c r="Y298" s="471">
        <v>0.1277777777777778</v>
      </c>
      <c r="Z298" s="471">
        <v>0.43124999999999997</v>
      </c>
      <c r="AA298" s="471">
        <v>0.72986111111111107</v>
      </c>
      <c r="AB298" s="470" t="s">
        <v>6289</v>
      </c>
      <c r="AC298" s="473">
        <v>131</v>
      </c>
      <c r="AD298" s="470" t="s">
        <v>119</v>
      </c>
      <c r="AE298" s="470"/>
      <c r="AF298" s="473">
        <v>67.5</v>
      </c>
      <c r="AG298" s="469">
        <v>7.6</v>
      </c>
      <c r="AH298" s="470" t="s">
        <v>6294</v>
      </c>
      <c r="AI298" s="470" t="s">
        <v>974</v>
      </c>
      <c r="AJ298" s="470" t="s">
        <v>6493</v>
      </c>
      <c r="AK298" s="470" t="s">
        <v>6493</v>
      </c>
      <c r="AL298" s="470"/>
      <c r="AM298" s="470"/>
      <c r="AN298" s="470"/>
      <c r="AO298" s="470"/>
      <c r="AP298" s="470"/>
      <c r="AQ298" s="470"/>
      <c r="AR298" s="470"/>
      <c r="AS298" s="470"/>
      <c r="AT298" s="470"/>
      <c r="AU298" s="470"/>
      <c r="AV298" s="470"/>
      <c r="AW298" s="470"/>
      <c r="AX298" s="470"/>
      <c r="AY298" s="470"/>
      <c r="AZ298" s="470"/>
      <c r="BA298" s="470"/>
      <c r="BB298" s="470"/>
      <c r="BC298" s="470"/>
      <c r="BD298" s="470"/>
      <c r="BE298" s="470"/>
      <c r="BF298" s="470"/>
      <c r="BG298" s="470"/>
      <c r="BH298" s="470"/>
      <c r="BI298" s="470"/>
      <c r="BJ298" s="470"/>
      <c r="BK298" s="470"/>
      <c r="BL298" s="474"/>
    </row>
    <row r="299" spans="1:64">
      <c r="A299" s="475">
        <v>44090</v>
      </c>
      <c r="B299" s="478">
        <v>260</v>
      </c>
      <c r="C299" s="478">
        <v>106</v>
      </c>
      <c r="D299" s="476" t="s">
        <v>631</v>
      </c>
      <c r="E299" s="477">
        <v>38</v>
      </c>
      <c r="F299" s="476" t="s">
        <v>94</v>
      </c>
      <c r="G299" s="477">
        <v>534</v>
      </c>
      <c r="H299" s="476" t="s">
        <v>6254</v>
      </c>
      <c r="I299" s="476" t="s">
        <v>836</v>
      </c>
      <c r="J299" s="477">
        <v>14</v>
      </c>
      <c r="K299" s="476" t="s">
        <v>6268</v>
      </c>
      <c r="L299" s="476" t="s">
        <v>6285</v>
      </c>
      <c r="M299" s="476" t="s">
        <v>9</v>
      </c>
      <c r="N299" s="478">
        <v>1</v>
      </c>
      <c r="O299" s="479"/>
      <c r="P299" s="479"/>
      <c r="Q299" s="479">
        <v>0.35366898148148151</v>
      </c>
      <c r="R299" s="476" t="s">
        <v>23</v>
      </c>
      <c r="S299" s="479">
        <v>0.16814814814814816</v>
      </c>
      <c r="T299" s="479">
        <v>0.23481481481481481</v>
      </c>
      <c r="U299" s="479"/>
      <c r="V299" s="479"/>
      <c r="W299" s="479">
        <v>0.49325231481481485</v>
      </c>
      <c r="X299" s="479">
        <v>0.75167824074074074</v>
      </c>
      <c r="Y299" s="479">
        <v>0.17916666666666667</v>
      </c>
      <c r="Z299" s="479">
        <v>0.46875</v>
      </c>
      <c r="AA299" s="479">
        <v>0.75277777777777777</v>
      </c>
      <c r="AB299" s="476" t="s">
        <v>6289</v>
      </c>
      <c r="AC299" s="478">
        <v>131</v>
      </c>
      <c r="AD299" s="476" t="s">
        <v>119</v>
      </c>
      <c r="AE299" s="476"/>
      <c r="AF299" s="478">
        <v>81.5</v>
      </c>
      <c r="AG299" s="477">
        <v>17.399999999999999</v>
      </c>
      <c r="AH299" s="476" t="s">
        <v>6295</v>
      </c>
      <c r="AI299" s="476" t="s">
        <v>6316</v>
      </c>
      <c r="AJ299" s="476" t="s">
        <v>6493</v>
      </c>
      <c r="AK299" s="476" t="s">
        <v>6493</v>
      </c>
      <c r="AL299" s="476" t="s">
        <v>6821</v>
      </c>
      <c r="AM299" s="476"/>
      <c r="AN299" s="476"/>
      <c r="AO299" s="476"/>
      <c r="AP299" s="476"/>
      <c r="AQ299" s="476"/>
      <c r="AR299" s="476"/>
      <c r="AS299" s="476"/>
      <c r="AT299" s="476"/>
      <c r="AU299" s="476"/>
      <c r="AV299" s="476"/>
      <c r="AW299" s="476"/>
      <c r="AX299" s="476"/>
      <c r="AY299" s="476"/>
      <c r="AZ299" s="476"/>
      <c r="BA299" s="476"/>
      <c r="BB299" s="476"/>
      <c r="BC299" s="476"/>
      <c r="BD299" s="476"/>
      <c r="BE299" s="476"/>
      <c r="BF299" s="476"/>
      <c r="BG299" s="476"/>
      <c r="BH299" s="476"/>
      <c r="BI299" s="476"/>
      <c r="BJ299" s="476"/>
      <c r="BK299" s="476"/>
      <c r="BL299" s="480"/>
    </row>
    <row r="300" spans="1:64">
      <c r="A300" s="468">
        <v>44091</v>
      </c>
      <c r="B300" s="473">
        <v>261</v>
      </c>
      <c r="C300" s="473">
        <v>105</v>
      </c>
      <c r="D300" s="470" t="s">
        <v>631</v>
      </c>
      <c r="E300" s="469">
        <v>38</v>
      </c>
      <c r="F300" s="470" t="s">
        <v>6714</v>
      </c>
      <c r="G300" s="469">
        <v>534</v>
      </c>
      <c r="H300" s="470" t="s">
        <v>6254</v>
      </c>
      <c r="I300" s="470" t="s">
        <v>836</v>
      </c>
      <c r="J300" s="469">
        <v>15</v>
      </c>
      <c r="K300" s="470" t="s">
        <v>6269</v>
      </c>
      <c r="L300" s="470" t="s">
        <v>6286</v>
      </c>
      <c r="M300" s="470" t="s">
        <v>9</v>
      </c>
      <c r="N300" s="473">
        <v>1</v>
      </c>
      <c r="O300" s="471"/>
      <c r="P300" s="471"/>
      <c r="Q300" s="471"/>
      <c r="R300" s="470"/>
      <c r="S300" s="471">
        <v>0.16883101851851853</v>
      </c>
      <c r="T300" s="471">
        <v>0.23549768518518518</v>
      </c>
      <c r="U300" s="471"/>
      <c r="V300" s="471"/>
      <c r="W300" s="471">
        <v>0.49299768518518516</v>
      </c>
      <c r="X300" s="471">
        <v>0.75049768518518523</v>
      </c>
      <c r="Y300" s="471">
        <v>0.23194444444444443</v>
      </c>
      <c r="Z300" s="471">
        <v>0.50486111111111109</v>
      </c>
      <c r="AA300" s="471">
        <v>0.77500000000000002</v>
      </c>
      <c r="AB300" s="470" t="s">
        <v>6463</v>
      </c>
      <c r="AC300" s="473">
        <v>152</v>
      </c>
      <c r="AD300" s="470" t="s">
        <v>110</v>
      </c>
      <c r="AE300" s="470" t="s">
        <v>6540</v>
      </c>
      <c r="AF300" s="473">
        <v>98.1</v>
      </c>
      <c r="AG300" s="469">
        <v>29.8</v>
      </c>
      <c r="AH300" s="470" t="s">
        <v>6296</v>
      </c>
      <c r="AI300" s="470" t="s">
        <v>6317</v>
      </c>
      <c r="AJ300" s="470" t="s">
        <v>6493</v>
      </c>
      <c r="AK300" s="470" t="s">
        <v>6493</v>
      </c>
      <c r="AL300" s="470" t="s">
        <v>6822</v>
      </c>
      <c r="AM300" s="470"/>
      <c r="AN300" s="470"/>
      <c r="AO300" s="470"/>
      <c r="AP300" s="470"/>
      <c r="AQ300" s="470"/>
      <c r="AR300" s="470"/>
      <c r="AS300" s="470"/>
      <c r="AT300" s="470"/>
      <c r="AU300" s="470"/>
      <c r="AV300" s="470"/>
      <c r="AW300" s="470"/>
      <c r="AX300" s="470"/>
      <c r="AY300" s="470"/>
      <c r="AZ300" s="470"/>
      <c r="BA300" s="470"/>
      <c r="BB300" s="470"/>
      <c r="BC300" s="470"/>
      <c r="BD300" s="470"/>
      <c r="BE300" s="470"/>
      <c r="BF300" s="470"/>
      <c r="BG300" s="470"/>
      <c r="BH300" s="470"/>
      <c r="BI300" s="470"/>
      <c r="BJ300" s="470"/>
      <c r="BK300" s="470"/>
      <c r="BL300" s="474"/>
    </row>
    <row r="301" spans="1:64">
      <c r="A301" s="475">
        <v>44092</v>
      </c>
      <c r="B301" s="478">
        <v>262</v>
      </c>
      <c r="C301" s="478">
        <v>104</v>
      </c>
      <c r="D301" s="476" t="s">
        <v>631</v>
      </c>
      <c r="E301" s="477">
        <v>38</v>
      </c>
      <c r="F301" s="476" t="s">
        <v>100</v>
      </c>
      <c r="G301" s="477">
        <v>534</v>
      </c>
      <c r="H301" s="476" t="s">
        <v>6256</v>
      </c>
      <c r="I301" s="476" t="s">
        <v>6257</v>
      </c>
      <c r="J301" s="477">
        <v>17</v>
      </c>
      <c r="K301" s="476" t="s">
        <v>1034</v>
      </c>
      <c r="L301" s="476" t="s">
        <v>6273</v>
      </c>
      <c r="M301" s="476" t="s">
        <v>9</v>
      </c>
      <c r="N301" s="478">
        <v>1</v>
      </c>
      <c r="O301" s="479">
        <v>0.25138888888888888</v>
      </c>
      <c r="P301" s="479">
        <v>9.8611111111111108E-2</v>
      </c>
      <c r="Q301" s="479"/>
      <c r="R301" s="476"/>
      <c r="S301" s="479">
        <v>0.16951388888888888</v>
      </c>
      <c r="T301" s="479">
        <v>0.23618055555555553</v>
      </c>
      <c r="U301" s="479"/>
      <c r="V301" s="479"/>
      <c r="W301" s="479">
        <v>0.49275462962962963</v>
      </c>
      <c r="X301" s="479">
        <v>0.74932870370370364</v>
      </c>
      <c r="Y301" s="479">
        <v>0.28541666666666665</v>
      </c>
      <c r="Z301" s="479">
        <v>0.54166666666666663</v>
      </c>
      <c r="AA301" s="479">
        <v>0.79583333333333339</v>
      </c>
      <c r="AB301" s="476" t="s">
        <v>6463</v>
      </c>
      <c r="AC301" s="478">
        <v>152</v>
      </c>
      <c r="AD301" s="476" t="s">
        <v>110</v>
      </c>
      <c r="AE301" s="476"/>
      <c r="AF301" s="478">
        <v>16.2</v>
      </c>
      <c r="AG301" s="477">
        <v>43.3</v>
      </c>
      <c r="AH301" s="476" t="s">
        <v>6297</v>
      </c>
      <c r="AI301" s="476" t="s">
        <v>6318</v>
      </c>
      <c r="AJ301" s="476" t="s">
        <v>6493</v>
      </c>
      <c r="AK301" s="476" t="s">
        <v>6493</v>
      </c>
      <c r="AL301" s="476" t="s">
        <v>6823</v>
      </c>
      <c r="AM301" s="476"/>
      <c r="AN301" s="476" t="s">
        <v>6962</v>
      </c>
      <c r="AO301" s="476"/>
      <c r="AP301" s="476" t="s">
        <v>7034</v>
      </c>
      <c r="AQ301" s="476"/>
      <c r="AR301" s="476"/>
      <c r="AS301" s="476"/>
      <c r="AT301" s="476"/>
      <c r="AU301" s="476"/>
      <c r="AV301" s="476"/>
      <c r="AW301" s="476"/>
      <c r="AX301" s="476"/>
      <c r="AY301" s="476"/>
      <c r="AZ301" s="476"/>
      <c r="BA301" s="476"/>
      <c r="BB301" s="476"/>
      <c r="BC301" s="476"/>
      <c r="BD301" s="476"/>
      <c r="BE301" s="476"/>
      <c r="BF301" s="476"/>
      <c r="BG301" s="476"/>
      <c r="BH301" s="476"/>
      <c r="BI301" s="476"/>
      <c r="BJ301" s="476"/>
      <c r="BK301" s="476"/>
      <c r="BL301" s="480"/>
    </row>
    <row r="302" spans="1:64">
      <c r="A302" s="468">
        <v>44093</v>
      </c>
      <c r="B302" s="473">
        <v>263</v>
      </c>
      <c r="C302" s="473">
        <v>103</v>
      </c>
      <c r="D302" s="470" t="s">
        <v>631</v>
      </c>
      <c r="E302" s="469">
        <v>38</v>
      </c>
      <c r="F302" s="470" t="s">
        <v>103</v>
      </c>
      <c r="G302" s="469">
        <v>534</v>
      </c>
      <c r="H302" s="470" t="s">
        <v>6256</v>
      </c>
      <c r="I302" s="470" t="s">
        <v>6257</v>
      </c>
      <c r="J302" s="469">
        <v>18</v>
      </c>
      <c r="K302" s="470" t="s">
        <v>6258</v>
      </c>
      <c r="L302" s="470" t="s">
        <v>6274</v>
      </c>
      <c r="M302" s="470" t="s">
        <v>9</v>
      </c>
      <c r="N302" s="473">
        <v>1</v>
      </c>
      <c r="O302" s="471"/>
      <c r="P302" s="471"/>
      <c r="Q302" s="471"/>
      <c r="R302" s="470"/>
      <c r="S302" s="471">
        <v>0.17018518518518519</v>
      </c>
      <c r="T302" s="471">
        <v>0.23685185185185187</v>
      </c>
      <c r="U302" s="471"/>
      <c r="V302" s="471"/>
      <c r="W302" s="471">
        <v>0.49249999999999999</v>
      </c>
      <c r="X302" s="471">
        <v>0.74814814814814812</v>
      </c>
      <c r="Y302" s="471">
        <v>0.33819444444444446</v>
      </c>
      <c r="Z302" s="471">
        <v>0.57847222222222217</v>
      </c>
      <c r="AA302" s="471">
        <v>0.81736111111111109</v>
      </c>
      <c r="AB302" s="470" t="s">
        <v>6463</v>
      </c>
      <c r="AC302" s="473">
        <v>152</v>
      </c>
      <c r="AD302" s="470" t="s">
        <v>110</v>
      </c>
      <c r="AE302" s="470"/>
      <c r="AF302" s="473">
        <v>34.200000000000003</v>
      </c>
      <c r="AG302" s="469">
        <v>56.9</v>
      </c>
      <c r="AH302" s="470" t="s">
        <v>6298</v>
      </c>
      <c r="AI302" s="470" t="s">
        <v>6341</v>
      </c>
      <c r="AJ302" s="470" t="s">
        <v>6493</v>
      </c>
      <c r="AK302" s="470" t="s">
        <v>6493</v>
      </c>
      <c r="AL302" s="470"/>
      <c r="AM302" s="470"/>
      <c r="AN302" s="470"/>
      <c r="AO302" s="470"/>
      <c r="AP302" s="470"/>
      <c r="AQ302" s="470"/>
      <c r="AR302" s="470"/>
      <c r="AS302" s="470"/>
      <c r="AT302" s="470"/>
      <c r="AU302" s="470"/>
      <c r="AV302" s="470"/>
      <c r="AW302" s="470"/>
      <c r="AX302" s="470"/>
      <c r="AY302" s="470"/>
      <c r="AZ302" s="470"/>
      <c r="BA302" s="470"/>
      <c r="BB302" s="470"/>
      <c r="BC302" s="470"/>
      <c r="BD302" s="470"/>
      <c r="BE302" s="470"/>
      <c r="BF302" s="470"/>
      <c r="BG302" s="470"/>
      <c r="BH302" s="470"/>
      <c r="BI302" s="470"/>
      <c r="BJ302" s="470"/>
      <c r="BK302" s="470"/>
      <c r="BL302" s="474"/>
    </row>
    <row r="303" spans="1:64">
      <c r="A303" s="475">
        <v>44094</v>
      </c>
      <c r="B303" s="478">
        <v>264</v>
      </c>
      <c r="C303" s="478">
        <v>102</v>
      </c>
      <c r="D303" s="476" t="s">
        <v>631</v>
      </c>
      <c r="E303" s="477">
        <v>38</v>
      </c>
      <c r="F303" s="476" t="s">
        <v>106</v>
      </c>
      <c r="G303" s="477">
        <v>534</v>
      </c>
      <c r="H303" s="476" t="s">
        <v>6256</v>
      </c>
      <c r="I303" s="476" t="s">
        <v>6257</v>
      </c>
      <c r="J303" s="477">
        <v>19</v>
      </c>
      <c r="K303" s="476" t="s">
        <v>6259</v>
      </c>
      <c r="L303" s="476" t="s">
        <v>6275</v>
      </c>
      <c r="M303" s="476" t="s">
        <v>9</v>
      </c>
      <c r="N303" s="478">
        <v>1</v>
      </c>
      <c r="O303" s="479"/>
      <c r="P303" s="479"/>
      <c r="Q303" s="479"/>
      <c r="R303" s="476"/>
      <c r="S303" s="479">
        <v>0.17087962962962963</v>
      </c>
      <c r="T303" s="479">
        <v>0.23754629629629631</v>
      </c>
      <c r="U303" s="479"/>
      <c r="V303" s="479"/>
      <c r="W303" s="479">
        <v>0.49225694444444446</v>
      </c>
      <c r="X303" s="479">
        <v>0.74697916666666664</v>
      </c>
      <c r="Y303" s="479">
        <v>0.39097222222222222</v>
      </c>
      <c r="Z303" s="479">
        <v>0.61597222222222225</v>
      </c>
      <c r="AA303" s="479">
        <v>0.84027777777777779</v>
      </c>
      <c r="AB303" s="476" t="s">
        <v>6463</v>
      </c>
      <c r="AC303" s="478">
        <v>152</v>
      </c>
      <c r="AD303" s="476" t="s">
        <v>110</v>
      </c>
      <c r="AE303" s="476"/>
      <c r="AF303" s="478">
        <v>50.8</v>
      </c>
      <c r="AG303" s="477">
        <v>69.099999999999994</v>
      </c>
      <c r="AH303" s="476" t="s">
        <v>6299</v>
      </c>
      <c r="AI303" s="476" t="s">
        <v>6320</v>
      </c>
      <c r="AJ303" s="476" t="s">
        <v>6493</v>
      </c>
      <c r="AK303" s="476" t="s">
        <v>6493</v>
      </c>
      <c r="AL303" s="476"/>
      <c r="AM303" s="476"/>
      <c r="AN303" s="476"/>
      <c r="AO303" s="476"/>
      <c r="AP303" s="476"/>
      <c r="AQ303" s="476"/>
      <c r="AR303" s="476"/>
      <c r="AS303" s="476"/>
      <c r="AT303" s="476"/>
      <c r="AU303" s="476"/>
      <c r="AV303" s="476"/>
      <c r="AW303" s="476"/>
      <c r="AX303" s="476"/>
      <c r="AY303" s="476"/>
      <c r="AZ303" s="476"/>
      <c r="BA303" s="476"/>
      <c r="BB303" s="476"/>
      <c r="BC303" s="476"/>
      <c r="BD303" s="476"/>
      <c r="BE303" s="476"/>
      <c r="BF303" s="476"/>
      <c r="BG303" s="476"/>
      <c r="BH303" s="476"/>
      <c r="BI303" s="476"/>
      <c r="BJ303" s="476"/>
      <c r="BK303" s="476"/>
      <c r="BL303" s="480"/>
    </row>
    <row r="304" spans="1:64">
      <c r="A304" s="468">
        <v>44095</v>
      </c>
      <c r="B304" s="473">
        <v>265</v>
      </c>
      <c r="C304" s="473">
        <v>101</v>
      </c>
      <c r="D304" s="470" t="s">
        <v>631</v>
      </c>
      <c r="E304" s="469">
        <v>39</v>
      </c>
      <c r="F304" s="470" t="s">
        <v>88</v>
      </c>
      <c r="G304" s="469">
        <v>534</v>
      </c>
      <c r="H304" s="470" t="s">
        <v>6256</v>
      </c>
      <c r="I304" s="470" t="s">
        <v>6257</v>
      </c>
      <c r="J304" s="469">
        <v>20</v>
      </c>
      <c r="K304" s="470" t="s">
        <v>6260</v>
      </c>
      <c r="L304" s="470" t="s">
        <v>6276</v>
      </c>
      <c r="M304" s="470" t="s">
        <v>9</v>
      </c>
      <c r="N304" s="473">
        <v>1</v>
      </c>
      <c r="O304" s="471"/>
      <c r="P304" s="471"/>
      <c r="Q304" s="471"/>
      <c r="R304" s="470"/>
      <c r="S304" s="471">
        <v>0.17156249999999998</v>
      </c>
      <c r="T304" s="471">
        <v>0.23822916666666669</v>
      </c>
      <c r="U304" s="471"/>
      <c r="V304" s="471"/>
      <c r="W304" s="471">
        <v>0.49201388888888892</v>
      </c>
      <c r="X304" s="471">
        <v>0.74579861111111112</v>
      </c>
      <c r="Y304" s="471">
        <v>0.44375000000000003</v>
      </c>
      <c r="Z304" s="471">
        <v>0.65486111111111112</v>
      </c>
      <c r="AA304" s="471">
        <v>0.8666666666666667</v>
      </c>
      <c r="AB304" s="470" t="s">
        <v>6463</v>
      </c>
      <c r="AC304" s="473">
        <v>152</v>
      </c>
      <c r="AD304" s="470" t="s">
        <v>110</v>
      </c>
      <c r="AE304" s="470"/>
      <c r="AF304" s="473">
        <v>64.900000000000006</v>
      </c>
      <c r="AG304" s="469">
        <v>79.2</v>
      </c>
      <c r="AH304" s="470" t="s">
        <v>6300</v>
      </c>
      <c r="AI304" s="470" t="s">
        <v>6321</v>
      </c>
      <c r="AJ304" s="470" t="s">
        <v>6493</v>
      </c>
      <c r="AK304" s="470" t="s">
        <v>6493</v>
      </c>
      <c r="AL304" s="470"/>
      <c r="AM304" s="470"/>
      <c r="AN304" s="470"/>
      <c r="AO304" s="470"/>
      <c r="AP304" s="470"/>
      <c r="AQ304" s="470"/>
      <c r="AR304" s="470"/>
      <c r="AS304" s="470"/>
      <c r="AT304" s="470"/>
      <c r="AU304" s="470"/>
      <c r="AV304" s="470"/>
      <c r="AW304" s="470"/>
      <c r="AX304" s="470"/>
      <c r="AY304" s="470"/>
      <c r="AZ304" s="470"/>
      <c r="BA304" s="470"/>
      <c r="BB304" s="470"/>
      <c r="BC304" s="470"/>
      <c r="BD304" s="470"/>
      <c r="BE304" s="470"/>
      <c r="BF304" s="470"/>
      <c r="BG304" s="470"/>
      <c r="BH304" s="470"/>
      <c r="BI304" s="470"/>
      <c r="BJ304" s="470"/>
      <c r="BK304" s="470"/>
      <c r="BL304" s="474"/>
    </row>
    <row r="305" spans="1:64">
      <c r="A305" s="475">
        <v>44096</v>
      </c>
      <c r="B305" s="478">
        <v>266</v>
      </c>
      <c r="C305" s="478">
        <v>100</v>
      </c>
      <c r="D305" s="476" t="s">
        <v>631</v>
      </c>
      <c r="E305" s="477">
        <v>39</v>
      </c>
      <c r="F305" s="476" t="s">
        <v>91</v>
      </c>
      <c r="G305" s="477">
        <v>534</v>
      </c>
      <c r="H305" s="476" t="s">
        <v>6256</v>
      </c>
      <c r="I305" s="476" t="s">
        <v>6257</v>
      </c>
      <c r="J305" s="477">
        <v>21</v>
      </c>
      <c r="K305" s="476" t="s">
        <v>6261</v>
      </c>
      <c r="L305" s="476" t="s">
        <v>6277</v>
      </c>
      <c r="M305" s="476" t="s">
        <v>9</v>
      </c>
      <c r="N305" s="478">
        <v>1</v>
      </c>
      <c r="O305" s="479"/>
      <c r="P305" s="479"/>
      <c r="Q305" s="479"/>
      <c r="R305" s="476"/>
      <c r="S305" s="479">
        <v>0.17224537037037035</v>
      </c>
      <c r="T305" s="479">
        <v>0.23891203703703703</v>
      </c>
      <c r="U305" s="479"/>
      <c r="V305" s="479"/>
      <c r="W305" s="479">
        <v>0.49177083333333332</v>
      </c>
      <c r="X305" s="479">
        <v>0.74462962962962964</v>
      </c>
      <c r="Y305" s="479">
        <v>0.49444444444444446</v>
      </c>
      <c r="Z305" s="479">
        <v>0.6958333333333333</v>
      </c>
      <c r="AA305" s="479">
        <v>0.8965277777777777</v>
      </c>
      <c r="AB305" s="476" t="s">
        <v>6463</v>
      </c>
      <c r="AC305" s="478">
        <v>152</v>
      </c>
      <c r="AD305" s="476" t="s">
        <v>110</v>
      </c>
      <c r="AE305" s="476"/>
      <c r="AF305" s="478">
        <v>75.900000000000006</v>
      </c>
      <c r="AG305" s="477">
        <v>86.4</v>
      </c>
      <c r="AH305" s="476" t="s">
        <v>6301</v>
      </c>
      <c r="AI305" s="476" t="s">
        <v>6322</v>
      </c>
      <c r="AJ305" s="476" t="s">
        <v>6493</v>
      </c>
      <c r="AK305" s="476" t="s">
        <v>6493</v>
      </c>
      <c r="AL305" s="476" t="s">
        <v>547</v>
      </c>
      <c r="AM305" s="476"/>
      <c r="AN305" s="476"/>
      <c r="AO305" s="476"/>
      <c r="AP305" s="476"/>
      <c r="AQ305" s="476"/>
      <c r="AR305" s="476"/>
      <c r="AS305" s="476"/>
      <c r="AT305" s="476"/>
      <c r="AU305" s="476"/>
      <c r="AV305" s="476"/>
      <c r="AW305" s="476"/>
      <c r="AX305" s="476"/>
      <c r="AY305" s="476"/>
      <c r="AZ305" s="476"/>
      <c r="BA305" s="476"/>
      <c r="BB305" s="476"/>
      <c r="BC305" s="476"/>
      <c r="BD305" s="476"/>
      <c r="BE305" s="476"/>
      <c r="BF305" s="476"/>
      <c r="BG305" s="476"/>
      <c r="BH305" s="476"/>
      <c r="BI305" s="476"/>
      <c r="BJ305" s="476"/>
      <c r="BK305" s="476"/>
      <c r="BL305" s="480"/>
    </row>
    <row r="306" spans="1:64">
      <c r="A306" s="468">
        <v>44097</v>
      </c>
      <c r="B306" s="473">
        <v>267</v>
      </c>
      <c r="C306" s="473">
        <v>99</v>
      </c>
      <c r="D306" s="470" t="s">
        <v>631</v>
      </c>
      <c r="E306" s="469">
        <v>39</v>
      </c>
      <c r="F306" s="470" t="s">
        <v>94</v>
      </c>
      <c r="G306" s="469">
        <v>534</v>
      </c>
      <c r="H306" s="470" t="s">
        <v>6256</v>
      </c>
      <c r="I306" s="470" t="s">
        <v>6257</v>
      </c>
      <c r="J306" s="469">
        <v>22</v>
      </c>
      <c r="K306" s="470" t="s">
        <v>6262</v>
      </c>
      <c r="L306" s="470" t="s">
        <v>6278</v>
      </c>
      <c r="M306" s="470" t="s">
        <v>9</v>
      </c>
      <c r="N306" s="473">
        <v>1</v>
      </c>
      <c r="O306" s="471"/>
      <c r="P306" s="471"/>
      <c r="Q306" s="471"/>
      <c r="R306" s="470"/>
      <c r="S306" s="471">
        <v>0.17292824074074076</v>
      </c>
      <c r="T306" s="471">
        <v>0.23959490740740741</v>
      </c>
      <c r="U306" s="471"/>
      <c r="V306" s="471"/>
      <c r="W306" s="471">
        <v>0.49152777777777779</v>
      </c>
      <c r="X306" s="471">
        <v>0.74346064814814816</v>
      </c>
      <c r="Y306" s="471">
        <v>0.54166666666666663</v>
      </c>
      <c r="Z306" s="471">
        <v>0.73611111111111116</v>
      </c>
      <c r="AA306" s="471">
        <v>0.93055555555555547</v>
      </c>
      <c r="AB306" s="470" t="s">
        <v>6464</v>
      </c>
      <c r="AC306" s="473">
        <v>130</v>
      </c>
      <c r="AD306" s="470" t="s">
        <v>113</v>
      </c>
      <c r="AE306" s="470" t="s">
        <v>6541</v>
      </c>
      <c r="AF306" s="473">
        <v>83.5</v>
      </c>
      <c r="AG306" s="469">
        <v>90.7</v>
      </c>
      <c r="AH306" s="470" t="s">
        <v>6302</v>
      </c>
      <c r="AI306" s="470" t="s">
        <v>6323</v>
      </c>
      <c r="AJ306" s="470" t="s">
        <v>6493</v>
      </c>
      <c r="AK306" s="470" t="s">
        <v>6493</v>
      </c>
      <c r="AL306" s="470"/>
      <c r="AM306" s="470"/>
      <c r="AN306" s="470"/>
      <c r="AO306" s="470"/>
      <c r="AP306" s="470"/>
      <c r="AQ306" s="470"/>
      <c r="AR306" s="470"/>
      <c r="AS306" s="470"/>
      <c r="AT306" s="470"/>
      <c r="AU306" s="470"/>
      <c r="AV306" s="470"/>
      <c r="AW306" s="470"/>
      <c r="AX306" s="470"/>
      <c r="AY306" s="470"/>
      <c r="AZ306" s="470"/>
      <c r="BA306" s="470"/>
      <c r="BB306" s="470"/>
      <c r="BC306" s="470"/>
      <c r="BD306" s="470"/>
      <c r="BE306" s="470"/>
      <c r="BF306" s="470"/>
      <c r="BG306" s="470"/>
      <c r="BH306" s="470"/>
      <c r="BI306" s="470"/>
      <c r="BJ306" s="470"/>
      <c r="BK306" s="470"/>
      <c r="BL306" s="474"/>
    </row>
    <row r="307" spans="1:64">
      <c r="A307" s="475">
        <v>44098</v>
      </c>
      <c r="B307" s="478">
        <v>268</v>
      </c>
      <c r="C307" s="478">
        <v>98</v>
      </c>
      <c r="D307" s="476" t="s">
        <v>631</v>
      </c>
      <c r="E307" s="477">
        <v>39</v>
      </c>
      <c r="F307" s="476" t="s">
        <v>6714</v>
      </c>
      <c r="G307" s="477">
        <v>534</v>
      </c>
      <c r="H307" s="476" t="s">
        <v>6256</v>
      </c>
      <c r="I307" s="476" t="s">
        <v>6257</v>
      </c>
      <c r="J307" s="477">
        <v>23</v>
      </c>
      <c r="K307" s="476" t="s">
        <v>6263</v>
      </c>
      <c r="L307" s="476" t="s">
        <v>6279</v>
      </c>
      <c r="M307" s="476" t="s">
        <v>9</v>
      </c>
      <c r="N307" s="478">
        <v>1</v>
      </c>
      <c r="O307" s="479"/>
      <c r="P307" s="479"/>
      <c r="Q307" s="479"/>
      <c r="R307" s="476"/>
      <c r="S307" s="479">
        <v>0.1736226851851852</v>
      </c>
      <c r="T307" s="479">
        <v>0.24028935185185185</v>
      </c>
      <c r="U307" s="479"/>
      <c r="V307" s="479"/>
      <c r="W307" s="479">
        <v>0.49128472222222225</v>
      </c>
      <c r="X307" s="479">
        <v>0.74229166666666668</v>
      </c>
      <c r="Y307" s="479">
        <v>0.58333333333333337</v>
      </c>
      <c r="Z307" s="479">
        <v>0.73402777777777783</v>
      </c>
      <c r="AA307" s="479">
        <v>0.96944444444444444</v>
      </c>
      <c r="AB307" s="476" t="s">
        <v>6464</v>
      </c>
      <c r="AC307" s="478">
        <v>130</v>
      </c>
      <c r="AD307" s="476" t="s">
        <v>113</v>
      </c>
      <c r="AE307" s="476"/>
      <c r="AF307" s="478">
        <v>88</v>
      </c>
      <c r="AG307" s="477">
        <v>92</v>
      </c>
      <c r="AH307" s="476" t="s">
        <v>6303</v>
      </c>
      <c r="AI307" s="476" t="s">
        <v>6324</v>
      </c>
      <c r="AJ307" s="476" t="s">
        <v>6493</v>
      </c>
      <c r="AK307" s="476" t="s">
        <v>6493</v>
      </c>
      <c r="AL307" s="476"/>
      <c r="AM307" s="476"/>
      <c r="AN307" s="476"/>
      <c r="AO307" s="476"/>
      <c r="AP307" s="476"/>
      <c r="AQ307" s="476"/>
      <c r="AR307" s="476"/>
      <c r="AS307" s="476"/>
      <c r="AT307" s="476"/>
      <c r="AU307" s="476"/>
      <c r="AV307" s="476"/>
      <c r="AW307" s="476"/>
      <c r="AX307" s="476"/>
      <c r="AY307" s="476"/>
      <c r="AZ307" s="476"/>
      <c r="BA307" s="476"/>
      <c r="BB307" s="476"/>
      <c r="BC307" s="476"/>
      <c r="BD307" s="476"/>
      <c r="BE307" s="476"/>
      <c r="BF307" s="476"/>
      <c r="BG307" s="476"/>
      <c r="BH307" s="476"/>
      <c r="BI307" s="476"/>
      <c r="BJ307" s="476"/>
      <c r="BK307" s="476"/>
      <c r="BL307" s="480"/>
    </row>
    <row r="308" spans="1:64">
      <c r="A308" s="468">
        <v>44099</v>
      </c>
      <c r="B308" s="473">
        <v>269</v>
      </c>
      <c r="C308" s="473">
        <v>97</v>
      </c>
      <c r="D308" s="470" t="s">
        <v>631</v>
      </c>
      <c r="E308" s="469">
        <v>39</v>
      </c>
      <c r="F308" s="470" t="s">
        <v>100</v>
      </c>
      <c r="G308" s="469">
        <v>534</v>
      </c>
      <c r="H308" s="470" t="s">
        <v>6256</v>
      </c>
      <c r="I308" s="470" t="s">
        <v>6257</v>
      </c>
      <c r="J308" s="469">
        <v>24</v>
      </c>
      <c r="K308" s="470" t="s">
        <v>6264</v>
      </c>
      <c r="L308" s="470" t="s">
        <v>6280</v>
      </c>
      <c r="M308" s="470" t="s">
        <v>9</v>
      </c>
      <c r="N308" s="473">
        <v>1</v>
      </c>
      <c r="O308" s="471"/>
      <c r="P308" s="471"/>
      <c r="Q308" s="471"/>
      <c r="R308" s="470"/>
      <c r="S308" s="471">
        <v>0.17431712962962964</v>
      </c>
      <c r="T308" s="471">
        <v>0.24098379629629629</v>
      </c>
      <c r="U308" s="471"/>
      <c r="V308" s="471"/>
      <c r="W308" s="471">
        <v>0.49105324074074069</v>
      </c>
      <c r="X308" s="471">
        <v>0.7411226851851852</v>
      </c>
      <c r="Y308" s="471">
        <v>0.62013888888888891</v>
      </c>
      <c r="Z308" s="471">
        <v>0.77222222222222225</v>
      </c>
      <c r="AA308" s="471" t="s">
        <v>1107</v>
      </c>
      <c r="AB308" s="470" t="s">
        <v>6464</v>
      </c>
      <c r="AC308" s="473">
        <v>130</v>
      </c>
      <c r="AD308" s="470" t="s">
        <v>113</v>
      </c>
      <c r="AE308" s="470"/>
      <c r="AF308" s="473">
        <v>89.6</v>
      </c>
      <c r="AG308" s="469">
        <v>90.8</v>
      </c>
      <c r="AH308" s="470" t="s">
        <v>6304</v>
      </c>
      <c r="AI308" s="470" t="s">
        <v>6325</v>
      </c>
      <c r="AJ308" s="470" t="s">
        <v>6493</v>
      </c>
      <c r="AK308" s="470" t="s">
        <v>6493</v>
      </c>
      <c r="AL308" s="470"/>
      <c r="AM308" s="470"/>
      <c r="AN308" s="470"/>
      <c r="AO308" s="470"/>
      <c r="AP308" s="470"/>
      <c r="AQ308" s="470"/>
      <c r="AR308" s="470"/>
      <c r="AS308" s="470"/>
      <c r="AT308" s="470"/>
      <c r="AU308" s="470"/>
      <c r="AV308" s="470"/>
      <c r="AW308" s="470"/>
      <c r="AX308" s="470"/>
      <c r="AY308" s="470"/>
      <c r="AZ308" s="470"/>
      <c r="BA308" s="470"/>
      <c r="BB308" s="470"/>
      <c r="BC308" s="470"/>
      <c r="BD308" s="470"/>
      <c r="BE308" s="470"/>
      <c r="BF308" s="470"/>
      <c r="BG308" s="470"/>
      <c r="BH308" s="470"/>
      <c r="BI308" s="470"/>
      <c r="BJ308" s="470"/>
      <c r="BK308" s="470"/>
      <c r="BL308" s="474"/>
    </row>
    <row r="309" spans="1:64">
      <c r="A309" s="475">
        <v>44100</v>
      </c>
      <c r="B309" s="478">
        <v>270</v>
      </c>
      <c r="C309" s="478">
        <v>96</v>
      </c>
      <c r="D309" s="476" t="s">
        <v>631</v>
      </c>
      <c r="E309" s="477">
        <v>39</v>
      </c>
      <c r="F309" s="476" t="s">
        <v>103</v>
      </c>
      <c r="G309" s="477">
        <v>534</v>
      </c>
      <c r="H309" s="476" t="s">
        <v>6256</v>
      </c>
      <c r="I309" s="476" t="s">
        <v>6257</v>
      </c>
      <c r="J309" s="477">
        <v>25</v>
      </c>
      <c r="K309" s="476" t="s">
        <v>6265</v>
      </c>
      <c r="L309" s="476" t="s">
        <v>6281</v>
      </c>
      <c r="M309" s="476" t="s">
        <v>9</v>
      </c>
      <c r="N309" s="478">
        <v>1</v>
      </c>
      <c r="O309" s="479"/>
      <c r="P309" s="479"/>
      <c r="Q309" s="479"/>
      <c r="R309" s="476"/>
      <c r="S309" s="479">
        <v>0.17501157407407408</v>
      </c>
      <c r="T309" s="479">
        <v>0.24167824074074074</v>
      </c>
      <c r="U309" s="479"/>
      <c r="V309" s="479"/>
      <c r="W309" s="479">
        <v>0.49081018518518515</v>
      </c>
      <c r="X309" s="479">
        <v>0.73995370370370372</v>
      </c>
      <c r="Y309" s="479">
        <v>0.65069444444444446</v>
      </c>
      <c r="Z309" s="479">
        <v>0.80972222222222223</v>
      </c>
      <c r="AA309" s="479">
        <v>1.1805555555555555E-2</v>
      </c>
      <c r="AB309" s="476" t="s">
        <v>6464</v>
      </c>
      <c r="AC309" s="478">
        <v>130</v>
      </c>
      <c r="AD309" s="476" t="s">
        <v>113</v>
      </c>
      <c r="AE309" s="476"/>
      <c r="AF309" s="478">
        <v>88.8</v>
      </c>
      <c r="AG309" s="477">
        <v>87.5</v>
      </c>
      <c r="AH309" s="476" t="s">
        <v>6305</v>
      </c>
      <c r="AI309" s="476" t="s">
        <v>6326</v>
      </c>
      <c r="AJ309" s="476" t="s">
        <v>6493</v>
      </c>
      <c r="AK309" s="476" t="s">
        <v>6493</v>
      </c>
      <c r="AL309" s="476"/>
      <c r="AM309" s="476"/>
      <c r="AN309" s="476"/>
      <c r="AO309" s="476"/>
      <c r="AP309" s="476"/>
      <c r="AQ309" s="476"/>
      <c r="AR309" s="476"/>
      <c r="AS309" s="476"/>
      <c r="AT309" s="476"/>
      <c r="AU309" s="476"/>
      <c r="AV309" s="476"/>
      <c r="AW309" s="476"/>
      <c r="AX309" s="476"/>
      <c r="AY309" s="476"/>
      <c r="AZ309" s="476"/>
      <c r="BA309" s="476"/>
      <c r="BB309" s="476"/>
      <c r="BC309" s="476"/>
      <c r="BD309" s="476"/>
      <c r="BE309" s="476"/>
      <c r="BF309" s="476"/>
      <c r="BG309" s="476"/>
      <c r="BH309" s="476"/>
      <c r="BI309" s="476"/>
      <c r="BJ309" s="476"/>
      <c r="BK309" s="476"/>
      <c r="BL309" s="480"/>
    </row>
    <row r="310" spans="1:64">
      <c r="A310" s="468">
        <v>44101</v>
      </c>
      <c r="B310" s="473">
        <v>271</v>
      </c>
      <c r="C310" s="473">
        <v>95</v>
      </c>
      <c r="D310" s="470" t="s">
        <v>631</v>
      </c>
      <c r="E310" s="469">
        <v>39</v>
      </c>
      <c r="F310" s="470" t="s">
        <v>106</v>
      </c>
      <c r="G310" s="469">
        <v>534</v>
      </c>
      <c r="H310" s="470" t="s">
        <v>6256</v>
      </c>
      <c r="I310" s="470" t="s">
        <v>6257</v>
      </c>
      <c r="J310" s="469">
        <v>26</v>
      </c>
      <c r="K310" s="470" t="s">
        <v>6271</v>
      </c>
      <c r="L310" s="470" t="s">
        <v>6282</v>
      </c>
      <c r="M310" s="470" t="s">
        <v>9</v>
      </c>
      <c r="N310" s="473">
        <v>1</v>
      </c>
      <c r="O310" s="471"/>
      <c r="P310" s="471"/>
      <c r="Q310" s="471"/>
      <c r="R310" s="470"/>
      <c r="S310" s="471">
        <v>0.17570601851851853</v>
      </c>
      <c r="T310" s="471">
        <v>0.24237268518518518</v>
      </c>
      <c r="U310" s="471"/>
      <c r="V310" s="471"/>
      <c r="W310" s="471">
        <v>0.49057870370370371</v>
      </c>
      <c r="X310" s="471">
        <v>0.73878472222222225</v>
      </c>
      <c r="Y310" s="471">
        <v>0.67499999999999993</v>
      </c>
      <c r="Z310" s="471">
        <v>0.84513888888888899</v>
      </c>
      <c r="AA310" s="471">
        <v>5.486111111111111E-2</v>
      </c>
      <c r="AB310" s="470" t="s">
        <v>6464</v>
      </c>
      <c r="AC310" s="473">
        <v>130</v>
      </c>
      <c r="AD310" s="470" t="s">
        <v>113</v>
      </c>
      <c r="AE310" s="470"/>
      <c r="AF310" s="473">
        <v>86</v>
      </c>
      <c r="AG310" s="469">
        <v>82.3</v>
      </c>
      <c r="AH310" s="470" t="s">
        <v>6306</v>
      </c>
      <c r="AI310" s="470" t="s">
        <v>6327</v>
      </c>
      <c r="AJ310" s="470" t="s">
        <v>838</v>
      </c>
      <c r="AK310" s="470" t="s">
        <v>13</v>
      </c>
      <c r="AL310" s="470" t="s">
        <v>6824</v>
      </c>
      <c r="AM310" s="470" t="s">
        <v>6342</v>
      </c>
      <c r="AN310" s="470" t="s">
        <v>6963</v>
      </c>
      <c r="AO310" s="470" t="s">
        <v>6351</v>
      </c>
      <c r="AP310" s="470"/>
      <c r="AQ310" s="470"/>
      <c r="AR310" s="470"/>
      <c r="AS310" s="470"/>
      <c r="AT310" s="470"/>
      <c r="AU310" s="470"/>
      <c r="AV310" s="470"/>
      <c r="AW310" s="470"/>
      <c r="AX310" s="470"/>
      <c r="AY310" s="470"/>
      <c r="AZ310" s="470"/>
      <c r="BA310" s="470"/>
      <c r="BB310" s="470"/>
      <c r="BC310" s="470"/>
      <c r="BD310" s="470"/>
      <c r="BE310" s="470"/>
      <c r="BF310" s="470"/>
      <c r="BG310" s="470"/>
      <c r="BH310" s="470"/>
      <c r="BI310" s="470"/>
      <c r="BJ310" s="470"/>
      <c r="BK310" s="470"/>
      <c r="BL310" s="474"/>
    </row>
    <row r="311" spans="1:64">
      <c r="A311" s="475">
        <v>44102</v>
      </c>
      <c r="B311" s="478">
        <v>272</v>
      </c>
      <c r="C311" s="478">
        <v>94</v>
      </c>
      <c r="D311" s="476" t="s">
        <v>631</v>
      </c>
      <c r="E311" s="477">
        <v>40</v>
      </c>
      <c r="F311" s="476" t="s">
        <v>88</v>
      </c>
      <c r="G311" s="477">
        <v>534</v>
      </c>
      <c r="H311" s="476" t="s">
        <v>6256</v>
      </c>
      <c r="I311" s="476" t="s">
        <v>6257</v>
      </c>
      <c r="J311" s="477">
        <v>27</v>
      </c>
      <c r="K311" s="476" t="s">
        <v>6266</v>
      </c>
      <c r="L311" s="476" t="s">
        <v>6283</v>
      </c>
      <c r="M311" s="476" t="s">
        <v>9</v>
      </c>
      <c r="N311" s="478">
        <v>1</v>
      </c>
      <c r="O311" s="479"/>
      <c r="P311" s="479"/>
      <c r="Q311" s="479"/>
      <c r="R311" s="476"/>
      <c r="S311" s="479">
        <v>0.17640046296296297</v>
      </c>
      <c r="T311" s="479">
        <v>0.24306712962962962</v>
      </c>
      <c r="U311" s="479">
        <v>0.24305555555555555</v>
      </c>
      <c r="V311" s="479">
        <v>0.40763888888888888</v>
      </c>
      <c r="W311" s="479">
        <v>0.49034722222222221</v>
      </c>
      <c r="X311" s="479">
        <v>0.73762731481481481</v>
      </c>
      <c r="Y311" s="479">
        <v>0.69652777777777775</v>
      </c>
      <c r="Z311" s="479">
        <v>0.91875000000000007</v>
      </c>
      <c r="AA311" s="479">
        <v>9.8611111111111108E-2</v>
      </c>
      <c r="AB311" s="476" t="s">
        <v>6464</v>
      </c>
      <c r="AC311" s="478">
        <v>130</v>
      </c>
      <c r="AD311" s="476" t="s">
        <v>113</v>
      </c>
      <c r="AE311" s="476"/>
      <c r="AF311" s="478">
        <v>81.5</v>
      </c>
      <c r="AG311" s="477">
        <v>75.599999999999994</v>
      </c>
      <c r="AH311" s="476" t="s">
        <v>6307</v>
      </c>
      <c r="AI311" s="476" t="s">
        <v>6328</v>
      </c>
      <c r="AJ311" s="476" t="s">
        <v>839</v>
      </c>
      <c r="AK311" s="476" t="s">
        <v>6493</v>
      </c>
      <c r="AL311" s="476" t="s">
        <v>6825</v>
      </c>
      <c r="AM311" s="476" t="s">
        <v>6343</v>
      </c>
      <c r="AN311" s="476"/>
      <c r="AO311" s="476"/>
      <c r="AP311" s="476"/>
      <c r="AQ311" s="476"/>
      <c r="AR311" s="476"/>
      <c r="AS311" s="476"/>
      <c r="AT311" s="476"/>
      <c r="AU311" s="476"/>
      <c r="AV311" s="476"/>
      <c r="AW311" s="476"/>
      <c r="AX311" s="476"/>
      <c r="AY311" s="476"/>
      <c r="AZ311" s="476"/>
      <c r="BA311" s="476"/>
      <c r="BB311" s="476"/>
      <c r="BC311" s="476"/>
      <c r="BD311" s="476"/>
      <c r="BE311" s="476"/>
      <c r="BF311" s="476"/>
      <c r="BG311" s="476"/>
      <c r="BH311" s="476"/>
      <c r="BI311" s="476"/>
      <c r="BJ311" s="476"/>
      <c r="BK311" s="476"/>
      <c r="BL311" s="480"/>
    </row>
    <row r="312" spans="1:64">
      <c r="A312" s="468">
        <v>44103</v>
      </c>
      <c r="B312" s="473">
        <v>273</v>
      </c>
      <c r="C312" s="473">
        <v>93</v>
      </c>
      <c r="D312" s="470" t="s">
        <v>631</v>
      </c>
      <c r="E312" s="469">
        <v>40</v>
      </c>
      <c r="F312" s="470" t="s">
        <v>91</v>
      </c>
      <c r="G312" s="469">
        <v>534</v>
      </c>
      <c r="H312" s="470" t="s">
        <v>6256</v>
      </c>
      <c r="I312" s="470" t="s">
        <v>6257</v>
      </c>
      <c r="J312" s="469">
        <v>28</v>
      </c>
      <c r="K312" s="470" t="s">
        <v>6267</v>
      </c>
      <c r="L312" s="470" t="s">
        <v>6284</v>
      </c>
      <c r="M312" s="470" t="s">
        <v>9</v>
      </c>
      <c r="N312" s="473">
        <v>1</v>
      </c>
      <c r="O312" s="471"/>
      <c r="P312" s="471"/>
      <c r="Q312" s="471"/>
      <c r="R312" s="470"/>
      <c r="S312" s="471">
        <v>0.17709490740740741</v>
      </c>
      <c r="T312" s="471">
        <v>0.24376157407407406</v>
      </c>
      <c r="U312" s="471"/>
      <c r="V312" s="471"/>
      <c r="W312" s="471">
        <v>0.49011574074074077</v>
      </c>
      <c r="X312" s="471">
        <v>0.73646990740740748</v>
      </c>
      <c r="Y312" s="471">
        <v>0.71527777777777779</v>
      </c>
      <c r="Z312" s="471">
        <v>0.94930555555555562</v>
      </c>
      <c r="AA312" s="471">
        <v>0.14166666666666666</v>
      </c>
      <c r="AB312" s="470" t="s">
        <v>6464</v>
      </c>
      <c r="AC312" s="473">
        <v>130</v>
      </c>
      <c r="AD312" s="470" t="s">
        <v>113</v>
      </c>
      <c r="AE312" s="470"/>
      <c r="AF312" s="473">
        <v>75.7</v>
      </c>
      <c r="AG312" s="469">
        <v>67.8</v>
      </c>
      <c r="AH312" s="470" t="s">
        <v>6308</v>
      </c>
      <c r="AI312" s="470" t="s">
        <v>6329</v>
      </c>
      <c r="AJ312" s="470" t="s">
        <v>6493</v>
      </c>
      <c r="AK312" s="470" t="s">
        <v>6493</v>
      </c>
      <c r="AL312" s="470"/>
      <c r="AM312" s="470"/>
      <c r="AN312" s="470"/>
      <c r="AO312" s="470"/>
      <c r="AP312" s="470"/>
      <c r="AQ312" s="470"/>
      <c r="AR312" s="470"/>
      <c r="AS312" s="470"/>
      <c r="AT312" s="470"/>
      <c r="AU312" s="470"/>
      <c r="AV312" s="470"/>
      <c r="AW312" s="470"/>
      <c r="AX312" s="470"/>
      <c r="AY312" s="470"/>
      <c r="AZ312" s="470"/>
      <c r="BA312" s="470"/>
      <c r="BB312" s="470"/>
      <c r="BC312" s="470"/>
      <c r="BD312" s="470"/>
      <c r="BE312" s="470"/>
      <c r="BF312" s="470"/>
      <c r="BG312" s="470"/>
      <c r="BH312" s="470"/>
      <c r="BI312" s="470"/>
      <c r="BJ312" s="470"/>
      <c r="BK312" s="470"/>
      <c r="BL312" s="474"/>
    </row>
    <row r="313" spans="1:64">
      <c r="A313" s="475">
        <v>44104</v>
      </c>
      <c r="B313" s="478">
        <v>274</v>
      </c>
      <c r="C313" s="478">
        <v>92</v>
      </c>
      <c r="D313" s="476" t="s">
        <v>631</v>
      </c>
      <c r="E313" s="477">
        <v>40</v>
      </c>
      <c r="F313" s="476" t="s">
        <v>94</v>
      </c>
      <c r="G313" s="477">
        <v>534</v>
      </c>
      <c r="H313" s="476" t="s">
        <v>6256</v>
      </c>
      <c r="I313" s="476" t="s">
        <v>6257</v>
      </c>
      <c r="J313" s="477">
        <v>29</v>
      </c>
      <c r="K313" s="476" t="s">
        <v>6268</v>
      </c>
      <c r="L313" s="476" t="s">
        <v>6285</v>
      </c>
      <c r="M313" s="476" t="s">
        <v>9</v>
      </c>
      <c r="N313" s="478">
        <v>1</v>
      </c>
      <c r="O313" s="479"/>
      <c r="P313" s="479"/>
      <c r="Q313" s="479"/>
      <c r="R313" s="476"/>
      <c r="S313" s="479">
        <v>0.17780092592592592</v>
      </c>
      <c r="T313" s="479">
        <v>0.24446759259259257</v>
      </c>
      <c r="U313" s="479"/>
      <c r="V313" s="479"/>
      <c r="W313" s="479">
        <v>0.48989583333333336</v>
      </c>
      <c r="X313" s="479">
        <v>0.73531250000000004</v>
      </c>
      <c r="Y313" s="479">
        <v>0.7319444444444444</v>
      </c>
      <c r="Z313" s="479">
        <v>0.97777777777777775</v>
      </c>
      <c r="AA313" s="479">
        <v>0.18333333333333335</v>
      </c>
      <c r="AB313" s="476" t="s">
        <v>6464</v>
      </c>
      <c r="AC313" s="478">
        <v>130</v>
      </c>
      <c r="AD313" s="476" t="s">
        <v>113</v>
      </c>
      <c r="AE313" s="476"/>
      <c r="AF313" s="478">
        <v>68.8</v>
      </c>
      <c r="AG313" s="477">
        <v>58.9</v>
      </c>
      <c r="AH313" s="476" t="s">
        <v>6309</v>
      </c>
      <c r="AI313" s="476" t="s">
        <v>6330</v>
      </c>
      <c r="AJ313" s="476" t="s">
        <v>6493</v>
      </c>
      <c r="AK313" s="476" t="s">
        <v>6493</v>
      </c>
      <c r="AL313" s="476"/>
      <c r="AM313" s="476"/>
      <c r="AN313" s="476"/>
      <c r="AO313" s="476"/>
      <c r="AP313" s="476"/>
      <c r="AQ313" s="476"/>
      <c r="AR313" s="476"/>
      <c r="AS313" s="476"/>
      <c r="AT313" s="476"/>
      <c r="AU313" s="476"/>
      <c r="AV313" s="476"/>
      <c r="AW313" s="476"/>
      <c r="AX313" s="476"/>
      <c r="AY313" s="476"/>
      <c r="AZ313" s="476"/>
      <c r="BA313" s="476"/>
      <c r="BB313" s="476"/>
      <c r="BC313" s="476"/>
      <c r="BD313" s="476"/>
      <c r="BE313" s="476"/>
      <c r="BF313" s="476"/>
      <c r="BG313" s="476"/>
      <c r="BH313" s="476"/>
      <c r="BI313" s="476"/>
      <c r="BJ313" s="476"/>
      <c r="BK313" s="476"/>
      <c r="BL313" s="480"/>
    </row>
    <row r="314" spans="1:64">
      <c r="A314" s="468">
        <v>44105</v>
      </c>
      <c r="B314" s="473">
        <v>275</v>
      </c>
      <c r="C314" s="473">
        <v>91</v>
      </c>
      <c r="D314" s="470" t="s">
        <v>634</v>
      </c>
      <c r="E314" s="469">
        <v>40</v>
      </c>
      <c r="F314" s="470" t="s">
        <v>6714</v>
      </c>
      <c r="G314" s="469">
        <v>534</v>
      </c>
      <c r="H314" s="470" t="s">
        <v>6256</v>
      </c>
      <c r="I314" s="470" t="s">
        <v>6257</v>
      </c>
      <c r="J314" s="469">
        <v>30</v>
      </c>
      <c r="K314" s="470" t="s">
        <v>6272</v>
      </c>
      <c r="L314" s="470" t="s">
        <v>6288</v>
      </c>
      <c r="M314" s="470" t="s">
        <v>9</v>
      </c>
      <c r="N314" s="473">
        <v>1</v>
      </c>
      <c r="O314" s="471"/>
      <c r="P314" s="471"/>
      <c r="Q314" s="471"/>
      <c r="R314" s="470"/>
      <c r="S314" s="471">
        <v>0.17850694444444445</v>
      </c>
      <c r="T314" s="471">
        <v>0.24517361111111111</v>
      </c>
      <c r="U314" s="471"/>
      <c r="V314" s="471"/>
      <c r="W314" s="471">
        <v>0.48967592592592596</v>
      </c>
      <c r="X314" s="471">
        <v>0.73416666666666675</v>
      </c>
      <c r="Y314" s="471">
        <v>0.74791666666666667</v>
      </c>
      <c r="Z314" s="471" t="s">
        <v>1107</v>
      </c>
      <c r="AA314" s="471">
        <v>0.22500000000000001</v>
      </c>
      <c r="AB314" s="470" t="s">
        <v>6462</v>
      </c>
      <c r="AC314" s="473">
        <v>129</v>
      </c>
      <c r="AD314" s="470" t="s">
        <v>116</v>
      </c>
      <c r="AE314" s="470" t="s">
        <v>6542</v>
      </c>
      <c r="AF314" s="473">
        <v>61</v>
      </c>
      <c r="AG314" s="469">
        <v>49.2</v>
      </c>
      <c r="AH314" s="470" t="s">
        <v>6310</v>
      </c>
      <c r="AI314" s="470" t="s">
        <v>6331</v>
      </c>
      <c r="AJ314" s="470" t="s">
        <v>6493</v>
      </c>
      <c r="AK314" s="470" t="s">
        <v>6493</v>
      </c>
      <c r="AL314" s="470" t="s">
        <v>776</v>
      </c>
      <c r="AM314" s="470"/>
      <c r="AN314" s="470"/>
      <c r="AO314" s="470"/>
      <c r="AP314" s="470"/>
      <c r="AQ314" s="470"/>
      <c r="AR314" s="470"/>
      <c r="AS314" s="470"/>
      <c r="AT314" s="470"/>
      <c r="AU314" s="470"/>
      <c r="AV314" s="470"/>
      <c r="AW314" s="470"/>
      <c r="AX314" s="470"/>
      <c r="AY314" s="470"/>
      <c r="AZ314" s="470"/>
      <c r="BA314" s="470"/>
      <c r="BB314" s="470"/>
      <c r="BC314" s="470"/>
      <c r="BD314" s="470"/>
      <c r="BE314" s="470"/>
      <c r="BF314" s="470"/>
      <c r="BG314" s="470"/>
      <c r="BH314" s="470"/>
      <c r="BI314" s="470"/>
      <c r="BJ314" s="470"/>
      <c r="BK314" s="470"/>
      <c r="BL314" s="474"/>
    </row>
    <row r="315" spans="1:64">
      <c r="A315" s="475">
        <v>44106</v>
      </c>
      <c r="B315" s="478">
        <v>276</v>
      </c>
      <c r="C315" s="478">
        <v>90</v>
      </c>
      <c r="D315" s="476" t="s">
        <v>634</v>
      </c>
      <c r="E315" s="477">
        <v>40</v>
      </c>
      <c r="F315" s="476" t="s">
        <v>100</v>
      </c>
      <c r="G315" s="477">
        <v>534</v>
      </c>
      <c r="H315" s="476" t="s">
        <v>6256</v>
      </c>
      <c r="I315" s="476" t="s">
        <v>836</v>
      </c>
      <c r="J315" s="477">
        <v>1</v>
      </c>
      <c r="K315" s="476" t="s">
        <v>6270</v>
      </c>
      <c r="L315" s="476" t="s">
        <v>6287</v>
      </c>
      <c r="M315" s="476" t="s">
        <v>9</v>
      </c>
      <c r="N315" s="478">
        <v>1</v>
      </c>
      <c r="O315" s="479"/>
      <c r="P315" s="479"/>
      <c r="Q315" s="479"/>
      <c r="R315" s="476"/>
      <c r="S315" s="479">
        <v>0.17921296296296296</v>
      </c>
      <c r="T315" s="479">
        <v>0.24587962962962964</v>
      </c>
      <c r="U315" s="479"/>
      <c r="V315" s="479"/>
      <c r="W315" s="479">
        <v>0.48945601851851855</v>
      </c>
      <c r="X315" s="479">
        <v>0.73302083333333334</v>
      </c>
      <c r="Y315" s="479">
        <v>0.76388888888888884</v>
      </c>
      <c r="Z315" s="479">
        <v>6.2499999999999995E-3</v>
      </c>
      <c r="AA315" s="479">
        <v>0.26597222222222222</v>
      </c>
      <c r="AB315" s="476" t="s">
        <v>6462</v>
      </c>
      <c r="AC315" s="478">
        <v>129</v>
      </c>
      <c r="AD315" s="476" t="s">
        <v>116</v>
      </c>
      <c r="AE315" s="476"/>
      <c r="AF315" s="478">
        <v>52.4</v>
      </c>
      <c r="AG315" s="477">
        <v>38.9</v>
      </c>
      <c r="AH315" s="476" t="s">
        <v>6311</v>
      </c>
      <c r="AI315" s="476" t="s">
        <v>6332</v>
      </c>
      <c r="AJ315" s="476" t="s">
        <v>6493</v>
      </c>
      <c r="AK315" s="476" t="s">
        <v>6493</v>
      </c>
      <c r="AL315" s="476"/>
      <c r="AM315" s="476"/>
      <c r="AN315" s="476"/>
      <c r="AO315" s="476"/>
      <c r="AP315" s="476"/>
      <c r="AQ315" s="476"/>
      <c r="AR315" s="476"/>
      <c r="AS315" s="476"/>
      <c r="AT315" s="476"/>
      <c r="AU315" s="476"/>
      <c r="AV315" s="476"/>
      <c r="AW315" s="476"/>
      <c r="AX315" s="476"/>
      <c r="AY315" s="476"/>
      <c r="AZ315" s="476"/>
      <c r="BA315" s="476"/>
      <c r="BB315" s="476"/>
      <c r="BC315" s="476"/>
      <c r="BD315" s="476"/>
      <c r="BE315" s="476"/>
      <c r="BF315" s="476"/>
      <c r="BG315" s="476"/>
      <c r="BH315" s="476"/>
      <c r="BI315" s="476"/>
      <c r="BJ315" s="476"/>
      <c r="BK315" s="476"/>
      <c r="BL315" s="480"/>
    </row>
    <row r="316" spans="1:64">
      <c r="A316" s="468">
        <v>44107</v>
      </c>
      <c r="B316" s="473">
        <v>277</v>
      </c>
      <c r="C316" s="473">
        <v>89</v>
      </c>
      <c r="D316" s="470" t="s">
        <v>634</v>
      </c>
      <c r="E316" s="469">
        <v>40</v>
      </c>
      <c r="F316" s="470" t="s">
        <v>103</v>
      </c>
      <c r="G316" s="469">
        <v>534</v>
      </c>
      <c r="H316" s="470" t="s">
        <v>6256</v>
      </c>
      <c r="I316" s="470" t="s">
        <v>836</v>
      </c>
      <c r="J316" s="469">
        <v>2</v>
      </c>
      <c r="K316" s="470" t="s">
        <v>1034</v>
      </c>
      <c r="L316" s="470" t="s">
        <v>6273</v>
      </c>
      <c r="M316" s="470" t="s">
        <v>9</v>
      </c>
      <c r="N316" s="473">
        <v>1</v>
      </c>
      <c r="O316" s="471"/>
      <c r="P316" s="471"/>
      <c r="Q316" s="471"/>
      <c r="R316" s="470"/>
      <c r="S316" s="471">
        <v>0.17993055555555557</v>
      </c>
      <c r="T316" s="471">
        <v>0.24659722222222222</v>
      </c>
      <c r="U316" s="471"/>
      <c r="V316" s="471"/>
      <c r="W316" s="471">
        <v>0.48923611111111115</v>
      </c>
      <c r="X316" s="471">
        <v>0.73188657407407398</v>
      </c>
      <c r="Y316" s="471">
        <v>0.78055555555555556</v>
      </c>
      <c r="Z316" s="471">
        <v>3.3333333333333333E-2</v>
      </c>
      <c r="AA316" s="471">
        <v>0.30694444444444441</v>
      </c>
      <c r="AB316" s="470" t="s">
        <v>6462</v>
      </c>
      <c r="AC316" s="473">
        <v>129</v>
      </c>
      <c r="AD316" s="470" t="s">
        <v>116</v>
      </c>
      <c r="AE316" s="470"/>
      <c r="AF316" s="473">
        <v>43.2</v>
      </c>
      <c r="AG316" s="469">
        <v>28</v>
      </c>
      <c r="AH316" s="470" t="s">
        <v>6312</v>
      </c>
      <c r="AI316" s="470" t="s">
        <v>6333</v>
      </c>
      <c r="AJ316" s="470" t="s">
        <v>6493</v>
      </c>
      <c r="AK316" s="470" t="s">
        <v>6493</v>
      </c>
      <c r="AL316" s="470"/>
      <c r="AM316" s="470"/>
      <c r="AN316" s="470"/>
      <c r="AO316" s="470"/>
      <c r="AP316" s="470"/>
      <c r="AQ316" s="470"/>
      <c r="AR316" s="470"/>
      <c r="AS316" s="470"/>
      <c r="AT316" s="470"/>
      <c r="AU316" s="470"/>
      <c r="AV316" s="470"/>
      <c r="AW316" s="470"/>
      <c r="AX316" s="470"/>
      <c r="AY316" s="470"/>
      <c r="AZ316" s="470"/>
      <c r="BA316" s="470"/>
      <c r="BB316" s="470"/>
      <c r="BC316" s="470"/>
      <c r="BD316" s="470"/>
      <c r="BE316" s="470"/>
      <c r="BF316" s="470"/>
      <c r="BG316" s="470"/>
      <c r="BH316" s="470"/>
      <c r="BI316" s="470"/>
      <c r="BJ316" s="470"/>
      <c r="BK316" s="470"/>
      <c r="BL316" s="474"/>
    </row>
    <row r="317" spans="1:64">
      <c r="A317" s="475">
        <v>44108</v>
      </c>
      <c r="B317" s="478">
        <v>278</v>
      </c>
      <c r="C317" s="478">
        <v>88</v>
      </c>
      <c r="D317" s="476" t="s">
        <v>634</v>
      </c>
      <c r="E317" s="477">
        <v>40</v>
      </c>
      <c r="F317" s="476" t="s">
        <v>106</v>
      </c>
      <c r="G317" s="477">
        <v>534</v>
      </c>
      <c r="H317" s="476" t="s">
        <v>6256</v>
      </c>
      <c r="I317" s="476" t="s">
        <v>836</v>
      </c>
      <c r="J317" s="477">
        <v>3</v>
      </c>
      <c r="K317" s="476" t="s">
        <v>6258</v>
      </c>
      <c r="L317" s="476" t="s">
        <v>6274</v>
      </c>
      <c r="M317" s="476" t="s">
        <v>9</v>
      </c>
      <c r="N317" s="478">
        <v>1</v>
      </c>
      <c r="O317" s="479"/>
      <c r="P317" s="479"/>
      <c r="Q317" s="479"/>
      <c r="R317" s="476"/>
      <c r="S317" s="479">
        <v>0.18063657407407407</v>
      </c>
      <c r="T317" s="479">
        <v>0.24730324074074073</v>
      </c>
      <c r="U317" s="479"/>
      <c r="V317" s="479"/>
      <c r="W317" s="479">
        <v>0.48902777777777778</v>
      </c>
      <c r="X317" s="479">
        <v>0.73074074074074069</v>
      </c>
      <c r="Y317" s="479">
        <v>0.79791666666666661</v>
      </c>
      <c r="Z317" s="479">
        <v>6.1805555555555558E-2</v>
      </c>
      <c r="AA317" s="479">
        <v>0.34791666666666665</v>
      </c>
      <c r="AB317" s="476" t="s">
        <v>6462</v>
      </c>
      <c r="AC317" s="478">
        <v>129</v>
      </c>
      <c r="AD317" s="476" t="s">
        <v>116</v>
      </c>
      <c r="AE317" s="476"/>
      <c r="AF317" s="478">
        <v>33.6</v>
      </c>
      <c r="AG317" s="477">
        <v>16.8</v>
      </c>
      <c r="AH317" s="476" t="s">
        <v>6313</v>
      </c>
      <c r="AI317" s="476" t="s">
        <v>6334</v>
      </c>
      <c r="AJ317" s="476" t="s">
        <v>6493</v>
      </c>
      <c r="AK317" s="476" t="s">
        <v>6493</v>
      </c>
      <c r="AL317" s="476"/>
      <c r="AM317" s="476"/>
      <c r="AN317" s="476"/>
      <c r="AO317" s="476"/>
      <c r="AP317" s="476"/>
      <c r="AQ317" s="476"/>
      <c r="AR317" s="476"/>
      <c r="AS317" s="476"/>
      <c r="AT317" s="476"/>
      <c r="AU317" s="476"/>
      <c r="AV317" s="476"/>
      <c r="AW317" s="476"/>
      <c r="AX317" s="476"/>
      <c r="AY317" s="476"/>
      <c r="AZ317" s="476"/>
      <c r="BA317" s="476"/>
      <c r="BB317" s="476"/>
      <c r="BC317" s="476"/>
      <c r="BD317" s="476"/>
      <c r="BE317" s="476"/>
      <c r="BF317" s="476"/>
      <c r="BG317" s="476"/>
      <c r="BH317" s="476"/>
      <c r="BI317" s="476"/>
      <c r="BJ317" s="476"/>
      <c r="BK317" s="476"/>
      <c r="BL317" s="480"/>
    </row>
    <row r="318" spans="1:64">
      <c r="A318" s="468">
        <v>44109</v>
      </c>
      <c r="B318" s="473">
        <v>279</v>
      </c>
      <c r="C318" s="473">
        <v>87</v>
      </c>
      <c r="D318" s="470" t="s">
        <v>634</v>
      </c>
      <c r="E318" s="469">
        <v>41</v>
      </c>
      <c r="F318" s="470" t="s">
        <v>88</v>
      </c>
      <c r="G318" s="469">
        <v>534</v>
      </c>
      <c r="H318" s="470" t="s">
        <v>6256</v>
      </c>
      <c r="I318" s="470" t="s">
        <v>836</v>
      </c>
      <c r="J318" s="469">
        <v>4</v>
      </c>
      <c r="K318" s="470" t="s">
        <v>6259</v>
      </c>
      <c r="L318" s="470" t="s">
        <v>6275</v>
      </c>
      <c r="M318" s="470" t="s">
        <v>9</v>
      </c>
      <c r="N318" s="473">
        <v>1</v>
      </c>
      <c r="O318" s="471"/>
      <c r="P318" s="471"/>
      <c r="Q318" s="471"/>
      <c r="R318" s="470"/>
      <c r="S318" s="471">
        <v>0.18135416666666668</v>
      </c>
      <c r="T318" s="471">
        <v>0.24802083333333333</v>
      </c>
      <c r="U318" s="471"/>
      <c r="V318" s="471"/>
      <c r="W318" s="471">
        <v>0.48881944444444447</v>
      </c>
      <c r="X318" s="471">
        <v>0.72961805555555559</v>
      </c>
      <c r="Y318" s="471">
        <v>0.81736111111111109</v>
      </c>
      <c r="Z318" s="471">
        <v>9.1666666666666674E-2</v>
      </c>
      <c r="AA318" s="471">
        <v>0.3888888888888889</v>
      </c>
      <c r="AB318" s="470" t="s">
        <v>6462</v>
      </c>
      <c r="AC318" s="473">
        <v>129</v>
      </c>
      <c r="AD318" s="470" t="s">
        <v>116</v>
      </c>
      <c r="AE318" s="470"/>
      <c r="AF318" s="473">
        <v>24</v>
      </c>
      <c r="AG318" s="469">
        <v>5.5</v>
      </c>
      <c r="AH318" s="470" t="s">
        <v>6314</v>
      </c>
      <c r="AI318" s="470" t="s">
        <v>6335</v>
      </c>
      <c r="AJ318" s="470" t="s">
        <v>6493</v>
      </c>
      <c r="AK318" s="470" t="s">
        <v>6493</v>
      </c>
      <c r="AL318" s="470"/>
      <c r="AM318" s="470"/>
      <c r="AN318" s="470"/>
      <c r="AO318" s="470"/>
      <c r="AP318" s="470"/>
      <c r="AQ318" s="470"/>
      <c r="AR318" s="470"/>
      <c r="AS318" s="470"/>
      <c r="AT318" s="470"/>
      <c r="AU318" s="470"/>
      <c r="AV318" s="470"/>
      <c r="AW318" s="470"/>
      <c r="AX318" s="470"/>
      <c r="AY318" s="470"/>
      <c r="AZ318" s="470"/>
      <c r="BA318" s="470"/>
      <c r="BB318" s="470"/>
      <c r="BC318" s="470"/>
      <c r="BD318" s="470"/>
      <c r="BE318" s="470"/>
      <c r="BF318" s="470"/>
      <c r="BG318" s="470"/>
      <c r="BH318" s="470"/>
      <c r="BI318" s="470"/>
      <c r="BJ318" s="470"/>
      <c r="BK318" s="470"/>
      <c r="BL318" s="474"/>
    </row>
    <row r="319" spans="1:64">
      <c r="A319" s="475">
        <v>44110</v>
      </c>
      <c r="B319" s="478">
        <v>280</v>
      </c>
      <c r="C319" s="478">
        <v>86</v>
      </c>
      <c r="D319" s="476" t="s">
        <v>634</v>
      </c>
      <c r="E319" s="477">
        <v>41</v>
      </c>
      <c r="F319" s="476" t="s">
        <v>91</v>
      </c>
      <c r="G319" s="477">
        <v>534</v>
      </c>
      <c r="H319" s="476" t="s">
        <v>6256</v>
      </c>
      <c r="I319" s="476" t="s">
        <v>836</v>
      </c>
      <c r="J319" s="477">
        <v>5</v>
      </c>
      <c r="K319" s="476" t="s">
        <v>6260</v>
      </c>
      <c r="L319" s="476" t="s">
        <v>6276</v>
      </c>
      <c r="M319" s="476" t="s">
        <v>9</v>
      </c>
      <c r="N319" s="478">
        <v>1</v>
      </c>
      <c r="O319" s="479"/>
      <c r="P319" s="479"/>
      <c r="Q319" s="479"/>
      <c r="R319" s="476"/>
      <c r="S319" s="479">
        <v>0.18208333333333335</v>
      </c>
      <c r="T319" s="479">
        <v>0.24875</v>
      </c>
      <c r="U319" s="479"/>
      <c r="V319" s="479"/>
      <c r="W319" s="479">
        <v>0.4886226851851852</v>
      </c>
      <c r="X319" s="479">
        <v>0.72849537037037038</v>
      </c>
      <c r="Y319" s="479">
        <v>0.84027777777777779</v>
      </c>
      <c r="Z319" s="479">
        <v>0.12222222222222223</v>
      </c>
      <c r="AA319" s="479">
        <v>0.43124999999999997</v>
      </c>
      <c r="AB319" s="476" t="s">
        <v>6462</v>
      </c>
      <c r="AC319" s="478">
        <v>129</v>
      </c>
      <c r="AD319" s="476" t="s">
        <v>116</v>
      </c>
      <c r="AE319" s="476"/>
      <c r="AF319" s="478">
        <v>14.7</v>
      </c>
      <c r="AG319" s="477">
        <v>94.6</v>
      </c>
      <c r="AH319" s="476" t="s">
        <v>6314</v>
      </c>
      <c r="AI319" s="476" t="s">
        <v>6336</v>
      </c>
      <c r="AJ319" s="476" t="s">
        <v>6493</v>
      </c>
      <c r="AK319" s="476" t="s">
        <v>6493</v>
      </c>
      <c r="AL319" s="476"/>
      <c r="AM319" s="476"/>
      <c r="AN319" s="476"/>
      <c r="AO319" s="476"/>
      <c r="AP319" s="476"/>
      <c r="AQ319" s="476"/>
      <c r="AR319" s="476"/>
      <c r="AS319" s="476"/>
      <c r="AT319" s="476"/>
      <c r="AU319" s="476"/>
      <c r="AV319" s="476"/>
      <c r="AW319" s="476"/>
      <c r="AX319" s="476"/>
      <c r="AY319" s="476"/>
      <c r="AZ319" s="476"/>
      <c r="BA319" s="476"/>
      <c r="BB319" s="476"/>
      <c r="BC319" s="476"/>
      <c r="BD319" s="476"/>
      <c r="BE319" s="476"/>
      <c r="BF319" s="476"/>
      <c r="BG319" s="476"/>
      <c r="BH319" s="476"/>
      <c r="BI319" s="476"/>
      <c r="BJ319" s="476"/>
      <c r="BK319" s="476"/>
      <c r="BL319" s="480"/>
    </row>
    <row r="320" spans="1:64">
      <c r="A320" s="468">
        <v>44111</v>
      </c>
      <c r="B320" s="473">
        <v>281</v>
      </c>
      <c r="C320" s="473">
        <v>85</v>
      </c>
      <c r="D320" s="470" t="s">
        <v>634</v>
      </c>
      <c r="E320" s="469">
        <v>41</v>
      </c>
      <c r="F320" s="470" t="s">
        <v>94</v>
      </c>
      <c r="G320" s="469">
        <v>534</v>
      </c>
      <c r="H320" s="470" t="s">
        <v>6256</v>
      </c>
      <c r="I320" s="470" t="s">
        <v>836</v>
      </c>
      <c r="J320" s="469">
        <v>6</v>
      </c>
      <c r="K320" s="470" t="s">
        <v>6261</v>
      </c>
      <c r="L320" s="470" t="s">
        <v>6277</v>
      </c>
      <c r="M320" s="470" t="s">
        <v>9</v>
      </c>
      <c r="N320" s="473">
        <v>1</v>
      </c>
      <c r="O320" s="471"/>
      <c r="P320" s="471"/>
      <c r="Q320" s="471"/>
      <c r="R320" s="470"/>
      <c r="S320" s="471">
        <v>0.18280092592592592</v>
      </c>
      <c r="T320" s="471">
        <v>0.24946759259259257</v>
      </c>
      <c r="U320" s="471"/>
      <c r="V320" s="471"/>
      <c r="W320" s="471">
        <v>0.48842592592592587</v>
      </c>
      <c r="X320" s="471">
        <v>0.72737268518518527</v>
      </c>
      <c r="Y320" s="471">
        <v>0.86736111111111114</v>
      </c>
      <c r="Z320" s="471">
        <v>0.15416666666666667</v>
      </c>
      <c r="AA320" s="471">
        <v>0.47291666666666665</v>
      </c>
      <c r="AB320" s="470" t="s">
        <v>6462</v>
      </c>
      <c r="AC320" s="473">
        <v>129</v>
      </c>
      <c r="AD320" s="470" t="s">
        <v>116</v>
      </c>
      <c r="AE320" s="470"/>
      <c r="AF320" s="473">
        <v>6.3</v>
      </c>
      <c r="AG320" s="469">
        <v>84.4</v>
      </c>
      <c r="AH320" s="470" t="s">
        <v>973</v>
      </c>
      <c r="AI320" s="470" t="s">
        <v>6337</v>
      </c>
      <c r="AJ320" s="470" t="s">
        <v>6493</v>
      </c>
      <c r="AK320" s="470" t="s">
        <v>6493</v>
      </c>
      <c r="AL320" s="470"/>
      <c r="AM320" s="470"/>
      <c r="AN320" s="470"/>
      <c r="AO320" s="470"/>
      <c r="AP320" s="470"/>
      <c r="AQ320" s="470"/>
      <c r="AR320" s="470"/>
      <c r="AS320" s="470"/>
      <c r="AT320" s="470"/>
      <c r="AU320" s="470"/>
      <c r="AV320" s="470"/>
      <c r="AW320" s="470"/>
      <c r="AX320" s="470"/>
      <c r="AY320" s="470"/>
      <c r="AZ320" s="470"/>
      <c r="BA320" s="470"/>
      <c r="BB320" s="470"/>
      <c r="BC320" s="470"/>
      <c r="BD320" s="470"/>
      <c r="BE320" s="470"/>
      <c r="BF320" s="470"/>
      <c r="BG320" s="470"/>
      <c r="BH320" s="470"/>
      <c r="BI320" s="470"/>
      <c r="BJ320" s="470"/>
      <c r="BK320" s="470"/>
      <c r="BL320" s="474"/>
    </row>
    <row r="321" spans="1:64">
      <c r="A321" s="475">
        <v>44112</v>
      </c>
      <c r="B321" s="478">
        <v>282</v>
      </c>
      <c r="C321" s="478">
        <v>84</v>
      </c>
      <c r="D321" s="476" t="s">
        <v>634</v>
      </c>
      <c r="E321" s="477">
        <v>41</v>
      </c>
      <c r="F321" s="476" t="s">
        <v>6714</v>
      </c>
      <c r="G321" s="477">
        <v>534</v>
      </c>
      <c r="H321" s="476" t="s">
        <v>6256</v>
      </c>
      <c r="I321" s="476" t="s">
        <v>836</v>
      </c>
      <c r="J321" s="477">
        <v>6</v>
      </c>
      <c r="K321" s="476" t="s">
        <v>6261</v>
      </c>
      <c r="L321" s="476" t="s">
        <v>6277</v>
      </c>
      <c r="M321" s="476" t="s">
        <v>10</v>
      </c>
      <c r="N321" s="478">
        <v>1</v>
      </c>
      <c r="O321" s="479"/>
      <c r="P321" s="479"/>
      <c r="Q321" s="479"/>
      <c r="R321" s="476"/>
      <c r="S321" s="479">
        <v>0.18353009259259259</v>
      </c>
      <c r="T321" s="479">
        <v>0.25019675925925927</v>
      </c>
      <c r="U321" s="479"/>
      <c r="V321" s="479"/>
      <c r="W321" s="479">
        <v>0.48822916666666666</v>
      </c>
      <c r="X321" s="479">
        <v>0.7262615740740741</v>
      </c>
      <c r="Y321" s="479">
        <v>0.89930555555555547</v>
      </c>
      <c r="Z321" s="479">
        <v>0.18888888888888888</v>
      </c>
      <c r="AA321" s="479">
        <v>0.5131944444444444</v>
      </c>
      <c r="AB321" s="476" t="s">
        <v>6462</v>
      </c>
      <c r="AC321" s="478">
        <v>129</v>
      </c>
      <c r="AD321" s="476" t="s">
        <v>116</v>
      </c>
      <c r="AE321" s="476"/>
      <c r="AF321" s="478">
        <v>99.4</v>
      </c>
      <c r="AG321" s="477">
        <v>75.599999999999994</v>
      </c>
      <c r="AH321" s="476" t="s">
        <v>6290</v>
      </c>
      <c r="AI321" s="476" t="s">
        <v>6338</v>
      </c>
      <c r="AJ321" s="476" t="s">
        <v>6493</v>
      </c>
      <c r="AK321" s="476" t="s">
        <v>6493</v>
      </c>
      <c r="AL321" s="476" t="s">
        <v>6727</v>
      </c>
      <c r="AM321" s="476"/>
      <c r="AN321" s="476"/>
      <c r="AO321" s="476"/>
      <c r="AP321" s="476"/>
      <c r="AQ321" s="476"/>
      <c r="AR321" s="476"/>
      <c r="AS321" s="476"/>
      <c r="AT321" s="476"/>
      <c r="AU321" s="476"/>
      <c r="AV321" s="476"/>
      <c r="AW321" s="476"/>
      <c r="AX321" s="476"/>
      <c r="AY321" s="476"/>
      <c r="AZ321" s="476"/>
      <c r="BA321" s="476"/>
      <c r="BB321" s="476"/>
      <c r="BC321" s="476"/>
      <c r="BD321" s="476"/>
      <c r="BE321" s="476"/>
      <c r="BF321" s="476"/>
      <c r="BG321" s="476"/>
      <c r="BH321" s="476"/>
      <c r="BI321" s="476"/>
      <c r="BJ321" s="476"/>
      <c r="BK321" s="476"/>
      <c r="BL321" s="480"/>
    </row>
    <row r="322" spans="1:64">
      <c r="A322" s="468">
        <v>44113</v>
      </c>
      <c r="B322" s="473">
        <v>283</v>
      </c>
      <c r="C322" s="473">
        <v>83</v>
      </c>
      <c r="D322" s="470" t="s">
        <v>634</v>
      </c>
      <c r="E322" s="469">
        <v>41</v>
      </c>
      <c r="F322" s="470" t="s">
        <v>100</v>
      </c>
      <c r="G322" s="469">
        <v>534</v>
      </c>
      <c r="H322" s="470" t="s">
        <v>6256</v>
      </c>
      <c r="I322" s="470" t="s">
        <v>836</v>
      </c>
      <c r="J322" s="469">
        <v>7</v>
      </c>
      <c r="K322" s="470" t="s">
        <v>6262</v>
      </c>
      <c r="L322" s="470" t="s">
        <v>6278</v>
      </c>
      <c r="M322" s="470" t="s">
        <v>9</v>
      </c>
      <c r="N322" s="473">
        <v>1</v>
      </c>
      <c r="O322" s="471"/>
      <c r="P322" s="471"/>
      <c r="Q322" s="471"/>
      <c r="R322" s="470"/>
      <c r="S322" s="471">
        <v>0.18425925925925926</v>
      </c>
      <c r="T322" s="471">
        <v>0.25092592592592594</v>
      </c>
      <c r="U322" s="471"/>
      <c r="V322" s="471"/>
      <c r="W322" s="471">
        <v>0.48804398148148148</v>
      </c>
      <c r="X322" s="471">
        <v>0.72516203703703708</v>
      </c>
      <c r="Y322" s="471">
        <v>0.9375</v>
      </c>
      <c r="Z322" s="471">
        <v>0.22500000000000001</v>
      </c>
      <c r="AA322" s="471">
        <v>0.55069444444444449</v>
      </c>
      <c r="AB322" s="470" t="s">
        <v>6289</v>
      </c>
      <c r="AC322" s="473">
        <v>131</v>
      </c>
      <c r="AD322" s="470" t="s">
        <v>119</v>
      </c>
      <c r="AE322" s="470" t="s">
        <v>6543</v>
      </c>
      <c r="AF322" s="473">
        <v>94.6</v>
      </c>
      <c r="AG322" s="469">
        <v>68.7</v>
      </c>
      <c r="AH322" s="470" t="s">
        <v>6315</v>
      </c>
      <c r="AI322" s="470" t="s">
        <v>6339</v>
      </c>
      <c r="AJ322" s="470" t="s">
        <v>6493</v>
      </c>
      <c r="AK322" s="470" t="s">
        <v>6493</v>
      </c>
      <c r="AL322" s="470"/>
      <c r="AM322" s="470"/>
      <c r="AN322" s="470"/>
      <c r="AO322" s="470"/>
      <c r="AP322" s="470"/>
      <c r="AQ322" s="470"/>
      <c r="AR322" s="470"/>
      <c r="AS322" s="470"/>
      <c r="AT322" s="470"/>
      <c r="AU322" s="470"/>
      <c r="AV322" s="470"/>
      <c r="AW322" s="470"/>
      <c r="AX322" s="470"/>
      <c r="AY322" s="470"/>
      <c r="AZ322" s="470"/>
      <c r="BA322" s="470"/>
      <c r="BB322" s="470"/>
      <c r="BC322" s="470"/>
      <c r="BD322" s="470"/>
      <c r="BE322" s="470"/>
      <c r="BF322" s="470"/>
      <c r="BG322" s="470"/>
      <c r="BH322" s="470"/>
      <c r="BI322" s="470"/>
      <c r="BJ322" s="470"/>
      <c r="BK322" s="470"/>
      <c r="BL322" s="474"/>
    </row>
    <row r="323" spans="1:64">
      <c r="A323" s="475">
        <v>44114</v>
      </c>
      <c r="B323" s="478">
        <v>284</v>
      </c>
      <c r="C323" s="478">
        <v>82</v>
      </c>
      <c r="D323" s="476" t="s">
        <v>634</v>
      </c>
      <c r="E323" s="477">
        <v>41</v>
      </c>
      <c r="F323" s="476" t="s">
        <v>103</v>
      </c>
      <c r="G323" s="477">
        <v>534</v>
      </c>
      <c r="H323" s="476" t="s">
        <v>6256</v>
      </c>
      <c r="I323" s="476" t="s">
        <v>836</v>
      </c>
      <c r="J323" s="477">
        <v>8</v>
      </c>
      <c r="K323" s="476" t="s">
        <v>6263</v>
      </c>
      <c r="L323" s="476" t="s">
        <v>6279</v>
      </c>
      <c r="M323" s="476" t="s">
        <v>9</v>
      </c>
      <c r="N323" s="478">
        <v>1</v>
      </c>
      <c r="O323" s="479"/>
      <c r="P323" s="479"/>
      <c r="Q323" s="479"/>
      <c r="R323" s="476"/>
      <c r="S323" s="479">
        <v>0.18498842592592593</v>
      </c>
      <c r="T323" s="479">
        <v>0.25165509259259261</v>
      </c>
      <c r="U323" s="479"/>
      <c r="V323" s="479"/>
      <c r="W323" s="479">
        <v>0.4878587962962963</v>
      </c>
      <c r="X323" s="479">
        <v>0.72406250000000005</v>
      </c>
      <c r="Y323" s="479">
        <v>0.98055555555555562</v>
      </c>
      <c r="Z323" s="479">
        <v>0.26180555555555557</v>
      </c>
      <c r="AA323" s="479">
        <v>0.5854166666666667</v>
      </c>
      <c r="AB323" s="476" t="s">
        <v>6289</v>
      </c>
      <c r="AC323" s="478">
        <v>131</v>
      </c>
      <c r="AD323" s="476" t="s">
        <v>119</v>
      </c>
      <c r="AE323" s="476"/>
      <c r="AF323" s="478">
        <v>92.6</v>
      </c>
      <c r="AG323" s="477">
        <v>64.3</v>
      </c>
      <c r="AH323" s="476" t="s">
        <v>6291</v>
      </c>
      <c r="AI323" s="476" t="s">
        <v>6340</v>
      </c>
      <c r="AJ323" s="476" t="s">
        <v>6493</v>
      </c>
      <c r="AK323" s="476" t="s">
        <v>6493</v>
      </c>
      <c r="AL323" s="476"/>
      <c r="AM323" s="476"/>
      <c r="AN323" s="476"/>
      <c r="AO323" s="476"/>
      <c r="AP323" s="476"/>
      <c r="AQ323" s="476"/>
      <c r="AR323" s="476"/>
      <c r="AS323" s="476"/>
      <c r="AT323" s="476"/>
      <c r="AU323" s="476"/>
      <c r="AV323" s="476"/>
      <c r="AW323" s="476"/>
      <c r="AX323" s="476"/>
      <c r="AY323" s="476"/>
      <c r="AZ323" s="476"/>
      <c r="BA323" s="476"/>
      <c r="BB323" s="476"/>
      <c r="BC323" s="476"/>
      <c r="BD323" s="476"/>
      <c r="BE323" s="476"/>
      <c r="BF323" s="476"/>
      <c r="BG323" s="476"/>
      <c r="BH323" s="476"/>
      <c r="BI323" s="476"/>
      <c r="BJ323" s="476"/>
      <c r="BK323" s="476"/>
      <c r="BL323" s="480"/>
    </row>
    <row r="324" spans="1:64">
      <c r="A324" s="468">
        <v>44115</v>
      </c>
      <c r="B324" s="473">
        <v>285</v>
      </c>
      <c r="C324" s="473">
        <v>81</v>
      </c>
      <c r="D324" s="470" t="s">
        <v>634</v>
      </c>
      <c r="E324" s="469">
        <v>41</v>
      </c>
      <c r="F324" s="470" t="s">
        <v>106</v>
      </c>
      <c r="G324" s="469">
        <v>534</v>
      </c>
      <c r="H324" s="470" t="s">
        <v>6256</v>
      </c>
      <c r="I324" s="470" t="s">
        <v>836</v>
      </c>
      <c r="J324" s="469">
        <v>9</v>
      </c>
      <c r="K324" s="470" t="s">
        <v>6264</v>
      </c>
      <c r="L324" s="470" t="s">
        <v>6280</v>
      </c>
      <c r="M324" s="470" t="s">
        <v>9</v>
      </c>
      <c r="N324" s="473">
        <v>1</v>
      </c>
      <c r="O324" s="471"/>
      <c r="P324" s="471"/>
      <c r="Q324" s="471"/>
      <c r="R324" s="470"/>
      <c r="S324" s="471">
        <v>0.18572916666666664</v>
      </c>
      <c r="T324" s="471">
        <v>0.25239583333333332</v>
      </c>
      <c r="U324" s="471"/>
      <c r="V324" s="471"/>
      <c r="W324" s="471">
        <v>0.48768518518518517</v>
      </c>
      <c r="X324" s="471">
        <v>0.72297453703703696</v>
      </c>
      <c r="Y324" s="471" t="s">
        <v>1107</v>
      </c>
      <c r="Z324" s="471">
        <v>0.3</v>
      </c>
      <c r="AA324" s="471">
        <v>0.61597222222222225</v>
      </c>
      <c r="AB324" s="470" t="s">
        <v>6289</v>
      </c>
      <c r="AC324" s="473">
        <v>131</v>
      </c>
      <c r="AD324" s="470" t="s">
        <v>119</v>
      </c>
      <c r="AE324" s="470"/>
      <c r="AF324" s="473">
        <v>94.1</v>
      </c>
      <c r="AG324" s="469">
        <v>63.1</v>
      </c>
      <c r="AH324" s="470" t="s">
        <v>6292</v>
      </c>
      <c r="AI324" s="470" t="s">
        <v>974</v>
      </c>
      <c r="AJ324" s="470" t="s">
        <v>6493</v>
      </c>
      <c r="AK324" s="470" t="s">
        <v>6493</v>
      </c>
      <c r="AL324" s="470"/>
      <c r="AM324" s="470"/>
      <c r="AN324" s="470"/>
      <c r="AO324" s="470"/>
      <c r="AP324" s="470"/>
      <c r="AQ324" s="470"/>
      <c r="AR324" s="470"/>
      <c r="AS324" s="470"/>
      <c r="AT324" s="470"/>
      <c r="AU324" s="470"/>
      <c r="AV324" s="470"/>
      <c r="AW324" s="470"/>
      <c r="AX324" s="470"/>
      <c r="AY324" s="470"/>
      <c r="AZ324" s="470"/>
      <c r="BA324" s="470"/>
      <c r="BB324" s="470"/>
      <c r="BC324" s="470"/>
      <c r="BD324" s="470"/>
      <c r="BE324" s="470"/>
      <c r="BF324" s="470"/>
      <c r="BG324" s="470"/>
      <c r="BH324" s="470"/>
      <c r="BI324" s="470"/>
      <c r="BJ324" s="470"/>
      <c r="BK324" s="470"/>
      <c r="BL324" s="474"/>
    </row>
    <row r="325" spans="1:64">
      <c r="A325" s="475">
        <v>44116</v>
      </c>
      <c r="B325" s="478">
        <v>286</v>
      </c>
      <c r="C325" s="478">
        <v>80</v>
      </c>
      <c r="D325" s="476" t="s">
        <v>634</v>
      </c>
      <c r="E325" s="477">
        <v>42</v>
      </c>
      <c r="F325" s="476" t="s">
        <v>88</v>
      </c>
      <c r="G325" s="477">
        <v>534</v>
      </c>
      <c r="H325" s="476" t="s">
        <v>6256</v>
      </c>
      <c r="I325" s="476" t="s">
        <v>836</v>
      </c>
      <c r="J325" s="477">
        <v>10</v>
      </c>
      <c r="K325" s="476" t="s">
        <v>6265</v>
      </c>
      <c r="L325" s="476" t="s">
        <v>6281</v>
      </c>
      <c r="M325" s="476" t="s">
        <v>9</v>
      </c>
      <c r="N325" s="478">
        <v>1</v>
      </c>
      <c r="O325" s="479"/>
      <c r="P325" s="479"/>
      <c r="Q325" s="479"/>
      <c r="R325" s="476"/>
      <c r="S325" s="479">
        <v>0.1864699074074074</v>
      </c>
      <c r="T325" s="479">
        <v>0.25313657407407408</v>
      </c>
      <c r="U325" s="479"/>
      <c r="V325" s="479"/>
      <c r="W325" s="479">
        <v>0.48751157407407408</v>
      </c>
      <c r="X325" s="479">
        <v>0.72188657407407408</v>
      </c>
      <c r="Y325" s="479">
        <v>2.7083333333333334E-2</v>
      </c>
      <c r="Z325" s="479">
        <v>0.33749999999999997</v>
      </c>
      <c r="AA325" s="479">
        <v>0.6430555555555556</v>
      </c>
      <c r="AB325" s="476" t="s">
        <v>6289</v>
      </c>
      <c r="AC325" s="478">
        <v>131</v>
      </c>
      <c r="AD325" s="476" t="s">
        <v>119</v>
      </c>
      <c r="AE325" s="476"/>
      <c r="AF325" s="478">
        <v>99.5</v>
      </c>
      <c r="AG325" s="477">
        <v>65.400000000000006</v>
      </c>
      <c r="AH325" s="476" t="s">
        <v>6293</v>
      </c>
      <c r="AI325" s="476" t="s">
        <v>6316</v>
      </c>
      <c r="AJ325" s="476" t="s">
        <v>6493</v>
      </c>
      <c r="AK325" s="476" t="s">
        <v>6493</v>
      </c>
      <c r="AL325" s="476" t="s">
        <v>778</v>
      </c>
      <c r="AM325" s="476"/>
      <c r="AN325" s="476"/>
      <c r="AO325" s="476"/>
      <c r="AP325" s="476"/>
      <c r="AQ325" s="476"/>
      <c r="AR325" s="476"/>
      <c r="AS325" s="476"/>
      <c r="AT325" s="476"/>
      <c r="AU325" s="476"/>
      <c r="AV325" s="476"/>
      <c r="AW325" s="476"/>
      <c r="AX325" s="476"/>
      <c r="AY325" s="476"/>
      <c r="AZ325" s="476"/>
      <c r="BA325" s="476"/>
      <c r="BB325" s="476"/>
      <c r="BC325" s="476"/>
      <c r="BD325" s="476"/>
      <c r="BE325" s="476"/>
      <c r="BF325" s="476"/>
      <c r="BG325" s="476"/>
      <c r="BH325" s="476"/>
      <c r="BI325" s="476"/>
      <c r="BJ325" s="476"/>
      <c r="BK325" s="476"/>
      <c r="BL325" s="480"/>
    </row>
    <row r="326" spans="1:64">
      <c r="A326" s="468">
        <v>44117</v>
      </c>
      <c r="B326" s="473">
        <v>287</v>
      </c>
      <c r="C326" s="473">
        <v>79</v>
      </c>
      <c r="D326" s="470" t="s">
        <v>634</v>
      </c>
      <c r="E326" s="469">
        <v>42</v>
      </c>
      <c r="F326" s="470" t="s">
        <v>91</v>
      </c>
      <c r="G326" s="469">
        <v>534</v>
      </c>
      <c r="H326" s="470" t="s">
        <v>6256</v>
      </c>
      <c r="I326" s="470" t="s">
        <v>836</v>
      </c>
      <c r="J326" s="469">
        <v>12</v>
      </c>
      <c r="K326" s="470" t="s">
        <v>6266</v>
      </c>
      <c r="L326" s="470" t="s">
        <v>6283</v>
      </c>
      <c r="M326" s="470" t="s">
        <v>9</v>
      </c>
      <c r="N326" s="473">
        <v>1</v>
      </c>
      <c r="O326" s="471">
        <v>0.25763888888888892</v>
      </c>
      <c r="P326" s="471">
        <v>0.17222222222222225</v>
      </c>
      <c r="Q326" s="471"/>
      <c r="R326" s="470"/>
      <c r="S326" s="471">
        <v>0.18721064814814814</v>
      </c>
      <c r="T326" s="471">
        <v>0.25387731481481485</v>
      </c>
      <c r="U326" s="471"/>
      <c r="V326" s="471"/>
      <c r="W326" s="471">
        <v>0.48734953703703704</v>
      </c>
      <c r="X326" s="471">
        <v>0.72082175925925929</v>
      </c>
      <c r="Y326" s="471">
        <v>7.7777777777777779E-2</v>
      </c>
      <c r="Z326" s="471">
        <v>0.375</v>
      </c>
      <c r="AA326" s="471">
        <v>0.66597222222222219</v>
      </c>
      <c r="AB326" s="470" t="s">
        <v>6289</v>
      </c>
      <c r="AC326" s="473">
        <v>131</v>
      </c>
      <c r="AD326" s="470" t="s">
        <v>119</v>
      </c>
      <c r="AE326" s="470"/>
      <c r="AF326" s="473">
        <v>9.1</v>
      </c>
      <c r="AG326" s="469">
        <v>71.400000000000006</v>
      </c>
      <c r="AH326" s="470" t="s">
        <v>6294</v>
      </c>
      <c r="AI326" s="470" t="s">
        <v>6317</v>
      </c>
      <c r="AJ326" s="470" t="s">
        <v>838</v>
      </c>
      <c r="AK326" s="470" t="s">
        <v>13</v>
      </c>
      <c r="AL326" s="470" t="s">
        <v>6826</v>
      </c>
      <c r="AM326" s="470" t="s">
        <v>6342</v>
      </c>
      <c r="AN326" s="470" t="s">
        <v>6964</v>
      </c>
      <c r="AO326" s="470" t="s">
        <v>6351</v>
      </c>
      <c r="AP326" s="470" t="s">
        <v>7035</v>
      </c>
      <c r="AQ326" s="470"/>
      <c r="AR326" s="470"/>
      <c r="AS326" s="470"/>
      <c r="AT326" s="470"/>
      <c r="AU326" s="470"/>
      <c r="AV326" s="470"/>
      <c r="AW326" s="470"/>
      <c r="AX326" s="470"/>
      <c r="AY326" s="470"/>
      <c r="AZ326" s="470"/>
      <c r="BA326" s="470"/>
      <c r="BB326" s="470"/>
      <c r="BC326" s="470"/>
      <c r="BD326" s="470"/>
      <c r="BE326" s="470"/>
      <c r="BF326" s="470"/>
      <c r="BG326" s="470"/>
      <c r="BH326" s="470"/>
      <c r="BI326" s="470"/>
      <c r="BJ326" s="470"/>
      <c r="BK326" s="470"/>
      <c r="BL326" s="474"/>
    </row>
    <row r="327" spans="1:64">
      <c r="A327" s="475">
        <v>44118</v>
      </c>
      <c r="B327" s="478">
        <v>288</v>
      </c>
      <c r="C327" s="478">
        <v>78</v>
      </c>
      <c r="D327" s="476" t="s">
        <v>634</v>
      </c>
      <c r="E327" s="477">
        <v>42</v>
      </c>
      <c r="F327" s="476" t="s">
        <v>94</v>
      </c>
      <c r="G327" s="477">
        <v>534</v>
      </c>
      <c r="H327" s="476" t="s">
        <v>6256</v>
      </c>
      <c r="I327" s="476" t="s">
        <v>836</v>
      </c>
      <c r="J327" s="477">
        <v>13</v>
      </c>
      <c r="K327" s="476" t="s">
        <v>6267</v>
      </c>
      <c r="L327" s="476" t="s">
        <v>6284</v>
      </c>
      <c r="M327" s="476" t="s">
        <v>9</v>
      </c>
      <c r="N327" s="478">
        <v>1</v>
      </c>
      <c r="O327" s="479"/>
      <c r="P327" s="479"/>
      <c r="Q327" s="479"/>
      <c r="R327" s="476"/>
      <c r="S327" s="479">
        <v>0.18796296296296297</v>
      </c>
      <c r="T327" s="479">
        <v>0.25462962962962959</v>
      </c>
      <c r="U327" s="479">
        <v>0.25416666666666665</v>
      </c>
      <c r="V327" s="479">
        <v>0.40902777777777777</v>
      </c>
      <c r="W327" s="479">
        <v>0.48718750000000005</v>
      </c>
      <c r="X327" s="479">
        <v>0.71975694444444438</v>
      </c>
      <c r="Y327" s="479">
        <v>0.12916666666666668</v>
      </c>
      <c r="Z327" s="479">
        <v>0.41111111111111115</v>
      </c>
      <c r="AA327" s="479">
        <v>0.68819444444444444</v>
      </c>
      <c r="AB327" s="476" t="s">
        <v>6289</v>
      </c>
      <c r="AC327" s="478">
        <v>131</v>
      </c>
      <c r="AD327" s="476" t="s">
        <v>119</v>
      </c>
      <c r="AE327" s="476"/>
      <c r="AF327" s="478">
        <v>22.6</v>
      </c>
      <c r="AG327" s="477">
        <v>81</v>
      </c>
      <c r="AH327" s="476" t="s">
        <v>6295</v>
      </c>
      <c r="AI327" s="476" t="s">
        <v>6319</v>
      </c>
      <c r="AJ327" s="476" t="s">
        <v>839</v>
      </c>
      <c r="AK327" s="476" t="s">
        <v>6493</v>
      </c>
      <c r="AL327" s="476" t="s">
        <v>6827</v>
      </c>
      <c r="AM327" s="476" t="s">
        <v>6343</v>
      </c>
      <c r="AN327" s="476"/>
      <c r="AO327" s="476"/>
      <c r="AP327" s="476"/>
      <c r="AQ327" s="476"/>
      <c r="AR327" s="476"/>
      <c r="AS327" s="476"/>
      <c r="AT327" s="476"/>
      <c r="AU327" s="476"/>
      <c r="AV327" s="476"/>
      <c r="AW327" s="476"/>
      <c r="AX327" s="476"/>
      <c r="AY327" s="476"/>
      <c r="AZ327" s="476"/>
      <c r="BA327" s="476"/>
      <c r="BB327" s="476"/>
      <c r="BC327" s="476"/>
      <c r="BD327" s="476"/>
      <c r="BE327" s="476"/>
      <c r="BF327" s="476"/>
      <c r="BG327" s="476"/>
      <c r="BH327" s="476"/>
      <c r="BI327" s="476"/>
      <c r="BJ327" s="476"/>
      <c r="BK327" s="476"/>
      <c r="BL327" s="480"/>
    </row>
    <row r="328" spans="1:64">
      <c r="A328" s="468">
        <v>44119</v>
      </c>
      <c r="B328" s="473">
        <v>289</v>
      </c>
      <c r="C328" s="473">
        <v>77</v>
      </c>
      <c r="D328" s="470" t="s">
        <v>634</v>
      </c>
      <c r="E328" s="469">
        <v>42</v>
      </c>
      <c r="F328" s="470" t="s">
        <v>6714</v>
      </c>
      <c r="G328" s="469">
        <v>534</v>
      </c>
      <c r="H328" s="470" t="s">
        <v>6256</v>
      </c>
      <c r="I328" s="470" t="s">
        <v>836</v>
      </c>
      <c r="J328" s="469">
        <v>14</v>
      </c>
      <c r="K328" s="470" t="s">
        <v>6268</v>
      </c>
      <c r="L328" s="470" t="s">
        <v>6285</v>
      </c>
      <c r="M328" s="470" t="s">
        <v>9</v>
      </c>
      <c r="N328" s="473">
        <v>1</v>
      </c>
      <c r="O328" s="471"/>
      <c r="P328" s="471"/>
      <c r="Q328" s="471"/>
      <c r="R328" s="470"/>
      <c r="S328" s="471">
        <v>0.18871527777777777</v>
      </c>
      <c r="T328" s="471">
        <v>0.25538194444444445</v>
      </c>
      <c r="U328" s="471"/>
      <c r="V328" s="471"/>
      <c r="W328" s="471">
        <v>0.48703703703703699</v>
      </c>
      <c r="X328" s="471">
        <v>0.71869212962962958</v>
      </c>
      <c r="Y328" s="471">
        <v>0.18194444444444444</v>
      </c>
      <c r="Z328" s="471">
        <v>0.44722222222222219</v>
      </c>
      <c r="AA328" s="471">
        <v>0.7090277777777777</v>
      </c>
      <c r="AB328" s="470" t="s">
        <v>6289</v>
      </c>
      <c r="AC328" s="473">
        <v>131</v>
      </c>
      <c r="AD328" s="470" t="s">
        <v>119</v>
      </c>
      <c r="AE328" s="470"/>
      <c r="AF328" s="473">
        <v>39.4</v>
      </c>
      <c r="AG328" s="469">
        <v>93.5</v>
      </c>
      <c r="AH328" s="470" t="s">
        <v>6296</v>
      </c>
      <c r="AI328" s="470" t="s">
        <v>6341</v>
      </c>
      <c r="AJ328" s="470" t="s">
        <v>6493</v>
      </c>
      <c r="AK328" s="470" t="s">
        <v>6493</v>
      </c>
      <c r="AL328" s="470" t="s">
        <v>782</v>
      </c>
      <c r="AM328" s="470"/>
      <c r="AN328" s="470"/>
      <c r="AO328" s="470"/>
      <c r="AP328" s="470"/>
      <c r="AQ328" s="470"/>
      <c r="AR328" s="470"/>
      <c r="AS328" s="470"/>
      <c r="AT328" s="470"/>
      <c r="AU328" s="470"/>
      <c r="AV328" s="470"/>
      <c r="AW328" s="470"/>
      <c r="AX328" s="470"/>
      <c r="AY328" s="470"/>
      <c r="AZ328" s="470"/>
      <c r="BA328" s="470"/>
      <c r="BB328" s="470"/>
      <c r="BC328" s="470"/>
      <c r="BD328" s="470"/>
      <c r="BE328" s="470"/>
      <c r="BF328" s="470"/>
      <c r="BG328" s="470"/>
      <c r="BH328" s="470"/>
      <c r="BI328" s="470"/>
      <c r="BJ328" s="470"/>
      <c r="BK328" s="470"/>
      <c r="BL328" s="474"/>
    </row>
    <row r="329" spans="1:64">
      <c r="A329" s="475">
        <v>44120</v>
      </c>
      <c r="B329" s="478">
        <v>290</v>
      </c>
      <c r="C329" s="478">
        <v>76</v>
      </c>
      <c r="D329" s="476" t="s">
        <v>634</v>
      </c>
      <c r="E329" s="477">
        <v>42</v>
      </c>
      <c r="F329" s="476" t="s">
        <v>100</v>
      </c>
      <c r="G329" s="477">
        <v>534</v>
      </c>
      <c r="H329" s="476" t="s">
        <v>6256</v>
      </c>
      <c r="I329" s="476" t="s">
        <v>836</v>
      </c>
      <c r="J329" s="477">
        <v>15</v>
      </c>
      <c r="K329" s="476" t="s">
        <v>6269</v>
      </c>
      <c r="L329" s="476" t="s">
        <v>6286</v>
      </c>
      <c r="M329" s="476" t="s">
        <v>9</v>
      </c>
      <c r="N329" s="478">
        <v>1</v>
      </c>
      <c r="O329" s="479"/>
      <c r="P329" s="479"/>
      <c r="Q329" s="479"/>
      <c r="R329" s="476"/>
      <c r="S329" s="479">
        <v>0.1894675925925926</v>
      </c>
      <c r="T329" s="479">
        <v>0.25613425925925926</v>
      </c>
      <c r="U329" s="479"/>
      <c r="V329" s="479"/>
      <c r="W329" s="479">
        <v>0.48689814814814819</v>
      </c>
      <c r="X329" s="479">
        <v>0.71765046296296298</v>
      </c>
      <c r="Y329" s="479">
        <v>0.23541666666666669</v>
      </c>
      <c r="Z329" s="479">
        <v>0.48402777777777778</v>
      </c>
      <c r="AA329" s="479">
        <v>0.73055555555555562</v>
      </c>
      <c r="AB329" s="476" t="s">
        <v>6463</v>
      </c>
      <c r="AC329" s="478">
        <v>152</v>
      </c>
      <c r="AD329" s="476" t="s">
        <v>110</v>
      </c>
      <c r="AE329" s="476" t="s">
        <v>6544</v>
      </c>
      <c r="AF329" s="478">
        <v>58.2</v>
      </c>
      <c r="AG329" s="477">
        <v>7.9</v>
      </c>
      <c r="AH329" s="476" t="s">
        <v>6298</v>
      </c>
      <c r="AI329" s="476" t="s">
        <v>6320</v>
      </c>
      <c r="AJ329" s="476" t="s">
        <v>6493</v>
      </c>
      <c r="AK329" s="476" t="s">
        <v>6493</v>
      </c>
      <c r="AL329" s="476" t="s">
        <v>6828</v>
      </c>
      <c r="AM329" s="476"/>
      <c r="AN329" s="476"/>
      <c r="AO329" s="476"/>
      <c r="AP329" s="476"/>
      <c r="AQ329" s="476"/>
      <c r="AR329" s="476"/>
      <c r="AS329" s="476"/>
      <c r="AT329" s="476"/>
      <c r="AU329" s="476"/>
      <c r="AV329" s="476"/>
      <c r="AW329" s="476"/>
      <c r="AX329" s="476"/>
      <c r="AY329" s="476"/>
      <c r="AZ329" s="476"/>
      <c r="BA329" s="476"/>
      <c r="BB329" s="476"/>
      <c r="BC329" s="476"/>
      <c r="BD329" s="476"/>
      <c r="BE329" s="476"/>
      <c r="BF329" s="476"/>
      <c r="BG329" s="476"/>
      <c r="BH329" s="476"/>
      <c r="BI329" s="476"/>
      <c r="BJ329" s="476"/>
      <c r="BK329" s="476"/>
      <c r="BL329" s="480"/>
    </row>
    <row r="330" spans="1:64">
      <c r="A330" s="468">
        <v>44121</v>
      </c>
      <c r="B330" s="473">
        <v>291</v>
      </c>
      <c r="C330" s="473">
        <v>75</v>
      </c>
      <c r="D330" s="470" t="s">
        <v>634</v>
      </c>
      <c r="E330" s="469">
        <v>42</v>
      </c>
      <c r="F330" s="470" t="s">
        <v>103</v>
      </c>
      <c r="G330" s="469">
        <v>534</v>
      </c>
      <c r="H330" s="470" t="s">
        <v>6254</v>
      </c>
      <c r="I330" s="470" t="s">
        <v>6257</v>
      </c>
      <c r="J330" s="469">
        <v>16</v>
      </c>
      <c r="K330" s="470" t="s">
        <v>6270</v>
      </c>
      <c r="L330" s="470" t="s">
        <v>6287</v>
      </c>
      <c r="M330" s="470" t="s">
        <v>9</v>
      </c>
      <c r="N330" s="473">
        <v>1</v>
      </c>
      <c r="O330" s="471"/>
      <c r="P330" s="471"/>
      <c r="Q330" s="471">
        <v>0.85164351851851849</v>
      </c>
      <c r="R330" s="470" t="s">
        <v>24</v>
      </c>
      <c r="S330" s="471">
        <v>0.19023148148148147</v>
      </c>
      <c r="T330" s="471">
        <v>0.25689814814814815</v>
      </c>
      <c r="U330" s="471"/>
      <c r="V330" s="471"/>
      <c r="W330" s="471">
        <v>0.48675925925925928</v>
      </c>
      <c r="X330" s="471">
        <v>0.7166203703703703</v>
      </c>
      <c r="Y330" s="471">
        <v>0.28958333333333336</v>
      </c>
      <c r="Z330" s="471">
        <v>0.52152777777777781</v>
      </c>
      <c r="AA330" s="471">
        <v>0.75347222222222221</v>
      </c>
      <c r="AB330" s="470" t="s">
        <v>6463</v>
      </c>
      <c r="AC330" s="473">
        <v>152</v>
      </c>
      <c r="AD330" s="470" t="s">
        <v>110</v>
      </c>
      <c r="AE330" s="470"/>
      <c r="AF330" s="473">
        <v>77.599999999999994</v>
      </c>
      <c r="AG330" s="469">
        <v>22.9</v>
      </c>
      <c r="AH330" s="470" t="s">
        <v>6299</v>
      </c>
      <c r="AI330" s="470" t="s">
        <v>6321</v>
      </c>
      <c r="AJ330" s="470" t="s">
        <v>6493</v>
      </c>
      <c r="AK330" s="470" t="s">
        <v>6493</v>
      </c>
      <c r="AL330" s="470" t="s">
        <v>6829</v>
      </c>
      <c r="AM330" s="470"/>
      <c r="AN330" s="470" t="s">
        <v>6965</v>
      </c>
      <c r="AO330" s="470"/>
      <c r="AP330" s="470" t="s">
        <v>7036</v>
      </c>
      <c r="AQ330" s="470"/>
      <c r="AR330" s="470" t="s">
        <v>7033</v>
      </c>
      <c r="AS330" s="470"/>
      <c r="AT330" s="470"/>
      <c r="AU330" s="470"/>
      <c r="AV330" s="470"/>
      <c r="AW330" s="470"/>
      <c r="AX330" s="470"/>
      <c r="AY330" s="470"/>
      <c r="AZ330" s="470"/>
      <c r="BA330" s="470"/>
      <c r="BB330" s="470"/>
      <c r="BC330" s="470"/>
      <c r="BD330" s="470"/>
      <c r="BE330" s="470"/>
      <c r="BF330" s="470"/>
      <c r="BG330" s="470"/>
      <c r="BH330" s="470"/>
      <c r="BI330" s="470"/>
      <c r="BJ330" s="470"/>
      <c r="BK330" s="470"/>
      <c r="BL330" s="474"/>
    </row>
    <row r="331" spans="1:64">
      <c r="A331" s="475">
        <v>44122</v>
      </c>
      <c r="B331" s="478">
        <v>292</v>
      </c>
      <c r="C331" s="478">
        <v>74</v>
      </c>
      <c r="D331" s="476" t="s">
        <v>634</v>
      </c>
      <c r="E331" s="477">
        <v>42</v>
      </c>
      <c r="F331" s="476" t="s">
        <v>106</v>
      </c>
      <c r="G331" s="477">
        <v>534</v>
      </c>
      <c r="H331" s="476" t="s">
        <v>6254</v>
      </c>
      <c r="I331" s="476" t="s">
        <v>6257</v>
      </c>
      <c r="J331" s="477">
        <v>17</v>
      </c>
      <c r="K331" s="476" t="s">
        <v>1034</v>
      </c>
      <c r="L331" s="476" t="s">
        <v>6273</v>
      </c>
      <c r="M331" s="476" t="s">
        <v>9</v>
      </c>
      <c r="N331" s="478">
        <v>1</v>
      </c>
      <c r="O331" s="479"/>
      <c r="P331" s="479"/>
      <c r="Q331" s="479"/>
      <c r="R331" s="476"/>
      <c r="S331" s="479">
        <v>0.19099537037037037</v>
      </c>
      <c r="T331" s="479">
        <v>0.25766203703703705</v>
      </c>
      <c r="U331" s="479"/>
      <c r="V331" s="479"/>
      <c r="W331" s="479">
        <v>0.48663194444444446</v>
      </c>
      <c r="X331" s="479">
        <v>0.71559027777777784</v>
      </c>
      <c r="Y331" s="479">
        <v>0.34375</v>
      </c>
      <c r="Z331" s="479">
        <v>0.56111111111111112</v>
      </c>
      <c r="AA331" s="479">
        <v>0.77847222222222223</v>
      </c>
      <c r="AB331" s="476" t="s">
        <v>6463</v>
      </c>
      <c r="AC331" s="478">
        <v>152</v>
      </c>
      <c r="AD331" s="476" t="s">
        <v>110</v>
      </c>
      <c r="AE331" s="476"/>
      <c r="AF331" s="478">
        <v>96</v>
      </c>
      <c r="AG331" s="477">
        <v>36.9</v>
      </c>
      <c r="AH331" s="476" t="s">
        <v>6300</v>
      </c>
      <c r="AI331" s="476" t="s">
        <v>6322</v>
      </c>
      <c r="AJ331" s="476" t="s">
        <v>6493</v>
      </c>
      <c r="AK331" s="476" t="s">
        <v>6493</v>
      </c>
      <c r="AL331" s="476"/>
      <c r="AM331" s="476"/>
      <c r="AN331" s="476"/>
      <c r="AO331" s="476"/>
      <c r="AP331" s="476"/>
      <c r="AQ331" s="476"/>
      <c r="AR331" s="476"/>
      <c r="AS331" s="476"/>
      <c r="AT331" s="476"/>
      <c r="AU331" s="476"/>
      <c r="AV331" s="476"/>
      <c r="AW331" s="476"/>
      <c r="AX331" s="476"/>
      <c r="AY331" s="476"/>
      <c r="AZ331" s="476"/>
      <c r="BA331" s="476"/>
      <c r="BB331" s="476"/>
      <c r="BC331" s="476"/>
      <c r="BD331" s="476"/>
      <c r="BE331" s="476"/>
      <c r="BF331" s="476"/>
      <c r="BG331" s="476"/>
      <c r="BH331" s="476"/>
      <c r="BI331" s="476"/>
      <c r="BJ331" s="476"/>
      <c r="BK331" s="476"/>
      <c r="BL331" s="480"/>
    </row>
    <row r="332" spans="1:64">
      <c r="A332" s="468">
        <v>44123</v>
      </c>
      <c r="B332" s="473">
        <v>293</v>
      </c>
      <c r="C332" s="473">
        <v>73</v>
      </c>
      <c r="D332" s="470" t="s">
        <v>634</v>
      </c>
      <c r="E332" s="469">
        <v>43</v>
      </c>
      <c r="F332" s="470" t="s">
        <v>88</v>
      </c>
      <c r="G332" s="469">
        <v>534</v>
      </c>
      <c r="H332" s="470" t="s">
        <v>6254</v>
      </c>
      <c r="I332" s="470" t="s">
        <v>6257</v>
      </c>
      <c r="J332" s="469">
        <v>19</v>
      </c>
      <c r="K332" s="470" t="s">
        <v>6259</v>
      </c>
      <c r="L332" s="470" t="s">
        <v>6275</v>
      </c>
      <c r="M332" s="470" t="s">
        <v>9</v>
      </c>
      <c r="N332" s="473">
        <v>1</v>
      </c>
      <c r="O332" s="471">
        <v>0.29097222222222224</v>
      </c>
      <c r="P332" s="471">
        <v>0.15277777777777776</v>
      </c>
      <c r="Q332" s="471"/>
      <c r="R332" s="470"/>
      <c r="S332" s="471">
        <v>0.19175925925925927</v>
      </c>
      <c r="T332" s="471">
        <v>0.25842592592592589</v>
      </c>
      <c r="U332" s="471"/>
      <c r="V332" s="471"/>
      <c r="W332" s="471">
        <v>0.48650462962962965</v>
      </c>
      <c r="X332" s="471">
        <v>0.71458333333333324</v>
      </c>
      <c r="Y332" s="471">
        <v>0.3972222222222222</v>
      </c>
      <c r="Z332" s="471">
        <v>0.6020833333333333</v>
      </c>
      <c r="AA332" s="471">
        <v>0.80694444444444446</v>
      </c>
      <c r="AB332" s="470" t="s">
        <v>6463</v>
      </c>
      <c r="AC332" s="473">
        <v>152</v>
      </c>
      <c r="AD332" s="470" t="s">
        <v>110</v>
      </c>
      <c r="AE332" s="470"/>
      <c r="AF332" s="473">
        <v>12.1</v>
      </c>
      <c r="AG332" s="469">
        <v>48.8</v>
      </c>
      <c r="AH332" s="470" t="s">
        <v>6301</v>
      </c>
      <c r="AI332" s="470" t="s">
        <v>6324</v>
      </c>
      <c r="AJ332" s="470" t="s">
        <v>6493</v>
      </c>
      <c r="AK332" s="470" t="s">
        <v>6493</v>
      </c>
      <c r="AL332" s="470" t="s">
        <v>6830</v>
      </c>
      <c r="AM332" s="470"/>
      <c r="AN332" s="470"/>
      <c r="AO332" s="470"/>
      <c r="AP332" s="470"/>
      <c r="AQ332" s="470"/>
      <c r="AR332" s="470"/>
      <c r="AS332" s="470"/>
      <c r="AT332" s="470"/>
      <c r="AU332" s="470"/>
      <c r="AV332" s="470"/>
      <c r="AW332" s="470"/>
      <c r="AX332" s="470"/>
      <c r="AY332" s="470"/>
      <c r="AZ332" s="470"/>
      <c r="BA332" s="470"/>
      <c r="BB332" s="470"/>
      <c r="BC332" s="470"/>
      <c r="BD332" s="470"/>
      <c r="BE332" s="470"/>
      <c r="BF332" s="470"/>
      <c r="BG332" s="470"/>
      <c r="BH332" s="470"/>
      <c r="BI332" s="470"/>
      <c r="BJ332" s="470"/>
      <c r="BK332" s="470"/>
      <c r="BL332" s="474"/>
    </row>
    <row r="333" spans="1:64">
      <c r="A333" s="475">
        <v>44124</v>
      </c>
      <c r="B333" s="478">
        <v>294</v>
      </c>
      <c r="C333" s="478">
        <v>72</v>
      </c>
      <c r="D333" s="476" t="s">
        <v>634</v>
      </c>
      <c r="E333" s="477">
        <v>43</v>
      </c>
      <c r="F333" s="476" t="s">
        <v>91</v>
      </c>
      <c r="G333" s="477">
        <v>534</v>
      </c>
      <c r="H333" s="476" t="s">
        <v>6254</v>
      </c>
      <c r="I333" s="476" t="s">
        <v>6257</v>
      </c>
      <c r="J333" s="477">
        <v>20</v>
      </c>
      <c r="K333" s="476" t="s">
        <v>6260</v>
      </c>
      <c r="L333" s="476" t="s">
        <v>6276</v>
      </c>
      <c r="M333" s="476" t="s">
        <v>9</v>
      </c>
      <c r="N333" s="478">
        <v>1</v>
      </c>
      <c r="O333" s="479"/>
      <c r="P333" s="479"/>
      <c r="Q333" s="479"/>
      <c r="R333" s="476"/>
      <c r="S333" s="479">
        <v>0.19253472222222223</v>
      </c>
      <c r="T333" s="479">
        <v>0.25920138888888888</v>
      </c>
      <c r="U333" s="479"/>
      <c r="V333" s="479"/>
      <c r="W333" s="479">
        <v>0.48638888888888893</v>
      </c>
      <c r="X333" s="479">
        <v>0.71357638888888886</v>
      </c>
      <c r="Y333" s="479">
        <v>0.44861111111111113</v>
      </c>
      <c r="Z333" s="479">
        <v>0.64513888888888882</v>
      </c>
      <c r="AA333" s="479">
        <v>0.84097222222222223</v>
      </c>
      <c r="AB333" s="476" t="s">
        <v>6463</v>
      </c>
      <c r="AC333" s="478">
        <v>152</v>
      </c>
      <c r="AD333" s="476" t="s">
        <v>110</v>
      </c>
      <c r="AE333" s="476"/>
      <c r="AF333" s="478">
        <v>24.9</v>
      </c>
      <c r="AG333" s="477">
        <v>57.8</v>
      </c>
      <c r="AH333" s="476" t="s">
        <v>6302</v>
      </c>
      <c r="AI333" s="476" t="s">
        <v>6325</v>
      </c>
      <c r="AJ333" s="476" t="s">
        <v>6493</v>
      </c>
      <c r="AK333" s="476" t="s">
        <v>6493</v>
      </c>
      <c r="AL333" s="476"/>
      <c r="AM333" s="476"/>
      <c r="AN333" s="476"/>
      <c r="AO333" s="476"/>
      <c r="AP333" s="476"/>
      <c r="AQ333" s="476"/>
      <c r="AR333" s="476"/>
      <c r="AS333" s="476"/>
      <c r="AT333" s="476"/>
      <c r="AU333" s="476"/>
      <c r="AV333" s="476"/>
      <c r="AW333" s="476"/>
      <c r="AX333" s="476"/>
      <c r="AY333" s="476"/>
      <c r="AZ333" s="476"/>
      <c r="BA333" s="476"/>
      <c r="BB333" s="476"/>
      <c r="BC333" s="476"/>
      <c r="BD333" s="476"/>
      <c r="BE333" s="476"/>
      <c r="BF333" s="476"/>
      <c r="BG333" s="476"/>
      <c r="BH333" s="476"/>
      <c r="BI333" s="476"/>
      <c r="BJ333" s="476"/>
      <c r="BK333" s="476"/>
      <c r="BL333" s="480"/>
    </row>
    <row r="334" spans="1:64">
      <c r="A334" s="468">
        <v>44125</v>
      </c>
      <c r="B334" s="473">
        <v>295</v>
      </c>
      <c r="C334" s="473">
        <v>71</v>
      </c>
      <c r="D334" s="470" t="s">
        <v>634</v>
      </c>
      <c r="E334" s="469">
        <v>43</v>
      </c>
      <c r="F334" s="470" t="s">
        <v>94</v>
      </c>
      <c r="G334" s="469">
        <v>534</v>
      </c>
      <c r="H334" s="470" t="s">
        <v>6254</v>
      </c>
      <c r="I334" s="470" t="s">
        <v>6257</v>
      </c>
      <c r="J334" s="469">
        <v>21</v>
      </c>
      <c r="K334" s="470" t="s">
        <v>6261</v>
      </c>
      <c r="L334" s="470" t="s">
        <v>6277</v>
      </c>
      <c r="M334" s="470" t="s">
        <v>9</v>
      </c>
      <c r="N334" s="473">
        <v>1</v>
      </c>
      <c r="O334" s="471"/>
      <c r="P334" s="471"/>
      <c r="Q334" s="471"/>
      <c r="R334" s="470"/>
      <c r="S334" s="471">
        <v>0.1933101851851852</v>
      </c>
      <c r="T334" s="471">
        <v>0.25997685185185188</v>
      </c>
      <c r="U334" s="471"/>
      <c r="V334" s="471"/>
      <c r="W334" s="471">
        <v>0.48628472222222219</v>
      </c>
      <c r="X334" s="471">
        <v>0.71258101851851852</v>
      </c>
      <c r="Y334" s="471">
        <v>0.49444444444444446</v>
      </c>
      <c r="Z334" s="471">
        <v>0.64583333333333337</v>
      </c>
      <c r="AA334" s="471">
        <v>0.87916666666666676</v>
      </c>
      <c r="AB334" s="470" t="s">
        <v>6463</v>
      </c>
      <c r="AC334" s="473">
        <v>152</v>
      </c>
      <c r="AD334" s="470" t="s">
        <v>110</v>
      </c>
      <c r="AE334" s="470"/>
      <c r="AF334" s="473">
        <v>34</v>
      </c>
      <c r="AG334" s="469">
        <v>63.4</v>
      </c>
      <c r="AH334" s="470" t="s">
        <v>6303</v>
      </c>
      <c r="AI334" s="470" t="s">
        <v>6326</v>
      </c>
      <c r="AJ334" s="470" t="s">
        <v>6493</v>
      </c>
      <c r="AK334" s="470" t="s">
        <v>6493</v>
      </c>
      <c r="AL334" s="470"/>
      <c r="AM334" s="470"/>
      <c r="AN334" s="470"/>
      <c r="AO334" s="470"/>
      <c r="AP334" s="470"/>
      <c r="AQ334" s="470"/>
      <c r="AR334" s="470"/>
      <c r="AS334" s="470"/>
      <c r="AT334" s="470"/>
      <c r="AU334" s="470"/>
      <c r="AV334" s="470"/>
      <c r="AW334" s="470"/>
      <c r="AX334" s="470"/>
      <c r="AY334" s="470"/>
      <c r="AZ334" s="470"/>
      <c r="BA334" s="470"/>
      <c r="BB334" s="470"/>
      <c r="BC334" s="470"/>
      <c r="BD334" s="470"/>
      <c r="BE334" s="470"/>
      <c r="BF334" s="470"/>
      <c r="BG334" s="470"/>
      <c r="BH334" s="470"/>
      <c r="BI334" s="470"/>
      <c r="BJ334" s="470"/>
      <c r="BK334" s="470"/>
      <c r="BL334" s="474"/>
    </row>
    <row r="335" spans="1:64">
      <c r="A335" s="475">
        <v>44126</v>
      </c>
      <c r="B335" s="478">
        <v>296</v>
      </c>
      <c r="C335" s="478">
        <v>70</v>
      </c>
      <c r="D335" s="476" t="s">
        <v>634</v>
      </c>
      <c r="E335" s="477">
        <v>43</v>
      </c>
      <c r="F335" s="476" t="s">
        <v>6714</v>
      </c>
      <c r="G335" s="477">
        <v>534</v>
      </c>
      <c r="H335" s="476" t="s">
        <v>6254</v>
      </c>
      <c r="I335" s="476" t="s">
        <v>6257</v>
      </c>
      <c r="J335" s="477">
        <v>22</v>
      </c>
      <c r="K335" s="476" t="s">
        <v>6262</v>
      </c>
      <c r="L335" s="476" t="s">
        <v>6278</v>
      </c>
      <c r="M335" s="476" t="s">
        <v>9</v>
      </c>
      <c r="N335" s="478">
        <v>1</v>
      </c>
      <c r="O335" s="479"/>
      <c r="P335" s="479"/>
      <c r="Q335" s="479"/>
      <c r="R335" s="476"/>
      <c r="S335" s="479">
        <v>0.19408564814814813</v>
      </c>
      <c r="T335" s="479">
        <v>0.26075231481481481</v>
      </c>
      <c r="U335" s="479"/>
      <c r="V335" s="479"/>
      <c r="W335" s="479">
        <v>0.48618055555555556</v>
      </c>
      <c r="X335" s="479">
        <v>0.71160879629629636</v>
      </c>
      <c r="Y335" s="479">
        <v>0.53472222222222221</v>
      </c>
      <c r="Z335" s="479">
        <v>0.68541666666666667</v>
      </c>
      <c r="AA335" s="479">
        <v>0.92152777777777783</v>
      </c>
      <c r="AB335" s="476" t="s">
        <v>6463</v>
      </c>
      <c r="AC335" s="478">
        <v>152</v>
      </c>
      <c r="AD335" s="476" t="s">
        <v>110</v>
      </c>
      <c r="AE335" s="476"/>
      <c r="AF335" s="478">
        <v>39.299999999999997</v>
      </c>
      <c r="AG335" s="477">
        <v>65.7</v>
      </c>
      <c r="AH335" s="476" t="s">
        <v>6304</v>
      </c>
      <c r="AI335" s="476" t="s">
        <v>6327</v>
      </c>
      <c r="AJ335" s="476" t="s">
        <v>839</v>
      </c>
      <c r="AK335" s="476" t="s">
        <v>6493</v>
      </c>
      <c r="AL335" s="476" t="s">
        <v>1227</v>
      </c>
      <c r="AM335" s="476" t="s">
        <v>6162</v>
      </c>
      <c r="AN335" s="476"/>
      <c r="AO335" s="476"/>
      <c r="AP335" s="476"/>
      <c r="AQ335" s="476"/>
      <c r="AR335" s="476"/>
      <c r="AS335" s="476"/>
      <c r="AT335" s="476"/>
      <c r="AU335" s="476"/>
      <c r="AV335" s="476"/>
      <c r="AW335" s="476"/>
      <c r="AX335" s="476"/>
      <c r="AY335" s="476"/>
      <c r="AZ335" s="476"/>
      <c r="BA335" s="476"/>
      <c r="BB335" s="476"/>
      <c r="BC335" s="476"/>
      <c r="BD335" s="476"/>
      <c r="BE335" s="476"/>
      <c r="BF335" s="476"/>
      <c r="BG335" s="476"/>
      <c r="BH335" s="476"/>
      <c r="BI335" s="476"/>
      <c r="BJ335" s="476" t="s">
        <v>6406</v>
      </c>
      <c r="BK335" s="476"/>
      <c r="BL335" s="480"/>
    </row>
    <row r="336" spans="1:64">
      <c r="A336" s="468">
        <v>44127</v>
      </c>
      <c r="B336" s="473">
        <v>297</v>
      </c>
      <c r="C336" s="473">
        <v>69</v>
      </c>
      <c r="D336" s="470" t="s">
        <v>634</v>
      </c>
      <c r="E336" s="469">
        <v>43</v>
      </c>
      <c r="F336" s="470" t="s">
        <v>100</v>
      </c>
      <c r="G336" s="469">
        <v>534</v>
      </c>
      <c r="H336" s="470" t="s">
        <v>6254</v>
      </c>
      <c r="I336" s="470" t="s">
        <v>6257</v>
      </c>
      <c r="J336" s="469">
        <v>23</v>
      </c>
      <c r="K336" s="470" t="s">
        <v>6263</v>
      </c>
      <c r="L336" s="470" t="s">
        <v>6279</v>
      </c>
      <c r="M336" s="470" t="s">
        <v>9</v>
      </c>
      <c r="N336" s="473">
        <v>1</v>
      </c>
      <c r="O336" s="471"/>
      <c r="P336" s="471"/>
      <c r="Q336" s="471"/>
      <c r="R336" s="470"/>
      <c r="S336" s="471">
        <v>0.19487268518518519</v>
      </c>
      <c r="T336" s="471">
        <v>0.26153935185185184</v>
      </c>
      <c r="U336" s="471"/>
      <c r="V336" s="471"/>
      <c r="W336" s="471">
        <v>0.48608796296296292</v>
      </c>
      <c r="X336" s="471">
        <v>0.7106365740740741</v>
      </c>
      <c r="Y336" s="471">
        <v>0.56736111111111109</v>
      </c>
      <c r="Z336" s="471">
        <v>0.72430555555555554</v>
      </c>
      <c r="AA336" s="471">
        <v>0.96527777777777779</v>
      </c>
      <c r="AB336" s="470" t="s">
        <v>6464</v>
      </c>
      <c r="AC336" s="473">
        <v>130</v>
      </c>
      <c r="AD336" s="470" t="s">
        <v>113</v>
      </c>
      <c r="AE336" s="470" t="s">
        <v>6545</v>
      </c>
      <c r="AF336" s="473">
        <v>41.1</v>
      </c>
      <c r="AG336" s="469">
        <v>64.8</v>
      </c>
      <c r="AH336" s="470" t="s">
        <v>6305</v>
      </c>
      <c r="AI336" s="470" t="s">
        <v>6328</v>
      </c>
      <c r="AJ336" s="470" t="s">
        <v>6493</v>
      </c>
      <c r="AK336" s="470" t="s">
        <v>6493</v>
      </c>
      <c r="AL336" s="470"/>
      <c r="AM336" s="470"/>
      <c r="AN336" s="470"/>
      <c r="AO336" s="470"/>
      <c r="AP336" s="470"/>
      <c r="AQ336" s="470"/>
      <c r="AR336" s="470"/>
      <c r="AS336" s="470"/>
      <c r="AT336" s="470"/>
      <c r="AU336" s="470"/>
      <c r="AV336" s="470"/>
      <c r="AW336" s="470"/>
      <c r="AX336" s="470"/>
      <c r="AY336" s="470"/>
      <c r="AZ336" s="470"/>
      <c r="BA336" s="470"/>
      <c r="BB336" s="470"/>
      <c r="BC336" s="470"/>
      <c r="BD336" s="470"/>
      <c r="BE336" s="470"/>
      <c r="BF336" s="470"/>
      <c r="BG336" s="470"/>
      <c r="BH336" s="470"/>
      <c r="BI336" s="470"/>
      <c r="BJ336" s="470"/>
      <c r="BK336" s="470"/>
      <c r="BL336" s="474"/>
    </row>
    <row r="337" spans="1:64">
      <c r="A337" s="475">
        <v>44128</v>
      </c>
      <c r="B337" s="478">
        <v>298</v>
      </c>
      <c r="C337" s="478">
        <v>68</v>
      </c>
      <c r="D337" s="476" t="s">
        <v>634</v>
      </c>
      <c r="E337" s="477">
        <v>43</v>
      </c>
      <c r="F337" s="476" t="s">
        <v>103</v>
      </c>
      <c r="G337" s="477">
        <v>534</v>
      </c>
      <c r="H337" s="476" t="s">
        <v>6254</v>
      </c>
      <c r="I337" s="476" t="s">
        <v>6257</v>
      </c>
      <c r="J337" s="477">
        <v>24</v>
      </c>
      <c r="K337" s="476" t="s">
        <v>6264</v>
      </c>
      <c r="L337" s="476" t="s">
        <v>6280</v>
      </c>
      <c r="M337" s="476" t="s">
        <v>9</v>
      </c>
      <c r="N337" s="478">
        <v>1</v>
      </c>
      <c r="O337" s="479"/>
      <c r="P337" s="479"/>
      <c r="Q337" s="479"/>
      <c r="R337" s="476"/>
      <c r="S337" s="479">
        <v>0.19565972222222219</v>
      </c>
      <c r="T337" s="479">
        <v>0.26232638888888887</v>
      </c>
      <c r="U337" s="479"/>
      <c r="V337" s="479"/>
      <c r="W337" s="479">
        <v>0.48600694444444442</v>
      </c>
      <c r="X337" s="479">
        <v>0.70968749999999992</v>
      </c>
      <c r="Y337" s="479">
        <v>0.59375</v>
      </c>
      <c r="Z337" s="479">
        <v>0.80208333333333337</v>
      </c>
      <c r="AA337" s="479" t="s">
        <v>1107</v>
      </c>
      <c r="AB337" s="476" t="s">
        <v>6464</v>
      </c>
      <c r="AC337" s="478">
        <v>130</v>
      </c>
      <c r="AD337" s="476" t="s">
        <v>113</v>
      </c>
      <c r="AE337" s="476"/>
      <c r="AF337" s="478">
        <v>39.9</v>
      </c>
      <c r="AG337" s="477">
        <v>61.1</v>
      </c>
      <c r="AH337" s="476" t="s">
        <v>6306</v>
      </c>
      <c r="AI337" s="476" t="s">
        <v>6329</v>
      </c>
      <c r="AJ337" s="476" t="s">
        <v>6493</v>
      </c>
      <c r="AK337" s="476" t="s">
        <v>6493</v>
      </c>
      <c r="AL337" s="476"/>
      <c r="AM337" s="476"/>
      <c r="AN337" s="476"/>
      <c r="AO337" s="476"/>
      <c r="AP337" s="476"/>
      <c r="AQ337" s="476"/>
      <c r="AR337" s="476"/>
      <c r="AS337" s="476"/>
      <c r="AT337" s="476"/>
      <c r="AU337" s="476"/>
      <c r="AV337" s="476"/>
      <c r="AW337" s="476"/>
      <c r="AX337" s="476"/>
      <c r="AY337" s="476"/>
      <c r="AZ337" s="476"/>
      <c r="BA337" s="476"/>
      <c r="BB337" s="476"/>
      <c r="BC337" s="476"/>
      <c r="BD337" s="476"/>
      <c r="BE337" s="476"/>
      <c r="BF337" s="476"/>
      <c r="BG337" s="476"/>
      <c r="BH337" s="476"/>
      <c r="BI337" s="476"/>
      <c r="BJ337" s="476"/>
      <c r="BK337" s="476"/>
      <c r="BL337" s="480"/>
    </row>
    <row r="338" spans="1:64">
      <c r="A338" s="468">
        <v>44129</v>
      </c>
      <c r="B338" s="473">
        <v>299</v>
      </c>
      <c r="C338" s="473">
        <v>67</v>
      </c>
      <c r="D338" s="470" t="s">
        <v>634</v>
      </c>
      <c r="E338" s="469">
        <v>43</v>
      </c>
      <c r="F338" s="470" t="s">
        <v>106</v>
      </c>
      <c r="G338" s="469">
        <v>534</v>
      </c>
      <c r="H338" s="470" t="s">
        <v>6254</v>
      </c>
      <c r="I338" s="470" t="s">
        <v>6257</v>
      </c>
      <c r="J338" s="469">
        <v>25</v>
      </c>
      <c r="K338" s="470" t="s">
        <v>6265</v>
      </c>
      <c r="L338" s="470" t="s">
        <v>6281</v>
      </c>
      <c r="M338" s="470" t="s">
        <v>9</v>
      </c>
      <c r="N338" s="473">
        <v>1</v>
      </c>
      <c r="O338" s="471"/>
      <c r="P338" s="471"/>
      <c r="Q338" s="471"/>
      <c r="R338" s="470"/>
      <c r="S338" s="471">
        <v>0.19644675925925925</v>
      </c>
      <c r="T338" s="471">
        <v>0.26311342592592596</v>
      </c>
      <c r="U338" s="471"/>
      <c r="V338" s="471"/>
      <c r="W338" s="471">
        <v>0.48592592592592593</v>
      </c>
      <c r="X338" s="471">
        <v>0.70873842592592595</v>
      </c>
      <c r="Y338" s="471">
        <v>0.61597222222222225</v>
      </c>
      <c r="Z338" s="471">
        <v>0.83472222222222225</v>
      </c>
      <c r="AA338" s="471">
        <v>1.0416666666666666E-2</v>
      </c>
      <c r="AB338" s="470" t="s">
        <v>6464</v>
      </c>
      <c r="AC338" s="473">
        <v>130</v>
      </c>
      <c r="AD338" s="470" t="s">
        <v>113</v>
      </c>
      <c r="AE338" s="470"/>
      <c r="AF338" s="473">
        <v>36.1</v>
      </c>
      <c r="AG338" s="469">
        <v>55.2</v>
      </c>
      <c r="AH338" s="470" t="s">
        <v>6307</v>
      </c>
      <c r="AI338" s="470" t="s">
        <v>6330</v>
      </c>
      <c r="AJ338" s="470" t="s">
        <v>839</v>
      </c>
      <c r="AK338" s="470" t="s">
        <v>6493</v>
      </c>
      <c r="AL338" s="470" t="s">
        <v>813</v>
      </c>
      <c r="AM338" s="470" t="s">
        <v>6344</v>
      </c>
      <c r="AN338" s="470" t="s">
        <v>6966</v>
      </c>
      <c r="AO338" s="470" t="s">
        <v>6345</v>
      </c>
      <c r="AP338" s="470" t="s">
        <v>7037</v>
      </c>
      <c r="AQ338" s="470" t="s">
        <v>6349</v>
      </c>
      <c r="AR338" s="470"/>
      <c r="AS338" s="470"/>
      <c r="AT338" s="470"/>
      <c r="AU338" s="470"/>
      <c r="AV338" s="470"/>
      <c r="AW338" s="470"/>
      <c r="AX338" s="470"/>
      <c r="AY338" s="470"/>
      <c r="AZ338" s="470"/>
      <c r="BA338" s="470"/>
      <c r="BB338" s="470"/>
      <c r="BC338" s="470"/>
      <c r="BD338" s="470"/>
      <c r="BE338" s="470"/>
      <c r="BF338" s="470"/>
      <c r="BG338" s="470"/>
      <c r="BH338" s="470"/>
      <c r="BI338" s="470"/>
      <c r="BJ338" s="470" t="s">
        <v>6437</v>
      </c>
      <c r="BK338" s="470" t="s">
        <v>990</v>
      </c>
      <c r="BL338" s="474"/>
    </row>
    <row r="339" spans="1:64">
      <c r="A339" s="475">
        <v>44130</v>
      </c>
      <c r="B339" s="478">
        <v>300</v>
      </c>
      <c r="C339" s="478">
        <v>66</v>
      </c>
      <c r="D339" s="476" t="s">
        <v>634</v>
      </c>
      <c r="E339" s="477">
        <v>44</v>
      </c>
      <c r="F339" s="476" t="s">
        <v>88</v>
      </c>
      <c r="G339" s="477">
        <v>534</v>
      </c>
      <c r="H339" s="476" t="s">
        <v>6254</v>
      </c>
      <c r="I339" s="476" t="s">
        <v>6257</v>
      </c>
      <c r="J339" s="477">
        <v>26</v>
      </c>
      <c r="K339" s="476" t="s">
        <v>6271</v>
      </c>
      <c r="L339" s="476" t="s">
        <v>6282</v>
      </c>
      <c r="M339" s="476" t="s">
        <v>9</v>
      </c>
      <c r="N339" s="478">
        <v>1</v>
      </c>
      <c r="O339" s="479"/>
      <c r="P339" s="479"/>
      <c r="Q339" s="479"/>
      <c r="R339" s="476"/>
      <c r="S339" s="479">
        <v>0.19723379629629631</v>
      </c>
      <c r="T339" s="479">
        <v>0.26390046296296293</v>
      </c>
      <c r="U339" s="479"/>
      <c r="V339" s="479"/>
      <c r="W339" s="479">
        <v>0.48585648148148147</v>
      </c>
      <c r="X339" s="479">
        <v>0.70781250000000007</v>
      </c>
      <c r="Y339" s="479">
        <v>0.63541666666666663</v>
      </c>
      <c r="Z339" s="479">
        <v>0.8652777777777777</v>
      </c>
      <c r="AA339" s="479">
        <v>5.347222222222222E-2</v>
      </c>
      <c r="AB339" s="476" t="s">
        <v>6464</v>
      </c>
      <c r="AC339" s="478">
        <v>130</v>
      </c>
      <c r="AD339" s="476" t="s">
        <v>113</v>
      </c>
      <c r="AE339" s="476"/>
      <c r="AF339" s="478">
        <v>30.4</v>
      </c>
      <c r="AG339" s="477">
        <v>47.6</v>
      </c>
      <c r="AH339" s="476" t="s">
        <v>6308</v>
      </c>
      <c r="AI339" s="476" t="s">
        <v>6331</v>
      </c>
      <c r="AJ339" s="476" t="s">
        <v>838</v>
      </c>
      <c r="AK339" s="476" t="s">
        <v>13</v>
      </c>
      <c r="AL339" s="476" t="s">
        <v>6831</v>
      </c>
      <c r="AM339" s="476" t="s">
        <v>6342</v>
      </c>
      <c r="AN339" s="476" t="s">
        <v>6905</v>
      </c>
      <c r="AO339" s="476" t="s">
        <v>6351</v>
      </c>
      <c r="AP339" s="476" t="s">
        <v>7038</v>
      </c>
      <c r="AQ339" s="476" t="s">
        <v>6349</v>
      </c>
      <c r="AR339" s="476"/>
      <c r="AS339" s="476"/>
      <c r="AT339" s="476"/>
      <c r="AU339" s="476"/>
      <c r="AV339" s="476"/>
      <c r="AW339" s="476"/>
      <c r="AX339" s="476"/>
      <c r="AY339" s="476"/>
      <c r="AZ339" s="476"/>
      <c r="BA339" s="476"/>
      <c r="BB339" s="476"/>
      <c r="BC339" s="476"/>
      <c r="BD339" s="476"/>
      <c r="BE339" s="476"/>
      <c r="BF339" s="476"/>
      <c r="BG339" s="476"/>
      <c r="BH339" s="476"/>
      <c r="BI339" s="476"/>
      <c r="BJ339" s="476"/>
      <c r="BK339" s="476" t="s">
        <v>991</v>
      </c>
      <c r="BL339" s="480"/>
    </row>
    <row r="340" spans="1:64">
      <c r="A340" s="468">
        <v>44131</v>
      </c>
      <c r="B340" s="473">
        <v>301</v>
      </c>
      <c r="C340" s="473">
        <v>65</v>
      </c>
      <c r="D340" s="470" t="s">
        <v>634</v>
      </c>
      <c r="E340" s="469">
        <v>44</v>
      </c>
      <c r="F340" s="470" t="s">
        <v>91</v>
      </c>
      <c r="G340" s="469">
        <v>534</v>
      </c>
      <c r="H340" s="470" t="s">
        <v>6254</v>
      </c>
      <c r="I340" s="470" t="s">
        <v>6257</v>
      </c>
      <c r="J340" s="469">
        <v>27</v>
      </c>
      <c r="K340" s="470" t="s">
        <v>6266</v>
      </c>
      <c r="L340" s="470" t="s">
        <v>6283</v>
      </c>
      <c r="M340" s="470" t="s">
        <v>9</v>
      </c>
      <c r="N340" s="473">
        <v>1</v>
      </c>
      <c r="O340" s="471"/>
      <c r="P340" s="471"/>
      <c r="Q340" s="471"/>
      <c r="R340" s="470"/>
      <c r="S340" s="471">
        <v>0.19803240740740743</v>
      </c>
      <c r="T340" s="471">
        <v>0.26469907407407406</v>
      </c>
      <c r="U340" s="471">
        <v>0.28472222222222221</v>
      </c>
      <c r="V340" s="471">
        <v>0.41180555555555554</v>
      </c>
      <c r="W340" s="471">
        <v>0.48579861111111106</v>
      </c>
      <c r="X340" s="471">
        <v>0.70689814814814811</v>
      </c>
      <c r="Y340" s="471">
        <v>0.65277777777777779</v>
      </c>
      <c r="Z340" s="471">
        <v>0.89444444444444438</v>
      </c>
      <c r="AA340" s="471">
        <v>9.5833333333333326E-2</v>
      </c>
      <c r="AB340" s="470" t="s">
        <v>6464</v>
      </c>
      <c r="AC340" s="473">
        <v>130</v>
      </c>
      <c r="AD340" s="470" t="s">
        <v>113</v>
      </c>
      <c r="AE340" s="470"/>
      <c r="AF340" s="473">
        <v>23.2</v>
      </c>
      <c r="AG340" s="469">
        <v>38.6</v>
      </c>
      <c r="AH340" s="470" t="s">
        <v>6309</v>
      </c>
      <c r="AI340" s="470" t="s">
        <v>6332</v>
      </c>
      <c r="AJ340" s="470" t="s">
        <v>839</v>
      </c>
      <c r="AK340" s="470" t="s">
        <v>6493</v>
      </c>
      <c r="AL340" s="470" t="s">
        <v>6832</v>
      </c>
      <c r="AM340" s="470" t="s">
        <v>6343</v>
      </c>
      <c r="AN340" s="470" t="s">
        <v>6967</v>
      </c>
      <c r="AO340" s="470" t="s">
        <v>6346</v>
      </c>
      <c r="AP340" s="470" t="s">
        <v>7039</v>
      </c>
      <c r="AQ340" s="470" t="s">
        <v>6346</v>
      </c>
      <c r="AR340" s="470" t="s">
        <v>7065</v>
      </c>
      <c r="AS340" s="470" t="s">
        <v>6346</v>
      </c>
      <c r="AT340" s="470"/>
      <c r="AU340" s="470"/>
      <c r="AV340" s="470"/>
      <c r="AW340" s="470"/>
      <c r="AX340" s="470"/>
      <c r="AY340" s="470"/>
      <c r="AZ340" s="470"/>
      <c r="BA340" s="470"/>
      <c r="BB340" s="470"/>
      <c r="BC340" s="470"/>
      <c r="BD340" s="470"/>
      <c r="BE340" s="470"/>
      <c r="BF340" s="470"/>
      <c r="BG340" s="470"/>
      <c r="BH340" s="470"/>
      <c r="BI340" s="470"/>
      <c r="BJ340" s="470" t="s">
        <v>6407</v>
      </c>
      <c r="BK340" s="470"/>
      <c r="BL340" s="474"/>
    </row>
    <row r="341" spans="1:64">
      <c r="A341" s="475">
        <v>44132</v>
      </c>
      <c r="B341" s="478">
        <v>302</v>
      </c>
      <c r="C341" s="478">
        <v>64</v>
      </c>
      <c r="D341" s="476" t="s">
        <v>634</v>
      </c>
      <c r="E341" s="477">
        <v>44</v>
      </c>
      <c r="F341" s="476" t="s">
        <v>94</v>
      </c>
      <c r="G341" s="477">
        <v>534</v>
      </c>
      <c r="H341" s="476" t="s">
        <v>6254</v>
      </c>
      <c r="I341" s="476" t="s">
        <v>6257</v>
      </c>
      <c r="J341" s="477">
        <v>28</v>
      </c>
      <c r="K341" s="476" t="s">
        <v>6267</v>
      </c>
      <c r="L341" s="476" t="s">
        <v>6284</v>
      </c>
      <c r="M341" s="476" t="s">
        <v>9</v>
      </c>
      <c r="N341" s="478">
        <v>1</v>
      </c>
      <c r="O341" s="479"/>
      <c r="P341" s="479"/>
      <c r="Q341" s="479"/>
      <c r="R341" s="476"/>
      <c r="S341" s="479">
        <v>0.1988310185185185</v>
      </c>
      <c r="T341" s="479">
        <v>0.26549768518518518</v>
      </c>
      <c r="U341" s="479"/>
      <c r="V341" s="479"/>
      <c r="W341" s="479">
        <v>0.48575231481481485</v>
      </c>
      <c r="X341" s="479">
        <v>0.70600694444444445</v>
      </c>
      <c r="Y341" s="479">
        <v>0.66875000000000007</v>
      </c>
      <c r="Z341" s="479">
        <v>0.92222222222222217</v>
      </c>
      <c r="AA341" s="479">
        <v>0.13749999999999998</v>
      </c>
      <c r="AB341" s="476" t="s">
        <v>6464</v>
      </c>
      <c r="AC341" s="478">
        <v>130</v>
      </c>
      <c r="AD341" s="476" t="s">
        <v>113</v>
      </c>
      <c r="AE341" s="476"/>
      <c r="AF341" s="478">
        <v>15</v>
      </c>
      <c r="AG341" s="477">
        <v>28.7</v>
      </c>
      <c r="AH341" s="476" t="s">
        <v>6310</v>
      </c>
      <c r="AI341" s="476" t="s">
        <v>6333</v>
      </c>
      <c r="AJ341" s="476" t="s">
        <v>6493</v>
      </c>
      <c r="AK341" s="476" t="s">
        <v>6493</v>
      </c>
      <c r="AL341" s="476" t="s">
        <v>785</v>
      </c>
      <c r="AM341" s="476"/>
      <c r="AN341" s="476"/>
      <c r="AO341" s="476"/>
      <c r="AP341" s="476"/>
      <c r="AQ341" s="476"/>
      <c r="AR341" s="476"/>
      <c r="AS341" s="476"/>
      <c r="AT341" s="476"/>
      <c r="AU341" s="476"/>
      <c r="AV341" s="476"/>
      <c r="AW341" s="476"/>
      <c r="AX341" s="476"/>
      <c r="AY341" s="476"/>
      <c r="AZ341" s="476"/>
      <c r="BA341" s="476"/>
      <c r="BB341" s="476"/>
      <c r="BC341" s="476"/>
      <c r="BD341" s="476"/>
      <c r="BE341" s="476"/>
      <c r="BF341" s="476"/>
      <c r="BG341" s="476"/>
      <c r="BH341" s="476"/>
      <c r="BI341" s="476"/>
      <c r="BJ341" s="476"/>
      <c r="BK341" s="476"/>
      <c r="BL341" s="480"/>
    </row>
    <row r="342" spans="1:64">
      <c r="A342" s="468">
        <v>44133</v>
      </c>
      <c r="B342" s="473">
        <v>303</v>
      </c>
      <c r="C342" s="473">
        <v>63</v>
      </c>
      <c r="D342" s="470" t="s">
        <v>634</v>
      </c>
      <c r="E342" s="469">
        <v>44</v>
      </c>
      <c r="F342" s="470" t="s">
        <v>6714</v>
      </c>
      <c r="G342" s="469">
        <v>534</v>
      </c>
      <c r="H342" s="470" t="s">
        <v>6254</v>
      </c>
      <c r="I342" s="470" t="s">
        <v>6257</v>
      </c>
      <c r="J342" s="469">
        <v>29</v>
      </c>
      <c r="K342" s="470" t="s">
        <v>6268</v>
      </c>
      <c r="L342" s="470" t="s">
        <v>6284</v>
      </c>
      <c r="M342" s="470" t="s">
        <v>9</v>
      </c>
      <c r="N342" s="473">
        <v>1</v>
      </c>
      <c r="O342" s="471"/>
      <c r="P342" s="471"/>
      <c r="Q342" s="471"/>
      <c r="R342" s="470"/>
      <c r="S342" s="471">
        <v>0.19964120370370372</v>
      </c>
      <c r="T342" s="471">
        <v>0.26630787037037035</v>
      </c>
      <c r="U342" s="471"/>
      <c r="V342" s="471"/>
      <c r="W342" s="471">
        <v>0.48570601851851852</v>
      </c>
      <c r="X342" s="471">
        <v>0.70511574074074079</v>
      </c>
      <c r="Y342" s="471">
        <v>0.68402777777777779</v>
      </c>
      <c r="Z342" s="471">
        <v>0.94930555555555562</v>
      </c>
      <c r="AA342" s="471">
        <v>0.17777777777777778</v>
      </c>
      <c r="AB342" s="470" t="s">
        <v>6464</v>
      </c>
      <c r="AC342" s="473">
        <v>130</v>
      </c>
      <c r="AD342" s="470" t="s">
        <v>113</v>
      </c>
      <c r="AE342" s="470"/>
      <c r="AF342" s="473">
        <v>6</v>
      </c>
      <c r="AG342" s="469">
        <v>18.100000000000001</v>
      </c>
      <c r="AH342" s="470" t="s">
        <v>6311</v>
      </c>
      <c r="AI342" s="470" t="s">
        <v>6334</v>
      </c>
      <c r="AJ342" s="470" t="s">
        <v>6493</v>
      </c>
      <c r="AK342" s="470" t="s">
        <v>6493</v>
      </c>
      <c r="AL342" s="470"/>
      <c r="AM342" s="470"/>
      <c r="AN342" s="470"/>
      <c r="AO342" s="470"/>
      <c r="AP342" s="470"/>
      <c r="AQ342" s="470"/>
      <c r="AR342" s="470"/>
      <c r="AS342" s="470"/>
      <c r="AT342" s="470"/>
      <c r="AU342" s="470"/>
      <c r="AV342" s="470"/>
      <c r="AW342" s="470"/>
      <c r="AX342" s="470"/>
      <c r="AY342" s="470"/>
      <c r="AZ342" s="470"/>
      <c r="BA342" s="470"/>
      <c r="BB342" s="470"/>
      <c r="BC342" s="470"/>
      <c r="BD342" s="470"/>
      <c r="BE342" s="470"/>
      <c r="BF342" s="470"/>
      <c r="BG342" s="470"/>
      <c r="BH342" s="470"/>
      <c r="BI342" s="470"/>
      <c r="BJ342" s="470"/>
      <c r="BK342" s="470"/>
      <c r="BL342" s="474"/>
    </row>
    <row r="343" spans="1:64">
      <c r="A343" s="475">
        <v>44134</v>
      </c>
      <c r="B343" s="478">
        <v>304</v>
      </c>
      <c r="C343" s="478">
        <v>62</v>
      </c>
      <c r="D343" s="476" t="s">
        <v>634</v>
      </c>
      <c r="E343" s="477">
        <v>44</v>
      </c>
      <c r="F343" s="476" t="s">
        <v>100</v>
      </c>
      <c r="G343" s="477">
        <v>534</v>
      </c>
      <c r="H343" s="476" t="s">
        <v>6254</v>
      </c>
      <c r="I343" s="476" t="s">
        <v>6257</v>
      </c>
      <c r="J343" s="477">
        <v>29</v>
      </c>
      <c r="K343" s="476" t="s">
        <v>6268</v>
      </c>
      <c r="L343" s="476" t="s">
        <v>6285</v>
      </c>
      <c r="M343" s="476" t="s">
        <v>10</v>
      </c>
      <c r="N343" s="478">
        <v>1</v>
      </c>
      <c r="O343" s="479"/>
      <c r="P343" s="479"/>
      <c r="Q343" s="479"/>
      <c r="R343" s="476"/>
      <c r="S343" s="479">
        <v>0.20043981481481479</v>
      </c>
      <c r="T343" s="479">
        <v>0.26710648148148147</v>
      </c>
      <c r="U343" s="479"/>
      <c r="V343" s="479"/>
      <c r="W343" s="479">
        <v>0.48568287037037039</v>
      </c>
      <c r="X343" s="479">
        <v>0.70424768518518521</v>
      </c>
      <c r="Y343" s="479">
        <v>0.70000000000000007</v>
      </c>
      <c r="Z343" s="479">
        <v>0.9784722222222223</v>
      </c>
      <c r="AA343" s="479">
        <v>0.21875</v>
      </c>
      <c r="AB343" s="476" t="s">
        <v>6464</v>
      </c>
      <c r="AC343" s="478">
        <v>130</v>
      </c>
      <c r="AD343" s="476" t="s">
        <v>113</v>
      </c>
      <c r="AE343" s="476"/>
      <c r="AF343" s="478">
        <v>96.6</v>
      </c>
      <c r="AG343" s="477">
        <v>7.2</v>
      </c>
      <c r="AH343" s="476" t="s">
        <v>6312</v>
      </c>
      <c r="AI343" s="476" t="s">
        <v>6335</v>
      </c>
      <c r="AJ343" s="476" t="s">
        <v>839</v>
      </c>
      <c r="AK343" s="476" t="s">
        <v>6493</v>
      </c>
      <c r="AL343" s="476" t="s">
        <v>6833</v>
      </c>
      <c r="AM343" s="476" t="s">
        <v>6349</v>
      </c>
      <c r="AN343" s="476" t="s">
        <v>6727</v>
      </c>
      <c r="AO343" s="476"/>
      <c r="AP343" s="476" t="s">
        <v>787</v>
      </c>
      <c r="AQ343" s="476"/>
      <c r="AR343" s="476"/>
      <c r="AS343" s="476"/>
      <c r="AT343" s="476"/>
      <c r="AU343" s="476"/>
      <c r="AV343" s="476"/>
      <c r="AW343" s="476"/>
      <c r="AX343" s="476"/>
      <c r="AY343" s="476"/>
      <c r="AZ343" s="476"/>
      <c r="BA343" s="476"/>
      <c r="BB343" s="476"/>
      <c r="BC343" s="476"/>
      <c r="BD343" s="476"/>
      <c r="BE343" s="476"/>
      <c r="BF343" s="476"/>
      <c r="BG343" s="476"/>
      <c r="BH343" s="476"/>
      <c r="BI343" s="476"/>
      <c r="BJ343" s="476"/>
      <c r="BK343" s="476" t="s">
        <v>992</v>
      </c>
      <c r="BL343" s="480"/>
    </row>
    <row r="344" spans="1:64">
      <c r="A344" s="468">
        <v>44135</v>
      </c>
      <c r="B344" s="473">
        <v>305</v>
      </c>
      <c r="C344" s="473">
        <v>61</v>
      </c>
      <c r="D344" s="470" t="s">
        <v>634</v>
      </c>
      <c r="E344" s="469">
        <v>44</v>
      </c>
      <c r="F344" s="470" t="s">
        <v>103</v>
      </c>
      <c r="G344" s="469">
        <v>534</v>
      </c>
      <c r="H344" s="470" t="s">
        <v>6254</v>
      </c>
      <c r="I344" s="470" t="s">
        <v>6257</v>
      </c>
      <c r="J344" s="469">
        <v>30</v>
      </c>
      <c r="K344" s="470" t="s">
        <v>6272</v>
      </c>
      <c r="L344" s="470" t="s">
        <v>6288</v>
      </c>
      <c r="M344" s="470" t="s">
        <v>9</v>
      </c>
      <c r="N344" s="473">
        <v>1</v>
      </c>
      <c r="O344" s="471"/>
      <c r="P344" s="471"/>
      <c r="Q344" s="471"/>
      <c r="R344" s="470"/>
      <c r="S344" s="471">
        <v>0.20125000000000001</v>
      </c>
      <c r="T344" s="471">
        <v>0.26791666666666664</v>
      </c>
      <c r="U344" s="471"/>
      <c r="V344" s="471"/>
      <c r="W344" s="471">
        <v>0.48565972222222226</v>
      </c>
      <c r="X344" s="471">
        <v>0.70339120370370367</v>
      </c>
      <c r="Y344" s="471">
        <v>0.71736111111111101</v>
      </c>
      <c r="Z344" s="471" t="s">
        <v>1107</v>
      </c>
      <c r="AA344" s="471">
        <v>0.25972222222222224</v>
      </c>
      <c r="AB344" s="470" t="s">
        <v>6462</v>
      </c>
      <c r="AC344" s="473">
        <v>129</v>
      </c>
      <c r="AD344" s="470" t="s">
        <v>116</v>
      </c>
      <c r="AE344" s="470" t="s">
        <v>6546</v>
      </c>
      <c r="AF344" s="473">
        <v>87.1</v>
      </c>
      <c r="AG344" s="469">
        <v>96.1</v>
      </c>
      <c r="AH344" s="470" t="s">
        <v>6312</v>
      </c>
      <c r="AI344" s="470" t="s">
        <v>6336</v>
      </c>
      <c r="AJ344" s="470" t="s">
        <v>839</v>
      </c>
      <c r="AK344" s="470" t="s">
        <v>6493</v>
      </c>
      <c r="AL344" s="470" t="s">
        <v>817</v>
      </c>
      <c r="AM344" s="470" t="s">
        <v>6344</v>
      </c>
      <c r="AN344" s="470" t="s">
        <v>6968</v>
      </c>
      <c r="AO344" s="470" t="s">
        <v>6346</v>
      </c>
      <c r="AP344" s="470" t="s">
        <v>1242</v>
      </c>
      <c r="AQ344" s="470" t="s">
        <v>6162</v>
      </c>
      <c r="AR344" s="470" t="s">
        <v>7066</v>
      </c>
      <c r="AS344" s="470" t="s">
        <v>6349</v>
      </c>
      <c r="AT344" s="470" t="s">
        <v>7080</v>
      </c>
      <c r="AU344" s="470" t="s">
        <v>6349</v>
      </c>
      <c r="AV344" s="470" t="s">
        <v>6822</v>
      </c>
      <c r="AW344" s="470"/>
      <c r="AX344" s="470"/>
      <c r="AY344" s="470"/>
      <c r="AZ344" s="470"/>
      <c r="BA344" s="470"/>
      <c r="BB344" s="470"/>
      <c r="BC344" s="470"/>
      <c r="BD344" s="470"/>
      <c r="BE344" s="470"/>
      <c r="BF344" s="470"/>
      <c r="BG344" s="470"/>
      <c r="BH344" s="470"/>
      <c r="BI344" s="470"/>
      <c r="BJ344" s="470" t="s">
        <v>6408</v>
      </c>
      <c r="BK344" s="470" t="s">
        <v>993</v>
      </c>
      <c r="BL344" s="474" t="s">
        <v>1000</v>
      </c>
    </row>
    <row r="345" spans="1:64">
      <c r="A345" s="475">
        <v>44136</v>
      </c>
      <c r="B345" s="478">
        <v>306</v>
      </c>
      <c r="C345" s="478">
        <v>60</v>
      </c>
      <c r="D345" s="476" t="s">
        <v>637</v>
      </c>
      <c r="E345" s="477">
        <v>44</v>
      </c>
      <c r="F345" s="476" t="s">
        <v>106</v>
      </c>
      <c r="G345" s="477">
        <v>534</v>
      </c>
      <c r="H345" s="476" t="s">
        <v>6255</v>
      </c>
      <c r="I345" s="476" t="s">
        <v>836</v>
      </c>
      <c r="J345" s="477">
        <v>1</v>
      </c>
      <c r="K345" s="476" t="s">
        <v>6270</v>
      </c>
      <c r="L345" s="476" t="s">
        <v>6287</v>
      </c>
      <c r="M345" s="476" t="s">
        <v>9</v>
      </c>
      <c r="N345" s="478">
        <v>0</v>
      </c>
      <c r="O345" s="479"/>
      <c r="P345" s="479"/>
      <c r="Q345" s="479"/>
      <c r="R345" s="476"/>
      <c r="S345" s="479">
        <v>0.20206018518518518</v>
      </c>
      <c r="T345" s="479">
        <v>0.26872685185185186</v>
      </c>
      <c r="U345" s="479"/>
      <c r="V345" s="479"/>
      <c r="W345" s="479">
        <v>0.48563657407407407</v>
      </c>
      <c r="X345" s="479">
        <v>0.70255787037037043</v>
      </c>
      <c r="Y345" s="479">
        <v>0.73611111111111116</v>
      </c>
      <c r="Z345" s="479">
        <v>6.9444444444444441E-3</v>
      </c>
      <c r="AA345" s="479">
        <v>0.30069444444444443</v>
      </c>
      <c r="AB345" s="476" t="s">
        <v>6462</v>
      </c>
      <c r="AC345" s="478">
        <v>129</v>
      </c>
      <c r="AD345" s="476" t="s">
        <v>116</v>
      </c>
      <c r="AE345" s="476"/>
      <c r="AF345" s="478">
        <v>77.599999999999994</v>
      </c>
      <c r="AG345" s="477">
        <v>85.1</v>
      </c>
      <c r="AH345" s="476" t="s">
        <v>6313</v>
      </c>
      <c r="AI345" s="476" t="s">
        <v>6337</v>
      </c>
      <c r="AJ345" s="476" t="s">
        <v>839</v>
      </c>
      <c r="AK345" s="476" t="s">
        <v>6493</v>
      </c>
      <c r="AL345" s="476" t="s">
        <v>6834</v>
      </c>
      <c r="AM345" s="476"/>
      <c r="AN345" s="476" t="s">
        <v>6969</v>
      </c>
      <c r="AO345" s="476" t="s">
        <v>6349</v>
      </c>
      <c r="AP345" s="476" t="s">
        <v>789</v>
      </c>
      <c r="AQ345" s="476"/>
      <c r="AR345" s="476"/>
      <c r="AS345" s="476"/>
      <c r="AT345" s="476"/>
      <c r="AU345" s="476"/>
      <c r="AV345" s="476"/>
      <c r="AW345" s="476"/>
      <c r="AX345" s="476"/>
      <c r="AY345" s="476"/>
      <c r="AZ345" s="476"/>
      <c r="BA345" s="476"/>
      <c r="BB345" s="476"/>
      <c r="BC345" s="476"/>
      <c r="BD345" s="476"/>
      <c r="BE345" s="476"/>
      <c r="BF345" s="476"/>
      <c r="BG345" s="476"/>
      <c r="BH345" s="476"/>
      <c r="BI345" s="476"/>
      <c r="BJ345" s="476"/>
      <c r="BK345" s="476" t="s">
        <v>994</v>
      </c>
      <c r="BL345" s="480"/>
    </row>
    <row r="346" spans="1:64">
      <c r="A346" s="468">
        <v>44137</v>
      </c>
      <c r="B346" s="473">
        <v>307</v>
      </c>
      <c r="C346" s="473">
        <v>59</v>
      </c>
      <c r="D346" s="470" t="s">
        <v>637</v>
      </c>
      <c r="E346" s="469">
        <v>45</v>
      </c>
      <c r="F346" s="470" t="s">
        <v>88</v>
      </c>
      <c r="G346" s="469">
        <v>534</v>
      </c>
      <c r="H346" s="470" t="s">
        <v>6255</v>
      </c>
      <c r="I346" s="470" t="s">
        <v>836</v>
      </c>
      <c r="J346" s="469">
        <v>2</v>
      </c>
      <c r="K346" s="470" t="s">
        <v>1034</v>
      </c>
      <c r="L346" s="470" t="s">
        <v>6273</v>
      </c>
      <c r="M346" s="470" t="s">
        <v>9</v>
      </c>
      <c r="N346" s="473">
        <v>0</v>
      </c>
      <c r="O346" s="471"/>
      <c r="P346" s="471"/>
      <c r="Q346" s="471"/>
      <c r="R346" s="470"/>
      <c r="S346" s="471">
        <v>0.20287037037037037</v>
      </c>
      <c r="T346" s="471">
        <v>0.26953703703703702</v>
      </c>
      <c r="U346" s="471"/>
      <c r="V346" s="471"/>
      <c r="W346" s="471">
        <v>0.48563657407407407</v>
      </c>
      <c r="X346" s="471">
        <v>0.70173611111111101</v>
      </c>
      <c r="Y346" s="471">
        <v>0.75763888888888886</v>
      </c>
      <c r="Z346" s="471">
        <v>3.7499999999999999E-2</v>
      </c>
      <c r="AA346" s="471">
        <v>0.3430555555555555</v>
      </c>
      <c r="AB346" s="470" t="s">
        <v>6462</v>
      </c>
      <c r="AC346" s="473">
        <v>129</v>
      </c>
      <c r="AD346" s="470" t="s">
        <v>116</v>
      </c>
      <c r="AE346" s="470"/>
      <c r="AF346" s="473">
        <v>68.5</v>
      </c>
      <c r="AG346" s="469">
        <v>74.3</v>
      </c>
      <c r="AH346" s="470" t="s">
        <v>6314</v>
      </c>
      <c r="AI346" s="470" t="s">
        <v>6338</v>
      </c>
      <c r="AJ346" s="470" t="s">
        <v>6493</v>
      </c>
      <c r="AK346" s="470" t="s">
        <v>6493</v>
      </c>
      <c r="AL346" s="470" t="s">
        <v>565</v>
      </c>
      <c r="AM346" s="470"/>
      <c r="AN346" s="470"/>
      <c r="AO346" s="470"/>
      <c r="AP346" s="470"/>
      <c r="AQ346" s="470"/>
      <c r="AR346" s="470"/>
      <c r="AS346" s="470"/>
      <c r="AT346" s="470"/>
      <c r="AU346" s="470"/>
      <c r="AV346" s="470"/>
      <c r="AW346" s="470"/>
      <c r="AX346" s="470"/>
      <c r="AY346" s="470"/>
      <c r="AZ346" s="470"/>
      <c r="BA346" s="470"/>
      <c r="BB346" s="470"/>
      <c r="BC346" s="470"/>
      <c r="BD346" s="470"/>
      <c r="BE346" s="470"/>
      <c r="BF346" s="470"/>
      <c r="BG346" s="470"/>
      <c r="BH346" s="470"/>
      <c r="BI346" s="470"/>
      <c r="BJ346" s="470"/>
      <c r="BK346" s="470"/>
      <c r="BL346" s="474"/>
    </row>
    <row r="347" spans="1:64">
      <c r="A347" s="475">
        <v>44138</v>
      </c>
      <c r="B347" s="478">
        <v>308</v>
      </c>
      <c r="C347" s="478">
        <v>58</v>
      </c>
      <c r="D347" s="476" t="s">
        <v>637</v>
      </c>
      <c r="E347" s="477">
        <v>45</v>
      </c>
      <c r="F347" s="476" t="s">
        <v>91</v>
      </c>
      <c r="G347" s="477">
        <v>534</v>
      </c>
      <c r="H347" s="476" t="s">
        <v>6255</v>
      </c>
      <c r="I347" s="476" t="s">
        <v>836</v>
      </c>
      <c r="J347" s="477">
        <v>3</v>
      </c>
      <c r="K347" s="476" t="s">
        <v>6258</v>
      </c>
      <c r="L347" s="476" t="s">
        <v>6274</v>
      </c>
      <c r="M347" s="476" t="s">
        <v>9</v>
      </c>
      <c r="N347" s="478">
        <v>0</v>
      </c>
      <c r="O347" s="479"/>
      <c r="P347" s="479"/>
      <c r="Q347" s="479"/>
      <c r="R347" s="476"/>
      <c r="S347" s="479">
        <v>0.20368055555555556</v>
      </c>
      <c r="T347" s="479">
        <v>0.27034722222222224</v>
      </c>
      <c r="U347" s="479"/>
      <c r="V347" s="479"/>
      <c r="W347" s="479">
        <v>0.48564814814814811</v>
      </c>
      <c r="X347" s="479">
        <v>0.7009375000000001</v>
      </c>
      <c r="Y347" s="479">
        <v>0.78263888888888899</v>
      </c>
      <c r="Z347" s="479">
        <v>6.9444444444444434E-2</v>
      </c>
      <c r="AA347" s="479">
        <v>0.38472222222222219</v>
      </c>
      <c r="AB347" s="476" t="s">
        <v>6462</v>
      </c>
      <c r="AC347" s="478">
        <v>129</v>
      </c>
      <c r="AD347" s="476" t="s">
        <v>116</v>
      </c>
      <c r="AE347" s="476"/>
      <c r="AF347" s="478">
        <v>59.9</v>
      </c>
      <c r="AG347" s="477">
        <v>64.099999999999994</v>
      </c>
      <c r="AH347" s="476" t="s">
        <v>973</v>
      </c>
      <c r="AI347" s="476" t="s">
        <v>6339</v>
      </c>
      <c r="AJ347" s="476" t="s">
        <v>6493</v>
      </c>
      <c r="AK347" s="476" t="s">
        <v>6493</v>
      </c>
      <c r="AL347" s="476"/>
      <c r="AM347" s="476"/>
      <c r="AN347" s="476"/>
      <c r="AO347" s="476"/>
      <c r="AP347" s="476"/>
      <c r="AQ347" s="476"/>
      <c r="AR347" s="476"/>
      <c r="AS347" s="476"/>
      <c r="AT347" s="476"/>
      <c r="AU347" s="476"/>
      <c r="AV347" s="476"/>
      <c r="AW347" s="476"/>
      <c r="AX347" s="476"/>
      <c r="AY347" s="476"/>
      <c r="AZ347" s="476"/>
      <c r="BA347" s="476"/>
      <c r="BB347" s="476"/>
      <c r="BC347" s="476"/>
      <c r="BD347" s="476"/>
      <c r="BE347" s="476"/>
      <c r="BF347" s="476"/>
      <c r="BG347" s="476"/>
      <c r="BH347" s="476"/>
      <c r="BI347" s="476"/>
      <c r="BJ347" s="476"/>
      <c r="BK347" s="476"/>
      <c r="BL347" s="480"/>
    </row>
    <row r="348" spans="1:64">
      <c r="A348" s="468">
        <v>44139</v>
      </c>
      <c r="B348" s="473">
        <v>309</v>
      </c>
      <c r="C348" s="473">
        <v>57</v>
      </c>
      <c r="D348" s="470" t="s">
        <v>637</v>
      </c>
      <c r="E348" s="469">
        <v>45</v>
      </c>
      <c r="F348" s="470" t="s">
        <v>94</v>
      </c>
      <c r="G348" s="469">
        <v>534</v>
      </c>
      <c r="H348" s="470" t="s">
        <v>6255</v>
      </c>
      <c r="I348" s="470" t="s">
        <v>836</v>
      </c>
      <c r="J348" s="469">
        <v>4</v>
      </c>
      <c r="K348" s="470" t="s">
        <v>6259</v>
      </c>
      <c r="L348" s="470" t="s">
        <v>6275</v>
      </c>
      <c r="M348" s="470" t="s">
        <v>9</v>
      </c>
      <c r="N348" s="473">
        <v>0</v>
      </c>
      <c r="O348" s="471"/>
      <c r="P348" s="471"/>
      <c r="Q348" s="471"/>
      <c r="R348" s="470"/>
      <c r="S348" s="471">
        <v>0.20450231481481482</v>
      </c>
      <c r="T348" s="471">
        <v>0.2711689814814815</v>
      </c>
      <c r="U348" s="471"/>
      <c r="V348" s="471"/>
      <c r="W348" s="471">
        <v>0.48565972222222226</v>
      </c>
      <c r="X348" s="471">
        <v>0.70015046296296291</v>
      </c>
      <c r="Y348" s="471">
        <v>0.81319444444444444</v>
      </c>
      <c r="Z348" s="471">
        <v>0.10347222222222223</v>
      </c>
      <c r="AA348" s="471">
        <v>0.42569444444444443</v>
      </c>
      <c r="AB348" s="470" t="s">
        <v>6462</v>
      </c>
      <c r="AC348" s="473">
        <v>129</v>
      </c>
      <c r="AD348" s="470" t="s">
        <v>116</v>
      </c>
      <c r="AE348" s="470"/>
      <c r="AF348" s="473">
        <v>52.3</v>
      </c>
      <c r="AG348" s="469">
        <v>54.8</v>
      </c>
      <c r="AH348" s="470" t="s">
        <v>6290</v>
      </c>
      <c r="AI348" s="470" t="s">
        <v>6340</v>
      </c>
      <c r="AJ348" s="470" t="s">
        <v>6493</v>
      </c>
      <c r="AK348" s="470" t="s">
        <v>6493</v>
      </c>
      <c r="AL348" s="470"/>
      <c r="AM348" s="470"/>
      <c r="AN348" s="470"/>
      <c r="AO348" s="470"/>
      <c r="AP348" s="470"/>
      <c r="AQ348" s="470"/>
      <c r="AR348" s="470"/>
      <c r="AS348" s="470"/>
      <c r="AT348" s="470"/>
      <c r="AU348" s="470"/>
      <c r="AV348" s="470"/>
      <c r="AW348" s="470"/>
      <c r="AX348" s="470"/>
      <c r="AY348" s="470"/>
      <c r="AZ348" s="470"/>
      <c r="BA348" s="470"/>
      <c r="BB348" s="470"/>
      <c r="BC348" s="470"/>
      <c r="BD348" s="470"/>
      <c r="BE348" s="470"/>
      <c r="BF348" s="470"/>
      <c r="BG348" s="470"/>
      <c r="BH348" s="470"/>
      <c r="BI348" s="470"/>
      <c r="BJ348" s="470"/>
      <c r="BK348" s="470"/>
      <c r="BL348" s="474"/>
    </row>
    <row r="349" spans="1:64">
      <c r="A349" s="475">
        <v>44140</v>
      </c>
      <c r="B349" s="478">
        <v>310</v>
      </c>
      <c r="C349" s="478">
        <v>56</v>
      </c>
      <c r="D349" s="476" t="s">
        <v>637</v>
      </c>
      <c r="E349" s="477">
        <v>45</v>
      </c>
      <c r="F349" s="476" t="s">
        <v>6714</v>
      </c>
      <c r="G349" s="477">
        <v>534</v>
      </c>
      <c r="H349" s="476" t="s">
        <v>6255</v>
      </c>
      <c r="I349" s="476" t="s">
        <v>836</v>
      </c>
      <c r="J349" s="477">
        <v>5</v>
      </c>
      <c r="K349" s="476" t="s">
        <v>6260</v>
      </c>
      <c r="L349" s="476" t="s">
        <v>6276</v>
      </c>
      <c r="M349" s="476" t="s">
        <v>9</v>
      </c>
      <c r="N349" s="478">
        <v>0</v>
      </c>
      <c r="O349" s="479"/>
      <c r="P349" s="479"/>
      <c r="Q349" s="479"/>
      <c r="R349" s="476"/>
      <c r="S349" s="479">
        <v>0.20532407407407408</v>
      </c>
      <c r="T349" s="479">
        <v>0.27199074074074076</v>
      </c>
      <c r="U349" s="479"/>
      <c r="V349" s="479"/>
      <c r="W349" s="479">
        <v>0.48568287037037039</v>
      </c>
      <c r="X349" s="479">
        <v>0.69937499999999997</v>
      </c>
      <c r="Y349" s="479">
        <v>0.84861111111111109</v>
      </c>
      <c r="Z349" s="479">
        <v>0.13819444444444443</v>
      </c>
      <c r="AA349" s="479">
        <v>0.46458333333333335</v>
      </c>
      <c r="AB349" s="476" t="s">
        <v>6462</v>
      </c>
      <c r="AC349" s="478">
        <v>129</v>
      </c>
      <c r="AD349" s="476" t="s">
        <v>116</v>
      </c>
      <c r="AE349" s="476"/>
      <c r="AF349" s="478">
        <v>46</v>
      </c>
      <c r="AG349" s="477">
        <v>46.7</v>
      </c>
      <c r="AH349" s="476" t="s">
        <v>6315</v>
      </c>
      <c r="AI349" s="476" t="s">
        <v>974</v>
      </c>
      <c r="AJ349" s="476" t="s">
        <v>839</v>
      </c>
      <c r="AK349" s="476" t="s">
        <v>6493</v>
      </c>
      <c r="AL349" s="476" t="s">
        <v>6835</v>
      </c>
      <c r="AM349" s="476" t="s">
        <v>6346</v>
      </c>
      <c r="AN349" s="476"/>
      <c r="AO349" s="476"/>
      <c r="AP349" s="476"/>
      <c r="AQ349" s="476"/>
      <c r="AR349" s="476"/>
      <c r="AS349" s="476"/>
      <c r="AT349" s="476"/>
      <c r="AU349" s="476"/>
      <c r="AV349" s="476"/>
      <c r="AW349" s="476"/>
      <c r="AX349" s="476"/>
      <c r="AY349" s="476"/>
      <c r="AZ349" s="476"/>
      <c r="BA349" s="476"/>
      <c r="BB349" s="476"/>
      <c r="BC349" s="476"/>
      <c r="BD349" s="476"/>
      <c r="BE349" s="476"/>
      <c r="BF349" s="476"/>
      <c r="BG349" s="476"/>
      <c r="BH349" s="476"/>
      <c r="BI349" s="476"/>
      <c r="BJ349" s="476" t="s">
        <v>6438</v>
      </c>
      <c r="BK349" s="476"/>
      <c r="BL349" s="480"/>
    </row>
    <row r="350" spans="1:64">
      <c r="A350" s="468">
        <v>44141</v>
      </c>
      <c r="B350" s="473">
        <v>311</v>
      </c>
      <c r="C350" s="473">
        <v>55</v>
      </c>
      <c r="D350" s="470" t="s">
        <v>637</v>
      </c>
      <c r="E350" s="469">
        <v>45</v>
      </c>
      <c r="F350" s="470" t="s">
        <v>100</v>
      </c>
      <c r="G350" s="469">
        <v>534</v>
      </c>
      <c r="H350" s="470" t="s">
        <v>6255</v>
      </c>
      <c r="I350" s="470" t="s">
        <v>836</v>
      </c>
      <c r="J350" s="469">
        <v>6</v>
      </c>
      <c r="K350" s="470" t="s">
        <v>6261</v>
      </c>
      <c r="L350" s="470" t="s">
        <v>6277</v>
      </c>
      <c r="M350" s="470" t="s">
        <v>9</v>
      </c>
      <c r="N350" s="473">
        <v>0</v>
      </c>
      <c r="O350" s="471"/>
      <c r="P350" s="471"/>
      <c r="Q350" s="471"/>
      <c r="R350" s="470"/>
      <c r="S350" s="471">
        <v>0.20613425925925924</v>
      </c>
      <c r="T350" s="471">
        <v>0.27280092592592592</v>
      </c>
      <c r="U350" s="471"/>
      <c r="V350" s="471"/>
      <c r="W350" s="471">
        <v>0.48571759259259256</v>
      </c>
      <c r="X350" s="471">
        <v>0.69863425925925926</v>
      </c>
      <c r="Y350" s="471">
        <v>0.88888888888888884</v>
      </c>
      <c r="Z350" s="471">
        <v>0.17430555555555557</v>
      </c>
      <c r="AA350" s="471">
        <v>0.4993055555555555</v>
      </c>
      <c r="AB350" s="470" t="s">
        <v>6462</v>
      </c>
      <c r="AC350" s="473">
        <v>129</v>
      </c>
      <c r="AD350" s="470" t="s">
        <v>116</v>
      </c>
      <c r="AE350" s="470"/>
      <c r="AF350" s="473">
        <v>41.6</v>
      </c>
      <c r="AG350" s="469">
        <v>40.299999999999997</v>
      </c>
      <c r="AH350" s="470" t="s">
        <v>6291</v>
      </c>
      <c r="AI350" s="470" t="s">
        <v>6316</v>
      </c>
      <c r="AJ350" s="470" t="s">
        <v>6493</v>
      </c>
      <c r="AK350" s="470" t="s">
        <v>6493</v>
      </c>
      <c r="AL350" s="470"/>
      <c r="AM350" s="470"/>
      <c r="AN350" s="470"/>
      <c r="AO350" s="470"/>
      <c r="AP350" s="470"/>
      <c r="AQ350" s="470"/>
      <c r="AR350" s="470"/>
      <c r="AS350" s="470"/>
      <c r="AT350" s="470"/>
      <c r="AU350" s="470"/>
      <c r="AV350" s="470"/>
      <c r="AW350" s="470"/>
      <c r="AX350" s="470"/>
      <c r="AY350" s="470"/>
      <c r="AZ350" s="470"/>
      <c r="BA350" s="470"/>
      <c r="BB350" s="470"/>
      <c r="BC350" s="470"/>
      <c r="BD350" s="470"/>
      <c r="BE350" s="470"/>
      <c r="BF350" s="470"/>
      <c r="BG350" s="470"/>
      <c r="BH350" s="470"/>
      <c r="BI350" s="470"/>
      <c r="BJ350" s="470"/>
      <c r="BK350" s="470"/>
      <c r="BL350" s="474"/>
    </row>
    <row r="351" spans="1:64">
      <c r="A351" s="475">
        <v>44142</v>
      </c>
      <c r="B351" s="478">
        <v>312</v>
      </c>
      <c r="C351" s="478">
        <v>54</v>
      </c>
      <c r="D351" s="476" t="s">
        <v>637</v>
      </c>
      <c r="E351" s="477">
        <v>45</v>
      </c>
      <c r="F351" s="476" t="s">
        <v>103</v>
      </c>
      <c r="G351" s="477">
        <v>534</v>
      </c>
      <c r="H351" s="476" t="s">
        <v>6255</v>
      </c>
      <c r="I351" s="476" t="s">
        <v>836</v>
      </c>
      <c r="J351" s="477">
        <v>7</v>
      </c>
      <c r="K351" s="476" t="s">
        <v>6262</v>
      </c>
      <c r="L351" s="476" t="s">
        <v>6278</v>
      </c>
      <c r="M351" s="476" t="s">
        <v>9</v>
      </c>
      <c r="N351" s="478">
        <v>0</v>
      </c>
      <c r="O351" s="479"/>
      <c r="P351" s="479"/>
      <c r="Q351" s="479"/>
      <c r="R351" s="476"/>
      <c r="S351" s="479">
        <v>0.20695601851851853</v>
      </c>
      <c r="T351" s="479">
        <v>0.27362268518518518</v>
      </c>
      <c r="U351" s="479"/>
      <c r="V351" s="479"/>
      <c r="W351" s="479">
        <v>0.48576388888888888</v>
      </c>
      <c r="X351" s="479">
        <v>0.69789351851851855</v>
      </c>
      <c r="Y351" s="479">
        <v>0.93402777777777779</v>
      </c>
      <c r="Z351" s="479">
        <v>0.21180555555555555</v>
      </c>
      <c r="AA351" s="479">
        <v>0.53055555555555556</v>
      </c>
      <c r="AB351" s="476" t="s">
        <v>6462</v>
      </c>
      <c r="AC351" s="478">
        <v>129</v>
      </c>
      <c r="AD351" s="476" t="s">
        <v>116</v>
      </c>
      <c r="AE351" s="476"/>
      <c r="AF351" s="478">
        <v>39.6</v>
      </c>
      <c r="AG351" s="477">
        <v>36</v>
      </c>
      <c r="AH351" s="476" t="s">
        <v>6292</v>
      </c>
      <c r="AI351" s="476" t="s">
        <v>6317</v>
      </c>
      <c r="AJ351" s="476" t="s">
        <v>6493</v>
      </c>
      <c r="AK351" s="476" t="s">
        <v>6493</v>
      </c>
      <c r="AL351" s="476"/>
      <c r="AM351" s="476"/>
      <c r="AN351" s="476"/>
      <c r="AO351" s="476"/>
      <c r="AP351" s="476"/>
      <c r="AQ351" s="476"/>
      <c r="AR351" s="476"/>
      <c r="AS351" s="476"/>
      <c r="AT351" s="476"/>
      <c r="AU351" s="476"/>
      <c r="AV351" s="476"/>
      <c r="AW351" s="476"/>
      <c r="AX351" s="476"/>
      <c r="AY351" s="476"/>
      <c r="AZ351" s="476"/>
      <c r="BA351" s="476"/>
      <c r="BB351" s="476"/>
      <c r="BC351" s="476"/>
      <c r="BD351" s="476"/>
      <c r="BE351" s="476"/>
      <c r="BF351" s="476"/>
      <c r="BG351" s="476"/>
      <c r="BH351" s="476"/>
      <c r="BI351" s="476"/>
      <c r="BJ351" s="476"/>
      <c r="BK351" s="476"/>
      <c r="BL351" s="480"/>
    </row>
    <row r="352" spans="1:64">
      <c r="A352" s="468">
        <v>44143</v>
      </c>
      <c r="B352" s="473">
        <v>313</v>
      </c>
      <c r="C352" s="473">
        <v>53</v>
      </c>
      <c r="D352" s="470" t="s">
        <v>637</v>
      </c>
      <c r="E352" s="469">
        <v>45</v>
      </c>
      <c r="F352" s="470" t="s">
        <v>106</v>
      </c>
      <c r="G352" s="469">
        <v>534</v>
      </c>
      <c r="H352" s="470" t="s">
        <v>6255</v>
      </c>
      <c r="I352" s="470" t="s">
        <v>836</v>
      </c>
      <c r="J352" s="469">
        <v>8</v>
      </c>
      <c r="K352" s="470" t="s">
        <v>6263</v>
      </c>
      <c r="L352" s="470" t="s">
        <v>6279</v>
      </c>
      <c r="M352" s="470" t="s">
        <v>9</v>
      </c>
      <c r="N352" s="473">
        <v>0</v>
      </c>
      <c r="O352" s="471"/>
      <c r="P352" s="471"/>
      <c r="Q352" s="471"/>
      <c r="R352" s="470"/>
      <c r="S352" s="471">
        <v>0.20777777777777776</v>
      </c>
      <c r="T352" s="471">
        <v>0.27444444444444444</v>
      </c>
      <c r="U352" s="471"/>
      <c r="V352" s="471"/>
      <c r="W352" s="471">
        <v>0.48581018518518521</v>
      </c>
      <c r="X352" s="471">
        <v>0.69718750000000007</v>
      </c>
      <c r="Y352" s="471">
        <v>0.98055555555555562</v>
      </c>
      <c r="Z352" s="471">
        <v>0.24791666666666667</v>
      </c>
      <c r="AA352" s="471">
        <v>0.55833333333333335</v>
      </c>
      <c r="AB352" s="470" t="s">
        <v>6289</v>
      </c>
      <c r="AC352" s="473">
        <v>131</v>
      </c>
      <c r="AD352" s="470" t="s">
        <v>119</v>
      </c>
      <c r="AE352" s="470" t="s">
        <v>6547</v>
      </c>
      <c r="AF352" s="473">
        <v>40.5</v>
      </c>
      <c r="AG352" s="469">
        <v>34.299999999999997</v>
      </c>
      <c r="AH352" s="470" t="s">
        <v>6293</v>
      </c>
      <c r="AI352" s="470" t="s">
        <v>6318</v>
      </c>
      <c r="AJ352" s="470" t="s">
        <v>839</v>
      </c>
      <c r="AK352" s="470" t="s">
        <v>6493</v>
      </c>
      <c r="AL352" s="470" t="s">
        <v>6836</v>
      </c>
      <c r="AM352" s="470" t="s">
        <v>6344</v>
      </c>
      <c r="AN352" s="470" t="s">
        <v>1238</v>
      </c>
      <c r="AO352" s="470" t="s">
        <v>6344</v>
      </c>
      <c r="AP352" s="470"/>
      <c r="AQ352" s="470"/>
      <c r="AR352" s="470"/>
      <c r="AS352" s="470"/>
      <c r="AT352" s="470"/>
      <c r="AU352" s="470"/>
      <c r="AV352" s="470"/>
      <c r="AW352" s="470"/>
      <c r="AX352" s="470"/>
      <c r="AY352" s="470"/>
      <c r="AZ352" s="470"/>
      <c r="BA352" s="470"/>
      <c r="BB352" s="470"/>
      <c r="BC352" s="470"/>
      <c r="BD352" s="470"/>
      <c r="BE352" s="470"/>
      <c r="BF352" s="470"/>
      <c r="BG352" s="470"/>
      <c r="BH352" s="470"/>
      <c r="BI352" s="470"/>
      <c r="BJ352" s="470" t="s">
        <v>6409</v>
      </c>
      <c r="BK352" s="470"/>
      <c r="BL352" s="474"/>
    </row>
    <row r="353" spans="1:64">
      <c r="A353" s="475">
        <v>44144</v>
      </c>
      <c r="B353" s="478">
        <v>314</v>
      </c>
      <c r="C353" s="478">
        <v>52</v>
      </c>
      <c r="D353" s="476" t="s">
        <v>637</v>
      </c>
      <c r="E353" s="477">
        <v>46</v>
      </c>
      <c r="F353" s="476" t="s">
        <v>88</v>
      </c>
      <c r="G353" s="477">
        <v>534</v>
      </c>
      <c r="H353" s="476" t="s">
        <v>6255</v>
      </c>
      <c r="I353" s="476" t="s">
        <v>836</v>
      </c>
      <c r="J353" s="477">
        <v>9</v>
      </c>
      <c r="K353" s="476" t="s">
        <v>6264</v>
      </c>
      <c r="L353" s="476" t="s">
        <v>6280</v>
      </c>
      <c r="M353" s="476" t="s">
        <v>9</v>
      </c>
      <c r="N353" s="478">
        <v>0</v>
      </c>
      <c r="O353" s="479"/>
      <c r="P353" s="479"/>
      <c r="Q353" s="479"/>
      <c r="R353" s="476"/>
      <c r="S353" s="479">
        <v>0.20859953703703704</v>
      </c>
      <c r="T353" s="479">
        <v>0.27526620370370369</v>
      </c>
      <c r="U353" s="479"/>
      <c r="V353" s="479"/>
      <c r="W353" s="479">
        <v>0.48587962962962966</v>
      </c>
      <c r="X353" s="479">
        <v>0.69649305555555552</v>
      </c>
      <c r="Y353" s="479" t="s">
        <v>1107</v>
      </c>
      <c r="Z353" s="479">
        <v>0.28402777777777777</v>
      </c>
      <c r="AA353" s="479">
        <v>0.58194444444444449</v>
      </c>
      <c r="AB353" s="476" t="s">
        <v>6289</v>
      </c>
      <c r="AC353" s="478">
        <v>131</v>
      </c>
      <c r="AD353" s="476" t="s">
        <v>119</v>
      </c>
      <c r="AE353" s="476"/>
      <c r="AF353" s="478">
        <v>44.8</v>
      </c>
      <c r="AG353" s="477">
        <v>35.700000000000003</v>
      </c>
      <c r="AH353" s="476" t="s">
        <v>6294</v>
      </c>
      <c r="AI353" s="476" t="s">
        <v>6319</v>
      </c>
      <c r="AJ353" s="476" t="s">
        <v>839</v>
      </c>
      <c r="AK353" s="476" t="s">
        <v>6493</v>
      </c>
      <c r="AL353" s="476" t="s">
        <v>6837</v>
      </c>
      <c r="AM353" s="476" t="s">
        <v>6346</v>
      </c>
      <c r="AN353" s="476"/>
      <c r="AO353" s="476"/>
      <c r="AP353" s="476"/>
      <c r="AQ353" s="476"/>
      <c r="AR353" s="476"/>
      <c r="AS353" s="476"/>
      <c r="AT353" s="476"/>
      <c r="AU353" s="476"/>
      <c r="AV353" s="476"/>
      <c r="AW353" s="476"/>
      <c r="AX353" s="476"/>
      <c r="AY353" s="476"/>
      <c r="AZ353" s="476"/>
      <c r="BA353" s="476"/>
      <c r="BB353" s="476"/>
      <c r="BC353" s="476"/>
      <c r="BD353" s="476"/>
      <c r="BE353" s="476"/>
      <c r="BF353" s="476"/>
      <c r="BG353" s="476"/>
      <c r="BH353" s="476"/>
      <c r="BI353" s="476"/>
      <c r="BJ353" s="476" t="s">
        <v>6410</v>
      </c>
      <c r="BK353" s="476"/>
      <c r="BL353" s="480"/>
    </row>
    <row r="354" spans="1:64">
      <c r="A354" s="468">
        <v>44145</v>
      </c>
      <c r="B354" s="473">
        <v>315</v>
      </c>
      <c r="C354" s="473">
        <v>51</v>
      </c>
      <c r="D354" s="470" t="s">
        <v>637</v>
      </c>
      <c r="E354" s="469">
        <v>46</v>
      </c>
      <c r="F354" s="470" t="s">
        <v>91</v>
      </c>
      <c r="G354" s="469">
        <v>534</v>
      </c>
      <c r="H354" s="470" t="s">
        <v>6255</v>
      </c>
      <c r="I354" s="470" t="s">
        <v>836</v>
      </c>
      <c r="J354" s="469">
        <v>10</v>
      </c>
      <c r="K354" s="470" t="s">
        <v>6265</v>
      </c>
      <c r="L354" s="470" t="s">
        <v>6281</v>
      </c>
      <c r="M354" s="470" t="s">
        <v>9</v>
      </c>
      <c r="N354" s="473">
        <v>0</v>
      </c>
      <c r="O354" s="471"/>
      <c r="P354" s="471"/>
      <c r="Q354" s="471"/>
      <c r="R354" s="470"/>
      <c r="S354" s="471">
        <v>0.20942129629629627</v>
      </c>
      <c r="T354" s="471">
        <v>0.27608796296296295</v>
      </c>
      <c r="U354" s="471"/>
      <c r="V354" s="471"/>
      <c r="W354" s="471">
        <v>0.48594907407407412</v>
      </c>
      <c r="X354" s="471">
        <v>0.69582175925925915</v>
      </c>
      <c r="Y354" s="471">
        <v>2.9861111111111113E-2</v>
      </c>
      <c r="Z354" s="471">
        <v>0.31944444444444448</v>
      </c>
      <c r="AA354" s="471">
        <v>0.60416666666666663</v>
      </c>
      <c r="AB354" s="470" t="s">
        <v>6289</v>
      </c>
      <c r="AC354" s="473">
        <v>131</v>
      </c>
      <c r="AD354" s="470" t="s">
        <v>119</v>
      </c>
      <c r="AE354" s="470"/>
      <c r="AF354" s="473">
        <v>52.6</v>
      </c>
      <c r="AG354" s="469">
        <v>40.299999999999997</v>
      </c>
      <c r="AH354" s="470" t="s">
        <v>6295</v>
      </c>
      <c r="AI354" s="470" t="s">
        <v>6341</v>
      </c>
      <c r="AJ354" s="470" t="s">
        <v>6493</v>
      </c>
      <c r="AK354" s="470" t="s">
        <v>6493</v>
      </c>
      <c r="AL354" s="470"/>
      <c r="AM354" s="470"/>
      <c r="AN354" s="470"/>
      <c r="AO354" s="470"/>
      <c r="AP354" s="470"/>
      <c r="AQ354" s="470"/>
      <c r="AR354" s="470"/>
      <c r="AS354" s="470"/>
      <c r="AT354" s="470"/>
      <c r="AU354" s="470"/>
      <c r="AV354" s="470"/>
      <c r="AW354" s="470"/>
      <c r="AX354" s="470"/>
      <c r="AY354" s="470"/>
      <c r="AZ354" s="470"/>
      <c r="BA354" s="470"/>
      <c r="BB354" s="470"/>
      <c r="BC354" s="470"/>
      <c r="BD354" s="470"/>
      <c r="BE354" s="470"/>
      <c r="BF354" s="470"/>
      <c r="BG354" s="470"/>
      <c r="BH354" s="470"/>
      <c r="BI354" s="470"/>
      <c r="BJ354" s="470"/>
      <c r="BK354" s="470"/>
      <c r="BL354" s="474"/>
    </row>
    <row r="355" spans="1:64">
      <c r="A355" s="475">
        <v>44146</v>
      </c>
      <c r="B355" s="478">
        <v>316</v>
      </c>
      <c r="C355" s="478">
        <v>50</v>
      </c>
      <c r="D355" s="476" t="s">
        <v>637</v>
      </c>
      <c r="E355" s="477">
        <v>46</v>
      </c>
      <c r="F355" s="476" t="s">
        <v>94</v>
      </c>
      <c r="G355" s="477">
        <v>534</v>
      </c>
      <c r="H355" s="476" t="s">
        <v>6255</v>
      </c>
      <c r="I355" s="476" t="s">
        <v>836</v>
      </c>
      <c r="J355" s="477">
        <v>11</v>
      </c>
      <c r="K355" s="476" t="s">
        <v>6271</v>
      </c>
      <c r="L355" s="476" t="s">
        <v>6282</v>
      </c>
      <c r="M355" s="476" t="s">
        <v>9</v>
      </c>
      <c r="N355" s="478">
        <v>0</v>
      </c>
      <c r="O355" s="479"/>
      <c r="P355" s="479"/>
      <c r="Q355" s="479"/>
      <c r="R355" s="476"/>
      <c r="S355" s="479">
        <v>0.21024305555555556</v>
      </c>
      <c r="T355" s="479">
        <v>0.27690972222222221</v>
      </c>
      <c r="U355" s="479"/>
      <c r="V355" s="479"/>
      <c r="W355" s="479">
        <v>0.48603009259259261</v>
      </c>
      <c r="X355" s="479">
        <v>0.69516203703703694</v>
      </c>
      <c r="Y355" s="479">
        <v>8.0555555555555561E-2</v>
      </c>
      <c r="Z355" s="479">
        <v>0.35486111111111113</v>
      </c>
      <c r="AA355" s="479">
        <v>0.62430555555555556</v>
      </c>
      <c r="AB355" s="476" t="s">
        <v>6289</v>
      </c>
      <c r="AC355" s="478">
        <v>131</v>
      </c>
      <c r="AD355" s="476" t="s">
        <v>119</v>
      </c>
      <c r="AE355" s="476"/>
      <c r="AF355" s="478">
        <v>64.099999999999994</v>
      </c>
      <c r="AG355" s="477">
        <v>48.2</v>
      </c>
      <c r="AH355" s="476" t="s">
        <v>6296</v>
      </c>
      <c r="AI355" s="476" t="s">
        <v>6320</v>
      </c>
      <c r="AJ355" s="476" t="s">
        <v>838</v>
      </c>
      <c r="AK355" s="476" t="s">
        <v>13</v>
      </c>
      <c r="AL355" s="476" t="s">
        <v>6838</v>
      </c>
      <c r="AM355" s="476" t="s">
        <v>6342</v>
      </c>
      <c r="AN355" s="476" t="s">
        <v>6970</v>
      </c>
      <c r="AO355" s="476" t="s">
        <v>6351</v>
      </c>
      <c r="AP355" s="476"/>
      <c r="AQ355" s="476"/>
      <c r="AR355" s="476"/>
      <c r="AS355" s="476"/>
      <c r="AT355" s="476"/>
      <c r="AU355" s="476"/>
      <c r="AV355" s="476"/>
      <c r="AW355" s="476"/>
      <c r="AX355" s="476"/>
      <c r="AY355" s="476"/>
      <c r="AZ355" s="476"/>
      <c r="BA355" s="476"/>
      <c r="BB355" s="476"/>
      <c r="BC355" s="476"/>
      <c r="BD355" s="476"/>
      <c r="BE355" s="476"/>
      <c r="BF355" s="476"/>
      <c r="BG355" s="476"/>
      <c r="BH355" s="476"/>
      <c r="BI355" s="476"/>
      <c r="BJ355" s="476"/>
      <c r="BK355" s="476"/>
      <c r="BL355" s="480"/>
    </row>
    <row r="356" spans="1:64">
      <c r="A356" s="468">
        <v>44147</v>
      </c>
      <c r="B356" s="473">
        <v>317</v>
      </c>
      <c r="C356" s="473">
        <v>49</v>
      </c>
      <c r="D356" s="470" t="s">
        <v>637</v>
      </c>
      <c r="E356" s="469">
        <v>46</v>
      </c>
      <c r="F356" s="470" t="s">
        <v>6714</v>
      </c>
      <c r="G356" s="469">
        <v>534</v>
      </c>
      <c r="H356" s="470" t="s">
        <v>6255</v>
      </c>
      <c r="I356" s="470" t="s">
        <v>836</v>
      </c>
      <c r="J356" s="469">
        <v>12</v>
      </c>
      <c r="K356" s="470" t="s">
        <v>6266</v>
      </c>
      <c r="L356" s="470" t="s">
        <v>6283</v>
      </c>
      <c r="M356" s="470" t="s">
        <v>9</v>
      </c>
      <c r="N356" s="473">
        <v>0</v>
      </c>
      <c r="O356" s="471"/>
      <c r="P356" s="471"/>
      <c r="Q356" s="471"/>
      <c r="R356" s="470"/>
      <c r="S356" s="471">
        <v>0.21106481481481479</v>
      </c>
      <c r="T356" s="471">
        <v>0.27773148148148147</v>
      </c>
      <c r="U356" s="471">
        <v>0.27708333333333335</v>
      </c>
      <c r="V356" s="471">
        <v>0.41666666666666669</v>
      </c>
      <c r="W356" s="471">
        <v>0.48613425925925924</v>
      </c>
      <c r="X356" s="471">
        <v>0.69452546296296302</v>
      </c>
      <c r="Y356" s="471">
        <v>0.13194444444444445</v>
      </c>
      <c r="Z356" s="471">
        <v>0.38958333333333334</v>
      </c>
      <c r="AA356" s="471">
        <v>0.64444444444444449</v>
      </c>
      <c r="AB356" s="470" t="s">
        <v>6289</v>
      </c>
      <c r="AC356" s="473">
        <v>131</v>
      </c>
      <c r="AD356" s="470" t="s">
        <v>119</v>
      </c>
      <c r="AE356" s="470"/>
      <c r="AF356" s="473">
        <v>78.8</v>
      </c>
      <c r="AG356" s="469">
        <v>59</v>
      </c>
      <c r="AH356" s="470" t="s">
        <v>6297</v>
      </c>
      <c r="AI356" s="470" t="s">
        <v>6322</v>
      </c>
      <c r="AJ356" s="470" t="s">
        <v>839</v>
      </c>
      <c r="AK356" s="470" t="s">
        <v>6493</v>
      </c>
      <c r="AL356" s="470" t="s">
        <v>6839</v>
      </c>
      <c r="AM356" s="470" t="s">
        <v>6343</v>
      </c>
      <c r="AN356" s="470"/>
      <c r="AO356" s="470"/>
      <c r="AP356" s="470"/>
      <c r="AQ356" s="470"/>
      <c r="AR356" s="470"/>
      <c r="AS356" s="470"/>
      <c r="AT356" s="470"/>
      <c r="AU356" s="470"/>
      <c r="AV356" s="470"/>
      <c r="AW356" s="470"/>
      <c r="AX356" s="470"/>
      <c r="AY356" s="470"/>
      <c r="AZ356" s="470"/>
      <c r="BA356" s="470"/>
      <c r="BB356" s="470"/>
      <c r="BC356" s="470"/>
      <c r="BD356" s="470"/>
      <c r="BE356" s="470"/>
      <c r="BF356" s="470"/>
      <c r="BG356" s="470"/>
      <c r="BH356" s="470"/>
      <c r="BI356" s="470"/>
      <c r="BJ356" s="470"/>
      <c r="BK356" s="470"/>
      <c r="BL356" s="474"/>
    </row>
    <row r="357" spans="1:64">
      <c r="A357" s="475">
        <v>44148</v>
      </c>
      <c r="B357" s="478">
        <v>318</v>
      </c>
      <c r="C357" s="478">
        <v>48</v>
      </c>
      <c r="D357" s="476" t="s">
        <v>637</v>
      </c>
      <c r="E357" s="477">
        <v>46</v>
      </c>
      <c r="F357" s="476" t="s">
        <v>100</v>
      </c>
      <c r="G357" s="477">
        <v>534</v>
      </c>
      <c r="H357" s="476" t="s">
        <v>6255</v>
      </c>
      <c r="I357" s="476" t="s">
        <v>836</v>
      </c>
      <c r="J357" s="477">
        <v>13</v>
      </c>
      <c r="K357" s="476" t="s">
        <v>6267</v>
      </c>
      <c r="L357" s="476" t="s">
        <v>6284</v>
      </c>
      <c r="M357" s="476" t="s">
        <v>9</v>
      </c>
      <c r="N357" s="478">
        <v>0</v>
      </c>
      <c r="O357" s="479"/>
      <c r="P357" s="479"/>
      <c r="Q357" s="479"/>
      <c r="R357" s="476"/>
      <c r="S357" s="479">
        <v>0.21187500000000001</v>
      </c>
      <c r="T357" s="479">
        <v>0.27854166666666669</v>
      </c>
      <c r="U357" s="479"/>
      <c r="V357" s="479"/>
      <c r="W357" s="479">
        <v>0.48622685185185183</v>
      </c>
      <c r="X357" s="479">
        <v>0.69392361111111101</v>
      </c>
      <c r="Y357" s="479">
        <v>0.18472222222222223</v>
      </c>
      <c r="Z357" s="479">
        <v>0.42569444444444443</v>
      </c>
      <c r="AA357" s="479">
        <v>0.66527777777777775</v>
      </c>
      <c r="AB357" s="476" t="s">
        <v>6289</v>
      </c>
      <c r="AC357" s="478">
        <v>131</v>
      </c>
      <c r="AD357" s="476" t="s">
        <v>119</v>
      </c>
      <c r="AE357" s="476"/>
      <c r="AF357" s="478">
        <v>95.9</v>
      </c>
      <c r="AG357" s="477">
        <v>71.900000000000006</v>
      </c>
      <c r="AH357" s="476" t="s">
        <v>6298</v>
      </c>
      <c r="AI357" s="476" t="s">
        <v>6323</v>
      </c>
      <c r="AJ357" s="476" t="s">
        <v>6493</v>
      </c>
      <c r="AK357" s="476" t="s">
        <v>6493</v>
      </c>
      <c r="AL357" s="476"/>
      <c r="AM357" s="476"/>
      <c r="AN357" s="476"/>
      <c r="AO357" s="476"/>
      <c r="AP357" s="476"/>
      <c r="AQ357" s="476"/>
      <c r="AR357" s="476"/>
      <c r="AS357" s="476"/>
      <c r="AT357" s="476"/>
      <c r="AU357" s="476"/>
      <c r="AV357" s="476"/>
      <c r="AW357" s="476"/>
      <c r="AX357" s="476"/>
      <c r="AY357" s="476"/>
      <c r="AZ357" s="476"/>
      <c r="BA357" s="476"/>
      <c r="BB357" s="476"/>
      <c r="BC357" s="476"/>
      <c r="BD357" s="476"/>
      <c r="BE357" s="476"/>
      <c r="BF357" s="476"/>
      <c r="BG357" s="476"/>
      <c r="BH357" s="476"/>
      <c r="BI357" s="476"/>
      <c r="BJ357" s="476"/>
      <c r="BK357" s="476"/>
      <c r="BL357" s="480"/>
    </row>
    <row r="358" spans="1:64">
      <c r="A358" s="468">
        <v>44149</v>
      </c>
      <c r="B358" s="473">
        <v>319</v>
      </c>
      <c r="C358" s="473">
        <v>47</v>
      </c>
      <c r="D358" s="470" t="s">
        <v>637</v>
      </c>
      <c r="E358" s="469">
        <v>46</v>
      </c>
      <c r="F358" s="470" t="s">
        <v>103</v>
      </c>
      <c r="G358" s="469">
        <v>534</v>
      </c>
      <c r="H358" s="470" t="s">
        <v>6255</v>
      </c>
      <c r="I358" s="470" t="s">
        <v>836</v>
      </c>
      <c r="J358" s="469">
        <v>15</v>
      </c>
      <c r="K358" s="470" t="s">
        <v>6269</v>
      </c>
      <c r="L358" s="470" t="s">
        <v>6286</v>
      </c>
      <c r="M358" s="470" t="s">
        <v>9</v>
      </c>
      <c r="N358" s="473">
        <v>0</v>
      </c>
      <c r="O358" s="471">
        <v>0.31319444444444444</v>
      </c>
      <c r="P358" s="471">
        <v>0.15972222222222224</v>
      </c>
      <c r="Q358" s="471"/>
      <c r="R358" s="470"/>
      <c r="S358" s="471">
        <v>0.21269675925925927</v>
      </c>
      <c r="T358" s="471">
        <v>0.27936342592592595</v>
      </c>
      <c r="U358" s="471"/>
      <c r="V358" s="471"/>
      <c r="W358" s="471">
        <v>0.4863425925925926</v>
      </c>
      <c r="X358" s="471">
        <v>0.69333333333333336</v>
      </c>
      <c r="Y358" s="471">
        <v>0.23958333333333334</v>
      </c>
      <c r="Z358" s="471">
        <v>0.46388888888888885</v>
      </c>
      <c r="AA358" s="471">
        <v>0.68888888888888899</v>
      </c>
      <c r="AB358" s="470" t="s">
        <v>6289</v>
      </c>
      <c r="AC358" s="473">
        <v>131</v>
      </c>
      <c r="AD358" s="470" t="s">
        <v>119</v>
      </c>
      <c r="AE358" s="470"/>
      <c r="AF358" s="473">
        <v>14.1</v>
      </c>
      <c r="AG358" s="469">
        <v>85.9</v>
      </c>
      <c r="AH358" s="470" t="s">
        <v>6299</v>
      </c>
      <c r="AI358" s="470" t="s">
        <v>6324</v>
      </c>
      <c r="AJ358" s="470" t="s">
        <v>839</v>
      </c>
      <c r="AK358" s="470" t="s">
        <v>6493</v>
      </c>
      <c r="AL358" s="470" t="s">
        <v>1228</v>
      </c>
      <c r="AM358" s="470" t="s">
        <v>6344</v>
      </c>
      <c r="AN358" s="470" t="s">
        <v>6971</v>
      </c>
      <c r="AO358" s="470"/>
      <c r="AP358" s="470"/>
      <c r="AQ358" s="470"/>
      <c r="AR358" s="470"/>
      <c r="AS358" s="470"/>
      <c r="AT358" s="470"/>
      <c r="AU358" s="470"/>
      <c r="AV358" s="470"/>
      <c r="AW358" s="470"/>
      <c r="AX358" s="470"/>
      <c r="AY358" s="470"/>
      <c r="AZ358" s="470"/>
      <c r="BA358" s="470"/>
      <c r="BB358" s="470"/>
      <c r="BC358" s="470"/>
      <c r="BD358" s="470"/>
      <c r="BE358" s="470"/>
      <c r="BF358" s="470"/>
      <c r="BG358" s="470"/>
      <c r="BH358" s="470"/>
      <c r="BI358" s="470"/>
      <c r="BJ358" s="470" t="s">
        <v>7094</v>
      </c>
      <c r="BK358" s="470"/>
      <c r="BL358" s="474"/>
    </row>
    <row r="359" spans="1:64">
      <c r="A359" s="475">
        <v>44150</v>
      </c>
      <c r="B359" s="478">
        <v>320</v>
      </c>
      <c r="C359" s="478">
        <v>46</v>
      </c>
      <c r="D359" s="476" t="s">
        <v>637</v>
      </c>
      <c r="E359" s="477">
        <v>46</v>
      </c>
      <c r="F359" s="476" t="s">
        <v>106</v>
      </c>
      <c r="G359" s="477">
        <v>534</v>
      </c>
      <c r="H359" s="476" t="s">
        <v>6255</v>
      </c>
      <c r="I359" s="476" t="s">
        <v>6257</v>
      </c>
      <c r="J359" s="477">
        <v>16</v>
      </c>
      <c r="K359" s="476" t="s">
        <v>6270</v>
      </c>
      <c r="L359" s="476" t="s">
        <v>6287</v>
      </c>
      <c r="M359" s="476" t="s">
        <v>9</v>
      </c>
      <c r="N359" s="478">
        <v>0</v>
      </c>
      <c r="O359" s="479"/>
      <c r="P359" s="479"/>
      <c r="Q359" s="479"/>
      <c r="R359" s="476"/>
      <c r="S359" s="479">
        <v>0.21350694444444443</v>
      </c>
      <c r="T359" s="479">
        <v>0.28017361111111111</v>
      </c>
      <c r="U359" s="479"/>
      <c r="V359" s="479"/>
      <c r="W359" s="479">
        <v>0.48646990740740742</v>
      </c>
      <c r="X359" s="479">
        <v>0.69275462962962964</v>
      </c>
      <c r="Y359" s="479">
        <v>0.29375000000000001</v>
      </c>
      <c r="Z359" s="479">
        <v>0.50555555555555554</v>
      </c>
      <c r="AA359" s="479">
        <v>0.71597222222222223</v>
      </c>
      <c r="AB359" s="476" t="s">
        <v>6463</v>
      </c>
      <c r="AC359" s="478">
        <v>152</v>
      </c>
      <c r="AD359" s="476" t="s">
        <v>110</v>
      </c>
      <c r="AE359" s="476" t="s">
        <v>6548</v>
      </c>
      <c r="AF359" s="478">
        <v>32.200000000000003</v>
      </c>
      <c r="AG359" s="477">
        <v>99.7</v>
      </c>
      <c r="AH359" s="476" t="s">
        <v>6300</v>
      </c>
      <c r="AI359" s="476" t="s">
        <v>6325</v>
      </c>
      <c r="AJ359" s="476" t="s">
        <v>839</v>
      </c>
      <c r="AK359" s="476" t="s">
        <v>6493</v>
      </c>
      <c r="AL359" s="476" t="s">
        <v>1229</v>
      </c>
      <c r="AM359" s="476" t="s">
        <v>6344</v>
      </c>
      <c r="AN359" s="476" t="s">
        <v>1239</v>
      </c>
      <c r="AO359" s="476" t="s">
        <v>6344</v>
      </c>
      <c r="AP359" s="476" t="s">
        <v>7040</v>
      </c>
      <c r="AQ359" s="476" t="s">
        <v>6346</v>
      </c>
      <c r="AR359" s="476" t="s">
        <v>793</v>
      </c>
      <c r="AS359" s="476"/>
      <c r="AT359" s="476"/>
      <c r="AU359" s="476"/>
      <c r="AV359" s="476"/>
      <c r="AW359" s="476"/>
      <c r="AX359" s="476"/>
      <c r="AY359" s="476"/>
      <c r="AZ359" s="476"/>
      <c r="BA359" s="476"/>
      <c r="BB359" s="476"/>
      <c r="BC359" s="476"/>
      <c r="BD359" s="476"/>
      <c r="BE359" s="476"/>
      <c r="BF359" s="476"/>
      <c r="BG359" s="476"/>
      <c r="BH359" s="476"/>
      <c r="BI359" s="476"/>
      <c r="BJ359" s="476" t="s">
        <v>7095</v>
      </c>
      <c r="BK359" s="476"/>
      <c r="BL359" s="480"/>
    </row>
    <row r="360" spans="1:64">
      <c r="A360" s="468">
        <v>44151</v>
      </c>
      <c r="B360" s="473">
        <v>321</v>
      </c>
      <c r="C360" s="473">
        <v>45</v>
      </c>
      <c r="D360" s="470" t="s">
        <v>637</v>
      </c>
      <c r="E360" s="469">
        <v>47</v>
      </c>
      <c r="F360" s="470" t="s">
        <v>88</v>
      </c>
      <c r="G360" s="469">
        <v>534</v>
      </c>
      <c r="H360" s="470" t="s">
        <v>6255</v>
      </c>
      <c r="I360" s="470" t="s">
        <v>6257</v>
      </c>
      <c r="J360" s="469">
        <v>17</v>
      </c>
      <c r="K360" s="470" t="s">
        <v>1034</v>
      </c>
      <c r="L360" s="470" t="s">
        <v>6273</v>
      </c>
      <c r="M360" s="470" t="s">
        <v>9</v>
      </c>
      <c r="N360" s="473">
        <v>0</v>
      </c>
      <c r="O360" s="471"/>
      <c r="P360" s="471"/>
      <c r="Q360" s="471">
        <v>0.84349537037037037</v>
      </c>
      <c r="R360" s="470" t="s">
        <v>25</v>
      </c>
      <c r="S360" s="471">
        <v>0.21431712962962965</v>
      </c>
      <c r="T360" s="471">
        <v>0.28098379629629627</v>
      </c>
      <c r="U360" s="471"/>
      <c r="V360" s="471"/>
      <c r="W360" s="471">
        <v>0.48659722222222218</v>
      </c>
      <c r="X360" s="471">
        <v>0.69221064814814814</v>
      </c>
      <c r="Y360" s="471">
        <v>0.34791666666666665</v>
      </c>
      <c r="Z360" s="471">
        <v>0.54791666666666672</v>
      </c>
      <c r="AA360" s="471">
        <v>0.74791666666666667</v>
      </c>
      <c r="AB360" s="470" t="s">
        <v>6463</v>
      </c>
      <c r="AC360" s="473">
        <v>152</v>
      </c>
      <c r="AD360" s="470" t="s">
        <v>110</v>
      </c>
      <c r="AE360" s="470"/>
      <c r="AF360" s="473">
        <v>48.7</v>
      </c>
      <c r="AG360" s="469">
        <v>12.1</v>
      </c>
      <c r="AH360" s="470" t="s">
        <v>6302</v>
      </c>
      <c r="AI360" s="470" t="s">
        <v>6326</v>
      </c>
      <c r="AJ360" s="470" t="s">
        <v>839</v>
      </c>
      <c r="AK360" s="470" t="s">
        <v>6493</v>
      </c>
      <c r="AL360" s="470" t="s">
        <v>6840</v>
      </c>
      <c r="AM360" s="470" t="s">
        <v>6346</v>
      </c>
      <c r="AN360" s="470" t="s">
        <v>6972</v>
      </c>
      <c r="AO360" s="470"/>
      <c r="AP360" s="470"/>
      <c r="AQ360" s="470"/>
      <c r="AR360" s="470"/>
      <c r="AS360" s="470"/>
      <c r="AT360" s="470"/>
      <c r="AU360" s="470"/>
      <c r="AV360" s="470"/>
      <c r="AW360" s="470"/>
      <c r="AX360" s="470"/>
      <c r="AY360" s="470"/>
      <c r="AZ360" s="470"/>
      <c r="BA360" s="470"/>
      <c r="BB360" s="470"/>
      <c r="BC360" s="470"/>
      <c r="BD360" s="470"/>
      <c r="BE360" s="470"/>
      <c r="BF360" s="470"/>
      <c r="BG360" s="470"/>
      <c r="BH360" s="470"/>
      <c r="BI360" s="470"/>
      <c r="BJ360" s="470" t="s">
        <v>6439</v>
      </c>
      <c r="BK360" s="470"/>
      <c r="BL360" s="474"/>
    </row>
    <row r="361" spans="1:64">
      <c r="A361" s="475">
        <v>44152</v>
      </c>
      <c r="B361" s="478">
        <v>322</v>
      </c>
      <c r="C361" s="478">
        <v>44</v>
      </c>
      <c r="D361" s="476" t="s">
        <v>637</v>
      </c>
      <c r="E361" s="477">
        <v>47</v>
      </c>
      <c r="F361" s="476" t="s">
        <v>91</v>
      </c>
      <c r="G361" s="477">
        <v>534</v>
      </c>
      <c r="H361" s="476" t="s">
        <v>6255</v>
      </c>
      <c r="I361" s="476" t="s">
        <v>6257</v>
      </c>
      <c r="J361" s="477">
        <v>18</v>
      </c>
      <c r="K361" s="476" t="s">
        <v>6258</v>
      </c>
      <c r="L361" s="476" t="s">
        <v>6274</v>
      </c>
      <c r="M361" s="476" t="s">
        <v>9</v>
      </c>
      <c r="N361" s="478">
        <v>0</v>
      </c>
      <c r="O361" s="479"/>
      <c r="P361" s="479"/>
      <c r="Q361" s="479"/>
      <c r="R361" s="476"/>
      <c r="S361" s="479">
        <v>0.21512731481481481</v>
      </c>
      <c r="T361" s="479">
        <v>0.28179398148148149</v>
      </c>
      <c r="U361" s="479"/>
      <c r="V361" s="479"/>
      <c r="W361" s="479">
        <v>0.48674768518518513</v>
      </c>
      <c r="X361" s="479">
        <v>0.69168981481481484</v>
      </c>
      <c r="Y361" s="479">
        <v>0.39861111111111108</v>
      </c>
      <c r="Z361" s="479">
        <v>0.59166666666666667</v>
      </c>
      <c r="AA361" s="479">
        <v>0.78541666666666676</v>
      </c>
      <c r="AB361" s="476" t="s">
        <v>6463</v>
      </c>
      <c r="AC361" s="478">
        <v>152</v>
      </c>
      <c r="AD361" s="476" t="s">
        <v>110</v>
      </c>
      <c r="AE361" s="476"/>
      <c r="AF361" s="478">
        <v>62.5</v>
      </c>
      <c r="AG361" s="477">
        <v>22.1</v>
      </c>
      <c r="AH361" s="476" t="s">
        <v>6303</v>
      </c>
      <c r="AI361" s="476" t="s">
        <v>6328</v>
      </c>
      <c r="AJ361" s="476" t="s">
        <v>6493</v>
      </c>
      <c r="AK361" s="476" t="s">
        <v>6493</v>
      </c>
      <c r="AL361" s="476"/>
      <c r="AM361" s="476"/>
      <c r="AN361" s="476"/>
      <c r="AO361" s="476"/>
      <c r="AP361" s="476"/>
      <c r="AQ361" s="476"/>
      <c r="AR361" s="476"/>
      <c r="AS361" s="476"/>
      <c r="AT361" s="476"/>
      <c r="AU361" s="476"/>
      <c r="AV361" s="476"/>
      <c r="AW361" s="476"/>
      <c r="AX361" s="476"/>
      <c r="AY361" s="476"/>
      <c r="AZ361" s="476"/>
      <c r="BA361" s="476"/>
      <c r="BB361" s="476"/>
      <c r="BC361" s="476"/>
      <c r="BD361" s="476"/>
      <c r="BE361" s="476"/>
      <c r="BF361" s="476"/>
      <c r="BG361" s="476"/>
      <c r="BH361" s="476"/>
      <c r="BI361" s="476"/>
      <c r="BJ361" s="476"/>
      <c r="BK361" s="476"/>
      <c r="BL361" s="480"/>
    </row>
    <row r="362" spans="1:64">
      <c r="A362" s="468">
        <v>44153</v>
      </c>
      <c r="B362" s="473">
        <v>323</v>
      </c>
      <c r="C362" s="473">
        <v>43</v>
      </c>
      <c r="D362" s="470" t="s">
        <v>637</v>
      </c>
      <c r="E362" s="469">
        <v>47</v>
      </c>
      <c r="F362" s="470" t="s">
        <v>94</v>
      </c>
      <c r="G362" s="469">
        <v>534</v>
      </c>
      <c r="H362" s="470" t="s">
        <v>6255</v>
      </c>
      <c r="I362" s="470" t="s">
        <v>6257</v>
      </c>
      <c r="J362" s="469">
        <v>19</v>
      </c>
      <c r="K362" s="470" t="s">
        <v>6259</v>
      </c>
      <c r="L362" s="470" t="s">
        <v>6275</v>
      </c>
      <c r="M362" s="470" t="s">
        <v>9</v>
      </c>
      <c r="N362" s="473">
        <v>0</v>
      </c>
      <c r="O362" s="471"/>
      <c r="P362" s="471"/>
      <c r="Q362" s="471"/>
      <c r="R362" s="470"/>
      <c r="S362" s="471">
        <v>0.2159375</v>
      </c>
      <c r="T362" s="471">
        <v>0.28260416666666666</v>
      </c>
      <c r="U362" s="471"/>
      <c r="V362" s="471"/>
      <c r="W362" s="471">
        <v>0.48689814814814819</v>
      </c>
      <c r="X362" s="471">
        <v>0.69119212962962961</v>
      </c>
      <c r="Y362" s="471">
        <v>0.44236111111111115</v>
      </c>
      <c r="Z362" s="471">
        <v>0.59375</v>
      </c>
      <c r="AA362" s="471">
        <v>0.82708333333333339</v>
      </c>
      <c r="AB362" s="470" t="s">
        <v>6463</v>
      </c>
      <c r="AC362" s="473">
        <v>152</v>
      </c>
      <c r="AD362" s="470" t="s">
        <v>110</v>
      </c>
      <c r="AE362" s="470"/>
      <c r="AF362" s="473">
        <v>72.900000000000006</v>
      </c>
      <c r="AG362" s="469">
        <v>29</v>
      </c>
      <c r="AH362" s="470" t="s">
        <v>6304</v>
      </c>
      <c r="AI362" s="470" t="s">
        <v>6329</v>
      </c>
      <c r="AJ362" s="470" t="s">
        <v>874</v>
      </c>
      <c r="AK362" s="470" t="s">
        <v>6493</v>
      </c>
      <c r="AL362" s="470" t="s">
        <v>6841</v>
      </c>
      <c r="AM362" s="470" t="s">
        <v>6345</v>
      </c>
      <c r="AN362" s="470" t="s">
        <v>6900</v>
      </c>
      <c r="AO362" s="470" t="s">
        <v>6351</v>
      </c>
      <c r="AP362" s="470"/>
      <c r="AQ362" s="470"/>
      <c r="AR362" s="470"/>
      <c r="AS362" s="470"/>
      <c r="AT362" s="470"/>
      <c r="AU362" s="470"/>
      <c r="AV362" s="470"/>
      <c r="AW362" s="470"/>
      <c r="AX362" s="470"/>
      <c r="AY362" s="470"/>
      <c r="AZ362" s="470"/>
      <c r="BA362" s="470"/>
      <c r="BB362" s="470"/>
      <c r="BC362" s="470"/>
      <c r="BD362" s="470"/>
      <c r="BE362" s="470"/>
      <c r="BF362" s="470"/>
      <c r="BG362" s="470"/>
      <c r="BH362" s="470"/>
      <c r="BI362" s="470"/>
      <c r="BJ362" s="470" t="s">
        <v>6412</v>
      </c>
      <c r="BK362" s="470"/>
      <c r="BL362" s="474"/>
    </row>
    <row r="363" spans="1:64">
      <c r="A363" s="475">
        <v>44154</v>
      </c>
      <c r="B363" s="478">
        <v>324</v>
      </c>
      <c r="C363" s="478">
        <v>42</v>
      </c>
      <c r="D363" s="476" t="s">
        <v>637</v>
      </c>
      <c r="E363" s="477">
        <v>47</v>
      </c>
      <c r="F363" s="476" t="s">
        <v>6714</v>
      </c>
      <c r="G363" s="477">
        <v>534</v>
      </c>
      <c r="H363" s="476" t="s">
        <v>6255</v>
      </c>
      <c r="I363" s="476" t="s">
        <v>6257</v>
      </c>
      <c r="J363" s="477">
        <v>20</v>
      </c>
      <c r="K363" s="476" t="s">
        <v>6260</v>
      </c>
      <c r="L363" s="476" t="s">
        <v>6276</v>
      </c>
      <c r="M363" s="476" t="s">
        <v>9</v>
      </c>
      <c r="N363" s="478">
        <v>0</v>
      </c>
      <c r="O363" s="479"/>
      <c r="P363" s="479"/>
      <c r="Q363" s="479"/>
      <c r="R363" s="476"/>
      <c r="S363" s="479">
        <v>0.2167361111111111</v>
      </c>
      <c r="T363" s="479">
        <v>0.28340277777777778</v>
      </c>
      <c r="U363" s="479"/>
      <c r="V363" s="479"/>
      <c r="W363" s="479">
        <v>0.48706018518518518</v>
      </c>
      <c r="X363" s="479">
        <v>0.69070601851851843</v>
      </c>
      <c r="Y363" s="479">
        <v>0.47986111111111113</v>
      </c>
      <c r="Z363" s="479">
        <v>0.63472222222222219</v>
      </c>
      <c r="AA363" s="479">
        <v>0.87222222222222223</v>
      </c>
      <c r="AB363" s="476" t="s">
        <v>6463</v>
      </c>
      <c r="AC363" s="478">
        <v>152</v>
      </c>
      <c r="AD363" s="476" t="s">
        <v>110</v>
      </c>
      <c r="AE363" s="476"/>
      <c r="AF363" s="478">
        <v>79.5</v>
      </c>
      <c r="AG363" s="477">
        <v>32.6</v>
      </c>
      <c r="AH363" s="476" t="s">
        <v>6305</v>
      </c>
      <c r="AI363" s="476" t="s">
        <v>6330</v>
      </c>
      <c r="AJ363" s="476" t="s">
        <v>6493</v>
      </c>
      <c r="AK363" s="476" t="s">
        <v>6493</v>
      </c>
      <c r="AL363" s="476" t="s">
        <v>795</v>
      </c>
      <c r="AM363" s="476"/>
      <c r="AN363" s="476"/>
      <c r="AO363" s="476"/>
      <c r="AP363" s="476"/>
      <c r="AQ363" s="476"/>
      <c r="AR363" s="476"/>
      <c r="AS363" s="476"/>
      <c r="AT363" s="476"/>
      <c r="AU363" s="476"/>
      <c r="AV363" s="476"/>
      <c r="AW363" s="476"/>
      <c r="AX363" s="476"/>
      <c r="AY363" s="476"/>
      <c r="AZ363" s="476"/>
      <c r="BA363" s="476"/>
      <c r="BB363" s="476"/>
      <c r="BC363" s="476"/>
      <c r="BD363" s="476"/>
      <c r="BE363" s="476"/>
      <c r="BF363" s="476"/>
      <c r="BG363" s="476"/>
      <c r="BH363" s="476"/>
      <c r="BI363" s="476"/>
      <c r="BJ363" s="476"/>
      <c r="BK363" s="476"/>
      <c r="BL363" s="480"/>
    </row>
    <row r="364" spans="1:64">
      <c r="A364" s="468">
        <v>44155</v>
      </c>
      <c r="B364" s="473">
        <v>325</v>
      </c>
      <c r="C364" s="473">
        <v>41</v>
      </c>
      <c r="D364" s="470" t="s">
        <v>637</v>
      </c>
      <c r="E364" s="469">
        <v>47</v>
      </c>
      <c r="F364" s="470" t="s">
        <v>100</v>
      </c>
      <c r="G364" s="469">
        <v>534</v>
      </c>
      <c r="H364" s="470" t="s">
        <v>6255</v>
      </c>
      <c r="I364" s="470" t="s">
        <v>6257</v>
      </c>
      <c r="J364" s="469">
        <v>21</v>
      </c>
      <c r="K364" s="470" t="s">
        <v>6261</v>
      </c>
      <c r="L364" s="470" t="s">
        <v>6277</v>
      </c>
      <c r="M364" s="470" t="s">
        <v>9</v>
      </c>
      <c r="N364" s="473">
        <v>0</v>
      </c>
      <c r="O364" s="471"/>
      <c r="P364" s="471"/>
      <c r="Q364" s="471"/>
      <c r="R364" s="470"/>
      <c r="S364" s="471">
        <v>0.21753472222222223</v>
      </c>
      <c r="T364" s="471">
        <v>0.28420138888888885</v>
      </c>
      <c r="U364" s="471"/>
      <c r="V364" s="471"/>
      <c r="W364" s="471">
        <v>0.48723379629629626</v>
      </c>
      <c r="X364" s="471">
        <v>0.69025462962962969</v>
      </c>
      <c r="Y364" s="471">
        <v>0.50972222222222219</v>
      </c>
      <c r="Z364" s="471">
        <v>0.71388888888888891</v>
      </c>
      <c r="AA364" s="471">
        <v>0.91805555555555562</v>
      </c>
      <c r="AB364" s="470" t="s">
        <v>6463</v>
      </c>
      <c r="AC364" s="473">
        <v>152</v>
      </c>
      <c r="AD364" s="470" t="s">
        <v>110</v>
      </c>
      <c r="AE364" s="470"/>
      <c r="AF364" s="473">
        <v>82.3</v>
      </c>
      <c r="AG364" s="469">
        <v>32.700000000000003</v>
      </c>
      <c r="AH364" s="470" t="s">
        <v>6306</v>
      </c>
      <c r="AI364" s="470" t="s">
        <v>6331</v>
      </c>
      <c r="AJ364" s="470" t="s">
        <v>6493</v>
      </c>
      <c r="AK364" s="470" t="s">
        <v>6493</v>
      </c>
      <c r="AL364" s="470" t="s">
        <v>796</v>
      </c>
      <c r="AM364" s="470"/>
      <c r="AN364" s="470"/>
      <c r="AO364" s="470"/>
      <c r="AP364" s="470"/>
      <c r="AQ364" s="470"/>
      <c r="AR364" s="470"/>
      <c r="AS364" s="470"/>
      <c r="AT364" s="470"/>
      <c r="AU364" s="470"/>
      <c r="AV364" s="470"/>
      <c r="AW364" s="470"/>
      <c r="AX364" s="470"/>
      <c r="AY364" s="470"/>
      <c r="AZ364" s="470"/>
      <c r="BA364" s="470"/>
      <c r="BB364" s="470"/>
      <c r="BC364" s="470"/>
      <c r="BD364" s="470"/>
      <c r="BE364" s="470"/>
      <c r="BF364" s="470"/>
      <c r="BG364" s="470"/>
      <c r="BH364" s="470"/>
      <c r="BI364" s="470"/>
      <c r="BJ364" s="470"/>
      <c r="BK364" s="470"/>
      <c r="BL364" s="474"/>
    </row>
    <row r="365" spans="1:64">
      <c r="A365" s="475">
        <v>44156</v>
      </c>
      <c r="B365" s="478">
        <v>326</v>
      </c>
      <c r="C365" s="478">
        <v>40</v>
      </c>
      <c r="D365" s="476" t="s">
        <v>637</v>
      </c>
      <c r="E365" s="477">
        <v>47</v>
      </c>
      <c r="F365" s="476" t="s">
        <v>103</v>
      </c>
      <c r="G365" s="477">
        <v>534</v>
      </c>
      <c r="H365" s="476" t="s">
        <v>6255</v>
      </c>
      <c r="I365" s="476" t="s">
        <v>6257</v>
      </c>
      <c r="J365" s="477">
        <v>22</v>
      </c>
      <c r="K365" s="476" t="s">
        <v>6262</v>
      </c>
      <c r="L365" s="476" t="s">
        <v>6278</v>
      </c>
      <c r="M365" s="476" t="s">
        <v>9</v>
      </c>
      <c r="N365" s="478">
        <v>0</v>
      </c>
      <c r="O365" s="479"/>
      <c r="P365" s="479"/>
      <c r="Q365" s="479"/>
      <c r="R365" s="476"/>
      <c r="S365" s="479">
        <v>0.21832175925925926</v>
      </c>
      <c r="T365" s="479">
        <v>0.28498842592592594</v>
      </c>
      <c r="U365" s="479"/>
      <c r="V365" s="479"/>
      <c r="W365" s="479">
        <v>0.48740740740740746</v>
      </c>
      <c r="X365" s="479">
        <v>0.68982638888888881</v>
      </c>
      <c r="Y365" s="479">
        <v>0.53472222222222221</v>
      </c>
      <c r="Z365" s="479">
        <v>0.74861111111111101</v>
      </c>
      <c r="AA365" s="479">
        <v>0.96319444444444446</v>
      </c>
      <c r="AB365" s="476" t="s">
        <v>6463</v>
      </c>
      <c r="AC365" s="478">
        <v>152</v>
      </c>
      <c r="AD365" s="476" t="s">
        <v>110</v>
      </c>
      <c r="AE365" s="476"/>
      <c r="AF365" s="478">
        <v>81.7</v>
      </c>
      <c r="AG365" s="477">
        <v>29.7</v>
      </c>
      <c r="AH365" s="476" t="s">
        <v>6307</v>
      </c>
      <c r="AI365" s="476" t="s">
        <v>6332</v>
      </c>
      <c r="AJ365" s="476" t="s">
        <v>6493</v>
      </c>
      <c r="AK365" s="476" t="s">
        <v>6493</v>
      </c>
      <c r="AL365" s="476"/>
      <c r="AM365" s="476"/>
      <c r="AN365" s="476"/>
      <c r="AO365" s="476"/>
      <c r="AP365" s="476"/>
      <c r="AQ365" s="476"/>
      <c r="AR365" s="476"/>
      <c r="AS365" s="476"/>
      <c r="AT365" s="476"/>
      <c r="AU365" s="476"/>
      <c r="AV365" s="476"/>
      <c r="AW365" s="476"/>
      <c r="AX365" s="476"/>
      <c r="AY365" s="476"/>
      <c r="AZ365" s="476"/>
      <c r="BA365" s="476"/>
      <c r="BB365" s="476"/>
      <c r="BC365" s="476"/>
      <c r="BD365" s="476"/>
      <c r="BE365" s="476"/>
      <c r="BF365" s="476"/>
      <c r="BG365" s="476"/>
      <c r="BH365" s="476"/>
      <c r="BI365" s="476"/>
      <c r="BJ365" s="476"/>
      <c r="BK365" s="476"/>
      <c r="BL365" s="480"/>
    </row>
    <row r="366" spans="1:64">
      <c r="A366" s="468">
        <v>44157</v>
      </c>
      <c r="B366" s="473">
        <v>327</v>
      </c>
      <c r="C366" s="473">
        <v>39</v>
      </c>
      <c r="D366" s="470" t="s">
        <v>637</v>
      </c>
      <c r="E366" s="469">
        <v>47</v>
      </c>
      <c r="F366" s="470" t="s">
        <v>106</v>
      </c>
      <c r="G366" s="469">
        <v>534</v>
      </c>
      <c r="H366" s="470" t="s">
        <v>6255</v>
      </c>
      <c r="I366" s="470" t="s">
        <v>6257</v>
      </c>
      <c r="J366" s="469">
        <v>23</v>
      </c>
      <c r="K366" s="470" t="s">
        <v>6263</v>
      </c>
      <c r="L366" s="470" t="s">
        <v>6279</v>
      </c>
      <c r="M366" s="470" t="s">
        <v>9</v>
      </c>
      <c r="N366" s="473">
        <v>0</v>
      </c>
      <c r="O366" s="471"/>
      <c r="P366" s="471"/>
      <c r="Q366" s="471"/>
      <c r="R366" s="470"/>
      <c r="S366" s="471">
        <v>0.21910879629629632</v>
      </c>
      <c r="T366" s="471">
        <v>0.28577546296296297</v>
      </c>
      <c r="U366" s="471"/>
      <c r="V366" s="471"/>
      <c r="W366" s="471">
        <v>0.48760416666666667</v>
      </c>
      <c r="X366" s="471">
        <v>0.68942129629629623</v>
      </c>
      <c r="Y366" s="471">
        <v>0.55486111111111114</v>
      </c>
      <c r="Z366" s="471">
        <v>0.78055555555555556</v>
      </c>
      <c r="AA366" s="471" t="s">
        <v>1107</v>
      </c>
      <c r="AB366" s="470" t="s">
        <v>6464</v>
      </c>
      <c r="AC366" s="473">
        <v>130</v>
      </c>
      <c r="AD366" s="470" t="s">
        <v>113</v>
      </c>
      <c r="AE366" s="470" t="s">
        <v>6549</v>
      </c>
      <c r="AF366" s="473">
        <v>78.099999999999994</v>
      </c>
      <c r="AG366" s="469">
        <v>24.1</v>
      </c>
      <c r="AH366" s="470" t="s">
        <v>6308</v>
      </c>
      <c r="AI366" s="470" t="s">
        <v>6333</v>
      </c>
      <c r="AJ366" s="470" t="s">
        <v>839</v>
      </c>
      <c r="AK366" s="470" t="s">
        <v>6493</v>
      </c>
      <c r="AL366" s="470" t="s">
        <v>1230</v>
      </c>
      <c r="AM366" s="470" t="s">
        <v>6344</v>
      </c>
      <c r="AN366" s="470" t="s">
        <v>6973</v>
      </c>
      <c r="AO366" s="470" t="s">
        <v>6346</v>
      </c>
      <c r="AP366" s="470" t="s">
        <v>7041</v>
      </c>
      <c r="AQ366" s="470" t="s">
        <v>6346</v>
      </c>
      <c r="AR366" s="470" t="s">
        <v>7067</v>
      </c>
      <c r="AS366" s="470" t="s">
        <v>6346</v>
      </c>
      <c r="AT366" s="470"/>
      <c r="AU366" s="470"/>
      <c r="AV366" s="470"/>
      <c r="AW366" s="470"/>
      <c r="AX366" s="470"/>
      <c r="AY366" s="470"/>
      <c r="AZ366" s="470"/>
      <c r="BA366" s="470"/>
      <c r="BB366" s="470"/>
      <c r="BC366" s="470"/>
      <c r="BD366" s="470"/>
      <c r="BE366" s="470"/>
      <c r="BF366" s="470"/>
      <c r="BG366" s="470"/>
      <c r="BH366" s="470"/>
      <c r="BI366" s="470"/>
      <c r="BJ366" s="470" t="s">
        <v>6413</v>
      </c>
      <c r="BK366" s="470"/>
      <c r="BL366" s="474"/>
    </row>
    <row r="367" spans="1:64">
      <c r="A367" s="475">
        <v>44158</v>
      </c>
      <c r="B367" s="478">
        <v>328</v>
      </c>
      <c r="C367" s="478">
        <v>38</v>
      </c>
      <c r="D367" s="476" t="s">
        <v>637</v>
      </c>
      <c r="E367" s="477">
        <v>48</v>
      </c>
      <c r="F367" s="476" t="s">
        <v>88</v>
      </c>
      <c r="G367" s="477">
        <v>534</v>
      </c>
      <c r="H367" s="476" t="s">
        <v>6255</v>
      </c>
      <c r="I367" s="476" t="s">
        <v>6257</v>
      </c>
      <c r="J367" s="477">
        <v>24</v>
      </c>
      <c r="K367" s="476" t="s">
        <v>6264</v>
      </c>
      <c r="L367" s="476" t="s">
        <v>6280</v>
      </c>
      <c r="M367" s="476" t="s">
        <v>9</v>
      </c>
      <c r="N367" s="478">
        <v>0</v>
      </c>
      <c r="O367" s="479"/>
      <c r="P367" s="479"/>
      <c r="Q367" s="479"/>
      <c r="R367" s="476"/>
      <c r="S367" s="479">
        <v>0.21989583333333332</v>
      </c>
      <c r="T367" s="479">
        <v>0.2865625</v>
      </c>
      <c r="U367" s="479"/>
      <c r="V367" s="479"/>
      <c r="W367" s="479">
        <v>0.48780092592592594</v>
      </c>
      <c r="X367" s="479">
        <v>0.68903935185185183</v>
      </c>
      <c r="Y367" s="479">
        <v>0.57291666666666663</v>
      </c>
      <c r="Z367" s="479">
        <v>0.80972222222222223</v>
      </c>
      <c r="AA367" s="479">
        <v>6.9444444444444441E-3</v>
      </c>
      <c r="AB367" s="476" t="s">
        <v>6464</v>
      </c>
      <c r="AC367" s="478">
        <v>130</v>
      </c>
      <c r="AD367" s="476" t="s">
        <v>113</v>
      </c>
      <c r="AE367" s="476"/>
      <c r="AF367" s="478">
        <v>72.2</v>
      </c>
      <c r="AG367" s="477">
        <v>16.3</v>
      </c>
      <c r="AH367" s="476" t="s">
        <v>6309</v>
      </c>
      <c r="AI367" s="476" t="s">
        <v>6334</v>
      </c>
      <c r="AJ367" s="476" t="s">
        <v>839</v>
      </c>
      <c r="AK367" s="476" t="s">
        <v>6493</v>
      </c>
      <c r="AL367" s="476" t="s">
        <v>1231</v>
      </c>
      <c r="AM367" s="476" t="s">
        <v>6162</v>
      </c>
      <c r="AN367" s="476"/>
      <c r="AO367" s="476"/>
      <c r="AP367" s="476"/>
      <c r="AQ367" s="476"/>
      <c r="AR367" s="476"/>
      <c r="AS367" s="476"/>
      <c r="AT367" s="476"/>
      <c r="AU367" s="476"/>
      <c r="AV367" s="476"/>
      <c r="AW367" s="476"/>
      <c r="AX367" s="476"/>
      <c r="AY367" s="476"/>
      <c r="AZ367" s="476"/>
      <c r="BA367" s="476"/>
      <c r="BB367" s="476"/>
      <c r="BC367" s="476"/>
      <c r="BD367" s="476"/>
      <c r="BE367" s="476"/>
      <c r="BF367" s="476"/>
      <c r="BG367" s="476"/>
      <c r="BH367" s="476"/>
      <c r="BI367" s="476"/>
      <c r="BJ367" s="476" t="s">
        <v>6414</v>
      </c>
      <c r="BK367" s="476"/>
      <c r="BL367" s="480"/>
    </row>
    <row r="368" spans="1:64">
      <c r="A368" s="468">
        <v>44159</v>
      </c>
      <c r="B368" s="473">
        <v>329</v>
      </c>
      <c r="C368" s="473">
        <v>37</v>
      </c>
      <c r="D368" s="470" t="s">
        <v>637</v>
      </c>
      <c r="E368" s="469">
        <v>48</v>
      </c>
      <c r="F368" s="470" t="s">
        <v>91</v>
      </c>
      <c r="G368" s="469">
        <v>534</v>
      </c>
      <c r="H368" s="470" t="s">
        <v>6255</v>
      </c>
      <c r="I368" s="470" t="s">
        <v>6257</v>
      </c>
      <c r="J368" s="469">
        <v>25</v>
      </c>
      <c r="K368" s="470" t="s">
        <v>6265</v>
      </c>
      <c r="L368" s="470" t="s">
        <v>6281</v>
      </c>
      <c r="M368" s="470" t="s">
        <v>9</v>
      </c>
      <c r="N368" s="473">
        <v>0</v>
      </c>
      <c r="O368" s="471"/>
      <c r="P368" s="471"/>
      <c r="Q368" s="471"/>
      <c r="R368" s="470"/>
      <c r="S368" s="471">
        <v>0.22065972222222222</v>
      </c>
      <c r="T368" s="471">
        <v>0.2873263888888889</v>
      </c>
      <c r="U368" s="471"/>
      <c r="V368" s="471"/>
      <c r="W368" s="471">
        <v>0.48800925925925925</v>
      </c>
      <c r="X368" s="471">
        <v>0.68868055555555552</v>
      </c>
      <c r="Y368" s="471">
        <v>0.58888888888888891</v>
      </c>
      <c r="Z368" s="471">
        <v>0.83819444444444446</v>
      </c>
      <c r="AA368" s="471">
        <v>4.8611111111111112E-2</v>
      </c>
      <c r="AB368" s="470" t="s">
        <v>6464</v>
      </c>
      <c r="AC368" s="473">
        <v>130</v>
      </c>
      <c r="AD368" s="470" t="s">
        <v>113</v>
      </c>
      <c r="AE368" s="470"/>
      <c r="AF368" s="473">
        <v>64.400000000000006</v>
      </c>
      <c r="AG368" s="469">
        <v>6.9</v>
      </c>
      <c r="AH368" s="470" t="s">
        <v>6310</v>
      </c>
      <c r="AI368" s="470" t="s">
        <v>6335</v>
      </c>
      <c r="AJ368" s="470" t="s">
        <v>839</v>
      </c>
      <c r="AK368" s="470" t="s">
        <v>6493</v>
      </c>
      <c r="AL368" s="470" t="s">
        <v>6842</v>
      </c>
      <c r="AM368" s="470" t="s">
        <v>6349</v>
      </c>
      <c r="AN368" s="470"/>
      <c r="AO368" s="470"/>
      <c r="AP368" s="470"/>
      <c r="AQ368" s="470"/>
      <c r="AR368" s="470"/>
      <c r="AS368" s="470"/>
      <c r="AT368" s="470"/>
      <c r="AU368" s="470"/>
      <c r="AV368" s="470"/>
      <c r="AW368" s="470"/>
      <c r="AX368" s="470"/>
      <c r="AY368" s="470"/>
      <c r="AZ368" s="470"/>
      <c r="BA368" s="470"/>
      <c r="BB368" s="470"/>
      <c r="BC368" s="470"/>
      <c r="BD368" s="470"/>
      <c r="BE368" s="470"/>
      <c r="BF368" s="470"/>
      <c r="BG368" s="470"/>
      <c r="BH368" s="470"/>
      <c r="BI368" s="470"/>
      <c r="BJ368" s="470"/>
      <c r="BK368" s="470" t="s">
        <v>995</v>
      </c>
      <c r="BL368" s="474"/>
    </row>
    <row r="369" spans="1:64">
      <c r="A369" s="475">
        <v>44160</v>
      </c>
      <c r="B369" s="478">
        <v>330</v>
      </c>
      <c r="C369" s="478">
        <v>36</v>
      </c>
      <c r="D369" s="476" t="s">
        <v>637</v>
      </c>
      <c r="E369" s="477">
        <v>48</v>
      </c>
      <c r="F369" s="476" t="s">
        <v>94</v>
      </c>
      <c r="G369" s="477">
        <v>534</v>
      </c>
      <c r="H369" s="476" t="s">
        <v>6255</v>
      </c>
      <c r="I369" s="476" t="s">
        <v>6257</v>
      </c>
      <c r="J369" s="477">
        <v>26</v>
      </c>
      <c r="K369" s="476" t="s">
        <v>6271</v>
      </c>
      <c r="L369" s="476" t="s">
        <v>6282</v>
      </c>
      <c r="M369" s="476" t="s">
        <v>9</v>
      </c>
      <c r="N369" s="478">
        <v>0</v>
      </c>
      <c r="O369" s="479"/>
      <c r="P369" s="479"/>
      <c r="Q369" s="479"/>
      <c r="R369" s="476"/>
      <c r="S369" s="479">
        <v>0.22143518518518521</v>
      </c>
      <c r="T369" s="479">
        <v>0.28810185185185183</v>
      </c>
      <c r="U369" s="479"/>
      <c r="V369" s="479"/>
      <c r="W369" s="479">
        <v>0.48821759259259262</v>
      </c>
      <c r="X369" s="479">
        <v>0.68834490740740739</v>
      </c>
      <c r="Y369" s="479">
        <v>0.60486111111111118</v>
      </c>
      <c r="Z369" s="479">
        <v>0.86597222222222225</v>
      </c>
      <c r="AA369" s="479">
        <v>8.9583333333333334E-2</v>
      </c>
      <c r="AB369" s="476" t="s">
        <v>6464</v>
      </c>
      <c r="AC369" s="478">
        <v>130</v>
      </c>
      <c r="AD369" s="476" t="s">
        <v>113</v>
      </c>
      <c r="AE369" s="476"/>
      <c r="AF369" s="478">
        <v>55.5</v>
      </c>
      <c r="AG369" s="477">
        <v>96.5</v>
      </c>
      <c r="AH369" s="476" t="s">
        <v>6310</v>
      </c>
      <c r="AI369" s="476" t="s">
        <v>6336</v>
      </c>
      <c r="AJ369" s="476" t="s">
        <v>8</v>
      </c>
      <c r="AK369" s="476" t="s">
        <v>13</v>
      </c>
      <c r="AL369" s="476" t="s">
        <v>6843</v>
      </c>
      <c r="AM369" s="476" t="s">
        <v>6342</v>
      </c>
      <c r="AN369" s="476" t="s">
        <v>6974</v>
      </c>
      <c r="AO369" s="476" t="s">
        <v>6351</v>
      </c>
      <c r="AP369" s="476" t="s">
        <v>7042</v>
      </c>
      <c r="AQ369" s="476" t="s">
        <v>6350</v>
      </c>
      <c r="AR369" s="476" t="s">
        <v>7068</v>
      </c>
      <c r="AS369" s="476" t="s">
        <v>6350</v>
      </c>
      <c r="AT369" s="476" t="s">
        <v>7081</v>
      </c>
      <c r="AU369" s="476" t="s">
        <v>6345</v>
      </c>
      <c r="AV369" s="476" t="s">
        <v>7087</v>
      </c>
      <c r="AW369" s="476" t="s">
        <v>6351</v>
      </c>
      <c r="AX369" s="476"/>
      <c r="AY369" s="476"/>
      <c r="AZ369" s="476"/>
      <c r="BA369" s="476"/>
      <c r="BB369" s="476"/>
      <c r="BC369" s="476"/>
      <c r="BD369" s="476"/>
      <c r="BE369" s="476"/>
      <c r="BF369" s="476"/>
      <c r="BG369" s="476"/>
      <c r="BH369" s="476"/>
      <c r="BI369" s="476"/>
      <c r="BJ369" s="476" t="s">
        <v>7096</v>
      </c>
      <c r="BK369" s="476"/>
      <c r="BL369" s="480"/>
    </row>
    <row r="370" spans="1:64">
      <c r="A370" s="468">
        <v>44161</v>
      </c>
      <c r="B370" s="473">
        <v>331</v>
      </c>
      <c r="C370" s="473">
        <v>35</v>
      </c>
      <c r="D370" s="470" t="s">
        <v>637</v>
      </c>
      <c r="E370" s="469">
        <v>48</v>
      </c>
      <c r="F370" s="470" t="s">
        <v>6714</v>
      </c>
      <c r="G370" s="469">
        <v>534</v>
      </c>
      <c r="H370" s="470" t="s">
        <v>6255</v>
      </c>
      <c r="I370" s="470" t="s">
        <v>6257</v>
      </c>
      <c r="J370" s="469">
        <v>27</v>
      </c>
      <c r="K370" s="470" t="s">
        <v>6266</v>
      </c>
      <c r="L370" s="470" t="s">
        <v>6283</v>
      </c>
      <c r="M370" s="470" t="s">
        <v>9</v>
      </c>
      <c r="N370" s="473">
        <v>0</v>
      </c>
      <c r="O370" s="471"/>
      <c r="P370" s="471"/>
      <c r="Q370" s="471"/>
      <c r="R370" s="470"/>
      <c r="S370" s="471">
        <v>0.22218749999999998</v>
      </c>
      <c r="T370" s="471">
        <v>0.28885416666666669</v>
      </c>
      <c r="U370" s="471">
        <v>0.28819444444444448</v>
      </c>
      <c r="V370" s="471">
        <v>0.42152777777777778</v>
      </c>
      <c r="W370" s="471">
        <v>0.48844907407407406</v>
      </c>
      <c r="X370" s="471">
        <v>0.68804398148148149</v>
      </c>
      <c r="Y370" s="471">
        <v>0.62013888888888891</v>
      </c>
      <c r="Z370" s="471">
        <v>0.89374999999999993</v>
      </c>
      <c r="AA370" s="471">
        <v>0.13055555555555556</v>
      </c>
      <c r="AB370" s="470" t="s">
        <v>6464</v>
      </c>
      <c r="AC370" s="473">
        <v>130</v>
      </c>
      <c r="AD370" s="470" t="s">
        <v>113</v>
      </c>
      <c r="AE370" s="470"/>
      <c r="AF370" s="473">
        <v>46</v>
      </c>
      <c r="AG370" s="469">
        <v>85.5</v>
      </c>
      <c r="AH370" s="470" t="s">
        <v>6311</v>
      </c>
      <c r="AI370" s="470" t="s">
        <v>6337</v>
      </c>
      <c r="AJ370" s="470" t="s">
        <v>839</v>
      </c>
      <c r="AK370" s="470" t="s">
        <v>6493</v>
      </c>
      <c r="AL370" s="470" t="s">
        <v>6844</v>
      </c>
      <c r="AM370" s="470" t="s">
        <v>6343</v>
      </c>
      <c r="AN370" s="470"/>
      <c r="AO370" s="470"/>
      <c r="AP370" s="470"/>
      <c r="AQ370" s="470"/>
      <c r="AR370" s="470"/>
      <c r="AS370" s="470"/>
      <c r="AT370" s="470"/>
      <c r="AU370" s="470"/>
      <c r="AV370" s="470"/>
      <c r="AW370" s="470"/>
      <c r="AX370" s="470"/>
      <c r="AY370" s="470"/>
      <c r="AZ370" s="470"/>
      <c r="BA370" s="470"/>
      <c r="BB370" s="470"/>
      <c r="BC370" s="470"/>
      <c r="BD370" s="470"/>
      <c r="BE370" s="470"/>
      <c r="BF370" s="470"/>
      <c r="BG370" s="470"/>
      <c r="BH370" s="470"/>
      <c r="BI370" s="470"/>
      <c r="BJ370" s="470"/>
      <c r="BK370" s="470"/>
      <c r="BL370" s="474"/>
    </row>
    <row r="371" spans="1:64">
      <c r="A371" s="475">
        <v>44162</v>
      </c>
      <c r="B371" s="478">
        <v>332</v>
      </c>
      <c r="C371" s="478">
        <v>34</v>
      </c>
      <c r="D371" s="476" t="s">
        <v>637</v>
      </c>
      <c r="E371" s="477">
        <v>48</v>
      </c>
      <c r="F371" s="476" t="s">
        <v>100</v>
      </c>
      <c r="G371" s="477">
        <v>534</v>
      </c>
      <c r="H371" s="476" t="s">
        <v>6255</v>
      </c>
      <c r="I371" s="476" t="s">
        <v>6257</v>
      </c>
      <c r="J371" s="477">
        <v>28</v>
      </c>
      <c r="K371" s="476" t="s">
        <v>6267</v>
      </c>
      <c r="L371" s="476" t="s">
        <v>6284</v>
      </c>
      <c r="M371" s="476" t="s">
        <v>9</v>
      </c>
      <c r="N371" s="478">
        <v>0</v>
      </c>
      <c r="O371" s="479"/>
      <c r="P371" s="479"/>
      <c r="Q371" s="479"/>
      <c r="R371" s="476"/>
      <c r="S371" s="479">
        <v>0.22293981481481481</v>
      </c>
      <c r="T371" s="479">
        <v>0.28960648148148149</v>
      </c>
      <c r="U371" s="479"/>
      <c r="V371" s="479"/>
      <c r="W371" s="479">
        <v>0.48868055555555556</v>
      </c>
      <c r="X371" s="479">
        <v>0.68776620370370367</v>
      </c>
      <c r="Y371" s="479">
        <v>0.63680555555555551</v>
      </c>
      <c r="Z371" s="479">
        <v>0.92222222222222217</v>
      </c>
      <c r="AA371" s="479">
        <v>0.17083333333333331</v>
      </c>
      <c r="AB371" s="476" t="s">
        <v>6464</v>
      </c>
      <c r="AC371" s="478">
        <v>130</v>
      </c>
      <c r="AD371" s="476" t="s">
        <v>113</v>
      </c>
      <c r="AE371" s="476"/>
      <c r="AF371" s="478">
        <v>36.200000000000003</v>
      </c>
      <c r="AG371" s="477">
        <v>74.3</v>
      </c>
      <c r="AH371" s="476" t="s">
        <v>6312</v>
      </c>
      <c r="AI371" s="476" t="s">
        <v>6338</v>
      </c>
      <c r="AJ371" s="476" t="s">
        <v>6493</v>
      </c>
      <c r="AK371" s="476" t="s">
        <v>6493</v>
      </c>
      <c r="AL371" s="476"/>
      <c r="AM371" s="476"/>
      <c r="AN371" s="476"/>
      <c r="AO371" s="476"/>
      <c r="AP371" s="476"/>
      <c r="AQ371" s="476"/>
      <c r="AR371" s="476"/>
      <c r="AS371" s="476"/>
      <c r="AT371" s="476"/>
      <c r="AU371" s="476"/>
      <c r="AV371" s="476"/>
      <c r="AW371" s="476"/>
      <c r="AX371" s="476"/>
      <c r="AY371" s="476"/>
      <c r="AZ371" s="476"/>
      <c r="BA371" s="476"/>
      <c r="BB371" s="476"/>
      <c r="BC371" s="476"/>
      <c r="BD371" s="476"/>
      <c r="BE371" s="476"/>
      <c r="BF371" s="476"/>
      <c r="BG371" s="476"/>
      <c r="BH371" s="476"/>
      <c r="BI371" s="476"/>
      <c r="BJ371" s="476"/>
      <c r="BK371" s="476"/>
      <c r="BL371" s="480"/>
    </row>
    <row r="372" spans="1:64">
      <c r="A372" s="468">
        <v>44163</v>
      </c>
      <c r="B372" s="473">
        <v>333</v>
      </c>
      <c r="C372" s="473">
        <v>33</v>
      </c>
      <c r="D372" s="470" t="s">
        <v>637</v>
      </c>
      <c r="E372" s="469">
        <v>48</v>
      </c>
      <c r="F372" s="470" t="s">
        <v>103</v>
      </c>
      <c r="G372" s="469">
        <v>534</v>
      </c>
      <c r="H372" s="470" t="s">
        <v>6255</v>
      </c>
      <c r="I372" s="470" t="s">
        <v>6257</v>
      </c>
      <c r="J372" s="469">
        <v>29</v>
      </c>
      <c r="K372" s="470" t="s">
        <v>6268</v>
      </c>
      <c r="L372" s="470" t="s">
        <v>6285</v>
      </c>
      <c r="M372" s="470" t="s">
        <v>9</v>
      </c>
      <c r="N372" s="473">
        <v>0</v>
      </c>
      <c r="O372" s="471"/>
      <c r="P372" s="471"/>
      <c r="Q372" s="471"/>
      <c r="R372" s="470"/>
      <c r="S372" s="471">
        <v>0.22368055555555555</v>
      </c>
      <c r="T372" s="471">
        <v>0.29034722222222226</v>
      </c>
      <c r="U372" s="471"/>
      <c r="V372" s="471"/>
      <c r="W372" s="471">
        <v>0.4889236111111111</v>
      </c>
      <c r="X372" s="471">
        <v>0.68751157407407415</v>
      </c>
      <c r="Y372" s="471">
        <v>0.65486111111111112</v>
      </c>
      <c r="Z372" s="471">
        <v>0.95208333333333339</v>
      </c>
      <c r="AA372" s="471">
        <v>0.21249999999999999</v>
      </c>
      <c r="AB372" s="470" t="s">
        <v>6464</v>
      </c>
      <c r="AC372" s="473">
        <v>130</v>
      </c>
      <c r="AD372" s="470" t="s">
        <v>113</v>
      </c>
      <c r="AE372" s="470"/>
      <c r="AF372" s="473">
        <v>26.7</v>
      </c>
      <c r="AG372" s="469">
        <v>63.3</v>
      </c>
      <c r="AH372" s="470" t="s">
        <v>6313</v>
      </c>
      <c r="AI372" s="470" t="s">
        <v>6339</v>
      </c>
      <c r="AJ372" s="470" t="s">
        <v>839</v>
      </c>
      <c r="AK372" s="470" t="s">
        <v>6493</v>
      </c>
      <c r="AL372" s="470" t="s">
        <v>6845</v>
      </c>
      <c r="AM372" s="470" t="s">
        <v>6346</v>
      </c>
      <c r="AN372" s="470" t="s">
        <v>6975</v>
      </c>
      <c r="AO372" s="470" t="s">
        <v>6346</v>
      </c>
      <c r="AP372" s="470" t="s">
        <v>7043</v>
      </c>
      <c r="AQ372" s="470" t="s">
        <v>6349</v>
      </c>
      <c r="AR372" s="470"/>
      <c r="AS372" s="470"/>
      <c r="AT372" s="470"/>
      <c r="AU372" s="470"/>
      <c r="AV372" s="470"/>
      <c r="AW372" s="470"/>
      <c r="AX372" s="470"/>
      <c r="AY372" s="470"/>
      <c r="AZ372" s="470"/>
      <c r="BA372" s="470"/>
      <c r="BB372" s="470"/>
      <c r="BC372" s="470"/>
      <c r="BD372" s="470"/>
      <c r="BE372" s="470"/>
      <c r="BF372" s="470"/>
      <c r="BG372" s="470"/>
      <c r="BH372" s="470"/>
      <c r="BI372" s="470"/>
      <c r="BJ372" s="470" t="s">
        <v>6415</v>
      </c>
      <c r="BK372" s="470" t="s">
        <v>996</v>
      </c>
      <c r="BL372" s="474"/>
    </row>
    <row r="373" spans="1:64">
      <c r="A373" s="475">
        <v>44164</v>
      </c>
      <c r="B373" s="478">
        <v>334</v>
      </c>
      <c r="C373" s="478">
        <v>32</v>
      </c>
      <c r="D373" s="476" t="s">
        <v>637</v>
      </c>
      <c r="E373" s="477">
        <v>48</v>
      </c>
      <c r="F373" s="476" t="s">
        <v>106</v>
      </c>
      <c r="G373" s="477">
        <v>534</v>
      </c>
      <c r="H373" s="476" t="s">
        <v>6255</v>
      </c>
      <c r="I373" s="476" t="s">
        <v>6257</v>
      </c>
      <c r="J373" s="477">
        <v>30</v>
      </c>
      <c r="K373" s="476" t="s">
        <v>6272</v>
      </c>
      <c r="L373" s="476" t="s">
        <v>6288</v>
      </c>
      <c r="M373" s="476" t="s">
        <v>9</v>
      </c>
      <c r="N373" s="478">
        <v>0</v>
      </c>
      <c r="O373" s="479"/>
      <c r="P373" s="479"/>
      <c r="Q373" s="479"/>
      <c r="R373" s="476"/>
      <c r="S373" s="479">
        <v>0.22440972222222222</v>
      </c>
      <c r="T373" s="479">
        <v>0.29107638888888893</v>
      </c>
      <c r="U373" s="479"/>
      <c r="V373" s="479"/>
      <c r="W373" s="479">
        <v>0.48917824074074073</v>
      </c>
      <c r="X373" s="479">
        <v>0.6872800925925926</v>
      </c>
      <c r="Y373" s="479">
        <v>0.67569444444444438</v>
      </c>
      <c r="Z373" s="479">
        <v>0.98333333333333339</v>
      </c>
      <c r="AA373" s="479">
        <v>0.25347222222222221</v>
      </c>
      <c r="AB373" s="476" t="s">
        <v>6464</v>
      </c>
      <c r="AC373" s="478">
        <v>130</v>
      </c>
      <c r="AD373" s="476" t="s">
        <v>113</v>
      </c>
      <c r="AE373" s="476"/>
      <c r="AF373" s="478">
        <v>17.7</v>
      </c>
      <c r="AG373" s="477">
        <v>52.8</v>
      </c>
      <c r="AH373" s="476" t="s">
        <v>6314</v>
      </c>
      <c r="AI373" s="476" t="s">
        <v>6340</v>
      </c>
      <c r="AJ373" s="476" t="s">
        <v>839</v>
      </c>
      <c r="AK373" s="476" t="s">
        <v>6493</v>
      </c>
      <c r="AL373" s="476" t="s">
        <v>6846</v>
      </c>
      <c r="AM373" s="476" t="s">
        <v>6350</v>
      </c>
      <c r="AN373" s="476" t="s">
        <v>824</v>
      </c>
      <c r="AO373" s="476" t="s">
        <v>6344</v>
      </c>
      <c r="AP373" s="476" t="s">
        <v>7044</v>
      </c>
      <c r="AQ373" s="476" t="s">
        <v>6344</v>
      </c>
      <c r="AR373" s="476" t="s">
        <v>7069</v>
      </c>
      <c r="AS373" s="476" t="s">
        <v>6346</v>
      </c>
      <c r="AT373" s="476" t="s">
        <v>7082</v>
      </c>
      <c r="AU373" s="476" t="s">
        <v>6349</v>
      </c>
      <c r="AV373" s="476" t="s">
        <v>7088</v>
      </c>
      <c r="AW373" s="476"/>
      <c r="AX373" s="476"/>
      <c r="AY373" s="476"/>
      <c r="AZ373" s="476"/>
      <c r="BA373" s="476"/>
      <c r="BB373" s="476"/>
      <c r="BC373" s="476"/>
      <c r="BD373" s="476"/>
      <c r="BE373" s="476"/>
      <c r="BF373" s="476"/>
      <c r="BG373" s="476"/>
      <c r="BH373" s="476"/>
      <c r="BI373" s="476"/>
      <c r="BJ373" s="476" t="s">
        <v>7097</v>
      </c>
      <c r="BK373" s="476" t="s">
        <v>997</v>
      </c>
      <c r="BL373" s="480"/>
    </row>
    <row r="374" spans="1:64">
      <c r="A374" s="468">
        <v>44165</v>
      </c>
      <c r="B374" s="473">
        <v>335</v>
      </c>
      <c r="C374" s="473">
        <v>31</v>
      </c>
      <c r="D374" s="470" t="s">
        <v>637</v>
      </c>
      <c r="E374" s="469">
        <v>49</v>
      </c>
      <c r="F374" s="470" t="s">
        <v>88</v>
      </c>
      <c r="G374" s="469">
        <v>534</v>
      </c>
      <c r="H374" s="470" t="s">
        <v>967</v>
      </c>
      <c r="I374" s="470" t="s">
        <v>836</v>
      </c>
      <c r="J374" s="469">
        <v>1</v>
      </c>
      <c r="K374" s="470" t="s">
        <v>6270</v>
      </c>
      <c r="L374" s="470" t="s">
        <v>6287</v>
      </c>
      <c r="M374" s="470" t="s">
        <v>9</v>
      </c>
      <c r="N374" s="473">
        <v>0</v>
      </c>
      <c r="O374" s="471"/>
      <c r="P374" s="471"/>
      <c r="Q374" s="471"/>
      <c r="R374" s="470"/>
      <c r="S374" s="471">
        <v>0.22512731481481482</v>
      </c>
      <c r="T374" s="471">
        <v>0.29179398148148145</v>
      </c>
      <c r="U374" s="471"/>
      <c r="V374" s="471"/>
      <c r="W374" s="471">
        <v>0.48943287037037037</v>
      </c>
      <c r="X374" s="471">
        <v>0.68707175925925934</v>
      </c>
      <c r="Y374" s="471">
        <v>0.69930555555555562</v>
      </c>
      <c r="Z374" s="471" t="s">
        <v>1107</v>
      </c>
      <c r="AA374" s="471">
        <v>0.29652777777777778</v>
      </c>
      <c r="AB374" s="470" t="s">
        <v>6462</v>
      </c>
      <c r="AC374" s="473">
        <v>129</v>
      </c>
      <c r="AD374" s="470" t="s">
        <v>116</v>
      </c>
      <c r="AE374" s="470" t="s">
        <v>6550</v>
      </c>
      <c r="AF374" s="473">
        <v>9.5</v>
      </c>
      <c r="AG374" s="469">
        <v>43.1</v>
      </c>
      <c r="AH374" s="470" t="s">
        <v>973</v>
      </c>
      <c r="AI374" s="470" t="s">
        <v>974</v>
      </c>
      <c r="AJ374" s="470" t="s">
        <v>839</v>
      </c>
      <c r="AK374" s="470" t="s">
        <v>6493</v>
      </c>
      <c r="AL374" s="470" t="s">
        <v>6847</v>
      </c>
      <c r="AM374" s="470" t="s">
        <v>6344</v>
      </c>
      <c r="AN374" s="470" t="s">
        <v>6897</v>
      </c>
      <c r="AO374" s="470"/>
      <c r="AP374" s="470" t="s">
        <v>7004</v>
      </c>
      <c r="AQ374" s="470"/>
      <c r="AR374" s="470"/>
      <c r="AS374" s="470"/>
      <c r="AT374" s="470"/>
      <c r="AU374" s="470"/>
      <c r="AV374" s="470"/>
      <c r="AW374" s="470"/>
      <c r="AX374" s="470"/>
      <c r="AY374" s="470"/>
      <c r="AZ374" s="470"/>
      <c r="BA374" s="470"/>
      <c r="BB374" s="470"/>
      <c r="BC374" s="470"/>
      <c r="BD374" s="470"/>
      <c r="BE374" s="470"/>
      <c r="BF374" s="470"/>
      <c r="BG374" s="470"/>
      <c r="BH374" s="470"/>
      <c r="BI374" s="470"/>
      <c r="BJ374" s="470" t="s">
        <v>6416</v>
      </c>
      <c r="BK374" s="470"/>
      <c r="BL374" s="474"/>
    </row>
    <row r="375" spans="1:64">
      <c r="A375" s="475">
        <v>44166</v>
      </c>
      <c r="B375" s="478">
        <v>336</v>
      </c>
      <c r="C375" s="478">
        <v>30</v>
      </c>
      <c r="D375" s="476" t="s">
        <v>640</v>
      </c>
      <c r="E375" s="477">
        <v>49</v>
      </c>
      <c r="F375" s="476" t="s">
        <v>91</v>
      </c>
      <c r="G375" s="477">
        <v>534</v>
      </c>
      <c r="H375" s="476" t="s">
        <v>967</v>
      </c>
      <c r="I375" s="476" t="s">
        <v>836</v>
      </c>
      <c r="J375" s="477">
        <v>2</v>
      </c>
      <c r="K375" s="476" t="s">
        <v>1034</v>
      </c>
      <c r="L375" s="476" t="s">
        <v>6287</v>
      </c>
      <c r="M375" s="476" t="s">
        <v>9</v>
      </c>
      <c r="N375" s="478">
        <v>0</v>
      </c>
      <c r="O375" s="479"/>
      <c r="P375" s="479"/>
      <c r="Q375" s="479"/>
      <c r="R375" s="476"/>
      <c r="S375" s="479">
        <v>0.22583333333333333</v>
      </c>
      <c r="T375" s="479">
        <v>0.29249999999999998</v>
      </c>
      <c r="U375" s="479"/>
      <c r="V375" s="479"/>
      <c r="W375" s="479">
        <v>0.48969907407407409</v>
      </c>
      <c r="X375" s="479">
        <v>0.6868981481481482</v>
      </c>
      <c r="Y375" s="479">
        <v>0.72916666666666663</v>
      </c>
      <c r="Z375" s="479">
        <v>1.6666666666666666E-2</v>
      </c>
      <c r="AA375" s="479">
        <v>0.33819444444444446</v>
      </c>
      <c r="AB375" s="476" t="s">
        <v>6462</v>
      </c>
      <c r="AC375" s="478">
        <v>129</v>
      </c>
      <c r="AD375" s="476" t="s">
        <v>116</v>
      </c>
      <c r="AE375" s="476"/>
      <c r="AF375" s="478">
        <v>2.4</v>
      </c>
      <c r="AG375" s="477">
        <v>34.299999999999997</v>
      </c>
      <c r="AH375" s="476" t="s">
        <v>6290</v>
      </c>
      <c r="AI375" s="476" t="s">
        <v>6316</v>
      </c>
      <c r="AJ375" s="476" t="s">
        <v>6493</v>
      </c>
      <c r="AK375" s="476" t="s">
        <v>6493</v>
      </c>
      <c r="AL375" s="476"/>
      <c r="AM375" s="476"/>
      <c r="AN375" s="476"/>
      <c r="AO375" s="476"/>
      <c r="AP375" s="476"/>
      <c r="AQ375" s="476"/>
      <c r="AR375" s="476"/>
      <c r="AS375" s="476"/>
      <c r="AT375" s="476"/>
      <c r="AU375" s="476"/>
      <c r="AV375" s="476"/>
      <c r="AW375" s="476"/>
      <c r="AX375" s="476"/>
      <c r="AY375" s="476"/>
      <c r="AZ375" s="476"/>
      <c r="BA375" s="476"/>
      <c r="BB375" s="476"/>
      <c r="BC375" s="476"/>
      <c r="BD375" s="476"/>
      <c r="BE375" s="476"/>
      <c r="BF375" s="476"/>
      <c r="BG375" s="476"/>
      <c r="BH375" s="476"/>
      <c r="BI375" s="476"/>
      <c r="BJ375" s="476"/>
      <c r="BK375" s="476"/>
      <c r="BL375" s="480"/>
    </row>
    <row r="376" spans="1:64">
      <c r="A376" s="468">
        <v>44167</v>
      </c>
      <c r="B376" s="473">
        <v>337</v>
      </c>
      <c r="C376" s="473">
        <v>29</v>
      </c>
      <c r="D376" s="470" t="s">
        <v>640</v>
      </c>
      <c r="E376" s="469">
        <v>49</v>
      </c>
      <c r="F376" s="470" t="s">
        <v>94</v>
      </c>
      <c r="G376" s="469">
        <v>534</v>
      </c>
      <c r="H376" s="470" t="s">
        <v>967</v>
      </c>
      <c r="I376" s="470" t="s">
        <v>836</v>
      </c>
      <c r="J376" s="469">
        <v>2</v>
      </c>
      <c r="K376" s="470" t="s">
        <v>1034</v>
      </c>
      <c r="L376" s="470" t="s">
        <v>6273</v>
      </c>
      <c r="M376" s="470" t="s">
        <v>10</v>
      </c>
      <c r="N376" s="473">
        <v>0</v>
      </c>
      <c r="O376" s="471"/>
      <c r="P376" s="471"/>
      <c r="Q376" s="471"/>
      <c r="R376" s="470"/>
      <c r="S376" s="471">
        <v>0.22652777777777777</v>
      </c>
      <c r="T376" s="471">
        <v>0.29319444444444448</v>
      </c>
      <c r="U376" s="471"/>
      <c r="V376" s="471"/>
      <c r="W376" s="471">
        <v>0.48997685185185186</v>
      </c>
      <c r="X376" s="471">
        <v>0.68674768518518514</v>
      </c>
      <c r="Y376" s="471">
        <v>0.76250000000000007</v>
      </c>
      <c r="Z376" s="471">
        <v>5.2777777777777778E-2</v>
      </c>
      <c r="AA376" s="471">
        <v>0.37847222222222227</v>
      </c>
      <c r="AB376" s="470" t="s">
        <v>6462</v>
      </c>
      <c r="AC376" s="473">
        <v>129</v>
      </c>
      <c r="AD376" s="470" t="s">
        <v>116</v>
      </c>
      <c r="AE376" s="470"/>
      <c r="AF376" s="473">
        <v>96.5</v>
      </c>
      <c r="AG376" s="469">
        <v>26.6</v>
      </c>
      <c r="AH376" s="470" t="s">
        <v>6315</v>
      </c>
      <c r="AI376" s="470" t="s">
        <v>6317</v>
      </c>
      <c r="AJ376" s="470" t="s">
        <v>6493</v>
      </c>
      <c r="AK376" s="470" t="s">
        <v>6493</v>
      </c>
      <c r="AL376" s="470" t="s">
        <v>6727</v>
      </c>
      <c r="AM376" s="470"/>
      <c r="AN376" s="470"/>
      <c r="AO376" s="470"/>
      <c r="AP376" s="470"/>
      <c r="AQ376" s="470"/>
      <c r="AR376" s="470"/>
      <c r="AS376" s="470"/>
      <c r="AT376" s="470"/>
      <c r="AU376" s="470"/>
      <c r="AV376" s="470"/>
      <c r="AW376" s="470"/>
      <c r="AX376" s="470"/>
      <c r="AY376" s="470"/>
      <c r="AZ376" s="470"/>
      <c r="BA376" s="470"/>
      <c r="BB376" s="470"/>
      <c r="BC376" s="470"/>
      <c r="BD376" s="470"/>
      <c r="BE376" s="470"/>
      <c r="BF376" s="470"/>
      <c r="BG376" s="470"/>
      <c r="BH376" s="470"/>
      <c r="BI376" s="470"/>
      <c r="BJ376" s="470"/>
      <c r="BK376" s="470"/>
      <c r="BL376" s="474"/>
    </row>
    <row r="377" spans="1:64">
      <c r="A377" s="475">
        <v>44168</v>
      </c>
      <c r="B377" s="478">
        <v>338</v>
      </c>
      <c r="C377" s="478">
        <v>28</v>
      </c>
      <c r="D377" s="476" t="s">
        <v>640</v>
      </c>
      <c r="E377" s="477">
        <v>49</v>
      </c>
      <c r="F377" s="476" t="s">
        <v>6714</v>
      </c>
      <c r="G377" s="477">
        <v>534</v>
      </c>
      <c r="H377" s="476" t="s">
        <v>967</v>
      </c>
      <c r="I377" s="476" t="s">
        <v>836</v>
      </c>
      <c r="J377" s="477">
        <v>3</v>
      </c>
      <c r="K377" s="476" t="s">
        <v>6258</v>
      </c>
      <c r="L377" s="476" t="s">
        <v>6274</v>
      </c>
      <c r="M377" s="476" t="s">
        <v>9</v>
      </c>
      <c r="N377" s="478">
        <v>0</v>
      </c>
      <c r="O377" s="479"/>
      <c r="P377" s="479"/>
      <c r="Q377" s="479"/>
      <c r="R377" s="476"/>
      <c r="S377" s="479">
        <v>0.22721064814814815</v>
      </c>
      <c r="T377" s="479">
        <v>0.29387731481481483</v>
      </c>
      <c r="U377" s="479"/>
      <c r="V377" s="479"/>
      <c r="W377" s="479">
        <v>0.49025462962962968</v>
      </c>
      <c r="X377" s="479">
        <v>0.68662037037037038</v>
      </c>
      <c r="Y377" s="479">
        <v>0.80138888888888893</v>
      </c>
      <c r="Z377" s="479">
        <v>8.9583333333333334E-2</v>
      </c>
      <c r="AA377" s="479">
        <v>0.4145833333333333</v>
      </c>
      <c r="AB377" s="476" t="s">
        <v>6462</v>
      </c>
      <c r="AC377" s="478">
        <v>129</v>
      </c>
      <c r="AD377" s="476" t="s">
        <v>116</v>
      </c>
      <c r="AE377" s="476"/>
      <c r="AF377" s="478">
        <v>92.2</v>
      </c>
      <c r="AG377" s="477">
        <v>20.3</v>
      </c>
      <c r="AH377" s="476" t="s">
        <v>6291</v>
      </c>
      <c r="AI377" s="476" t="s">
        <v>6318</v>
      </c>
      <c r="AJ377" s="476" t="s">
        <v>6493</v>
      </c>
      <c r="AK377" s="476" t="s">
        <v>6493</v>
      </c>
      <c r="AL377" s="476"/>
      <c r="AM377" s="476"/>
      <c r="AN377" s="476"/>
      <c r="AO377" s="476"/>
      <c r="AP377" s="476"/>
      <c r="AQ377" s="476"/>
      <c r="AR377" s="476"/>
      <c r="AS377" s="476"/>
      <c r="AT377" s="476"/>
      <c r="AU377" s="476"/>
      <c r="AV377" s="476"/>
      <c r="AW377" s="476"/>
      <c r="AX377" s="476"/>
      <c r="AY377" s="476"/>
      <c r="AZ377" s="476"/>
      <c r="BA377" s="476"/>
      <c r="BB377" s="476"/>
      <c r="BC377" s="476"/>
      <c r="BD377" s="476"/>
      <c r="BE377" s="476"/>
      <c r="BF377" s="476"/>
      <c r="BG377" s="476"/>
      <c r="BH377" s="476"/>
      <c r="BI377" s="476"/>
      <c r="BJ377" s="476"/>
      <c r="BK377" s="476"/>
      <c r="BL377" s="480"/>
    </row>
    <row r="378" spans="1:64">
      <c r="A378" s="468">
        <v>44169</v>
      </c>
      <c r="B378" s="473">
        <v>339</v>
      </c>
      <c r="C378" s="473">
        <v>27</v>
      </c>
      <c r="D378" s="470" t="s">
        <v>640</v>
      </c>
      <c r="E378" s="469">
        <v>49</v>
      </c>
      <c r="F378" s="470" t="s">
        <v>100</v>
      </c>
      <c r="G378" s="469">
        <v>534</v>
      </c>
      <c r="H378" s="470" t="s">
        <v>967</v>
      </c>
      <c r="I378" s="470" t="s">
        <v>836</v>
      </c>
      <c r="J378" s="469">
        <v>4</v>
      </c>
      <c r="K378" s="470" t="s">
        <v>6259</v>
      </c>
      <c r="L378" s="470" t="s">
        <v>6275</v>
      </c>
      <c r="M378" s="470" t="s">
        <v>9</v>
      </c>
      <c r="N378" s="473">
        <v>0</v>
      </c>
      <c r="O378" s="471"/>
      <c r="P378" s="471"/>
      <c r="Q378" s="471"/>
      <c r="R378" s="470"/>
      <c r="S378" s="471">
        <v>0.22788194444444443</v>
      </c>
      <c r="T378" s="471">
        <v>0.29454861111111114</v>
      </c>
      <c r="U378" s="471"/>
      <c r="V378" s="471"/>
      <c r="W378" s="471">
        <v>0.49053240740740739</v>
      </c>
      <c r="X378" s="471">
        <v>0.68652777777777774</v>
      </c>
      <c r="Y378" s="471">
        <v>0.84444444444444444</v>
      </c>
      <c r="Z378" s="471">
        <v>0.12569444444444444</v>
      </c>
      <c r="AA378" s="471">
        <v>0.44722222222222219</v>
      </c>
      <c r="AB378" s="470" t="s">
        <v>6462</v>
      </c>
      <c r="AC378" s="473">
        <v>129</v>
      </c>
      <c r="AD378" s="470" t="s">
        <v>116</v>
      </c>
      <c r="AE378" s="470"/>
      <c r="AF378" s="473">
        <v>89.6</v>
      </c>
      <c r="AG378" s="469">
        <v>15.6</v>
      </c>
      <c r="AH378" s="470" t="s">
        <v>6292</v>
      </c>
      <c r="AI378" s="470" t="s">
        <v>6319</v>
      </c>
      <c r="AJ378" s="470" t="s">
        <v>6493</v>
      </c>
      <c r="AK378" s="470" t="s">
        <v>6493</v>
      </c>
      <c r="AL378" s="470"/>
      <c r="AM378" s="470"/>
      <c r="AN378" s="470"/>
      <c r="AO378" s="470"/>
      <c r="AP378" s="470"/>
      <c r="AQ378" s="470"/>
      <c r="AR378" s="470"/>
      <c r="AS378" s="470"/>
      <c r="AT378" s="470"/>
      <c r="AU378" s="470"/>
      <c r="AV378" s="470"/>
      <c r="AW378" s="470"/>
      <c r="AX378" s="470"/>
      <c r="AY378" s="470"/>
      <c r="AZ378" s="470"/>
      <c r="BA378" s="470"/>
      <c r="BB378" s="470"/>
      <c r="BC378" s="470"/>
      <c r="BD378" s="470"/>
      <c r="BE378" s="470"/>
      <c r="BF378" s="470"/>
      <c r="BG378" s="470"/>
      <c r="BH378" s="470"/>
      <c r="BI378" s="470"/>
      <c r="BJ378" s="470"/>
      <c r="BK378" s="470"/>
      <c r="BL378" s="474"/>
    </row>
    <row r="379" spans="1:64">
      <c r="A379" s="475">
        <v>44170</v>
      </c>
      <c r="B379" s="478">
        <v>340</v>
      </c>
      <c r="C379" s="478">
        <v>26</v>
      </c>
      <c r="D379" s="476" t="s">
        <v>640</v>
      </c>
      <c r="E379" s="477">
        <v>49</v>
      </c>
      <c r="F379" s="476" t="s">
        <v>103</v>
      </c>
      <c r="G379" s="477">
        <v>534</v>
      </c>
      <c r="H379" s="476" t="s">
        <v>967</v>
      </c>
      <c r="I379" s="476" t="s">
        <v>836</v>
      </c>
      <c r="J379" s="477">
        <v>5</v>
      </c>
      <c r="K379" s="476" t="s">
        <v>6260</v>
      </c>
      <c r="L379" s="476" t="s">
        <v>6276</v>
      </c>
      <c r="M379" s="476" t="s">
        <v>9</v>
      </c>
      <c r="N379" s="478">
        <v>0</v>
      </c>
      <c r="O379" s="479"/>
      <c r="P379" s="479"/>
      <c r="Q379" s="479"/>
      <c r="R379" s="476"/>
      <c r="S379" s="479">
        <v>0.22854166666666667</v>
      </c>
      <c r="T379" s="479">
        <v>0.29520833333333335</v>
      </c>
      <c r="U379" s="479"/>
      <c r="V379" s="479"/>
      <c r="W379" s="479">
        <v>0.49083333333333329</v>
      </c>
      <c r="X379" s="479">
        <v>0.68645833333333339</v>
      </c>
      <c r="Y379" s="479">
        <v>0.89097222222222217</v>
      </c>
      <c r="Z379" s="479">
        <v>0.16250000000000001</v>
      </c>
      <c r="AA379" s="479">
        <v>0.47569444444444442</v>
      </c>
      <c r="AB379" s="476" t="s">
        <v>6462</v>
      </c>
      <c r="AC379" s="478">
        <v>129</v>
      </c>
      <c r="AD379" s="476" t="s">
        <v>116</v>
      </c>
      <c r="AE379" s="476"/>
      <c r="AF379" s="478">
        <v>89</v>
      </c>
      <c r="AG379" s="477">
        <v>12.6</v>
      </c>
      <c r="AH379" s="476" t="s">
        <v>6293</v>
      </c>
      <c r="AI379" s="476" t="s">
        <v>6341</v>
      </c>
      <c r="AJ379" s="476" t="s">
        <v>6493</v>
      </c>
      <c r="AK379" s="476" t="s">
        <v>6493</v>
      </c>
      <c r="AL379" s="476"/>
      <c r="AM379" s="476"/>
      <c r="AN379" s="476"/>
      <c r="AO379" s="476"/>
      <c r="AP379" s="476"/>
      <c r="AQ379" s="476"/>
      <c r="AR379" s="476"/>
      <c r="AS379" s="476"/>
      <c r="AT379" s="476"/>
      <c r="AU379" s="476"/>
      <c r="AV379" s="476"/>
      <c r="AW379" s="476"/>
      <c r="AX379" s="476"/>
      <c r="AY379" s="476"/>
      <c r="AZ379" s="476"/>
      <c r="BA379" s="476"/>
      <c r="BB379" s="476"/>
      <c r="BC379" s="476"/>
      <c r="BD379" s="476"/>
      <c r="BE379" s="476"/>
      <c r="BF379" s="476"/>
      <c r="BG379" s="476"/>
      <c r="BH379" s="476"/>
      <c r="BI379" s="476"/>
      <c r="BJ379" s="476"/>
      <c r="BK379" s="476"/>
      <c r="BL379" s="480"/>
    </row>
    <row r="380" spans="1:64">
      <c r="A380" s="468">
        <v>44171</v>
      </c>
      <c r="B380" s="473">
        <v>341</v>
      </c>
      <c r="C380" s="473">
        <v>25</v>
      </c>
      <c r="D380" s="470" t="s">
        <v>640</v>
      </c>
      <c r="E380" s="469">
        <v>49</v>
      </c>
      <c r="F380" s="470" t="s">
        <v>106</v>
      </c>
      <c r="G380" s="469">
        <v>534</v>
      </c>
      <c r="H380" s="470" t="s">
        <v>967</v>
      </c>
      <c r="I380" s="470" t="s">
        <v>836</v>
      </c>
      <c r="J380" s="469">
        <v>6</v>
      </c>
      <c r="K380" s="470" t="s">
        <v>6261</v>
      </c>
      <c r="L380" s="470" t="s">
        <v>6277</v>
      </c>
      <c r="M380" s="470" t="s">
        <v>9</v>
      </c>
      <c r="N380" s="473">
        <v>0</v>
      </c>
      <c r="O380" s="471"/>
      <c r="P380" s="471"/>
      <c r="Q380" s="471"/>
      <c r="R380" s="470"/>
      <c r="S380" s="471">
        <v>0.22917824074074075</v>
      </c>
      <c r="T380" s="471">
        <v>0.29584490740740738</v>
      </c>
      <c r="U380" s="471"/>
      <c r="V380" s="471"/>
      <c r="W380" s="471">
        <v>0.4911342592592593</v>
      </c>
      <c r="X380" s="471">
        <v>0.68641203703703713</v>
      </c>
      <c r="Y380" s="471">
        <v>0.93819444444444444</v>
      </c>
      <c r="Z380" s="471">
        <v>0.19791666666666666</v>
      </c>
      <c r="AA380" s="471">
        <v>0.50069444444444444</v>
      </c>
      <c r="AB380" s="470" t="s">
        <v>6462</v>
      </c>
      <c r="AC380" s="473">
        <v>129</v>
      </c>
      <c r="AD380" s="470" t="s">
        <v>116</v>
      </c>
      <c r="AE380" s="470"/>
      <c r="AF380" s="473">
        <v>90.6</v>
      </c>
      <c r="AG380" s="469">
        <v>11.7</v>
      </c>
      <c r="AH380" s="470" t="s">
        <v>6294</v>
      </c>
      <c r="AI380" s="470" t="s">
        <v>6320</v>
      </c>
      <c r="AJ380" s="470" t="s">
        <v>6493</v>
      </c>
      <c r="AK380" s="470" t="s">
        <v>6493</v>
      </c>
      <c r="AL380" s="470"/>
      <c r="AM380" s="470"/>
      <c r="AN380" s="470"/>
      <c r="AO380" s="470"/>
      <c r="AP380" s="470"/>
      <c r="AQ380" s="470"/>
      <c r="AR380" s="470"/>
      <c r="AS380" s="470"/>
      <c r="AT380" s="470"/>
      <c r="AU380" s="470"/>
      <c r="AV380" s="470"/>
      <c r="AW380" s="470"/>
      <c r="AX380" s="470"/>
      <c r="AY380" s="470"/>
      <c r="AZ380" s="470"/>
      <c r="BA380" s="470"/>
      <c r="BB380" s="470"/>
      <c r="BC380" s="470"/>
      <c r="BD380" s="470"/>
      <c r="BE380" s="470"/>
      <c r="BF380" s="470"/>
      <c r="BG380" s="470"/>
      <c r="BH380" s="470"/>
      <c r="BI380" s="470"/>
      <c r="BJ380" s="470"/>
      <c r="BK380" s="470"/>
      <c r="BL380" s="474"/>
    </row>
    <row r="381" spans="1:64">
      <c r="A381" s="475">
        <v>44172</v>
      </c>
      <c r="B381" s="478">
        <v>342</v>
      </c>
      <c r="C381" s="478">
        <v>24</v>
      </c>
      <c r="D381" s="476" t="s">
        <v>640</v>
      </c>
      <c r="E381" s="477">
        <v>50</v>
      </c>
      <c r="F381" s="476" t="s">
        <v>88</v>
      </c>
      <c r="G381" s="477">
        <v>534</v>
      </c>
      <c r="H381" s="476" t="s">
        <v>967</v>
      </c>
      <c r="I381" s="476" t="s">
        <v>836</v>
      </c>
      <c r="J381" s="477">
        <v>7</v>
      </c>
      <c r="K381" s="476" t="s">
        <v>6262</v>
      </c>
      <c r="L381" s="476" t="s">
        <v>6278</v>
      </c>
      <c r="M381" s="476" t="s">
        <v>9</v>
      </c>
      <c r="N381" s="478">
        <v>0</v>
      </c>
      <c r="O381" s="479"/>
      <c r="P381" s="479"/>
      <c r="Q381" s="479"/>
      <c r="R381" s="476"/>
      <c r="S381" s="479">
        <v>0.22981481481481481</v>
      </c>
      <c r="T381" s="479">
        <v>0.29648148148148151</v>
      </c>
      <c r="U381" s="479"/>
      <c r="V381" s="479"/>
      <c r="W381" s="479">
        <v>0.4914351851851852</v>
      </c>
      <c r="X381" s="479">
        <v>0.68638888888888883</v>
      </c>
      <c r="Y381" s="479">
        <v>0.9868055555555556</v>
      </c>
      <c r="Z381" s="479">
        <v>0.23263888888888887</v>
      </c>
      <c r="AA381" s="479">
        <v>0.52152777777777781</v>
      </c>
      <c r="AB381" s="476" t="s">
        <v>6289</v>
      </c>
      <c r="AC381" s="478">
        <v>131</v>
      </c>
      <c r="AD381" s="476" t="s">
        <v>119</v>
      </c>
      <c r="AE381" s="476" t="s">
        <v>6551</v>
      </c>
      <c r="AF381" s="478">
        <v>94.7</v>
      </c>
      <c r="AG381" s="477">
        <v>13</v>
      </c>
      <c r="AH381" s="476" t="s">
        <v>6295</v>
      </c>
      <c r="AI381" s="476" t="s">
        <v>6321</v>
      </c>
      <c r="AJ381" s="476" t="s">
        <v>6493</v>
      </c>
      <c r="AK381" s="476" t="s">
        <v>6493</v>
      </c>
      <c r="AL381" s="476"/>
      <c r="AM381" s="476"/>
      <c r="AN381" s="476"/>
      <c r="AO381" s="476"/>
      <c r="AP381" s="476"/>
      <c r="AQ381" s="476"/>
      <c r="AR381" s="476"/>
      <c r="AS381" s="476"/>
      <c r="AT381" s="476"/>
      <c r="AU381" s="476"/>
      <c r="AV381" s="476"/>
      <c r="AW381" s="476"/>
      <c r="AX381" s="476"/>
      <c r="AY381" s="476"/>
      <c r="AZ381" s="476"/>
      <c r="BA381" s="476"/>
      <c r="BB381" s="476"/>
      <c r="BC381" s="476"/>
      <c r="BD381" s="476"/>
      <c r="BE381" s="476"/>
      <c r="BF381" s="476"/>
      <c r="BG381" s="476"/>
      <c r="BH381" s="476"/>
      <c r="BI381" s="476"/>
      <c r="BJ381" s="476"/>
      <c r="BK381" s="476"/>
      <c r="BL381" s="480"/>
    </row>
    <row r="382" spans="1:64">
      <c r="A382" s="468">
        <v>44173</v>
      </c>
      <c r="B382" s="473">
        <v>343</v>
      </c>
      <c r="C382" s="473">
        <v>23</v>
      </c>
      <c r="D382" s="470" t="s">
        <v>640</v>
      </c>
      <c r="E382" s="469">
        <v>50</v>
      </c>
      <c r="F382" s="470" t="s">
        <v>91</v>
      </c>
      <c r="G382" s="469">
        <v>534</v>
      </c>
      <c r="H382" s="470" t="s">
        <v>967</v>
      </c>
      <c r="I382" s="470" t="s">
        <v>836</v>
      </c>
      <c r="J382" s="469">
        <v>9</v>
      </c>
      <c r="K382" s="470" t="s">
        <v>6264</v>
      </c>
      <c r="L382" s="470" t="s">
        <v>6279</v>
      </c>
      <c r="M382" s="470" t="s">
        <v>9</v>
      </c>
      <c r="N382" s="473">
        <v>0</v>
      </c>
      <c r="O382" s="471">
        <v>0.34652777777777777</v>
      </c>
      <c r="P382" s="471">
        <v>0.28472222222222221</v>
      </c>
      <c r="Q382" s="471"/>
      <c r="R382" s="470"/>
      <c r="S382" s="471">
        <v>0.23041666666666669</v>
      </c>
      <c r="T382" s="471">
        <v>0.29708333333333331</v>
      </c>
      <c r="U382" s="471"/>
      <c r="V382" s="471"/>
      <c r="W382" s="471">
        <v>0.49174768518518519</v>
      </c>
      <c r="X382" s="471">
        <v>0.68640046296296298</v>
      </c>
      <c r="Y382" s="471" t="s">
        <v>1107</v>
      </c>
      <c r="Z382" s="471">
        <v>0.26597222222222222</v>
      </c>
      <c r="AA382" s="471">
        <v>0.54166666666666663</v>
      </c>
      <c r="AB382" s="470" t="s">
        <v>6289</v>
      </c>
      <c r="AC382" s="473">
        <v>131</v>
      </c>
      <c r="AD382" s="470" t="s">
        <v>119</v>
      </c>
      <c r="AE382" s="470"/>
      <c r="AF382" s="473">
        <v>1.3</v>
      </c>
      <c r="AG382" s="469">
        <v>16.600000000000001</v>
      </c>
      <c r="AH382" s="470" t="s">
        <v>6296</v>
      </c>
      <c r="AI382" s="470" t="s">
        <v>6322</v>
      </c>
      <c r="AJ382" s="470" t="s">
        <v>6493</v>
      </c>
      <c r="AK382" s="470" t="s">
        <v>6493</v>
      </c>
      <c r="AL382" s="470" t="s">
        <v>6848</v>
      </c>
      <c r="AM382" s="470"/>
      <c r="AN382" s="470"/>
      <c r="AO382" s="470"/>
      <c r="AP382" s="470"/>
      <c r="AQ382" s="470"/>
      <c r="AR382" s="470"/>
      <c r="AS382" s="470"/>
      <c r="AT382" s="470"/>
      <c r="AU382" s="470"/>
      <c r="AV382" s="470"/>
      <c r="AW382" s="470"/>
      <c r="AX382" s="470"/>
      <c r="AY382" s="470"/>
      <c r="AZ382" s="470"/>
      <c r="BA382" s="470"/>
      <c r="BB382" s="470"/>
      <c r="BC382" s="470"/>
      <c r="BD382" s="470"/>
      <c r="BE382" s="470"/>
      <c r="BF382" s="470"/>
      <c r="BG382" s="470"/>
      <c r="BH382" s="470"/>
      <c r="BI382" s="470"/>
      <c r="BJ382" s="470"/>
      <c r="BK382" s="470"/>
      <c r="BL382" s="474"/>
    </row>
    <row r="383" spans="1:64">
      <c r="A383" s="475">
        <v>44174</v>
      </c>
      <c r="B383" s="478">
        <v>344</v>
      </c>
      <c r="C383" s="478">
        <v>22</v>
      </c>
      <c r="D383" s="476" t="s">
        <v>640</v>
      </c>
      <c r="E383" s="477">
        <v>50</v>
      </c>
      <c r="F383" s="476" t="s">
        <v>94</v>
      </c>
      <c r="G383" s="477">
        <v>534</v>
      </c>
      <c r="H383" s="476" t="s">
        <v>967</v>
      </c>
      <c r="I383" s="476" t="s">
        <v>836</v>
      </c>
      <c r="J383" s="477">
        <v>10</v>
      </c>
      <c r="K383" s="476" t="s">
        <v>6265</v>
      </c>
      <c r="L383" s="476" t="s">
        <v>6281</v>
      </c>
      <c r="M383" s="476" t="s">
        <v>9</v>
      </c>
      <c r="N383" s="478">
        <v>0</v>
      </c>
      <c r="O383" s="479"/>
      <c r="P383" s="479"/>
      <c r="Q383" s="479"/>
      <c r="R383" s="476"/>
      <c r="S383" s="479">
        <v>0.23101851851851851</v>
      </c>
      <c r="T383" s="479">
        <v>0.29768518518518522</v>
      </c>
      <c r="U383" s="479"/>
      <c r="V383" s="479"/>
      <c r="W383" s="479">
        <v>0.49206018518518518</v>
      </c>
      <c r="X383" s="479">
        <v>0.6864351851851852</v>
      </c>
      <c r="Y383" s="479">
        <v>3.5416666666666666E-2</v>
      </c>
      <c r="Z383" s="479">
        <v>0.29930555555555555</v>
      </c>
      <c r="AA383" s="479">
        <v>0.56041666666666667</v>
      </c>
      <c r="AB383" s="476" t="s">
        <v>6289</v>
      </c>
      <c r="AC383" s="478">
        <v>131</v>
      </c>
      <c r="AD383" s="476" t="s">
        <v>119</v>
      </c>
      <c r="AE383" s="476"/>
      <c r="AF383" s="478">
        <v>10.6</v>
      </c>
      <c r="AG383" s="477">
        <v>22.6</v>
      </c>
      <c r="AH383" s="476" t="s">
        <v>6297</v>
      </c>
      <c r="AI383" s="476" t="s">
        <v>6323</v>
      </c>
      <c r="AJ383" s="476" t="s">
        <v>6493</v>
      </c>
      <c r="AK383" s="476" t="s">
        <v>6493</v>
      </c>
      <c r="AL383" s="476"/>
      <c r="AM383" s="476"/>
      <c r="AN383" s="476"/>
      <c r="AO383" s="476"/>
      <c r="AP383" s="476"/>
      <c r="AQ383" s="476"/>
      <c r="AR383" s="476"/>
      <c r="AS383" s="476"/>
      <c r="AT383" s="476"/>
      <c r="AU383" s="476"/>
      <c r="AV383" s="476"/>
      <c r="AW383" s="476"/>
      <c r="AX383" s="476"/>
      <c r="AY383" s="476"/>
      <c r="AZ383" s="476"/>
      <c r="BA383" s="476"/>
      <c r="BB383" s="476"/>
      <c r="BC383" s="476"/>
      <c r="BD383" s="476"/>
      <c r="BE383" s="476"/>
      <c r="BF383" s="476"/>
      <c r="BG383" s="476"/>
      <c r="BH383" s="476"/>
      <c r="BI383" s="476"/>
      <c r="BJ383" s="476"/>
      <c r="BK383" s="476"/>
      <c r="BL383" s="480"/>
    </row>
    <row r="384" spans="1:64">
      <c r="A384" s="468">
        <v>44175</v>
      </c>
      <c r="B384" s="473">
        <v>345</v>
      </c>
      <c r="C384" s="473">
        <v>21</v>
      </c>
      <c r="D384" s="470" t="s">
        <v>640</v>
      </c>
      <c r="E384" s="469">
        <v>50</v>
      </c>
      <c r="F384" s="470" t="s">
        <v>6714</v>
      </c>
      <c r="G384" s="469">
        <v>534</v>
      </c>
      <c r="H384" s="470" t="s">
        <v>967</v>
      </c>
      <c r="I384" s="470" t="s">
        <v>836</v>
      </c>
      <c r="J384" s="469">
        <v>11</v>
      </c>
      <c r="K384" s="470" t="s">
        <v>6271</v>
      </c>
      <c r="L384" s="470" t="s">
        <v>6282</v>
      </c>
      <c r="M384" s="470" t="s">
        <v>9</v>
      </c>
      <c r="N384" s="473">
        <v>0</v>
      </c>
      <c r="O384" s="471"/>
      <c r="P384" s="471"/>
      <c r="Q384" s="471"/>
      <c r="R384" s="470"/>
      <c r="S384" s="471">
        <v>0.23159722222222223</v>
      </c>
      <c r="T384" s="471">
        <v>0.29826388888888888</v>
      </c>
      <c r="U384" s="471"/>
      <c r="V384" s="471"/>
      <c r="W384" s="471">
        <v>0.49238425925925927</v>
      </c>
      <c r="X384" s="471">
        <v>0.68650462962962966</v>
      </c>
      <c r="Y384" s="471">
        <v>8.6111111111111124E-2</v>
      </c>
      <c r="Z384" s="471">
        <v>0.33402777777777781</v>
      </c>
      <c r="AA384" s="471">
        <v>0.5805555555555556</v>
      </c>
      <c r="AB384" s="470" t="s">
        <v>6289</v>
      </c>
      <c r="AC384" s="473">
        <v>131</v>
      </c>
      <c r="AD384" s="470" t="s">
        <v>119</v>
      </c>
      <c r="AE384" s="470"/>
      <c r="AF384" s="473">
        <v>22.3</v>
      </c>
      <c r="AG384" s="469">
        <v>30.8</v>
      </c>
      <c r="AH384" s="470" t="s">
        <v>6298</v>
      </c>
      <c r="AI384" s="470" t="s">
        <v>6324</v>
      </c>
      <c r="AJ384" s="470" t="s">
        <v>838</v>
      </c>
      <c r="AK384" s="470" t="s">
        <v>13</v>
      </c>
      <c r="AL384" s="470" t="s">
        <v>6849</v>
      </c>
      <c r="AM384" s="470" t="s">
        <v>6342</v>
      </c>
      <c r="AN384" s="470" t="s">
        <v>6976</v>
      </c>
      <c r="AO384" s="470" t="s">
        <v>6351</v>
      </c>
      <c r="AP384" s="470" t="s">
        <v>7045</v>
      </c>
      <c r="AQ384" s="470" t="s">
        <v>6346</v>
      </c>
      <c r="AR384" s="470"/>
      <c r="AS384" s="470"/>
      <c r="AT384" s="470"/>
      <c r="AU384" s="470"/>
      <c r="AV384" s="470"/>
      <c r="AW384" s="470"/>
      <c r="AX384" s="470"/>
      <c r="AY384" s="470"/>
      <c r="AZ384" s="470"/>
      <c r="BA384" s="470"/>
      <c r="BB384" s="470"/>
      <c r="BC384" s="470"/>
      <c r="BD384" s="470"/>
      <c r="BE384" s="470"/>
      <c r="BF384" s="470"/>
      <c r="BG384" s="470"/>
      <c r="BH384" s="470"/>
      <c r="BI384" s="470"/>
      <c r="BJ384" s="470" t="s">
        <v>6417</v>
      </c>
      <c r="BK384" s="470"/>
      <c r="BL384" s="474"/>
    </row>
    <row r="385" spans="1:64">
      <c r="A385" s="475">
        <v>44176</v>
      </c>
      <c r="B385" s="478">
        <v>346</v>
      </c>
      <c r="C385" s="478">
        <v>20</v>
      </c>
      <c r="D385" s="476" t="s">
        <v>640</v>
      </c>
      <c r="E385" s="477">
        <v>50</v>
      </c>
      <c r="F385" s="476" t="s">
        <v>100</v>
      </c>
      <c r="G385" s="477">
        <v>534</v>
      </c>
      <c r="H385" s="476" t="s">
        <v>967</v>
      </c>
      <c r="I385" s="476" t="s">
        <v>836</v>
      </c>
      <c r="J385" s="477">
        <v>12</v>
      </c>
      <c r="K385" s="476" t="s">
        <v>6266</v>
      </c>
      <c r="L385" s="476" t="s">
        <v>6283</v>
      </c>
      <c r="M385" s="476" t="s">
        <v>9</v>
      </c>
      <c r="N385" s="478">
        <v>0</v>
      </c>
      <c r="O385" s="479"/>
      <c r="P385" s="479"/>
      <c r="Q385" s="479"/>
      <c r="R385" s="476"/>
      <c r="S385" s="479">
        <v>0.23215277777777776</v>
      </c>
      <c r="T385" s="479">
        <v>0.29881944444444447</v>
      </c>
      <c r="U385" s="479">
        <v>0.2986111111111111</v>
      </c>
      <c r="V385" s="479">
        <v>0.42777777777777781</v>
      </c>
      <c r="W385" s="479">
        <v>0.4927083333333333</v>
      </c>
      <c r="X385" s="479">
        <v>0.68659722222222219</v>
      </c>
      <c r="Y385" s="479">
        <v>0.13749999999999998</v>
      </c>
      <c r="Z385" s="479">
        <v>0.37013888888888885</v>
      </c>
      <c r="AA385" s="479">
        <v>0.6020833333333333</v>
      </c>
      <c r="AB385" s="476" t="s">
        <v>6289</v>
      </c>
      <c r="AC385" s="478">
        <v>131</v>
      </c>
      <c r="AD385" s="476" t="s">
        <v>119</v>
      </c>
      <c r="AE385" s="476"/>
      <c r="AF385" s="478">
        <v>36</v>
      </c>
      <c r="AG385" s="477">
        <v>40.700000000000003</v>
      </c>
      <c r="AH385" s="476" t="s">
        <v>6299</v>
      </c>
      <c r="AI385" s="476" t="s">
        <v>6326</v>
      </c>
      <c r="AJ385" s="476" t="s">
        <v>839</v>
      </c>
      <c r="AK385" s="476" t="s">
        <v>6493</v>
      </c>
      <c r="AL385" s="476" t="s">
        <v>6850</v>
      </c>
      <c r="AM385" s="476" t="s">
        <v>6343</v>
      </c>
      <c r="AN385" s="476" t="s">
        <v>6977</v>
      </c>
      <c r="AO385" s="476" t="s">
        <v>6346</v>
      </c>
      <c r="AP385" s="476"/>
      <c r="AQ385" s="476"/>
      <c r="AR385" s="476"/>
      <c r="AS385" s="476"/>
      <c r="AT385" s="476"/>
      <c r="AU385" s="476"/>
      <c r="AV385" s="476"/>
      <c r="AW385" s="476"/>
      <c r="AX385" s="476"/>
      <c r="AY385" s="476"/>
      <c r="AZ385" s="476"/>
      <c r="BA385" s="476"/>
      <c r="BB385" s="476"/>
      <c r="BC385" s="476"/>
      <c r="BD385" s="476"/>
      <c r="BE385" s="476"/>
      <c r="BF385" s="476"/>
      <c r="BG385" s="476"/>
      <c r="BH385" s="476"/>
      <c r="BI385" s="476"/>
      <c r="BJ385" s="476" t="s">
        <v>6418</v>
      </c>
      <c r="BK385" s="476"/>
      <c r="BL385" s="480"/>
    </row>
    <row r="386" spans="1:64">
      <c r="A386" s="468">
        <v>44177</v>
      </c>
      <c r="B386" s="473">
        <v>347</v>
      </c>
      <c r="C386" s="473">
        <v>19</v>
      </c>
      <c r="D386" s="470" t="s">
        <v>640</v>
      </c>
      <c r="E386" s="469">
        <v>50</v>
      </c>
      <c r="F386" s="470" t="s">
        <v>103</v>
      </c>
      <c r="G386" s="469">
        <v>534</v>
      </c>
      <c r="H386" s="470" t="s">
        <v>967</v>
      </c>
      <c r="I386" s="470" t="s">
        <v>836</v>
      </c>
      <c r="J386" s="469">
        <v>13</v>
      </c>
      <c r="K386" s="470" t="s">
        <v>6267</v>
      </c>
      <c r="L386" s="470" t="s">
        <v>6284</v>
      </c>
      <c r="M386" s="470" t="s">
        <v>9</v>
      </c>
      <c r="N386" s="473">
        <v>0</v>
      </c>
      <c r="O386" s="471"/>
      <c r="P386" s="471"/>
      <c r="Q386" s="471"/>
      <c r="R386" s="470"/>
      <c r="S386" s="471">
        <v>0.23269675925925926</v>
      </c>
      <c r="T386" s="471">
        <v>0.29936342592592591</v>
      </c>
      <c r="U386" s="471"/>
      <c r="V386" s="471"/>
      <c r="W386" s="471">
        <v>0.49303240740740745</v>
      </c>
      <c r="X386" s="471">
        <v>0.68671296296296302</v>
      </c>
      <c r="Y386" s="471">
        <v>0.19027777777777777</v>
      </c>
      <c r="Z386" s="471">
        <v>0.40902777777777777</v>
      </c>
      <c r="AA386" s="471">
        <v>0.62569444444444444</v>
      </c>
      <c r="AB386" s="470" t="s">
        <v>6289</v>
      </c>
      <c r="AC386" s="473">
        <v>131</v>
      </c>
      <c r="AD386" s="470" t="s">
        <v>119</v>
      </c>
      <c r="AE386" s="470"/>
      <c r="AF386" s="473">
        <v>50.8</v>
      </c>
      <c r="AG386" s="469">
        <v>51.7</v>
      </c>
      <c r="AH386" s="470" t="s">
        <v>6300</v>
      </c>
      <c r="AI386" s="470" t="s">
        <v>6327</v>
      </c>
      <c r="AJ386" s="470" t="s">
        <v>839</v>
      </c>
      <c r="AK386" s="470" t="s">
        <v>6493</v>
      </c>
      <c r="AL386" s="470" t="s">
        <v>6715</v>
      </c>
      <c r="AM386" s="470" t="s">
        <v>6346</v>
      </c>
      <c r="AN386" s="470"/>
      <c r="AO386" s="470"/>
      <c r="AP386" s="470"/>
      <c r="AQ386" s="470"/>
      <c r="AR386" s="470"/>
      <c r="AS386" s="470"/>
      <c r="AT386" s="470"/>
      <c r="AU386" s="470"/>
      <c r="AV386" s="470"/>
      <c r="AW386" s="470"/>
      <c r="AX386" s="470"/>
      <c r="AY386" s="470"/>
      <c r="AZ386" s="470"/>
      <c r="BA386" s="470"/>
      <c r="BB386" s="470"/>
      <c r="BC386" s="470"/>
      <c r="BD386" s="470"/>
      <c r="BE386" s="470"/>
      <c r="BF386" s="470"/>
      <c r="BG386" s="470"/>
      <c r="BH386" s="470"/>
      <c r="BI386" s="470"/>
      <c r="BJ386" s="470" t="s">
        <v>6353</v>
      </c>
      <c r="BK386" s="470"/>
      <c r="BL386" s="474"/>
    </row>
    <row r="387" spans="1:64">
      <c r="A387" s="475">
        <v>44178</v>
      </c>
      <c r="B387" s="478">
        <v>348</v>
      </c>
      <c r="C387" s="478">
        <v>18</v>
      </c>
      <c r="D387" s="476" t="s">
        <v>640</v>
      </c>
      <c r="E387" s="477">
        <v>50</v>
      </c>
      <c r="F387" s="476" t="s">
        <v>106</v>
      </c>
      <c r="G387" s="477">
        <v>534</v>
      </c>
      <c r="H387" s="476" t="s">
        <v>967</v>
      </c>
      <c r="I387" s="476" t="s">
        <v>836</v>
      </c>
      <c r="J387" s="477">
        <v>14</v>
      </c>
      <c r="K387" s="476" t="s">
        <v>6268</v>
      </c>
      <c r="L387" s="476" t="s">
        <v>6285</v>
      </c>
      <c r="M387" s="476" t="s">
        <v>9</v>
      </c>
      <c r="N387" s="478">
        <v>0</v>
      </c>
      <c r="O387" s="479"/>
      <c r="P387" s="479"/>
      <c r="Q387" s="479"/>
      <c r="R387" s="476"/>
      <c r="S387" s="479">
        <v>0.23321759259259259</v>
      </c>
      <c r="T387" s="479">
        <v>0.29988425925925927</v>
      </c>
      <c r="U387" s="479"/>
      <c r="V387" s="479"/>
      <c r="W387" s="479">
        <v>0.49336805555555557</v>
      </c>
      <c r="X387" s="479">
        <v>0.68685185185185194</v>
      </c>
      <c r="Y387" s="479">
        <v>0.24374999999999999</v>
      </c>
      <c r="Z387" s="479">
        <v>0.44930555555555557</v>
      </c>
      <c r="AA387" s="479">
        <v>0.65486111111111112</v>
      </c>
      <c r="AB387" s="476" t="s">
        <v>6289</v>
      </c>
      <c r="AC387" s="478">
        <v>131</v>
      </c>
      <c r="AD387" s="476" t="s">
        <v>119</v>
      </c>
      <c r="AE387" s="476"/>
      <c r="AF387" s="478">
        <v>66.099999999999994</v>
      </c>
      <c r="AG387" s="477">
        <v>63</v>
      </c>
      <c r="AH387" s="476" t="s">
        <v>6301</v>
      </c>
      <c r="AI387" s="476" t="s">
        <v>6328</v>
      </c>
      <c r="AJ387" s="476" t="s">
        <v>6493</v>
      </c>
      <c r="AK387" s="476" t="s">
        <v>6493</v>
      </c>
      <c r="AL387" s="476"/>
      <c r="AM387" s="476"/>
      <c r="AN387" s="476"/>
      <c r="AO387" s="476"/>
      <c r="AP387" s="476"/>
      <c r="AQ387" s="476"/>
      <c r="AR387" s="476"/>
      <c r="AS387" s="476"/>
      <c r="AT387" s="476"/>
      <c r="AU387" s="476"/>
      <c r="AV387" s="476"/>
      <c r="AW387" s="476"/>
      <c r="AX387" s="476"/>
      <c r="AY387" s="476"/>
      <c r="AZ387" s="476"/>
      <c r="BA387" s="476"/>
      <c r="BB387" s="476"/>
      <c r="BC387" s="476"/>
      <c r="BD387" s="476"/>
      <c r="BE387" s="476"/>
      <c r="BF387" s="476"/>
      <c r="BG387" s="476"/>
      <c r="BH387" s="476"/>
      <c r="BI387" s="476"/>
      <c r="BJ387" s="476"/>
      <c r="BK387" s="476"/>
      <c r="BL387" s="480"/>
    </row>
    <row r="388" spans="1:64">
      <c r="A388" s="468">
        <v>44179</v>
      </c>
      <c r="B388" s="473">
        <v>349</v>
      </c>
      <c r="C388" s="473">
        <v>17</v>
      </c>
      <c r="D388" s="470" t="s">
        <v>640</v>
      </c>
      <c r="E388" s="469">
        <v>51</v>
      </c>
      <c r="F388" s="470" t="s">
        <v>88</v>
      </c>
      <c r="G388" s="469">
        <v>534</v>
      </c>
      <c r="H388" s="470" t="s">
        <v>967</v>
      </c>
      <c r="I388" s="470" t="s">
        <v>836</v>
      </c>
      <c r="J388" s="469">
        <v>15</v>
      </c>
      <c r="K388" s="470" t="s">
        <v>6269</v>
      </c>
      <c r="L388" s="470" t="s">
        <v>6286</v>
      </c>
      <c r="M388" s="470" t="s">
        <v>9</v>
      </c>
      <c r="N388" s="473">
        <v>0</v>
      </c>
      <c r="O388" s="471"/>
      <c r="P388" s="471"/>
      <c r="Q388" s="471"/>
      <c r="R388" s="470"/>
      <c r="S388" s="471">
        <v>0.23372685185185185</v>
      </c>
      <c r="T388" s="471">
        <v>0.30039351851851853</v>
      </c>
      <c r="U388" s="471"/>
      <c r="V388" s="471"/>
      <c r="W388" s="471">
        <v>0.4937037037037037</v>
      </c>
      <c r="X388" s="471">
        <v>0.68702546296296296</v>
      </c>
      <c r="Y388" s="471">
        <v>0.29652777777777778</v>
      </c>
      <c r="Z388" s="471">
        <v>0.49305555555555558</v>
      </c>
      <c r="AA388" s="471">
        <v>0.68888888888888899</v>
      </c>
      <c r="AB388" s="470" t="s">
        <v>6463</v>
      </c>
      <c r="AC388" s="473">
        <v>152</v>
      </c>
      <c r="AD388" s="470" t="s">
        <v>110</v>
      </c>
      <c r="AE388" s="470" t="s">
        <v>6552</v>
      </c>
      <c r="AF388" s="473">
        <v>80.599999999999994</v>
      </c>
      <c r="AG388" s="469">
        <v>73.7</v>
      </c>
      <c r="AH388" s="470" t="s">
        <v>6302</v>
      </c>
      <c r="AI388" s="470" t="s">
        <v>6329</v>
      </c>
      <c r="AJ388" s="470" t="s">
        <v>6493</v>
      </c>
      <c r="AK388" s="470" t="s">
        <v>6493</v>
      </c>
      <c r="AL388" s="470"/>
      <c r="AM388" s="470"/>
      <c r="AN388" s="470"/>
      <c r="AO388" s="470"/>
      <c r="AP388" s="470"/>
      <c r="AQ388" s="470"/>
      <c r="AR388" s="470"/>
      <c r="AS388" s="470"/>
      <c r="AT388" s="470"/>
      <c r="AU388" s="470"/>
      <c r="AV388" s="470"/>
      <c r="AW388" s="470"/>
      <c r="AX388" s="470"/>
      <c r="AY388" s="470"/>
      <c r="AZ388" s="470"/>
      <c r="BA388" s="470"/>
      <c r="BB388" s="470"/>
      <c r="BC388" s="470"/>
      <c r="BD388" s="470"/>
      <c r="BE388" s="470"/>
      <c r="BF388" s="470"/>
      <c r="BG388" s="470"/>
      <c r="BH388" s="470"/>
      <c r="BI388" s="470"/>
      <c r="BJ388" s="470"/>
      <c r="BK388" s="470"/>
      <c r="BL388" s="474"/>
    </row>
    <row r="389" spans="1:64">
      <c r="A389" s="475">
        <v>44180</v>
      </c>
      <c r="B389" s="478">
        <v>350</v>
      </c>
      <c r="C389" s="478">
        <v>16</v>
      </c>
      <c r="D389" s="476" t="s">
        <v>640</v>
      </c>
      <c r="E389" s="477">
        <v>51</v>
      </c>
      <c r="F389" s="476" t="s">
        <v>91</v>
      </c>
      <c r="G389" s="477">
        <v>534</v>
      </c>
      <c r="H389" s="476" t="s">
        <v>967</v>
      </c>
      <c r="I389" s="476" t="s">
        <v>6257</v>
      </c>
      <c r="J389" s="477">
        <v>16</v>
      </c>
      <c r="K389" s="476" t="s">
        <v>6270</v>
      </c>
      <c r="L389" s="476" t="s">
        <v>6287</v>
      </c>
      <c r="M389" s="476" t="s">
        <v>9</v>
      </c>
      <c r="N389" s="478">
        <v>0</v>
      </c>
      <c r="O389" s="479"/>
      <c r="P389" s="479"/>
      <c r="Q389" s="479">
        <v>0.45388888888888884</v>
      </c>
      <c r="R389" s="476" t="s">
        <v>14</v>
      </c>
      <c r="S389" s="479">
        <v>0.23421296296296298</v>
      </c>
      <c r="T389" s="479">
        <v>0.30087962962962961</v>
      </c>
      <c r="U389" s="479"/>
      <c r="V389" s="479"/>
      <c r="W389" s="479">
        <v>0.49405092592592598</v>
      </c>
      <c r="X389" s="479">
        <v>0.68721064814814825</v>
      </c>
      <c r="Y389" s="479">
        <v>0.34513888888888888</v>
      </c>
      <c r="Z389" s="479">
        <v>0.53749999999999998</v>
      </c>
      <c r="AA389" s="479">
        <v>0.72916666666666663</v>
      </c>
      <c r="AB389" s="476" t="s">
        <v>6463</v>
      </c>
      <c r="AC389" s="478">
        <v>152</v>
      </c>
      <c r="AD389" s="476" t="s">
        <v>110</v>
      </c>
      <c r="AE389" s="476"/>
      <c r="AF389" s="478">
        <v>93.4</v>
      </c>
      <c r="AG389" s="477">
        <v>82.9</v>
      </c>
      <c r="AH389" s="476" t="s">
        <v>6303</v>
      </c>
      <c r="AI389" s="476" t="s">
        <v>6330</v>
      </c>
      <c r="AJ389" s="476" t="s">
        <v>6493</v>
      </c>
      <c r="AK389" s="476" t="s">
        <v>6493</v>
      </c>
      <c r="AL389" s="476" t="s">
        <v>6851</v>
      </c>
      <c r="AM389" s="476"/>
      <c r="AN389" s="476"/>
      <c r="AO389" s="476"/>
      <c r="AP389" s="476"/>
      <c r="AQ389" s="476"/>
      <c r="AR389" s="476"/>
      <c r="AS389" s="476"/>
      <c r="AT389" s="476"/>
      <c r="AU389" s="476"/>
      <c r="AV389" s="476"/>
      <c r="AW389" s="476"/>
      <c r="AX389" s="476"/>
      <c r="AY389" s="476"/>
      <c r="AZ389" s="476"/>
      <c r="BA389" s="476"/>
      <c r="BB389" s="476"/>
      <c r="BC389" s="476"/>
      <c r="BD389" s="476"/>
      <c r="BE389" s="476"/>
      <c r="BF389" s="476"/>
      <c r="BG389" s="476"/>
      <c r="BH389" s="476"/>
      <c r="BI389" s="476"/>
      <c r="BJ389" s="476"/>
      <c r="BK389" s="476"/>
      <c r="BL389" s="480"/>
    </row>
    <row r="390" spans="1:64">
      <c r="A390" s="468">
        <v>44181</v>
      </c>
      <c r="B390" s="473">
        <v>351</v>
      </c>
      <c r="C390" s="473">
        <v>15</v>
      </c>
      <c r="D390" s="470" t="s">
        <v>640</v>
      </c>
      <c r="E390" s="469">
        <v>51</v>
      </c>
      <c r="F390" s="470" t="s">
        <v>94</v>
      </c>
      <c r="G390" s="469">
        <v>534</v>
      </c>
      <c r="H390" s="470" t="s">
        <v>967</v>
      </c>
      <c r="I390" s="470" t="s">
        <v>6257</v>
      </c>
      <c r="J390" s="469">
        <v>18</v>
      </c>
      <c r="K390" s="470" t="s">
        <v>6258</v>
      </c>
      <c r="L390" s="470" t="s">
        <v>6273</v>
      </c>
      <c r="M390" s="470" t="s">
        <v>9</v>
      </c>
      <c r="N390" s="473">
        <v>0</v>
      </c>
      <c r="O390" s="471">
        <v>0.35972222222222222</v>
      </c>
      <c r="P390" s="471">
        <v>0.26805555555555555</v>
      </c>
      <c r="Q390" s="471"/>
      <c r="R390" s="470"/>
      <c r="S390" s="471">
        <v>0.23467592592592593</v>
      </c>
      <c r="T390" s="471">
        <v>0.30134259259259261</v>
      </c>
      <c r="U390" s="471"/>
      <c r="V390" s="471"/>
      <c r="W390" s="471">
        <v>0.49438657407407405</v>
      </c>
      <c r="X390" s="471">
        <v>0.68743055555555566</v>
      </c>
      <c r="Y390" s="471">
        <v>0.38680555555555557</v>
      </c>
      <c r="Z390" s="471">
        <v>0.5805555555555556</v>
      </c>
      <c r="AA390" s="471">
        <v>0.77430555555555547</v>
      </c>
      <c r="AB390" s="470" t="s">
        <v>6463</v>
      </c>
      <c r="AC390" s="473">
        <v>152</v>
      </c>
      <c r="AD390" s="470" t="s">
        <v>110</v>
      </c>
      <c r="AE390" s="470"/>
      <c r="AF390" s="473">
        <v>3.6</v>
      </c>
      <c r="AG390" s="469">
        <v>89.7</v>
      </c>
      <c r="AH390" s="470" t="s">
        <v>6304</v>
      </c>
      <c r="AI390" s="470" t="s">
        <v>6331</v>
      </c>
      <c r="AJ390" s="470" t="s">
        <v>6493</v>
      </c>
      <c r="AK390" s="470" t="s">
        <v>6493</v>
      </c>
      <c r="AL390" s="470" t="s">
        <v>6852</v>
      </c>
      <c r="AM390" s="470"/>
      <c r="AN390" s="470"/>
      <c r="AO390" s="470"/>
      <c r="AP390" s="470"/>
      <c r="AQ390" s="470"/>
      <c r="AR390" s="470"/>
      <c r="AS390" s="470"/>
      <c r="AT390" s="470"/>
      <c r="AU390" s="470"/>
      <c r="AV390" s="470"/>
      <c r="AW390" s="470"/>
      <c r="AX390" s="470"/>
      <c r="AY390" s="470"/>
      <c r="AZ390" s="470"/>
      <c r="BA390" s="470"/>
      <c r="BB390" s="470"/>
      <c r="BC390" s="470"/>
      <c r="BD390" s="470"/>
      <c r="BE390" s="470"/>
      <c r="BF390" s="470"/>
      <c r="BG390" s="470"/>
      <c r="BH390" s="470"/>
      <c r="BI390" s="470"/>
      <c r="BJ390" s="470"/>
      <c r="BK390" s="470"/>
      <c r="BL390" s="474"/>
    </row>
    <row r="391" spans="1:64">
      <c r="A391" s="475">
        <v>44182</v>
      </c>
      <c r="B391" s="478">
        <v>352</v>
      </c>
      <c r="C391" s="478">
        <v>14</v>
      </c>
      <c r="D391" s="476" t="s">
        <v>640</v>
      </c>
      <c r="E391" s="477">
        <v>51</v>
      </c>
      <c r="F391" s="476" t="s">
        <v>6714</v>
      </c>
      <c r="G391" s="477">
        <v>534</v>
      </c>
      <c r="H391" s="476" t="s">
        <v>967</v>
      </c>
      <c r="I391" s="476" t="s">
        <v>6257</v>
      </c>
      <c r="J391" s="477">
        <v>19</v>
      </c>
      <c r="K391" s="476" t="s">
        <v>6259</v>
      </c>
      <c r="L391" s="476" t="s">
        <v>6275</v>
      </c>
      <c r="M391" s="476" t="s">
        <v>9</v>
      </c>
      <c r="N391" s="478">
        <v>0</v>
      </c>
      <c r="O391" s="479"/>
      <c r="P391" s="479"/>
      <c r="Q391" s="479"/>
      <c r="R391" s="476"/>
      <c r="S391" s="479">
        <v>0.23511574074074074</v>
      </c>
      <c r="T391" s="479">
        <v>0.30178240740740742</v>
      </c>
      <c r="U391" s="479"/>
      <c r="V391" s="479"/>
      <c r="W391" s="479">
        <v>0.49473379629629632</v>
      </c>
      <c r="X391" s="479">
        <v>0.68768518518518518</v>
      </c>
      <c r="Y391" s="479">
        <v>0.42083333333333334</v>
      </c>
      <c r="Z391" s="479">
        <v>0.62083333333333335</v>
      </c>
      <c r="AA391" s="479">
        <v>0.8208333333333333</v>
      </c>
      <c r="AB391" s="476" t="s">
        <v>6463</v>
      </c>
      <c r="AC391" s="478">
        <v>152</v>
      </c>
      <c r="AD391" s="476" t="s">
        <v>110</v>
      </c>
      <c r="AE391" s="476"/>
      <c r="AF391" s="478">
        <v>10.6</v>
      </c>
      <c r="AG391" s="477">
        <v>93.6</v>
      </c>
      <c r="AH391" s="476" t="s">
        <v>6305</v>
      </c>
      <c r="AI391" s="476" t="s">
        <v>6333</v>
      </c>
      <c r="AJ391" s="476" t="s">
        <v>6493</v>
      </c>
      <c r="AK391" s="476" t="s">
        <v>6493</v>
      </c>
      <c r="AL391" s="476"/>
      <c r="AM391" s="476"/>
      <c r="AN391" s="476"/>
      <c r="AO391" s="476"/>
      <c r="AP391" s="476"/>
      <c r="AQ391" s="476"/>
      <c r="AR391" s="476"/>
      <c r="AS391" s="476"/>
      <c r="AT391" s="476"/>
      <c r="AU391" s="476"/>
      <c r="AV391" s="476"/>
      <c r="AW391" s="476"/>
      <c r="AX391" s="476"/>
      <c r="AY391" s="476"/>
      <c r="AZ391" s="476"/>
      <c r="BA391" s="476"/>
      <c r="BB391" s="476"/>
      <c r="BC391" s="476"/>
      <c r="BD391" s="476"/>
      <c r="BE391" s="476"/>
      <c r="BF391" s="476"/>
      <c r="BG391" s="476"/>
      <c r="BH391" s="476"/>
      <c r="BI391" s="476"/>
      <c r="BJ391" s="476"/>
      <c r="BK391" s="476"/>
      <c r="BL391" s="480"/>
    </row>
    <row r="392" spans="1:64">
      <c r="A392" s="468">
        <v>44183</v>
      </c>
      <c r="B392" s="473">
        <v>353</v>
      </c>
      <c r="C392" s="473">
        <v>13</v>
      </c>
      <c r="D392" s="470" t="s">
        <v>640</v>
      </c>
      <c r="E392" s="469">
        <v>51</v>
      </c>
      <c r="F392" s="470" t="s">
        <v>100</v>
      </c>
      <c r="G392" s="469">
        <v>534</v>
      </c>
      <c r="H392" s="470" t="s">
        <v>967</v>
      </c>
      <c r="I392" s="470" t="s">
        <v>6257</v>
      </c>
      <c r="J392" s="469">
        <v>20</v>
      </c>
      <c r="K392" s="470" t="s">
        <v>6260</v>
      </c>
      <c r="L392" s="470" t="s">
        <v>6276</v>
      </c>
      <c r="M392" s="470" t="s">
        <v>9</v>
      </c>
      <c r="N392" s="473">
        <v>0</v>
      </c>
      <c r="O392" s="471"/>
      <c r="P392" s="471"/>
      <c r="Q392" s="471"/>
      <c r="R392" s="470"/>
      <c r="S392" s="471">
        <v>0.23554398148148148</v>
      </c>
      <c r="T392" s="471">
        <v>0.30221064814814813</v>
      </c>
      <c r="U392" s="471"/>
      <c r="V392" s="471"/>
      <c r="W392" s="471">
        <v>0.49508101851851855</v>
      </c>
      <c r="X392" s="471">
        <v>0.68795138888888896</v>
      </c>
      <c r="Y392" s="471">
        <v>0.44861111111111113</v>
      </c>
      <c r="Z392" s="471">
        <v>0.65833333333333333</v>
      </c>
      <c r="AA392" s="471">
        <v>0.86875000000000002</v>
      </c>
      <c r="AB392" s="470" t="s">
        <v>6463</v>
      </c>
      <c r="AC392" s="473">
        <v>152</v>
      </c>
      <c r="AD392" s="470" t="s">
        <v>110</v>
      </c>
      <c r="AE392" s="470"/>
      <c r="AF392" s="473">
        <v>14.2</v>
      </c>
      <c r="AG392" s="469">
        <v>94.5</v>
      </c>
      <c r="AH392" s="470" t="s">
        <v>6306</v>
      </c>
      <c r="AI392" s="470" t="s">
        <v>6334</v>
      </c>
      <c r="AJ392" s="470" t="s">
        <v>6493</v>
      </c>
      <c r="AK392" s="470" t="s">
        <v>6493</v>
      </c>
      <c r="AL392" s="470"/>
      <c r="AM392" s="470"/>
      <c r="AN392" s="470"/>
      <c r="AO392" s="470"/>
      <c r="AP392" s="470"/>
      <c r="AQ392" s="470"/>
      <c r="AR392" s="470"/>
      <c r="AS392" s="470"/>
      <c r="AT392" s="470"/>
      <c r="AU392" s="470"/>
      <c r="AV392" s="470"/>
      <c r="AW392" s="470"/>
      <c r="AX392" s="470"/>
      <c r="AY392" s="470"/>
      <c r="AZ392" s="470"/>
      <c r="BA392" s="470"/>
      <c r="BB392" s="470"/>
      <c r="BC392" s="470"/>
      <c r="BD392" s="470"/>
      <c r="BE392" s="470"/>
      <c r="BF392" s="470"/>
      <c r="BG392" s="470"/>
      <c r="BH392" s="470"/>
      <c r="BI392" s="470"/>
      <c r="BJ392" s="470"/>
      <c r="BK392" s="470"/>
      <c r="BL392" s="474"/>
    </row>
    <row r="393" spans="1:64">
      <c r="A393" s="475">
        <v>44184</v>
      </c>
      <c r="B393" s="478">
        <v>354</v>
      </c>
      <c r="C393" s="478">
        <v>12</v>
      </c>
      <c r="D393" s="476" t="s">
        <v>640</v>
      </c>
      <c r="E393" s="477">
        <v>51</v>
      </c>
      <c r="F393" s="476" t="s">
        <v>103</v>
      </c>
      <c r="G393" s="477">
        <v>534</v>
      </c>
      <c r="H393" s="476" t="s">
        <v>967</v>
      </c>
      <c r="I393" s="476" t="s">
        <v>6257</v>
      </c>
      <c r="J393" s="477">
        <v>21</v>
      </c>
      <c r="K393" s="476" t="s">
        <v>6261</v>
      </c>
      <c r="L393" s="476" t="s">
        <v>6277</v>
      </c>
      <c r="M393" s="476" t="s">
        <v>9</v>
      </c>
      <c r="N393" s="478">
        <v>0</v>
      </c>
      <c r="O393" s="479"/>
      <c r="P393" s="479"/>
      <c r="Q393" s="479"/>
      <c r="R393" s="476"/>
      <c r="S393" s="479">
        <v>0.23593749999999999</v>
      </c>
      <c r="T393" s="479">
        <v>0.30260416666666667</v>
      </c>
      <c r="U393" s="479"/>
      <c r="V393" s="479"/>
      <c r="W393" s="479">
        <v>0.49542824074074071</v>
      </c>
      <c r="X393" s="479">
        <v>0.68825231481481486</v>
      </c>
      <c r="Y393" s="479">
        <v>0.47152777777777777</v>
      </c>
      <c r="Z393" s="479">
        <v>0.69236111111111109</v>
      </c>
      <c r="AA393" s="479">
        <v>0.91319444444444453</v>
      </c>
      <c r="AB393" s="476" t="s">
        <v>6463</v>
      </c>
      <c r="AC393" s="478">
        <v>152</v>
      </c>
      <c r="AD393" s="476" t="s">
        <v>110</v>
      </c>
      <c r="AE393" s="476"/>
      <c r="AF393" s="478">
        <v>14.3</v>
      </c>
      <c r="AG393" s="477">
        <v>92.3</v>
      </c>
      <c r="AH393" s="476" t="s">
        <v>6307</v>
      </c>
      <c r="AI393" s="476" t="s">
        <v>6335</v>
      </c>
      <c r="AJ393" s="476" t="s">
        <v>839</v>
      </c>
      <c r="AK393" s="476" t="s">
        <v>6493</v>
      </c>
      <c r="AL393" s="476" t="s">
        <v>1217</v>
      </c>
      <c r="AM393" s="476" t="s">
        <v>6344</v>
      </c>
      <c r="AN393" s="476"/>
      <c r="AO393" s="476"/>
      <c r="AP393" s="476"/>
      <c r="AQ393" s="476"/>
      <c r="AR393" s="476"/>
      <c r="AS393" s="476"/>
      <c r="AT393" s="476"/>
      <c r="AU393" s="476"/>
      <c r="AV393" s="476"/>
      <c r="AW393" s="476"/>
      <c r="AX393" s="476"/>
      <c r="AY393" s="476"/>
      <c r="AZ393" s="476"/>
      <c r="BA393" s="476"/>
      <c r="BB393" s="476"/>
      <c r="BC393" s="476"/>
      <c r="BD393" s="476"/>
      <c r="BE393" s="476"/>
      <c r="BF393" s="476"/>
      <c r="BG393" s="476"/>
      <c r="BH393" s="476"/>
      <c r="BI393" s="476"/>
      <c r="BJ393" s="476" t="s">
        <v>6354</v>
      </c>
      <c r="BK393" s="476"/>
      <c r="BL393" s="480"/>
    </row>
    <row r="394" spans="1:64">
      <c r="A394" s="468">
        <v>44185</v>
      </c>
      <c r="B394" s="473">
        <v>355</v>
      </c>
      <c r="C394" s="473">
        <v>11</v>
      </c>
      <c r="D394" s="470" t="s">
        <v>640</v>
      </c>
      <c r="E394" s="469">
        <v>51</v>
      </c>
      <c r="F394" s="470" t="s">
        <v>106</v>
      </c>
      <c r="G394" s="469">
        <v>534</v>
      </c>
      <c r="H394" s="470" t="s">
        <v>967</v>
      </c>
      <c r="I394" s="470" t="s">
        <v>6257</v>
      </c>
      <c r="J394" s="469">
        <v>22</v>
      </c>
      <c r="K394" s="470" t="s">
        <v>6262</v>
      </c>
      <c r="L394" s="470" t="s">
        <v>6278</v>
      </c>
      <c r="M394" s="470" t="s">
        <v>9</v>
      </c>
      <c r="N394" s="473">
        <v>0</v>
      </c>
      <c r="O394" s="471"/>
      <c r="P394" s="471"/>
      <c r="Q394" s="471"/>
      <c r="R394" s="470"/>
      <c r="S394" s="471">
        <v>0.23631944444444444</v>
      </c>
      <c r="T394" s="471">
        <v>0.30298611111111112</v>
      </c>
      <c r="U394" s="471"/>
      <c r="V394" s="471"/>
      <c r="W394" s="471">
        <v>0.49577546296296293</v>
      </c>
      <c r="X394" s="471">
        <v>0.6885648148148148</v>
      </c>
      <c r="Y394" s="471">
        <v>0.4909722222222222</v>
      </c>
      <c r="Z394" s="471">
        <v>0.72361111111111109</v>
      </c>
      <c r="AA394" s="471">
        <v>0.95694444444444438</v>
      </c>
      <c r="AB394" s="470" t="s">
        <v>6463</v>
      </c>
      <c r="AC394" s="473">
        <v>152</v>
      </c>
      <c r="AD394" s="470" t="s">
        <v>110</v>
      </c>
      <c r="AE394" s="470"/>
      <c r="AF394" s="473">
        <v>11.4</v>
      </c>
      <c r="AG394" s="469">
        <v>87.3</v>
      </c>
      <c r="AH394" s="470" t="s">
        <v>6308</v>
      </c>
      <c r="AI394" s="470" t="s">
        <v>6336</v>
      </c>
      <c r="AJ394" s="470" t="s">
        <v>6493</v>
      </c>
      <c r="AK394" s="470" t="s">
        <v>6493</v>
      </c>
      <c r="AL394" s="470"/>
      <c r="AM394" s="470"/>
      <c r="AN394" s="470"/>
      <c r="AO394" s="470"/>
      <c r="AP394" s="470"/>
      <c r="AQ394" s="470"/>
      <c r="AR394" s="470"/>
      <c r="AS394" s="470"/>
      <c r="AT394" s="470"/>
      <c r="AU394" s="470"/>
      <c r="AV394" s="470"/>
      <c r="AW394" s="470"/>
      <c r="AX394" s="470"/>
      <c r="AY394" s="470"/>
      <c r="AZ394" s="470"/>
      <c r="BA394" s="470"/>
      <c r="BB394" s="470"/>
      <c r="BC394" s="470"/>
      <c r="BD394" s="470"/>
      <c r="BE394" s="470"/>
      <c r="BF394" s="470"/>
      <c r="BG394" s="470"/>
      <c r="BH394" s="470"/>
      <c r="BI394" s="470"/>
      <c r="BJ394" s="470"/>
      <c r="BK394" s="470"/>
      <c r="BL394" s="474"/>
    </row>
    <row r="395" spans="1:64">
      <c r="A395" s="475">
        <v>44186</v>
      </c>
      <c r="B395" s="478">
        <v>356</v>
      </c>
      <c r="C395" s="478">
        <v>10</v>
      </c>
      <c r="D395" s="476" t="s">
        <v>640</v>
      </c>
      <c r="E395" s="477">
        <v>52</v>
      </c>
      <c r="F395" s="476" t="s">
        <v>88</v>
      </c>
      <c r="G395" s="477">
        <v>534</v>
      </c>
      <c r="H395" s="476" t="s">
        <v>967</v>
      </c>
      <c r="I395" s="476" t="s">
        <v>6257</v>
      </c>
      <c r="J395" s="477">
        <v>23</v>
      </c>
      <c r="K395" s="476" t="s">
        <v>6263</v>
      </c>
      <c r="L395" s="476" t="s">
        <v>6278</v>
      </c>
      <c r="M395" s="476" t="s">
        <v>9</v>
      </c>
      <c r="N395" s="478">
        <v>0</v>
      </c>
      <c r="O395" s="479"/>
      <c r="P395" s="479"/>
      <c r="Q395" s="479"/>
      <c r="R395" s="476"/>
      <c r="S395" s="479">
        <v>0.23667824074074073</v>
      </c>
      <c r="T395" s="479">
        <v>0.30334490740740744</v>
      </c>
      <c r="U395" s="479"/>
      <c r="V395" s="479"/>
      <c r="W395" s="479">
        <v>0.49612268518518521</v>
      </c>
      <c r="X395" s="479">
        <v>0.68891203703703707</v>
      </c>
      <c r="Y395" s="479">
        <v>0.5083333333333333</v>
      </c>
      <c r="Z395" s="479">
        <v>0.75277777777777777</v>
      </c>
      <c r="AA395" s="479">
        <v>0.99930555555555556</v>
      </c>
      <c r="AB395" s="476" t="s">
        <v>6464</v>
      </c>
      <c r="AC395" s="478">
        <v>130</v>
      </c>
      <c r="AD395" s="476" t="s">
        <v>113</v>
      </c>
      <c r="AE395" s="476" t="s">
        <v>6553</v>
      </c>
      <c r="AF395" s="478">
        <v>5.8</v>
      </c>
      <c r="AG395" s="477">
        <v>79.900000000000006</v>
      </c>
      <c r="AH395" s="476" t="s">
        <v>6309</v>
      </c>
      <c r="AI395" s="476" t="s">
        <v>6337</v>
      </c>
      <c r="AJ395" s="476" t="s">
        <v>6493</v>
      </c>
      <c r="AK395" s="476" t="s">
        <v>6493</v>
      </c>
      <c r="AL395" s="476" t="s">
        <v>551</v>
      </c>
      <c r="AM395" s="476"/>
      <c r="AN395" s="476"/>
      <c r="AO395" s="476"/>
      <c r="AP395" s="476"/>
      <c r="AQ395" s="476"/>
      <c r="AR395" s="476"/>
      <c r="AS395" s="476"/>
      <c r="AT395" s="476"/>
      <c r="AU395" s="476"/>
      <c r="AV395" s="476"/>
      <c r="AW395" s="476"/>
      <c r="AX395" s="476"/>
      <c r="AY395" s="476"/>
      <c r="AZ395" s="476"/>
      <c r="BA395" s="476"/>
      <c r="BB395" s="476"/>
      <c r="BC395" s="476"/>
      <c r="BD395" s="476"/>
      <c r="BE395" s="476"/>
      <c r="BF395" s="476"/>
      <c r="BG395" s="476"/>
      <c r="BH395" s="476"/>
      <c r="BI395" s="476"/>
      <c r="BJ395" s="476"/>
      <c r="BK395" s="476"/>
      <c r="BL395" s="480"/>
    </row>
    <row r="396" spans="1:64">
      <c r="A396" s="468">
        <v>44187</v>
      </c>
      <c r="B396" s="473">
        <v>357</v>
      </c>
      <c r="C396" s="473">
        <v>9</v>
      </c>
      <c r="D396" s="470" t="s">
        <v>640</v>
      </c>
      <c r="E396" s="469">
        <v>52</v>
      </c>
      <c r="F396" s="470" t="s">
        <v>91</v>
      </c>
      <c r="G396" s="469">
        <v>534</v>
      </c>
      <c r="H396" s="470" t="s">
        <v>967</v>
      </c>
      <c r="I396" s="470" t="s">
        <v>6257</v>
      </c>
      <c r="J396" s="469">
        <v>23</v>
      </c>
      <c r="K396" s="470" t="s">
        <v>6263</v>
      </c>
      <c r="L396" s="470" t="s">
        <v>6279</v>
      </c>
      <c r="M396" s="470" t="s">
        <v>10</v>
      </c>
      <c r="N396" s="473">
        <v>0</v>
      </c>
      <c r="O396" s="471"/>
      <c r="P396" s="471"/>
      <c r="Q396" s="471"/>
      <c r="R396" s="470"/>
      <c r="S396" s="471">
        <v>0.23700231481481482</v>
      </c>
      <c r="T396" s="471">
        <v>0.30366898148148147</v>
      </c>
      <c r="U396" s="471"/>
      <c r="V396" s="471"/>
      <c r="W396" s="471">
        <v>0.49648148148148147</v>
      </c>
      <c r="X396" s="471">
        <v>0.68928240740740743</v>
      </c>
      <c r="Y396" s="471">
        <v>0.52430555555555558</v>
      </c>
      <c r="Z396" s="471">
        <v>0.78125</v>
      </c>
      <c r="AA396" s="471" t="s">
        <v>1107</v>
      </c>
      <c r="AB396" s="470" t="s">
        <v>6464</v>
      </c>
      <c r="AC396" s="473">
        <v>130</v>
      </c>
      <c r="AD396" s="470" t="s">
        <v>113</v>
      </c>
      <c r="AE396" s="470"/>
      <c r="AF396" s="473">
        <v>98.1</v>
      </c>
      <c r="AG396" s="469">
        <v>70.599999999999994</v>
      </c>
      <c r="AH396" s="470" t="s">
        <v>6310</v>
      </c>
      <c r="AI396" s="470" t="s">
        <v>6338</v>
      </c>
      <c r="AJ396" s="470" t="s">
        <v>6493</v>
      </c>
      <c r="AK396" s="470" t="s">
        <v>6493</v>
      </c>
      <c r="AL396" s="470" t="s">
        <v>6727</v>
      </c>
      <c r="AM396" s="470"/>
      <c r="AN396" s="470"/>
      <c r="AO396" s="470"/>
      <c r="AP396" s="470"/>
      <c r="AQ396" s="470"/>
      <c r="AR396" s="470"/>
      <c r="AS396" s="470"/>
      <c r="AT396" s="470"/>
      <c r="AU396" s="470"/>
      <c r="AV396" s="470"/>
      <c r="AW396" s="470"/>
      <c r="AX396" s="470"/>
      <c r="AY396" s="470"/>
      <c r="AZ396" s="470"/>
      <c r="BA396" s="470"/>
      <c r="BB396" s="470"/>
      <c r="BC396" s="470"/>
      <c r="BD396" s="470"/>
      <c r="BE396" s="470"/>
      <c r="BF396" s="470"/>
      <c r="BG396" s="470"/>
      <c r="BH396" s="470"/>
      <c r="BI396" s="470"/>
      <c r="BJ396" s="470"/>
      <c r="BK396" s="470"/>
      <c r="BL396" s="474"/>
    </row>
    <row r="397" spans="1:64">
      <c r="A397" s="475">
        <v>44188</v>
      </c>
      <c r="B397" s="478">
        <v>358</v>
      </c>
      <c r="C397" s="478">
        <v>8</v>
      </c>
      <c r="D397" s="476" t="s">
        <v>640</v>
      </c>
      <c r="E397" s="477">
        <v>52</v>
      </c>
      <c r="F397" s="476" t="s">
        <v>94</v>
      </c>
      <c r="G397" s="477">
        <v>534</v>
      </c>
      <c r="H397" s="476" t="s">
        <v>967</v>
      </c>
      <c r="I397" s="476" t="s">
        <v>6257</v>
      </c>
      <c r="J397" s="477">
        <v>24</v>
      </c>
      <c r="K397" s="476" t="s">
        <v>6264</v>
      </c>
      <c r="L397" s="476" t="s">
        <v>6280</v>
      </c>
      <c r="M397" s="476" t="s">
        <v>9</v>
      </c>
      <c r="N397" s="478">
        <v>0</v>
      </c>
      <c r="O397" s="479"/>
      <c r="P397" s="479"/>
      <c r="Q397" s="479"/>
      <c r="R397" s="476"/>
      <c r="S397" s="479">
        <v>0.23731481481481484</v>
      </c>
      <c r="T397" s="479">
        <v>0.30398148148148146</v>
      </c>
      <c r="U397" s="479"/>
      <c r="V397" s="479"/>
      <c r="W397" s="479">
        <v>0.49682870370370374</v>
      </c>
      <c r="X397" s="479">
        <v>0.68967592592592597</v>
      </c>
      <c r="Y397" s="479">
        <v>0.5395833333333333</v>
      </c>
      <c r="Z397" s="479">
        <v>0.80833333333333324</v>
      </c>
      <c r="AA397" s="479">
        <v>4.027777777777778E-2</v>
      </c>
      <c r="AB397" s="476" t="s">
        <v>6464</v>
      </c>
      <c r="AC397" s="478">
        <v>130</v>
      </c>
      <c r="AD397" s="476" t="s">
        <v>113</v>
      </c>
      <c r="AE397" s="476"/>
      <c r="AF397" s="478">
        <v>89.1</v>
      </c>
      <c r="AG397" s="477">
        <v>60.1</v>
      </c>
      <c r="AH397" s="476" t="s">
        <v>6311</v>
      </c>
      <c r="AI397" s="476" t="s">
        <v>6339</v>
      </c>
      <c r="AJ397" s="476" t="s">
        <v>6493</v>
      </c>
      <c r="AK397" s="476" t="s">
        <v>6493</v>
      </c>
      <c r="AL397" s="476"/>
      <c r="AM397" s="476"/>
      <c r="AN397" s="476"/>
      <c r="AO397" s="476"/>
      <c r="AP397" s="476"/>
      <c r="AQ397" s="476"/>
      <c r="AR397" s="476"/>
      <c r="AS397" s="476"/>
      <c r="AT397" s="476"/>
      <c r="AU397" s="476"/>
      <c r="AV397" s="476"/>
      <c r="AW397" s="476"/>
      <c r="AX397" s="476"/>
      <c r="AY397" s="476"/>
      <c r="AZ397" s="476"/>
      <c r="BA397" s="476"/>
      <c r="BB397" s="476"/>
      <c r="BC397" s="476"/>
      <c r="BD397" s="476"/>
      <c r="BE397" s="476"/>
      <c r="BF397" s="476"/>
      <c r="BG397" s="476"/>
      <c r="BH397" s="476"/>
      <c r="BI397" s="476"/>
      <c r="BJ397" s="476"/>
      <c r="BK397" s="476"/>
      <c r="BL397" s="480"/>
    </row>
    <row r="398" spans="1:64">
      <c r="A398" s="468">
        <v>44189</v>
      </c>
      <c r="B398" s="473">
        <v>359</v>
      </c>
      <c r="C398" s="473">
        <v>7</v>
      </c>
      <c r="D398" s="470" t="s">
        <v>640</v>
      </c>
      <c r="E398" s="469">
        <v>52</v>
      </c>
      <c r="F398" s="470" t="s">
        <v>6714</v>
      </c>
      <c r="G398" s="469">
        <v>534</v>
      </c>
      <c r="H398" s="470" t="s">
        <v>967</v>
      </c>
      <c r="I398" s="470" t="s">
        <v>6257</v>
      </c>
      <c r="J398" s="469">
        <v>25</v>
      </c>
      <c r="K398" s="470" t="s">
        <v>6265</v>
      </c>
      <c r="L398" s="470" t="s">
        <v>6281</v>
      </c>
      <c r="M398" s="470" t="s">
        <v>9</v>
      </c>
      <c r="N398" s="473">
        <v>0</v>
      </c>
      <c r="O398" s="471"/>
      <c r="P398" s="471"/>
      <c r="Q398" s="471"/>
      <c r="R398" s="470"/>
      <c r="S398" s="471">
        <v>0.23759259259259258</v>
      </c>
      <c r="T398" s="471">
        <v>0.30425925925925928</v>
      </c>
      <c r="U398" s="471"/>
      <c r="V398" s="471"/>
      <c r="W398" s="471">
        <v>0.49717592592592591</v>
      </c>
      <c r="X398" s="471">
        <v>0.69009259259259259</v>
      </c>
      <c r="Y398" s="471">
        <v>0.55555555555555558</v>
      </c>
      <c r="Z398" s="471">
        <v>0.83680555555555547</v>
      </c>
      <c r="AA398" s="471">
        <v>8.1250000000000003E-2</v>
      </c>
      <c r="AB398" s="470" t="s">
        <v>6464</v>
      </c>
      <c r="AC398" s="473">
        <v>130</v>
      </c>
      <c r="AD398" s="470" t="s">
        <v>113</v>
      </c>
      <c r="AE398" s="470"/>
      <c r="AF398" s="473">
        <v>79.3</v>
      </c>
      <c r="AG398" s="469">
        <v>48.9</v>
      </c>
      <c r="AH398" s="470" t="s">
        <v>6312</v>
      </c>
      <c r="AI398" s="470" t="s">
        <v>6340</v>
      </c>
      <c r="AJ398" s="470" t="s">
        <v>6493</v>
      </c>
      <c r="AK398" s="470" t="s">
        <v>6493</v>
      </c>
      <c r="AL398" s="470"/>
      <c r="AM398" s="470"/>
      <c r="AN398" s="470"/>
      <c r="AO398" s="470"/>
      <c r="AP398" s="470"/>
      <c r="AQ398" s="470"/>
      <c r="AR398" s="470"/>
      <c r="AS398" s="470"/>
      <c r="AT398" s="470"/>
      <c r="AU398" s="470"/>
      <c r="AV398" s="470"/>
      <c r="AW398" s="470"/>
      <c r="AX398" s="470"/>
      <c r="AY398" s="470"/>
      <c r="AZ398" s="470"/>
      <c r="BA398" s="470"/>
      <c r="BB398" s="470"/>
      <c r="BC398" s="470"/>
      <c r="BD398" s="470"/>
      <c r="BE398" s="470"/>
      <c r="BF398" s="470"/>
      <c r="BG398" s="470"/>
      <c r="BH398" s="470"/>
      <c r="BI398" s="470"/>
      <c r="BJ398" s="470"/>
      <c r="BK398" s="470"/>
      <c r="BL398" s="474"/>
    </row>
    <row r="399" spans="1:64">
      <c r="A399" s="475">
        <v>44190</v>
      </c>
      <c r="B399" s="478">
        <v>360</v>
      </c>
      <c r="C399" s="478">
        <v>6</v>
      </c>
      <c r="D399" s="476" t="s">
        <v>640</v>
      </c>
      <c r="E399" s="477">
        <v>52</v>
      </c>
      <c r="F399" s="476" t="s">
        <v>100</v>
      </c>
      <c r="G399" s="477">
        <v>534</v>
      </c>
      <c r="H399" s="476" t="s">
        <v>967</v>
      </c>
      <c r="I399" s="476" t="s">
        <v>6257</v>
      </c>
      <c r="J399" s="477">
        <v>26</v>
      </c>
      <c r="K399" s="476" t="s">
        <v>6271</v>
      </c>
      <c r="L399" s="476" t="s">
        <v>6282</v>
      </c>
      <c r="M399" s="476" t="s">
        <v>9</v>
      </c>
      <c r="N399" s="478">
        <v>0</v>
      </c>
      <c r="O399" s="479"/>
      <c r="P399" s="479"/>
      <c r="Q399" s="479"/>
      <c r="R399" s="476"/>
      <c r="S399" s="479">
        <v>0.23785879629629628</v>
      </c>
      <c r="T399" s="479">
        <v>0.30452546296296296</v>
      </c>
      <c r="U399" s="479"/>
      <c r="V399" s="479"/>
      <c r="W399" s="479">
        <v>0.49752314814814813</v>
      </c>
      <c r="X399" s="479">
        <v>0.6905324074074074</v>
      </c>
      <c r="Y399" s="479">
        <v>0.57291666666666663</v>
      </c>
      <c r="Z399" s="479">
        <v>0.86597222222222225</v>
      </c>
      <c r="AA399" s="479">
        <v>0.12152777777777778</v>
      </c>
      <c r="AB399" s="476" t="s">
        <v>6464</v>
      </c>
      <c r="AC399" s="478">
        <v>130</v>
      </c>
      <c r="AD399" s="476" t="s">
        <v>113</v>
      </c>
      <c r="AE399" s="476"/>
      <c r="AF399" s="478">
        <v>69.400000000000006</v>
      </c>
      <c r="AG399" s="477">
        <v>37.700000000000003</v>
      </c>
      <c r="AH399" s="476" t="s">
        <v>6313</v>
      </c>
      <c r="AI399" s="476" t="s">
        <v>974</v>
      </c>
      <c r="AJ399" s="476" t="s">
        <v>838</v>
      </c>
      <c r="AK399" s="476" t="s">
        <v>13</v>
      </c>
      <c r="AL399" s="476" t="s">
        <v>6716</v>
      </c>
      <c r="AM399" s="476" t="s">
        <v>6342</v>
      </c>
      <c r="AN399" s="476" t="s">
        <v>6978</v>
      </c>
      <c r="AO399" s="476" t="s">
        <v>6351</v>
      </c>
      <c r="AP399" s="476" t="s">
        <v>7005</v>
      </c>
      <c r="AQ399" s="476" t="s">
        <v>6344</v>
      </c>
      <c r="AR399" s="476" t="s">
        <v>569</v>
      </c>
      <c r="AS399" s="476"/>
      <c r="AT399" s="476"/>
      <c r="AU399" s="476"/>
      <c r="AV399" s="476"/>
      <c r="AW399" s="476"/>
      <c r="AX399" s="476"/>
      <c r="AY399" s="476"/>
      <c r="AZ399" s="476"/>
      <c r="BA399" s="476"/>
      <c r="BB399" s="476"/>
      <c r="BC399" s="476"/>
      <c r="BD399" s="476"/>
      <c r="BE399" s="476"/>
      <c r="BF399" s="476"/>
      <c r="BG399" s="476"/>
      <c r="BH399" s="476"/>
      <c r="BI399" s="476"/>
      <c r="BJ399" s="476" t="s">
        <v>7098</v>
      </c>
      <c r="BK399" s="476"/>
      <c r="BL399" s="480"/>
    </row>
    <row r="400" spans="1:64">
      <c r="A400" s="468">
        <v>44191</v>
      </c>
      <c r="B400" s="473">
        <v>361</v>
      </c>
      <c r="C400" s="473">
        <v>5</v>
      </c>
      <c r="D400" s="470" t="s">
        <v>640</v>
      </c>
      <c r="E400" s="469">
        <v>52</v>
      </c>
      <c r="F400" s="470" t="s">
        <v>103</v>
      </c>
      <c r="G400" s="469">
        <v>534</v>
      </c>
      <c r="H400" s="470" t="s">
        <v>967</v>
      </c>
      <c r="I400" s="470" t="s">
        <v>6257</v>
      </c>
      <c r="J400" s="469">
        <v>27</v>
      </c>
      <c r="K400" s="470" t="s">
        <v>6266</v>
      </c>
      <c r="L400" s="470" t="s">
        <v>6283</v>
      </c>
      <c r="M400" s="470" t="s">
        <v>9</v>
      </c>
      <c r="N400" s="473">
        <v>0</v>
      </c>
      <c r="O400" s="471"/>
      <c r="P400" s="471"/>
      <c r="Q400" s="471"/>
      <c r="R400" s="470"/>
      <c r="S400" s="471">
        <v>0.23809027777777778</v>
      </c>
      <c r="T400" s="471">
        <v>0.30475694444444446</v>
      </c>
      <c r="U400" s="471">
        <v>0.30416666666666664</v>
      </c>
      <c r="V400" s="471">
        <v>0.43333333333333335</v>
      </c>
      <c r="W400" s="471">
        <v>0.49787037037037035</v>
      </c>
      <c r="X400" s="471">
        <v>0.6909953703703704</v>
      </c>
      <c r="Y400" s="471">
        <v>0.59236111111111112</v>
      </c>
      <c r="Z400" s="471">
        <v>0.89722222222222225</v>
      </c>
      <c r="AA400" s="471">
        <v>0.16319444444444445</v>
      </c>
      <c r="AB400" s="470" t="s">
        <v>6464</v>
      </c>
      <c r="AC400" s="473">
        <v>130</v>
      </c>
      <c r="AD400" s="470" t="s">
        <v>113</v>
      </c>
      <c r="AE400" s="470"/>
      <c r="AF400" s="473">
        <v>60</v>
      </c>
      <c r="AG400" s="469">
        <v>26.8</v>
      </c>
      <c r="AH400" s="470" t="s">
        <v>6314</v>
      </c>
      <c r="AI400" s="470" t="s">
        <v>6316</v>
      </c>
      <c r="AJ400" s="470" t="s">
        <v>839</v>
      </c>
      <c r="AK400" s="470" t="s">
        <v>6493</v>
      </c>
      <c r="AL400" s="470" t="s">
        <v>6853</v>
      </c>
      <c r="AM400" s="470" t="s">
        <v>6343</v>
      </c>
      <c r="AN400" s="470"/>
      <c r="AO400" s="470"/>
      <c r="AP400" s="470"/>
      <c r="AQ400" s="470"/>
      <c r="AR400" s="470"/>
      <c r="AS400" s="470"/>
      <c r="AT400" s="470"/>
      <c r="AU400" s="470"/>
      <c r="AV400" s="470"/>
      <c r="AW400" s="470"/>
      <c r="AX400" s="470"/>
      <c r="AY400" s="470"/>
      <c r="AZ400" s="470"/>
      <c r="BA400" s="470"/>
      <c r="BB400" s="470"/>
      <c r="BC400" s="470"/>
      <c r="BD400" s="470"/>
      <c r="BE400" s="470"/>
      <c r="BF400" s="470"/>
      <c r="BG400" s="470"/>
      <c r="BH400" s="470"/>
      <c r="BI400" s="470"/>
      <c r="BJ400" s="470"/>
      <c r="BK400" s="470"/>
      <c r="BL400" s="474"/>
    </row>
    <row r="401" spans="1:64">
      <c r="A401" s="475">
        <v>44192</v>
      </c>
      <c r="B401" s="478">
        <v>362</v>
      </c>
      <c r="C401" s="478">
        <v>4</v>
      </c>
      <c r="D401" s="476" t="s">
        <v>640</v>
      </c>
      <c r="E401" s="477">
        <v>52</v>
      </c>
      <c r="F401" s="476" t="s">
        <v>106</v>
      </c>
      <c r="G401" s="477">
        <v>534</v>
      </c>
      <c r="H401" s="476" t="s">
        <v>967</v>
      </c>
      <c r="I401" s="476" t="s">
        <v>6257</v>
      </c>
      <c r="J401" s="477">
        <v>28</v>
      </c>
      <c r="K401" s="476" t="s">
        <v>6267</v>
      </c>
      <c r="L401" s="476" t="s">
        <v>6284</v>
      </c>
      <c r="M401" s="476" t="s">
        <v>9</v>
      </c>
      <c r="N401" s="478">
        <v>0</v>
      </c>
      <c r="O401" s="479"/>
      <c r="P401" s="479"/>
      <c r="Q401" s="479"/>
      <c r="R401" s="476"/>
      <c r="S401" s="479">
        <v>0.23829861111111109</v>
      </c>
      <c r="T401" s="479">
        <v>0.30496527777777777</v>
      </c>
      <c r="U401" s="479"/>
      <c r="V401" s="479"/>
      <c r="W401" s="479">
        <v>0.49821759259259263</v>
      </c>
      <c r="X401" s="479">
        <v>0.69146990740740744</v>
      </c>
      <c r="Y401" s="479">
        <v>0.61527777777777781</v>
      </c>
      <c r="Z401" s="479">
        <v>0.92986111111111114</v>
      </c>
      <c r="AA401" s="479">
        <v>0.20555555555555557</v>
      </c>
      <c r="AB401" s="476" t="s">
        <v>6464</v>
      </c>
      <c r="AC401" s="478">
        <v>130</v>
      </c>
      <c r="AD401" s="476" t="s">
        <v>113</v>
      </c>
      <c r="AE401" s="476"/>
      <c r="AF401" s="478">
        <v>51.5</v>
      </c>
      <c r="AG401" s="477">
        <v>16.899999999999999</v>
      </c>
      <c r="AH401" s="476" t="s">
        <v>973</v>
      </c>
      <c r="AI401" s="476" t="s">
        <v>6317</v>
      </c>
      <c r="AJ401" s="476" t="s">
        <v>6493</v>
      </c>
      <c r="AK401" s="476" t="s">
        <v>6493</v>
      </c>
      <c r="AL401" s="476"/>
      <c r="AM401" s="476"/>
      <c r="AN401" s="476"/>
      <c r="AO401" s="476"/>
      <c r="AP401" s="476"/>
      <c r="AQ401" s="476"/>
      <c r="AR401" s="476"/>
      <c r="AS401" s="476"/>
      <c r="AT401" s="476"/>
      <c r="AU401" s="476"/>
      <c r="AV401" s="476"/>
      <c r="AW401" s="476"/>
      <c r="AX401" s="476"/>
      <c r="AY401" s="476"/>
      <c r="AZ401" s="476"/>
      <c r="BA401" s="476"/>
      <c r="BB401" s="476"/>
      <c r="BC401" s="476"/>
      <c r="BD401" s="476"/>
      <c r="BE401" s="476"/>
      <c r="BF401" s="476"/>
      <c r="BG401" s="476"/>
      <c r="BH401" s="476"/>
      <c r="BI401" s="476"/>
      <c r="BJ401" s="476"/>
      <c r="BK401" s="476"/>
      <c r="BL401" s="480"/>
    </row>
    <row r="402" spans="1:64">
      <c r="A402" s="468">
        <v>44193</v>
      </c>
      <c r="B402" s="473">
        <v>363</v>
      </c>
      <c r="C402" s="473">
        <v>3</v>
      </c>
      <c r="D402" s="470" t="s">
        <v>640</v>
      </c>
      <c r="E402" s="469">
        <v>53</v>
      </c>
      <c r="F402" s="470" t="s">
        <v>88</v>
      </c>
      <c r="G402" s="469">
        <v>534</v>
      </c>
      <c r="H402" s="470" t="s">
        <v>967</v>
      </c>
      <c r="I402" s="470" t="s">
        <v>6257</v>
      </c>
      <c r="J402" s="469">
        <v>29</v>
      </c>
      <c r="K402" s="470" t="s">
        <v>6268</v>
      </c>
      <c r="L402" s="470" t="s">
        <v>6285</v>
      </c>
      <c r="M402" s="470" t="s">
        <v>9</v>
      </c>
      <c r="N402" s="473">
        <v>0</v>
      </c>
      <c r="O402" s="471"/>
      <c r="P402" s="471"/>
      <c r="Q402" s="471"/>
      <c r="R402" s="470"/>
      <c r="S402" s="471">
        <v>0.23848379629629632</v>
      </c>
      <c r="T402" s="471">
        <v>0.30515046296296294</v>
      </c>
      <c r="U402" s="471"/>
      <c r="V402" s="471"/>
      <c r="W402" s="471">
        <v>0.49856481481481479</v>
      </c>
      <c r="X402" s="471">
        <v>0.6919791666666667</v>
      </c>
      <c r="Y402" s="471">
        <v>0.64236111111111105</v>
      </c>
      <c r="Z402" s="471">
        <v>0.96458333333333324</v>
      </c>
      <c r="AA402" s="471">
        <v>0.24791666666666667</v>
      </c>
      <c r="AB402" s="470" t="s">
        <v>6464</v>
      </c>
      <c r="AC402" s="473">
        <v>130</v>
      </c>
      <c r="AD402" s="470" t="s">
        <v>113</v>
      </c>
      <c r="AE402" s="470"/>
      <c r="AF402" s="473">
        <v>44.5</v>
      </c>
      <c r="AG402" s="469">
        <v>8.1999999999999993</v>
      </c>
      <c r="AH402" s="470" t="s">
        <v>6290</v>
      </c>
      <c r="AI402" s="470" t="s">
        <v>6318</v>
      </c>
      <c r="AJ402" s="470" t="s">
        <v>6493</v>
      </c>
      <c r="AK402" s="470" t="s">
        <v>6493</v>
      </c>
      <c r="AL402" s="470"/>
      <c r="AM402" s="470"/>
      <c r="AN402" s="470"/>
      <c r="AO402" s="470"/>
      <c r="AP402" s="470"/>
      <c r="AQ402" s="470"/>
      <c r="AR402" s="470"/>
      <c r="AS402" s="470"/>
      <c r="AT402" s="470"/>
      <c r="AU402" s="470"/>
      <c r="AV402" s="470"/>
      <c r="AW402" s="470"/>
      <c r="AX402" s="470"/>
      <c r="AY402" s="470"/>
      <c r="AZ402" s="470"/>
      <c r="BA402" s="470"/>
      <c r="BB402" s="470"/>
      <c r="BC402" s="470"/>
      <c r="BD402" s="470"/>
      <c r="BE402" s="470"/>
      <c r="BF402" s="470"/>
      <c r="BG402" s="470"/>
      <c r="BH402" s="470"/>
      <c r="BI402" s="470"/>
      <c r="BJ402" s="470"/>
      <c r="BK402" s="470"/>
      <c r="BL402" s="474"/>
    </row>
    <row r="403" spans="1:64">
      <c r="A403" s="475">
        <v>44194</v>
      </c>
      <c r="B403" s="478">
        <v>364</v>
      </c>
      <c r="C403" s="478">
        <v>2</v>
      </c>
      <c r="D403" s="476" t="s">
        <v>640</v>
      </c>
      <c r="E403" s="477">
        <v>53</v>
      </c>
      <c r="F403" s="476" t="s">
        <v>91</v>
      </c>
      <c r="G403" s="477">
        <v>534</v>
      </c>
      <c r="H403" s="476" t="s">
        <v>967</v>
      </c>
      <c r="I403" s="476" t="s">
        <v>6257</v>
      </c>
      <c r="J403" s="477">
        <v>30</v>
      </c>
      <c r="K403" s="476" t="s">
        <v>6272</v>
      </c>
      <c r="L403" s="476" t="s">
        <v>6288</v>
      </c>
      <c r="M403" s="476" t="s">
        <v>9</v>
      </c>
      <c r="N403" s="478">
        <v>0</v>
      </c>
      <c r="O403" s="479"/>
      <c r="P403" s="479"/>
      <c r="Q403" s="479"/>
      <c r="R403" s="476"/>
      <c r="S403" s="479">
        <v>0.23864583333333333</v>
      </c>
      <c r="T403" s="479">
        <v>0.30531249999999999</v>
      </c>
      <c r="U403" s="479"/>
      <c r="V403" s="479"/>
      <c r="W403" s="479">
        <v>0.49890046296296298</v>
      </c>
      <c r="X403" s="479">
        <v>0.6925</v>
      </c>
      <c r="Y403" s="479">
        <v>0.67499999999999993</v>
      </c>
      <c r="Z403" s="479" t="s">
        <v>1107</v>
      </c>
      <c r="AA403" s="479">
        <v>0.28958333333333336</v>
      </c>
      <c r="AB403" s="476" t="s">
        <v>6464</v>
      </c>
      <c r="AC403" s="478">
        <v>130</v>
      </c>
      <c r="AD403" s="476" t="s">
        <v>113</v>
      </c>
      <c r="AE403" s="476"/>
      <c r="AF403" s="478">
        <v>39.200000000000003</v>
      </c>
      <c r="AG403" s="477">
        <v>1.1000000000000001</v>
      </c>
      <c r="AH403" s="476" t="s">
        <v>6315</v>
      </c>
      <c r="AI403" s="476" t="s">
        <v>6319</v>
      </c>
      <c r="AJ403" s="476" t="s">
        <v>839</v>
      </c>
      <c r="AK403" s="476" t="s">
        <v>6493</v>
      </c>
      <c r="AL403" s="476" t="s">
        <v>6718</v>
      </c>
      <c r="AM403" s="476" t="s">
        <v>6344</v>
      </c>
      <c r="AN403" s="476" t="s">
        <v>6899</v>
      </c>
      <c r="AO403" s="476"/>
      <c r="AP403" s="476"/>
      <c r="AQ403" s="476"/>
      <c r="AR403" s="476"/>
      <c r="AS403" s="476"/>
      <c r="AT403" s="476"/>
      <c r="AU403" s="476"/>
      <c r="AV403" s="476"/>
      <c r="AW403" s="476"/>
      <c r="AX403" s="476"/>
      <c r="AY403" s="476"/>
      <c r="AZ403" s="476"/>
      <c r="BA403" s="476"/>
      <c r="BB403" s="476"/>
      <c r="BC403" s="476"/>
      <c r="BD403" s="476"/>
      <c r="BE403" s="476"/>
      <c r="BF403" s="476"/>
      <c r="BG403" s="476"/>
      <c r="BH403" s="476"/>
      <c r="BI403" s="476"/>
      <c r="BJ403" s="476" t="s">
        <v>6355</v>
      </c>
      <c r="BK403" s="476"/>
      <c r="BL403" s="480"/>
    </row>
    <row r="404" spans="1:64">
      <c r="A404" s="468">
        <v>44195</v>
      </c>
      <c r="B404" s="473">
        <v>365</v>
      </c>
      <c r="C404" s="473">
        <v>1</v>
      </c>
      <c r="D404" s="470" t="s">
        <v>640</v>
      </c>
      <c r="E404" s="469">
        <v>53</v>
      </c>
      <c r="F404" s="470" t="s">
        <v>94</v>
      </c>
      <c r="G404" s="469">
        <v>534</v>
      </c>
      <c r="H404" s="470" t="s">
        <v>6245</v>
      </c>
      <c r="I404" s="470" t="s">
        <v>836</v>
      </c>
      <c r="J404" s="469">
        <v>1</v>
      </c>
      <c r="K404" s="470" t="s">
        <v>6270</v>
      </c>
      <c r="L404" s="470" t="s">
        <v>6287</v>
      </c>
      <c r="M404" s="470" t="s">
        <v>9</v>
      </c>
      <c r="N404" s="473">
        <v>0</v>
      </c>
      <c r="O404" s="471"/>
      <c r="P404" s="471"/>
      <c r="Q404" s="471"/>
      <c r="R404" s="470"/>
      <c r="S404" s="471">
        <v>0.23878472222222222</v>
      </c>
      <c r="T404" s="471">
        <v>0.3054513888888889</v>
      </c>
      <c r="U404" s="471"/>
      <c r="V404" s="471"/>
      <c r="W404" s="471">
        <v>0.4992476851851852</v>
      </c>
      <c r="X404" s="471">
        <v>0.69304398148148139</v>
      </c>
      <c r="Y404" s="471">
        <v>0.71250000000000002</v>
      </c>
      <c r="Z404" s="471">
        <v>1.3888888888888889E-3</v>
      </c>
      <c r="AA404" s="471">
        <v>0.32847222222222222</v>
      </c>
      <c r="AB404" s="470" t="s">
        <v>6462</v>
      </c>
      <c r="AC404" s="473">
        <v>129</v>
      </c>
      <c r="AD404" s="470" t="s">
        <v>116</v>
      </c>
      <c r="AE404" s="470" t="s">
        <v>6554</v>
      </c>
      <c r="AF404" s="473">
        <v>35.700000000000003</v>
      </c>
      <c r="AG404" s="469">
        <v>95.6</v>
      </c>
      <c r="AH404" s="470" t="s">
        <v>6315</v>
      </c>
      <c r="AI404" s="470" t="s">
        <v>6341</v>
      </c>
      <c r="AJ404" s="470" t="s">
        <v>6493</v>
      </c>
      <c r="AK404" s="470" t="s">
        <v>6493</v>
      </c>
      <c r="AL404" s="470" t="s">
        <v>6719</v>
      </c>
      <c r="AM404" s="470"/>
      <c r="AN404" s="470"/>
      <c r="AO404" s="470"/>
      <c r="AP404" s="470"/>
      <c r="AQ404" s="470"/>
      <c r="AR404" s="470"/>
      <c r="AS404" s="470"/>
      <c r="AT404" s="470"/>
      <c r="AU404" s="470"/>
      <c r="AV404" s="470"/>
      <c r="AW404" s="470"/>
      <c r="AX404" s="470"/>
      <c r="AY404" s="470"/>
      <c r="AZ404" s="470"/>
      <c r="BA404" s="470"/>
      <c r="BB404" s="470"/>
      <c r="BC404" s="470"/>
      <c r="BD404" s="470"/>
      <c r="BE404" s="470"/>
      <c r="BF404" s="470"/>
      <c r="BG404" s="470"/>
      <c r="BH404" s="470"/>
      <c r="BI404" s="470"/>
      <c r="BJ404" s="470"/>
      <c r="BK404" s="470"/>
      <c r="BL404" s="474"/>
    </row>
    <row r="405" spans="1:64">
      <c r="A405" s="475">
        <v>44196</v>
      </c>
      <c r="B405" s="478">
        <v>366</v>
      </c>
      <c r="C405" s="478">
        <v>0</v>
      </c>
      <c r="D405" s="476" t="s">
        <v>640</v>
      </c>
      <c r="E405" s="477">
        <v>53</v>
      </c>
      <c r="F405" s="476" t="s">
        <v>6714</v>
      </c>
      <c r="G405" s="477">
        <v>534</v>
      </c>
      <c r="H405" s="476" t="s">
        <v>6245</v>
      </c>
      <c r="I405" s="476" t="s">
        <v>836</v>
      </c>
      <c r="J405" s="477">
        <v>2</v>
      </c>
      <c r="K405" s="476" t="s">
        <v>1034</v>
      </c>
      <c r="L405" s="476" t="s">
        <v>6273</v>
      </c>
      <c r="M405" s="476" t="s">
        <v>9</v>
      </c>
      <c r="N405" s="478">
        <v>0</v>
      </c>
      <c r="O405" s="479"/>
      <c r="P405" s="479"/>
      <c r="Q405" s="479"/>
      <c r="R405" s="476"/>
      <c r="S405" s="479">
        <v>0.2388888888888889</v>
      </c>
      <c r="T405" s="479">
        <v>0.30555555555555552</v>
      </c>
      <c r="U405" s="479"/>
      <c r="V405" s="479"/>
      <c r="W405" s="479">
        <v>0.49958333333333332</v>
      </c>
      <c r="X405" s="479">
        <v>0.69359953703703703</v>
      </c>
      <c r="Y405" s="479">
        <v>0.75555555555555554</v>
      </c>
      <c r="Z405" s="479">
        <v>3.888888888888889E-2</v>
      </c>
      <c r="AA405" s="479">
        <v>0.36249999999999999</v>
      </c>
      <c r="AB405" s="476" t="s">
        <v>6462</v>
      </c>
      <c r="AC405" s="478">
        <v>129</v>
      </c>
      <c r="AD405" s="476" t="s">
        <v>116</v>
      </c>
      <c r="AE405" s="476"/>
      <c r="AF405" s="478">
        <v>34.200000000000003</v>
      </c>
      <c r="AG405" s="477">
        <v>91.9</v>
      </c>
      <c r="AH405" s="476" t="s">
        <v>6291</v>
      </c>
      <c r="AI405" s="476" t="s">
        <v>6320</v>
      </c>
      <c r="AJ405" s="476" t="s">
        <v>6493</v>
      </c>
      <c r="AK405" s="476" t="s">
        <v>6493</v>
      </c>
      <c r="AL405" s="476"/>
      <c r="AM405" s="476"/>
      <c r="AN405" s="476"/>
      <c r="AO405" s="476"/>
      <c r="AP405" s="476"/>
      <c r="AQ405" s="476"/>
      <c r="AR405" s="476"/>
      <c r="AS405" s="476"/>
      <c r="AT405" s="476"/>
      <c r="AU405" s="476"/>
      <c r="AV405" s="476"/>
      <c r="AW405" s="476"/>
      <c r="AX405" s="476"/>
      <c r="AY405" s="476"/>
      <c r="AZ405" s="476"/>
      <c r="BA405" s="476"/>
      <c r="BB405" s="476"/>
      <c r="BC405" s="476"/>
      <c r="BD405" s="476"/>
      <c r="BE405" s="476"/>
      <c r="BF405" s="476"/>
      <c r="BG405" s="476"/>
      <c r="BH405" s="476"/>
      <c r="BI405" s="476"/>
      <c r="BJ405" s="476"/>
      <c r="BK405" s="476"/>
      <c r="BL405" s="480"/>
    </row>
    <row r="406" spans="1:64">
      <c r="A406" s="468">
        <v>44197</v>
      </c>
      <c r="B406" s="473">
        <v>1</v>
      </c>
      <c r="C406" s="473">
        <v>364</v>
      </c>
      <c r="D406" s="470" t="s">
        <v>609</v>
      </c>
      <c r="E406" s="469">
        <v>53</v>
      </c>
      <c r="F406" s="470" t="s">
        <v>100</v>
      </c>
      <c r="G406" s="469">
        <v>534</v>
      </c>
      <c r="H406" s="470" t="s">
        <v>6245</v>
      </c>
      <c r="I406" s="470" t="s">
        <v>836</v>
      </c>
      <c r="J406" s="469">
        <v>3</v>
      </c>
      <c r="K406" s="470" t="s">
        <v>6258</v>
      </c>
      <c r="L406" s="470" t="s">
        <v>6274</v>
      </c>
      <c r="M406" s="470" t="s">
        <v>9</v>
      </c>
      <c r="N406" s="473">
        <v>0</v>
      </c>
      <c r="O406" s="471"/>
      <c r="P406" s="471"/>
      <c r="Q406" s="471"/>
      <c r="R406" s="470"/>
      <c r="S406" s="471">
        <v>0.23896990740740742</v>
      </c>
      <c r="T406" s="471">
        <v>0.30563657407407407</v>
      </c>
      <c r="U406" s="471"/>
      <c r="V406" s="471"/>
      <c r="W406" s="471">
        <v>0.49990740740740741</v>
      </c>
      <c r="X406" s="471">
        <v>0.69417824074074075</v>
      </c>
      <c r="Y406" s="471">
        <v>0.80138888888888893</v>
      </c>
      <c r="Z406" s="471">
        <v>7.6388888888888895E-2</v>
      </c>
      <c r="AA406" s="471">
        <v>0.3923611111111111</v>
      </c>
      <c r="AB406" s="470" t="s">
        <v>6462</v>
      </c>
      <c r="AC406" s="473">
        <v>129</v>
      </c>
      <c r="AD406" s="470" t="s">
        <v>116</v>
      </c>
      <c r="AE406" s="470"/>
      <c r="AF406" s="473">
        <v>34.700000000000003</v>
      </c>
      <c r="AG406" s="469">
        <v>89.9</v>
      </c>
      <c r="AH406" s="470" t="s">
        <v>6292</v>
      </c>
      <c r="AI406" s="470" t="s">
        <v>6321</v>
      </c>
      <c r="AJ406" s="470" t="s">
        <v>6493</v>
      </c>
      <c r="AK406" s="470" t="s">
        <v>6493</v>
      </c>
      <c r="AL406" s="470" t="s">
        <v>732</v>
      </c>
      <c r="AM406" s="470"/>
      <c r="AN406" s="470"/>
      <c r="AO406" s="470"/>
      <c r="AP406" s="470"/>
      <c r="AQ406" s="470"/>
      <c r="AR406" s="470"/>
      <c r="AS406" s="470"/>
      <c r="AT406" s="470"/>
      <c r="AU406" s="470"/>
      <c r="AV406" s="470"/>
      <c r="AW406" s="470"/>
      <c r="AX406" s="470"/>
      <c r="AY406" s="470"/>
      <c r="AZ406" s="470"/>
      <c r="BA406" s="470"/>
      <c r="BB406" s="470"/>
      <c r="BC406" s="470"/>
      <c r="BD406" s="470"/>
      <c r="BE406" s="470"/>
      <c r="BF406" s="470"/>
      <c r="BG406" s="470"/>
      <c r="BH406" s="470"/>
      <c r="BI406" s="470"/>
      <c r="BJ406" s="470"/>
      <c r="BK406" s="470"/>
      <c r="BL406" s="474"/>
    </row>
    <row r="407" spans="1:64">
      <c r="A407" s="475">
        <v>44198</v>
      </c>
      <c r="B407" s="478">
        <v>2</v>
      </c>
      <c r="C407" s="478">
        <v>363</v>
      </c>
      <c r="D407" s="476" t="s">
        <v>609</v>
      </c>
      <c r="E407" s="477">
        <v>53</v>
      </c>
      <c r="F407" s="476" t="s">
        <v>103</v>
      </c>
      <c r="G407" s="477">
        <v>534</v>
      </c>
      <c r="H407" s="476" t="s">
        <v>6245</v>
      </c>
      <c r="I407" s="476" t="s">
        <v>836</v>
      </c>
      <c r="J407" s="477">
        <v>4</v>
      </c>
      <c r="K407" s="476" t="s">
        <v>6259</v>
      </c>
      <c r="L407" s="476" t="s">
        <v>6275</v>
      </c>
      <c r="M407" s="476" t="s">
        <v>9</v>
      </c>
      <c r="N407" s="478">
        <v>0</v>
      </c>
      <c r="O407" s="479"/>
      <c r="P407" s="479"/>
      <c r="Q407" s="479"/>
      <c r="R407" s="476"/>
      <c r="S407" s="479">
        <v>0.23902777777777776</v>
      </c>
      <c r="T407" s="479">
        <v>0.30569444444444444</v>
      </c>
      <c r="U407" s="479"/>
      <c r="V407" s="479"/>
      <c r="W407" s="479">
        <v>0.50024305555555559</v>
      </c>
      <c r="X407" s="479">
        <v>0.69478009259259255</v>
      </c>
      <c r="Y407" s="479">
        <v>0.85</v>
      </c>
      <c r="Z407" s="479">
        <v>0.1125</v>
      </c>
      <c r="AA407" s="479">
        <v>0.41875000000000001</v>
      </c>
      <c r="AB407" s="476" t="s">
        <v>6462</v>
      </c>
      <c r="AC407" s="478">
        <v>129</v>
      </c>
      <c r="AD407" s="476" t="s">
        <v>116</v>
      </c>
      <c r="AE407" s="476"/>
      <c r="AF407" s="478">
        <v>37</v>
      </c>
      <c r="AG407" s="477">
        <v>89.7</v>
      </c>
      <c r="AH407" s="476" t="s">
        <v>6293</v>
      </c>
      <c r="AI407" s="476" t="s">
        <v>6322</v>
      </c>
      <c r="AJ407" s="476" t="s">
        <v>874</v>
      </c>
      <c r="AK407" s="476" t="s">
        <v>6493</v>
      </c>
      <c r="AL407" s="476" t="s">
        <v>6720</v>
      </c>
      <c r="AM407" s="476" t="s">
        <v>6345</v>
      </c>
      <c r="AN407" s="476" t="s">
        <v>6900</v>
      </c>
      <c r="AO407" s="476" t="s">
        <v>6351</v>
      </c>
      <c r="AP407" s="476"/>
      <c r="AQ407" s="476"/>
      <c r="AR407" s="476"/>
      <c r="AS407" s="476"/>
      <c r="AT407" s="476"/>
      <c r="AU407" s="476"/>
      <c r="AV407" s="476"/>
      <c r="AW407" s="476"/>
      <c r="AX407" s="476"/>
      <c r="AY407" s="476"/>
      <c r="AZ407" s="476"/>
      <c r="BA407" s="476"/>
      <c r="BB407" s="476"/>
      <c r="BC407" s="476"/>
      <c r="BD407" s="476"/>
      <c r="BE407" s="476"/>
      <c r="BF407" s="476"/>
      <c r="BG407" s="476"/>
      <c r="BH407" s="476"/>
      <c r="BI407" s="476"/>
      <c r="BJ407" s="476" t="s">
        <v>6419</v>
      </c>
      <c r="BK407" s="476"/>
      <c r="BL407" s="480"/>
    </row>
    <row r="408" spans="1:64">
      <c r="A408" s="468">
        <v>44199</v>
      </c>
      <c r="B408" s="473">
        <v>3</v>
      </c>
      <c r="C408" s="473">
        <v>362</v>
      </c>
      <c r="D408" s="470" t="s">
        <v>609</v>
      </c>
      <c r="E408" s="469">
        <v>53</v>
      </c>
      <c r="F408" s="470" t="s">
        <v>106</v>
      </c>
      <c r="G408" s="469">
        <v>534</v>
      </c>
      <c r="H408" s="470" t="s">
        <v>6245</v>
      </c>
      <c r="I408" s="470" t="s">
        <v>836</v>
      </c>
      <c r="J408" s="469">
        <v>5</v>
      </c>
      <c r="K408" s="470" t="s">
        <v>6260</v>
      </c>
      <c r="L408" s="470" t="s">
        <v>6276</v>
      </c>
      <c r="M408" s="470" t="s">
        <v>9</v>
      </c>
      <c r="N408" s="473">
        <v>0</v>
      </c>
      <c r="O408" s="471"/>
      <c r="P408" s="471"/>
      <c r="Q408" s="471"/>
      <c r="R408" s="470"/>
      <c r="S408" s="471">
        <v>0.23905092592592592</v>
      </c>
      <c r="T408" s="471">
        <v>0.30571759259259262</v>
      </c>
      <c r="U408" s="471"/>
      <c r="V408" s="471"/>
      <c r="W408" s="471">
        <v>0.50055555555555553</v>
      </c>
      <c r="X408" s="471">
        <v>0.69540509259259264</v>
      </c>
      <c r="Y408" s="471">
        <v>0.8979166666666667</v>
      </c>
      <c r="Z408" s="471">
        <v>0.14791666666666667</v>
      </c>
      <c r="AA408" s="471">
        <v>0.44097222222222227</v>
      </c>
      <c r="AB408" s="470" t="s">
        <v>6462</v>
      </c>
      <c r="AC408" s="473">
        <v>129</v>
      </c>
      <c r="AD408" s="470" t="s">
        <v>116</v>
      </c>
      <c r="AE408" s="470"/>
      <c r="AF408" s="473">
        <v>41</v>
      </c>
      <c r="AG408" s="469">
        <v>91</v>
      </c>
      <c r="AH408" s="470" t="s">
        <v>6294</v>
      </c>
      <c r="AI408" s="470" t="s">
        <v>6323</v>
      </c>
      <c r="AJ408" s="470" t="s">
        <v>6493</v>
      </c>
      <c r="AK408" s="470" t="s">
        <v>6493</v>
      </c>
      <c r="AL408" s="470"/>
      <c r="AM408" s="470"/>
      <c r="AN408" s="470"/>
      <c r="AO408" s="470"/>
      <c r="AP408" s="470"/>
      <c r="AQ408" s="470"/>
      <c r="AR408" s="470"/>
      <c r="AS408" s="470"/>
      <c r="AT408" s="470"/>
      <c r="AU408" s="470"/>
      <c r="AV408" s="470"/>
      <c r="AW408" s="470"/>
      <c r="AX408" s="470"/>
      <c r="AY408" s="470"/>
      <c r="AZ408" s="470"/>
      <c r="BA408" s="470"/>
      <c r="BB408" s="470"/>
      <c r="BC408" s="470"/>
      <c r="BD408" s="470"/>
      <c r="BE408" s="470"/>
      <c r="BF408" s="470"/>
      <c r="BG408" s="470"/>
      <c r="BH408" s="470"/>
      <c r="BI408" s="470"/>
      <c r="BJ408" s="470"/>
      <c r="BK408" s="470"/>
      <c r="BL408" s="474"/>
    </row>
    <row r="409" spans="1:64">
      <c r="A409" s="475">
        <v>44200</v>
      </c>
      <c r="B409" s="478">
        <v>4</v>
      </c>
      <c r="C409" s="478">
        <v>361</v>
      </c>
      <c r="D409" s="476" t="s">
        <v>609</v>
      </c>
      <c r="E409" s="477">
        <v>1</v>
      </c>
      <c r="F409" s="476" t="s">
        <v>88</v>
      </c>
      <c r="G409" s="477">
        <v>534</v>
      </c>
      <c r="H409" s="476" t="s">
        <v>6245</v>
      </c>
      <c r="I409" s="476" t="s">
        <v>836</v>
      </c>
      <c r="J409" s="477">
        <v>6</v>
      </c>
      <c r="K409" s="476" t="s">
        <v>6261</v>
      </c>
      <c r="L409" s="476" t="s">
        <v>6277</v>
      </c>
      <c r="M409" s="476" t="s">
        <v>9</v>
      </c>
      <c r="N409" s="478">
        <v>0</v>
      </c>
      <c r="O409" s="479"/>
      <c r="P409" s="479"/>
      <c r="Q409" s="479"/>
      <c r="R409" s="476"/>
      <c r="S409" s="479">
        <v>0.23906249999999998</v>
      </c>
      <c r="T409" s="479">
        <v>0.30572916666666666</v>
      </c>
      <c r="U409" s="479"/>
      <c r="V409" s="479"/>
      <c r="W409" s="479">
        <v>0.50087962962962962</v>
      </c>
      <c r="X409" s="479">
        <v>0.69603009259259263</v>
      </c>
      <c r="Y409" s="479">
        <v>0.9458333333333333</v>
      </c>
      <c r="Z409" s="479">
        <v>0.18194444444444444</v>
      </c>
      <c r="AA409" s="479">
        <v>0.46111111111111108</v>
      </c>
      <c r="AB409" s="476" t="s">
        <v>6462</v>
      </c>
      <c r="AC409" s="478">
        <v>129</v>
      </c>
      <c r="AD409" s="476" t="s">
        <v>116</v>
      </c>
      <c r="AE409" s="476"/>
      <c r="AF409" s="478">
        <v>46.7</v>
      </c>
      <c r="AG409" s="477">
        <v>93.7</v>
      </c>
      <c r="AH409" s="476" t="s">
        <v>6295</v>
      </c>
      <c r="AI409" s="476" t="s">
        <v>6324</v>
      </c>
      <c r="AJ409" s="476" t="s">
        <v>6493</v>
      </c>
      <c r="AK409" s="476" t="s">
        <v>6493</v>
      </c>
      <c r="AL409" s="476"/>
      <c r="AM409" s="476"/>
      <c r="AN409" s="476"/>
      <c r="AO409" s="476"/>
      <c r="AP409" s="476"/>
      <c r="AQ409" s="476"/>
      <c r="AR409" s="476"/>
      <c r="AS409" s="476"/>
      <c r="AT409" s="476"/>
      <c r="AU409" s="476"/>
      <c r="AV409" s="476"/>
      <c r="AW409" s="476"/>
      <c r="AX409" s="476"/>
      <c r="AY409" s="476"/>
      <c r="AZ409" s="476"/>
      <c r="BA409" s="476"/>
      <c r="BB409" s="476"/>
      <c r="BC409" s="476"/>
      <c r="BD409" s="476"/>
      <c r="BE409" s="476"/>
      <c r="BF409" s="476"/>
      <c r="BG409" s="476"/>
      <c r="BH409" s="476"/>
      <c r="BI409" s="476"/>
      <c r="BJ409" s="476"/>
      <c r="BK409" s="476"/>
      <c r="BL409" s="480"/>
    </row>
    <row r="410" spans="1:64">
      <c r="A410" s="468">
        <v>44201</v>
      </c>
      <c r="B410" s="473">
        <v>5</v>
      </c>
      <c r="C410" s="473">
        <v>360</v>
      </c>
      <c r="D410" s="470" t="s">
        <v>609</v>
      </c>
      <c r="E410" s="469">
        <v>1</v>
      </c>
      <c r="F410" s="470" t="s">
        <v>91</v>
      </c>
      <c r="G410" s="469">
        <v>534</v>
      </c>
      <c r="H410" s="470" t="s">
        <v>6245</v>
      </c>
      <c r="I410" s="470" t="s">
        <v>836</v>
      </c>
      <c r="J410" s="469">
        <v>7</v>
      </c>
      <c r="K410" s="470" t="s">
        <v>6262</v>
      </c>
      <c r="L410" s="470" t="s">
        <v>6278</v>
      </c>
      <c r="M410" s="470" t="s">
        <v>9</v>
      </c>
      <c r="N410" s="473">
        <v>0</v>
      </c>
      <c r="O410" s="471"/>
      <c r="P410" s="471"/>
      <c r="Q410" s="471"/>
      <c r="R410" s="470"/>
      <c r="S410" s="471">
        <v>0.23903935185185185</v>
      </c>
      <c r="T410" s="471">
        <v>0.30570601851851853</v>
      </c>
      <c r="U410" s="471"/>
      <c r="V410" s="471"/>
      <c r="W410" s="471">
        <v>0.50119212962962967</v>
      </c>
      <c r="X410" s="471">
        <v>0.6966782407407407</v>
      </c>
      <c r="Y410" s="471">
        <v>0.99444444444444446</v>
      </c>
      <c r="Z410" s="471">
        <v>0.21458333333333335</v>
      </c>
      <c r="AA410" s="471">
        <v>0.47986111111111113</v>
      </c>
      <c r="AB410" s="470" t="s">
        <v>6462</v>
      </c>
      <c r="AC410" s="473">
        <v>129</v>
      </c>
      <c r="AD410" s="470" t="s">
        <v>116</v>
      </c>
      <c r="AE410" s="470"/>
      <c r="AF410" s="473">
        <v>53.8</v>
      </c>
      <c r="AG410" s="469">
        <v>97.7</v>
      </c>
      <c r="AH410" s="470" t="s">
        <v>6296</v>
      </c>
      <c r="AI410" s="470" t="s">
        <v>6325</v>
      </c>
      <c r="AJ410" s="470" t="s">
        <v>6493</v>
      </c>
      <c r="AK410" s="470" t="s">
        <v>6493</v>
      </c>
      <c r="AL410" s="470"/>
      <c r="AM410" s="470"/>
      <c r="AN410" s="470"/>
      <c r="AO410" s="470"/>
      <c r="AP410" s="470"/>
      <c r="AQ410" s="470"/>
      <c r="AR410" s="470"/>
      <c r="AS410" s="470"/>
      <c r="AT410" s="470"/>
      <c r="AU410" s="470"/>
      <c r="AV410" s="470"/>
      <c r="AW410" s="470"/>
      <c r="AX410" s="470"/>
      <c r="AY410" s="470"/>
      <c r="AZ410" s="470"/>
      <c r="BA410" s="470"/>
      <c r="BB410" s="470"/>
      <c r="BC410" s="470"/>
      <c r="BD410" s="470"/>
      <c r="BE410" s="470"/>
      <c r="BF410" s="470"/>
      <c r="BG410" s="470"/>
      <c r="BH410" s="470"/>
      <c r="BI410" s="470"/>
      <c r="BJ410" s="470"/>
      <c r="BK410" s="470"/>
      <c r="BL410" s="474"/>
    </row>
    <row r="411" spans="1:64">
      <c r="A411" s="475">
        <v>44202</v>
      </c>
      <c r="B411" s="478">
        <v>6</v>
      </c>
      <c r="C411" s="478">
        <v>359</v>
      </c>
      <c r="D411" s="476" t="s">
        <v>609</v>
      </c>
      <c r="E411" s="477">
        <v>1</v>
      </c>
      <c r="F411" s="476" t="s">
        <v>94</v>
      </c>
      <c r="G411" s="477">
        <v>534</v>
      </c>
      <c r="H411" s="476" t="s">
        <v>6245</v>
      </c>
      <c r="I411" s="476" t="s">
        <v>836</v>
      </c>
      <c r="J411" s="477">
        <v>8</v>
      </c>
      <c r="K411" s="476" t="s">
        <v>6263</v>
      </c>
      <c r="L411" s="476" t="s">
        <v>6279</v>
      </c>
      <c r="M411" s="476" t="s">
        <v>9</v>
      </c>
      <c r="N411" s="478">
        <v>0</v>
      </c>
      <c r="O411" s="479"/>
      <c r="P411" s="479"/>
      <c r="Q411" s="479"/>
      <c r="R411" s="476"/>
      <c r="S411" s="479">
        <v>0.23898148148148146</v>
      </c>
      <c r="T411" s="479">
        <v>0.30564814814814817</v>
      </c>
      <c r="U411" s="479"/>
      <c r="V411" s="479"/>
      <c r="W411" s="479">
        <v>0.50150462962962961</v>
      </c>
      <c r="X411" s="479">
        <v>0.69734953703703706</v>
      </c>
      <c r="Y411" s="479" t="s">
        <v>1107</v>
      </c>
      <c r="Z411" s="479">
        <v>0.24791666666666667</v>
      </c>
      <c r="AA411" s="479">
        <v>0.49861111111111112</v>
      </c>
      <c r="AB411" s="476" t="s">
        <v>6289</v>
      </c>
      <c r="AC411" s="478">
        <v>131</v>
      </c>
      <c r="AD411" s="476" t="s">
        <v>119</v>
      </c>
      <c r="AE411" s="476" t="s">
        <v>6555</v>
      </c>
      <c r="AF411" s="478">
        <v>62.2</v>
      </c>
      <c r="AG411" s="477">
        <v>2.9</v>
      </c>
      <c r="AH411" s="476" t="s">
        <v>6298</v>
      </c>
      <c r="AI411" s="476" t="s">
        <v>6326</v>
      </c>
      <c r="AJ411" s="476" t="s">
        <v>6493</v>
      </c>
      <c r="AK411" s="476" t="s">
        <v>6493</v>
      </c>
      <c r="AL411" s="476"/>
      <c r="AM411" s="476"/>
      <c r="AN411" s="476"/>
      <c r="AO411" s="476"/>
      <c r="AP411" s="476"/>
      <c r="AQ411" s="476"/>
      <c r="AR411" s="476"/>
      <c r="AS411" s="476"/>
      <c r="AT411" s="476"/>
      <c r="AU411" s="476"/>
      <c r="AV411" s="476"/>
      <c r="AW411" s="476"/>
      <c r="AX411" s="476"/>
      <c r="AY411" s="476"/>
      <c r="AZ411" s="476"/>
      <c r="BA411" s="476"/>
      <c r="BB411" s="476"/>
      <c r="BC411" s="476"/>
      <c r="BD411" s="476"/>
      <c r="BE411" s="476"/>
      <c r="BF411" s="476"/>
      <c r="BG411" s="476"/>
      <c r="BH411" s="476"/>
      <c r="BI411" s="476"/>
      <c r="BJ411" s="476"/>
      <c r="BK411" s="476"/>
      <c r="BL411" s="480"/>
    </row>
    <row r="412" spans="1:64">
      <c r="A412" s="468">
        <v>44203</v>
      </c>
      <c r="B412" s="473">
        <v>7</v>
      </c>
      <c r="C412" s="473">
        <v>358</v>
      </c>
      <c r="D412" s="470" t="s">
        <v>609</v>
      </c>
      <c r="E412" s="469">
        <v>1</v>
      </c>
      <c r="F412" s="470" t="s">
        <v>6714</v>
      </c>
      <c r="G412" s="469">
        <v>534</v>
      </c>
      <c r="H412" s="470" t="s">
        <v>6245</v>
      </c>
      <c r="I412" s="470" t="s">
        <v>836</v>
      </c>
      <c r="J412" s="469">
        <v>9</v>
      </c>
      <c r="K412" s="470" t="s">
        <v>6264</v>
      </c>
      <c r="L412" s="470" t="s">
        <v>6280</v>
      </c>
      <c r="M412" s="470" t="s">
        <v>9</v>
      </c>
      <c r="N412" s="473">
        <v>0</v>
      </c>
      <c r="O412" s="471"/>
      <c r="P412" s="471"/>
      <c r="Q412" s="471"/>
      <c r="R412" s="470"/>
      <c r="S412" s="471">
        <v>0.23891203703703703</v>
      </c>
      <c r="T412" s="471">
        <v>0.30557870370370371</v>
      </c>
      <c r="U412" s="471"/>
      <c r="V412" s="471"/>
      <c r="W412" s="471">
        <v>0.5018055555555555</v>
      </c>
      <c r="X412" s="471">
        <v>0.69803240740740735</v>
      </c>
      <c r="Y412" s="471">
        <v>4.3750000000000004E-2</v>
      </c>
      <c r="Z412" s="471">
        <v>0.28194444444444444</v>
      </c>
      <c r="AA412" s="471">
        <v>0.51874999999999993</v>
      </c>
      <c r="AB412" s="470" t="s">
        <v>6289</v>
      </c>
      <c r="AC412" s="473">
        <v>131</v>
      </c>
      <c r="AD412" s="470" t="s">
        <v>119</v>
      </c>
      <c r="AE412" s="470"/>
      <c r="AF412" s="473">
        <v>71.7</v>
      </c>
      <c r="AG412" s="469">
        <v>9.1</v>
      </c>
      <c r="AH412" s="470" t="s">
        <v>6299</v>
      </c>
      <c r="AI412" s="470" t="s">
        <v>6327</v>
      </c>
      <c r="AJ412" s="470" t="s">
        <v>6493</v>
      </c>
      <c r="AK412" s="470" t="s">
        <v>6493</v>
      </c>
      <c r="AL412" s="470"/>
      <c r="AM412" s="470"/>
      <c r="AN412" s="470"/>
      <c r="AO412" s="470"/>
      <c r="AP412" s="470"/>
      <c r="AQ412" s="470"/>
      <c r="AR412" s="470"/>
      <c r="AS412" s="470"/>
      <c r="AT412" s="470"/>
      <c r="AU412" s="470"/>
      <c r="AV412" s="470"/>
      <c r="AW412" s="470"/>
      <c r="AX412" s="470"/>
      <c r="AY412" s="470"/>
      <c r="AZ412" s="470"/>
      <c r="BA412" s="470"/>
      <c r="BB412" s="470"/>
      <c r="BC412" s="470"/>
      <c r="BD412" s="470"/>
      <c r="BE412" s="470"/>
      <c r="BF412" s="470"/>
      <c r="BG412" s="470"/>
      <c r="BH412" s="470"/>
      <c r="BI412" s="470"/>
      <c r="BJ412" s="470"/>
      <c r="BK412" s="470"/>
      <c r="BL412" s="474"/>
    </row>
    <row r="413" spans="1:64">
      <c r="A413" s="475">
        <v>44204</v>
      </c>
      <c r="B413" s="478">
        <v>8</v>
      </c>
      <c r="C413" s="478">
        <v>357</v>
      </c>
      <c r="D413" s="476" t="s">
        <v>609</v>
      </c>
      <c r="E413" s="477">
        <v>1</v>
      </c>
      <c r="F413" s="476" t="s">
        <v>100</v>
      </c>
      <c r="G413" s="477">
        <v>534</v>
      </c>
      <c r="H413" s="476" t="s">
        <v>6245</v>
      </c>
      <c r="I413" s="476" t="s">
        <v>836</v>
      </c>
      <c r="J413" s="477">
        <v>10</v>
      </c>
      <c r="K413" s="476" t="s">
        <v>6265</v>
      </c>
      <c r="L413" s="476" t="s">
        <v>6281</v>
      </c>
      <c r="M413" s="476" t="s">
        <v>9</v>
      </c>
      <c r="N413" s="478">
        <v>0</v>
      </c>
      <c r="O413" s="479"/>
      <c r="P413" s="479"/>
      <c r="Q413" s="479"/>
      <c r="R413" s="476"/>
      <c r="S413" s="479">
        <v>0.23880787037037035</v>
      </c>
      <c r="T413" s="479">
        <v>0.30547453703703703</v>
      </c>
      <c r="U413" s="479"/>
      <c r="V413" s="479"/>
      <c r="W413" s="479">
        <v>0.50209490740740736</v>
      </c>
      <c r="X413" s="479">
        <v>0.6987268518518519</v>
      </c>
      <c r="Y413" s="479">
        <v>9.5138888888888884E-2</v>
      </c>
      <c r="Z413" s="479">
        <v>0.31805555555555554</v>
      </c>
      <c r="AA413" s="479">
        <v>0.54027777777777775</v>
      </c>
      <c r="AB413" s="476" t="s">
        <v>6289</v>
      </c>
      <c r="AC413" s="478">
        <v>131</v>
      </c>
      <c r="AD413" s="476" t="s">
        <v>119</v>
      </c>
      <c r="AE413" s="476"/>
      <c r="AF413" s="478">
        <v>82.1</v>
      </c>
      <c r="AG413" s="477">
        <v>16.100000000000001</v>
      </c>
      <c r="AH413" s="476" t="s">
        <v>6300</v>
      </c>
      <c r="AI413" s="476" t="s">
        <v>6328</v>
      </c>
      <c r="AJ413" s="476" t="s">
        <v>6493</v>
      </c>
      <c r="AK413" s="476" t="s">
        <v>6493</v>
      </c>
      <c r="AL413" s="476"/>
      <c r="AM413" s="476"/>
      <c r="AN413" s="476"/>
      <c r="AO413" s="476"/>
      <c r="AP413" s="476"/>
      <c r="AQ413" s="476"/>
      <c r="AR413" s="476"/>
      <c r="AS413" s="476"/>
      <c r="AT413" s="476"/>
      <c r="AU413" s="476"/>
      <c r="AV413" s="476"/>
      <c r="AW413" s="476"/>
      <c r="AX413" s="476"/>
      <c r="AY413" s="476"/>
      <c r="AZ413" s="476"/>
      <c r="BA413" s="476"/>
      <c r="BB413" s="476"/>
      <c r="BC413" s="476"/>
      <c r="BD413" s="476"/>
      <c r="BE413" s="476"/>
      <c r="BF413" s="476"/>
      <c r="BG413" s="476"/>
      <c r="BH413" s="476"/>
      <c r="BI413" s="476"/>
      <c r="BJ413" s="476"/>
      <c r="BK413" s="476"/>
      <c r="BL413" s="480"/>
    </row>
    <row r="414" spans="1:64">
      <c r="A414" s="468">
        <v>44205</v>
      </c>
      <c r="B414" s="473">
        <v>9</v>
      </c>
      <c r="C414" s="473">
        <v>356</v>
      </c>
      <c r="D414" s="470" t="s">
        <v>609</v>
      </c>
      <c r="E414" s="469">
        <v>1</v>
      </c>
      <c r="F414" s="470" t="s">
        <v>103</v>
      </c>
      <c r="G414" s="469">
        <v>534</v>
      </c>
      <c r="H414" s="470" t="s">
        <v>6245</v>
      </c>
      <c r="I414" s="470" t="s">
        <v>836</v>
      </c>
      <c r="J414" s="469">
        <v>11</v>
      </c>
      <c r="K414" s="470" t="s">
        <v>6271</v>
      </c>
      <c r="L414" s="470" t="s">
        <v>6282</v>
      </c>
      <c r="M414" s="470" t="s">
        <v>9</v>
      </c>
      <c r="N414" s="473">
        <v>0</v>
      </c>
      <c r="O414" s="471"/>
      <c r="P414" s="471"/>
      <c r="Q414" s="471"/>
      <c r="R414" s="470"/>
      <c r="S414" s="471">
        <v>0.23868055555555556</v>
      </c>
      <c r="T414" s="471">
        <v>0.30534722222222221</v>
      </c>
      <c r="U414" s="471"/>
      <c r="V414" s="471"/>
      <c r="W414" s="471">
        <v>0.50239583333333326</v>
      </c>
      <c r="X414" s="471">
        <v>0.69943287037037039</v>
      </c>
      <c r="Y414" s="471">
        <v>0.14652777777777778</v>
      </c>
      <c r="Z414" s="471">
        <v>0.35625000000000001</v>
      </c>
      <c r="AA414" s="471">
        <v>0.56666666666666665</v>
      </c>
      <c r="AB414" s="470" t="s">
        <v>6289</v>
      </c>
      <c r="AC414" s="473">
        <v>131</v>
      </c>
      <c r="AD414" s="470" t="s">
        <v>119</v>
      </c>
      <c r="AE414" s="470"/>
      <c r="AF414" s="473">
        <v>93.1</v>
      </c>
      <c r="AG414" s="469">
        <v>23.6</v>
      </c>
      <c r="AH414" s="470" t="s">
        <v>6301</v>
      </c>
      <c r="AI414" s="470" t="s">
        <v>6330</v>
      </c>
      <c r="AJ414" s="470" t="s">
        <v>838</v>
      </c>
      <c r="AK414" s="470" t="s">
        <v>13</v>
      </c>
      <c r="AL414" s="470" t="s">
        <v>1226</v>
      </c>
      <c r="AM414" s="470" t="s">
        <v>6342</v>
      </c>
      <c r="AN414" s="470" t="s">
        <v>6723</v>
      </c>
      <c r="AO414" s="470" t="s">
        <v>6342</v>
      </c>
      <c r="AP414" s="470" t="s">
        <v>7003</v>
      </c>
      <c r="AQ414" s="470" t="s">
        <v>6351</v>
      </c>
      <c r="AR414" s="470" t="s">
        <v>6722</v>
      </c>
      <c r="AS414" s="470" t="s">
        <v>6346</v>
      </c>
      <c r="AT414" s="470"/>
      <c r="AU414" s="470"/>
      <c r="AV414" s="470"/>
      <c r="AW414" s="470"/>
      <c r="AX414" s="470"/>
      <c r="AY414" s="470"/>
      <c r="AZ414" s="470"/>
      <c r="BA414" s="470"/>
      <c r="BB414" s="470"/>
      <c r="BC414" s="470"/>
      <c r="BD414" s="470"/>
      <c r="BE414" s="470"/>
      <c r="BF414" s="470"/>
      <c r="BG414" s="470"/>
      <c r="BH414" s="470"/>
      <c r="BI414" s="470"/>
      <c r="BJ414" s="470" t="s">
        <v>6663</v>
      </c>
      <c r="BK414" s="470"/>
      <c r="BL414" s="474"/>
    </row>
    <row r="415" spans="1:64">
      <c r="A415" s="475">
        <v>44206</v>
      </c>
      <c r="B415" s="478">
        <v>10</v>
      </c>
      <c r="C415" s="478">
        <v>355</v>
      </c>
      <c r="D415" s="476" t="s">
        <v>609</v>
      </c>
      <c r="E415" s="477">
        <v>1</v>
      </c>
      <c r="F415" s="476" t="s">
        <v>106</v>
      </c>
      <c r="G415" s="477">
        <v>534</v>
      </c>
      <c r="H415" s="476" t="s">
        <v>6245</v>
      </c>
      <c r="I415" s="476" t="s">
        <v>836</v>
      </c>
      <c r="J415" s="477">
        <v>13</v>
      </c>
      <c r="K415" s="476" t="s">
        <v>6267</v>
      </c>
      <c r="L415" s="476" t="s">
        <v>6283</v>
      </c>
      <c r="M415" s="476" t="s">
        <v>9</v>
      </c>
      <c r="N415" s="478">
        <v>0</v>
      </c>
      <c r="O415" s="479">
        <v>0.36736111111111108</v>
      </c>
      <c r="P415" s="479">
        <v>0.2673611111111111</v>
      </c>
      <c r="Q415" s="479"/>
      <c r="R415" s="476"/>
      <c r="S415" s="479">
        <v>0.23853009259259261</v>
      </c>
      <c r="T415" s="479">
        <v>0.30519675925925926</v>
      </c>
      <c r="U415" s="479">
        <v>0.30486111111111108</v>
      </c>
      <c r="V415" s="479">
        <v>0.4368055555555555</v>
      </c>
      <c r="W415" s="479">
        <v>0.50267361111111108</v>
      </c>
      <c r="X415" s="479">
        <v>0.70015046296296291</v>
      </c>
      <c r="Y415" s="479">
        <v>0.19791666666666666</v>
      </c>
      <c r="Z415" s="479">
        <v>0.3972222222222222</v>
      </c>
      <c r="AA415" s="479">
        <v>0.59722222222222221</v>
      </c>
      <c r="AB415" s="476" t="s">
        <v>6289</v>
      </c>
      <c r="AC415" s="478">
        <v>131</v>
      </c>
      <c r="AD415" s="476" t="s">
        <v>119</v>
      </c>
      <c r="AE415" s="476"/>
      <c r="AF415" s="478">
        <v>4.2</v>
      </c>
      <c r="AG415" s="477">
        <v>31.3</v>
      </c>
      <c r="AH415" s="476" t="s">
        <v>6302</v>
      </c>
      <c r="AI415" s="476" t="s">
        <v>6331</v>
      </c>
      <c r="AJ415" s="476" t="s">
        <v>839</v>
      </c>
      <c r="AK415" s="476" t="s">
        <v>6493</v>
      </c>
      <c r="AL415" s="476" t="s">
        <v>6854</v>
      </c>
      <c r="AM415" s="476" t="s">
        <v>6343</v>
      </c>
      <c r="AN415" s="476" t="s">
        <v>6903</v>
      </c>
      <c r="AO415" s="476" t="s">
        <v>6346</v>
      </c>
      <c r="AP415" s="476" t="s">
        <v>7006</v>
      </c>
      <c r="AQ415" s="476" t="s">
        <v>6346</v>
      </c>
      <c r="AR415" s="476" t="s">
        <v>7070</v>
      </c>
      <c r="AS415" s="476"/>
      <c r="AT415" s="476"/>
      <c r="AU415" s="476"/>
      <c r="AV415" s="476"/>
      <c r="AW415" s="476"/>
      <c r="AX415" s="476"/>
      <c r="AY415" s="476"/>
      <c r="AZ415" s="476"/>
      <c r="BA415" s="476"/>
      <c r="BB415" s="476"/>
      <c r="BC415" s="476"/>
      <c r="BD415" s="476"/>
      <c r="BE415" s="476"/>
      <c r="BF415" s="476"/>
      <c r="BG415" s="476"/>
      <c r="BH415" s="476"/>
      <c r="BI415" s="476"/>
      <c r="BJ415" s="476" t="s">
        <v>6420</v>
      </c>
      <c r="BK415" s="476"/>
      <c r="BL415" s="480"/>
    </row>
    <row r="416" spans="1:64">
      <c r="A416" s="468">
        <v>44207</v>
      </c>
      <c r="B416" s="473">
        <v>11</v>
      </c>
      <c r="C416" s="473">
        <v>354</v>
      </c>
      <c r="D416" s="470" t="s">
        <v>609</v>
      </c>
      <c r="E416" s="469">
        <v>2</v>
      </c>
      <c r="F416" s="470" t="s">
        <v>88</v>
      </c>
      <c r="G416" s="469">
        <v>534</v>
      </c>
      <c r="H416" s="470" t="s">
        <v>6245</v>
      </c>
      <c r="I416" s="470" t="s">
        <v>836</v>
      </c>
      <c r="J416" s="469">
        <v>14</v>
      </c>
      <c r="K416" s="470" t="s">
        <v>6268</v>
      </c>
      <c r="L416" s="470" t="s">
        <v>6285</v>
      </c>
      <c r="M416" s="470" t="s">
        <v>9</v>
      </c>
      <c r="N416" s="473">
        <v>0</v>
      </c>
      <c r="O416" s="471"/>
      <c r="P416" s="471"/>
      <c r="Q416" s="471"/>
      <c r="R416" s="470"/>
      <c r="S416" s="471">
        <v>0.23834490740740741</v>
      </c>
      <c r="T416" s="471">
        <v>0.30501157407407409</v>
      </c>
      <c r="U416" s="471"/>
      <c r="V416" s="471"/>
      <c r="W416" s="471">
        <v>0.50295138888888891</v>
      </c>
      <c r="X416" s="471">
        <v>0.70089120370370372</v>
      </c>
      <c r="Y416" s="471">
        <v>0.24722222222222223</v>
      </c>
      <c r="Z416" s="471">
        <v>0.44097222222222227</v>
      </c>
      <c r="AA416" s="471">
        <v>0.63402777777777775</v>
      </c>
      <c r="AB416" s="470" t="s">
        <v>6289</v>
      </c>
      <c r="AC416" s="473">
        <v>131</v>
      </c>
      <c r="AD416" s="470" t="s">
        <v>119</v>
      </c>
      <c r="AE416" s="470"/>
      <c r="AF416" s="473">
        <v>14.9</v>
      </c>
      <c r="AG416" s="469">
        <v>38.6</v>
      </c>
      <c r="AH416" s="470" t="s">
        <v>6303</v>
      </c>
      <c r="AI416" s="470" t="s">
        <v>6332</v>
      </c>
      <c r="AJ416" s="470" t="s">
        <v>6493</v>
      </c>
      <c r="AK416" s="470" t="s">
        <v>6493</v>
      </c>
      <c r="AL416" s="470"/>
      <c r="AM416" s="470"/>
      <c r="AN416" s="470"/>
      <c r="AO416" s="470"/>
      <c r="AP416" s="470"/>
      <c r="AQ416" s="470"/>
      <c r="AR416" s="470"/>
      <c r="AS416" s="470"/>
      <c r="AT416" s="470"/>
      <c r="AU416" s="470"/>
      <c r="AV416" s="470"/>
      <c r="AW416" s="470"/>
      <c r="AX416" s="470"/>
      <c r="AY416" s="470"/>
      <c r="AZ416" s="470"/>
      <c r="BA416" s="470"/>
      <c r="BB416" s="470"/>
      <c r="BC416" s="470"/>
      <c r="BD416" s="470"/>
      <c r="BE416" s="470"/>
      <c r="BF416" s="470"/>
      <c r="BG416" s="470"/>
      <c r="BH416" s="470"/>
      <c r="BI416" s="470"/>
      <c r="BJ416" s="470"/>
      <c r="BK416" s="470"/>
      <c r="BL416" s="474"/>
    </row>
    <row r="417" spans="1:64">
      <c r="A417" s="475">
        <v>44208</v>
      </c>
      <c r="B417" s="478">
        <v>12</v>
      </c>
      <c r="C417" s="478">
        <v>353</v>
      </c>
      <c r="D417" s="476" t="s">
        <v>609</v>
      </c>
      <c r="E417" s="477">
        <v>2</v>
      </c>
      <c r="F417" s="476" t="s">
        <v>91</v>
      </c>
      <c r="G417" s="477">
        <v>534</v>
      </c>
      <c r="H417" s="476" t="s">
        <v>6245</v>
      </c>
      <c r="I417" s="476" t="s">
        <v>836</v>
      </c>
      <c r="J417" s="477">
        <v>15</v>
      </c>
      <c r="K417" s="476" t="s">
        <v>6269</v>
      </c>
      <c r="L417" s="476" t="s">
        <v>6286</v>
      </c>
      <c r="M417" s="476" t="s">
        <v>9</v>
      </c>
      <c r="N417" s="478">
        <v>0</v>
      </c>
      <c r="O417" s="479"/>
      <c r="P417" s="479"/>
      <c r="Q417" s="479"/>
      <c r="R417" s="476"/>
      <c r="S417" s="479">
        <v>0.23813657407407407</v>
      </c>
      <c r="T417" s="479">
        <v>0.30480324074074078</v>
      </c>
      <c r="U417" s="479"/>
      <c r="V417" s="479"/>
      <c r="W417" s="479">
        <v>0.50321759259259258</v>
      </c>
      <c r="X417" s="479">
        <v>0.70163194444444443</v>
      </c>
      <c r="Y417" s="479">
        <v>0.29166666666666669</v>
      </c>
      <c r="Z417" s="479">
        <v>0.48402777777777778</v>
      </c>
      <c r="AA417" s="479">
        <v>0.67638888888888893</v>
      </c>
      <c r="AB417" s="476" t="s">
        <v>6289</v>
      </c>
      <c r="AC417" s="478">
        <v>131</v>
      </c>
      <c r="AD417" s="476" t="s">
        <v>119</v>
      </c>
      <c r="AE417" s="476"/>
      <c r="AF417" s="478">
        <v>24.5</v>
      </c>
      <c r="AG417" s="477">
        <v>44.9</v>
      </c>
      <c r="AH417" s="476" t="s">
        <v>6304</v>
      </c>
      <c r="AI417" s="476" t="s">
        <v>6333</v>
      </c>
      <c r="AJ417" s="476" t="s">
        <v>6493</v>
      </c>
      <c r="AK417" s="476" t="s">
        <v>6493</v>
      </c>
      <c r="AL417" s="476"/>
      <c r="AM417" s="476"/>
      <c r="AN417" s="476"/>
      <c r="AO417" s="476"/>
      <c r="AP417" s="476"/>
      <c r="AQ417" s="476"/>
      <c r="AR417" s="476"/>
      <c r="AS417" s="476"/>
      <c r="AT417" s="476"/>
      <c r="AU417" s="476"/>
      <c r="AV417" s="476"/>
      <c r="AW417" s="476"/>
      <c r="AX417" s="476"/>
      <c r="AY417" s="476"/>
      <c r="AZ417" s="476"/>
      <c r="BA417" s="476"/>
      <c r="BB417" s="476"/>
      <c r="BC417" s="476"/>
      <c r="BD417" s="476"/>
      <c r="BE417" s="476"/>
      <c r="BF417" s="476"/>
      <c r="BG417" s="476"/>
      <c r="BH417" s="476"/>
      <c r="BI417" s="476"/>
      <c r="BJ417" s="476"/>
      <c r="BK417" s="476"/>
      <c r="BL417" s="480"/>
    </row>
    <row r="418" spans="1:64">
      <c r="A418" s="468">
        <v>44209</v>
      </c>
      <c r="B418" s="473">
        <v>13</v>
      </c>
      <c r="C418" s="473">
        <v>352</v>
      </c>
      <c r="D418" s="470" t="s">
        <v>609</v>
      </c>
      <c r="E418" s="469">
        <v>2</v>
      </c>
      <c r="F418" s="470" t="s">
        <v>94</v>
      </c>
      <c r="G418" s="469">
        <v>534</v>
      </c>
      <c r="H418" s="470" t="s">
        <v>6245</v>
      </c>
      <c r="I418" s="470" t="s">
        <v>6257</v>
      </c>
      <c r="J418" s="469">
        <v>16</v>
      </c>
      <c r="K418" s="470" t="s">
        <v>6270</v>
      </c>
      <c r="L418" s="470" t="s">
        <v>6287</v>
      </c>
      <c r="M418" s="470" t="s">
        <v>9</v>
      </c>
      <c r="N418" s="473">
        <v>0</v>
      </c>
      <c r="O418" s="471"/>
      <c r="P418" s="471"/>
      <c r="Q418" s="471"/>
      <c r="R418" s="470"/>
      <c r="S418" s="471">
        <v>0.2379050925925926</v>
      </c>
      <c r="T418" s="471">
        <v>0.30457175925925922</v>
      </c>
      <c r="U418" s="471"/>
      <c r="V418" s="471"/>
      <c r="W418" s="471">
        <v>0.50348379629629625</v>
      </c>
      <c r="X418" s="471">
        <v>0.70239583333333344</v>
      </c>
      <c r="Y418" s="471">
        <v>0.32916666666666666</v>
      </c>
      <c r="Z418" s="471">
        <v>0.52638888888888891</v>
      </c>
      <c r="AA418" s="471">
        <v>0.72222222222222221</v>
      </c>
      <c r="AB418" s="470" t="s">
        <v>6463</v>
      </c>
      <c r="AC418" s="473">
        <v>152</v>
      </c>
      <c r="AD418" s="470" t="s">
        <v>110</v>
      </c>
      <c r="AE418" s="470" t="s">
        <v>6556</v>
      </c>
      <c r="AF418" s="473">
        <v>32.5</v>
      </c>
      <c r="AG418" s="469">
        <v>49.7</v>
      </c>
      <c r="AH418" s="470" t="s">
        <v>6305</v>
      </c>
      <c r="AI418" s="470" t="s">
        <v>6334</v>
      </c>
      <c r="AJ418" s="470" t="s">
        <v>839</v>
      </c>
      <c r="AK418" s="470" t="s">
        <v>6493</v>
      </c>
      <c r="AL418" s="470" t="s">
        <v>6725</v>
      </c>
      <c r="AM418" s="470" t="s">
        <v>6346</v>
      </c>
      <c r="AN418" s="470"/>
      <c r="AO418" s="470"/>
      <c r="AP418" s="470"/>
      <c r="AQ418" s="470"/>
      <c r="AR418" s="470"/>
      <c r="AS418" s="470"/>
      <c r="AT418" s="470"/>
      <c r="AU418" s="470"/>
      <c r="AV418" s="470"/>
      <c r="AW418" s="470"/>
      <c r="AX418" s="470"/>
      <c r="AY418" s="470"/>
      <c r="AZ418" s="470"/>
      <c r="BA418" s="470"/>
      <c r="BB418" s="470"/>
      <c r="BC418" s="470"/>
      <c r="BD418" s="470"/>
      <c r="BE418" s="470"/>
      <c r="BF418" s="470"/>
      <c r="BG418" s="470"/>
      <c r="BH418" s="470"/>
      <c r="BI418" s="470"/>
      <c r="BJ418" s="470" t="s">
        <v>6357</v>
      </c>
      <c r="BK418" s="470"/>
      <c r="BL418" s="474"/>
    </row>
    <row r="419" spans="1:64">
      <c r="A419" s="475">
        <v>44210</v>
      </c>
      <c r="B419" s="478">
        <v>14</v>
      </c>
      <c r="C419" s="478">
        <v>351</v>
      </c>
      <c r="D419" s="476" t="s">
        <v>609</v>
      </c>
      <c r="E419" s="477">
        <v>2</v>
      </c>
      <c r="F419" s="476" t="s">
        <v>6714</v>
      </c>
      <c r="G419" s="477">
        <v>534</v>
      </c>
      <c r="H419" s="476" t="s">
        <v>6245</v>
      </c>
      <c r="I419" s="476" t="s">
        <v>6257</v>
      </c>
      <c r="J419" s="477">
        <v>17</v>
      </c>
      <c r="K419" s="476" t="s">
        <v>1034</v>
      </c>
      <c r="L419" s="476" t="s">
        <v>6273</v>
      </c>
      <c r="M419" s="476" t="s">
        <v>9</v>
      </c>
      <c r="N419" s="478">
        <v>0</v>
      </c>
      <c r="O419" s="479"/>
      <c r="P419" s="479"/>
      <c r="Q419" s="479">
        <v>0.90079861111111104</v>
      </c>
      <c r="R419" s="476" t="s">
        <v>15</v>
      </c>
      <c r="S419" s="479">
        <v>0.23765046296296297</v>
      </c>
      <c r="T419" s="479">
        <v>0.30431712962962965</v>
      </c>
      <c r="U419" s="479"/>
      <c r="V419" s="479"/>
      <c r="W419" s="479">
        <v>0.50373842592592599</v>
      </c>
      <c r="X419" s="479">
        <v>0.70315972222222223</v>
      </c>
      <c r="Y419" s="479">
        <v>0.36041666666666666</v>
      </c>
      <c r="Z419" s="479">
        <v>0.56527777777777777</v>
      </c>
      <c r="AA419" s="479">
        <v>0.77083333333333337</v>
      </c>
      <c r="AB419" s="476" t="s">
        <v>6463</v>
      </c>
      <c r="AC419" s="478">
        <v>152</v>
      </c>
      <c r="AD419" s="476" t="s">
        <v>110</v>
      </c>
      <c r="AE419" s="476"/>
      <c r="AF419" s="478">
        <v>38.200000000000003</v>
      </c>
      <c r="AG419" s="477">
        <v>52.5</v>
      </c>
      <c r="AH419" s="476" t="s">
        <v>6306</v>
      </c>
      <c r="AI419" s="476" t="s">
        <v>6335</v>
      </c>
      <c r="AJ419" s="476" t="s">
        <v>839</v>
      </c>
      <c r="AK419" s="476" t="s">
        <v>6493</v>
      </c>
      <c r="AL419" s="476" t="s">
        <v>1218</v>
      </c>
      <c r="AM419" s="476" t="s">
        <v>6162</v>
      </c>
      <c r="AN419" s="476" t="s">
        <v>6979</v>
      </c>
      <c r="AO419" s="476"/>
      <c r="AP419" s="476"/>
      <c r="AQ419" s="476"/>
      <c r="AR419" s="476"/>
      <c r="AS419" s="476"/>
      <c r="AT419" s="476"/>
      <c r="AU419" s="476"/>
      <c r="AV419" s="476"/>
      <c r="AW419" s="476"/>
      <c r="AX419" s="476"/>
      <c r="AY419" s="476"/>
      <c r="AZ419" s="476"/>
      <c r="BA419" s="476"/>
      <c r="BB419" s="476"/>
      <c r="BC419" s="476"/>
      <c r="BD419" s="476"/>
      <c r="BE419" s="476"/>
      <c r="BF419" s="476"/>
      <c r="BG419" s="476"/>
      <c r="BH419" s="476"/>
      <c r="BI419" s="476"/>
      <c r="BJ419" s="476" t="s">
        <v>6359</v>
      </c>
      <c r="BK419" s="476"/>
      <c r="BL419" s="480"/>
    </row>
    <row r="420" spans="1:64">
      <c r="A420" s="468">
        <v>44211</v>
      </c>
      <c r="B420" s="473">
        <v>15</v>
      </c>
      <c r="C420" s="473">
        <v>350</v>
      </c>
      <c r="D420" s="470" t="s">
        <v>609</v>
      </c>
      <c r="E420" s="469">
        <v>2</v>
      </c>
      <c r="F420" s="470" t="s">
        <v>100</v>
      </c>
      <c r="G420" s="469">
        <v>534</v>
      </c>
      <c r="H420" s="470" t="s">
        <v>6245</v>
      </c>
      <c r="I420" s="470" t="s">
        <v>6257</v>
      </c>
      <c r="J420" s="469">
        <v>18</v>
      </c>
      <c r="K420" s="470" t="s">
        <v>6258</v>
      </c>
      <c r="L420" s="470" t="s">
        <v>6274</v>
      </c>
      <c r="M420" s="470" t="s">
        <v>9</v>
      </c>
      <c r="N420" s="473">
        <v>0</v>
      </c>
      <c r="O420" s="471"/>
      <c r="P420" s="471"/>
      <c r="Q420" s="471"/>
      <c r="R420" s="470"/>
      <c r="S420" s="471">
        <v>0.23737268518518517</v>
      </c>
      <c r="T420" s="471">
        <v>0.30403935185185188</v>
      </c>
      <c r="U420" s="471"/>
      <c r="V420" s="471"/>
      <c r="W420" s="471">
        <v>0.50399305555555551</v>
      </c>
      <c r="X420" s="471">
        <v>0.70393518518518527</v>
      </c>
      <c r="Y420" s="471">
        <v>0.38611111111111113</v>
      </c>
      <c r="Z420" s="471">
        <v>0.6020833333333333</v>
      </c>
      <c r="AA420" s="471">
        <v>0.81736111111111109</v>
      </c>
      <c r="AB420" s="470" t="s">
        <v>6463</v>
      </c>
      <c r="AC420" s="473">
        <v>152</v>
      </c>
      <c r="AD420" s="470" t="s">
        <v>110</v>
      </c>
      <c r="AE420" s="470"/>
      <c r="AF420" s="473">
        <v>41.2</v>
      </c>
      <c r="AG420" s="469">
        <v>52.8</v>
      </c>
      <c r="AH420" s="470" t="s">
        <v>6307</v>
      </c>
      <c r="AI420" s="470" t="s">
        <v>6336</v>
      </c>
      <c r="AJ420" s="470" t="s">
        <v>839</v>
      </c>
      <c r="AK420" s="470" t="s">
        <v>6493</v>
      </c>
      <c r="AL420" s="470" t="s">
        <v>6726</v>
      </c>
      <c r="AM420" s="470" t="s">
        <v>6346</v>
      </c>
      <c r="AN420" s="470" t="s">
        <v>6904</v>
      </c>
      <c r="AO420" s="470" t="s">
        <v>6346</v>
      </c>
      <c r="AP420" s="470"/>
      <c r="AQ420" s="470"/>
      <c r="AR420" s="470"/>
      <c r="AS420" s="470"/>
      <c r="AT420" s="470"/>
      <c r="AU420" s="470"/>
      <c r="AV420" s="470"/>
      <c r="AW420" s="470"/>
      <c r="AX420" s="470"/>
      <c r="AY420" s="470"/>
      <c r="AZ420" s="470"/>
      <c r="BA420" s="470"/>
      <c r="BB420" s="470"/>
      <c r="BC420" s="470"/>
      <c r="BD420" s="470"/>
      <c r="BE420" s="470"/>
      <c r="BF420" s="470"/>
      <c r="BG420" s="470"/>
      <c r="BH420" s="470"/>
      <c r="BI420" s="470"/>
      <c r="BJ420" s="470" t="s">
        <v>6358</v>
      </c>
      <c r="BK420" s="470"/>
      <c r="BL420" s="474"/>
    </row>
    <row r="421" spans="1:64">
      <c r="A421" s="475">
        <v>44212</v>
      </c>
      <c r="B421" s="478">
        <v>16</v>
      </c>
      <c r="C421" s="478">
        <v>349</v>
      </c>
      <c r="D421" s="476" t="s">
        <v>609</v>
      </c>
      <c r="E421" s="477">
        <v>2</v>
      </c>
      <c r="F421" s="476" t="s">
        <v>103</v>
      </c>
      <c r="G421" s="477">
        <v>534</v>
      </c>
      <c r="H421" s="476" t="s">
        <v>6245</v>
      </c>
      <c r="I421" s="476" t="s">
        <v>6257</v>
      </c>
      <c r="J421" s="477">
        <v>19</v>
      </c>
      <c r="K421" s="476" t="s">
        <v>6259</v>
      </c>
      <c r="L421" s="476" t="s">
        <v>6275</v>
      </c>
      <c r="M421" s="476" t="s">
        <v>9</v>
      </c>
      <c r="N421" s="478">
        <v>0</v>
      </c>
      <c r="O421" s="479"/>
      <c r="P421" s="479"/>
      <c r="Q421" s="479"/>
      <c r="R421" s="476"/>
      <c r="S421" s="479">
        <v>0.23706018518518521</v>
      </c>
      <c r="T421" s="479">
        <v>0.30372685185185183</v>
      </c>
      <c r="U421" s="479"/>
      <c r="V421" s="479"/>
      <c r="W421" s="479">
        <v>0.50422453703703707</v>
      </c>
      <c r="X421" s="479">
        <v>0.70472222222222225</v>
      </c>
      <c r="Y421" s="479">
        <v>0.4069444444444445</v>
      </c>
      <c r="Z421" s="479">
        <v>0.63472222222222219</v>
      </c>
      <c r="AA421" s="479">
        <v>0.86249999999999993</v>
      </c>
      <c r="AB421" s="476" t="s">
        <v>6463</v>
      </c>
      <c r="AC421" s="478">
        <v>152</v>
      </c>
      <c r="AD421" s="476" t="s">
        <v>110</v>
      </c>
      <c r="AE421" s="476"/>
      <c r="AF421" s="478">
        <v>41.3</v>
      </c>
      <c r="AG421" s="477">
        <v>50.6</v>
      </c>
      <c r="AH421" s="476" t="s">
        <v>6308</v>
      </c>
      <c r="AI421" s="476" t="s">
        <v>6337</v>
      </c>
      <c r="AJ421" s="476" t="s">
        <v>6493</v>
      </c>
      <c r="AK421" s="476" t="s">
        <v>6493</v>
      </c>
      <c r="AL421" s="476"/>
      <c r="AM421" s="476"/>
      <c r="AN421" s="476"/>
      <c r="AO421" s="476"/>
      <c r="AP421" s="476"/>
      <c r="AQ421" s="476"/>
      <c r="AR421" s="476"/>
      <c r="AS421" s="476"/>
      <c r="AT421" s="476"/>
      <c r="AU421" s="476"/>
      <c r="AV421" s="476"/>
      <c r="AW421" s="476"/>
      <c r="AX421" s="476"/>
      <c r="AY421" s="476"/>
      <c r="AZ421" s="476"/>
      <c r="BA421" s="476"/>
      <c r="BB421" s="476"/>
      <c r="BC421" s="476"/>
      <c r="BD421" s="476"/>
      <c r="BE421" s="476"/>
      <c r="BF421" s="476"/>
      <c r="BG421" s="476"/>
      <c r="BH421" s="476"/>
      <c r="BI421" s="476"/>
      <c r="BJ421" s="476"/>
      <c r="BK421" s="476"/>
      <c r="BL421" s="480"/>
    </row>
    <row r="422" spans="1:64">
      <c r="A422" s="468">
        <v>44213</v>
      </c>
      <c r="B422" s="473">
        <v>17</v>
      </c>
      <c r="C422" s="473">
        <v>348</v>
      </c>
      <c r="D422" s="470" t="s">
        <v>609</v>
      </c>
      <c r="E422" s="469">
        <v>2</v>
      </c>
      <c r="F422" s="470" t="s">
        <v>106</v>
      </c>
      <c r="G422" s="469">
        <v>534</v>
      </c>
      <c r="H422" s="470" t="s">
        <v>6245</v>
      </c>
      <c r="I422" s="470" t="s">
        <v>6257</v>
      </c>
      <c r="J422" s="469">
        <v>20</v>
      </c>
      <c r="K422" s="470" t="s">
        <v>6260</v>
      </c>
      <c r="L422" s="470" t="s">
        <v>6276</v>
      </c>
      <c r="M422" s="470" t="s">
        <v>9</v>
      </c>
      <c r="N422" s="473">
        <v>0</v>
      </c>
      <c r="O422" s="471"/>
      <c r="P422" s="471"/>
      <c r="Q422" s="471"/>
      <c r="R422" s="470"/>
      <c r="S422" s="471">
        <v>0.23672453703703702</v>
      </c>
      <c r="T422" s="471">
        <v>0.3033912037037037</v>
      </c>
      <c r="U422" s="471"/>
      <c r="V422" s="471"/>
      <c r="W422" s="471">
        <v>0.50445601851851851</v>
      </c>
      <c r="X422" s="471">
        <v>0.70552083333333337</v>
      </c>
      <c r="Y422" s="471">
        <v>0.42569444444444443</v>
      </c>
      <c r="Z422" s="471">
        <v>0.66527777777777775</v>
      </c>
      <c r="AA422" s="471">
        <v>0.90625</v>
      </c>
      <c r="AB422" s="470" t="s">
        <v>6463</v>
      </c>
      <c r="AC422" s="473">
        <v>152</v>
      </c>
      <c r="AD422" s="470" t="s">
        <v>110</v>
      </c>
      <c r="AE422" s="470"/>
      <c r="AF422" s="473">
        <v>38.6</v>
      </c>
      <c r="AG422" s="469">
        <v>45.7</v>
      </c>
      <c r="AH422" s="470" t="s">
        <v>6309</v>
      </c>
      <c r="AI422" s="470" t="s">
        <v>6338</v>
      </c>
      <c r="AJ422" s="470" t="s">
        <v>6493</v>
      </c>
      <c r="AK422" s="470" t="s">
        <v>6493</v>
      </c>
      <c r="AL422" s="470"/>
      <c r="AM422" s="470"/>
      <c r="AN422" s="470"/>
      <c r="AO422" s="470"/>
      <c r="AP422" s="470"/>
      <c r="AQ422" s="470"/>
      <c r="AR422" s="470"/>
      <c r="AS422" s="470"/>
      <c r="AT422" s="470"/>
      <c r="AU422" s="470"/>
      <c r="AV422" s="470"/>
      <c r="AW422" s="470"/>
      <c r="AX422" s="470"/>
      <c r="AY422" s="470"/>
      <c r="AZ422" s="470"/>
      <c r="BA422" s="470"/>
      <c r="BB422" s="470"/>
      <c r="BC422" s="470"/>
      <c r="BD422" s="470"/>
      <c r="BE422" s="470"/>
      <c r="BF422" s="470"/>
      <c r="BG422" s="470"/>
      <c r="BH422" s="470"/>
      <c r="BI422" s="470"/>
      <c r="BJ422" s="470"/>
      <c r="BK422" s="470"/>
      <c r="BL422" s="474"/>
    </row>
    <row r="423" spans="1:64">
      <c r="A423" s="475">
        <v>44214</v>
      </c>
      <c r="B423" s="478">
        <v>18</v>
      </c>
      <c r="C423" s="478">
        <v>347</v>
      </c>
      <c r="D423" s="476" t="s">
        <v>609</v>
      </c>
      <c r="E423" s="477">
        <v>3</v>
      </c>
      <c r="F423" s="476" t="s">
        <v>88</v>
      </c>
      <c r="G423" s="477">
        <v>534</v>
      </c>
      <c r="H423" s="476" t="s">
        <v>6245</v>
      </c>
      <c r="I423" s="476" t="s">
        <v>6257</v>
      </c>
      <c r="J423" s="477">
        <v>21</v>
      </c>
      <c r="K423" s="476" t="s">
        <v>6261</v>
      </c>
      <c r="L423" s="476" t="s">
        <v>6277</v>
      </c>
      <c r="M423" s="476" t="s">
        <v>9</v>
      </c>
      <c r="N423" s="478">
        <v>0</v>
      </c>
      <c r="O423" s="479"/>
      <c r="P423" s="479"/>
      <c r="Q423" s="479"/>
      <c r="R423" s="476"/>
      <c r="S423" s="479">
        <v>0.2363773148148148</v>
      </c>
      <c r="T423" s="479">
        <v>0.30304398148148148</v>
      </c>
      <c r="U423" s="479"/>
      <c r="V423" s="479"/>
      <c r="W423" s="479">
        <v>0.50467592592592592</v>
      </c>
      <c r="X423" s="479">
        <v>0.7063194444444445</v>
      </c>
      <c r="Y423" s="479">
        <v>0.44236111111111115</v>
      </c>
      <c r="Z423" s="479">
        <v>0.69374999999999998</v>
      </c>
      <c r="AA423" s="479">
        <v>0.94791666666666663</v>
      </c>
      <c r="AB423" s="476" t="s">
        <v>6463</v>
      </c>
      <c r="AC423" s="478">
        <v>152</v>
      </c>
      <c r="AD423" s="476" t="s">
        <v>110</v>
      </c>
      <c r="AE423" s="476"/>
      <c r="AF423" s="478">
        <v>33.299999999999997</v>
      </c>
      <c r="AG423" s="477">
        <v>38.6</v>
      </c>
      <c r="AH423" s="476" t="s">
        <v>6310</v>
      </c>
      <c r="AI423" s="476" t="s">
        <v>6339</v>
      </c>
      <c r="AJ423" s="476" t="s">
        <v>6493</v>
      </c>
      <c r="AK423" s="476" t="s">
        <v>6493</v>
      </c>
      <c r="AL423" s="476"/>
      <c r="AM423" s="476"/>
      <c r="AN423" s="476"/>
      <c r="AO423" s="476"/>
      <c r="AP423" s="476"/>
      <c r="AQ423" s="476"/>
      <c r="AR423" s="476"/>
      <c r="AS423" s="476"/>
      <c r="AT423" s="476"/>
      <c r="AU423" s="476"/>
      <c r="AV423" s="476"/>
      <c r="AW423" s="476"/>
      <c r="AX423" s="476"/>
      <c r="AY423" s="476"/>
      <c r="AZ423" s="476"/>
      <c r="BA423" s="476"/>
      <c r="BB423" s="476"/>
      <c r="BC423" s="476"/>
      <c r="BD423" s="476"/>
      <c r="BE423" s="476"/>
      <c r="BF423" s="476"/>
      <c r="BG423" s="476"/>
      <c r="BH423" s="476"/>
      <c r="BI423" s="476"/>
      <c r="BJ423" s="476"/>
      <c r="BK423" s="476"/>
      <c r="BL423" s="480"/>
    </row>
    <row r="424" spans="1:64">
      <c r="A424" s="468">
        <v>44215</v>
      </c>
      <c r="B424" s="473">
        <v>19</v>
      </c>
      <c r="C424" s="473">
        <v>346</v>
      </c>
      <c r="D424" s="470" t="s">
        <v>609</v>
      </c>
      <c r="E424" s="469">
        <v>3</v>
      </c>
      <c r="F424" s="470" t="s">
        <v>91</v>
      </c>
      <c r="G424" s="469">
        <v>534</v>
      </c>
      <c r="H424" s="470" t="s">
        <v>6245</v>
      </c>
      <c r="I424" s="470" t="s">
        <v>6257</v>
      </c>
      <c r="J424" s="469">
        <v>22</v>
      </c>
      <c r="K424" s="470" t="s">
        <v>6262</v>
      </c>
      <c r="L424" s="470" t="s">
        <v>6278</v>
      </c>
      <c r="M424" s="470" t="s">
        <v>9</v>
      </c>
      <c r="N424" s="473">
        <v>0</v>
      </c>
      <c r="O424" s="471"/>
      <c r="P424" s="471"/>
      <c r="Q424" s="471"/>
      <c r="R424" s="470"/>
      <c r="S424" s="471">
        <v>0.23599537037037036</v>
      </c>
      <c r="T424" s="471">
        <v>0.30266203703703703</v>
      </c>
      <c r="U424" s="471"/>
      <c r="V424" s="471"/>
      <c r="W424" s="471">
        <v>0.50489583333333332</v>
      </c>
      <c r="X424" s="471">
        <v>0.70712962962962955</v>
      </c>
      <c r="Y424" s="471">
        <v>0.45763888888888887</v>
      </c>
      <c r="Z424" s="471">
        <v>0.72222222222222221</v>
      </c>
      <c r="AA424" s="471">
        <v>0.98958333333333337</v>
      </c>
      <c r="AB424" s="470" t="s">
        <v>6463</v>
      </c>
      <c r="AC424" s="473">
        <v>152</v>
      </c>
      <c r="AD424" s="470" t="s">
        <v>110</v>
      </c>
      <c r="AE424" s="470"/>
      <c r="AF424" s="473">
        <v>25.9</v>
      </c>
      <c r="AG424" s="469">
        <v>29.5</v>
      </c>
      <c r="AH424" s="470" t="s">
        <v>6311</v>
      </c>
      <c r="AI424" s="470" t="s">
        <v>6340</v>
      </c>
      <c r="AJ424" s="470" t="s">
        <v>6493</v>
      </c>
      <c r="AK424" s="470" t="s">
        <v>6493</v>
      </c>
      <c r="AL424" s="470"/>
      <c r="AM424" s="470"/>
      <c r="AN424" s="470"/>
      <c r="AO424" s="470"/>
      <c r="AP424" s="470"/>
      <c r="AQ424" s="470"/>
      <c r="AR424" s="470"/>
      <c r="AS424" s="470"/>
      <c r="AT424" s="470"/>
      <c r="AU424" s="470"/>
      <c r="AV424" s="470"/>
      <c r="AW424" s="470"/>
      <c r="AX424" s="470"/>
      <c r="AY424" s="470"/>
      <c r="AZ424" s="470"/>
      <c r="BA424" s="470"/>
      <c r="BB424" s="470"/>
      <c r="BC424" s="470"/>
      <c r="BD424" s="470"/>
      <c r="BE424" s="470"/>
      <c r="BF424" s="470"/>
      <c r="BG424" s="470"/>
      <c r="BH424" s="470"/>
      <c r="BI424" s="470"/>
      <c r="BJ424" s="470"/>
      <c r="BK424" s="470"/>
      <c r="BL424" s="474"/>
    </row>
    <row r="425" spans="1:64">
      <c r="A425" s="475">
        <v>44216</v>
      </c>
      <c r="B425" s="478">
        <v>20</v>
      </c>
      <c r="C425" s="478">
        <v>345</v>
      </c>
      <c r="D425" s="476" t="s">
        <v>609</v>
      </c>
      <c r="E425" s="477">
        <v>3</v>
      </c>
      <c r="F425" s="476" t="s">
        <v>94</v>
      </c>
      <c r="G425" s="477">
        <v>534</v>
      </c>
      <c r="H425" s="476" t="s">
        <v>6245</v>
      </c>
      <c r="I425" s="476" t="s">
        <v>6257</v>
      </c>
      <c r="J425" s="477">
        <v>23</v>
      </c>
      <c r="K425" s="476" t="s">
        <v>6263</v>
      </c>
      <c r="L425" s="476" t="s">
        <v>6279</v>
      </c>
      <c r="M425" s="476" t="s">
        <v>9</v>
      </c>
      <c r="N425" s="478">
        <v>0</v>
      </c>
      <c r="O425" s="479"/>
      <c r="P425" s="479"/>
      <c r="Q425" s="479"/>
      <c r="R425" s="476"/>
      <c r="S425" s="479">
        <v>0.23559027777777777</v>
      </c>
      <c r="T425" s="479">
        <v>0.30225694444444445</v>
      </c>
      <c r="U425" s="479"/>
      <c r="V425" s="479"/>
      <c r="W425" s="479">
        <v>0.50510416666666669</v>
      </c>
      <c r="X425" s="479">
        <v>0.70795138888888898</v>
      </c>
      <c r="Y425" s="479">
        <v>0.47361111111111115</v>
      </c>
      <c r="Z425" s="479">
        <v>0.75069444444444444</v>
      </c>
      <c r="AA425" s="479" t="s">
        <v>1107</v>
      </c>
      <c r="AB425" s="476" t="s">
        <v>6464</v>
      </c>
      <c r="AC425" s="478">
        <v>130</v>
      </c>
      <c r="AD425" s="476" t="s">
        <v>113</v>
      </c>
      <c r="AE425" s="476" t="s">
        <v>6557</v>
      </c>
      <c r="AF425" s="478">
        <v>16.899999999999999</v>
      </c>
      <c r="AG425" s="477">
        <v>19.100000000000001</v>
      </c>
      <c r="AH425" s="476" t="s">
        <v>6312</v>
      </c>
      <c r="AI425" s="476" t="s">
        <v>974</v>
      </c>
      <c r="AJ425" s="476" t="s">
        <v>6493</v>
      </c>
      <c r="AK425" s="476" t="s">
        <v>6493</v>
      </c>
      <c r="AL425" s="476"/>
      <c r="AM425" s="476"/>
      <c r="AN425" s="476"/>
      <c r="AO425" s="476"/>
      <c r="AP425" s="476"/>
      <c r="AQ425" s="476"/>
      <c r="AR425" s="476"/>
      <c r="AS425" s="476"/>
      <c r="AT425" s="476"/>
      <c r="AU425" s="476"/>
      <c r="AV425" s="476"/>
      <c r="AW425" s="476"/>
      <c r="AX425" s="476"/>
      <c r="AY425" s="476"/>
      <c r="AZ425" s="476"/>
      <c r="BA425" s="476"/>
      <c r="BB425" s="476"/>
      <c r="BC425" s="476"/>
      <c r="BD425" s="476"/>
      <c r="BE425" s="476"/>
      <c r="BF425" s="476"/>
      <c r="BG425" s="476"/>
      <c r="BH425" s="476"/>
      <c r="BI425" s="476"/>
      <c r="BJ425" s="476"/>
      <c r="BK425" s="476"/>
      <c r="BL425" s="480"/>
    </row>
    <row r="426" spans="1:64">
      <c r="A426" s="468">
        <v>44217</v>
      </c>
      <c r="B426" s="473">
        <v>21</v>
      </c>
      <c r="C426" s="473">
        <v>344</v>
      </c>
      <c r="D426" s="470" t="s">
        <v>609</v>
      </c>
      <c r="E426" s="469">
        <v>3</v>
      </c>
      <c r="F426" s="470" t="s">
        <v>6714</v>
      </c>
      <c r="G426" s="469">
        <v>534</v>
      </c>
      <c r="H426" s="470" t="s">
        <v>6245</v>
      </c>
      <c r="I426" s="470" t="s">
        <v>6257</v>
      </c>
      <c r="J426" s="469">
        <v>24</v>
      </c>
      <c r="K426" s="470" t="s">
        <v>6264</v>
      </c>
      <c r="L426" s="470" t="s">
        <v>6280</v>
      </c>
      <c r="M426" s="470" t="s">
        <v>9</v>
      </c>
      <c r="N426" s="473">
        <v>0</v>
      </c>
      <c r="O426" s="471"/>
      <c r="P426" s="471"/>
      <c r="Q426" s="471"/>
      <c r="R426" s="470"/>
      <c r="S426" s="471">
        <v>0.23516203703703706</v>
      </c>
      <c r="T426" s="471">
        <v>0.30182870370370368</v>
      </c>
      <c r="U426" s="471"/>
      <c r="V426" s="471"/>
      <c r="W426" s="471">
        <v>0.5053009259259259</v>
      </c>
      <c r="X426" s="471">
        <v>0.70877314814814818</v>
      </c>
      <c r="Y426" s="471">
        <v>0.49027777777777781</v>
      </c>
      <c r="Z426" s="471">
        <v>0.77916666666666667</v>
      </c>
      <c r="AA426" s="471">
        <v>2.9861111111111113E-2</v>
      </c>
      <c r="AB426" s="470" t="s">
        <v>6464</v>
      </c>
      <c r="AC426" s="473">
        <v>130</v>
      </c>
      <c r="AD426" s="470" t="s">
        <v>113</v>
      </c>
      <c r="AE426" s="470"/>
      <c r="AF426" s="473">
        <v>7</v>
      </c>
      <c r="AG426" s="469">
        <v>7.8</v>
      </c>
      <c r="AH426" s="470" t="s">
        <v>6313</v>
      </c>
      <c r="AI426" s="470" t="s">
        <v>6316</v>
      </c>
      <c r="AJ426" s="470" t="s">
        <v>6493</v>
      </c>
      <c r="AK426" s="470" t="s">
        <v>6493</v>
      </c>
      <c r="AL426" s="470"/>
      <c r="AM426" s="470"/>
      <c r="AN426" s="470"/>
      <c r="AO426" s="470"/>
      <c r="AP426" s="470"/>
      <c r="AQ426" s="470"/>
      <c r="AR426" s="470"/>
      <c r="AS426" s="470"/>
      <c r="AT426" s="470"/>
      <c r="AU426" s="470"/>
      <c r="AV426" s="470"/>
      <c r="AW426" s="470"/>
      <c r="AX426" s="470"/>
      <c r="AY426" s="470"/>
      <c r="AZ426" s="470"/>
      <c r="BA426" s="470"/>
      <c r="BB426" s="470"/>
      <c r="BC426" s="470"/>
      <c r="BD426" s="470"/>
      <c r="BE426" s="470"/>
      <c r="BF426" s="470"/>
      <c r="BG426" s="470"/>
      <c r="BH426" s="470"/>
      <c r="BI426" s="470"/>
      <c r="BJ426" s="470"/>
      <c r="BK426" s="470"/>
      <c r="BL426" s="474"/>
    </row>
    <row r="427" spans="1:64">
      <c r="A427" s="475">
        <v>44218</v>
      </c>
      <c r="B427" s="478">
        <v>22</v>
      </c>
      <c r="C427" s="478">
        <v>343</v>
      </c>
      <c r="D427" s="476" t="s">
        <v>609</v>
      </c>
      <c r="E427" s="477">
        <v>3</v>
      </c>
      <c r="F427" s="476" t="s">
        <v>100</v>
      </c>
      <c r="G427" s="477">
        <v>534</v>
      </c>
      <c r="H427" s="476" t="s">
        <v>6245</v>
      </c>
      <c r="I427" s="476" t="s">
        <v>6257</v>
      </c>
      <c r="J427" s="477">
        <v>24</v>
      </c>
      <c r="K427" s="476" t="s">
        <v>6264</v>
      </c>
      <c r="L427" s="476" t="s">
        <v>6280</v>
      </c>
      <c r="M427" s="476" t="s">
        <v>10</v>
      </c>
      <c r="N427" s="478">
        <v>0</v>
      </c>
      <c r="O427" s="479"/>
      <c r="P427" s="479"/>
      <c r="Q427" s="479"/>
      <c r="R427" s="476"/>
      <c r="S427" s="479">
        <v>0.23469907407407409</v>
      </c>
      <c r="T427" s="479">
        <v>0.30136574074074074</v>
      </c>
      <c r="U427" s="479"/>
      <c r="V427" s="479"/>
      <c r="W427" s="479">
        <v>0.50548611111111108</v>
      </c>
      <c r="X427" s="479">
        <v>0.70960648148148142</v>
      </c>
      <c r="Y427" s="479">
        <v>0.50902777777777775</v>
      </c>
      <c r="Z427" s="479">
        <v>0.80902777777777779</v>
      </c>
      <c r="AA427" s="479">
        <v>7.1527777777777787E-2</v>
      </c>
      <c r="AB427" s="476" t="s">
        <v>6464</v>
      </c>
      <c r="AC427" s="478">
        <v>130</v>
      </c>
      <c r="AD427" s="476" t="s">
        <v>113</v>
      </c>
      <c r="AE427" s="476"/>
      <c r="AF427" s="478">
        <v>97</v>
      </c>
      <c r="AG427" s="477">
        <v>96.5</v>
      </c>
      <c r="AH427" s="476" t="s">
        <v>6313</v>
      </c>
      <c r="AI427" s="476" t="s">
        <v>6317</v>
      </c>
      <c r="AJ427" s="476" t="s">
        <v>6493</v>
      </c>
      <c r="AK427" s="476" t="s">
        <v>6493</v>
      </c>
      <c r="AL427" s="476" t="s">
        <v>6727</v>
      </c>
      <c r="AM427" s="476"/>
      <c r="AN427" s="476"/>
      <c r="AO427" s="476"/>
      <c r="AP427" s="476"/>
      <c r="AQ427" s="476"/>
      <c r="AR427" s="476"/>
      <c r="AS427" s="476"/>
      <c r="AT427" s="476"/>
      <c r="AU427" s="476"/>
      <c r="AV427" s="476"/>
      <c r="AW427" s="476"/>
      <c r="AX427" s="476"/>
      <c r="AY427" s="476"/>
      <c r="AZ427" s="476"/>
      <c r="BA427" s="476"/>
      <c r="BB427" s="476"/>
      <c r="BC427" s="476"/>
      <c r="BD427" s="476"/>
      <c r="BE427" s="476"/>
      <c r="BF427" s="476"/>
      <c r="BG427" s="476"/>
      <c r="BH427" s="476"/>
      <c r="BI427" s="476"/>
      <c r="BJ427" s="476"/>
      <c r="BK427" s="476"/>
      <c r="BL427" s="480"/>
    </row>
    <row r="428" spans="1:64">
      <c r="A428" s="468">
        <v>44219</v>
      </c>
      <c r="B428" s="473">
        <v>23</v>
      </c>
      <c r="C428" s="473">
        <v>342</v>
      </c>
      <c r="D428" s="470" t="s">
        <v>609</v>
      </c>
      <c r="E428" s="469">
        <v>3</v>
      </c>
      <c r="F428" s="470" t="s">
        <v>103</v>
      </c>
      <c r="G428" s="469">
        <v>534</v>
      </c>
      <c r="H428" s="470" t="s">
        <v>6245</v>
      </c>
      <c r="I428" s="470" t="s">
        <v>6257</v>
      </c>
      <c r="J428" s="469">
        <v>25</v>
      </c>
      <c r="K428" s="470" t="s">
        <v>6265</v>
      </c>
      <c r="L428" s="470" t="s">
        <v>6281</v>
      </c>
      <c r="M428" s="470" t="s">
        <v>9</v>
      </c>
      <c r="N428" s="473">
        <v>0</v>
      </c>
      <c r="O428" s="471"/>
      <c r="P428" s="471"/>
      <c r="Q428" s="471"/>
      <c r="R428" s="470"/>
      <c r="S428" s="471">
        <v>0.23422453703703705</v>
      </c>
      <c r="T428" s="471">
        <v>0.3008912037037037</v>
      </c>
      <c r="U428" s="471"/>
      <c r="V428" s="471"/>
      <c r="W428" s="471">
        <v>0.50567129629629626</v>
      </c>
      <c r="X428" s="471">
        <v>0.71043981481481477</v>
      </c>
      <c r="Y428" s="471">
        <v>0.52986111111111112</v>
      </c>
      <c r="Z428" s="471">
        <v>0.84097222222222223</v>
      </c>
      <c r="AA428" s="471">
        <v>0.11388888888888889</v>
      </c>
      <c r="AB428" s="470" t="s">
        <v>6464</v>
      </c>
      <c r="AC428" s="473">
        <v>130</v>
      </c>
      <c r="AD428" s="470" t="s">
        <v>113</v>
      </c>
      <c r="AE428" s="470"/>
      <c r="AF428" s="473">
        <v>87.6</v>
      </c>
      <c r="AG428" s="469">
        <v>85.6</v>
      </c>
      <c r="AH428" s="470" t="s">
        <v>6314</v>
      </c>
      <c r="AI428" s="470" t="s">
        <v>6318</v>
      </c>
      <c r="AJ428" s="470" t="s">
        <v>6493</v>
      </c>
      <c r="AK428" s="470" t="s">
        <v>6493</v>
      </c>
      <c r="AL428" s="470"/>
      <c r="AM428" s="470"/>
      <c r="AN428" s="470"/>
      <c r="AO428" s="470"/>
      <c r="AP428" s="470"/>
      <c r="AQ428" s="470"/>
      <c r="AR428" s="470"/>
      <c r="AS428" s="470"/>
      <c r="AT428" s="470"/>
      <c r="AU428" s="470"/>
      <c r="AV428" s="470"/>
      <c r="AW428" s="470"/>
      <c r="AX428" s="470"/>
      <c r="AY428" s="470"/>
      <c r="AZ428" s="470"/>
      <c r="BA428" s="470"/>
      <c r="BB428" s="470"/>
      <c r="BC428" s="470"/>
      <c r="BD428" s="470"/>
      <c r="BE428" s="470"/>
      <c r="BF428" s="470"/>
      <c r="BG428" s="470"/>
      <c r="BH428" s="470"/>
      <c r="BI428" s="470"/>
      <c r="BJ428" s="470"/>
      <c r="BK428" s="470"/>
      <c r="BL428" s="474"/>
    </row>
    <row r="429" spans="1:64">
      <c r="A429" s="475">
        <v>44220</v>
      </c>
      <c r="B429" s="478">
        <v>24</v>
      </c>
      <c r="C429" s="478">
        <v>341</v>
      </c>
      <c r="D429" s="476" t="s">
        <v>609</v>
      </c>
      <c r="E429" s="477">
        <v>3</v>
      </c>
      <c r="F429" s="476" t="s">
        <v>106</v>
      </c>
      <c r="G429" s="477">
        <v>534</v>
      </c>
      <c r="H429" s="476" t="s">
        <v>6245</v>
      </c>
      <c r="I429" s="476" t="s">
        <v>6257</v>
      </c>
      <c r="J429" s="477">
        <v>26</v>
      </c>
      <c r="K429" s="476" t="s">
        <v>6271</v>
      </c>
      <c r="L429" s="476" t="s">
        <v>6282</v>
      </c>
      <c r="M429" s="476" t="s">
        <v>9</v>
      </c>
      <c r="N429" s="478">
        <v>0</v>
      </c>
      <c r="O429" s="479"/>
      <c r="P429" s="479"/>
      <c r="Q429" s="479"/>
      <c r="R429" s="476"/>
      <c r="S429" s="479">
        <v>0.23372685185185185</v>
      </c>
      <c r="T429" s="479">
        <v>0.30039351851851853</v>
      </c>
      <c r="U429" s="479"/>
      <c r="V429" s="479"/>
      <c r="W429" s="479">
        <v>0.50583333333333336</v>
      </c>
      <c r="X429" s="479">
        <v>0.71127314814814813</v>
      </c>
      <c r="Y429" s="479">
        <v>0.55555555555555558</v>
      </c>
      <c r="Z429" s="479">
        <v>0.875</v>
      </c>
      <c r="AA429" s="479">
        <v>0.15555555555555556</v>
      </c>
      <c r="AB429" s="476" t="s">
        <v>6464</v>
      </c>
      <c r="AC429" s="478">
        <v>130</v>
      </c>
      <c r="AD429" s="476" t="s">
        <v>113</v>
      </c>
      <c r="AE429" s="476"/>
      <c r="AF429" s="478">
        <v>79.5</v>
      </c>
      <c r="AG429" s="477">
        <v>75.900000000000006</v>
      </c>
      <c r="AH429" s="476" t="s">
        <v>973</v>
      </c>
      <c r="AI429" s="476" t="s">
        <v>6319</v>
      </c>
      <c r="AJ429" s="476" t="s">
        <v>838</v>
      </c>
      <c r="AK429" s="476" t="s">
        <v>13</v>
      </c>
      <c r="AL429" s="476" t="s">
        <v>6728</v>
      </c>
      <c r="AM429" s="476" t="s">
        <v>6342</v>
      </c>
      <c r="AN429" s="476" t="s">
        <v>6980</v>
      </c>
      <c r="AO429" s="476" t="s">
        <v>6351</v>
      </c>
      <c r="AP429" s="476"/>
      <c r="AQ429" s="476"/>
      <c r="AR429" s="476"/>
      <c r="AS429" s="476"/>
      <c r="AT429" s="476"/>
      <c r="AU429" s="476"/>
      <c r="AV429" s="476"/>
      <c r="AW429" s="476"/>
      <c r="AX429" s="476"/>
      <c r="AY429" s="476"/>
      <c r="AZ429" s="476"/>
      <c r="BA429" s="476"/>
      <c r="BB429" s="476"/>
      <c r="BC429" s="476"/>
      <c r="BD429" s="476"/>
      <c r="BE429" s="476"/>
      <c r="BF429" s="476"/>
      <c r="BG429" s="476"/>
      <c r="BH429" s="476"/>
      <c r="BI429" s="476"/>
      <c r="BJ429" s="476"/>
      <c r="BK429" s="476"/>
      <c r="BL429" s="480"/>
    </row>
    <row r="430" spans="1:64">
      <c r="A430" s="468">
        <v>44221</v>
      </c>
      <c r="B430" s="473">
        <v>25</v>
      </c>
      <c r="C430" s="473">
        <v>340</v>
      </c>
      <c r="D430" s="470" t="s">
        <v>609</v>
      </c>
      <c r="E430" s="469">
        <v>4</v>
      </c>
      <c r="F430" s="470" t="s">
        <v>88</v>
      </c>
      <c r="G430" s="469">
        <v>534</v>
      </c>
      <c r="H430" s="470" t="s">
        <v>6245</v>
      </c>
      <c r="I430" s="470" t="s">
        <v>6257</v>
      </c>
      <c r="J430" s="469">
        <v>27</v>
      </c>
      <c r="K430" s="470" t="s">
        <v>6266</v>
      </c>
      <c r="L430" s="470" t="s">
        <v>6283</v>
      </c>
      <c r="M430" s="470" t="s">
        <v>9</v>
      </c>
      <c r="N430" s="473">
        <v>0</v>
      </c>
      <c r="O430" s="471"/>
      <c r="P430" s="471"/>
      <c r="Q430" s="471"/>
      <c r="R430" s="470"/>
      <c r="S430" s="471">
        <v>0.23320601851851852</v>
      </c>
      <c r="T430" s="471">
        <v>0.29987268518518517</v>
      </c>
      <c r="U430" s="471">
        <v>0.29930555555555555</v>
      </c>
      <c r="V430" s="471">
        <v>0.4368055555555555</v>
      </c>
      <c r="W430" s="471">
        <v>0.50599537037037035</v>
      </c>
      <c r="X430" s="471">
        <v>0.71211805555555552</v>
      </c>
      <c r="Y430" s="471">
        <v>0.58611111111111114</v>
      </c>
      <c r="Z430" s="471">
        <v>0.91041666666666676</v>
      </c>
      <c r="AA430" s="471">
        <v>0.19722222222222222</v>
      </c>
      <c r="AB430" s="470" t="s">
        <v>6464</v>
      </c>
      <c r="AC430" s="473">
        <v>130</v>
      </c>
      <c r="AD430" s="470" t="s">
        <v>113</v>
      </c>
      <c r="AE430" s="470"/>
      <c r="AF430" s="473">
        <v>73.2</v>
      </c>
      <c r="AG430" s="469">
        <v>67.900000000000006</v>
      </c>
      <c r="AH430" s="470" t="s">
        <v>6290</v>
      </c>
      <c r="AI430" s="470" t="s">
        <v>6341</v>
      </c>
      <c r="AJ430" s="470" t="s">
        <v>839</v>
      </c>
      <c r="AK430" s="470" t="s">
        <v>6493</v>
      </c>
      <c r="AL430" s="470" t="s">
        <v>6855</v>
      </c>
      <c r="AM430" s="470" t="s">
        <v>6343</v>
      </c>
      <c r="AN430" s="470" t="s">
        <v>6906</v>
      </c>
      <c r="AO430" s="470" t="s">
        <v>6346</v>
      </c>
      <c r="AP430" s="470"/>
      <c r="AQ430" s="470"/>
      <c r="AR430" s="470"/>
      <c r="AS430" s="470"/>
      <c r="AT430" s="470"/>
      <c r="AU430" s="470"/>
      <c r="AV430" s="470"/>
      <c r="AW430" s="470"/>
      <c r="AX430" s="470"/>
      <c r="AY430" s="470"/>
      <c r="AZ430" s="470"/>
      <c r="BA430" s="470"/>
      <c r="BB430" s="470"/>
      <c r="BC430" s="470"/>
      <c r="BD430" s="470"/>
      <c r="BE430" s="470"/>
      <c r="BF430" s="470"/>
      <c r="BG430" s="470"/>
      <c r="BH430" s="470"/>
      <c r="BI430" s="470"/>
      <c r="BJ430" s="470" t="s">
        <v>6360</v>
      </c>
      <c r="BK430" s="470"/>
      <c r="BL430" s="474"/>
    </row>
    <row r="431" spans="1:64">
      <c r="A431" s="475">
        <v>44222</v>
      </c>
      <c r="B431" s="478">
        <v>26</v>
      </c>
      <c r="C431" s="478">
        <v>339</v>
      </c>
      <c r="D431" s="476" t="s">
        <v>609</v>
      </c>
      <c r="E431" s="477">
        <v>4</v>
      </c>
      <c r="F431" s="476" t="s">
        <v>91</v>
      </c>
      <c r="G431" s="477">
        <v>534</v>
      </c>
      <c r="H431" s="476" t="s">
        <v>6245</v>
      </c>
      <c r="I431" s="476" t="s">
        <v>6257</v>
      </c>
      <c r="J431" s="477">
        <v>28</v>
      </c>
      <c r="K431" s="476" t="s">
        <v>6267</v>
      </c>
      <c r="L431" s="476" t="s">
        <v>6284</v>
      </c>
      <c r="M431" s="476" t="s">
        <v>9</v>
      </c>
      <c r="N431" s="478">
        <v>0</v>
      </c>
      <c r="O431" s="479"/>
      <c r="P431" s="479"/>
      <c r="Q431" s="479"/>
      <c r="R431" s="476"/>
      <c r="S431" s="479">
        <v>0.23266203703703703</v>
      </c>
      <c r="T431" s="479">
        <v>0.29932870370370374</v>
      </c>
      <c r="U431" s="479"/>
      <c r="V431" s="479"/>
      <c r="W431" s="479">
        <v>0.50614583333333341</v>
      </c>
      <c r="X431" s="479">
        <v>0.71296296296296291</v>
      </c>
      <c r="Y431" s="479">
        <v>0.62152777777777779</v>
      </c>
      <c r="Z431" s="479">
        <v>0.94791666666666663</v>
      </c>
      <c r="AA431" s="479">
        <v>0.23680555555555557</v>
      </c>
      <c r="AB431" s="476" t="s">
        <v>6464</v>
      </c>
      <c r="AC431" s="478">
        <v>130</v>
      </c>
      <c r="AD431" s="476" t="s">
        <v>113</v>
      </c>
      <c r="AE431" s="476"/>
      <c r="AF431" s="478">
        <v>69.3</v>
      </c>
      <c r="AG431" s="477">
        <v>62</v>
      </c>
      <c r="AH431" s="476" t="s">
        <v>6315</v>
      </c>
      <c r="AI431" s="476" t="s">
        <v>6320</v>
      </c>
      <c r="AJ431" s="476" t="s">
        <v>6493</v>
      </c>
      <c r="AK431" s="476" t="s">
        <v>6493</v>
      </c>
      <c r="AL431" s="476"/>
      <c r="AM431" s="476"/>
      <c r="AN431" s="476"/>
      <c r="AO431" s="476"/>
      <c r="AP431" s="476"/>
      <c r="AQ431" s="476"/>
      <c r="AR431" s="476"/>
      <c r="AS431" s="476"/>
      <c r="AT431" s="476"/>
      <c r="AU431" s="476"/>
      <c r="AV431" s="476"/>
      <c r="AW431" s="476"/>
      <c r="AX431" s="476"/>
      <c r="AY431" s="476"/>
      <c r="AZ431" s="476"/>
      <c r="BA431" s="476"/>
      <c r="BB431" s="476"/>
      <c r="BC431" s="476"/>
      <c r="BD431" s="476"/>
      <c r="BE431" s="476"/>
      <c r="BF431" s="476"/>
      <c r="BG431" s="476"/>
      <c r="BH431" s="476"/>
      <c r="BI431" s="476"/>
      <c r="BJ431" s="476"/>
      <c r="BK431" s="476"/>
      <c r="BL431" s="480"/>
    </row>
    <row r="432" spans="1:64">
      <c r="A432" s="468">
        <v>44223</v>
      </c>
      <c r="B432" s="473">
        <v>27</v>
      </c>
      <c r="C432" s="473">
        <v>338</v>
      </c>
      <c r="D432" s="470" t="s">
        <v>609</v>
      </c>
      <c r="E432" s="469">
        <v>4</v>
      </c>
      <c r="F432" s="470" t="s">
        <v>94</v>
      </c>
      <c r="G432" s="469">
        <v>534</v>
      </c>
      <c r="H432" s="470" t="s">
        <v>6245</v>
      </c>
      <c r="I432" s="470" t="s">
        <v>6257</v>
      </c>
      <c r="J432" s="469">
        <v>29</v>
      </c>
      <c r="K432" s="470" t="s">
        <v>6268</v>
      </c>
      <c r="L432" s="470" t="s">
        <v>6285</v>
      </c>
      <c r="M432" s="470" t="s">
        <v>9</v>
      </c>
      <c r="N432" s="473">
        <v>0</v>
      </c>
      <c r="O432" s="471"/>
      <c r="P432" s="471"/>
      <c r="Q432" s="471"/>
      <c r="R432" s="470"/>
      <c r="S432" s="471">
        <v>0.23209490740740743</v>
      </c>
      <c r="T432" s="471">
        <v>0.29876157407407405</v>
      </c>
      <c r="U432" s="471"/>
      <c r="V432" s="471"/>
      <c r="W432" s="471">
        <v>0.50628472222222221</v>
      </c>
      <c r="X432" s="471">
        <v>0.71381944444444445</v>
      </c>
      <c r="Y432" s="471">
        <v>0.66319444444444442</v>
      </c>
      <c r="Z432" s="471">
        <v>0.98611111111111116</v>
      </c>
      <c r="AA432" s="471">
        <v>0.27361111111111108</v>
      </c>
      <c r="AB432" s="470" t="s">
        <v>6464</v>
      </c>
      <c r="AC432" s="473">
        <v>130</v>
      </c>
      <c r="AD432" s="470" t="s">
        <v>113</v>
      </c>
      <c r="AE432" s="470"/>
      <c r="AF432" s="473">
        <v>67.900000000000006</v>
      </c>
      <c r="AG432" s="469">
        <v>58.4</v>
      </c>
      <c r="AH432" s="470" t="s">
        <v>6291</v>
      </c>
      <c r="AI432" s="470" t="s">
        <v>6321</v>
      </c>
      <c r="AJ432" s="470" t="s">
        <v>6493</v>
      </c>
      <c r="AK432" s="470" t="s">
        <v>6493</v>
      </c>
      <c r="AL432" s="470"/>
      <c r="AM432" s="470"/>
      <c r="AN432" s="470"/>
      <c r="AO432" s="470"/>
      <c r="AP432" s="470"/>
      <c r="AQ432" s="470"/>
      <c r="AR432" s="470"/>
      <c r="AS432" s="470"/>
      <c r="AT432" s="470"/>
      <c r="AU432" s="470"/>
      <c r="AV432" s="470"/>
      <c r="AW432" s="470"/>
      <c r="AX432" s="470"/>
      <c r="AY432" s="470"/>
      <c r="AZ432" s="470"/>
      <c r="BA432" s="470"/>
      <c r="BB432" s="470"/>
      <c r="BC432" s="470"/>
      <c r="BD432" s="470"/>
      <c r="BE432" s="470"/>
      <c r="BF432" s="470"/>
      <c r="BG432" s="470"/>
      <c r="BH432" s="470"/>
      <c r="BI432" s="470"/>
      <c r="BJ432" s="470"/>
      <c r="BK432" s="470"/>
      <c r="BL432" s="474"/>
    </row>
    <row r="433" spans="1:64">
      <c r="A433" s="475">
        <v>44224</v>
      </c>
      <c r="B433" s="478">
        <v>28</v>
      </c>
      <c r="C433" s="478">
        <v>337</v>
      </c>
      <c r="D433" s="476" t="s">
        <v>609</v>
      </c>
      <c r="E433" s="477">
        <v>4</v>
      </c>
      <c r="F433" s="476" t="s">
        <v>6714</v>
      </c>
      <c r="G433" s="477">
        <v>534</v>
      </c>
      <c r="H433" s="476" t="s">
        <v>6245</v>
      </c>
      <c r="I433" s="476" t="s">
        <v>6257</v>
      </c>
      <c r="J433" s="477">
        <v>30</v>
      </c>
      <c r="K433" s="476" t="s">
        <v>6272</v>
      </c>
      <c r="L433" s="476" t="s">
        <v>6288</v>
      </c>
      <c r="M433" s="476" t="s">
        <v>9</v>
      </c>
      <c r="N433" s="478">
        <v>0</v>
      </c>
      <c r="O433" s="479"/>
      <c r="P433" s="479"/>
      <c r="Q433" s="479"/>
      <c r="R433" s="476"/>
      <c r="S433" s="479">
        <v>0.23151620370370371</v>
      </c>
      <c r="T433" s="479">
        <v>0.29818287037037033</v>
      </c>
      <c r="U433" s="479"/>
      <c r="V433" s="479"/>
      <c r="W433" s="479">
        <v>0.50642361111111112</v>
      </c>
      <c r="X433" s="479">
        <v>0.71466435185185195</v>
      </c>
      <c r="Y433" s="479">
        <v>0.70833333333333337</v>
      </c>
      <c r="Z433" s="479" t="s">
        <v>1107</v>
      </c>
      <c r="AA433" s="479">
        <v>0.30624999999999997</v>
      </c>
      <c r="AB433" s="476" t="s">
        <v>6462</v>
      </c>
      <c r="AC433" s="478">
        <v>129</v>
      </c>
      <c r="AD433" s="476" t="s">
        <v>116</v>
      </c>
      <c r="AE433" s="476" t="s">
        <v>6558</v>
      </c>
      <c r="AF433" s="478">
        <v>69.3</v>
      </c>
      <c r="AG433" s="477">
        <v>57.2</v>
      </c>
      <c r="AH433" s="476" t="s">
        <v>6292</v>
      </c>
      <c r="AI433" s="476" t="s">
        <v>6322</v>
      </c>
      <c r="AJ433" s="476" t="s">
        <v>839</v>
      </c>
      <c r="AK433" s="476" t="s">
        <v>6493</v>
      </c>
      <c r="AL433" s="476" t="s">
        <v>809</v>
      </c>
      <c r="AM433" s="476" t="s">
        <v>6344</v>
      </c>
      <c r="AN433" s="476" t="s">
        <v>6907</v>
      </c>
      <c r="AO433" s="476"/>
      <c r="AP433" s="476"/>
      <c r="AQ433" s="476"/>
      <c r="AR433" s="476"/>
      <c r="AS433" s="476"/>
      <c r="AT433" s="476"/>
      <c r="AU433" s="476"/>
      <c r="AV433" s="476"/>
      <c r="AW433" s="476"/>
      <c r="AX433" s="476"/>
      <c r="AY433" s="476"/>
      <c r="AZ433" s="476"/>
      <c r="BA433" s="476"/>
      <c r="BB433" s="476"/>
      <c r="BC433" s="476"/>
      <c r="BD433" s="476"/>
      <c r="BE433" s="476"/>
      <c r="BF433" s="476"/>
      <c r="BG433" s="476"/>
      <c r="BH433" s="476"/>
      <c r="BI433" s="476"/>
      <c r="BJ433" s="476" t="s">
        <v>6361</v>
      </c>
      <c r="BK433" s="476"/>
      <c r="BL433" s="480"/>
    </row>
    <row r="434" spans="1:64">
      <c r="A434" s="468">
        <v>44225</v>
      </c>
      <c r="B434" s="473">
        <v>29</v>
      </c>
      <c r="C434" s="473">
        <v>336</v>
      </c>
      <c r="D434" s="470" t="s">
        <v>609</v>
      </c>
      <c r="E434" s="469">
        <v>4</v>
      </c>
      <c r="F434" s="470" t="s">
        <v>100</v>
      </c>
      <c r="G434" s="469">
        <v>534</v>
      </c>
      <c r="H434" s="470" t="s">
        <v>6246</v>
      </c>
      <c r="I434" s="470" t="s">
        <v>836</v>
      </c>
      <c r="J434" s="469">
        <v>1</v>
      </c>
      <c r="K434" s="470" t="s">
        <v>6270</v>
      </c>
      <c r="L434" s="470" t="s">
        <v>6287</v>
      </c>
      <c r="M434" s="470" t="s">
        <v>9</v>
      </c>
      <c r="N434" s="473">
        <v>0</v>
      </c>
      <c r="O434" s="471"/>
      <c r="P434" s="471"/>
      <c r="Q434" s="471"/>
      <c r="R434" s="470"/>
      <c r="S434" s="471">
        <v>0.23090277777777779</v>
      </c>
      <c r="T434" s="471">
        <v>0.29756944444444444</v>
      </c>
      <c r="U434" s="471"/>
      <c r="V434" s="471"/>
      <c r="W434" s="471">
        <v>0.50655092592592588</v>
      </c>
      <c r="X434" s="471">
        <v>0.71552083333333327</v>
      </c>
      <c r="Y434" s="471">
        <v>0.75763888888888886</v>
      </c>
      <c r="Z434" s="471">
        <v>2.361111111111111E-2</v>
      </c>
      <c r="AA434" s="471">
        <v>0.33402777777777781</v>
      </c>
      <c r="AB434" s="470" t="s">
        <v>6462</v>
      </c>
      <c r="AC434" s="473">
        <v>129</v>
      </c>
      <c r="AD434" s="470" t="s">
        <v>116</v>
      </c>
      <c r="AE434" s="470"/>
      <c r="AF434" s="473">
        <v>73.2</v>
      </c>
      <c r="AG434" s="469">
        <v>58.4</v>
      </c>
      <c r="AH434" s="470" t="s">
        <v>6293</v>
      </c>
      <c r="AI434" s="470" t="s">
        <v>6324</v>
      </c>
      <c r="AJ434" s="470" t="s">
        <v>6493</v>
      </c>
      <c r="AK434" s="470" t="s">
        <v>6493</v>
      </c>
      <c r="AL434" s="470" t="s">
        <v>6730</v>
      </c>
      <c r="AM434" s="470"/>
      <c r="AN434" s="470" t="s">
        <v>6908</v>
      </c>
      <c r="AO434" s="470"/>
      <c r="AP434" s="470"/>
      <c r="AQ434" s="470"/>
      <c r="AR434" s="470"/>
      <c r="AS434" s="470"/>
      <c r="AT434" s="470"/>
      <c r="AU434" s="470"/>
      <c r="AV434" s="470"/>
      <c r="AW434" s="470"/>
      <c r="AX434" s="470"/>
      <c r="AY434" s="470"/>
      <c r="AZ434" s="470"/>
      <c r="BA434" s="470"/>
      <c r="BB434" s="470"/>
      <c r="BC434" s="470"/>
      <c r="BD434" s="470"/>
      <c r="BE434" s="470"/>
      <c r="BF434" s="470"/>
      <c r="BG434" s="470"/>
      <c r="BH434" s="470"/>
      <c r="BI434" s="470"/>
      <c r="BJ434" s="470"/>
      <c r="BK434" s="470"/>
      <c r="BL434" s="474"/>
    </row>
    <row r="435" spans="1:64">
      <c r="A435" s="475">
        <v>44226</v>
      </c>
      <c r="B435" s="478">
        <v>30</v>
      </c>
      <c r="C435" s="478">
        <v>335</v>
      </c>
      <c r="D435" s="476" t="s">
        <v>609</v>
      </c>
      <c r="E435" s="477">
        <v>4</v>
      </c>
      <c r="F435" s="476" t="s">
        <v>103</v>
      </c>
      <c r="G435" s="477">
        <v>534</v>
      </c>
      <c r="H435" s="476" t="s">
        <v>6246</v>
      </c>
      <c r="I435" s="476" t="s">
        <v>836</v>
      </c>
      <c r="J435" s="477">
        <v>2</v>
      </c>
      <c r="K435" s="476" t="s">
        <v>1034</v>
      </c>
      <c r="L435" s="476" t="s">
        <v>6273</v>
      </c>
      <c r="M435" s="476" t="s">
        <v>9</v>
      </c>
      <c r="N435" s="478">
        <v>0</v>
      </c>
      <c r="O435" s="479"/>
      <c r="P435" s="479"/>
      <c r="Q435" s="479"/>
      <c r="R435" s="476"/>
      <c r="S435" s="479">
        <v>0.23027777777777778</v>
      </c>
      <c r="T435" s="479">
        <v>0.29694444444444446</v>
      </c>
      <c r="U435" s="479"/>
      <c r="V435" s="479"/>
      <c r="W435" s="479">
        <v>0.50665509259259256</v>
      </c>
      <c r="X435" s="479">
        <v>0.71637731481481481</v>
      </c>
      <c r="Y435" s="479">
        <v>0.80625000000000002</v>
      </c>
      <c r="Z435" s="479">
        <v>5.9722222222222225E-2</v>
      </c>
      <c r="AA435" s="479">
        <v>0.35833333333333334</v>
      </c>
      <c r="AB435" s="476" t="s">
        <v>6462</v>
      </c>
      <c r="AC435" s="478">
        <v>129</v>
      </c>
      <c r="AD435" s="476" t="s">
        <v>116</v>
      </c>
      <c r="AE435" s="476"/>
      <c r="AF435" s="478">
        <v>79.3</v>
      </c>
      <c r="AG435" s="477">
        <v>61.5</v>
      </c>
      <c r="AH435" s="476" t="s">
        <v>6294</v>
      </c>
      <c r="AI435" s="476" t="s">
        <v>6325</v>
      </c>
      <c r="AJ435" s="476" t="s">
        <v>6493</v>
      </c>
      <c r="AK435" s="476" t="s">
        <v>6493</v>
      </c>
      <c r="AL435" s="476"/>
      <c r="AM435" s="476"/>
      <c r="AN435" s="476"/>
      <c r="AO435" s="476"/>
      <c r="AP435" s="476"/>
      <c r="AQ435" s="476"/>
      <c r="AR435" s="476"/>
      <c r="AS435" s="476"/>
      <c r="AT435" s="476"/>
      <c r="AU435" s="476"/>
      <c r="AV435" s="476"/>
      <c r="AW435" s="476"/>
      <c r="AX435" s="476"/>
      <c r="AY435" s="476"/>
      <c r="AZ435" s="476"/>
      <c r="BA435" s="476"/>
      <c r="BB435" s="476"/>
      <c r="BC435" s="476"/>
      <c r="BD435" s="476"/>
      <c r="BE435" s="476"/>
      <c r="BF435" s="476"/>
      <c r="BG435" s="476"/>
      <c r="BH435" s="476"/>
      <c r="BI435" s="476"/>
      <c r="BJ435" s="476"/>
      <c r="BK435" s="476"/>
      <c r="BL435" s="480"/>
    </row>
    <row r="436" spans="1:64">
      <c r="A436" s="468">
        <v>44227</v>
      </c>
      <c r="B436" s="473">
        <v>31</v>
      </c>
      <c r="C436" s="473">
        <v>334</v>
      </c>
      <c r="D436" s="470" t="s">
        <v>609</v>
      </c>
      <c r="E436" s="469">
        <v>4</v>
      </c>
      <c r="F436" s="470" t="s">
        <v>106</v>
      </c>
      <c r="G436" s="469">
        <v>534</v>
      </c>
      <c r="H436" s="470" t="s">
        <v>6246</v>
      </c>
      <c r="I436" s="470" t="s">
        <v>836</v>
      </c>
      <c r="J436" s="469">
        <v>3</v>
      </c>
      <c r="K436" s="470" t="s">
        <v>6258</v>
      </c>
      <c r="L436" s="470" t="s">
        <v>6274</v>
      </c>
      <c r="M436" s="470" t="s">
        <v>9</v>
      </c>
      <c r="N436" s="473">
        <v>0</v>
      </c>
      <c r="O436" s="471"/>
      <c r="P436" s="471"/>
      <c r="Q436" s="471"/>
      <c r="R436" s="470"/>
      <c r="S436" s="471">
        <v>0.22962962962962963</v>
      </c>
      <c r="T436" s="471">
        <v>0.29629629629629628</v>
      </c>
      <c r="U436" s="471"/>
      <c r="V436" s="471"/>
      <c r="W436" s="471">
        <v>0.50675925925925924</v>
      </c>
      <c r="X436" s="471">
        <v>0.71723379629629624</v>
      </c>
      <c r="Y436" s="471">
        <v>0.85625000000000007</v>
      </c>
      <c r="Z436" s="471">
        <v>9.5138888888888884E-2</v>
      </c>
      <c r="AA436" s="471">
        <v>0.37986111111111115</v>
      </c>
      <c r="AB436" s="470" t="s">
        <v>6462</v>
      </c>
      <c r="AC436" s="473">
        <v>129</v>
      </c>
      <c r="AD436" s="470" t="s">
        <v>116</v>
      </c>
      <c r="AE436" s="470"/>
      <c r="AF436" s="473">
        <v>87.1</v>
      </c>
      <c r="AG436" s="469">
        <v>66.099999999999994</v>
      </c>
      <c r="AH436" s="470" t="s">
        <v>6295</v>
      </c>
      <c r="AI436" s="470" t="s">
        <v>6326</v>
      </c>
      <c r="AJ436" s="470" t="s">
        <v>6493</v>
      </c>
      <c r="AK436" s="470" t="s">
        <v>6493</v>
      </c>
      <c r="AL436" s="470"/>
      <c r="AM436" s="470"/>
      <c r="AN436" s="470"/>
      <c r="AO436" s="470"/>
      <c r="AP436" s="470"/>
      <c r="AQ436" s="470"/>
      <c r="AR436" s="470"/>
      <c r="AS436" s="470"/>
      <c r="AT436" s="470"/>
      <c r="AU436" s="470"/>
      <c r="AV436" s="470"/>
      <c r="AW436" s="470"/>
      <c r="AX436" s="470"/>
      <c r="AY436" s="470"/>
      <c r="AZ436" s="470"/>
      <c r="BA436" s="470"/>
      <c r="BB436" s="470"/>
      <c r="BC436" s="470"/>
      <c r="BD436" s="470"/>
      <c r="BE436" s="470"/>
      <c r="BF436" s="470"/>
      <c r="BG436" s="470"/>
      <c r="BH436" s="470"/>
      <c r="BI436" s="470"/>
      <c r="BJ436" s="470"/>
      <c r="BK436" s="470"/>
      <c r="BL436" s="474"/>
    </row>
    <row r="437" spans="1:64">
      <c r="A437" s="475">
        <v>44228</v>
      </c>
      <c r="B437" s="478">
        <v>32</v>
      </c>
      <c r="C437" s="478">
        <v>333</v>
      </c>
      <c r="D437" s="476" t="s">
        <v>612</v>
      </c>
      <c r="E437" s="477">
        <v>5</v>
      </c>
      <c r="F437" s="476" t="s">
        <v>88</v>
      </c>
      <c r="G437" s="477">
        <v>534</v>
      </c>
      <c r="H437" s="476" t="s">
        <v>6246</v>
      </c>
      <c r="I437" s="476" t="s">
        <v>836</v>
      </c>
      <c r="J437" s="477">
        <v>4</v>
      </c>
      <c r="K437" s="476" t="s">
        <v>6259</v>
      </c>
      <c r="L437" s="476" t="s">
        <v>6275</v>
      </c>
      <c r="M437" s="476" t="s">
        <v>9</v>
      </c>
      <c r="N437" s="478">
        <v>0</v>
      </c>
      <c r="O437" s="479"/>
      <c r="P437" s="479"/>
      <c r="Q437" s="479"/>
      <c r="R437" s="476"/>
      <c r="S437" s="479">
        <v>0.22895833333333335</v>
      </c>
      <c r="T437" s="479">
        <v>0.29562499999999997</v>
      </c>
      <c r="U437" s="479"/>
      <c r="V437" s="479"/>
      <c r="W437" s="479">
        <v>0.50686342592592593</v>
      </c>
      <c r="X437" s="479">
        <v>0.71809027777777779</v>
      </c>
      <c r="Y437" s="479">
        <v>0.90555555555555556</v>
      </c>
      <c r="Z437" s="479">
        <v>0.12986111111111112</v>
      </c>
      <c r="AA437" s="479">
        <v>0.39861111111111108</v>
      </c>
      <c r="AB437" s="476" t="s">
        <v>6462</v>
      </c>
      <c r="AC437" s="478">
        <v>129</v>
      </c>
      <c r="AD437" s="476" t="s">
        <v>116</v>
      </c>
      <c r="AE437" s="476"/>
      <c r="AF437" s="478">
        <v>96.1</v>
      </c>
      <c r="AG437" s="477">
        <v>71.8</v>
      </c>
      <c r="AH437" s="476" t="s">
        <v>6296</v>
      </c>
      <c r="AI437" s="476" t="s">
        <v>6327</v>
      </c>
      <c r="AJ437" s="476" t="s">
        <v>6493</v>
      </c>
      <c r="AK437" s="476" t="s">
        <v>6493</v>
      </c>
      <c r="AL437" s="476"/>
      <c r="AM437" s="476"/>
      <c r="AN437" s="476"/>
      <c r="AO437" s="476"/>
      <c r="AP437" s="476"/>
      <c r="AQ437" s="476"/>
      <c r="AR437" s="476"/>
      <c r="AS437" s="476"/>
      <c r="AT437" s="476"/>
      <c r="AU437" s="476"/>
      <c r="AV437" s="476"/>
      <c r="AW437" s="476"/>
      <c r="AX437" s="476"/>
      <c r="AY437" s="476"/>
      <c r="AZ437" s="476"/>
      <c r="BA437" s="476"/>
      <c r="BB437" s="476"/>
      <c r="BC437" s="476"/>
      <c r="BD437" s="476"/>
      <c r="BE437" s="476"/>
      <c r="BF437" s="476"/>
      <c r="BG437" s="476"/>
      <c r="BH437" s="476"/>
      <c r="BI437" s="476"/>
      <c r="BJ437" s="476"/>
      <c r="BK437" s="476"/>
      <c r="BL437" s="480"/>
    </row>
    <row r="438" spans="1:64">
      <c r="A438" s="468">
        <v>44229</v>
      </c>
      <c r="B438" s="473">
        <v>33</v>
      </c>
      <c r="C438" s="473">
        <v>332</v>
      </c>
      <c r="D438" s="470" t="s">
        <v>612</v>
      </c>
      <c r="E438" s="469">
        <v>5</v>
      </c>
      <c r="F438" s="470" t="s">
        <v>91</v>
      </c>
      <c r="G438" s="469">
        <v>534</v>
      </c>
      <c r="H438" s="470" t="s">
        <v>6246</v>
      </c>
      <c r="I438" s="470" t="s">
        <v>836</v>
      </c>
      <c r="J438" s="469">
        <v>6</v>
      </c>
      <c r="K438" s="470" t="s">
        <v>6261</v>
      </c>
      <c r="L438" s="470" t="s">
        <v>6276</v>
      </c>
      <c r="M438" s="470" t="s">
        <v>9</v>
      </c>
      <c r="N438" s="473">
        <v>0</v>
      </c>
      <c r="O438" s="471">
        <v>0.33124999999999999</v>
      </c>
      <c r="P438" s="471">
        <v>0.24374999999999999</v>
      </c>
      <c r="Q438" s="471"/>
      <c r="R438" s="470"/>
      <c r="S438" s="471">
        <v>0.22827546296296297</v>
      </c>
      <c r="T438" s="471">
        <v>0.29494212962962962</v>
      </c>
      <c r="U438" s="471"/>
      <c r="V438" s="471"/>
      <c r="W438" s="471">
        <v>0.50694444444444442</v>
      </c>
      <c r="X438" s="471">
        <v>0.71894675925925933</v>
      </c>
      <c r="Y438" s="471">
        <v>0.95486111111111116</v>
      </c>
      <c r="Z438" s="471">
        <v>0.16319444444444445</v>
      </c>
      <c r="AA438" s="471">
        <v>0.41805555555555557</v>
      </c>
      <c r="AB438" s="470" t="s">
        <v>6462</v>
      </c>
      <c r="AC438" s="473">
        <v>129</v>
      </c>
      <c r="AD438" s="470" t="s">
        <v>116</v>
      </c>
      <c r="AE438" s="470"/>
      <c r="AF438" s="473">
        <v>5.6</v>
      </c>
      <c r="AG438" s="469">
        <v>77.900000000000006</v>
      </c>
      <c r="AH438" s="470" t="s">
        <v>6297</v>
      </c>
      <c r="AI438" s="470" t="s">
        <v>6328</v>
      </c>
      <c r="AJ438" s="470" t="s">
        <v>839</v>
      </c>
      <c r="AK438" s="470" t="s">
        <v>6493</v>
      </c>
      <c r="AL438" s="470" t="s">
        <v>6732</v>
      </c>
      <c r="AM438" s="470" t="s">
        <v>6346</v>
      </c>
      <c r="AN438" s="470" t="s">
        <v>6909</v>
      </c>
      <c r="AO438" s="470" t="s">
        <v>6346</v>
      </c>
      <c r="AP438" s="470" t="s">
        <v>6893</v>
      </c>
      <c r="AQ438" s="470" t="s">
        <v>6346</v>
      </c>
      <c r="AR438" s="470" t="s">
        <v>7071</v>
      </c>
      <c r="AS438" s="470"/>
      <c r="AT438" s="470"/>
      <c r="AU438" s="470"/>
      <c r="AV438" s="470"/>
      <c r="AW438" s="470"/>
      <c r="AX438" s="470"/>
      <c r="AY438" s="470"/>
      <c r="AZ438" s="470"/>
      <c r="BA438" s="470"/>
      <c r="BB438" s="470"/>
      <c r="BC438" s="470"/>
      <c r="BD438" s="470"/>
      <c r="BE438" s="470"/>
      <c r="BF438" s="470"/>
      <c r="BG438" s="470"/>
      <c r="BH438" s="470"/>
      <c r="BI438" s="470"/>
      <c r="BJ438" s="470" t="s">
        <v>7099</v>
      </c>
      <c r="BK438" s="470"/>
      <c r="BL438" s="474"/>
    </row>
    <row r="439" spans="1:64">
      <c r="A439" s="475">
        <v>44230</v>
      </c>
      <c r="B439" s="478">
        <v>34</v>
      </c>
      <c r="C439" s="478">
        <v>331</v>
      </c>
      <c r="D439" s="476" t="s">
        <v>612</v>
      </c>
      <c r="E439" s="477">
        <v>5</v>
      </c>
      <c r="F439" s="476" t="s">
        <v>94</v>
      </c>
      <c r="G439" s="477">
        <v>534</v>
      </c>
      <c r="H439" s="476" t="s">
        <v>6246</v>
      </c>
      <c r="I439" s="476" t="s">
        <v>836</v>
      </c>
      <c r="J439" s="477">
        <v>7</v>
      </c>
      <c r="K439" s="476" t="s">
        <v>6262</v>
      </c>
      <c r="L439" s="476" t="s">
        <v>6278</v>
      </c>
      <c r="M439" s="476" t="s">
        <v>9</v>
      </c>
      <c r="N439" s="478">
        <v>0</v>
      </c>
      <c r="O439" s="479"/>
      <c r="P439" s="479"/>
      <c r="Q439" s="479"/>
      <c r="R439" s="476"/>
      <c r="S439" s="479">
        <v>0.22755787037037037</v>
      </c>
      <c r="T439" s="479">
        <v>0.29422453703703705</v>
      </c>
      <c r="U439" s="479"/>
      <c r="V439" s="479"/>
      <c r="W439" s="479">
        <v>0.50701388888888888</v>
      </c>
      <c r="X439" s="479">
        <v>0.71980324074074076</v>
      </c>
      <c r="Y439" s="479" t="s">
        <v>1107</v>
      </c>
      <c r="Z439" s="479">
        <v>0.19722222222222222</v>
      </c>
      <c r="AA439" s="479">
        <v>0.4375</v>
      </c>
      <c r="AB439" s="476" t="s">
        <v>6462</v>
      </c>
      <c r="AC439" s="478">
        <v>129</v>
      </c>
      <c r="AD439" s="476" t="s">
        <v>116</v>
      </c>
      <c r="AE439" s="476"/>
      <c r="AF439" s="478">
        <v>15.1</v>
      </c>
      <c r="AG439" s="477">
        <v>84.2</v>
      </c>
      <c r="AH439" s="476" t="s">
        <v>6298</v>
      </c>
      <c r="AI439" s="476" t="s">
        <v>6329</v>
      </c>
      <c r="AJ439" s="476" t="s">
        <v>839</v>
      </c>
      <c r="AK439" s="476" t="s">
        <v>6493</v>
      </c>
      <c r="AL439" s="476" t="s">
        <v>6733</v>
      </c>
      <c r="AM439" s="476" t="s">
        <v>6346</v>
      </c>
      <c r="AN439" s="476"/>
      <c r="AO439" s="476"/>
      <c r="AP439" s="476"/>
      <c r="AQ439" s="476"/>
      <c r="AR439" s="476"/>
      <c r="AS439" s="476"/>
      <c r="AT439" s="476"/>
      <c r="AU439" s="476"/>
      <c r="AV439" s="476"/>
      <c r="AW439" s="476"/>
      <c r="AX439" s="476"/>
      <c r="AY439" s="476"/>
      <c r="AZ439" s="476"/>
      <c r="BA439" s="476"/>
      <c r="BB439" s="476"/>
      <c r="BC439" s="476"/>
      <c r="BD439" s="476"/>
      <c r="BE439" s="476"/>
      <c r="BF439" s="476"/>
      <c r="BG439" s="476"/>
      <c r="BH439" s="476"/>
      <c r="BI439" s="476"/>
      <c r="BJ439" s="476" t="s">
        <v>6364</v>
      </c>
      <c r="BK439" s="476"/>
      <c r="BL439" s="480"/>
    </row>
    <row r="440" spans="1:64">
      <c r="A440" s="468">
        <v>44231</v>
      </c>
      <c r="B440" s="473">
        <v>35</v>
      </c>
      <c r="C440" s="473">
        <v>330</v>
      </c>
      <c r="D440" s="470" t="s">
        <v>612</v>
      </c>
      <c r="E440" s="469">
        <v>5</v>
      </c>
      <c r="F440" s="470" t="s">
        <v>6714</v>
      </c>
      <c r="G440" s="469">
        <v>534</v>
      </c>
      <c r="H440" s="470" t="s">
        <v>6246</v>
      </c>
      <c r="I440" s="470" t="s">
        <v>836</v>
      </c>
      <c r="J440" s="469">
        <v>8</v>
      </c>
      <c r="K440" s="470" t="s">
        <v>6263</v>
      </c>
      <c r="L440" s="470" t="s">
        <v>6279</v>
      </c>
      <c r="M440" s="470" t="s">
        <v>9</v>
      </c>
      <c r="N440" s="473">
        <v>0</v>
      </c>
      <c r="O440" s="471"/>
      <c r="P440" s="471"/>
      <c r="Q440" s="471"/>
      <c r="R440" s="470"/>
      <c r="S440" s="471">
        <v>0.22684027777777779</v>
      </c>
      <c r="T440" s="471">
        <v>0.29350694444444442</v>
      </c>
      <c r="U440" s="471"/>
      <c r="V440" s="471"/>
      <c r="W440" s="471">
        <v>0.50708333333333333</v>
      </c>
      <c r="X440" s="471">
        <v>0.72067129629629623</v>
      </c>
      <c r="Y440" s="471">
        <v>4.8611111111111112E-3</v>
      </c>
      <c r="Z440" s="471">
        <v>0.23263888888888887</v>
      </c>
      <c r="AA440" s="471">
        <v>0.45833333333333331</v>
      </c>
      <c r="AB440" s="470" t="s">
        <v>6289</v>
      </c>
      <c r="AC440" s="473">
        <v>131</v>
      </c>
      <c r="AD440" s="470" t="s">
        <v>119</v>
      </c>
      <c r="AE440" s="470" t="s">
        <v>6601</v>
      </c>
      <c r="AF440" s="473">
        <v>24.5</v>
      </c>
      <c r="AG440" s="469">
        <v>90.2</v>
      </c>
      <c r="AH440" s="470" t="s">
        <v>6299</v>
      </c>
      <c r="AI440" s="470" t="s">
        <v>6330</v>
      </c>
      <c r="AJ440" s="470" t="s">
        <v>6493</v>
      </c>
      <c r="AK440" s="470" t="s">
        <v>6493</v>
      </c>
      <c r="AL440" s="470"/>
      <c r="AM440" s="470"/>
      <c r="AN440" s="470"/>
      <c r="AO440" s="470"/>
      <c r="AP440" s="470"/>
      <c r="AQ440" s="470"/>
      <c r="AR440" s="470"/>
      <c r="AS440" s="470"/>
      <c r="AT440" s="470"/>
      <c r="AU440" s="470"/>
      <c r="AV440" s="470"/>
      <c r="AW440" s="470"/>
      <c r="AX440" s="470"/>
      <c r="AY440" s="470"/>
      <c r="AZ440" s="470"/>
      <c r="BA440" s="470"/>
      <c r="BB440" s="470"/>
      <c r="BC440" s="470"/>
      <c r="BD440" s="470"/>
      <c r="BE440" s="470"/>
      <c r="BF440" s="470"/>
      <c r="BG440" s="470"/>
      <c r="BH440" s="470"/>
      <c r="BI440" s="470"/>
      <c r="BJ440" s="470"/>
      <c r="BK440" s="470"/>
      <c r="BL440" s="474"/>
    </row>
    <row r="441" spans="1:64">
      <c r="A441" s="475">
        <v>44232</v>
      </c>
      <c r="B441" s="478">
        <v>36</v>
      </c>
      <c r="C441" s="478">
        <v>329</v>
      </c>
      <c r="D441" s="476" t="s">
        <v>612</v>
      </c>
      <c r="E441" s="477">
        <v>5</v>
      </c>
      <c r="F441" s="476" t="s">
        <v>100</v>
      </c>
      <c r="G441" s="477">
        <v>534</v>
      </c>
      <c r="H441" s="476" t="s">
        <v>6246</v>
      </c>
      <c r="I441" s="476" t="s">
        <v>836</v>
      </c>
      <c r="J441" s="477">
        <v>9</v>
      </c>
      <c r="K441" s="476" t="s">
        <v>6264</v>
      </c>
      <c r="L441" s="476" t="s">
        <v>6280</v>
      </c>
      <c r="M441" s="476" t="s">
        <v>9</v>
      </c>
      <c r="N441" s="478">
        <v>0</v>
      </c>
      <c r="O441" s="479"/>
      <c r="P441" s="479"/>
      <c r="Q441" s="479"/>
      <c r="R441" s="476"/>
      <c r="S441" s="479">
        <v>0.22608796296296296</v>
      </c>
      <c r="T441" s="479">
        <v>0.29275462962962961</v>
      </c>
      <c r="U441" s="479"/>
      <c r="V441" s="479"/>
      <c r="W441" s="479">
        <v>0.50714120370370364</v>
      </c>
      <c r="X441" s="479">
        <v>0.72152777777777777</v>
      </c>
      <c r="Y441" s="479">
        <v>5.5555555555555552E-2</v>
      </c>
      <c r="Z441" s="479">
        <v>0.26944444444444443</v>
      </c>
      <c r="AA441" s="479">
        <v>0.48194444444444445</v>
      </c>
      <c r="AB441" s="476" t="s">
        <v>6289</v>
      </c>
      <c r="AC441" s="478">
        <v>131</v>
      </c>
      <c r="AD441" s="476" t="s">
        <v>119</v>
      </c>
      <c r="AE441" s="476"/>
      <c r="AF441" s="478">
        <v>33.4</v>
      </c>
      <c r="AG441" s="477">
        <v>95.8</v>
      </c>
      <c r="AH441" s="476" t="s">
        <v>6300</v>
      </c>
      <c r="AI441" s="476" t="s">
        <v>6331</v>
      </c>
      <c r="AJ441" s="476" t="s">
        <v>6493</v>
      </c>
      <c r="AK441" s="476" t="s">
        <v>6493</v>
      </c>
      <c r="AL441" s="476"/>
      <c r="AM441" s="476"/>
      <c r="AN441" s="476"/>
      <c r="AO441" s="476"/>
      <c r="AP441" s="476"/>
      <c r="AQ441" s="476"/>
      <c r="AR441" s="476"/>
      <c r="AS441" s="476"/>
      <c r="AT441" s="476"/>
      <c r="AU441" s="476"/>
      <c r="AV441" s="476"/>
      <c r="AW441" s="476"/>
      <c r="AX441" s="476"/>
      <c r="AY441" s="476"/>
      <c r="AZ441" s="476"/>
      <c r="BA441" s="476"/>
      <c r="BB441" s="476"/>
      <c r="BC441" s="476"/>
      <c r="BD441" s="476"/>
      <c r="BE441" s="476"/>
      <c r="BF441" s="476"/>
      <c r="BG441" s="476"/>
      <c r="BH441" s="476"/>
      <c r="BI441" s="476"/>
      <c r="BJ441" s="476"/>
      <c r="BK441" s="476"/>
      <c r="BL441" s="480"/>
    </row>
    <row r="442" spans="1:64">
      <c r="A442" s="468">
        <v>44233</v>
      </c>
      <c r="B442" s="473">
        <v>37</v>
      </c>
      <c r="C442" s="473">
        <v>328</v>
      </c>
      <c r="D442" s="470" t="s">
        <v>612</v>
      </c>
      <c r="E442" s="469">
        <v>5</v>
      </c>
      <c r="F442" s="470" t="s">
        <v>103</v>
      </c>
      <c r="G442" s="469">
        <v>534</v>
      </c>
      <c r="H442" s="470" t="s">
        <v>6246</v>
      </c>
      <c r="I442" s="470" t="s">
        <v>836</v>
      </c>
      <c r="J442" s="469">
        <v>10</v>
      </c>
      <c r="K442" s="470" t="s">
        <v>6265</v>
      </c>
      <c r="L442" s="470" t="s">
        <v>6281</v>
      </c>
      <c r="M442" s="470" t="s">
        <v>9</v>
      </c>
      <c r="N442" s="473">
        <v>0</v>
      </c>
      <c r="O442" s="471"/>
      <c r="P442" s="471"/>
      <c r="Q442" s="471"/>
      <c r="R442" s="470"/>
      <c r="S442" s="471">
        <v>0.22533564814814813</v>
      </c>
      <c r="T442" s="471">
        <v>0.29200231481481481</v>
      </c>
      <c r="U442" s="471"/>
      <c r="V442" s="471"/>
      <c r="W442" s="471">
        <v>0.50718750000000001</v>
      </c>
      <c r="X442" s="471">
        <v>0.72238425925925931</v>
      </c>
      <c r="Y442" s="471">
        <v>0.10625</v>
      </c>
      <c r="Z442" s="471">
        <v>0.30833333333333335</v>
      </c>
      <c r="AA442" s="471">
        <v>0.51041666666666663</v>
      </c>
      <c r="AB442" s="470" t="s">
        <v>6289</v>
      </c>
      <c r="AC442" s="473">
        <v>131</v>
      </c>
      <c r="AD442" s="470" t="s">
        <v>119</v>
      </c>
      <c r="AE442" s="470"/>
      <c r="AF442" s="473">
        <v>41.7</v>
      </c>
      <c r="AG442" s="469">
        <v>0.8</v>
      </c>
      <c r="AH442" s="470" t="s">
        <v>6302</v>
      </c>
      <c r="AI442" s="470" t="s">
        <v>6333</v>
      </c>
      <c r="AJ442" s="470" t="s">
        <v>6493</v>
      </c>
      <c r="AK442" s="470" t="s">
        <v>6493</v>
      </c>
      <c r="AL442" s="470"/>
      <c r="AM442" s="470"/>
      <c r="AN442" s="470"/>
      <c r="AO442" s="470"/>
      <c r="AP442" s="470"/>
      <c r="AQ442" s="470"/>
      <c r="AR442" s="470"/>
      <c r="AS442" s="470"/>
      <c r="AT442" s="470"/>
      <c r="AU442" s="470"/>
      <c r="AV442" s="470"/>
      <c r="AW442" s="470"/>
      <c r="AX442" s="470"/>
      <c r="AY442" s="470"/>
      <c r="AZ442" s="470"/>
      <c r="BA442" s="470"/>
      <c r="BB442" s="470"/>
      <c r="BC442" s="470"/>
      <c r="BD442" s="470"/>
      <c r="BE442" s="470"/>
      <c r="BF442" s="470"/>
      <c r="BG442" s="470"/>
      <c r="BH442" s="470"/>
      <c r="BI442" s="470"/>
      <c r="BJ442" s="470"/>
      <c r="BK442" s="470"/>
      <c r="BL442" s="474"/>
    </row>
    <row r="443" spans="1:64">
      <c r="A443" s="475">
        <v>44234</v>
      </c>
      <c r="B443" s="478">
        <v>38</v>
      </c>
      <c r="C443" s="478">
        <v>327</v>
      </c>
      <c r="D443" s="476" t="s">
        <v>612</v>
      </c>
      <c r="E443" s="477">
        <v>5</v>
      </c>
      <c r="F443" s="476" t="s">
        <v>106</v>
      </c>
      <c r="G443" s="477">
        <v>534</v>
      </c>
      <c r="H443" s="476" t="s">
        <v>6246</v>
      </c>
      <c r="I443" s="476" t="s">
        <v>836</v>
      </c>
      <c r="J443" s="477">
        <v>11</v>
      </c>
      <c r="K443" s="476" t="s">
        <v>6271</v>
      </c>
      <c r="L443" s="476" t="s">
        <v>6282</v>
      </c>
      <c r="M443" s="476" t="s">
        <v>9</v>
      </c>
      <c r="N443" s="478">
        <v>0</v>
      </c>
      <c r="O443" s="479"/>
      <c r="P443" s="479"/>
      <c r="Q443" s="479"/>
      <c r="R443" s="476"/>
      <c r="S443" s="479">
        <v>0.22454861111111113</v>
      </c>
      <c r="T443" s="479">
        <v>0.29121527777777778</v>
      </c>
      <c r="U443" s="479"/>
      <c r="V443" s="479"/>
      <c r="W443" s="479">
        <v>0.50722222222222224</v>
      </c>
      <c r="X443" s="479">
        <v>0.72324074074074074</v>
      </c>
      <c r="Y443" s="479">
        <v>0.15555555555555556</v>
      </c>
      <c r="Z443" s="479">
        <v>0.34930555555555554</v>
      </c>
      <c r="AA443" s="479">
        <v>0.5444444444444444</v>
      </c>
      <c r="AB443" s="476" t="s">
        <v>6289</v>
      </c>
      <c r="AC443" s="478">
        <v>131</v>
      </c>
      <c r="AD443" s="476" t="s">
        <v>119</v>
      </c>
      <c r="AE443" s="476"/>
      <c r="AF443" s="478">
        <v>49.3</v>
      </c>
      <c r="AG443" s="477">
        <v>5.3</v>
      </c>
      <c r="AH443" s="476" t="s">
        <v>6303</v>
      </c>
      <c r="AI443" s="476" t="s">
        <v>6334</v>
      </c>
      <c r="AJ443" s="476" t="s">
        <v>838</v>
      </c>
      <c r="AK443" s="476" t="s">
        <v>13</v>
      </c>
      <c r="AL443" s="476" t="s">
        <v>6734</v>
      </c>
      <c r="AM443" s="476" t="s">
        <v>6342</v>
      </c>
      <c r="AN443" s="476" t="s">
        <v>6981</v>
      </c>
      <c r="AO443" s="476" t="s">
        <v>6351</v>
      </c>
      <c r="AP443" s="476"/>
      <c r="AQ443" s="476"/>
      <c r="AR443" s="476"/>
      <c r="AS443" s="476"/>
      <c r="AT443" s="476"/>
      <c r="AU443" s="476"/>
      <c r="AV443" s="476"/>
      <c r="AW443" s="476"/>
      <c r="AX443" s="476"/>
      <c r="AY443" s="476"/>
      <c r="AZ443" s="476"/>
      <c r="BA443" s="476"/>
      <c r="BB443" s="476"/>
      <c r="BC443" s="476"/>
      <c r="BD443" s="476"/>
      <c r="BE443" s="476"/>
      <c r="BF443" s="476"/>
      <c r="BG443" s="476"/>
      <c r="BH443" s="476"/>
      <c r="BI443" s="476"/>
      <c r="BJ443" s="476"/>
      <c r="BK443" s="476"/>
      <c r="BL443" s="480"/>
    </row>
    <row r="444" spans="1:64">
      <c r="A444" s="468">
        <v>44235</v>
      </c>
      <c r="B444" s="473">
        <v>39</v>
      </c>
      <c r="C444" s="473">
        <v>326</v>
      </c>
      <c r="D444" s="470" t="s">
        <v>612</v>
      </c>
      <c r="E444" s="469">
        <v>6</v>
      </c>
      <c r="F444" s="470" t="s">
        <v>88</v>
      </c>
      <c r="G444" s="469">
        <v>534</v>
      </c>
      <c r="H444" s="470" t="s">
        <v>6246</v>
      </c>
      <c r="I444" s="470" t="s">
        <v>836</v>
      </c>
      <c r="J444" s="469">
        <v>12</v>
      </c>
      <c r="K444" s="470" t="s">
        <v>6266</v>
      </c>
      <c r="L444" s="470" t="s">
        <v>6283</v>
      </c>
      <c r="M444" s="470" t="s">
        <v>9</v>
      </c>
      <c r="N444" s="473">
        <v>0</v>
      </c>
      <c r="O444" s="471"/>
      <c r="P444" s="471"/>
      <c r="Q444" s="471"/>
      <c r="R444" s="470"/>
      <c r="S444" s="471">
        <v>0.22375</v>
      </c>
      <c r="T444" s="471">
        <v>0.29041666666666666</v>
      </c>
      <c r="U444" s="471">
        <v>0.2902777777777778</v>
      </c>
      <c r="V444" s="471">
        <v>0.43472222222222223</v>
      </c>
      <c r="W444" s="471">
        <v>0.50725694444444447</v>
      </c>
      <c r="X444" s="471">
        <v>0.72408564814814813</v>
      </c>
      <c r="Y444" s="471">
        <v>0.20069444444444443</v>
      </c>
      <c r="Z444" s="471">
        <v>0.39166666666666666</v>
      </c>
      <c r="AA444" s="471">
        <v>0.58333333333333337</v>
      </c>
      <c r="AB444" s="470" t="s">
        <v>6289</v>
      </c>
      <c r="AC444" s="473">
        <v>131</v>
      </c>
      <c r="AD444" s="470" t="s">
        <v>119</v>
      </c>
      <c r="AE444" s="470"/>
      <c r="AF444" s="473">
        <v>56.2</v>
      </c>
      <c r="AG444" s="469">
        <v>9.1</v>
      </c>
      <c r="AH444" s="470" t="s">
        <v>6304</v>
      </c>
      <c r="AI444" s="470" t="s">
        <v>6335</v>
      </c>
      <c r="AJ444" s="470" t="s">
        <v>839</v>
      </c>
      <c r="AK444" s="470" t="s">
        <v>6493</v>
      </c>
      <c r="AL444" s="470" t="s">
        <v>6856</v>
      </c>
      <c r="AM444" s="470" t="s">
        <v>6343</v>
      </c>
      <c r="AN444" s="470"/>
      <c r="AO444" s="470"/>
      <c r="AP444" s="470"/>
      <c r="AQ444" s="470"/>
      <c r="AR444" s="470"/>
      <c r="AS444" s="470"/>
      <c r="AT444" s="470"/>
      <c r="AU444" s="470"/>
      <c r="AV444" s="470"/>
      <c r="AW444" s="470"/>
      <c r="AX444" s="470"/>
      <c r="AY444" s="470"/>
      <c r="AZ444" s="470"/>
      <c r="BA444" s="470"/>
      <c r="BB444" s="470"/>
      <c r="BC444" s="470"/>
      <c r="BD444" s="470"/>
      <c r="BE444" s="470"/>
      <c r="BF444" s="470"/>
      <c r="BG444" s="470"/>
      <c r="BH444" s="470"/>
      <c r="BI444" s="470"/>
      <c r="BJ444" s="470"/>
      <c r="BK444" s="470"/>
      <c r="BL444" s="474"/>
    </row>
    <row r="445" spans="1:64">
      <c r="A445" s="475">
        <v>44236</v>
      </c>
      <c r="B445" s="478">
        <v>40</v>
      </c>
      <c r="C445" s="478">
        <v>325</v>
      </c>
      <c r="D445" s="476" t="s">
        <v>612</v>
      </c>
      <c r="E445" s="477">
        <v>6</v>
      </c>
      <c r="F445" s="476" t="s">
        <v>91</v>
      </c>
      <c r="G445" s="477">
        <v>534</v>
      </c>
      <c r="H445" s="476" t="s">
        <v>6246</v>
      </c>
      <c r="I445" s="476" t="s">
        <v>836</v>
      </c>
      <c r="J445" s="477">
        <v>13</v>
      </c>
      <c r="K445" s="476" t="s">
        <v>6267</v>
      </c>
      <c r="L445" s="476" t="s">
        <v>6284</v>
      </c>
      <c r="M445" s="476" t="s">
        <v>9</v>
      </c>
      <c r="N445" s="478">
        <v>0</v>
      </c>
      <c r="O445" s="479"/>
      <c r="P445" s="479"/>
      <c r="Q445" s="479"/>
      <c r="R445" s="476"/>
      <c r="S445" s="479">
        <v>0.22293981481481481</v>
      </c>
      <c r="T445" s="479">
        <v>0.28960648148148149</v>
      </c>
      <c r="U445" s="479"/>
      <c r="V445" s="479"/>
      <c r="W445" s="479">
        <v>0.50728009259259255</v>
      </c>
      <c r="X445" s="479">
        <v>0.72494212962962967</v>
      </c>
      <c r="Y445" s="479">
        <v>0.23958333333333334</v>
      </c>
      <c r="Z445" s="479">
        <v>0.43333333333333335</v>
      </c>
      <c r="AA445" s="479">
        <v>0.62777777777777777</v>
      </c>
      <c r="AB445" s="476" t="s">
        <v>6289</v>
      </c>
      <c r="AC445" s="478">
        <v>131</v>
      </c>
      <c r="AD445" s="476" t="s">
        <v>119</v>
      </c>
      <c r="AE445" s="476"/>
      <c r="AF445" s="478">
        <v>62</v>
      </c>
      <c r="AG445" s="477">
        <v>11.9</v>
      </c>
      <c r="AH445" s="476" t="s">
        <v>6305</v>
      </c>
      <c r="AI445" s="476" t="s">
        <v>6336</v>
      </c>
      <c r="AJ445" s="476" t="s">
        <v>6493</v>
      </c>
      <c r="AK445" s="476" t="s">
        <v>6493</v>
      </c>
      <c r="AL445" s="476"/>
      <c r="AM445" s="476"/>
      <c r="AN445" s="476"/>
      <c r="AO445" s="476"/>
      <c r="AP445" s="476"/>
      <c r="AQ445" s="476"/>
      <c r="AR445" s="476"/>
      <c r="AS445" s="476"/>
      <c r="AT445" s="476"/>
      <c r="AU445" s="476"/>
      <c r="AV445" s="476"/>
      <c r="AW445" s="476"/>
      <c r="AX445" s="476"/>
      <c r="AY445" s="476"/>
      <c r="AZ445" s="476"/>
      <c r="BA445" s="476"/>
      <c r="BB445" s="476"/>
      <c r="BC445" s="476"/>
      <c r="BD445" s="476"/>
      <c r="BE445" s="476"/>
      <c r="BF445" s="476"/>
      <c r="BG445" s="476"/>
      <c r="BH445" s="476"/>
      <c r="BI445" s="476"/>
      <c r="BJ445" s="476"/>
      <c r="BK445" s="476"/>
      <c r="BL445" s="480"/>
    </row>
    <row r="446" spans="1:64">
      <c r="A446" s="468">
        <v>44237</v>
      </c>
      <c r="B446" s="473">
        <v>41</v>
      </c>
      <c r="C446" s="473">
        <v>324</v>
      </c>
      <c r="D446" s="470" t="s">
        <v>612</v>
      </c>
      <c r="E446" s="469">
        <v>6</v>
      </c>
      <c r="F446" s="470" t="s">
        <v>94</v>
      </c>
      <c r="G446" s="469">
        <v>534</v>
      </c>
      <c r="H446" s="470" t="s">
        <v>6246</v>
      </c>
      <c r="I446" s="470" t="s">
        <v>836</v>
      </c>
      <c r="J446" s="469">
        <v>14</v>
      </c>
      <c r="K446" s="470" t="s">
        <v>6268</v>
      </c>
      <c r="L446" s="470" t="s">
        <v>6285</v>
      </c>
      <c r="M446" s="470" t="s">
        <v>9</v>
      </c>
      <c r="N446" s="473">
        <v>0</v>
      </c>
      <c r="O446" s="471"/>
      <c r="P446" s="471"/>
      <c r="Q446" s="471"/>
      <c r="R446" s="470"/>
      <c r="S446" s="471">
        <v>0.22211805555555555</v>
      </c>
      <c r="T446" s="471">
        <v>0.28878472222222223</v>
      </c>
      <c r="U446" s="471"/>
      <c r="V446" s="471"/>
      <c r="W446" s="471">
        <v>0.5072916666666667</v>
      </c>
      <c r="X446" s="471">
        <v>0.7257986111111111</v>
      </c>
      <c r="Y446" s="471">
        <v>0.27291666666666664</v>
      </c>
      <c r="Z446" s="471">
        <v>0.47361111111111115</v>
      </c>
      <c r="AA446" s="471">
        <v>0.6743055555555556</v>
      </c>
      <c r="AB446" s="470" t="s">
        <v>6289</v>
      </c>
      <c r="AC446" s="473">
        <v>131</v>
      </c>
      <c r="AD446" s="470" t="s">
        <v>119</v>
      </c>
      <c r="AE446" s="470"/>
      <c r="AF446" s="473">
        <v>66.5</v>
      </c>
      <c r="AG446" s="469">
        <v>13.5</v>
      </c>
      <c r="AH446" s="470" t="s">
        <v>6306</v>
      </c>
      <c r="AI446" s="470" t="s">
        <v>6337</v>
      </c>
      <c r="AJ446" s="470" t="s">
        <v>6493</v>
      </c>
      <c r="AK446" s="470" t="s">
        <v>6493</v>
      </c>
      <c r="AL446" s="470"/>
      <c r="AM446" s="470"/>
      <c r="AN446" s="470"/>
      <c r="AO446" s="470"/>
      <c r="AP446" s="470"/>
      <c r="AQ446" s="470"/>
      <c r="AR446" s="470"/>
      <c r="AS446" s="470"/>
      <c r="AT446" s="470"/>
      <c r="AU446" s="470"/>
      <c r="AV446" s="470"/>
      <c r="AW446" s="470"/>
      <c r="AX446" s="470"/>
      <c r="AY446" s="470"/>
      <c r="AZ446" s="470"/>
      <c r="BA446" s="470"/>
      <c r="BB446" s="470"/>
      <c r="BC446" s="470"/>
      <c r="BD446" s="470"/>
      <c r="BE446" s="470"/>
      <c r="BF446" s="470"/>
      <c r="BG446" s="470"/>
      <c r="BH446" s="470"/>
      <c r="BI446" s="470"/>
      <c r="BJ446" s="470"/>
      <c r="BK446" s="470"/>
      <c r="BL446" s="474"/>
    </row>
    <row r="447" spans="1:64">
      <c r="A447" s="475">
        <v>44238</v>
      </c>
      <c r="B447" s="478">
        <v>42</v>
      </c>
      <c r="C447" s="478">
        <v>323</v>
      </c>
      <c r="D447" s="476" t="s">
        <v>612</v>
      </c>
      <c r="E447" s="477">
        <v>6</v>
      </c>
      <c r="F447" s="476" t="s">
        <v>6714</v>
      </c>
      <c r="G447" s="477">
        <v>534</v>
      </c>
      <c r="H447" s="476" t="s">
        <v>6246</v>
      </c>
      <c r="I447" s="476" t="s">
        <v>836</v>
      </c>
      <c r="J447" s="477">
        <v>15</v>
      </c>
      <c r="K447" s="476" t="s">
        <v>6269</v>
      </c>
      <c r="L447" s="476" t="s">
        <v>6286</v>
      </c>
      <c r="M447" s="476" t="s">
        <v>9</v>
      </c>
      <c r="N447" s="478">
        <v>0</v>
      </c>
      <c r="O447" s="479"/>
      <c r="P447" s="479"/>
      <c r="Q447" s="479"/>
      <c r="R447" s="476"/>
      <c r="S447" s="479">
        <v>0.22127314814814814</v>
      </c>
      <c r="T447" s="479">
        <v>0.28793981481481484</v>
      </c>
      <c r="U447" s="479"/>
      <c r="V447" s="479"/>
      <c r="W447" s="479">
        <v>0.5072916666666667</v>
      </c>
      <c r="X447" s="479">
        <v>0.72664351851851849</v>
      </c>
      <c r="Y447" s="479">
        <v>0.3</v>
      </c>
      <c r="Z447" s="479">
        <v>0.51041666666666663</v>
      </c>
      <c r="AA447" s="479">
        <v>0.72152777777777777</v>
      </c>
      <c r="AB447" s="476" t="s">
        <v>6463</v>
      </c>
      <c r="AC447" s="478">
        <v>152</v>
      </c>
      <c r="AD447" s="476" t="s">
        <v>110</v>
      </c>
      <c r="AE447" s="476" t="s">
        <v>6602</v>
      </c>
      <c r="AF447" s="478">
        <v>69.400000000000006</v>
      </c>
      <c r="AG447" s="477">
        <v>13.7</v>
      </c>
      <c r="AH447" s="476" t="s">
        <v>6307</v>
      </c>
      <c r="AI447" s="476" t="s">
        <v>6338</v>
      </c>
      <c r="AJ447" s="476" t="s">
        <v>6493</v>
      </c>
      <c r="AK447" s="476" t="s">
        <v>6493</v>
      </c>
      <c r="AL447" s="476"/>
      <c r="AM447" s="476"/>
      <c r="AN447" s="476"/>
      <c r="AO447" s="476"/>
      <c r="AP447" s="476"/>
      <c r="AQ447" s="476"/>
      <c r="AR447" s="476"/>
      <c r="AS447" s="476"/>
      <c r="AT447" s="476"/>
      <c r="AU447" s="476"/>
      <c r="AV447" s="476"/>
      <c r="AW447" s="476"/>
      <c r="AX447" s="476"/>
      <c r="AY447" s="476"/>
      <c r="AZ447" s="476"/>
      <c r="BA447" s="476"/>
      <c r="BB447" s="476"/>
      <c r="BC447" s="476"/>
      <c r="BD447" s="476"/>
      <c r="BE447" s="476"/>
      <c r="BF447" s="476"/>
      <c r="BG447" s="476"/>
      <c r="BH447" s="476"/>
      <c r="BI447" s="476"/>
      <c r="BJ447" s="476"/>
      <c r="BK447" s="476"/>
      <c r="BL447" s="480"/>
    </row>
    <row r="448" spans="1:64">
      <c r="A448" s="468">
        <v>44239</v>
      </c>
      <c r="B448" s="473">
        <v>43</v>
      </c>
      <c r="C448" s="473">
        <v>322</v>
      </c>
      <c r="D448" s="470" t="s">
        <v>612</v>
      </c>
      <c r="E448" s="469">
        <v>6</v>
      </c>
      <c r="F448" s="470" t="s">
        <v>100</v>
      </c>
      <c r="G448" s="469">
        <v>534</v>
      </c>
      <c r="H448" s="470" t="s">
        <v>6246</v>
      </c>
      <c r="I448" s="470" t="s">
        <v>6257</v>
      </c>
      <c r="J448" s="469">
        <v>16</v>
      </c>
      <c r="K448" s="470" t="s">
        <v>6270</v>
      </c>
      <c r="L448" s="470" t="s">
        <v>6287</v>
      </c>
      <c r="M448" s="470" t="s">
        <v>9</v>
      </c>
      <c r="N448" s="473">
        <v>0</v>
      </c>
      <c r="O448" s="471"/>
      <c r="P448" s="471"/>
      <c r="Q448" s="471">
        <v>0.4408217592592592</v>
      </c>
      <c r="R448" s="470" t="s">
        <v>16</v>
      </c>
      <c r="S448" s="471">
        <v>0.22040509259259258</v>
      </c>
      <c r="T448" s="471">
        <v>0.28707175925925926</v>
      </c>
      <c r="U448" s="471"/>
      <c r="V448" s="471"/>
      <c r="W448" s="471">
        <v>0.50728009259259255</v>
      </c>
      <c r="X448" s="471">
        <v>0.72748842592592589</v>
      </c>
      <c r="Y448" s="471">
        <v>0.32291666666666669</v>
      </c>
      <c r="Z448" s="471">
        <v>0.54513888888888895</v>
      </c>
      <c r="AA448" s="471">
        <v>0.7680555555555556</v>
      </c>
      <c r="AB448" s="470" t="s">
        <v>6463</v>
      </c>
      <c r="AC448" s="473">
        <v>152</v>
      </c>
      <c r="AD448" s="470" t="s">
        <v>110</v>
      </c>
      <c r="AE448" s="470"/>
      <c r="AF448" s="473">
        <v>70.3</v>
      </c>
      <c r="AG448" s="469">
        <v>12.1</v>
      </c>
      <c r="AH448" s="470" t="s">
        <v>6308</v>
      </c>
      <c r="AI448" s="470" t="s">
        <v>6339</v>
      </c>
      <c r="AJ448" s="470" t="s">
        <v>6493</v>
      </c>
      <c r="AK448" s="470" t="s">
        <v>6493</v>
      </c>
      <c r="AL448" s="470" t="s">
        <v>6857</v>
      </c>
      <c r="AM448" s="470"/>
      <c r="AN448" s="470"/>
      <c r="AO448" s="470"/>
      <c r="AP448" s="470"/>
      <c r="AQ448" s="470"/>
      <c r="AR448" s="470"/>
      <c r="AS448" s="470"/>
      <c r="AT448" s="470"/>
      <c r="AU448" s="470"/>
      <c r="AV448" s="470"/>
      <c r="AW448" s="470"/>
      <c r="AX448" s="470"/>
      <c r="AY448" s="470"/>
      <c r="AZ448" s="470"/>
      <c r="BA448" s="470"/>
      <c r="BB448" s="470"/>
      <c r="BC448" s="470"/>
      <c r="BD448" s="470"/>
      <c r="BE448" s="470"/>
      <c r="BF448" s="470"/>
      <c r="BG448" s="470"/>
      <c r="BH448" s="470"/>
      <c r="BI448" s="470"/>
      <c r="BJ448" s="470"/>
      <c r="BK448" s="470"/>
      <c r="BL448" s="474"/>
    </row>
    <row r="449" spans="1:64">
      <c r="A449" s="475">
        <v>44240</v>
      </c>
      <c r="B449" s="478">
        <v>44</v>
      </c>
      <c r="C449" s="478">
        <v>321</v>
      </c>
      <c r="D449" s="476" t="s">
        <v>612</v>
      </c>
      <c r="E449" s="477">
        <v>6</v>
      </c>
      <c r="F449" s="476" t="s">
        <v>103</v>
      </c>
      <c r="G449" s="477">
        <v>534</v>
      </c>
      <c r="H449" s="476" t="s">
        <v>6246</v>
      </c>
      <c r="I449" s="476" t="s">
        <v>6257</v>
      </c>
      <c r="J449" s="477">
        <v>17</v>
      </c>
      <c r="K449" s="476" t="s">
        <v>1034</v>
      </c>
      <c r="L449" s="476" t="s">
        <v>6273</v>
      </c>
      <c r="M449" s="476" t="s">
        <v>9</v>
      </c>
      <c r="N449" s="478">
        <v>0</v>
      </c>
      <c r="O449" s="479"/>
      <c r="P449" s="479"/>
      <c r="Q449" s="479"/>
      <c r="R449" s="476"/>
      <c r="S449" s="479">
        <v>0.21953703703703706</v>
      </c>
      <c r="T449" s="479">
        <v>0.28620370370370368</v>
      </c>
      <c r="U449" s="479"/>
      <c r="V449" s="479"/>
      <c r="W449" s="479">
        <v>0.50726851851851851</v>
      </c>
      <c r="X449" s="479">
        <v>0.72833333333333339</v>
      </c>
      <c r="Y449" s="479">
        <v>0.34236111111111112</v>
      </c>
      <c r="Z449" s="479">
        <v>0.57638888888888895</v>
      </c>
      <c r="AA449" s="479">
        <v>0.81180555555555556</v>
      </c>
      <c r="AB449" s="476" t="s">
        <v>6463</v>
      </c>
      <c r="AC449" s="478">
        <v>152</v>
      </c>
      <c r="AD449" s="476" t="s">
        <v>110</v>
      </c>
      <c r="AE449" s="476"/>
      <c r="AF449" s="478">
        <v>69.099999999999994</v>
      </c>
      <c r="AG449" s="477">
        <v>8.6</v>
      </c>
      <c r="AH449" s="476" t="s">
        <v>6309</v>
      </c>
      <c r="AI449" s="476" t="s">
        <v>6340</v>
      </c>
      <c r="AJ449" s="476" t="s">
        <v>6493</v>
      </c>
      <c r="AK449" s="476" t="s">
        <v>6493</v>
      </c>
      <c r="AL449" s="476"/>
      <c r="AM449" s="476"/>
      <c r="AN449" s="476"/>
      <c r="AO449" s="476"/>
      <c r="AP449" s="476"/>
      <c r="AQ449" s="476"/>
      <c r="AR449" s="476"/>
      <c r="AS449" s="476"/>
      <c r="AT449" s="476"/>
      <c r="AU449" s="476"/>
      <c r="AV449" s="476"/>
      <c r="AW449" s="476"/>
      <c r="AX449" s="476"/>
      <c r="AY449" s="476"/>
      <c r="AZ449" s="476"/>
      <c r="BA449" s="476"/>
      <c r="BB449" s="476"/>
      <c r="BC449" s="476"/>
      <c r="BD449" s="476"/>
      <c r="BE449" s="476"/>
      <c r="BF449" s="476"/>
      <c r="BG449" s="476"/>
      <c r="BH449" s="476"/>
      <c r="BI449" s="476"/>
      <c r="BJ449" s="476"/>
      <c r="BK449" s="476"/>
      <c r="BL449" s="480"/>
    </row>
    <row r="450" spans="1:64">
      <c r="A450" s="468">
        <v>44241</v>
      </c>
      <c r="B450" s="473">
        <v>45</v>
      </c>
      <c r="C450" s="473">
        <v>320</v>
      </c>
      <c r="D450" s="470" t="s">
        <v>612</v>
      </c>
      <c r="E450" s="469">
        <v>6</v>
      </c>
      <c r="F450" s="470" t="s">
        <v>106</v>
      </c>
      <c r="G450" s="469">
        <v>534</v>
      </c>
      <c r="H450" s="470" t="s">
        <v>6246</v>
      </c>
      <c r="I450" s="470" t="s">
        <v>6257</v>
      </c>
      <c r="J450" s="469">
        <v>18</v>
      </c>
      <c r="K450" s="470" t="s">
        <v>6258</v>
      </c>
      <c r="L450" s="470" t="s">
        <v>6274</v>
      </c>
      <c r="M450" s="470" t="s">
        <v>9</v>
      </c>
      <c r="N450" s="473">
        <v>0</v>
      </c>
      <c r="O450" s="471"/>
      <c r="P450" s="471"/>
      <c r="Q450" s="471"/>
      <c r="R450" s="470"/>
      <c r="S450" s="471">
        <v>0.21864583333333332</v>
      </c>
      <c r="T450" s="471">
        <v>0.28531250000000002</v>
      </c>
      <c r="U450" s="471"/>
      <c r="V450" s="471"/>
      <c r="W450" s="471">
        <v>0.50724537037037043</v>
      </c>
      <c r="X450" s="471">
        <v>0.72917824074074078</v>
      </c>
      <c r="Y450" s="471">
        <v>0.35972222222222222</v>
      </c>
      <c r="Z450" s="471">
        <v>0.6069444444444444</v>
      </c>
      <c r="AA450" s="471">
        <v>0.85555555555555562</v>
      </c>
      <c r="AB450" s="470" t="s">
        <v>6463</v>
      </c>
      <c r="AC450" s="473">
        <v>152</v>
      </c>
      <c r="AD450" s="470" t="s">
        <v>110</v>
      </c>
      <c r="AE450" s="470"/>
      <c r="AF450" s="473">
        <v>65.599999999999994</v>
      </c>
      <c r="AG450" s="469">
        <v>3.1</v>
      </c>
      <c r="AH450" s="470" t="s">
        <v>6310</v>
      </c>
      <c r="AI450" s="470" t="s">
        <v>974</v>
      </c>
      <c r="AJ450" s="470" t="s">
        <v>6493</v>
      </c>
      <c r="AK450" s="470" t="s">
        <v>6493</v>
      </c>
      <c r="AL450" s="470"/>
      <c r="AM450" s="470"/>
      <c r="AN450" s="470"/>
      <c r="AO450" s="470"/>
      <c r="AP450" s="470"/>
      <c r="AQ450" s="470"/>
      <c r="AR450" s="470"/>
      <c r="AS450" s="470"/>
      <c r="AT450" s="470"/>
      <c r="AU450" s="470"/>
      <c r="AV450" s="470"/>
      <c r="AW450" s="470"/>
      <c r="AX450" s="470"/>
      <c r="AY450" s="470"/>
      <c r="AZ450" s="470"/>
      <c r="BA450" s="470"/>
      <c r="BB450" s="470"/>
      <c r="BC450" s="470"/>
      <c r="BD450" s="470"/>
      <c r="BE450" s="470"/>
      <c r="BF450" s="470"/>
      <c r="BG450" s="470"/>
      <c r="BH450" s="470"/>
      <c r="BI450" s="470"/>
      <c r="BJ450" s="470"/>
      <c r="BK450" s="470"/>
      <c r="BL450" s="474"/>
    </row>
    <row r="451" spans="1:64">
      <c r="A451" s="475">
        <v>44242</v>
      </c>
      <c r="B451" s="478">
        <v>46</v>
      </c>
      <c r="C451" s="478">
        <v>319</v>
      </c>
      <c r="D451" s="476" t="s">
        <v>612</v>
      </c>
      <c r="E451" s="477">
        <v>7</v>
      </c>
      <c r="F451" s="476" t="s">
        <v>88</v>
      </c>
      <c r="G451" s="477">
        <v>534</v>
      </c>
      <c r="H451" s="476" t="s">
        <v>6246</v>
      </c>
      <c r="I451" s="476" t="s">
        <v>6257</v>
      </c>
      <c r="J451" s="477">
        <v>19</v>
      </c>
      <c r="K451" s="476" t="s">
        <v>6259</v>
      </c>
      <c r="L451" s="476" t="s">
        <v>6275</v>
      </c>
      <c r="M451" s="476" t="s">
        <v>9</v>
      </c>
      <c r="N451" s="478">
        <v>0</v>
      </c>
      <c r="O451" s="479"/>
      <c r="P451" s="479"/>
      <c r="Q451" s="479"/>
      <c r="R451" s="476"/>
      <c r="S451" s="479">
        <v>0.21774305555555554</v>
      </c>
      <c r="T451" s="479">
        <v>0.28440972222222222</v>
      </c>
      <c r="U451" s="479"/>
      <c r="V451" s="479"/>
      <c r="W451" s="479">
        <v>0.50721064814814809</v>
      </c>
      <c r="X451" s="479">
        <v>0.73001157407407413</v>
      </c>
      <c r="Y451" s="479">
        <v>0.3756944444444445</v>
      </c>
      <c r="Z451" s="479">
        <v>0.63541666666666663</v>
      </c>
      <c r="AA451" s="479">
        <v>0.8965277777777777</v>
      </c>
      <c r="AB451" s="476" t="s">
        <v>6463</v>
      </c>
      <c r="AC451" s="478">
        <v>152</v>
      </c>
      <c r="AD451" s="476" t="s">
        <v>110</v>
      </c>
      <c r="AE451" s="476"/>
      <c r="AF451" s="478">
        <v>60</v>
      </c>
      <c r="AG451" s="477">
        <v>95.5</v>
      </c>
      <c r="AH451" s="476" t="s">
        <v>6310</v>
      </c>
      <c r="AI451" s="476" t="s">
        <v>6316</v>
      </c>
      <c r="AJ451" s="476" t="s">
        <v>6493</v>
      </c>
      <c r="AK451" s="476" t="s">
        <v>6493</v>
      </c>
      <c r="AL451" s="476"/>
      <c r="AM451" s="476"/>
      <c r="AN451" s="476"/>
      <c r="AO451" s="476"/>
      <c r="AP451" s="476"/>
      <c r="AQ451" s="476"/>
      <c r="AR451" s="476"/>
      <c r="AS451" s="476"/>
      <c r="AT451" s="476"/>
      <c r="AU451" s="476"/>
      <c r="AV451" s="476"/>
      <c r="AW451" s="476"/>
      <c r="AX451" s="476"/>
      <c r="AY451" s="476"/>
      <c r="AZ451" s="476"/>
      <c r="BA451" s="476"/>
      <c r="BB451" s="476"/>
      <c r="BC451" s="476"/>
      <c r="BD451" s="476"/>
      <c r="BE451" s="476"/>
      <c r="BF451" s="476"/>
      <c r="BG451" s="476"/>
      <c r="BH451" s="476"/>
      <c r="BI451" s="476"/>
      <c r="BJ451" s="476"/>
      <c r="BK451" s="476"/>
      <c r="BL451" s="480"/>
    </row>
    <row r="452" spans="1:64">
      <c r="A452" s="468">
        <v>44243</v>
      </c>
      <c r="B452" s="473">
        <v>47</v>
      </c>
      <c r="C452" s="473">
        <v>318</v>
      </c>
      <c r="D452" s="470" t="s">
        <v>612</v>
      </c>
      <c r="E452" s="469">
        <v>7</v>
      </c>
      <c r="F452" s="470" t="s">
        <v>91</v>
      </c>
      <c r="G452" s="469">
        <v>534</v>
      </c>
      <c r="H452" s="470" t="s">
        <v>6246</v>
      </c>
      <c r="I452" s="470" t="s">
        <v>6257</v>
      </c>
      <c r="J452" s="469">
        <v>20</v>
      </c>
      <c r="K452" s="470" t="s">
        <v>6260</v>
      </c>
      <c r="L452" s="470" t="s">
        <v>6276</v>
      </c>
      <c r="M452" s="470" t="s">
        <v>9</v>
      </c>
      <c r="N452" s="473">
        <v>0</v>
      </c>
      <c r="O452" s="471"/>
      <c r="P452" s="471"/>
      <c r="Q452" s="471"/>
      <c r="R452" s="470"/>
      <c r="S452" s="471">
        <v>0.21681712962962962</v>
      </c>
      <c r="T452" s="471">
        <v>0.28348379629629633</v>
      </c>
      <c r="U452" s="471"/>
      <c r="V452" s="471"/>
      <c r="W452" s="471">
        <v>0.50716435185185182</v>
      </c>
      <c r="X452" s="471">
        <v>0.73084490740740737</v>
      </c>
      <c r="Y452" s="471">
        <v>0.39166666666666666</v>
      </c>
      <c r="Z452" s="471">
        <v>0.66319444444444442</v>
      </c>
      <c r="AA452" s="471">
        <v>0.93819444444444444</v>
      </c>
      <c r="AB452" s="470" t="s">
        <v>6463</v>
      </c>
      <c r="AC452" s="473">
        <v>152</v>
      </c>
      <c r="AD452" s="470" t="s">
        <v>110</v>
      </c>
      <c r="AE452" s="470"/>
      <c r="AF452" s="473">
        <v>52.4</v>
      </c>
      <c r="AG452" s="469">
        <v>86.3</v>
      </c>
      <c r="AH452" s="470" t="s">
        <v>6311</v>
      </c>
      <c r="AI452" s="470" t="s">
        <v>6317</v>
      </c>
      <c r="AJ452" s="470" t="s">
        <v>839</v>
      </c>
      <c r="AK452" s="470" t="s">
        <v>6493</v>
      </c>
      <c r="AL452" s="470" t="s">
        <v>1219</v>
      </c>
      <c r="AM452" s="470" t="s">
        <v>6344</v>
      </c>
      <c r="AN452" s="470" t="s">
        <v>6911</v>
      </c>
      <c r="AO452" s="470" t="s">
        <v>6346</v>
      </c>
      <c r="AP452" s="470" t="s">
        <v>7008</v>
      </c>
      <c r="AQ452" s="470" t="s">
        <v>6346</v>
      </c>
      <c r="AR452" s="470" t="s">
        <v>7052</v>
      </c>
      <c r="AS452" s="470" t="s">
        <v>6346</v>
      </c>
      <c r="AT452" s="470" t="s">
        <v>7075</v>
      </c>
      <c r="AU452" s="470" t="s">
        <v>6346</v>
      </c>
      <c r="AV452" s="470" t="s">
        <v>87</v>
      </c>
      <c r="AW452" s="470" t="s">
        <v>6346</v>
      </c>
      <c r="AX452" s="470" t="s">
        <v>1243</v>
      </c>
      <c r="AY452" s="470" t="s">
        <v>6162</v>
      </c>
      <c r="AZ452" s="470"/>
      <c r="BA452" s="470"/>
      <c r="BB452" s="470"/>
      <c r="BC452" s="470"/>
      <c r="BD452" s="470"/>
      <c r="BE452" s="470"/>
      <c r="BF452" s="470"/>
      <c r="BG452" s="470"/>
      <c r="BH452" s="470"/>
      <c r="BI452" s="470"/>
      <c r="BJ452" s="470" t="s">
        <v>6365</v>
      </c>
      <c r="BK452" s="470"/>
      <c r="BL452" s="474"/>
    </row>
    <row r="453" spans="1:64">
      <c r="A453" s="475">
        <v>44244</v>
      </c>
      <c r="B453" s="478">
        <v>48</v>
      </c>
      <c r="C453" s="478">
        <v>317</v>
      </c>
      <c r="D453" s="476" t="s">
        <v>612</v>
      </c>
      <c r="E453" s="477">
        <v>7</v>
      </c>
      <c r="F453" s="476" t="s">
        <v>94</v>
      </c>
      <c r="G453" s="477">
        <v>534</v>
      </c>
      <c r="H453" s="476" t="s">
        <v>6246</v>
      </c>
      <c r="I453" s="476" t="s">
        <v>6257</v>
      </c>
      <c r="J453" s="477">
        <v>21</v>
      </c>
      <c r="K453" s="476" t="s">
        <v>6261</v>
      </c>
      <c r="L453" s="476" t="s">
        <v>6277</v>
      </c>
      <c r="M453" s="476" t="s">
        <v>9</v>
      </c>
      <c r="N453" s="478">
        <v>0</v>
      </c>
      <c r="O453" s="479"/>
      <c r="P453" s="479"/>
      <c r="Q453" s="479"/>
      <c r="R453" s="476"/>
      <c r="S453" s="479">
        <v>0.21589120370370371</v>
      </c>
      <c r="T453" s="479">
        <v>0.28255787037037039</v>
      </c>
      <c r="U453" s="479"/>
      <c r="V453" s="479"/>
      <c r="W453" s="479">
        <v>0.50711805555555556</v>
      </c>
      <c r="X453" s="479">
        <v>0.73167824074074073</v>
      </c>
      <c r="Y453" s="479">
        <v>0.40763888888888888</v>
      </c>
      <c r="Z453" s="479">
        <v>0.69166666666666676</v>
      </c>
      <c r="AA453" s="479">
        <v>0.97916666666666663</v>
      </c>
      <c r="AB453" s="476" t="s">
        <v>6463</v>
      </c>
      <c r="AC453" s="478">
        <v>152</v>
      </c>
      <c r="AD453" s="476" t="s">
        <v>110</v>
      </c>
      <c r="AE453" s="476"/>
      <c r="AF453" s="478">
        <v>43.4</v>
      </c>
      <c r="AG453" s="477">
        <v>75.7</v>
      </c>
      <c r="AH453" s="476" t="s">
        <v>6312</v>
      </c>
      <c r="AI453" s="476" t="s">
        <v>6318</v>
      </c>
      <c r="AJ453" s="476" t="s">
        <v>6493</v>
      </c>
      <c r="AK453" s="476" t="s">
        <v>6493</v>
      </c>
      <c r="AL453" s="476"/>
      <c r="AM453" s="476"/>
      <c r="AN453" s="476"/>
      <c r="AO453" s="476"/>
      <c r="AP453" s="476"/>
      <c r="AQ453" s="476"/>
      <c r="AR453" s="476"/>
      <c r="AS453" s="476"/>
      <c r="AT453" s="476"/>
      <c r="AU453" s="476"/>
      <c r="AV453" s="476"/>
      <c r="AW453" s="476"/>
      <c r="AX453" s="476"/>
      <c r="AY453" s="476"/>
      <c r="AZ453" s="476"/>
      <c r="BA453" s="476"/>
      <c r="BB453" s="476"/>
      <c r="BC453" s="476"/>
      <c r="BD453" s="476"/>
      <c r="BE453" s="476"/>
      <c r="BF453" s="476"/>
      <c r="BG453" s="476"/>
      <c r="BH453" s="476"/>
      <c r="BI453" s="476"/>
      <c r="BJ453" s="476"/>
      <c r="BK453" s="476"/>
      <c r="BL453" s="480"/>
    </row>
    <row r="454" spans="1:64">
      <c r="A454" s="468">
        <v>44245</v>
      </c>
      <c r="B454" s="473">
        <v>49</v>
      </c>
      <c r="C454" s="473">
        <v>316</v>
      </c>
      <c r="D454" s="470" t="s">
        <v>612</v>
      </c>
      <c r="E454" s="469">
        <v>7</v>
      </c>
      <c r="F454" s="470" t="s">
        <v>6714</v>
      </c>
      <c r="G454" s="469">
        <v>534</v>
      </c>
      <c r="H454" s="470" t="s">
        <v>6246</v>
      </c>
      <c r="I454" s="470" t="s">
        <v>6257</v>
      </c>
      <c r="J454" s="469">
        <v>22</v>
      </c>
      <c r="K454" s="470" t="s">
        <v>6262</v>
      </c>
      <c r="L454" s="470" t="s">
        <v>6278</v>
      </c>
      <c r="M454" s="470" t="s">
        <v>9</v>
      </c>
      <c r="N454" s="473">
        <v>0</v>
      </c>
      <c r="O454" s="471"/>
      <c r="P454" s="471"/>
      <c r="Q454" s="471"/>
      <c r="R454" s="470"/>
      <c r="S454" s="471">
        <v>0.21494212962962964</v>
      </c>
      <c r="T454" s="471">
        <v>0.28160879629629632</v>
      </c>
      <c r="U454" s="471"/>
      <c r="V454" s="471"/>
      <c r="W454" s="471">
        <v>0.50706018518518514</v>
      </c>
      <c r="X454" s="471">
        <v>0.73251157407407408</v>
      </c>
      <c r="Y454" s="471">
        <v>0.42499999999999999</v>
      </c>
      <c r="Z454" s="471">
        <v>0.72083333333333333</v>
      </c>
      <c r="AA454" s="471" t="s">
        <v>1107</v>
      </c>
      <c r="AB454" s="470" t="s">
        <v>6463</v>
      </c>
      <c r="AC454" s="473">
        <v>152</v>
      </c>
      <c r="AD454" s="470" t="s">
        <v>110</v>
      </c>
      <c r="AE454" s="470"/>
      <c r="AF454" s="473">
        <v>33.5</v>
      </c>
      <c r="AG454" s="469">
        <v>64.400000000000006</v>
      </c>
      <c r="AH454" s="470" t="s">
        <v>6313</v>
      </c>
      <c r="AI454" s="470" t="s">
        <v>6319</v>
      </c>
      <c r="AJ454" s="470" t="s">
        <v>874</v>
      </c>
      <c r="AK454" s="470" t="s">
        <v>6493</v>
      </c>
      <c r="AL454" s="470" t="s">
        <v>6736</v>
      </c>
      <c r="AM454" s="470" t="s">
        <v>6347</v>
      </c>
      <c r="AN454" s="470" t="s">
        <v>6900</v>
      </c>
      <c r="AO454" s="470" t="s">
        <v>6351</v>
      </c>
      <c r="AP454" s="470"/>
      <c r="AQ454" s="470"/>
      <c r="AR454" s="470"/>
      <c r="AS454" s="470"/>
      <c r="AT454" s="470"/>
      <c r="AU454" s="470"/>
      <c r="AV454" s="470"/>
      <c r="AW454" s="470"/>
      <c r="AX454" s="470"/>
      <c r="AY454" s="470"/>
      <c r="AZ454" s="470"/>
      <c r="BA454" s="470"/>
      <c r="BB454" s="470"/>
      <c r="BC454" s="470"/>
      <c r="BD454" s="470"/>
      <c r="BE454" s="470"/>
      <c r="BF454" s="470"/>
      <c r="BG454" s="470"/>
      <c r="BH454" s="470"/>
      <c r="BI454" s="470"/>
      <c r="BJ454" s="470" t="s">
        <v>6366</v>
      </c>
      <c r="BK454" s="470"/>
      <c r="BL454" s="474"/>
    </row>
    <row r="455" spans="1:64">
      <c r="A455" s="475">
        <v>44246</v>
      </c>
      <c r="B455" s="478">
        <v>50</v>
      </c>
      <c r="C455" s="478">
        <v>315</v>
      </c>
      <c r="D455" s="476" t="s">
        <v>612</v>
      </c>
      <c r="E455" s="477">
        <v>7</v>
      </c>
      <c r="F455" s="476" t="s">
        <v>100</v>
      </c>
      <c r="G455" s="477">
        <v>534</v>
      </c>
      <c r="H455" s="476" t="s">
        <v>6246</v>
      </c>
      <c r="I455" s="476" t="s">
        <v>6257</v>
      </c>
      <c r="J455" s="477">
        <v>23</v>
      </c>
      <c r="K455" s="476" t="s">
        <v>6263</v>
      </c>
      <c r="L455" s="476" t="s">
        <v>6279</v>
      </c>
      <c r="M455" s="476" t="s">
        <v>9</v>
      </c>
      <c r="N455" s="478">
        <v>0</v>
      </c>
      <c r="O455" s="479"/>
      <c r="P455" s="479"/>
      <c r="Q455" s="479"/>
      <c r="R455" s="476"/>
      <c r="S455" s="479">
        <v>0.21399305555555556</v>
      </c>
      <c r="T455" s="479">
        <v>0.28065972222222224</v>
      </c>
      <c r="U455" s="479"/>
      <c r="V455" s="479"/>
      <c r="W455" s="479">
        <v>0.50699074074074069</v>
      </c>
      <c r="X455" s="479">
        <v>0.73333333333333339</v>
      </c>
      <c r="Y455" s="479">
        <v>0.44513888888888892</v>
      </c>
      <c r="Z455" s="479">
        <v>0.75208333333333333</v>
      </c>
      <c r="AA455" s="479">
        <v>2.1527777777777781E-2</v>
      </c>
      <c r="AB455" s="476" t="s">
        <v>6464</v>
      </c>
      <c r="AC455" s="478">
        <v>130</v>
      </c>
      <c r="AD455" s="476" t="s">
        <v>113</v>
      </c>
      <c r="AE455" s="476" t="s">
        <v>6603</v>
      </c>
      <c r="AF455" s="478">
        <v>23.4</v>
      </c>
      <c r="AG455" s="477">
        <v>52.8</v>
      </c>
      <c r="AH455" s="476" t="s">
        <v>6314</v>
      </c>
      <c r="AI455" s="476" t="s">
        <v>6341</v>
      </c>
      <c r="AJ455" s="476" t="s">
        <v>839</v>
      </c>
      <c r="AK455" s="476" t="s">
        <v>6493</v>
      </c>
      <c r="AL455" s="476" t="s">
        <v>1220</v>
      </c>
      <c r="AM455" s="476" t="s">
        <v>6344</v>
      </c>
      <c r="AN455" s="476"/>
      <c r="AO455" s="476"/>
      <c r="AP455" s="476"/>
      <c r="AQ455" s="476"/>
      <c r="AR455" s="476"/>
      <c r="AS455" s="476"/>
      <c r="AT455" s="476"/>
      <c r="AU455" s="476"/>
      <c r="AV455" s="476"/>
      <c r="AW455" s="476"/>
      <c r="AX455" s="476"/>
      <c r="AY455" s="476"/>
      <c r="AZ455" s="476"/>
      <c r="BA455" s="476"/>
      <c r="BB455" s="476"/>
      <c r="BC455" s="476"/>
      <c r="BD455" s="476"/>
      <c r="BE455" s="476"/>
      <c r="BF455" s="476"/>
      <c r="BG455" s="476"/>
      <c r="BH455" s="476"/>
      <c r="BI455" s="476"/>
      <c r="BJ455" s="476" t="s">
        <v>1220</v>
      </c>
      <c r="BK455" s="476"/>
      <c r="BL455" s="480"/>
    </row>
    <row r="456" spans="1:64">
      <c r="A456" s="468">
        <v>44247</v>
      </c>
      <c r="B456" s="473">
        <v>51</v>
      </c>
      <c r="C456" s="473">
        <v>314</v>
      </c>
      <c r="D456" s="470" t="s">
        <v>612</v>
      </c>
      <c r="E456" s="469">
        <v>7</v>
      </c>
      <c r="F456" s="470" t="s">
        <v>103</v>
      </c>
      <c r="G456" s="469">
        <v>534</v>
      </c>
      <c r="H456" s="470" t="s">
        <v>6246</v>
      </c>
      <c r="I456" s="470" t="s">
        <v>6257</v>
      </c>
      <c r="J456" s="469">
        <v>24</v>
      </c>
      <c r="K456" s="470" t="s">
        <v>6264</v>
      </c>
      <c r="L456" s="470" t="s">
        <v>6280</v>
      </c>
      <c r="M456" s="470" t="s">
        <v>9</v>
      </c>
      <c r="N456" s="473">
        <v>0</v>
      </c>
      <c r="O456" s="471"/>
      <c r="P456" s="471"/>
      <c r="Q456" s="471"/>
      <c r="R456" s="470"/>
      <c r="S456" s="471">
        <v>0.21302083333333333</v>
      </c>
      <c r="T456" s="471">
        <v>0.27968750000000003</v>
      </c>
      <c r="U456" s="471"/>
      <c r="V456" s="471"/>
      <c r="W456" s="471">
        <v>0.50692129629629623</v>
      </c>
      <c r="X456" s="471">
        <v>0.7341550925925926</v>
      </c>
      <c r="Y456" s="471">
        <v>0.4680555555555555</v>
      </c>
      <c r="Z456" s="471">
        <v>0.78472222222222221</v>
      </c>
      <c r="AA456" s="471">
        <v>6.3194444444444442E-2</v>
      </c>
      <c r="AB456" s="470" t="s">
        <v>6464</v>
      </c>
      <c r="AC456" s="473">
        <v>130</v>
      </c>
      <c r="AD456" s="470" t="s">
        <v>113</v>
      </c>
      <c r="AE456" s="470"/>
      <c r="AF456" s="473">
        <v>13.8</v>
      </c>
      <c r="AG456" s="469">
        <v>41.8</v>
      </c>
      <c r="AH456" s="470" t="s">
        <v>973</v>
      </c>
      <c r="AI456" s="470" t="s">
        <v>6320</v>
      </c>
      <c r="AJ456" s="470" t="s">
        <v>839</v>
      </c>
      <c r="AK456" s="470" t="s">
        <v>6493</v>
      </c>
      <c r="AL456" s="470" t="s">
        <v>6737</v>
      </c>
      <c r="AM456" s="470" t="s">
        <v>6346</v>
      </c>
      <c r="AN456" s="470"/>
      <c r="AO456" s="470"/>
      <c r="AP456" s="470"/>
      <c r="AQ456" s="470"/>
      <c r="AR456" s="470"/>
      <c r="AS456" s="470"/>
      <c r="AT456" s="470"/>
      <c r="AU456" s="470"/>
      <c r="AV456" s="470"/>
      <c r="AW456" s="470"/>
      <c r="AX456" s="470"/>
      <c r="AY456" s="470"/>
      <c r="AZ456" s="470"/>
      <c r="BA456" s="470"/>
      <c r="BB456" s="470"/>
      <c r="BC456" s="470"/>
      <c r="BD456" s="470"/>
      <c r="BE456" s="470"/>
      <c r="BF456" s="470"/>
      <c r="BG456" s="470"/>
      <c r="BH456" s="470"/>
      <c r="BI456" s="470"/>
      <c r="BJ456" s="470" t="s">
        <v>6367</v>
      </c>
      <c r="BK456" s="470"/>
      <c r="BL456" s="474"/>
    </row>
    <row r="457" spans="1:64">
      <c r="A457" s="475">
        <v>44248</v>
      </c>
      <c r="B457" s="478">
        <v>52</v>
      </c>
      <c r="C457" s="478">
        <v>313</v>
      </c>
      <c r="D457" s="476" t="s">
        <v>612</v>
      </c>
      <c r="E457" s="477">
        <v>7</v>
      </c>
      <c r="F457" s="476" t="s">
        <v>106</v>
      </c>
      <c r="G457" s="477">
        <v>534</v>
      </c>
      <c r="H457" s="476" t="s">
        <v>6246</v>
      </c>
      <c r="I457" s="476" t="s">
        <v>6257</v>
      </c>
      <c r="J457" s="477">
        <v>25</v>
      </c>
      <c r="K457" s="476" t="s">
        <v>6265</v>
      </c>
      <c r="L457" s="476" t="s">
        <v>6280</v>
      </c>
      <c r="M457" s="476" t="s">
        <v>9</v>
      </c>
      <c r="N457" s="478">
        <v>0</v>
      </c>
      <c r="O457" s="479"/>
      <c r="P457" s="479"/>
      <c r="Q457" s="479"/>
      <c r="R457" s="476"/>
      <c r="S457" s="479">
        <v>0.21203703703703702</v>
      </c>
      <c r="T457" s="479">
        <v>0.27870370370370373</v>
      </c>
      <c r="U457" s="479"/>
      <c r="V457" s="479"/>
      <c r="W457" s="479">
        <v>0.50684027777777774</v>
      </c>
      <c r="X457" s="479">
        <v>0.7349768518518518</v>
      </c>
      <c r="Y457" s="479">
        <v>0.49583333333333335</v>
      </c>
      <c r="Z457" s="479">
        <v>0.81944444444444453</v>
      </c>
      <c r="AA457" s="479">
        <v>0.10555555555555556</v>
      </c>
      <c r="AB457" s="476" t="s">
        <v>6464</v>
      </c>
      <c r="AC457" s="478">
        <v>130</v>
      </c>
      <c r="AD457" s="476" t="s">
        <v>113</v>
      </c>
      <c r="AE457" s="476"/>
      <c r="AF457" s="478">
        <v>5.6</v>
      </c>
      <c r="AG457" s="477">
        <v>31.9</v>
      </c>
      <c r="AH457" s="476" t="s">
        <v>6290</v>
      </c>
      <c r="AI457" s="476" t="s">
        <v>6321</v>
      </c>
      <c r="AJ457" s="476" t="s">
        <v>839</v>
      </c>
      <c r="AK457" s="476" t="s">
        <v>6493</v>
      </c>
      <c r="AL457" s="476" t="s">
        <v>6738</v>
      </c>
      <c r="AM457" s="476" t="s">
        <v>6346</v>
      </c>
      <c r="AN457" s="476"/>
      <c r="AO457" s="476"/>
      <c r="AP457" s="476"/>
      <c r="AQ457" s="476"/>
      <c r="AR457" s="476"/>
      <c r="AS457" s="476"/>
      <c r="AT457" s="476"/>
      <c r="AU457" s="476"/>
      <c r="AV457" s="476"/>
      <c r="AW457" s="476"/>
      <c r="AX457" s="476"/>
      <c r="AY457" s="476"/>
      <c r="AZ457" s="476"/>
      <c r="BA457" s="476"/>
      <c r="BB457" s="476"/>
      <c r="BC457" s="476"/>
      <c r="BD457" s="476"/>
      <c r="BE457" s="476"/>
      <c r="BF457" s="476"/>
      <c r="BG457" s="476"/>
      <c r="BH457" s="476"/>
      <c r="BI457" s="476"/>
      <c r="BJ457" s="476" t="s">
        <v>6421</v>
      </c>
      <c r="BK457" s="476"/>
      <c r="BL457" s="480"/>
    </row>
    <row r="458" spans="1:64">
      <c r="A458" s="468">
        <v>44249</v>
      </c>
      <c r="B458" s="473">
        <v>53</v>
      </c>
      <c r="C458" s="473">
        <v>312</v>
      </c>
      <c r="D458" s="470" t="s">
        <v>612</v>
      </c>
      <c r="E458" s="469">
        <v>8</v>
      </c>
      <c r="F458" s="470" t="s">
        <v>88</v>
      </c>
      <c r="G458" s="469">
        <v>534</v>
      </c>
      <c r="H458" s="470" t="s">
        <v>6246</v>
      </c>
      <c r="I458" s="470" t="s">
        <v>6257</v>
      </c>
      <c r="J458" s="469">
        <v>25</v>
      </c>
      <c r="K458" s="470" t="s">
        <v>6265</v>
      </c>
      <c r="L458" s="470" t="s">
        <v>6281</v>
      </c>
      <c r="M458" s="470" t="s">
        <v>10</v>
      </c>
      <c r="N458" s="473">
        <v>0</v>
      </c>
      <c r="O458" s="471"/>
      <c r="P458" s="471"/>
      <c r="Q458" s="471"/>
      <c r="R458" s="470"/>
      <c r="S458" s="471">
        <v>0.21105324074074075</v>
      </c>
      <c r="T458" s="471">
        <v>0.27771990740740743</v>
      </c>
      <c r="U458" s="471"/>
      <c r="V458" s="471"/>
      <c r="W458" s="471">
        <v>0.5067476851851852</v>
      </c>
      <c r="X458" s="471">
        <v>0.73578703703703707</v>
      </c>
      <c r="Y458" s="471">
        <v>0.52916666666666667</v>
      </c>
      <c r="Z458" s="471">
        <v>0.85625000000000007</v>
      </c>
      <c r="AA458" s="471">
        <v>0.1451388888888889</v>
      </c>
      <c r="AB458" s="470" t="s">
        <v>6464</v>
      </c>
      <c r="AC458" s="473">
        <v>130</v>
      </c>
      <c r="AD458" s="470" t="s">
        <v>113</v>
      </c>
      <c r="AE458" s="470"/>
      <c r="AF458" s="473">
        <v>99.4</v>
      </c>
      <c r="AG458" s="469">
        <v>23.9</v>
      </c>
      <c r="AH458" s="470" t="s">
        <v>6315</v>
      </c>
      <c r="AI458" s="470" t="s">
        <v>6322</v>
      </c>
      <c r="AJ458" s="470" t="s">
        <v>6493</v>
      </c>
      <c r="AK458" s="470" t="s">
        <v>6493</v>
      </c>
      <c r="AL458" s="470" t="s">
        <v>6727</v>
      </c>
      <c r="AM458" s="470"/>
      <c r="AN458" s="470"/>
      <c r="AO458" s="470"/>
      <c r="AP458" s="470"/>
      <c r="AQ458" s="470"/>
      <c r="AR458" s="470"/>
      <c r="AS458" s="470"/>
      <c r="AT458" s="470"/>
      <c r="AU458" s="470"/>
      <c r="AV458" s="470"/>
      <c r="AW458" s="470"/>
      <c r="AX458" s="470"/>
      <c r="AY458" s="470"/>
      <c r="AZ458" s="470"/>
      <c r="BA458" s="470"/>
      <c r="BB458" s="470"/>
      <c r="BC458" s="470"/>
      <c r="BD458" s="470"/>
      <c r="BE458" s="470"/>
      <c r="BF458" s="470"/>
      <c r="BG458" s="470"/>
      <c r="BH458" s="470"/>
      <c r="BI458" s="470"/>
      <c r="BJ458" s="470"/>
      <c r="BK458" s="470"/>
      <c r="BL458" s="474"/>
    </row>
    <row r="459" spans="1:64">
      <c r="A459" s="475">
        <v>44250</v>
      </c>
      <c r="B459" s="478">
        <v>54</v>
      </c>
      <c r="C459" s="478">
        <v>311</v>
      </c>
      <c r="D459" s="476" t="s">
        <v>612</v>
      </c>
      <c r="E459" s="477">
        <v>8</v>
      </c>
      <c r="F459" s="476" t="s">
        <v>91</v>
      </c>
      <c r="G459" s="477">
        <v>534</v>
      </c>
      <c r="H459" s="476" t="s">
        <v>6246</v>
      </c>
      <c r="I459" s="476" t="s">
        <v>6257</v>
      </c>
      <c r="J459" s="477">
        <v>26</v>
      </c>
      <c r="K459" s="476" t="s">
        <v>6271</v>
      </c>
      <c r="L459" s="476" t="s">
        <v>6282</v>
      </c>
      <c r="M459" s="476" t="s">
        <v>9</v>
      </c>
      <c r="N459" s="478">
        <v>0</v>
      </c>
      <c r="O459" s="479"/>
      <c r="P459" s="479"/>
      <c r="Q459" s="479"/>
      <c r="R459" s="476"/>
      <c r="S459" s="479">
        <v>0.21004629629629631</v>
      </c>
      <c r="T459" s="479">
        <v>0.27671296296296294</v>
      </c>
      <c r="U459" s="479"/>
      <c r="V459" s="479"/>
      <c r="W459" s="479">
        <v>0.50665509259259256</v>
      </c>
      <c r="X459" s="479">
        <v>0.73659722222222224</v>
      </c>
      <c r="Y459" s="479">
        <v>0.56736111111111109</v>
      </c>
      <c r="Z459" s="479">
        <v>0.89374999999999993</v>
      </c>
      <c r="AA459" s="479">
        <v>0.18333333333333335</v>
      </c>
      <c r="AB459" s="476" t="s">
        <v>6464</v>
      </c>
      <c r="AC459" s="478">
        <v>130</v>
      </c>
      <c r="AD459" s="476" t="s">
        <v>113</v>
      </c>
      <c r="AE459" s="476"/>
      <c r="AF459" s="478">
        <v>96</v>
      </c>
      <c r="AG459" s="477">
        <v>18.399999999999999</v>
      </c>
      <c r="AH459" s="476" t="s">
        <v>6291</v>
      </c>
      <c r="AI459" s="476" t="s">
        <v>6323</v>
      </c>
      <c r="AJ459" s="476" t="s">
        <v>8</v>
      </c>
      <c r="AK459" s="476" t="s">
        <v>13</v>
      </c>
      <c r="AL459" s="476" t="s">
        <v>6739</v>
      </c>
      <c r="AM459" s="476" t="s">
        <v>6342</v>
      </c>
      <c r="AN459" s="476" t="s">
        <v>6970</v>
      </c>
      <c r="AO459" s="476" t="s">
        <v>6351</v>
      </c>
      <c r="AP459" s="476" t="s">
        <v>7009</v>
      </c>
      <c r="AQ459" s="476" t="s">
        <v>6351</v>
      </c>
      <c r="AR459" s="476"/>
      <c r="AS459" s="476"/>
      <c r="AT459" s="476"/>
      <c r="AU459" s="476"/>
      <c r="AV459" s="476"/>
      <c r="AW459" s="476"/>
      <c r="AX459" s="476"/>
      <c r="AY459" s="476"/>
      <c r="AZ459" s="476"/>
      <c r="BA459" s="476"/>
      <c r="BB459" s="476"/>
      <c r="BC459" s="476"/>
      <c r="BD459" s="476"/>
      <c r="BE459" s="476"/>
      <c r="BF459" s="476"/>
      <c r="BG459" s="476"/>
      <c r="BH459" s="476"/>
      <c r="BI459" s="476"/>
      <c r="BJ459" s="476" t="s">
        <v>6422</v>
      </c>
      <c r="BK459" s="476"/>
      <c r="BL459" s="480"/>
    </row>
    <row r="460" spans="1:64">
      <c r="A460" s="468">
        <v>44251</v>
      </c>
      <c r="B460" s="473">
        <v>55</v>
      </c>
      <c r="C460" s="473">
        <v>310</v>
      </c>
      <c r="D460" s="470" t="s">
        <v>612</v>
      </c>
      <c r="E460" s="469">
        <v>8</v>
      </c>
      <c r="F460" s="470" t="s">
        <v>94</v>
      </c>
      <c r="G460" s="469">
        <v>534</v>
      </c>
      <c r="H460" s="470" t="s">
        <v>6246</v>
      </c>
      <c r="I460" s="470" t="s">
        <v>6257</v>
      </c>
      <c r="J460" s="469">
        <v>27</v>
      </c>
      <c r="K460" s="470" t="s">
        <v>6266</v>
      </c>
      <c r="L460" s="470" t="s">
        <v>6283</v>
      </c>
      <c r="M460" s="470" t="s">
        <v>9</v>
      </c>
      <c r="N460" s="473">
        <v>0</v>
      </c>
      <c r="O460" s="471"/>
      <c r="P460" s="471"/>
      <c r="Q460" s="471"/>
      <c r="R460" s="470"/>
      <c r="S460" s="471">
        <v>0.20903935185185185</v>
      </c>
      <c r="T460" s="471">
        <v>0.2757060185185185</v>
      </c>
      <c r="U460" s="471">
        <v>0.27569444444444446</v>
      </c>
      <c r="V460" s="471">
        <v>0.31736111111111115</v>
      </c>
      <c r="W460" s="471">
        <v>0.50655092592592588</v>
      </c>
      <c r="X460" s="471">
        <v>0.7374074074074074</v>
      </c>
      <c r="Y460" s="471">
        <v>0.6118055555555556</v>
      </c>
      <c r="Z460" s="471">
        <v>0.93125000000000002</v>
      </c>
      <c r="AA460" s="471">
        <v>0.21666666666666667</v>
      </c>
      <c r="AB460" s="470" t="s">
        <v>6464</v>
      </c>
      <c r="AC460" s="473">
        <v>130</v>
      </c>
      <c r="AD460" s="470" t="s">
        <v>113</v>
      </c>
      <c r="AE460" s="470"/>
      <c r="AF460" s="473">
        <v>95.7</v>
      </c>
      <c r="AG460" s="469">
        <v>15.7</v>
      </c>
      <c r="AH460" s="470" t="s">
        <v>6292</v>
      </c>
      <c r="AI460" s="470" t="s">
        <v>6324</v>
      </c>
      <c r="AJ460" s="470" t="s">
        <v>840</v>
      </c>
      <c r="AK460" s="470" t="s">
        <v>6493</v>
      </c>
      <c r="AL460" s="470" t="s">
        <v>6858</v>
      </c>
      <c r="AM460" s="470" t="s">
        <v>6343</v>
      </c>
      <c r="AN460" s="470" t="s">
        <v>6913</v>
      </c>
      <c r="AO460" s="470" t="s">
        <v>6347</v>
      </c>
      <c r="AP460" s="470" t="s">
        <v>7010</v>
      </c>
      <c r="AQ460" s="470" t="s">
        <v>6352</v>
      </c>
      <c r="AR460" s="470"/>
      <c r="AS460" s="470"/>
      <c r="AT460" s="470"/>
      <c r="AU460" s="470"/>
      <c r="AV460" s="470"/>
      <c r="AW460" s="470"/>
      <c r="AX460" s="470"/>
      <c r="AY460" s="470"/>
      <c r="AZ460" s="470"/>
      <c r="BA460" s="470"/>
      <c r="BB460" s="470"/>
      <c r="BC460" s="470"/>
      <c r="BD460" s="470"/>
      <c r="BE460" s="470"/>
      <c r="BF460" s="470"/>
      <c r="BG460" s="470"/>
      <c r="BH460" s="470"/>
      <c r="BI460" s="470"/>
      <c r="BJ460" s="470" t="s">
        <v>6423</v>
      </c>
      <c r="BK460" s="470"/>
      <c r="BL460" s="474"/>
    </row>
    <row r="461" spans="1:64">
      <c r="A461" s="475">
        <v>44252</v>
      </c>
      <c r="B461" s="478">
        <v>56</v>
      </c>
      <c r="C461" s="478">
        <v>309</v>
      </c>
      <c r="D461" s="476" t="s">
        <v>612</v>
      </c>
      <c r="E461" s="477">
        <v>8</v>
      </c>
      <c r="F461" s="476" t="s">
        <v>6714</v>
      </c>
      <c r="G461" s="477">
        <v>534</v>
      </c>
      <c r="H461" s="476" t="s">
        <v>6246</v>
      </c>
      <c r="I461" s="476" t="s">
        <v>6257</v>
      </c>
      <c r="J461" s="477">
        <v>28</v>
      </c>
      <c r="K461" s="476" t="s">
        <v>6267</v>
      </c>
      <c r="L461" s="476" t="s">
        <v>6284</v>
      </c>
      <c r="M461" s="476" t="s">
        <v>9</v>
      </c>
      <c r="N461" s="478">
        <v>0</v>
      </c>
      <c r="O461" s="479"/>
      <c r="P461" s="479"/>
      <c r="Q461" s="479"/>
      <c r="R461" s="476"/>
      <c r="S461" s="479">
        <v>0.20800925925925925</v>
      </c>
      <c r="T461" s="479">
        <v>0.27467592592592593</v>
      </c>
      <c r="U461" s="479"/>
      <c r="V461" s="479"/>
      <c r="W461" s="479">
        <v>0.5064467592592593</v>
      </c>
      <c r="X461" s="479">
        <v>0.73821759259259256</v>
      </c>
      <c r="Y461" s="479">
        <v>0.65902777777777777</v>
      </c>
      <c r="Z461" s="479">
        <v>0.96875</v>
      </c>
      <c r="AA461" s="479">
        <v>0.24652777777777779</v>
      </c>
      <c r="AB461" s="476" t="s">
        <v>6464</v>
      </c>
      <c r="AC461" s="478">
        <v>130</v>
      </c>
      <c r="AD461" s="476" t="s">
        <v>113</v>
      </c>
      <c r="AE461" s="476"/>
      <c r="AF461" s="478">
        <v>98.9</v>
      </c>
      <c r="AG461" s="477">
        <v>16.100000000000001</v>
      </c>
      <c r="AH461" s="476" t="s">
        <v>6293</v>
      </c>
      <c r="AI461" s="476" t="s">
        <v>6325</v>
      </c>
      <c r="AJ461" s="476" t="s">
        <v>874</v>
      </c>
      <c r="AK461" s="476" t="s">
        <v>6493</v>
      </c>
      <c r="AL461" s="476" t="s">
        <v>6741</v>
      </c>
      <c r="AM461" s="476" t="s">
        <v>6347</v>
      </c>
      <c r="AN461" s="476" t="s">
        <v>6900</v>
      </c>
      <c r="AO461" s="476" t="s">
        <v>6351</v>
      </c>
      <c r="AP461" s="476"/>
      <c r="AQ461" s="476"/>
      <c r="AR461" s="476"/>
      <c r="AS461" s="476"/>
      <c r="AT461" s="476"/>
      <c r="AU461" s="476"/>
      <c r="AV461" s="476"/>
      <c r="AW461" s="476"/>
      <c r="AX461" s="476"/>
      <c r="AY461" s="476"/>
      <c r="AZ461" s="476"/>
      <c r="BA461" s="476"/>
      <c r="BB461" s="476"/>
      <c r="BC461" s="476"/>
      <c r="BD461" s="476"/>
      <c r="BE461" s="476"/>
      <c r="BF461" s="476"/>
      <c r="BG461" s="476"/>
      <c r="BH461" s="476"/>
      <c r="BI461" s="476"/>
      <c r="BJ461" s="476" t="s">
        <v>6424</v>
      </c>
      <c r="BK461" s="476"/>
      <c r="BL461" s="480"/>
    </row>
    <row r="462" spans="1:64">
      <c r="A462" s="468">
        <v>44253</v>
      </c>
      <c r="B462" s="473">
        <v>57</v>
      </c>
      <c r="C462" s="473">
        <v>308</v>
      </c>
      <c r="D462" s="470" t="s">
        <v>612</v>
      </c>
      <c r="E462" s="469">
        <v>8</v>
      </c>
      <c r="F462" s="470" t="s">
        <v>100</v>
      </c>
      <c r="G462" s="469">
        <v>534</v>
      </c>
      <c r="H462" s="470" t="s">
        <v>6246</v>
      </c>
      <c r="I462" s="470" t="s">
        <v>6257</v>
      </c>
      <c r="J462" s="469">
        <v>30</v>
      </c>
      <c r="K462" s="470" t="s">
        <v>6272</v>
      </c>
      <c r="L462" s="470" t="s">
        <v>6285</v>
      </c>
      <c r="M462" s="470" t="s">
        <v>9</v>
      </c>
      <c r="N462" s="473">
        <v>0</v>
      </c>
      <c r="O462" s="471">
        <v>0.28472222222222221</v>
      </c>
      <c r="P462" s="471">
        <v>0.22361111111111109</v>
      </c>
      <c r="Q462" s="471"/>
      <c r="R462" s="470"/>
      <c r="S462" s="471">
        <v>0.20697916666666669</v>
      </c>
      <c r="T462" s="471">
        <v>0.27364583333333331</v>
      </c>
      <c r="U462" s="471"/>
      <c r="V462" s="471"/>
      <c r="W462" s="471">
        <v>0.50633101851851847</v>
      </c>
      <c r="X462" s="471">
        <v>0.73901620370370369</v>
      </c>
      <c r="Y462" s="471">
        <v>0.70972222222222225</v>
      </c>
      <c r="Z462" s="471" t="s">
        <v>1107</v>
      </c>
      <c r="AA462" s="471">
        <v>0.2722222222222222</v>
      </c>
      <c r="AB462" s="470" t="s">
        <v>6464</v>
      </c>
      <c r="AC462" s="473">
        <v>130</v>
      </c>
      <c r="AD462" s="470" t="s">
        <v>113</v>
      </c>
      <c r="AE462" s="470"/>
      <c r="AF462" s="473">
        <v>5.4</v>
      </c>
      <c r="AG462" s="469">
        <v>19.5</v>
      </c>
      <c r="AH462" s="470" t="s">
        <v>6294</v>
      </c>
      <c r="AI462" s="470" t="s">
        <v>6326</v>
      </c>
      <c r="AJ462" s="470" t="s">
        <v>839</v>
      </c>
      <c r="AK462" s="470" t="s">
        <v>6493</v>
      </c>
      <c r="AL462" s="470" t="s">
        <v>815</v>
      </c>
      <c r="AM462" s="470" t="s">
        <v>6344</v>
      </c>
      <c r="AN462" s="470" t="s">
        <v>6914</v>
      </c>
      <c r="AO462" s="470" t="s">
        <v>6346</v>
      </c>
      <c r="AP462" s="470" t="s">
        <v>6896</v>
      </c>
      <c r="AQ462" s="470"/>
      <c r="AR462" s="470" t="s">
        <v>7072</v>
      </c>
      <c r="AS462" s="470"/>
      <c r="AT462" s="470"/>
      <c r="AU462" s="470"/>
      <c r="AV462" s="470"/>
      <c r="AW462" s="470"/>
      <c r="AX462" s="470"/>
      <c r="AY462" s="470"/>
      <c r="AZ462" s="470"/>
      <c r="BA462" s="470"/>
      <c r="BB462" s="470"/>
      <c r="BC462" s="470"/>
      <c r="BD462" s="470"/>
      <c r="BE462" s="470"/>
      <c r="BF462" s="470"/>
      <c r="BG462" s="470"/>
      <c r="BH462" s="470"/>
      <c r="BI462" s="470"/>
      <c r="BJ462" s="470" t="s">
        <v>6368</v>
      </c>
      <c r="BK462" s="470"/>
      <c r="BL462" s="474"/>
    </row>
    <row r="463" spans="1:64">
      <c r="A463" s="475">
        <v>44254</v>
      </c>
      <c r="B463" s="478">
        <v>58</v>
      </c>
      <c r="C463" s="478">
        <v>307</v>
      </c>
      <c r="D463" s="476" t="s">
        <v>612</v>
      </c>
      <c r="E463" s="477">
        <v>8</v>
      </c>
      <c r="F463" s="476" t="s">
        <v>103</v>
      </c>
      <c r="G463" s="477">
        <v>534</v>
      </c>
      <c r="H463" s="476" t="s">
        <v>6247</v>
      </c>
      <c r="I463" s="476" t="s">
        <v>836</v>
      </c>
      <c r="J463" s="477">
        <v>1</v>
      </c>
      <c r="K463" s="476" t="s">
        <v>6270</v>
      </c>
      <c r="L463" s="476" t="s">
        <v>6287</v>
      </c>
      <c r="M463" s="476" t="s">
        <v>9</v>
      </c>
      <c r="N463" s="478">
        <v>0</v>
      </c>
      <c r="O463" s="479"/>
      <c r="P463" s="479"/>
      <c r="Q463" s="479"/>
      <c r="R463" s="476"/>
      <c r="S463" s="479">
        <v>0.2059375</v>
      </c>
      <c r="T463" s="479">
        <v>0.2726041666666667</v>
      </c>
      <c r="U463" s="479"/>
      <c r="V463" s="479"/>
      <c r="W463" s="479">
        <v>0.50621527777777775</v>
      </c>
      <c r="X463" s="479">
        <v>0.73981481481481481</v>
      </c>
      <c r="Y463" s="479">
        <v>0.76041666666666663</v>
      </c>
      <c r="Z463" s="479">
        <v>4.8611111111111112E-3</v>
      </c>
      <c r="AA463" s="479">
        <v>0.2951388888888889</v>
      </c>
      <c r="AB463" s="476" t="s">
        <v>6462</v>
      </c>
      <c r="AC463" s="478">
        <v>129</v>
      </c>
      <c r="AD463" s="476" t="s">
        <v>116</v>
      </c>
      <c r="AE463" s="476" t="s">
        <v>6604</v>
      </c>
      <c r="AF463" s="478">
        <v>14.9</v>
      </c>
      <c r="AG463" s="477">
        <v>25.5</v>
      </c>
      <c r="AH463" s="476" t="s">
        <v>6295</v>
      </c>
      <c r="AI463" s="476" t="s">
        <v>6327</v>
      </c>
      <c r="AJ463" s="476" t="s">
        <v>6493</v>
      </c>
      <c r="AK463" s="476" t="s">
        <v>6493</v>
      </c>
      <c r="AL463" s="476" t="s">
        <v>6742</v>
      </c>
      <c r="AM463" s="476"/>
      <c r="AN463" s="476"/>
      <c r="AO463" s="476"/>
      <c r="AP463" s="476"/>
      <c r="AQ463" s="476"/>
      <c r="AR463" s="476"/>
      <c r="AS463" s="476"/>
      <c r="AT463" s="476"/>
      <c r="AU463" s="476"/>
      <c r="AV463" s="476"/>
      <c r="AW463" s="476"/>
      <c r="AX463" s="476"/>
      <c r="AY463" s="476"/>
      <c r="AZ463" s="476"/>
      <c r="BA463" s="476"/>
      <c r="BB463" s="476"/>
      <c r="BC463" s="476"/>
      <c r="BD463" s="476"/>
      <c r="BE463" s="476"/>
      <c r="BF463" s="476"/>
      <c r="BG463" s="476"/>
      <c r="BH463" s="476"/>
      <c r="BI463" s="476"/>
      <c r="BJ463" s="476"/>
      <c r="BK463" s="476"/>
      <c r="BL463" s="480"/>
    </row>
    <row r="464" spans="1:64">
      <c r="A464" s="468">
        <v>44255</v>
      </c>
      <c r="B464" s="473">
        <v>59</v>
      </c>
      <c r="C464" s="473">
        <v>306</v>
      </c>
      <c r="D464" s="470" t="s">
        <v>612</v>
      </c>
      <c r="E464" s="469">
        <v>8</v>
      </c>
      <c r="F464" s="470" t="s">
        <v>106</v>
      </c>
      <c r="G464" s="469">
        <v>534</v>
      </c>
      <c r="H464" s="470" t="s">
        <v>6247</v>
      </c>
      <c r="I464" s="470" t="s">
        <v>836</v>
      </c>
      <c r="J464" s="469">
        <v>2</v>
      </c>
      <c r="K464" s="470" t="s">
        <v>1034</v>
      </c>
      <c r="L464" s="470" t="s">
        <v>6273</v>
      </c>
      <c r="M464" s="470" t="s">
        <v>9</v>
      </c>
      <c r="N464" s="473">
        <v>0</v>
      </c>
      <c r="O464" s="471"/>
      <c r="P464" s="471"/>
      <c r="Q464" s="471"/>
      <c r="R464" s="470"/>
      <c r="S464" s="471">
        <v>0.20488425925925924</v>
      </c>
      <c r="T464" s="471">
        <v>0.27155092592592595</v>
      </c>
      <c r="U464" s="471"/>
      <c r="V464" s="471"/>
      <c r="W464" s="471">
        <v>0.50608796296296299</v>
      </c>
      <c r="X464" s="471">
        <v>0.74061342592592594</v>
      </c>
      <c r="Y464" s="471">
        <v>0.81111111111111101</v>
      </c>
      <c r="Z464" s="471">
        <v>4.027777777777778E-2</v>
      </c>
      <c r="AA464" s="471">
        <v>0.31597222222222221</v>
      </c>
      <c r="AB464" s="470" t="s">
        <v>6462</v>
      </c>
      <c r="AC464" s="473">
        <v>129</v>
      </c>
      <c r="AD464" s="470" t="s">
        <v>116</v>
      </c>
      <c r="AE464" s="470"/>
      <c r="AF464" s="473">
        <v>26.5</v>
      </c>
      <c r="AG464" s="469">
        <v>33.5</v>
      </c>
      <c r="AH464" s="470" t="s">
        <v>6296</v>
      </c>
      <c r="AI464" s="470" t="s">
        <v>6329</v>
      </c>
      <c r="AJ464" s="470" t="s">
        <v>6493</v>
      </c>
      <c r="AK464" s="470" t="s">
        <v>6493</v>
      </c>
      <c r="AL464" s="470"/>
      <c r="AM464" s="470"/>
      <c r="AN464" s="470"/>
      <c r="AO464" s="470"/>
      <c r="AP464" s="470"/>
      <c r="AQ464" s="470"/>
      <c r="AR464" s="470"/>
      <c r="AS464" s="470"/>
      <c r="AT464" s="470"/>
      <c r="AU464" s="470"/>
      <c r="AV464" s="470"/>
      <c r="AW464" s="470"/>
      <c r="AX464" s="470"/>
      <c r="AY464" s="470"/>
      <c r="AZ464" s="470"/>
      <c r="BA464" s="470"/>
      <c r="BB464" s="470"/>
      <c r="BC464" s="470"/>
      <c r="BD464" s="470"/>
      <c r="BE464" s="470"/>
      <c r="BF464" s="470"/>
      <c r="BG464" s="470"/>
      <c r="BH464" s="470"/>
      <c r="BI464" s="470"/>
      <c r="BJ464" s="470"/>
      <c r="BK464" s="470"/>
      <c r="BL464" s="474"/>
    </row>
    <row r="465" spans="1:64">
      <c r="A465" s="475">
        <v>44256</v>
      </c>
      <c r="B465" s="478">
        <v>60</v>
      </c>
      <c r="C465" s="478">
        <v>305</v>
      </c>
      <c r="D465" s="476" t="s">
        <v>615</v>
      </c>
      <c r="E465" s="477">
        <v>9</v>
      </c>
      <c r="F465" s="476" t="s">
        <v>88</v>
      </c>
      <c r="G465" s="477">
        <v>534</v>
      </c>
      <c r="H465" s="476" t="s">
        <v>6247</v>
      </c>
      <c r="I465" s="476" t="s">
        <v>836</v>
      </c>
      <c r="J465" s="477">
        <v>3</v>
      </c>
      <c r="K465" s="476" t="s">
        <v>6258</v>
      </c>
      <c r="L465" s="476" t="s">
        <v>6274</v>
      </c>
      <c r="M465" s="476" t="s">
        <v>9</v>
      </c>
      <c r="N465" s="478">
        <v>0</v>
      </c>
      <c r="O465" s="479"/>
      <c r="P465" s="479"/>
      <c r="Q465" s="479"/>
      <c r="R465" s="476"/>
      <c r="S465" s="479">
        <v>0.20383101851851851</v>
      </c>
      <c r="T465" s="479">
        <v>0.27049768518518519</v>
      </c>
      <c r="U465" s="479"/>
      <c r="V465" s="479"/>
      <c r="W465" s="479">
        <v>0.50594907407407408</v>
      </c>
      <c r="X465" s="479">
        <v>0.74140046296296302</v>
      </c>
      <c r="Y465" s="479">
        <v>0.86249999999999993</v>
      </c>
      <c r="Z465" s="479">
        <v>7.4999999999999997E-2</v>
      </c>
      <c r="AA465" s="479">
        <v>0.3354166666666667</v>
      </c>
      <c r="AB465" s="476" t="s">
        <v>6462</v>
      </c>
      <c r="AC465" s="478">
        <v>129</v>
      </c>
      <c r="AD465" s="476" t="s">
        <v>116</v>
      </c>
      <c r="AE465" s="476"/>
      <c r="AF465" s="478">
        <v>39.5</v>
      </c>
      <c r="AG465" s="477">
        <v>42.7</v>
      </c>
      <c r="AH465" s="476" t="s">
        <v>6297</v>
      </c>
      <c r="AI465" s="476" t="s">
        <v>6330</v>
      </c>
      <c r="AJ465" s="476" t="s">
        <v>6493</v>
      </c>
      <c r="AK465" s="476" t="s">
        <v>6493</v>
      </c>
      <c r="AL465" s="476"/>
      <c r="AM465" s="476"/>
      <c r="AN465" s="476"/>
      <c r="AO465" s="476"/>
      <c r="AP465" s="476"/>
      <c r="AQ465" s="476"/>
      <c r="AR465" s="476"/>
      <c r="AS465" s="476"/>
      <c r="AT465" s="476"/>
      <c r="AU465" s="476"/>
      <c r="AV465" s="476"/>
      <c r="AW465" s="476"/>
      <c r="AX465" s="476"/>
      <c r="AY465" s="476"/>
      <c r="AZ465" s="476"/>
      <c r="BA465" s="476"/>
      <c r="BB465" s="476"/>
      <c r="BC465" s="476"/>
      <c r="BD465" s="476"/>
      <c r="BE465" s="476"/>
      <c r="BF465" s="476"/>
      <c r="BG465" s="476"/>
      <c r="BH465" s="476"/>
      <c r="BI465" s="476"/>
      <c r="BJ465" s="476"/>
      <c r="BK465" s="476"/>
      <c r="BL465" s="480"/>
    </row>
    <row r="466" spans="1:64">
      <c r="A466" s="468">
        <v>44257</v>
      </c>
      <c r="B466" s="473">
        <v>61</v>
      </c>
      <c r="C466" s="473">
        <v>304</v>
      </c>
      <c r="D466" s="470" t="s">
        <v>615</v>
      </c>
      <c r="E466" s="469">
        <v>9</v>
      </c>
      <c r="F466" s="470" t="s">
        <v>91</v>
      </c>
      <c r="G466" s="469">
        <v>534</v>
      </c>
      <c r="H466" s="470" t="s">
        <v>6247</v>
      </c>
      <c r="I466" s="470" t="s">
        <v>836</v>
      </c>
      <c r="J466" s="469">
        <v>4</v>
      </c>
      <c r="K466" s="470" t="s">
        <v>6259</v>
      </c>
      <c r="L466" s="470" t="s">
        <v>6275</v>
      </c>
      <c r="M466" s="470" t="s">
        <v>9</v>
      </c>
      <c r="N466" s="473">
        <v>0</v>
      </c>
      <c r="O466" s="471"/>
      <c r="P466" s="471"/>
      <c r="Q466" s="471"/>
      <c r="R466" s="470"/>
      <c r="S466" s="471">
        <v>0.20276620370370368</v>
      </c>
      <c r="T466" s="471">
        <v>0.26943287037037039</v>
      </c>
      <c r="U466" s="471"/>
      <c r="V466" s="471"/>
      <c r="W466" s="471">
        <v>0.50581018518518517</v>
      </c>
      <c r="X466" s="471">
        <v>0.7421875</v>
      </c>
      <c r="Y466" s="471">
        <v>0.91388888888888886</v>
      </c>
      <c r="Z466" s="471">
        <v>0.10972222222222222</v>
      </c>
      <c r="AA466" s="471">
        <v>0.35555555555555557</v>
      </c>
      <c r="AB466" s="470" t="s">
        <v>6462</v>
      </c>
      <c r="AC466" s="473">
        <v>129</v>
      </c>
      <c r="AD466" s="470" t="s">
        <v>116</v>
      </c>
      <c r="AE466" s="470"/>
      <c r="AF466" s="473">
        <v>52.6</v>
      </c>
      <c r="AG466" s="469">
        <v>52.1</v>
      </c>
      <c r="AH466" s="470" t="s">
        <v>6298</v>
      </c>
      <c r="AI466" s="470" t="s">
        <v>6331</v>
      </c>
      <c r="AJ466" s="470" t="s">
        <v>6493</v>
      </c>
      <c r="AK466" s="470" t="s">
        <v>6493</v>
      </c>
      <c r="AL466" s="470"/>
      <c r="AM466" s="470"/>
      <c r="AN466" s="470"/>
      <c r="AO466" s="470"/>
      <c r="AP466" s="470"/>
      <c r="AQ466" s="470"/>
      <c r="AR466" s="470"/>
      <c r="AS466" s="470"/>
      <c r="AT466" s="470"/>
      <c r="AU466" s="470"/>
      <c r="AV466" s="470"/>
      <c r="AW466" s="470"/>
      <c r="AX466" s="470"/>
      <c r="AY466" s="470"/>
      <c r="AZ466" s="470"/>
      <c r="BA466" s="470"/>
      <c r="BB466" s="470"/>
      <c r="BC466" s="470"/>
      <c r="BD466" s="470"/>
      <c r="BE466" s="470"/>
      <c r="BF466" s="470"/>
      <c r="BG466" s="470"/>
      <c r="BH466" s="470"/>
      <c r="BI466" s="470"/>
      <c r="BJ466" s="470"/>
      <c r="BK466" s="470"/>
      <c r="BL466" s="474"/>
    </row>
    <row r="467" spans="1:64">
      <c r="A467" s="475">
        <v>44258</v>
      </c>
      <c r="B467" s="478">
        <v>62</v>
      </c>
      <c r="C467" s="478">
        <v>303</v>
      </c>
      <c r="D467" s="476" t="s">
        <v>615</v>
      </c>
      <c r="E467" s="477">
        <v>9</v>
      </c>
      <c r="F467" s="476" t="s">
        <v>94</v>
      </c>
      <c r="G467" s="477">
        <v>534</v>
      </c>
      <c r="H467" s="476" t="s">
        <v>6247</v>
      </c>
      <c r="I467" s="476" t="s">
        <v>836</v>
      </c>
      <c r="J467" s="477">
        <v>5</v>
      </c>
      <c r="K467" s="476" t="s">
        <v>6260</v>
      </c>
      <c r="L467" s="476" t="s">
        <v>6276</v>
      </c>
      <c r="M467" s="476" t="s">
        <v>9</v>
      </c>
      <c r="N467" s="478">
        <v>0</v>
      </c>
      <c r="O467" s="479"/>
      <c r="P467" s="479"/>
      <c r="Q467" s="479"/>
      <c r="R467" s="476"/>
      <c r="S467" s="479">
        <v>0.20168981481481482</v>
      </c>
      <c r="T467" s="479">
        <v>0.26835648148148145</v>
      </c>
      <c r="U467" s="479"/>
      <c r="V467" s="479"/>
      <c r="W467" s="479">
        <v>0.50565972222222222</v>
      </c>
      <c r="X467" s="479">
        <v>0.74297453703703698</v>
      </c>
      <c r="Y467" s="479">
        <v>0.96597222222222223</v>
      </c>
      <c r="Z467" s="479">
        <v>0.14583333333333334</v>
      </c>
      <c r="AA467" s="479">
        <v>0.37638888888888888</v>
      </c>
      <c r="AB467" s="476" t="s">
        <v>6462</v>
      </c>
      <c r="AC467" s="478">
        <v>129</v>
      </c>
      <c r="AD467" s="476" t="s">
        <v>116</v>
      </c>
      <c r="AE467" s="476"/>
      <c r="AF467" s="478">
        <v>65.2</v>
      </c>
      <c r="AG467" s="477">
        <v>60.9</v>
      </c>
      <c r="AH467" s="476" t="s">
        <v>6299</v>
      </c>
      <c r="AI467" s="476" t="s">
        <v>6332</v>
      </c>
      <c r="AJ467" s="476" t="s">
        <v>874</v>
      </c>
      <c r="AK467" s="476" t="s">
        <v>6493</v>
      </c>
      <c r="AL467" s="476" t="s">
        <v>6743</v>
      </c>
      <c r="AM467" s="476" t="s">
        <v>6346</v>
      </c>
      <c r="AN467" s="476" t="s">
        <v>6915</v>
      </c>
      <c r="AO467" s="476" t="s">
        <v>6345</v>
      </c>
      <c r="AP467" s="476" t="s">
        <v>6900</v>
      </c>
      <c r="AQ467" s="476" t="s">
        <v>6351</v>
      </c>
      <c r="AR467" s="476"/>
      <c r="AS467" s="476"/>
      <c r="AT467" s="476"/>
      <c r="AU467" s="476"/>
      <c r="AV467" s="476"/>
      <c r="AW467" s="476"/>
      <c r="AX467" s="476"/>
      <c r="AY467" s="476"/>
      <c r="AZ467" s="476"/>
      <c r="BA467" s="476"/>
      <c r="BB467" s="476"/>
      <c r="BC467" s="476"/>
      <c r="BD467" s="476"/>
      <c r="BE467" s="476"/>
      <c r="BF467" s="476"/>
      <c r="BG467" s="476"/>
      <c r="BH467" s="476"/>
      <c r="BI467" s="476"/>
      <c r="BJ467" s="476" t="s">
        <v>6369</v>
      </c>
      <c r="BK467" s="476"/>
      <c r="BL467" s="480"/>
    </row>
    <row r="468" spans="1:64">
      <c r="A468" s="468">
        <v>44259</v>
      </c>
      <c r="B468" s="473">
        <v>63</v>
      </c>
      <c r="C468" s="473">
        <v>302</v>
      </c>
      <c r="D468" s="470" t="s">
        <v>615</v>
      </c>
      <c r="E468" s="469">
        <v>9</v>
      </c>
      <c r="F468" s="470" t="s">
        <v>6714</v>
      </c>
      <c r="G468" s="469">
        <v>534</v>
      </c>
      <c r="H468" s="470" t="s">
        <v>6247</v>
      </c>
      <c r="I468" s="470" t="s">
        <v>836</v>
      </c>
      <c r="J468" s="469">
        <v>6</v>
      </c>
      <c r="K468" s="470" t="s">
        <v>6261</v>
      </c>
      <c r="L468" s="470" t="s">
        <v>6277</v>
      </c>
      <c r="M468" s="470" t="s">
        <v>9</v>
      </c>
      <c r="N468" s="473">
        <v>0</v>
      </c>
      <c r="O468" s="471"/>
      <c r="P468" s="471"/>
      <c r="Q468" s="471"/>
      <c r="R468" s="470"/>
      <c r="S468" s="471">
        <v>0.20060185185185186</v>
      </c>
      <c r="T468" s="471">
        <v>0.26726851851851852</v>
      </c>
      <c r="U468" s="471"/>
      <c r="V468" s="471"/>
      <c r="W468" s="471">
        <v>0.50550925925925927</v>
      </c>
      <c r="X468" s="471">
        <v>0.74375000000000002</v>
      </c>
      <c r="Y468" s="471" t="s">
        <v>1107</v>
      </c>
      <c r="Z468" s="471">
        <v>0.18263888888888891</v>
      </c>
      <c r="AA468" s="471">
        <v>0.39930555555555558</v>
      </c>
      <c r="AB468" s="470" t="s">
        <v>6462</v>
      </c>
      <c r="AC468" s="473">
        <v>129</v>
      </c>
      <c r="AD468" s="470" t="s">
        <v>116</v>
      </c>
      <c r="AE468" s="470"/>
      <c r="AF468" s="473">
        <v>76.5</v>
      </c>
      <c r="AG468" s="469">
        <v>68.599999999999994</v>
      </c>
      <c r="AH468" s="470" t="s">
        <v>6300</v>
      </c>
      <c r="AI468" s="470" t="s">
        <v>6333</v>
      </c>
      <c r="AJ468" s="470" t="s">
        <v>6493</v>
      </c>
      <c r="AK468" s="470" t="s">
        <v>6493</v>
      </c>
      <c r="AL468" s="470"/>
      <c r="AM468" s="470"/>
      <c r="AN468" s="470"/>
      <c r="AO468" s="470"/>
      <c r="AP468" s="470"/>
      <c r="AQ468" s="470"/>
      <c r="AR468" s="470"/>
      <c r="AS468" s="470"/>
      <c r="AT468" s="470"/>
      <c r="AU468" s="470"/>
      <c r="AV468" s="470"/>
      <c r="AW468" s="470"/>
      <c r="AX468" s="470"/>
      <c r="AY468" s="470"/>
      <c r="AZ468" s="470"/>
      <c r="BA468" s="470"/>
      <c r="BB468" s="470"/>
      <c r="BC468" s="470"/>
      <c r="BD468" s="470"/>
      <c r="BE468" s="470"/>
      <c r="BF468" s="470"/>
      <c r="BG468" s="470"/>
      <c r="BH468" s="470"/>
      <c r="BI468" s="470"/>
      <c r="BJ468" s="470"/>
      <c r="BK468" s="470"/>
      <c r="BL468" s="474"/>
    </row>
    <row r="469" spans="1:64">
      <c r="A469" s="475">
        <v>44260</v>
      </c>
      <c r="B469" s="478">
        <v>64</v>
      </c>
      <c r="C469" s="478">
        <v>301</v>
      </c>
      <c r="D469" s="476" t="s">
        <v>615</v>
      </c>
      <c r="E469" s="477">
        <v>9</v>
      </c>
      <c r="F469" s="476" t="s">
        <v>100</v>
      </c>
      <c r="G469" s="477">
        <v>534</v>
      </c>
      <c r="H469" s="476" t="s">
        <v>6247</v>
      </c>
      <c r="I469" s="476" t="s">
        <v>836</v>
      </c>
      <c r="J469" s="477">
        <v>7</v>
      </c>
      <c r="K469" s="476" t="s">
        <v>6262</v>
      </c>
      <c r="L469" s="476" t="s">
        <v>6278</v>
      </c>
      <c r="M469" s="476" t="s">
        <v>9</v>
      </c>
      <c r="N469" s="478">
        <v>0</v>
      </c>
      <c r="O469" s="479"/>
      <c r="P469" s="479"/>
      <c r="Q469" s="479"/>
      <c r="R469" s="476"/>
      <c r="S469" s="479">
        <v>0.19951388888888888</v>
      </c>
      <c r="T469" s="479">
        <v>0.26618055555555559</v>
      </c>
      <c r="U469" s="479"/>
      <c r="V469" s="479"/>
      <c r="W469" s="479">
        <v>0.50535879629629632</v>
      </c>
      <c r="X469" s="479">
        <v>0.74453703703703711</v>
      </c>
      <c r="Y469" s="479">
        <v>1.7361111111111112E-2</v>
      </c>
      <c r="Z469" s="479">
        <v>0.22222222222222221</v>
      </c>
      <c r="AA469" s="479">
        <v>0.42638888888888887</v>
      </c>
      <c r="AB469" s="476" t="s">
        <v>6289</v>
      </c>
      <c r="AC469" s="478">
        <v>131</v>
      </c>
      <c r="AD469" s="476" t="s">
        <v>119</v>
      </c>
      <c r="AE469" s="476" t="s">
        <v>6605</v>
      </c>
      <c r="AF469" s="478">
        <v>86.1</v>
      </c>
      <c r="AG469" s="477">
        <v>74.7</v>
      </c>
      <c r="AH469" s="476" t="s">
        <v>6301</v>
      </c>
      <c r="AI469" s="476" t="s">
        <v>6334</v>
      </c>
      <c r="AJ469" s="476" t="s">
        <v>6493</v>
      </c>
      <c r="AK469" s="476" t="s">
        <v>6493</v>
      </c>
      <c r="AL469" s="476"/>
      <c r="AM469" s="476"/>
      <c r="AN469" s="476"/>
      <c r="AO469" s="476"/>
      <c r="AP469" s="476"/>
      <c r="AQ469" s="476"/>
      <c r="AR469" s="476"/>
      <c r="AS469" s="476"/>
      <c r="AT469" s="476"/>
      <c r="AU469" s="476"/>
      <c r="AV469" s="476"/>
      <c r="AW469" s="476"/>
      <c r="AX469" s="476"/>
      <c r="AY469" s="476"/>
      <c r="AZ469" s="476"/>
      <c r="BA469" s="476"/>
      <c r="BB469" s="476"/>
      <c r="BC469" s="476"/>
      <c r="BD469" s="476"/>
      <c r="BE469" s="476"/>
      <c r="BF469" s="476"/>
      <c r="BG469" s="476"/>
      <c r="BH469" s="476"/>
      <c r="BI469" s="476"/>
      <c r="BJ469" s="476"/>
      <c r="BK469" s="476"/>
      <c r="BL469" s="480"/>
    </row>
    <row r="470" spans="1:64">
      <c r="A470" s="468">
        <v>44261</v>
      </c>
      <c r="B470" s="473">
        <v>65</v>
      </c>
      <c r="C470" s="473">
        <v>300</v>
      </c>
      <c r="D470" s="470" t="s">
        <v>615</v>
      </c>
      <c r="E470" s="469">
        <v>9</v>
      </c>
      <c r="F470" s="470" t="s">
        <v>103</v>
      </c>
      <c r="G470" s="469">
        <v>534</v>
      </c>
      <c r="H470" s="470" t="s">
        <v>6247</v>
      </c>
      <c r="I470" s="470" t="s">
        <v>836</v>
      </c>
      <c r="J470" s="469">
        <v>8</v>
      </c>
      <c r="K470" s="470" t="s">
        <v>6263</v>
      </c>
      <c r="L470" s="470" t="s">
        <v>6279</v>
      </c>
      <c r="M470" s="470" t="s">
        <v>9</v>
      </c>
      <c r="N470" s="473">
        <v>0</v>
      </c>
      <c r="O470" s="471"/>
      <c r="P470" s="471"/>
      <c r="Q470" s="471"/>
      <c r="R470" s="470"/>
      <c r="S470" s="471">
        <v>0.19842592592592592</v>
      </c>
      <c r="T470" s="471">
        <v>0.2650925925925926</v>
      </c>
      <c r="U470" s="471"/>
      <c r="V470" s="471"/>
      <c r="W470" s="471">
        <v>0.50519675925925933</v>
      </c>
      <c r="X470" s="471">
        <v>0.74531249999999993</v>
      </c>
      <c r="Y470" s="471">
        <v>6.6666666666666666E-2</v>
      </c>
      <c r="Z470" s="471">
        <v>0.26319444444444445</v>
      </c>
      <c r="AA470" s="471">
        <v>0.45833333333333331</v>
      </c>
      <c r="AB470" s="470" t="s">
        <v>6289</v>
      </c>
      <c r="AC470" s="473">
        <v>131</v>
      </c>
      <c r="AD470" s="470" t="s">
        <v>119</v>
      </c>
      <c r="AE470" s="470"/>
      <c r="AF470" s="473">
        <v>94</v>
      </c>
      <c r="AG470" s="469">
        <v>79.3</v>
      </c>
      <c r="AH470" s="470" t="s">
        <v>6302</v>
      </c>
      <c r="AI470" s="470" t="s">
        <v>6335</v>
      </c>
      <c r="AJ470" s="470" t="s">
        <v>6493</v>
      </c>
      <c r="AK470" s="470" t="s">
        <v>6493</v>
      </c>
      <c r="AL470" s="470"/>
      <c r="AM470" s="470"/>
      <c r="AN470" s="470"/>
      <c r="AO470" s="470"/>
      <c r="AP470" s="470"/>
      <c r="AQ470" s="470"/>
      <c r="AR470" s="470"/>
      <c r="AS470" s="470"/>
      <c r="AT470" s="470"/>
      <c r="AU470" s="470"/>
      <c r="AV470" s="470"/>
      <c r="AW470" s="470"/>
      <c r="AX470" s="470"/>
      <c r="AY470" s="470"/>
      <c r="AZ470" s="470"/>
      <c r="BA470" s="470"/>
      <c r="BB470" s="470"/>
      <c r="BC470" s="470"/>
      <c r="BD470" s="470"/>
      <c r="BE470" s="470"/>
      <c r="BF470" s="470"/>
      <c r="BG470" s="470"/>
      <c r="BH470" s="470"/>
      <c r="BI470" s="470"/>
      <c r="BJ470" s="470"/>
      <c r="BK470" s="470"/>
      <c r="BL470" s="474"/>
    </row>
    <row r="471" spans="1:64">
      <c r="A471" s="475">
        <v>44262</v>
      </c>
      <c r="B471" s="478">
        <v>66</v>
      </c>
      <c r="C471" s="478">
        <v>299</v>
      </c>
      <c r="D471" s="476" t="s">
        <v>615</v>
      </c>
      <c r="E471" s="477">
        <v>9</v>
      </c>
      <c r="F471" s="476" t="s">
        <v>106</v>
      </c>
      <c r="G471" s="477">
        <v>534</v>
      </c>
      <c r="H471" s="476" t="s">
        <v>6247</v>
      </c>
      <c r="I471" s="476" t="s">
        <v>836</v>
      </c>
      <c r="J471" s="477">
        <v>10</v>
      </c>
      <c r="K471" s="476" t="s">
        <v>6265</v>
      </c>
      <c r="L471" s="476" t="s">
        <v>6280</v>
      </c>
      <c r="M471" s="476" t="s">
        <v>9</v>
      </c>
      <c r="N471" s="478">
        <v>0</v>
      </c>
      <c r="O471" s="479">
        <v>0.32083333333333336</v>
      </c>
      <c r="P471" s="479">
        <v>0.26319444444444445</v>
      </c>
      <c r="Q471" s="479"/>
      <c r="R471" s="476"/>
      <c r="S471" s="479">
        <v>0.1973263888888889</v>
      </c>
      <c r="T471" s="479">
        <v>0.26399305555555558</v>
      </c>
      <c r="U471" s="479"/>
      <c r="V471" s="479"/>
      <c r="W471" s="479">
        <v>0.50503472222222223</v>
      </c>
      <c r="X471" s="479">
        <v>0.74607638888888894</v>
      </c>
      <c r="Y471" s="479">
        <v>0.11319444444444444</v>
      </c>
      <c r="Z471" s="479">
        <v>0.30416666666666664</v>
      </c>
      <c r="AA471" s="479">
        <v>0.49583333333333335</v>
      </c>
      <c r="AB471" s="476" t="s">
        <v>6289</v>
      </c>
      <c r="AC471" s="478">
        <v>131</v>
      </c>
      <c r="AD471" s="476" t="s">
        <v>119</v>
      </c>
      <c r="AE471" s="476"/>
      <c r="AF471" s="478">
        <v>0</v>
      </c>
      <c r="AG471" s="477">
        <v>82.3</v>
      </c>
      <c r="AH471" s="476" t="s">
        <v>6303</v>
      </c>
      <c r="AI471" s="476" t="s">
        <v>6337</v>
      </c>
      <c r="AJ471" s="476" t="s">
        <v>6493</v>
      </c>
      <c r="AK471" s="476" t="s">
        <v>6493</v>
      </c>
      <c r="AL471" s="476" t="s">
        <v>6859</v>
      </c>
      <c r="AM471" s="476"/>
      <c r="AN471" s="476"/>
      <c r="AO471" s="476"/>
      <c r="AP471" s="476"/>
      <c r="AQ471" s="476"/>
      <c r="AR471" s="476"/>
      <c r="AS471" s="476"/>
      <c r="AT471" s="476"/>
      <c r="AU471" s="476"/>
      <c r="AV471" s="476"/>
      <c r="AW471" s="476"/>
      <c r="AX471" s="476"/>
      <c r="AY471" s="476"/>
      <c r="AZ471" s="476"/>
      <c r="BA471" s="476"/>
      <c r="BB471" s="476"/>
      <c r="BC471" s="476"/>
      <c r="BD471" s="476"/>
      <c r="BE471" s="476"/>
      <c r="BF471" s="476"/>
      <c r="BG471" s="476"/>
      <c r="BH471" s="476"/>
      <c r="BI471" s="476"/>
      <c r="BJ471" s="476"/>
      <c r="BK471" s="476"/>
      <c r="BL471" s="480"/>
    </row>
    <row r="472" spans="1:64">
      <c r="A472" s="468">
        <v>44263</v>
      </c>
      <c r="B472" s="473">
        <v>67</v>
      </c>
      <c r="C472" s="473">
        <v>298</v>
      </c>
      <c r="D472" s="470" t="s">
        <v>615</v>
      </c>
      <c r="E472" s="469">
        <v>10</v>
      </c>
      <c r="F472" s="470" t="s">
        <v>88</v>
      </c>
      <c r="G472" s="469">
        <v>534</v>
      </c>
      <c r="H472" s="470" t="s">
        <v>6247</v>
      </c>
      <c r="I472" s="470" t="s">
        <v>836</v>
      </c>
      <c r="J472" s="469">
        <v>11</v>
      </c>
      <c r="K472" s="470" t="s">
        <v>6271</v>
      </c>
      <c r="L472" s="470" t="s">
        <v>6281</v>
      </c>
      <c r="M472" s="470" t="s">
        <v>9</v>
      </c>
      <c r="N472" s="473">
        <v>0</v>
      </c>
      <c r="O472" s="471"/>
      <c r="P472" s="471"/>
      <c r="Q472" s="471"/>
      <c r="R472" s="470"/>
      <c r="S472" s="471">
        <v>0.19621527777777778</v>
      </c>
      <c r="T472" s="471">
        <v>0.26288194444444446</v>
      </c>
      <c r="U472" s="471"/>
      <c r="V472" s="471"/>
      <c r="W472" s="471">
        <v>0.50486111111111109</v>
      </c>
      <c r="X472" s="471">
        <v>0.74685185185185177</v>
      </c>
      <c r="Y472" s="471">
        <v>0.15347222222222223</v>
      </c>
      <c r="Z472" s="471">
        <v>0.34583333333333338</v>
      </c>
      <c r="AA472" s="471">
        <v>0.53749999999999998</v>
      </c>
      <c r="AB472" s="470" t="s">
        <v>6289</v>
      </c>
      <c r="AC472" s="473">
        <v>131</v>
      </c>
      <c r="AD472" s="470" t="s">
        <v>119</v>
      </c>
      <c r="AE472" s="470"/>
      <c r="AF472" s="473">
        <v>4.4000000000000004</v>
      </c>
      <c r="AG472" s="469">
        <v>83.7</v>
      </c>
      <c r="AH472" s="470" t="s">
        <v>6304</v>
      </c>
      <c r="AI472" s="470" t="s">
        <v>6338</v>
      </c>
      <c r="AJ472" s="470" t="s">
        <v>6493</v>
      </c>
      <c r="AK472" s="470" t="s">
        <v>6493</v>
      </c>
      <c r="AL472" s="470" t="s">
        <v>736</v>
      </c>
      <c r="AM472" s="470"/>
      <c r="AN472" s="470"/>
      <c r="AO472" s="470"/>
      <c r="AP472" s="470"/>
      <c r="AQ472" s="470"/>
      <c r="AR472" s="470"/>
      <c r="AS472" s="470"/>
      <c r="AT472" s="470"/>
      <c r="AU472" s="470"/>
      <c r="AV472" s="470"/>
      <c r="AW472" s="470"/>
      <c r="AX472" s="470"/>
      <c r="AY472" s="470"/>
      <c r="AZ472" s="470"/>
      <c r="BA472" s="470"/>
      <c r="BB472" s="470"/>
      <c r="BC472" s="470"/>
      <c r="BD472" s="470"/>
      <c r="BE472" s="470"/>
      <c r="BF472" s="470"/>
      <c r="BG472" s="470"/>
      <c r="BH472" s="470"/>
      <c r="BI472" s="470"/>
      <c r="BJ472" s="470"/>
      <c r="BK472" s="470"/>
      <c r="BL472" s="474"/>
    </row>
    <row r="473" spans="1:64">
      <c r="A473" s="475">
        <v>44264</v>
      </c>
      <c r="B473" s="478">
        <v>68</v>
      </c>
      <c r="C473" s="478">
        <v>297</v>
      </c>
      <c r="D473" s="476" t="s">
        <v>615</v>
      </c>
      <c r="E473" s="477">
        <v>10</v>
      </c>
      <c r="F473" s="476" t="s">
        <v>91</v>
      </c>
      <c r="G473" s="477">
        <v>534</v>
      </c>
      <c r="H473" s="476" t="s">
        <v>6247</v>
      </c>
      <c r="I473" s="476" t="s">
        <v>836</v>
      </c>
      <c r="J473" s="477">
        <v>12</v>
      </c>
      <c r="K473" s="476" t="s">
        <v>6266</v>
      </c>
      <c r="L473" s="476" t="s">
        <v>6283</v>
      </c>
      <c r="M473" s="476" t="s">
        <v>9</v>
      </c>
      <c r="N473" s="478">
        <v>0</v>
      </c>
      <c r="O473" s="479"/>
      <c r="P473" s="479"/>
      <c r="Q473" s="479"/>
      <c r="R473" s="476"/>
      <c r="S473" s="479">
        <v>0.19510416666666666</v>
      </c>
      <c r="T473" s="479">
        <v>0.26177083333333334</v>
      </c>
      <c r="U473" s="479"/>
      <c r="V473" s="479"/>
      <c r="W473" s="479">
        <v>0.50468750000000007</v>
      </c>
      <c r="X473" s="479">
        <v>0.74761574074074078</v>
      </c>
      <c r="Y473" s="479">
        <v>0.18819444444444444</v>
      </c>
      <c r="Z473" s="479">
        <v>0.38541666666666669</v>
      </c>
      <c r="AA473" s="479">
        <v>0.58263888888888882</v>
      </c>
      <c r="AB473" s="476" t="s">
        <v>6289</v>
      </c>
      <c r="AC473" s="478">
        <v>131</v>
      </c>
      <c r="AD473" s="476" t="s">
        <v>119</v>
      </c>
      <c r="AE473" s="476"/>
      <c r="AF473" s="478">
        <v>7.3</v>
      </c>
      <c r="AG473" s="477">
        <v>83.7</v>
      </c>
      <c r="AH473" s="476" t="s">
        <v>6305</v>
      </c>
      <c r="AI473" s="476" t="s">
        <v>6339</v>
      </c>
      <c r="AJ473" s="476" t="s">
        <v>838</v>
      </c>
      <c r="AK473" s="476" t="s">
        <v>13</v>
      </c>
      <c r="AL473" s="476" t="s">
        <v>6745</v>
      </c>
      <c r="AM473" s="476" t="s">
        <v>6342</v>
      </c>
      <c r="AN473" s="476" t="s">
        <v>6982</v>
      </c>
      <c r="AO473" s="476" t="s">
        <v>6351</v>
      </c>
      <c r="AP473" s="476" t="s">
        <v>6746</v>
      </c>
      <c r="AQ473" s="476" t="s">
        <v>6346</v>
      </c>
      <c r="AR473" s="476"/>
      <c r="AS473" s="476"/>
      <c r="AT473" s="476"/>
      <c r="AU473" s="476"/>
      <c r="AV473" s="476"/>
      <c r="AW473" s="476"/>
      <c r="AX473" s="476"/>
      <c r="AY473" s="476"/>
      <c r="AZ473" s="476"/>
      <c r="BA473" s="476"/>
      <c r="BB473" s="476"/>
      <c r="BC473" s="476"/>
      <c r="BD473" s="476"/>
      <c r="BE473" s="476"/>
      <c r="BF473" s="476"/>
      <c r="BG473" s="476"/>
      <c r="BH473" s="476"/>
      <c r="BI473" s="476"/>
      <c r="BJ473" s="476" t="s">
        <v>6370</v>
      </c>
      <c r="BK473" s="476"/>
      <c r="BL473" s="480"/>
    </row>
    <row r="474" spans="1:64">
      <c r="A474" s="468">
        <v>44265</v>
      </c>
      <c r="B474" s="473">
        <v>69</v>
      </c>
      <c r="C474" s="473">
        <v>296</v>
      </c>
      <c r="D474" s="470" t="s">
        <v>615</v>
      </c>
      <c r="E474" s="469">
        <v>10</v>
      </c>
      <c r="F474" s="470" t="s">
        <v>94</v>
      </c>
      <c r="G474" s="469">
        <v>534</v>
      </c>
      <c r="H474" s="470" t="s">
        <v>6247</v>
      </c>
      <c r="I474" s="470" t="s">
        <v>836</v>
      </c>
      <c r="J474" s="469">
        <v>13</v>
      </c>
      <c r="K474" s="470" t="s">
        <v>6267</v>
      </c>
      <c r="L474" s="470" t="s">
        <v>6284</v>
      </c>
      <c r="M474" s="470" t="s">
        <v>9</v>
      </c>
      <c r="N474" s="473">
        <v>0</v>
      </c>
      <c r="O474" s="471"/>
      <c r="P474" s="471"/>
      <c r="Q474" s="471"/>
      <c r="R474" s="470"/>
      <c r="S474" s="471">
        <v>0.1939814814814815</v>
      </c>
      <c r="T474" s="471">
        <v>0.26064814814814813</v>
      </c>
      <c r="U474" s="471">
        <v>0.26041666666666669</v>
      </c>
      <c r="V474" s="471">
        <v>0.42291666666666666</v>
      </c>
      <c r="W474" s="471">
        <v>0.50451388888888882</v>
      </c>
      <c r="X474" s="471">
        <v>0.74837962962962967</v>
      </c>
      <c r="Y474" s="471">
        <v>0.21666666666666667</v>
      </c>
      <c r="Z474" s="471">
        <v>0.42291666666666666</v>
      </c>
      <c r="AA474" s="471">
        <v>0.62916666666666665</v>
      </c>
      <c r="AB474" s="470" t="s">
        <v>6289</v>
      </c>
      <c r="AC474" s="473">
        <v>131</v>
      </c>
      <c r="AD474" s="470" t="s">
        <v>119</v>
      </c>
      <c r="AE474" s="470"/>
      <c r="AF474" s="473">
        <v>8.6</v>
      </c>
      <c r="AG474" s="469">
        <v>82.4</v>
      </c>
      <c r="AH474" s="470" t="s">
        <v>6306</v>
      </c>
      <c r="AI474" s="470" t="s">
        <v>6340</v>
      </c>
      <c r="AJ474" s="470" t="s">
        <v>839</v>
      </c>
      <c r="AK474" s="470" t="s">
        <v>6493</v>
      </c>
      <c r="AL474" s="470" t="s">
        <v>6860</v>
      </c>
      <c r="AM474" s="470" t="s">
        <v>6343</v>
      </c>
      <c r="AN474" s="470"/>
      <c r="AO474" s="470"/>
      <c r="AP474" s="470"/>
      <c r="AQ474" s="470"/>
      <c r="AR474" s="470"/>
      <c r="AS474" s="470"/>
      <c r="AT474" s="470"/>
      <c r="AU474" s="470"/>
      <c r="AV474" s="470"/>
      <c r="AW474" s="470"/>
      <c r="AX474" s="470"/>
      <c r="AY474" s="470"/>
      <c r="AZ474" s="470"/>
      <c r="BA474" s="470"/>
      <c r="BB474" s="470"/>
      <c r="BC474" s="470"/>
      <c r="BD474" s="470"/>
      <c r="BE474" s="470"/>
      <c r="BF474" s="470"/>
      <c r="BG474" s="470"/>
      <c r="BH474" s="470"/>
      <c r="BI474" s="470"/>
      <c r="BJ474" s="470"/>
      <c r="BK474" s="470"/>
      <c r="BL474" s="474"/>
    </row>
    <row r="475" spans="1:64">
      <c r="A475" s="475">
        <v>44266</v>
      </c>
      <c r="B475" s="478">
        <v>70</v>
      </c>
      <c r="C475" s="478">
        <v>295</v>
      </c>
      <c r="D475" s="476" t="s">
        <v>615</v>
      </c>
      <c r="E475" s="477">
        <v>10</v>
      </c>
      <c r="F475" s="476" t="s">
        <v>6714</v>
      </c>
      <c r="G475" s="477">
        <v>534</v>
      </c>
      <c r="H475" s="476" t="s">
        <v>6247</v>
      </c>
      <c r="I475" s="476" t="s">
        <v>836</v>
      </c>
      <c r="J475" s="477">
        <v>14</v>
      </c>
      <c r="K475" s="476" t="s">
        <v>6268</v>
      </c>
      <c r="L475" s="476" t="s">
        <v>6285</v>
      </c>
      <c r="M475" s="476" t="s">
        <v>9</v>
      </c>
      <c r="N475" s="478">
        <v>0</v>
      </c>
      <c r="O475" s="479"/>
      <c r="P475" s="479"/>
      <c r="Q475" s="479"/>
      <c r="R475" s="476"/>
      <c r="S475" s="479">
        <v>0.19285879629629629</v>
      </c>
      <c r="T475" s="479">
        <v>0.25952546296296297</v>
      </c>
      <c r="U475" s="479"/>
      <c r="V475" s="479"/>
      <c r="W475" s="479">
        <v>0.50432870370370375</v>
      </c>
      <c r="X475" s="479">
        <v>0.74913194444444453</v>
      </c>
      <c r="Y475" s="479">
        <v>0.24027777777777778</v>
      </c>
      <c r="Z475" s="479">
        <v>0.45763888888888887</v>
      </c>
      <c r="AA475" s="479">
        <v>0.67499999999999993</v>
      </c>
      <c r="AB475" s="476" t="s">
        <v>6289</v>
      </c>
      <c r="AC475" s="478">
        <v>131</v>
      </c>
      <c r="AD475" s="476" t="s">
        <v>119</v>
      </c>
      <c r="AE475" s="476"/>
      <c r="AF475" s="478">
        <v>8.4</v>
      </c>
      <c r="AG475" s="477">
        <v>79.7</v>
      </c>
      <c r="AH475" s="476" t="s">
        <v>6307</v>
      </c>
      <c r="AI475" s="476" t="s">
        <v>974</v>
      </c>
      <c r="AJ475" s="476" t="s">
        <v>839</v>
      </c>
      <c r="AK475" s="476" t="s">
        <v>6493</v>
      </c>
      <c r="AL475" s="476" t="s">
        <v>1232</v>
      </c>
      <c r="AM475" s="476" t="s">
        <v>6344</v>
      </c>
      <c r="AN475" s="476"/>
      <c r="AO475" s="476"/>
      <c r="AP475" s="476"/>
      <c r="AQ475" s="476"/>
      <c r="AR475" s="476"/>
      <c r="AS475" s="476"/>
      <c r="AT475" s="476"/>
      <c r="AU475" s="476"/>
      <c r="AV475" s="476"/>
      <c r="AW475" s="476"/>
      <c r="AX475" s="476"/>
      <c r="AY475" s="476"/>
      <c r="AZ475" s="476"/>
      <c r="BA475" s="476"/>
      <c r="BB475" s="476"/>
      <c r="BC475" s="476"/>
      <c r="BD475" s="476"/>
      <c r="BE475" s="476"/>
      <c r="BF475" s="476"/>
      <c r="BG475" s="476"/>
      <c r="BH475" s="476"/>
      <c r="BI475" s="476"/>
      <c r="BJ475" s="476" t="s">
        <v>6371</v>
      </c>
      <c r="BK475" s="476"/>
      <c r="BL475" s="480"/>
    </row>
    <row r="476" spans="1:64">
      <c r="A476" s="468">
        <v>44267</v>
      </c>
      <c r="B476" s="473">
        <v>71</v>
      </c>
      <c r="C476" s="473">
        <v>294</v>
      </c>
      <c r="D476" s="470" t="s">
        <v>615</v>
      </c>
      <c r="E476" s="469">
        <v>10</v>
      </c>
      <c r="F476" s="470" t="s">
        <v>100</v>
      </c>
      <c r="G476" s="469">
        <v>534</v>
      </c>
      <c r="H476" s="470" t="s">
        <v>6247</v>
      </c>
      <c r="I476" s="470" t="s">
        <v>836</v>
      </c>
      <c r="J476" s="469">
        <v>15</v>
      </c>
      <c r="K476" s="470" t="s">
        <v>6269</v>
      </c>
      <c r="L476" s="470" t="s">
        <v>6286</v>
      </c>
      <c r="M476" s="470" t="s">
        <v>9</v>
      </c>
      <c r="N476" s="473">
        <v>0</v>
      </c>
      <c r="O476" s="471"/>
      <c r="P476" s="471"/>
      <c r="Q476" s="471"/>
      <c r="R476" s="470"/>
      <c r="S476" s="471">
        <v>0.19173611111111111</v>
      </c>
      <c r="T476" s="471">
        <v>0.25840277777777776</v>
      </c>
      <c r="U476" s="471"/>
      <c r="V476" s="471"/>
      <c r="W476" s="471">
        <v>0.50414351851851846</v>
      </c>
      <c r="X476" s="471">
        <v>0.74989583333333332</v>
      </c>
      <c r="Y476" s="471">
        <v>0.25972222222222224</v>
      </c>
      <c r="Z476" s="471">
        <v>0.48958333333333331</v>
      </c>
      <c r="AA476" s="471">
        <v>0.72013888888888899</v>
      </c>
      <c r="AB476" s="470" t="s">
        <v>6289</v>
      </c>
      <c r="AC476" s="473">
        <v>131</v>
      </c>
      <c r="AD476" s="470" t="s">
        <v>119</v>
      </c>
      <c r="AE476" s="470"/>
      <c r="AF476" s="473">
        <v>6.6</v>
      </c>
      <c r="AG476" s="469">
        <v>75.599999999999994</v>
      </c>
      <c r="AH476" s="470" t="s">
        <v>6308</v>
      </c>
      <c r="AI476" s="470" t="s">
        <v>6316</v>
      </c>
      <c r="AJ476" s="470" t="s">
        <v>6493</v>
      </c>
      <c r="AK476" s="470" t="s">
        <v>6493</v>
      </c>
      <c r="AL476" s="470"/>
      <c r="AM476" s="470"/>
      <c r="AN476" s="470"/>
      <c r="AO476" s="470"/>
      <c r="AP476" s="470"/>
      <c r="AQ476" s="470"/>
      <c r="AR476" s="470"/>
      <c r="AS476" s="470"/>
      <c r="AT476" s="470"/>
      <c r="AU476" s="470"/>
      <c r="AV476" s="470"/>
      <c r="AW476" s="470"/>
      <c r="AX476" s="470"/>
      <c r="AY476" s="470"/>
      <c r="AZ476" s="470"/>
      <c r="BA476" s="470"/>
      <c r="BB476" s="470"/>
      <c r="BC476" s="470"/>
      <c r="BD476" s="470"/>
      <c r="BE476" s="470"/>
      <c r="BF476" s="470"/>
      <c r="BG476" s="470"/>
      <c r="BH476" s="470"/>
      <c r="BI476" s="470"/>
      <c r="BJ476" s="470"/>
      <c r="BK476" s="470"/>
      <c r="BL476" s="474"/>
    </row>
    <row r="477" spans="1:64">
      <c r="A477" s="475">
        <v>44268</v>
      </c>
      <c r="B477" s="478">
        <v>72</v>
      </c>
      <c r="C477" s="478">
        <v>293</v>
      </c>
      <c r="D477" s="476" t="s">
        <v>615</v>
      </c>
      <c r="E477" s="477">
        <v>10</v>
      </c>
      <c r="F477" s="476" t="s">
        <v>103</v>
      </c>
      <c r="G477" s="477">
        <v>534</v>
      </c>
      <c r="H477" s="476" t="s">
        <v>6247</v>
      </c>
      <c r="I477" s="476" t="s">
        <v>6257</v>
      </c>
      <c r="J477" s="477">
        <v>16</v>
      </c>
      <c r="K477" s="476" t="s">
        <v>6270</v>
      </c>
      <c r="L477" s="476" t="s">
        <v>6286</v>
      </c>
      <c r="M477" s="476" t="s">
        <v>9</v>
      </c>
      <c r="N477" s="478">
        <v>0</v>
      </c>
      <c r="O477" s="479"/>
      <c r="P477" s="479"/>
      <c r="Q477" s="479"/>
      <c r="R477" s="476"/>
      <c r="S477" s="479">
        <v>0.19060185185185186</v>
      </c>
      <c r="T477" s="479">
        <v>0.25726851851851851</v>
      </c>
      <c r="U477" s="479"/>
      <c r="V477" s="479"/>
      <c r="W477" s="479">
        <v>0.5039583333333334</v>
      </c>
      <c r="X477" s="479">
        <v>0.75064814814814806</v>
      </c>
      <c r="Y477" s="479">
        <v>0.27777777777777779</v>
      </c>
      <c r="Z477" s="479">
        <v>0.51944444444444449</v>
      </c>
      <c r="AA477" s="479">
        <v>0.7631944444444444</v>
      </c>
      <c r="AB477" s="476" t="s">
        <v>6463</v>
      </c>
      <c r="AC477" s="478">
        <v>152</v>
      </c>
      <c r="AD477" s="476" t="s">
        <v>110</v>
      </c>
      <c r="AE477" s="476" t="s">
        <v>6606</v>
      </c>
      <c r="AF477" s="478">
        <v>3.2</v>
      </c>
      <c r="AG477" s="477">
        <v>70</v>
      </c>
      <c r="AH477" s="476" t="s">
        <v>6309</v>
      </c>
      <c r="AI477" s="476" t="s">
        <v>6317</v>
      </c>
      <c r="AJ477" s="476" t="s">
        <v>839</v>
      </c>
      <c r="AK477" s="476" t="s">
        <v>6493</v>
      </c>
      <c r="AL477" s="476" t="s">
        <v>6747</v>
      </c>
      <c r="AM477" s="476" t="s">
        <v>6345</v>
      </c>
      <c r="AN477" s="476" t="s">
        <v>6917</v>
      </c>
      <c r="AO477" s="476" t="s">
        <v>6346</v>
      </c>
      <c r="AP477" s="476"/>
      <c r="AQ477" s="476"/>
      <c r="AR477" s="476"/>
      <c r="AS477" s="476"/>
      <c r="AT477" s="476"/>
      <c r="AU477" s="476"/>
      <c r="AV477" s="476"/>
      <c r="AW477" s="476"/>
      <c r="AX477" s="476"/>
      <c r="AY477" s="476"/>
      <c r="AZ477" s="476"/>
      <c r="BA477" s="476"/>
      <c r="BB477" s="476"/>
      <c r="BC477" s="476"/>
      <c r="BD477" s="476"/>
      <c r="BE477" s="476"/>
      <c r="BF477" s="476"/>
      <c r="BG477" s="476"/>
      <c r="BH477" s="476"/>
      <c r="BI477" s="476"/>
      <c r="BJ477" s="476" t="s">
        <v>6372</v>
      </c>
      <c r="BK477" s="476"/>
      <c r="BL477" s="480"/>
    </row>
    <row r="478" spans="1:64">
      <c r="A478" s="468">
        <v>44269</v>
      </c>
      <c r="B478" s="473">
        <v>73</v>
      </c>
      <c r="C478" s="473">
        <v>292</v>
      </c>
      <c r="D478" s="470" t="s">
        <v>615</v>
      </c>
      <c r="E478" s="469">
        <v>10</v>
      </c>
      <c r="F478" s="470" t="s">
        <v>106</v>
      </c>
      <c r="G478" s="469">
        <v>534</v>
      </c>
      <c r="H478" s="470" t="s">
        <v>6247</v>
      </c>
      <c r="I478" s="470" t="s">
        <v>6257</v>
      </c>
      <c r="J478" s="469">
        <v>16</v>
      </c>
      <c r="K478" s="470" t="s">
        <v>6270</v>
      </c>
      <c r="L478" s="470" t="s">
        <v>6287</v>
      </c>
      <c r="M478" s="470" t="s">
        <v>10</v>
      </c>
      <c r="N478" s="473">
        <v>1</v>
      </c>
      <c r="O478" s="471"/>
      <c r="P478" s="471"/>
      <c r="Q478" s="471">
        <v>0.31037037037037035</v>
      </c>
      <c r="R478" s="470" t="s">
        <v>17</v>
      </c>
      <c r="S478" s="471">
        <v>0.1894675925925926</v>
      </c>
      <c r="T478" s="471">
        <v>0.25613425925925926</v>
      </c>
      <c r="U478" s="471"/>
      <c r="V478" s="471"/>
      <c r="W478" s="471">
        <v>0.50376157407407407</v>
      </c>
      <c r="X478" s="471">
        <v>0.75140046296296292</v>
      </c>
      <c r="Y478" s="471">
        <v>0.29375000000000001</v>
      </c>
      <c r="Z478" s="471">
        <v>0.54861111111111105</v>
      </c>
      <c r="AA478" s="471">
        <v>0.80555555555555547</v>
      </c>
      <c r="AB478" s="470" t="s">
        <v>6463</v>
      </c>
      <c r="AC478" s="473">
        <v>152</v>
      </c>
      <c r="AD478" s="470" t="s">
        <v>110</v>
      </c>
      <c r="AE478" s="470"/>
      <c r="AF478" s="473">
        <v>98.1</v>
      </c>
      <c r="AG478" s="469">
        <v>62.9</v>
      </c>
      <c r="AH478" s="470" t="s">
        <v>6310</v>
      </c>
      <c r="AI478" s="470" t="s">
        <v>6318</v>
      </c>
      <c r="AJ478" s="470" t="s">
        <v>6493</v>
      </c>
      <c r="AK478" s="470" t="s">
        <v>6493</v>
      </c>
      <c r="AL478" s="470" t="s">
        <v>6861</v>
      </c>
      <c r="AM478" s="470"/>
      <c r="AN478" s="470" t="s">
        <v>6727</v>
      </c>
      <c r="AO478" s="470"/>
      <c r="AP478" s="470"/>
      <c r="AQ478" s="470"/>
      <c r="AR478" s="470"/>
      <c r="AS478" s="470"/>
      <c r="AT478" s="470"/>
      <c r="AU478" s="470"/>
      <c r="AV478" s="470"/>
      <c r="AW478" s="470"/>
      <c r="AX478" s="470"/>
      <c r="AY478" s="470"/>
      <c r="AZ478" s="470"/>
      <c r="BA478" s="470"/>
      <c r="BB478" s="470"/>
      <c r="BC478" s="470"/>
      <c r="BD478" s="470"/>
      <c r="BE478" s="470"/>
      <c r="BF478" s="470"/>
      <c r="BG478" s="470"/>
      <c r="BH478" s="470"/>
      <c r="BI478" s="470"/>
      <c r="BJ478" s="470"/>
      <c r="BK478" s="470"/>
      <c r="BL478" s="474"/>
    </row>
    <row r="479" spans="1:64">
      <c r="A479" s="475">
        <v>44270</v>
      </c>
      <c r="B479" s="478">
        <v>74</v>
      </c>
      <c r="C479" s="478">
        <v>291</v>
      </c>
      <c r="D479" s="476" t="s">
        <v>615</v>
      </c>
      <c r="E479" s="477">
        <v>11</v>
      </c>
      <c r="F479" s="476" t="s">
        <v>88</v>
      </c>
      <c r="G479" s="477">
        <v>534</v>
      </c>
      <c r="H479" s="476" t="s">
        <v>6247</v>
      </c>
      <c r="I479" s="476" t="s">
        <v>6257</v>
      </c>
      <c r="J479" s="477">
        <v>17</v>
      </c>
      <c r="K479" s="476" t="s">
        <v>1034</v>
      </c>
      <c r="L479" s="476" t="s">
        <v>6273</v>
      </c>
      <c r="M479" s="476" t="s">
        <v>9</v>
      </c>
      <c r="N479" s="478">
        <v>1</v>
      </c>
      <c r="O479" s="479"/>
      <c r="P479" s="479"/>
      <c r="Q479" s="479"/>
      <c r="R479" s="476"/>
      <c r="S479" s="479">
        <v>0.18833333333333332</v>
      </c>
      <c r="T479" s="479">
        <v>0.255</v>
      </c>
      <c r="U479" s="479"/>
      <c r="V479" s="479"/>
      <c r="W479" s="479">
        <v>0.50357638888888889</v>
      </c>
      <c r="X479" s="479">
        <v>0.75215277777777778</v>
      </c>
      <c r="Y479" s="479">
        <v>0.30972222222222223</v>
      </c>
      <c r="Z479" s="479">
        <v>0.57638888888888895</v>
      </c>
      <c r="AA479" s="479">
        <v>0.84722222222222221</v>
      </c>
      <c r="AB479" s="476" t="s">
        <v>6463</v>
      </c>
      <c r="AC479" s="478">
        <v>152</v>
      </c>
      <c r="AD479" s="476" t="s">
        <v>110</v>
      </c>
      <c r="AE479" s="476"/>
      <c r="AF479" s="478">
        <v>91.4</v>
      </c>
      <c r="AG479" s="477">
        <v>54.3</v>
      </c>
      <c r="AH479" s="476" t="s">
        <v>6311</v>
      </c>
      <c r="AI479" s="476" t="s">
        <v>6319</v>
      </c>
      <c r="AJ479" s="476" t="s">
        <v>6493</v>
      </c>
      <c r="AK479" s="476" t="s">
        <v>6493</v>
      </c>
      <c r="AL479" s="476"/>
      <c r="AM479" s="476"/>
      <c r="AN479" s="476"/>
      <c r="AO479" s="476"/>
      <c r="AP479" s="476"/>
      <c r="AQ479" s="476"/>
      <c r="AR479" s="476"/>
      <c r="AS479" s="476"/>
      <c r="AT479" s="476"/>
      <c r="AU479" s="476"/>
      <c r="AV479" s="476"/>
      <c r="AW479" s="476"/>
      <c r="AX479" s="476"/>
      <c r="AY479" s="476"/>
      <c r="AZ479" s="476"/>
      <c r="BA479" s="476"/>
      <c r="BB479" s="476"/>
      <c r="BC479" s="476"/>
      <c r="BD479" s="476"/>
      <c r="BE479" s="476"/>
      <c r="BF479" s="476"/>
      <c r="BG479" s="476"/>
      <c r="BH479" s="476"/>
      <c r="BI479" s="476"/>
      <c r="BJ479" s="476"/>
      <c r="BK479" s="476"/>
      <c r="BL479" s="480"/>
    </row>
    <row r="480" spans="1:64">
      <c r="A480" s="468">
        <v>44271</v>
      </c>
      <c r="B480" s="473">
        <v>75</v>
      </c>
      <c r="C480" s="473">
        <v>290</v>
      </c>
      <c r="D480" s="470" t="s">
        <v>615</v>
      </c>
      <c r="E480" s="469">
        <v>11</v>
      </c>
      <c r="F480" s="470" t="s">
        <v>91</v>
      </c>
      <c r="G480" s="469">
        <v>534</v>
      </c>
      <c r="H480" s="470" t="s">
        <v>6247</v>
      </c>
      <c r="I480" s="470" t="s">
        <v>6257</v>
      </c>
      <c r="J480" s="469">
        <v>18</v>
      </c>
      <c r="K480" s="470" t="s">
        <v>6258</v>
      </c>
      <c r="L480" s="470" t="s">
        <v>6274</v>
      </c>
      <c r="M480" s="470" t="s">
        <v>9</v>
      </c>
      <c r="N480" s="473">
        <v>1</v>
      </c>
      <c r="O480" s="471"/>
      <c r="P480" s="471"/>
      <c r="Q480" s="471"/>
      <c r="R480" s="470"/>
      <c r="S480" s="471">
        <v>0.18718749999999998</v>
      </c>
      <c r="T480" s="471">
        <v>0.25385416666666666</v>
      </c>
      <c r="U480" s="471"/>
      <c r="V480" s="471"/>
      <c r="W480" s="471">
        <v>0.50337962962962968</v>
      </c>
      <c r="X480" s="471">
        <v>0.75289351851851849</v>
      </c>
      <c r="Y480" s="471">
        <v>0.32569444444444445</v>
      </c>
      <c r="Z480" s="471">
        <v>0.60555555555555551</v>
      </c>
      <c r="AA480" s="471">
        <v>0.88888888888888884</v>
      </c>
      <c r="AB480" s="470" t="s">
        <v>6463</v>
      </c>
      <c r="AC480" s="473">
        <v>152</v>
      </c>
      <c r="AD480" s="470" t="s">
        <v>110</v>
      </c>
      <c r="AE480" s="470"/>
      <c r="AF480" s="473">
        <v>83.2</v>
      </c>
      <c r="AG480" s="469">
        <v>44.4</v>
      </c>
      <c r="AH480" s="470" t="s">
        <v>6312</v>
      </c>
      <c r="AI480" s="470" t="s">
        <v>6341</v>
      </c>
      <c r="AJ480" s="470" t="s">
        <v>6493</v>
      </c>
      <c r="AK480" s="470" t="s">
        <v>6493</v>
      </c>
      <c r="AL480" s="470"/>
      <c r="AM480" s="470"/>
      <c r="AN480" s="470"/>
      <c r="AO480" s="470"/>
      <c r="AP480" s="470"/>
      <c r="AQ480" s="470"/>
      <c r="AR480" s="470"/>
      <c r="AS480" s="470"/>
      <c r="AT480" s="470"/>
      <c r="AU480" s="470"/>
      <c r="AV480" s="470"/>
      <c r="AW480" s="470"/>
      <c r="AX480" s="470"/>
      <c r="AY480" s="470"/>
      <c r="AZ480" s="470"/>
      <c r="BA480" s="470"/>
      <c r="BB480" s="470"/>
      <c r="BC480" s="470"/>
      <c r="BD480" s="470"/>
      <c r="BE480" s="470"/>
      <c r="BF480" s="470"/>
      <c r="BG480" s="470"/>
      <c r="BH480" s="470"/>
      <c r="BI480" s="470"/>
      <c r="BJ480" s="470"/>
      <c r="BK480" s="470"/>
      <c r="BL480" s="474"/>
    </row>
    <row r="481" spans="1:64">
      <c r="A481" s="475">
        <v>44272</v>
      </c>
      <c r="B481" s="478">
        <v>76</v>
      </c>
      <c r="C481" s="478">
        <v>289</v>
      </c>
      <c r="D481" s="476" t="s">
        <v>615</v>
      </c>
      <c r="E481" s="477">
        <v>11</v>
      </c>
      <c r="F481" s="476" t="s">
        <v>94</v>
      </c>
      <c r="G481" s="477">
        <v>534</v>
      </c>
      <c r="H481" s="476" t="s">
        <v>6247</v>
      </c>
      <c r="I481" s="476" t="s">
        <v>6257</v>
      </c>
      <c r="J481" s="477">
        <v>19</v>
      </c>
      <c r="K481" s="476" t="s">
        <v>6259</v>
      </c>
      <c r="L481" s="476" t="s">
        <v>6275</v>
      </c>
      <c r="M481" s="476" t="s">
        <v>9</v>
      </c>
      <c r="N481" s="478">
        <v>1</v>
      </c>
      <c r="O481" s="479"/>
      <c r="P481" s="479"/>
      <c r="Q481" s="479"/>
      <c r="R481" s="476"/>
      <c r="S481" s="479">
        <v>0.18604166666666666</v>
      </c>
      <c r="T481" s="479">
        <v>0.25270833333333337</v>
      </c>
      <c r="U481" s="479"/>
      <c r="V481" s="479"/>
      <c r="W481" s="479">
        <v>0.50318287037037035</v>
      </c>
      <c r="X481" s="479">
        <v>0.75364583333333324</v>
      </c>
      <c r="Y481" s="479">
        <v>0.34236111111111112</v>
      </c>
      <c r="Z481" s="479">
        <v>0.63472222222222219</v>
      </c>
      <c r="AA481" s="479">
        <v>0.93055555555555547</v>
      </c>
      <c r="AB481" s="476" t="s">
        <v>6463</v>
      </c>
      <c r="AC481" s="478">
        <v>152</v>
      </c>
      <c r="AD481" s="476" t="s">
        <v>110</v>
      </c>
      <c r="AE481" s="476"/>
      <c r="AF481" s="478">
        <v>73.900000000000006</v>
      </c>
      <c r="AG481" s="477">
        <v>33.5</v>
      </c>
      <c r="AH481" s="476" t="s">
        <v>6313</v>
      </c>
      <c r="AI481" s="476" t="s">
        <v>6320</v>
      </c>
      <c r="AJ481" s="476" t="s">
        <v>839</v>
      </c>
      <c r="AK481" s="476" t="s">
        <v>6493</v>
      </c>
      <c r="AL481" s="476" t="s">
        <v>6748</v>
      </c>
      <c r="AM481" s="476" t="s">
        <v>6346</v>
      </c>
      <c r="AN481" s="476"/>
      <c r="AO481" s="476"/>
      <c r="AP481" s="476"/>
      <c r="AQ481" s="476"/>
      <c r="AR481" s="476"/>
      <c r="AS481" s="476"/>
      <c r="AT481" s="476"/>
      <c r="AU481" s="476"/>
      <c r="AV481" s="476"/>
      <c r="AW481" s="476"/>
      <c r="AX481" s="476"/>
      <c r="AY481" s="476"/>
      <c r="AZ481" s="476"/>
      <c r="BA481" s="476"/>
      <c r="BB481" s="476"/>
      <c r="BC481" s="476"/>
      <c r="BD481" s="476"/>
      <c r="BE481" s="476"/>
      <c r="BF481" s="476"/>
      <c r="BG481" s="476"/>
      <c r="BH481" s="476"/>
      <c r="BI481" s="476"/>
      <c r="BJ481" s="476" t="s">
        <v>6373</v>
      </c>
      <c r="BK481" s="476"/>
      <c r="BL481" s="480"/>
    </row>
    <row r="482" spans="1:64">
      <c r="A482" s="468">
        <v>44273</v>
      </c>
      <c r="B482" s="473">
        <v>77</v>
      </c>
      <c r="C482" s="473">
        <v>288</v>
      </c>
      <c r="D482" s="470" t="s">
        <v>615</v>
      </c>
      <c r="E482" s="469">
        <v>11</v>
      </c>
      <c r="F482" s="470" t="s">
        <v>6714</v>
      </c>
      <c r="G482" s="469">
        <v>534</v>
      </c>
      <c r="H482" s="470" t="s">
        <v>6247</v>
      </c>
      <c r="I482" s="470" t="s">
        <v>6257</v>
      </c>
      <c r="J482" s="469">
        <v>20</v>
      </c>
      <c r="K482" s="470" t="s">
        <v>6260</v>
      </c>
      <c r="L482" s="470" t="s">
        <v>6276</v>
      </c>
      <c r="M482" s="470" t="s">
        <v>9</v>
      </c>
      <c r="N482" s="473">
        <v>1</v>
      </c>
      <c r="O482" s="471"/>
      <c r="P482" s="471"/>
      <c r="Q482" s="471"/>
      <c r="R482" s="470"/>
      <c r="S482" s="471">
        <v>0.18490740740740741</v>
      </c>
      <c r="T482" s="471">
        <v>0.25157407407407406</v>
      </c>
      <c r="U482" s="471"/>
      <c r="V482" s="471"/>
      <c r="W482" s="471">
        <v>0.50297453703703698</v>
      </c>
      <c r="X482" s="471">
        <v>0.75438657407407417</v>
      </c>
      <c r="Y482" s="471">
        <v>0.3611111111111111</v>
      </c>
      <c r="Z482" s="471">
        <v>0.6645833333333333</v>
      </c>
      <c r="AA482" s="471">
        <v>0.97222222222222221</v>
      </c>
      <c r="AB482" s="470" t="s">
        <v>6463</v>
      </c>
      <c r="AC482" s="473">
        <v>152</v>
      </c>
      <c r="AD482" s="470" t="s">
        <v>110</v>
      </c>
      <c r="AE482" s="470"/>
      <c r="AF482" s="473">
        <v>63.8</v>
      </c>
      <c r="AG482" s="469">
        <v>21.9</v>
      </c>
      <c r="AH482" s="470" t="s">
        <v>6314</v>
      </c>
      <c r="AI482" s="470" t="s">
        <v>6321</v>
      </c>
      <c r="AJ482" s="470" t="s">
        <v>6493</v>
      </c>
      <c r="AK482" s="470" t="s">
        <v>6493</v>
      </c>
      <c r="AL482" s="470"/>
      <c r="AM482" s="470"/>
      <c r="AN482" s="470"/>
      <c r="AO482" s="470"/>
      <c r="AP482" s="470"/>
      <c r="AQ482" s="470"/>
      <c r="AR482" s="470"/>
      <c r="AS482" s="470"/>
      <c r="AT482" s="470"/>
      <c r="AU482" s="470"/>
      <c r="AV482" s="470"/>
      <c r="AW482" s="470"/>
      <c r="AX482" s="470"/>
      <c r="AY482" s="470"/>
      <c r="AZ482" s="470"/>
      <c r="BA482" s="470"/>
      <c r="BB482" s="470"/>
      <c r="BC482" s="470"/>
      <c r="BD482" s="470"/>
      <c r="BE482" s="470"/>
      <c r="BF482" s="470"/>
      <c r="BG482" s="470"/>
      <c r="BH482" s="470"/>
      <c r="BI482" s="470"/>
      <c r="BJ482" s="470"/>
      <c r="BK482" s="470"/>
      <c r="BL482" s="474"/>
    </row>
    <row r="483" spans="1:64">
      <c r="A483" s="475">
        <v>44274</v>
      </c>
      <c r="B483" s="478">
        <v>78</v>
      </c>
      <c r="C483" s="478">
        <v>287</v>
      </c>
      <c r="D483" s="476" t="s">
        <v>615</v>
      </c>
      <c r="E483" s="477">
        <v>11</v>
      </c>
      <c r="F483" s="476" t="s">
        <v>100</v>
      </c>
      <c r="G483" s="477">
        <v>534</v>
      </c>
      <c r="H483" s="476" t="s">
        <v>6247</v>
      </c>
      <c r="I483" s="476" t="s">
        <v>6257</v>
      </c>
      <c r="J483" s="477">
        <v>21</v>
      </c>
      <c r="K483" s="476" t="s">
        <v>6261</v>
      </c>
      <c r="L483" s="476" t="s">
        <v>6277</v>
      </c>
      <c r="M483" s="476" t="s">
        <v>9</v>
      </c>
      <c r="N483" s="478">
        <v>1</v>
      </c>
      <c r="O483" s="479"/>
      <c r="P483" s="479"/>
      <c r="Q483" s="479"/>
      <c r="R483" s="476"/>
      <c r="S483" s="479">
        <v>0.18375</v>
      </c>
      <c r="T483" s="479">
        <v>0.25041666666666668</v>
      </c>
      <c r="U483" s="479"/>
      <c r="V483" s="479"/>
      <c r="W483" s="479">
        <v>0.50277777777777777</v>
      </c>
      <c r="X483" s="479">
        <v>0.75512731481481488</v>
      </c>
      <c r="Y483" s="479">
        <v>0.38263888888888892</v>
      </c>
      <c r="Z483" s="479">
        <v>0.69652777777777775</v>
      </c>
      <c r="AA483" s="479" t="s">
        <v>1107</v>
      </c>
      <c r="AB483" s="476" t="s">
        <v>6463</v>
      </c>
      <c r="AC483" s="478">
        <v>152</v>
      </c>
      <c r="AD483" s="476" t="s">
        <v>110</v>
      </c>
      <c r="AE483" s="476"/>
      <c r="AF483" s="478">
        <v>53.7</v>
      </c>
      <c r="AG483" s="477">
        <v>10.199999999999999</v>
      </c>
      <c r="AH483" s="476" t="s">
        <v>973</v>
      </c>
      <c r="AI483" s="476" t="s">
        <v>6322</v>
      </c>
      <c r="AJ483" s="476" t="s">
        <v>6493</v>
      </c>
      <c r="AK483" s="476" t="s">
        <v>6493</v>
      </c>
      <c r="AL483" s="476"/>
      <c r="AM483" s="476"/>
      <c r="AN483" s="476"/>
      <c r="AO483" s="476"/>
      <c r="AP483" s="476"/>
      <c r="AQ483" s="476"/>
      <c r="AR483" s="476"/>
      <c r="AS483" s="476"/>
      <c r="AT483" s="476"/>
      <c r="AU483" s="476"/>
      <c r="AV483" s="476"/>
      <c r="AW483" s="476"/>
      <c r="AX483" s="476"/>
      <c r="AY483" s="476"/>
      <c r="AZ483" s="476"/>
      <c r="BA483" s="476"/>
      <c r="BB483" s="476"/>
      <c r="BC483" s="476"/>
      <c r="BD483" s="476"/>
      <c r="BE483" s="476"/>
      <c r="BF483" s="476"/>
      <c r="BG483" s="476"/>
      <c r="BH483" s="476"/>
      <c r="BI483" s="476"/>
      <c r="BJ483" s="476"/>
      <c r="BK483" s="476"/>
      <c r="BL483" s="480"/>
    </row>
    <row r="484" spans="1:64">
      <c r="A484" s="468">
        <v>44275</v>
      </c>
      <c r="B484" s="473">
        <v>79</v>
      </c>
      <c r="C484" s="473">
        <v>286</v>
      </c>
      <c r="D484" s="470" t="s">
        <v>615</v>
      </c>
      <c r="E484" s="469">
        <v>11</v>
      </c>
      <c r="F484" s="470" t="s">
        <v>103</v>
      </c>
      <c r="G484" s="469">
        <v>534</v>
      </c>
      <c r="H484" s="470" t="s">
        <v>6247</v>
      </c>
      <c r="I484" s="470" t="s">
        <v>6257</v>
      </c>
      <c r="J484" s="469">
        <v>22</v>
      </c>
      <c r="K484" s="470" t="s">
        <v>6262</v>
      </c>
      <c r="L484" s="470" t="s">
        <v>6278</v>
      </c>
      <c r="M484" s="470" t="s">
        <v>9</v>
      </c>
      <c r="N484" s="473">
        <v>1</v>
      </c>
      <c r="O484" s="471"/>
      <c r="P484" s="471"/>
      <c r="Q484" s="471"/>
      <c r="R484" s="470"/>
      <c r="S484" s="471">
        <v>0.18260416666666668</v>
      </c>
      <c r="T484" s="471">
        <v>0.24927083333333333</v>
      </c>
      <c r="U484" s="471"/>
      <c r="V484" s="471"/>
      <c r="W484" s="471">
        <v>0.50256944444444451</v>
      </c>
      <c r="X484" s="471">
        <v>0.75586805555555558</v>
      </c>
      <c r="Y484" s="471">
        <v>0.40833333333333338</v>
      </c>
      <c r="Z484" s="471">
        <v>0.72986111111111107</v>
      </c>
      <c r="AA484" s="471">
        <v>1.3888888888888888E-2</v>
      </c>
      <c r="AB484" s="470" t="s">
        <v>6463</v>
      </c>
      <c r="AC484" s="473">
        <v>152</v>
      </c>
      <c r="AD484" s="470" t="s">
        <v>110</v>
      </c>
      <c r="AE484" s="470"/>
      <c r="AF484" s="473">
        <v>44</v>
      </c>
      <c r="AG484" s="469">
        <v>98.9</v>
      </c>
      <c r="AH484" s="470" t="s">
        <v>973</v>
      </c>
      <c r="AI484" s="470" t="s">
        <v>6323</v>
      </c>
      <c r="AJ484" s="470" t="s">
        <v>6493</v>
      </c>
      <c r="AK484" s="470" t="s">
        <v>6493</v>
      </c>
      <c r="AL484" s="470" t="s">
        <v>555</v>
      </c>
      <c r="AM484" s="470"/>
      <c r="AN484" s="470"/>
      <c r="AO484" s="470"/>
      <c r="AP484" s="470"/>
      <c r="AQ484" s="470"/>
      <c r="AR484" s="470"/>
      <c r="AS484" s="470"/>
      <c r="AT484" s="470"/>
      <c r="AU484" s="470"/>
      <c r="AV484" s="470"/>
      <c r="AW484" s="470"/>
      <c r="AX484" s="470"/>
      <c r="AY484" s="470"/>
      <c r="AZ484" s="470"/>
      <c r="BA484" s="470"/>
      <c r="BB484" s="470"/>
      <c r="BC484" s="470"/>
      <c r="BD484" s="470"/>
      <c r="BE484" s="470"/>
      <c r="BF484" s="470"/>
      <c r="BG484" s="470"/>
      <c r="BH484" s="470"/>
      <c r="BI484" s="470"/>
      <c r="BJ484" s="470"/>
      <c r="BK484" s="470"/>
      <c r="BL484" s="474"/>
    </row>
    <row r="485" spans="1:64">
      <c r="A485" s="475">
        <v>44276</v>
      </c>
      <c r="B485" s="478">
        <v>80</v>
      </c>
      <c r="C485" s="478">
        <v>285</v>
      </c>
      <c r="D485" s="476" t="s">
        <v>615</v>
      </c>
      <c r="E485" s="477">
        <v>11</v>
      </c>
      <c r="F485" s="476" t="s">
        <v>106</v>
      </c>
      <c r="G485" s="477">
        <v>534</v>
      </c>
      <c r="H485" s="476" t="s">
        <v>6247</v>
      </c>
      <c r="I485" s="476" t="s">
        <v>6257</v>
      </c>
      <c r="J485" s="477">
        <v>23</v>
      </c>
      <c r="K485" s="476" t="s">
        <v>6263</v>
      </c>
      <c r="L485" s="476" t="s">
        <v>6279</v>
      </c>
      <c r="M485" s="476" t="s">
        <v>9</v>
      </c>
      <c r="N485" s="478">
        <v>1</v>
      </c>
      <c r="O485" s="479"/>
      <c r="P485" s="479"/>
      <c r="Q485" s="479"/>
      <c r="R485" s="476"/>
      <c r="S485" s="479">
        <v>0.18145833333333336</v>
      </c>
      <c r="T485" s="479">
        <v>0.24812500000000001</v>
      </c>
      <c r="U485" s="479"/>
      <c r="V485" s="479"/>
      <c r="W485" s="479">
        <v>0.50236111111111115</v>
      </c>
      <c r="X485" s="479">
        <v>0.75660879629629629</v>
      </c>
      <c r="Y485" s="479">
        <v>0.4381944444444445</v>
      </c>
      <c r="Z485" s="479">
        <v>0.76527777777777783</v>
      </c>
      <c r="AA485" s="479">
        <v>5.4166666666666669E-2</v>
      </c>
      <c r="AB485" s="476" t="s">
        <v>6464</v>
      </c>
      <c r="AC485" s="478">
        <v>130</v>
      </c>
      <c r="AD485" s="476" t="s">
        <v>113</v>
      </c>
      <c r="AE485" s="476" t="s">
        <v>6607</v>
      </c>
      <c r="AF485" s="478">
        <v>35.5</v>
      </c>
      <c r="AG485" s="477">
        <v>88.7</v>
      </c>
      <c r="AH485" s="476" t="s">
        <v>6290</v>
      </c>
      <c r="AI485" s="476" t="s">
        <v>6324</v>
      </c>
      <c r="AJ485" s="476" t="s">
        <v>6493</v>
      </c>
      <c r="AK485" s="476" t="s">
        <v>6493</v>
      </c>
      <c r="AL485" s="476"/>
      <c r="AM485" s="476"/>
      <c r="AN485" s="476"/>
      <c r="AO485" s="476"/>
      <c r="AP485" s="476"/>
      <c r="AQ485" s="476"/>
      <c r="AR485" s="476"/>
      <c r="AS485" s="476"/>
      <c r="AT485" s="476"/>
      <c r="AU485" s="476"/>
      <c r="AV485" s="476"/>
      <c r="AW485" s="476"/>
      <c r="AX485" s="476"/>
      <c r="AY485" s="476"/>
      <c r="AZ485" s="476"/>
      <c r="BA485" s="476"/>
      <c r="BB485" s="476"/>
      <c r="BC485" s="476"/>
      <c r="BD485" s="476"/>
      <c r="BE485" s="476"/>
      <c r="BF485" s="476"/>
      <c r="BG485" s="476"/>
      <c r="BH485" s="476"/>
      <c r="BI485" s="476"/>
      <c r="BJ485" s="476"/>
      <c r="BK485" s="476"/>
      <c r="BL485" s="480"/>
    </row>
    <row r="486" spans="1:64">
      <c r="A486" s="468">
        <v>44277</v>
      </c>
      <c r="B486" s="473">
        <v>81</v>
      </c>
      <c r="C486" s="473">
        <v>284</v>
      </c>
      <c r="D486" s="470" t="s">
        <v>615</v>
      </c>
      <c r="E486" s="469">
        <v>12</v>
      </c>
      <c r="F486" s="470" t="s">
        <v>88</v>
      </c>
      <c r="G486" s="469">
        <v>534</v>
      </c>
      <c r="H486" s="470" t="s">
        <v>6247</v>
      </c>
      <c r="I486" s="470" t="s">
        <v>6257</v>
      </c>
      <c r="J486" s="469">
        <v>24</v>
      </c>
      <c r="K486" s="470" t="s">
        <v>6264</v>
      </c>
      <c r="L486" s="470" t="s">
        <v>6280</v>
      </c>
      <c r="M486" s="470" t="s">
        <v>9</v>
      </c>
      <c r="N486" s="473">
        <v>1</v>
      </c>
      <c r="O486" s="471"/>
      <c r="P486" s="471"/>
      <c r="Q486" s="471"/>
      <c r="R486" s="470"/>
      <c r="S486" s="471">
        <v>0.18030092592592592</v>
      </c>
      <c r="T486" s="471">
        <v>0.2469675925925926</v>
      </c>
      <c r="U486" s="471"/>
      <c r="V486" s="471"/>
      <c r="W486" s="471">
        <v>0.50215277777777778</v>
      </c>
      <c r="X486" s="471">
        <v>0.75733796296296296</v>
      </c>
      <c r="Y486" s="471">
        <v>0.47430555555555554</v>
      </c>
      <c r="Z486" s="471">
        <v>0.80138888888888893</v>
      </c>
      <c r="AA486" s="471">
        <v>9.2361111111111116E-2</v>
      </c>
      <c r="AB486" s="470" t="s">
        <v>6464</v>
      </c>
      <c r="AC486" s="473">
        <v>130</v>
      </c>
      <c r="AD486" s="470" t="s">
        <v>113</v>
      </c>
      <c r="AE486" s="470"/>
      <c r="AF486" s="473">
        <v>29.1</v>
      </c>
      <c r="AG486" s="469">
        <v>80.400000000000006</v>
      </c>
      <c r="AH486" s="470" t="s">
        <v>6315</v>
      </c>
      <c r="AI486" s="470" t="s">
        <v>6325</v>
      </c>
      <c r="AJ486" s="470" t="s">
        <v>6493</v>
      </c>
      <c r="AK486" s="470" t="s">
        <v>6493</v>
      </c>
      <c r="AL486" s="470"/>
      <c r="AM486" s="470"/>
      <c r="AN486" s="470"/>
      <c r="AO486" s="470"/>
      <c r="AP486" s="470"/>
      <c r="AQ486" s="470"/>
      <c r="AR486" s="470"/>
      <c r="AS486" s="470"/>
      <c r="AT486" s="470"/>
      <c r="AU486" s="470"/>
      <c r="AV486" s="470"/>
      <c r="AW486" s="470"/>
      <c r="AX486" s="470"/>
      <c r="AY486" s="470"/>
      <c r="AZ486" s="470"/>
      <c r="BA486" s="470"/>
      <c r="BB486" s="470"/>
      <c r="BC486" s="470"/>
      <c r="BD486" s="470"/>
      <c r="BE486" s="470"/>
      <c r="BF486" s="470"/>
      <c r="BG486" s="470"/>
      <c r="BH486" s="470"/>
      <c r="BI486" s="470"/>
      <c r="BJ486" s="470"/>
      <c r="BK486" s="470"/>
      <c r="BL486" s="474"/>
    </row>
    <row r="487" spans="1:64">
      <c r="A487" s="475">
        <v>44278</v>
      </c>
      <c r="B487" s="478">
        <v>82</v>
      </c>
      <c r="C487" s="478">
        <v>283</v>
      </c>
      <c r="D487" s="476" t="s">
        <v>615</v>
      </c>
      <c r="E487" s="477">
        <v>12</v>
      </c>
      <c r="F487" s="476" t="s">
        <v>91</v>
      </c>
      <c r="G487" s="477">
        <v>534</v>
      </c>
      <c r="H487" s="476" t="s">
        <v>6247</v>
      </c>
      <c r="I487" s="476" t="s">
        <v>6257</v>
      </c>
      <c r="J487" s="477">
        <v>25</v>
      </c>
      <c r="K487" s="476" t="s">
        <v>6265</v>
      </c>
      <c r="L487" s="476" t="s">
        <v>6281</v>
      </c>
      <c r="M487" s="476" t="s">
        <v>9</v>
      </c>
      <c r="N487" s="478">
        <v>1</v>
      </c>
      <c r="O487" s="479"/>
      <c r="P487" s="479"/>
      <c r="Q487" s="479"/>
      <c r="R487" s="476"/>
      <c r="S487" s="479">
        <v>0.17915509259259257</v>
      </c>
      <c r="T487" s="479">
        <v>0.24582175925925928</v>
      </c>
      <c r="U487" s="479"/>
      <c r="V487" s="479"/>
      <c r="W487" s="479">
        <v>0.50194444444444442</v>
      </c>
      <c r="X487" s="479">
        <v>0.75807870370370367</v>
      </c>
      <c r="Y487" s="479">
        <v>0.51458333333333328</v>
      </c>
      <c r="Z487" s="479">
        <v>0.83819444444444446</v>
      </c>
      <c r="AA487" s="479">
        <v>0.1277777777777778</v>
      </c>
      <c r="AB487" s="476" t="s">
        <v>6464</v>
      </c>
      <c r="AC487" s="478">
        <v>130</v>
      </c>
      <c r="AD487" s="476" t="s">
        <v>113</v>
      </c>
      <c r="AE487" s="476"/>
      <c r="AF487" s="478">
        <v>25.4</v>
      </c>
      <c r="AG487" s="477">
        <v>74.5</v>
      </c>
      <c r="AH487" s="476" t="s">
        <v>6291</v>
      </c>
      <c r="AI487" s="476" t="s">
        <v>6326</v>
      </c>
      <c r="AJ487" s="476" t="s">
        <v>6493</v>
      </c>
      <c r="AK487" s="476" t="s">
        <v>6493</v>
      </c>
      <c r="AL487" s="476"/>
      <c r="AM487" s="476"/>
      <c r="AN487" s="476"/>
      <c r="AO487" s="476"/>
      <c r="AP487" s="476"/>
      <c r="AQ487" s="476"/>
      <c r="AR487" s="476"/>
      <c r="AS487" s="476"/>
      <c r="AT487" s="476"/>
      <c r="AU487" s="476"/>
      <c r="AV487" s="476"/>
      <c r="AW487" s="476"/>
      <c r="AX487" s="476"/>
      <c r="AY487" s="476"/>
      <c r="AZ487" s="476"/>
      <c r="BA487" s="476"/>
      <c r="BB487" s="476"/>
      <c r="BC487" s="476"/>
      <c r="BD487" s="476"/>
      <c r="BE487" s="476"/>
      <c r="BF487" s="476"/>
      <c r="BG487" s="476"/>
      <c r="BH487" s="476"/>
      <c r="BI487" s="476"/>
      <c r="BJ487" s="476"/>
      <c r="BK487" s="476"/>
      <c r="BL487" s="480"/>
    </row>
    <row r="488" spans="1:64">
      <c r="A488" s="468">
        <v>44279</v>
      </c>
      <c r="B488" s="473">
        <v>83</v>
      </c>
      <c r="C488" s="473">
        <v>282</v>
      </c>
      <c r="D488" s="470" t="s">
        <v>615</v>
      </c>
      <c r="E488" s="469">
        <v>12</v>
      </c>
      <c r="F488" s="470" t="s">
        <v>94</v>
      </c>
      <c r="G488" s="469">
        <v>534</v>
      </c>
      <c r="H488" s="470" t="s">
        <v>6247</v>
      </c>
      <c r="I488" s="470" t="s">
        <v>6257</v>
      </c>
      <c r="J488" s="469">
        <v>26</v>
      </c>
      <c r="K488" s="470" t="s">
        <v>6271</v>
      </c>
      <c r="L488" s="470" t="s">
        <v>6282</v>
      </c>
      <c r="M488" s="470" t="s">
        <v>9</v>
      </c>
      <c r="N488" s="473">
        <v>1</v>
      </c>
      <c r="O488" s="471"/>
      <c r="P488" s="471"/>
      <c r="Q488" s="471"/>
      <c r="R488" s="470"/>
      <c r="S488" s="471">
        <v>0.17800925925925926</v>
      </c>
      <c r="T488" s="471">
        <v>0.24467592592592591</v>
      </c>
      <c r="U488" s="471"/>
      <c r="V488" s="471"/>
      <c r="W488" s="471">
        <v>0.50173611111111105</v>
      </c>
      <c r="X488" s="471">
        <v>0.75880787037037034</v>
      </c>
      <c r="Y488" s="471">
        <v>0.56041666666666667</v>
      </c>
      <c r="Z488" s="471">
        <v>0.875</v>
      </c>
      <c r="AA488" s="471">
        <v>0.15902777777777777</v>
      </c>
      <c r="AB488" s="470" t="s">
        <v>6464</v>
      </c>
      <c r="AC488" s="473">
        <v>130</v>
      </c>
      <c r="AD488" s="470" t="s">
        <v>113</v>
      </c>
      <c r="AE488" s="470"/>
      <c r="AF488" s="473">
        <v>25.1</v>
      </c>
      <c r="AG488" s="469">
        <v>71.599999999999994</v>
      </c>
      <c r="AH488" s="470" t="s">
        <v>6292</v>
      </c>
      <c r="AI488" s="470" t="s">
        <v>6327</v>
      </c>
      <c r="AJ488" s="470" t="s">
        <v>838</v>
      </c>
      <c r="AK488" s="470" t="s">
        <v>13</v>
      </c>
      <c r="AL488" s="470" t="s">
        <v>6749</v>
      </c>
      <c r="AM488" s="470" t="s">
        <v>6342</v>
      </c>
      <c r="AN488" s="470" t="s">
        <v>6983</v>
      </c>
      <c r="AO488" s="470" t="s">
        <v>6351</v>
      </c>
      <c r="AP488" s="470"/>
      <c r="AQ488" s="470"/>
      <c r="AR488" s="470"/>
      <c r="AS488" s="470"/>
      <c r="AT488" s="470"/>
      <c r="AU488" s="470"/>
      <c r="AV488" s="470"/>
      <c r="AW488" s="470"/>
      <c r="AX488" s="470"/>
      <c r="AY488" s="470"/>
      <c r="AZ488" s="470"/>
      <c r="BA488" s="470"/>
      <c r="BB488" s="470"/>
      <c r="BC488" s="470"/>
      <c r="BD488" s="470"/>
      <c r="BE488" s="470"/>
      <c r="BF488" s="470"/>
      <c r="BG488" s="470"/>
      <c r="BH488" s="470"/>
      <c r="BI488" s="470"/>
      <c r="BJ488" s="470"/>
      <c r="BK488" s="470"/>
      <c r="BL488" s="474"/>
    </row>
    <row r="489" spans="1:64">
      <c r="A489" s="475">
        <v>44280</v>
      </c>
      <c r="B489" s="478">
        <v>84</v>
      </c>
      <c r="C489" s="478">
        <v>281</v>
      </c>
      <c r="D489" s="476" t="s">
        <v>615</v>
      </c>
      <c r="E489" s="477">
        <v>12</v>
      </c>
      <c r="F489" s="476" t="s">
        <v>6714</v>
      </c>
      <c r="G489" s="477">
        <v>534</v>
      </c>
      <c r="H489" s="476" t="s">
        <v>6247</v>
      </c>
      <c r="I489" s="476" t="s">
        <v>6257</v>
      </c>
      <c r="J489" s="477">
        <v>27</v>
      </c>
      <c r="K489" s="476" t="s">
        <v>6266</v>
      </c>
      <c r="L489" s="476" t="s">
        <v>6283</v>
      </c>
      <c r="M489" s="476" t="s">
        <v>9</v>
      </c>
      <c r="N489" s="478">
        <v>1</v>
      </c>
      <c r="O489" s="479"/>
      <c r="P489" s="479"/>
      <c r="Q489" s="479"/>
      <c r="R489" s="476"/>
      <c r="S489" s="479">
        <v>0.17685185185185184</v>
      </c>
      <c r="T489" s="479">
        <v>0.2435185185185185</v>
      </c>
      <c r="U489" s="479">
        <v>0.24305555555555555</v>
      </c>
      <c r="V489" s="479">
        <v>0.4152777777777778</v>
      </c>
      <c r="W489" s="479">
        <v>0.50152777777777779</v>
      </c>
      <c r="X489" s="479">
        <v>0.75954861111111116</v>
      </c>
      <c r="Y489" s="479">
        <v>0.60902777777777783</v>
      </c>
      <c r="Z489" s="479">
        <v>0.91111111111111109</v>
      </c>
      <c r="AA489" s="479">
        <v>0.18541666666666667</v>
      </c>
      <c r="AB489" s="476" t="s">
        <v>6464</v>
      </c>
      <c r="AC489" s="478">
        <v>130</v>
      </c>
      <c r="AD489" s="476" t="s">
        <v>113</v>
      </c>
      <c r="AE489" s="476"/>
      <c r="AF489" s="478">
        <v>28.5</v>
      </c>
      <c r="AG489" s="477">
        <v>72.2</v>
      </c>
      <c r="AH489" s="476" t="s">
        <v>6293</v>
      </c>
      <c r="AI489" s="476" t="s">
        <v>6328</v>
      </c>
      <c r="AJ489" s="476" t="s">
        <v>839</v>
      </c>
      <c r="AK489" s="476" t="s">
        <v>6493</v>
      </c>
      <c r="AL489" s="476" t="s">
        <v>6862</v>
      </c>
      <c r="AM489" s="476" t="s">
        <v>6343</v>
      </c>
      <c r="AN489" s="476" t="s">
        <v>6919</v>
      </c>
      <c r="AO489" s="476" t="s">
        <v>6346</v>
      </c>
      <c r="AP489" s="476"/>
      <c r="AQ489" s="476"/>
      <c r="AR489" s="476"/>
      <c r="AS489" s="476"/>
      <c r="AT489" s="476"/>
      <c r="AU489" s="476"/>
      <c r="AV489" s="476"/>
      <c r="AW489" s="476"/>
      <c r="AX489" s="476"/>
      <c r="AY489" s="476"/>
      <c r="AZ489" s="476"/>
      <c r="BA489" s="476"/>
      <c r="BB489" s="476"/>
      <c r="BC489" s="476"/>
      <c r="BD489" s="476"/>
      <c r="BE489" s="476"/>
      <c r="BF489" s="476"/>
      <c r="BG489" s="476"/>
      <c r="BH489" s="476"/>
      <c r="BI489" s="476"/>
      <c r="BJ489" s="476" t="s">
        <v>6374</v>
      </c>
      <c r="BK489" s="476"/>
      <c r="BL489" s="480"/>
    </row>
    <row r="490" spans="1:64">
      <c r="A490" s="468">
        <v>44281</v>
      </c>
      <c r="B490" s="473">
        <v>85</v>
      </c>
      <c r="C490" s="473">
        <v>280</v>
      </c>
      <c r="D490" s="470" t="s">
        <v>615</v>
      </c>
      <c r="E490" s="469">
        <v>12</v>
      </c>
      <c r="F490" s="470" t="s">
        <v>100</v>
      </c>
      <c r="G490" s="469">
        <v>534</v>
      </c>
      <c r="H490" s="470" t="s">
        <v>6247</v>
      </c>
      <c r="I490" s="470" t="s">
        <v>6257</v>
      </c>
      <c r="J490" s="469">
        <v>28</v>
      </c>
      <c r="K490" s="470" t="s">
        <v>6267</v>
      </c>
      <c r="L490" s="470" t="s">
        <v>6284</v>
      </c>
      <c r="M490" s="470" t="s">
        <v>9</v>
      </c>
      <c r="N490" s="473">
        <v>1</v>
      </c>
      <c r="O490" s="471"/>
      <c r="P490" s="471"/>
      <c r="Q490" s="471"/>
      <c r="R490" s="470"/>
      <c r="S490" s="471">
        <v>0.17570601851851853</v>
      </c>
      <c r="T490" s="471">
        <v>0.24237268518518518</v>
      </c>
      <c r="U490" s="471"/>
      <c r="V490" s="471"/>
      <c r="W490" s="471">
        <v>0.50131944444444443</v>
      </c>
      <c r="X490" s="471">
        <v>0.76027777777777772</v>
      </c>
      <c r="Y490" s="471">
        <v>0.65972222222222221</v>
      </c>
      <c r="Z490" s="471">
        <v>0.9472222222222223</v>
      </c>
      <c r="AA490" s="471">
        <v>0.20902777777777778</v>
      </c>
      <c r="AB490" s="470" t="s">
        <v>6464</v>
      </c>
      <c r="AC490" s="473">
        <v>130</v>
      </c>
      <c r="AD490" s="470" t="s">
        <v>113</v>
      </c>
      <c r="AE490" s="470"/>
      <c r="AF490" s="473">
        <v>35.9</v>
      </c>
      <c r="AG490" s="469">
        <v>76.3</v>
      </c>
      <c r="AH490" s="470" t="s">
        <v>6294</v>
      </c>
      <c r="AI490" s="470" t="s">
        <v>6329</v>
      </c>
      <c r="AJ490" s="470" t="s">
        <v>6493</v>
      </c>
      <c r="AK490" s="470" t="s">
        <v>6493</v>
      </c>
      <c r="AL490" s="470"/>
      <c r="AM490" s="470"/>
      <c r="AN490" s="470"/>
      <c r="AO490" s="470"/>
      <c r="AP490" s="470"/>
      <c r="AQ490" s="470"/>
      <c r="AR490" s="470"/>
      <c r="AS490" s="470"/>
      <c r="AT490" s="470"/>
      <c r="AU490" s="470"/>
      <c r="AV490" s="470"/>
      <c r="AW490" s="470"/>
      <c r="AX490" s="470"/>
      <c r="AY490" s="470"/>
      <c r="AZ490" s="470"/>
      <c r="BA490" s="470"/>
      <c r="BB490" s="470"/>
      <c r="BC490" s="470"/>
      <c r="BD490" s="470"/>
      <c r="BE490" s="470"/>
      <c r="BF490" s="470"/>
      <c r="BG490" s="470"/>
      <c r="BH490" s="470"/>
      <c r="BI490" s="470"/>
      <c r="BJ490" s="470"/>
      <c r="BK490" s="470"/>
      <c r="BL490" s="474"/>
    </row>
    <row r="491" spans="1:64">
      <c r="A491" s="475">
        <v>44282</v>
      </c>
      <c r="B491" s="478">
        <v>86</v>
      </c>
      <c r="C491" s="478">
        <v>279</v>
      </c>
      <c r="D491" s="476" t="s">
        <v>615</v>
      </c>
      <c r="E491" s="477">
        <v>12</v>
      </c>
      <c r="F491" s="476" t="s">
        <v>103</v>
      </c>
      <c r="G491" s="477">
        <v>534</v>
      </c>
      <c r="H491" s="476" t="s">
        <v>6247</v>
      </c>
      <c r="I491" s="476" t="s">
        <v>6257</v>
      </c>
      <c r="J491" s="477">
        <v>29</v>
      </c>
      <c r="K491" s="476" t="s">
        <v>6268</v>
      </c>
      <c r="L491" s="476" t="s">
        <v>6285</v>
      </c>
      <c r="M491" s="476" t="s">
        <v>9</v>
      </c>
      <c r="N491" s="478">
        <v>1</v>
      </c>
      <c r="O491" s="479"/>
      <c r="P491" s="479"/>
      <c r="Q491" s="479"/>
      <c r="R491" s="476"/>
      <c r="S491" s="479">
        <v>0.17456018518518521</v>
      </c>
      <c r="T491" s="479">
        <v>0.24122685185185186</v>
      </c>
      <c r="U491" s="479"/>
      <c r="V491" s="479"/>
      <c r="W491" s="479">
        <v>0.50111111111111117</v>
      </c>
      <c r="X491" s="479">
        <v>0.7610069444444445</v>
      </c>
      <c r="Y491" s="479">
        <v>0.71111111111111114</v>
      </c>
      <c r="Z491" s="479">
        <v>0.98263888888888884</v>
      </c>
      <c r="AA491" s="479">
        <v>0.23055555555555554</v>
      </c>
      <c r="AB491" s="476" t="s">
        <v>6464</v>
      </c>
      <c r="AC491" s="478">
        <v>130</v>
      </c>
      <c r="AD491" s="476" t="s">
        <v>113</v>
      </c>
      <c r="AE491" s="476"/>
      <c r="AF491" s="478">
        <v>47</v>
      </c>
      <c r="AG491" s="477">
        <v>83.7</v>
      </c>
      <c r="AH491" s="476" t="s">
        <v>6295</v>
      </c>
      <c r="AI491" s="476" t="s">
        <v>6330</v>
      </c>
      <c r="AJ491" s="476" t="s">
        <v>6493</v>
      </c>
      <c r="AK491" s="476" t="s">
        <v>6493</v>
      </c>
      <c r="AL491" s="476"/>
      <c r="AM491" s="476"/>
      <c r="AN491" s="476"/>
      <c r="AO491" s="476"/>
      <c r="AP491" s="476"/>
      <c r="AQ491" s="476"/>
      <c r="AR491" s="476"/>
      <c r="AS491" s="476"/>
      <c r="AT491" s="476"/>
      <c r="AU491" s="476"/>
      <c r="AV491" s="476"/>
      <c r="AW491" s="476"/>
      <c r="AX491" s="476"/>
      <c r="AY491" s="476"/>
      <c r="AZ491" s="476"/>
      <c r="BA491" s="476"/>
      <c r="BB491" s="476"/>
      <c r="BC491" s="476"/>
      <c r="BD491" s="476"/>
      <c r="BE491" s="476"/>
      <c r="BF491" s="476"/>
      <c r="BG491" s="476"/>
      <c r="BH491" s="476"/>
      <c r="BI491" s="476"/>
      <c r="BJ491" s="476"/>
      <c r="BK491" s="476"/>
      <c r="BL491" s="480"/>
    </row>
    <row r="492" spans="1:64">
      <c r="A492" s="468">
        <v>44283</v>
      </c>
      <c r="B492" s="473">
        <v>87</v>
      </c>
      <c r="C492" s="473">
        <v>278</v>
      </c>
      <c r="D492" s="470" t="s">
        <v>615</v>
      </c>
      <c r="E492" s="469">
        <v>12</v>
      </c>
      <c r="F492" s="470" t="s">
        <v>106</v>
      </c>
      <c r="G492" s="469">
        <v>534</v>
      </c>
      <c r="H492" s="470" t="s">
        <v>6247</v>
      </c>
      <c r="I492" s="470" t="s">
        <v>6257</v>
      </c>
      <c r="J492" s="469">
        <v>30</v>
      </c>
      <c r="K492" s="470" t="s">
        <v>6272</v>
      </c>
      <c r="L492" s="470" t="s">
        <v>6288</v>
      </c>
      <c r="M492" s="470" t="s">
        <v>9</v>
      </c>
      <c r="N492" s="473">
        <v>1</v>
      </c>
      <c r="O492" s="471"/>
      <c r="P492" s="471"/>
      <c r="Q492" s="471"/>
      <c r="R492" s="470"/>
      <c r="S492" s="471">
        <v>0.17340277777777779</v>
      </c>
      <c r="T492" s="471">
        <v>0.24006944444444445</v>
      </c>
      <c r="U492" s="471"/>
      <c r="V492" s="471"/>
      <c r="W492" s="471">
        <v>0.50090277777777781</v>
      </c>
      <c r="X492" s="471">
        <v>0.76173611111111106</v>
      </c>
      <c r="Y492" s="471">
        <v>0.76250000000000007</v>
      </c>
      <c r="Z492" s="471" t="s">
        <v>1107</v>
      </c>
      <c r="AA492" s="471">
        <v>0.25069444444444444</v>
      </c>
      <c r="AB492" s="470" t="s">
        <v>6462</v>
      </c>
      <c r="AC492" s="473">
        <v>129</v>
      </c>
      <c r="AD492" s="470" t="s">
        <v>116</v>
      </c>
      <c r="AE492" s="470" t="s">
        <v>6608</v>
      </c>
      <c r="AF492" s="473">
        <v>61.1</v>
      </c>
      <c r="AG492" s="469">
        <v>93.7</v>
      </c>
      <c r="AH492" s="470" t="s">
        <v>6296</v>
      </c>
      <c r="AI492" s="470" t="s">
        <v>6331</v>
      </c>
      <c r="AJ492" s="470" t="s">
        <v>874</v>
      </c>
      <c r="AK492" s="470" t="s">
        <v>6493</v>
      </c>
      <c r="AL492" s="470" t="s">
        <v>6751</v>
      </c>
      <c r="AM492" s="470" t="s">
        <v>6347</v>
      </c>
      <c r="AN492" s="470" t="s">
        <v>6920</v>
      </c>
      <c r="AO492" s="470" t="s">
        <v>6351</v>
      </c>
      <c r="AP492" s="470" t="s">
        <v>7011</v>
      </c>
      <c r="AQ492" s="470"/>
      <c r="AR492" s="470"/>
      <c r="AS492" s="470"/>
      <c r="AT492" s="470"/>
      <c r="AU492" s="470"/>
      <c r="AV492" s="470"/>
      <c r="AW492" s="470"/>
      <c r="AX492" s="470"/>
      <c r="AY492" s="470"/>
      <c r="AZ492" s="470"/>
      <c r="BA492" s="470"/>
      <c r="BB492" s="470"/>
      <c r="BC492" s="470"/>
      <c r="BD492" s="470"/>
      <c r="BE492" s="470"/>
      <c r="BF492" s="470"/>
      <c r="BG492" s="470"/>
      <c r="BH492" s="470"/>
      <c r="BI492" s="470"/>
      <c r="BJ492" s="470" t="s">
        <v>6375</v>
      </c>
      <c r="BK492" s="470"/>
      <c r="BL492" s="474"/>
    </row>
    <row r="493" spans="1:64">
      <c r="A493" s="475">
        <v>44284</v>
      </c>
      <c r="B493" s="478">
        <v>88</v>
      </c>
      <c r="C493" s="478">
        <v>277</v>
      </c>
      <c r="D493" s="476" t="s">
        <v>615</v>
      </c>
      <c r="E493" s="477">
        <v>13</v>
      </c>
      <c r="F493" s="476" t="s">
        <v>88</v>
      </c>
      <c r="G493" s="477">
        <v>535</v>
      </c>
      <c r="H493" s="476" t="s">
        <v>6248</v>
      </c>
      <c r="I493" s="476" t="s">
        <v>836</v>
      </c>
      <c r="J493" s="477">
        <v>1</v>
      </c>
      <c r="K493" s="476" t="s">
        <v>6270</v>
      </c>
      <c r="L493" s="476" t="s">
        <v>6287</v>
      </c>
      <c r="M493" s="476" t="s">
        <v>9</v>
      </c>
      <c r="N493" s="478">
        <v>1</v>
      </c>
      <c r="O493" s="479"/>
      <c r="P493" s="479"/>
      <c r="Q493" s="479"/>
      <c r="R493" s="476"/>
      <c r="S493" s="479">
        <v>0.17225694444444442</v>
      </c>
      <c r="T493" s="479">
        <v>0.23892361111111113</v>
      </c>
      <c r="U493" s="479"/>
      <c r="V493" s="479"/>
      <c r="W493" s="479">
        <v>0.50069444444444444</v>
      </c>
      <c r="X493" s="479">
        <v>0.76246527777777784</v>
      </c>
      <c r="Y493" s="479">
        <v>0.81527777777777777</v>
      </c>
      <c r="Z493" s="479">
        <v>1.8055555555555557E-2</v>
      </c>
      <c r="AA493" s="479">
        <v>0.27013888888888887</v>
      </c>
      <c r="AB493" s="476" t="s">
        <v>6462</v>
      </c>
      <c r="AC493" s="478">
        <v>129</v>
      </c>
      <c r="AD493" s="476" t="s">
        <v>116</v>
      </c>
      <c r="AE493" s="476"/>
      <c r="AF493" s="478">
        <v>77.099999999999994</v>
      </c>
      <c r="AG493" s="477">
        <v>5.5</v>
      </c>
      <c r="AH493" s="476" t="s">
        <v>6298</v>
      </c>
      <c r="AI493" s="476" t="s">
        <v>6332</v>
      </c>
      <c r="AJ493" s="476" t="s">
        <v>839</v>
      </c>
      <c r="AK493" s="476" t="s">
        <v>6493</v>
      </c>
      <c r="AL493" s="476" t="s">
        <v>6752</v>
      </c>
      <c r="AM493" s="476" t="s">
        <v>6344</v>
      </c>
      <c r="AN493" s="476" t="s">
        <v>6921</v>
      </c>
      <c r="AO493" s="476"/>
      <c r="AP493" s="476" t="s">
        <v>7012</v>
      </c>
      <c r="AQ493" s="476"/>
      <c r="AR493" s="476"/>
      <c r="AS493" s="476"/>
      <c r="AT493" s="476"/>
      <c r="AU493" s="476"/>
      <c r="AV493" s="476"/>
      <c r="AW493" s="476"/>
      <c r="AX493" s="476"/>
      <c r="AY493" s="476"/>
      <c r="AZ493" s="476"/>
      <c r="BA493" s="476"/>
      <c r="BB493" s="476"/>
      <c r="BC493" s="476"/>
      <c r="BD493" s="476"/>
      <c r="BE493" s="476"/>
      <c r="BF493" s="476"/>
      <c r="BG493" s="476"/>
      <c r="BH493" s="476"/>
      <c r="BI493" s="476"/>
      <c r="BJ493" s="476" t="s">
        <v>6376</v>
      </c>
      <c r="BK493" s="476"/>
      <c r="BL493" s="480"/>
    </row>
    <row r="494" spans="1:64">
      <c r="A494" s="468">
        <v>44285</v>
      </c>
      <c r="B494" s="473">
        <v>89</v>
      </c>
      <c r="C494" s="473">
        <v>276</v>
      </c>
      <c r="D494" s="470" t="s">
        <v>615</v>
      </c>
      <c r="E494" s="469">
        <v>13</v>
      </c>
      <c r="F494" s="470" t="s">
        <v>91</v>
      </c>
      <c r="G494" s="469">
        <v>535</v>
      </c>
      <c r="H494" s="470" t="s">
        <v>6248</v>
      </c>
      <c r="I494" s="470" t="s">
        <v>836</v>
      </c>
      <c r="J494" s="469">
        <v>2</v>
      </c>
      <c r="K494" s="470" t="s">
        <v>1034</v>
      </c>
      <c r="L494" s="470" t="s">
        <v>6273</v>
      </c>
      <c r="M494" s="470" t="s">
        <v>9</v>
      </c>
      <c r="N494" s="473">
        <v>1</v>
      </c>
      <c r="O494" s="471"/>
      <c r="P494" s="471"/>
      <c r="Q494" s="471"/>
      <c r="R494" s="470"/>
      <c r="S494" s="471">
        <v>0.1711111111111111</v>
      </c>
      <c r="T494" s="471">
        <v>0.23777777777777778</v>
      </c>
      <c r="U494" s="471"/>
      <c r="V494" s="471"/>
      <c r="W494" s="471">
        <v>0.50048611111111108</v>
      </c>
      <c r="X494" s="471">
        <v>0.7631944444444444</v>
      </c>
      <c r="Y494" s="471">
        <v>0.86944444444444446</v>
      </c>
      <c r="Z494" s="471">
        <v>5.486111111111111E-2</v>
      </c>
      <c r="AA494" s="471">
        <v>0.29097222222222224</v>
      </c>
      <c r="AB494" s="470" t="s">
        <v>6462</v>
      </c>
      <c r="AC494" s="473">
        <v>129</v>
      </c>
      <c r="AD494" s="470" t="s">
        <v>116</v>
      </c>
      <c r="AE494" s="470"/>
      <c r="AF494" s="473">
        <v>93.8</v>
      </c>
      <c r="AG494" s="469">
        <v>17.899999999999999</v>
      </c>
      <c r="AH494" s="470" t="s">
        <v>6299</v>
      </c>
      <c r="AI494" s="470" t="s">
        <v>6334</v>
      </c>
      <c r="AJ494" s="470" t="s">
        <v>6493</v>
      </c>
      <c r="AK494" s="470" t="s">
        <v>6493</v>
      </c>
      <c r="AL494" s="470"/>
      <c r="AM494" s="470"/>
      <c r="AN494" s="470"/>
      <c r="AO494" s="470"/>
      <c r="AP494" s="470"/>
      <c r="AQ494" s="470"/>
      <c r="AR494" s="470"/>
      <c r="AS494" s="470"/>
      <c r="AT494" s="470"/>
      <c r="AU494" s="470"/>
      <c r="AV494" s="470"/>
      <c r="AW494" s="470"/>
      <c r="AX494" s="470"/>
      <c r="AY494" s="470"/>
      <c r="AZ494" s="470"/>
      <c r="BA494" s="470"/>
      <c r="BB494" s="470"/>
      <c r="BC494" s="470"/>
      <c r="BD494" s="470"/>
      <c r="BE494" s="470"/>
      <c r="BF494" s="470"/>
      <c r="BG494" s="470"/>
      <c r="BH494" s="470"/>
      <c r="BI494" s="470"/>
      <c r="BJ494" s="470"/>
      <c r="BK494" s="470"/>
      <c r="BL494" s="474"/>
    </row>
    <row r="495" spans="1:64">
      <c r="A495" s="475">
        <v>44286</v>
      </c>
      <c r="B495" s="478">
        <v>90</v>
      </c>
      <c r="C495" s="478">
        <v>275</v>
      </c>
      <c r="D495" s="476" t="s">
        <v>615</v>
      </c>
      <c r="E495" s="477">
        <v>13</v>
      </c>
      <c r="F495" s="476" t="s">
        <v>94</v>
      </c>
      <c r="G495" s="477">
        <v>535</v>
      </c>
      <c r="H495" s="476" t="s">
        <v>6248</v>
      </c>
      <c r="I495" s="476" t="s">
        <v>836</v>
      </c>
      <c r="J495" s="477">
        <v>4</v>
      </c>
      <c r="K495" s="476" t="s">
        <v>6259</v>
      </c>
      <c r="L495" s="476" t="s">
        <v>6275</v>
      </c>
      <c r="M495" s="476" t="s">
        <v>9</v>
      </c>
      <c r="N495" s="478">
        <v>1</v>
      </c>
      <c r="O495" s="479">
        <v>0.29097222222222224</v>
      </c>
      <c r="P495" s="479">
        <v>0.15138888888888888</v>
      </c>
      <c r="Q495" s="479"/>
      <c r="R495" s="476"/>
      <c r="S495" s="479">
        <v>0.16997685185185185</v>
      </c>
      <c r="T495" s="479">
        <v>0.2366435185185185</v>
      </c>
      <c r="U495" s="479"/>
      <c r="V495" s="479"/>
      <c r="W495" s="479">
        <v>0.50027777777777771</v>
      </c>
      <c r="X495" s="479">
        <v>0.76392361111111118</v>
      </c>
      <c r="Y495" s="479">
        <v>0.92361111111111116</v>
      </c>
      <c r="Z495" s="479">
        <v>9.2361111111111116E-2</v>
      </c>
      <c r="AA495" s="479">
        <v>0.31388888888888888</v>
      </c>
      <c r="AB495" s="476" t="s">
        <v>6462</v>
      </c>
      <c r="AC495" s="478">
        <v>129</v>
      </c>
      <c r="AD495" s="476" t="s">
        <v>116</v>
      </c>
      <c r="AE495" s="476"/>
      <c r="AF495" s="478">
        <v>9.8000000000000007</v>
      </c>
      <c r="AG495" s="477">
        <v>29.8</v>
      </c>
      <c r="AH495" s="476" t="s">
        <v>6300</v>
      </c>
      <c r="AI495" s="476" t="s">
        <v>6335</v>
      </c>
      <c r="AJ495" s="476" t="s">
        <v>6493</v>
      </c>
      <c r="AK495" s="476" t="s">
        <v>6493</v>
      </c>
      <c r="AL495" s="476" t="s">
        <v>6863</v>
      </c>
      <c r="AM495" s="476"/>
      <c r="AN495" s="476"/>
      <c r="AO495" s="476"/>
      <c r="AP495" s="476"/>
      <c r="AQ495" s="476"/>
      <c r="AR495" s="476"/>
      <c r="AS495" s="476"/>
      <c r="AT495" s="476"/>
      <c r="AU495" s="476"/>
      <c r="AV495" s="476"/>
      <c r="AW495" s="476"/>
      <c r="AX495" s="476"/>
      <c r="AY495" s="476"/>
      <c r="AZ495" s="476"/>
      <c r="BA495" s="476"/>
      <c r="BB495" s="476"/>
      <c r="BC495" s="476"/>
      <c r="BD495" s="476"/>
      <c r="BE495" s="476"/>
      <c r="BF495" s="476"/>
      <c r="BG495" s="476"/>
      <c r="BH495" s="476"/>
      <c r="BI495" s="476"/>
      <c r="BJ495" s="476"/>
      <c r="BK495" s="476"/>
      <c r="BL495" s="480"/>
    </row>
    <row r="496" spans="1:64">
      <c r="A496" s="468">
        <v>44287</v>
      </c>
      <c r="B496" s="473">
        <v>91</v>
      </c>
      <c r="C496" s="473">
        <v>274</v>
      </c>
      <c r="D496" s="470" t="s">
        <v>618</v>
      </c>
      <c r="E496" s="469">
        <v>13</v>
      </c>
      <c r="F496" s="470" t="s">
        <v>6714</v>
      </c>
      <c r="G496" s="469">
        <v>535</v>
      </c>
      <c r="H496" s="470" t="s">
        <v>6248</v>
      </c>
      <c r="I496" s="470" t="s">
        <v>836</v>
      </c>
      <c r="J496" s="469">
        <v>5</v>
      </c>
      <c r="K496" s="470" t="s">
        <v>6260</v>
      </c>
      <c r="L496" s="470" t="s">
        <v>6276</v>
      </c>
      <c r="M496" s="470" t="s">
        <v>9</v>
      </c>
      <c r="N496" s="473">
        <v>1</v>
      </c>
      <c r="O496" s="471"/>
      <c r="P496" s="471"/>
      <c r="Q496" s="471"/>
      <c r="R496" s="470"/>
      <c r="S496" s="471">
        <v>0.16883101851851853</v>
      </c>
      <c r="T496" s="471">
        <v>0.23549768518518518</v>
      </c>
      <c r="U496" s="471"/>
      <c r="V496" s="471"/>
      <c r="W496" s="471">
        <v>0.50008101851851849</v>
      </c>
      <c r="X496" s="471">
        <v>0.76465277777777774</v>
      </c>
      <c r="Y496" s="471">
        <v>0.97638888888888886</v>
      </c>
      <c r="Z496" s="471">
        <v>0.13194444444444445</v>
      </c>
      <c r="AA496" s="471">
        <v>0.34027777777777773</v>
      </c>
      <c r="AB496" s="470" t="s">
        <v>6462</v>
      </c>
      <c r="AC496" s="473">
        <v>129</v>
      </c>
      <c r="AD496" s="470" t="s">
        <v>116</v>
      </c>
      <c r="AE496" s="470"/>
      <c r="AF496" s="473">
        <v>24.2</v>
      </c>
      <c r="AG496" s="469">
        <v>40.200000000000003</v>
      </c>
      <c r="AH496" s="470" t="s">
        <v>6301</v>
      </c>
      <c r="AI496" s="470" t="s">
        <v>6336</v>
      </c>
      <c r="AJ496" s="470" t="s">
        <v>6493</v>
      </c>
      <c r="AK496" s="470" t="s">
        <v>6493</v>
      </c>
      <c r="AL496" s="470"/>
      <c r="AM496" s="470"/>
      <c r="AN496" s="470"/>
      <c r="AO496" s="470"/>
      <c r="AP496" s="470"/>
      <c r="AQ496" s="470"/>
      <c r="AR496" s="470"/>
      <c r="AS496" s="470"/>
      <c r="AT496" s="470"/>
      <c r="AU496" s="470"/>
      <c r="AV496" s="470"/>
      <c r="AW496" s="470"/>
      <c r="AX496" s="470"/>
      <c r="AY496" s="470"/>
      <c r="AZ496" s="470"/>
      <c r="BA496" s="470"/>
      <c r="BB496" s="470"/>
      <c r="BC496" s="470"/>
      <c r="BD496" s="470"/>
      <c r="BE496" s="470"/>
      <c r="BF496" s="470"/>
      <c r="BG496" s="470"/>
      <c r="BH496" s="470"/>
      <c r="BI496" s="470"/>
      <c r="BJ496" s="470"/>
      <c r="BK496" s="470"/>
      <c r="BL496" s="474"/>
    </row>
    <row r="497" spans="1:64">
      <c r="A497" s="475">
        <v>44288</v>
      </c>
      <c r="B497" s="478">
        <v>92</v>
      </c>
      <c r="C497" s="478">
        <v>273</v>
      </c>
      <c r="D497" s="476" t="s">
        <v>618</v>
      </c>
      <c r="E497" s="477">
        <v>13</v>
      </c>
      <c r="F497" s="476" t="s">
        <v>100</v>
      </c>
      <c r="G497" s="477">
        <v>535</v>
      </c>
      <c r="H497" s="476" t="s">
        <v>6248</v>
      </c>
      <c r="I497" s="476" t="s">
        <v>836</v>
      </c>
      <c r="J497" s="477">
        <v>6</v>
      </c>
      <c r="K497" s="476" t="s">
        <v>6261</v>
      </c>
      <c r="L497" s="476" t="s">
        <v>6277</v>
      </c>
      <c r="M497" s="476" t="s">
        <v>9</v>
      </c>
      <c r="N497" s="478">
        <v>1</v>
      </c>
      <c r="O497" s="479"/>
      <c r="P497" s="479"/>
      <c r="Q497" s="479"/>
      <c r="R497" s="476"/>
      <c r="S497" s="479">
        <v>0.16769675925925928</v>
      </c>
      <c r="T497" s="479">
        <v>0.23436342592592593</v>
      </c>
      <c r="U497" s="479"/>
      <c r="V497" s="479"/>
      <c r="W497" s="479">
        <v>0.49987268518518518</v>
      </c>
      <c r="X497" s="479">
        <v>0.76538194444444441</v>
      </c>
      <c r="Y497" s="479" t="s">
        <v>1107</v>
      </c>
      <c r="Z497" s="479">
        <v>0.17430555555555557</v>
      </c>
      <c r="AA497" s="479">
        <v>0.37152777777777773</v>
      </c>
      <c r="AB497" s="476" t="s">
        <v>6462</v>
      </c>
      <c r="AC497" s="478">
        <v>129</v>
      </c>
      <c r="AD497" s="476" t="s">
        <v>116</v>
      </c>
      <c r="AE497" s="476"/>
      <c r="AF497" s="478">
        <v>36.299999999999997</v>
      </c>
      <c r="AG497" s="477">
        <v>48.4</v>
      </c>
      <c r="AH497" s="476" t="s">
        <v>6302</v>
      </c>
      <c r="AI497" s="476" t="s">
        <v>6337</v>
      </c>
      <c r="AJ497" s="476" t="s">
        <v>6493</v>
      </c>
      <c r="AK497" s="476" t="s">
        <v>6493</v>
      </c>
      <c r="AL497" s="476"/>
      <c r="AM497" s="476"/>
      <c r="AN497" s="476"/>
      <c r="AO497" s="476"/>
      <c r="AP497" s="476"/>
      <c r="AQ497" s="476"/>
      <c r="AR497" s="476"/>
      <c r="AS497" s="476"/>
      <c r="AT497" s="476"/>
      <c r="AU497" s="476"/>
      <c r="AV497" s="476"/>
      <c r="AW497" s="476"/>
      <c r="AX497" s="476"/>
      <c r="AY497" s="476"/>
      <c r="AZ497" s="476"/>
      <c r="BA497" s="476"/>
      <c r="BB497" s="476"/>
      <c r="BC497" s="476"/>
      <c r="BD497" s="476"/>
      <c r="BE497" s="476"/>
      <c r="BF497" s="476"/>
      <c r="BG497" s="476"/>
      <c r="BH497" s="476"/>
      <c r="BI497" s="476"/>
      <c r="BJ497" s="476"/>
      <c r="BK497" s="476"/>
      <c r="BL497" s="480"/>
    </row>
    <row r="498" spans="1:64">
      <c r="A498" s="468">
        <v>44289</v>
      </c>
      <c r="B498" s="473">
        <v>93</v>
      </c>
      <c r="C498" s="473">
        <v>272</v>
      </c>
      <c r="D498" s="470" t="s">
        <v>618</v>
      </c>
      <c r="E498" s="469">
        <v>13</v>
      </c>
      <c r="F498" s="470" t="s">
        <v>103</v>
      </c>
      <c r="G498" s="469">
        <v>535</v>
      </c>
      <c r="H498" s="470" t="s">
        <v>6248</v>
      </c>
      <c r="I498" s="470" t="s">
        <v>836</v>
      </c>
      <c r="J498" s="469">
        <v>7</v>
      </c>
      <c r="K498" s="470" t="s">
        <v>6262</v>
      </c>
      <c r="L498" s="470" t="s">
        <v>6278</v>
      </c>
      <c r="M498" s="470" t="s">
        <v>9</v>
      </c>
      <c r="N498" s="473">
        <v>1</v>
      </c>
      <c r="O498" s="471"/>
      <c r="P498" s="471"/>
      <c r="Q498" s="471"/>
      <c r="R498" s="470"/>
      <c r="S498" s="471">
        <v>0.1665625</v>
      </c>
      <c r="T498" s="471">
        <v>0.23322916666666668</v>
      </c>
      <c r="U498" s="471"/>
      <c r="V498" s="471"/>
      <c r="W498" s="471">
        <v>0.49967592592592597</v>
      </c>
      <c r="X498" s="471">
        <v>0.76611111111111108</v>
      </c>
      <c r="Y498" s="471">
        <v>2.4999999999999998E-2</v>
      </c>
      <c r="Z498" s="471">
        <v>0.21666666666666667</v>
      </c>
      <c r="AA498" s="471">
        <v>0.40833333333333338</v>
      </c>
      <c r="AB498" s="470" t="s">
        <v>6462</v>
      </c>
      <c r="AC498" s="473">
        <v>129</v>
      </c>
      <c r="AD498" s="470" t="s">
        <v>116</v>
      </c>
      <c r="AE498" s="470"/>
      <c r="AF498" s="473">
        <v>45.6</v>
      </c>
      <c r="AG498" s="469">
        <v>54.2</v>
      </c>
      <c r="AH498" s="470" t="s">
        <v>6303</v>
      </c>
      <c r="AI498" s="470" t="s">
        <v>6338</v>
      </c>
      <c r="AJ498" s="470" t="s">
        <v>6493</v>
      </c>
      <c r="AK498" s="470" t="s">
        <v>6493</v>
      </c>
      <c r="AL498" s="470"/>
      <c r="AM498" s="470"/>
      <c r="AN498" s="470"/>
      <c r="AO498" s="470"/>
      <c r="AP498" s="470"/>
      <c r="AQ498" s="470"/>
      <c r="AR498" s="470"/>
      <c r="AS498" s="470"/>
      <c r="AT498" s="470"/>
      <c r="AU498" s="470"/>
      <c r="AV498" s="470"/>
      <c r="AW498" s="470"/>
      <c r="AX498" s="470"/>
      <c r="AY498" s="470"/>
      <c r="AZ498" s="470"/>
      <c r="BA498" s="470"/>
      <c r="BB498" s="470"/>
      <c r="BC498" s="470"/>
      <c r="BD498" s="470"/>
      <c r="BE498" s="470"/>
      <c r="BF498" s="470"/>
      <c r="BG498" s="470"/>
      <c r="BH498" s="470"/>
      <c r="BI498" s="470"/>
      <c r="BJ498" s="470"/>
      <c r="BK498" s="470"/>
      <c r="BL498" s="474"/>
    </row>
    <row r="499" spans="1:64">
      <c r="A499" s="475">
        <v>44290</v>
      </c>
      <c r="B499" s="478">
        <v>94</v>
      </c>
      <c r="C499" s="478">
        <v>271</v>
      </c>
      <c r="D499" s="476" t="s">
        <v>618</v>
      </c>
      <c r="E499" s="477">
        <v>13</v>
      </c>
      <c r="F499" s="476" t="s">
        <v>106</v>
      </c>
      <c r="G499" s="477">
        <v>535</v>
      </c>
      <c r="H499" s="476" t="s">
        <v>6248</v>
      </c>
      <c r="I499" s="476" t="s">
        <v>836</v>
      </c>
      <c r="J499" s="477">
        <v>8</v>
      </c>
      <c r="K499" s="476" t="s">
        <v>6263</v>
      </c>
      <c r="L499" s="476" t="s">
        <v>6279</v>
      </c>
      <c r="M499" s="476" t="s">
        <v>9</v>
      </c>
      <c r="N499" s="478">
        <v>1</v>
      </c>
      <c r="O499" s="479"/>
      <c r="P499" s="479"/>
      <c r="Q499" s="479"/>
      <c r="R499" s="476"/>
      <c r="S499" s="479">
        <v>0.16543981481481482</v>
      </c>
      <c r="T499" s="479">
        <v>0.2321064814814815</v>
      </c>
      <c r="U499" s="479"/>
      <c r="V499" s="479"/>
      <c r="W499" s="479">
        <v>0.4994675925925926</v>
      </c>
      <c r="X499" s="479">
        <v>0.76682870370370371</v>
      </c>
      <c r="Y499" s="479">
        <v>6.8749999999999992E-2</v>
      </c>
      <c r="Z499" s="479">
        <v>0.2590277777777778</v>
      </c>
      <c r="AA499" s="479">
        <v>0.44930555555555557</v>
      </c>
      <c r="AB499" s="476" t="s">
        <v>6289</v>
      </c>
      <c r="AC499" s="478">
        <v>131</v>
      </c>
      <c r="AD499" s="476" t="s">
        <v>119</v>
      </c>
      <c r="AE499" s="476" t="s">
        <v>6609</v>
      </c>
      <c r="AF499" s="478">
        <v>52.2</v>
      </c>
      <c r="AG499" s="477">
        <v>57.5</v>
      </c>
      <c r="AH499" s="476" t="s">
        <v>6304</v>
      </c>
      <c r="AI499" s="476" t="s">
        <v>6339</v>
      </c>
      <c r="AJ499" s="476" t="s">
        <v>839</v>
      </c>
      <c r="AK499" s="476" t="s">
        <v>6493</v>
      </c>
      <c r="AL499" s="476" t="s">
        <v>6755</v>
      </c>
      <c r="AM499" s="476" t="s">
        <v>6346</v>
      </c>
      <c r="AN499" s="476"/>
      <c r="AO499" s="476"/>
      <c r="AP499" s="476"/>
      <c r="AQ499" s="476"/>
      <c r="AR499" s="476"/>
      <c r="AS499" s="476"/>
      <c r="AT499" s="476"/>
      <c r="AU499" s="476"/>
      <c r="AV499" s="476"/>
      <c r="AW499" s="476"/>
      <c r="AX499" s="476"/>
      <c r="AY499" s="476"/>
      <c r="AZ499" s="476"/>
      <c r="BA499" s="476"/>
      <c r="BB499" s="476"/>
      <c r="BC499" s="476"/>
      <c r="BD499" s="476"/>
      <c r="BE499" s="476"/>
      <c r="BF499" s="476"/>
      <c r="BG499" s="476"/>
      <c r="BH499" s="476"/>
      <c r="BI499" s="476"/>
      <c r="BJ499" s="476" t="s">
        <v>1031</v>
      </c>
      <c r="BK499" s="476"/>
      <c r="BL499" s="480"/>
    </row>
    <row r="500" spans="1:64">
      <c r="A500" s="468">
        <v>44291</v>
      </c>
      <c r="B500" s="473">
        <v>95</v>
      </c>
      <c r="C500" s="473">
        <v>270</v>
      </c>
      <c r="D500" s="470" t="s">
        <v>618</v>
      </c>
      <c r="E500" s="469">
        <v>14</v>
      </c>
      <c r="F500" s="470" t="s">
        <v>88</v>
      </c>
      <c r="G500" s="469">
        <v>535</v>
      </c>
      <c r="H500" s="470" t="s">
        <v>6248</v>
      </c>
      <c r="I500" s="470" t="s">
        <v>836</v>
      </c>
      <c r="J500" s="469">
        <v>9</v>
      </c>
      <c r="K500" s="470" t="s">
        <v>6264</v>
      </c>
      <c r="L500" s="470" t="s">
        <v>6280</v>
      </c>
      <c r="M500" s="470" t="s">
        <v>9</v>
      </c>
      <c r="N500" s="473">
        <v>1</v>
      </c>
      <c r="O500" s="471"/>
      <c r="P500" s="471"/>
      <c r="Q500" s="471"/>
      <c r="R500" s="470"/>
      <c r="S500" s="471">
        <v>0.16431712962962963</v>
      </c>
      <c r="T500" s="471">
        <v>0.23098379629629628</v>
      </c>
      <c r="U500" s="471"/>
      <c r="V500" s="471"/>
      <c r="W500" s="471">
        <v>0.49927083333333333</v>
      </c>
      <c r="X500" s="471">
        <v>0.76755787037037038</v>
      </c>
      <c r="Y500" s="471">
        <v>0.10486111111111111</v>
      </c>
      <c r="Z500" s="471">
        <v>0.29930555555555555</v>
      </c>
      <c r="AA500" s="471">
        <v>0.49374999999999997</v>
      </c>
      <c r="AB500" s="470" t="s">
        <v>6289</v>
      </c>
      <c r="AC500" s="473">
        <v>131</v>
      </c>
      <c r="AD500" s="470" t="s">
        <v>119</v>
      </c>
      <c r="AE500" s="470"/>
      <c r="AF500" s="473">
        <v>56.1</v>
      </c>
      <c r="AG500" s="469">
        <v>58.3</v>
      </c>
      <c r="AH500" s="470" t="s">
        <v>6305</v>
      </c>
      <c r="AI500" s="470" t="s">
        <v>6340</v>
      </c>
      <c r="AJ500" s="470" t="s">
        <v>6493</v>
      </c>
      <c r="AK500" s="470" t="s">
        <v>6493</v>
      </c>
      <c r="AL500" s="470"/>
      <c r="AM500" s="470"/>
      <c r="AN500" s="470"/>
      <c r="AO500" s="470"/>
      <c r="AP500" s="470"/>
      <c r="AQ500" s="470"/>
      <c r="AR500" s="470"/>
      <c r="AS500" s="470"/>
      <c r="AT500" s="470"/>
      <c r="AU500" s="470"/>
      <c r="AV500" s="470"/>
      <c r="AW500" s="470"/>
      <c r="AX500" s="470"/>
      <c r="AY500" s="470"/>
      <c r="AZ500" s="470"/>
      <c r="BA500" s="470"/>
      <c r="BB500" s="470"/>
      <c r="BC500" s="470"/>
      <c r="BD500" s="470"/>
      <c r="BE500" s="470"/>
      <c r="BF500" s="470"/>
      <c r="BG500" s="470"/>
      <c r="BH500" s="470"/>
      <c r="BI500" s="470"/>
      <c r="BJ500" s="470"/>
      <c r="BK500" s="470"/>
      <c r="BL500" s="474"/>
    </row>
    <row r="501" spans="1:64">
      <c r="A501" s="475">
        <v>44292</v>
      </c>
      <c r="B501" s="478">
        <v>96</v>
      </c>
      <c r="C501" s="478">
        <v>269</v>
      </c>
      <c r="D501" s="476" t="s">
        <v>618</v>
      </c>
      <c r="E501" s="477">
        <v>14</v>
      </c>
      <c r="F501" s="476" t="s">
        <v>91</v>
      </c>
      <c r="G501" s="477">
        <v>535</v>
      </c>
      <c r="H501" s="476" t="s">
        <v>6248</v>
      </c>
      <c r="I501" s="476" t="s">
        <v>836</v>
      </c>
      <c r="J501" s="477">
        <v>10</v>
      </c>
      <c r="K501" s="476" t="s">
        <v>6265</v>
      </c>
      <c r="L501" s="476" t="s">
        <v>6281</v>
      </c>
      <c r="M501" s="476" t="s">
        <v>9</v>
      </c>
      <c r="N501" s="478">
        <v>1</v>
      </c>
      <c r="O501" s="479"/>
      <c r="P501" s="479"/>
      <c r="Q501" s="479"/>
      <c r="R501" s="476"/>
      <c r="S501" s="479">
        <v>0.16319444444444445</v>
      </c>
      <c r="T501" s="479">
        <v>0.2298611111111111</v>
      </c>
      <c r="U501" s="479"/>
      <c r="V501" s="479"/>
      <c r="W501" s="479">
        <v>0.49907407407407406</v>
      </c>
      <c r="X501" s="479">
        <v>0.76828703703703705</v>
      </c>
      <c r="Y501" s="479">
        <v>0.13472222222222222</v>
      </c>
      <c r="Z501" s="479">
        <v>0.33749999999999997</v>
      </c>
      <c r="AA501" s="479">
        <v>0.54027777777777775</v>
      </c>
      <c r="AB501" s="476" t="s">
        <v>6289</v>
      </c>
      <c r="AC501" s="478">
        <v>131</v>
      </c>
      <c r="AD501" s="476" t="s">
        <v>119</v>
      </c>
      <c r="AE501" s="476"/>
      <c r="AF501" s="478">
        <v>57.6</v>
      </c>
      <c r="AG501" s="477">
        <v>57.1</v>
      </c>
      <c r="AH501" s="476" t="s">
        <v>6306</v>
      </c>
      <c r="AI501" s="476" t="s">
        <v>6316</v>
      </c>
      <c r="AJ501" s="476" t="s">
        <v>6493</v>
      </c>
      <c r="AK501" s="476" t="s">
        <v>6493</v>
      </c>
      <c r="AL501" s="476"/>
      <c r="AM501" s="476"/>
      <c r="AN501" s="476"/>
      <c r="AO501" s="476"/>
      <c r="AP501" s="476"/>
      <c r="AQ501" s="476"/>
      <c r="AR501" s="476"/>
      <c r="AS501" s="476"/>
      <c r="AT501" s="476"/>
      <c r="AU501" s="476"/>
      <c r="AV501" s="476"/>
      <c r="AW501" s="476"/>
      <c r="AX501" s="476"/>
      <c r="AY501" s="476"/>
      <c r="AZ501" s="476"/>
      <c r="BA501" s="476"/>
      <c r="BB501" s="476"/>
      <c r="BC501" s="476"/>
      <c r="BD501" s="476"/>
      <c r="BE501" s="476"/>
      <c r="BF501" s="476"/>
      <c r="BG501" s="476"/>
      <c r="BH501" s="476"/>
      <c r="BI501" s="476"/>
      <c r="BJ501" s="476"/>
      <c r="BK501" s="476"/>
      <c r="BL501" s="480"/>
    </row>
    <row r="502" spans="1:64">
      <c r="A502" s="468">
        <v>44293</v>
      </c>
      <c r="B502" s="473">
        <v>97</v>
      </c>
      <c r="C502" s="473">
        <v>268</v>
      </c>
      <c r="D502" s="470" t="s">
        <v>618</v>
      </c>
      <c r="E502" s="469">
        <v>14</v>
      </c>
      <c r="F502" s="470" t="s">
        <v>94</v>
      </c>
      <c r="G502" s="469">
        <v>535</v>
      </c>
      <c r="H502" s="470" t="s">
        <v>6248</v>
      </c>
      <c r="I502" s="470" t="s">
        <v>836</v>
      </c>
      <c r="J502" s="469">
        <v>11</v>
      </c>
      <c r="K502" s="470" t="s">
        <v>6271</v>
      </c>
      <c r="L502" s="470" t="s">
        <v>6282</v>
      </c>
      <c r="M502" s="470" t="s">
        <v>9</v>
      </c>
      <c r="N502" s="473">
        <v>1</v>
      </c>
      <c r="O502" s="471"/>
      <c r="P502" s="471"/>
      <c r="Q502" s="471"/>
      <c r="R502" s="470"/>
      <c r="S502" s="471">
        <v>0.16208333333333333</v>
      </c>
      <c r="T502" s="471">
        <v>0.22875000000000001</v>
      </c>
      <c r="U502" s="471"/>
      <c r="V502" s="471"/>
      <c r="W502" s="471">
        <v>0.49887731481481484</v>
      </c>
      <c r="X502" s="471">
        <v>0.76901620370370372</v>
      </c>
      <c r="Y502" s="471">
        <v>0.15902777777777777</v>
      </c>
      <c r="Z502" s="471">
        <v>0.37291666666666662</v>
      </c>
      <c r="AA502" s="471">
        <v>0.58611111111111114</v>
      </c>
      <c r="AB502" s="470" t="s">
        <v>6289</v>
      </c>
      <c r="AC502" s="473">
        <v>131</v>
      </c>
      <c r="AD502" s="470" t="s">
        <v>119</v>
      </c>
      <c r="AE502" s="470"/>
      <c r="AF502" s="473">
        <v>56.9</v>
      </c>
      <c r="AG502" s="469">
        <v>53.9</v>
      </c>
      <c r="AH502" s="470" t="s">
        <v>6307</v>
      </c>
      <c r="AI502" s="470" t="s">
        <v>6317</v>
      </c>
      <c r="AJ502" s="470" t="s">
        <v>838</v>
      </c>
      <c r="AK502" s="470" t="s">
        <v>13</v>
      </c>
      <c r="AL502" s="470" t="s">
        <v>6756</v>
      </c>
      <c r="AM502" s="470" t="s">
        <v>6342</v>
      </c>
      <c r="AN502" s="470" t="s">
        <v>6984</v>
      </c>
      <c r="AO502" s="470" t="s">
        <v>6351</v>
      </c>
      <c r="AP502" s="470"/>
      <c r="AQ502" s="470"/>
      <c r="AR502" s="470"/>
      <c r="AS502" s="470"/>
      <c r="AT502" s="470"/>
      <c r="AU502" s="470"/>
      <c r="AV502" s="470"/>
      <c r="AW502" s="470"/>
      <c r="AX502" s="470"/>
      <c r="AY502" s="470"/>
      <c r="AZ502" s="470"/>
      <c r="BA502" s="470"/>
      <c r="BB502" s="470"/>
      <c r="BC502" s="470"/>
      <c r="BD502" s="470"/>
      <c r="BE502" s="470"/>
      <c r="BF502" s="470"/>
      <c r="BG502" s="470"/>
      <c r="BH502" s="470"/>
      <c r="BI502" s="470"/>
      <c r="BJ502" s="470"/>
      <c r="BK502" s="470"/>
      <c r="BL502" s="474"/>
    </row>
    <row r="503" spans="1:64">
      <c r="A503" s="475">
        <v>44294</v>
      </c>
      <c r="B503" s="478">
        <v>98</v>
      </c>
      <c r="C503" s="478">
        <v>267</v>
      </c>
      <c r="D503" s="476" t="s">
        <v>618</v>
      </c>
      <c r="E503" s="477">
        <v>14</v>
      </c>
      <c r="F503" s="476" t="s">
        <v>6714</v>
      </c>
      <c r="G503" s="477">
        <v>535</v>
      </c>
      <c r="H503" s="476" t="s">
        <v>6248</v>
      </c>
      <c r="I503" s="476" t="s">
        <v>836</v>
      </c>
      <c r="J503" s="477">
        <v>12</v>
      </c>
      <c r="K503" s="476" t="s">
        <v>6266</v>
      </c>
      <c r="L503" s="476" t="s">
        <v>6283</v>
      </c>
      <c r="M503" s="476" t="s">
        <v>9</v>
      </c>
      <c r="N503" s="478">
        <v>1</v>
      </c>
      <c r="O503" s="479"/>
      <c r="P503" s="479"/>
      <c r="Q503" s="479"/>
      <c r="R503" s="476"/>
      <c r="S503" s="479">
        <v>0.16097222222222221</v>
      </c>
      <c r="T503" s="479">
        <v>0.22763888888888886</v>
      </c>
      <c r="U503" s="479">
        <v>0.22708333333333333</v>
      </c>
      <c r="V503" s="479">
        <v>0.40833333333333338</v>
      </c>
      <c r="W503" s="479">
        <v>0.49869212962962961</v>
      </c>
      <c r="X503" s="479">
        <v>0.76974537037037039</v>
      </c>
      <c r="Y503" s="479">
        <v>0.17986111111111111</v>
      </c>
      <c r="Z503" s="479">
        <v>0.40486111111111112</v>
      </c>
      <c r="AA503" s="479">
        <v>0.63124999999999998</v>
      </c>
      <c r="AB503" s="476" t="s">
        <v>6289</v>
      </c>
      <c r="AC503" s="478">
        <v>131</v>
      </c>
      <c r="AD503" s="476" t="s">
        <v>119</v>
      </c>
      <c r="AE503" s="476"/>
      <c r="AF503" s="478">
        <v>54.5</v>
      </c>
      <c r="AG503" s="477">
        <v>49</v>
      </c>
      <c r="AH503" s="476" t="s">
        <v>6308</v>
      </c>
      <c r="AI503" s="476" t="s">
        <v>6318</v>
      </c>
      <c r="AJ503" s="476" t="s">
        <v>839</v>
      </c>
      <c r="AK503" s="476" t="s">
        <v>6493</v>
      </c>
      <c r="AL503" s="476" t="s">
        <v>6864</v>
      </c>
      <c r="AM503" s="476" t="s">
        <v>6343</v>
      </c>
      <c r="AN503" s="476" t="s">
        <v>6923</v>
      </c>
      <c r="AO503" s="476" t="s">
        <v>6346</v>
      </c>
      <c r="AP503" s="476"/>
      <c r="AQ503" s="476"/>
      <c r="AR503" s="476"/>
      <c r="AS503" s="476"/>
      <c r="AT503" s="476"/>
      <c r="AU503" s="476"/>
      <c r="AV503" s="476"/>
      <c r="AW503" s="476"/>
      <c r="AX503" s="476"/>
      <c r="AY503" s="476"/>
      <c r="AZ503" s="476"/>
      <c r="BA503" s="476"/>
      <c r="BB503" s="476"/>
      <c r="BC503" s="476"/>
      <c r="BD503" s="476"/>
      <c r="BE503" s="476"/>
      <c r="BF503" s="476"/>
      <c r="BG503" s="476"/>
      <c r="BH503" s="476"/>
      <c r="BI503" s="476"/>
      <c r="BJ503" s="476" t="s">
        <v>6652</v>
      </c>
      <c r="BK503" s="476"/>
      <c r="BL503" s="480"/>
    </row>
    <row r="504" spans="1:64">
      <c r="A504" s="468">
        <v>44295</v>
      </c>
      <c r="B504" s="473">
        <v>99</v>
      </c>
      <c r="C504" s="473">
        <v>266</v>
      </c>
      <c r="D504" s="470" t="s">
        <v>618</v>
      </c>
      <c r="E504" s="469">
        <v>14</v>
      </c>
      <c r="F504" s="470" t="s">
        <v>100</v>
      </c>
      <c r="G504" s="469">
        <v>535</v>
      </c>
      <c r="H504" s="470" t="s">
        <v>6248</v>
      </c>
      <c r="I504" s="470" t="s">
        <v>836</v>
      </c>
      <c r="J504" s="469">
        <v>13</v>
      </c>
      <c r="K504" s="470" t="s">
        <v>6267</v>
      </c>
      <c r="L504" s="470" t="s">
        <v>6284</v>
      </c>
      <c r="M504" s="470" t="s">
        <v>9</v>
      </c>
      <c r="N504" s="473">
        <v>1</v>
      </c>
      <c r="O504" s="471"/>
      <c r="P504" s="471"/>
      <c r="Q504" s="471"/>
      <c r="R504" s="470"/>
      <c r="S504" s="471">
        <v>0.15986111111111112</v>
      </c>
      <c r="T504" s="471">
        <v>0.22652777777777777</v>
      </c>
      <c r="U504" s="471"/>
      <c r="V504" s="471"/>
      <c r="W504" s="471">
        <v>0.49849537037037034</v>
      </c>
      <c r="X504" s="471">
        <v>0.77046296296296291</v>
      </c>
      <c r="Y504" s="471">
        <v>0.19791666666666666</v>
      </c>
      <c r="Z504" s="471">
        <v>0.43472222222222223</v>
      </c>
      <c r="AA504" s="471">
        <v>0.67361111111111116</v>
      </c>
      <c r="AB504" s="470" t="s">
        <v>6289</v>
      </c>
      <c r="AC504" s="473">
        <v>131</v>
      </c>
      <c r="AD504" s="470" t="s">
        <v>119</v>
      </c>
      <c r="AE504" s="470"/>
      <c r="AF504" s="473">
        <v>50.3</v>
      </c>
      <c r="AG504" s="469">
        <v>42.7</v>
      </c>
      <c r="AH504" s="470" t="s">
        <v>6309</v>
      </c>
      <c r="AI504" s="470" t="s">
        <v>6319</v>
      </c>
      <c r="AJ504" s="470" t="s">
        <v>6493</v>
      </c>
      <c r="AK504" s="470" t="s">
        <v>6493</v>
      </c>
      <c r="AL504" s="470"/>
      <c r="AM504" s="470"/>
      <c r="AN504" s="470"/>
      <c r="AO504" s="470"/>
      <c r="AP504" s="470"/>
      <c r="AQ504" s="470"/>
      <c r="AR504" s="470"/>
      <c r="AS504" s="470"/>
      <c r="AT504" s="470"/>
      <c r="AU504" s="470"/>
      <c r="AV504" s="470"/>
      <c r="AW504" s="470"/>
      <c r="AX504" s="470"/>
      <c r="AY504" s="470"/>
      <c r="AZ504" s="470"/>
      <c r="BA504" s="470"/>
      <c r="BB504" s="470"/>
      <c r="BC504" s="470"/>
      <c r="BD504" s="470"/>
      <c r="BE504" s="470"/>
      <c r="BF504" s="470"/>
      <c r="BG504" s="470"/>
      <c r="BH504" s="470"/>
      <c r="BI504" s="470"/>
      <c r="BJ504" s="470"/>
      <c r="BK504" s="470"/>
      <c r="BL504" s="474"/>
    </row>
    <row r="505" spans="1:64">
      <c r="A505" s="475">
        <v>44296</v>
      </c>
      <c r="B505" s="478">
        <v>100</v>
      </c>
      <c r="C505" s="478">
        <v>265</v>
      </c>
      <c r="D505" s="476" t="s">
        <v>618</v>
      </c>
      <c r="E505" s="477">
        <v>14</v>
      </c>
      <c r="F505" s="476" t="s">
        <v>103</v>
      </c>
      <c r="G505" s="477">
        <v>535</v>
      </c>
      <c r="H505" s="476" t="s">
        <v>6248</v>
      </c>
      <c r="I505" s="476" t="s">
        <v>836</v>
      </c>
      <c r="J505" s="477">
        <v>14</v>
      </c>
      <c r="K505" s="476" t="s">
        <v>6268</v>
      </c>
      <c r="L505" s="476" t="s">
        <v>6285</v>
      </c>
      <c r="M505" s="476" t="s">
        <v>9</v>
      </c>
      <c r="N505" s="478">
        <v>1</v>
      </c>
      <c r="O505" s="479"/>
      <c r="P505" s="479"/>
      <c r="Q505" s="479"/>
      <c r="R505" s="476"/>
      <c r="S505" s="479">
        <v>0.15876157407407407</v>
      </c>
      <c r="T505" s="479">
        <v>0.22542824074074075</v>
      </c>
      <c r="U505" s="479"/>
      <c r="V505" s="479"/>
      <c r="W505" s="479">
        <v>0.49831018518518522</v>
      </c>
      <c r="X505" s="479">
        <v>0.77119212962962969</v>
      </c>
      <c r="Y505" s="479">
        <v>0.21388888888888891</v>
      </c>
      <c r="Z505" s="479">
        <v>0.46458333333333335</v>
      </c>
      <c r="AA505" s="479">
        <v>0.71666666666666667</v>
      </c>
      <c r="AB505" s="476" t="s">
        <v>6289</v>
      </c>
      <c r="AC505" s="478">
        <v>131</v>
      </c>
      <c r="AD505" s="476" t="s">
        <v>119</v>
      </c>
      <c r="AE505" s="476"/>
      <c r="AF505" s="478">
        <v>44.8</v>
      </c>
      <c r="AG505" s="477">
        <v>35</v>
      </c>
      <c r="AH505" s="476" t="s">
        <v>6310</v>
      </c>
      <c r="AI505" s="476" t="s">
        <v>6341</v>
      </c>
      <c r="AJ505" s="476" t="s">
        <v>6493</v>
      </c>
      <c r="AK505" s="476" t="s">
        <v>6493</v>
      </c>
      <c r="AL505" s="476"/>
      <c r="AM505" s="476"/>
      <c r="AN505" s="476"/>
      <c r="AO505" s="476"/>
      <c r="AP505" s="476"/>
      <c r="AQ505" s="476"/>
      <c r="AR505" s="476"/>
      <c r="AS505" s="476"/>
      <c r="AT505" s="476"/>
      <c r="AU505" s="476"/>
      <c r="AV505" s="476"/>
      <c r="AW505" s="476"/>
      <c r="AX505" s="476"/>
      <c r="AY505" s="476"/>
      <c r="AZ505" s="476"/>
      <c r="BA505" s="476"/>
      <c r="BB505" s="476"/>
      <c r="BC505" s="476"/>
      <c r="BD505" s="476"/>
      <c r="BE505" s="476"/>
      <c r="BF505" s="476"/>
      <c r="BG505" s="476"/>
      <c r="BH505" s="476"/>
      <c r="BI505" s="476"/>
      <c r="BJ505" s="476"/>
      <c r="BK505" s="476"/>
      <c r="BL505" s="480"/>
    </row>
    <row r="506" spans="1:64">
      <c r="A506" s="468">
        <v>44297</v>
      </c>
      <c r="B506" s="473">
        <v>101</v>
      </c>
      <c r="C506" s="473">
        <v>264</v>
      </c>
      <c r="D506" s="470" t="s">
        <v>618</v>
      </c>
      <c r="E506" s="469">
        <v>14</v>
      </c>
      <c r="F506" s="470" t="s">
        <v>106</v>
      </c>
      <c r="G506" s="469">
        <v>535</v>
      </c>
      <c r="H506" s="470" t="s">
        <v>6248</v>
      </c>
      <c r="I506" s="470" t="s">
        <v>836</v>
      </c>
      <c r="J506" s="469">
        <v>15</v>
      </c>
      <c r="K506" s="470" t="s">
        <v>6269</v>
      </c>
      <c r="L506" s="470" t="s">
        <v>6286</v>
      </c>
      <c r="M506" s="470" t="s">
        <v>9</v>
      </c>
      <c r="N506" s="473">
        <v>1</v>
      </c>
      <c r="O506" s="471"/>
      <c r="P506" s="471"/>
      <c r="Q506" s="471"/>
      <c r="R506" s="470"/>
      <c r="S506" s="471">
        <v>0.15767361111111111</v>
      </c>
      <c r="T506" s="471">
        <v>0.22434027777777776</v>
      </c>
      <c r="U506" s="471"/>
      <c r="V506" s="471"/>
      <c r="W506" s="471">
        <v>0.49813657407407402</v>
      </c>
      <c r="X506" s="471">
        <v>0.77192129629629624</v>
      </c>
      <c r="Y506" s="471">
        <v>0.22916666666666666</v>
      </c>
      <c r="Z506" s="471">
        <v>0.49236111111111108</v>
      </c>
      <c r="AA506" s="471">
        <v>0.7583333333333333</v>
      </c>
      <c r="AB506" s="470" t="s">
        <v>6463</v>
      </c>
      <c r="AC506" s="473">
        <v>152</v>
      </c>
      <c r="AD506" s="470" t="s">
        <v>110</v>
      </c>
      <c r="AE506" s="470" t="s">
        <v>6610</v>
      </c>
      <c r="AF506" s="473">
        <v>37.9</v>
      </c>
      <c r="AG506" s="469">
        <v>26.2</v>
      </c>
      <c r="AH506" s="470" t="s">
        <v>6311</v>
      </c>
      <c r="AI506" s="470" t="s">
        <v>6320</v>
      </c>
      <c r="AJ506" s="470" t="s">
        <v>6493</v>
      </c>
      <c r="AK506" s="470" t="s">
        <v>6493</v>
      </c>
      <c r="AL506" s="470"/>
      <c r="AM506" s="470"/>
      <c r="AN506" s="470"/>
      <c r="AO506" s="470"/>
      <c r="AP506" s="470"/>
      <c r="AQ506" s="470"/>
      <c r="AR506" s="470"/>
      <c r="AS506" s="470"/>
      <c r="AT506" s="470"/>
      <c r="AU506" s="470"/>
      <c r="AV506" s="470"/>
      <c r="AW506" s="470"/>
      <c r="AX506" s="470"/>
      <c r="AY506" s="470"/>
      <c r="AZ506" s="470"/>
      <c r="BA506" s="470"/>
      <c r="BB506" s="470"/>
      <c r="BC506" s="470"/>
      <c r="BD506" s="470"/>
      <c r="BE506" s="470"/>
      <c r="BF506" s="470"/>
      <c r="BG506" s="470"/>
      <c r="BH506" s="470"/>
      <c r="BI506" s="470"/>
      <c r="BJ506" s="470"/>
      <c r="BK506" s="470"/>
      <c r="BL506" s="474"/>
    </row>
    <row r="507" spans="1:64">
      <c r="A507" s="475">
        <v>44298</v>
      </c>
      <c r="B507" s="478">
        <v>102</v>
      </c>
      <c r="C507" s="478">
        <v>263</v>
      </c>
      <c r="D507" s="476" t="s">
        <v>618</v>
      </c>
      <c r="E507" s="477">
        <v>15</v>
      </c>
      <c r="F507" s="476" t="s">
        <v>88</v>
      </c>
      <c r="G507" s="477">
        <v>535</v>
      </c>
      <c r="H507" s="476" t="s">
        <v>6248</v>
      </c>
      <c r="I507" s="476" t="s">
        <v>6257</v>
      </c>
      <c r="J507" s="477">
        <v>16</v>
      </c>
      <c r="K507" s="476" t="s">
        <v>6270</v>
      </c>
      <c r="L507" s="476" t="s">
        <v>6287</v>
      </c>
      <c r="M507" s="476" t="s">
        <v>9</v>
      </c>
      <c r="N507" s="478">
        <v>1</v>
      </c>
      <c r="O507" s="479"/>
      <c r="P507" s="479"/>
      <c r="Q507" s="479"/>
      <c r="R507" s="476"/>
      <c r="S507" s="479">
        <v>0.15658564814814815</v>
      </c>
      <c r="T507" s="479">
        <v>0.22325231481481481</v>
      </c>
      <c r="U507" s="479"/>
      <c r="V507" s="479"/>
      <c r="W507" s="479">
        <v>0.4979513888888889</v>
      </c>
      <c r="X507" s="479">
        <v>0.77265046296296302</v>
      </c>
      <c r="Y507" s="479">
        <v>0.24513888888888888</v>
      </c>
      <c r="Z507" s="479">
        <v>0.52013888888888882</v>
      </c>
      <c r="AA507" s="479">
        <v>0.79999999999999993</v>
      </c>
      <c r="AB507" s="476" t="s">
        <v>6463</v>
      </c>
      <c r="AC507" s="478">
        <v>152</v>
      </c>
      <c r="AD507" s="476" t="s">
        <v>110</v>
      </c>
      <c r="AE507" s="476"/>
      <c r="AF507" s="478">
        <v>29.8</v>
      </c>
      <c r="AG507" s="477">
        <v>16.3</v>
      </c>
      <c r="AH507" s="476" t="s">
        <v>6312</v>
      </c>
      <c r="AI507" s="476" t="s">
        <v>6321</v>
      </c>
      <c r="AJ507" s="476" t="s">
        <v>6493</v>
      </c>
      <c r="AK507" s="476" t="s">
        <v>6493</v>
      </c>
      <c r="AL507" s="476"/>
      <c r="AM507" s="476"/>
      <c r="AN507" s="476"/>
      <c r="AO507" s="476"/>
      <c r="AP507" s="476"/>
      <c r="AQ507" s="476"/>
      <c r="AR507" s="476"/>
      <c r="AS507" s="476"/>
      <c r="AT507" s="476"/>
      <c r="AU507" s="476"/>
      <c r="AV507" s="476"/>
      <c r="AW507" s="476"/>
      <c r="AX507" s="476"/>
      <c r="AY507" s="476"/>
      <c r="AZ507" s="476"/>
      <c r="BA507" s="476"/>
      <c r="BB507" s="476"/>
      <c r="BC507" s="476"/>
      <c r="BD507" s="476"/>
      <c r="BE507" s="476"/>
      <c r="BF507" s="476"/>
      <c r="BG507" s="476"/>
      <c r="BH507" s="476"/>
      <c r="BI507" s="476"/>
      <c r="BJ507" s="476"/>
      <c r="BK507" s="476"/>
      <c r="BL507" s="480"/>
    </row>
    <row r="508" spans="1:64">
      <c r="A508" s="468">
        <v>44299</v>
      </c>
      <c r="B508" s="473">
        <v>103</v>
      </c>
      <c r="C508" s="473">
        <v>262</v>
      </c>
      <c r="D508" s="470" t="s">
        <v>618</v>
      </c>
      <c r="E508" s="469">
        <v>15</v>
      </c>
      <c r="F508" s="470" t="s">
        <v>91</v>
      </c>
      <c r="G508" s="469">
        <v>535</v>
      </c>
      <c r="H508" s="470" t="s">
        <v>6248</v>
      </c>
      <c r="I508" s="470" t="s">
        <v>6257</v>
      </c>
      <c r="J508" s="469">
        <v>17</v>
      </c>
      <c r="K508" s="470" t="s">
        <v>1034</v>
      </c>
      <c r="L508" s="470" t="s">
        <v>6273</v>
      </c>
      <c r="M508" s="470" t="s">
        <v>9</v>
      </c>
      <c r="N508" s="473">
        <v>1</v>
      </c>
      <c r="O508" s="471"/>
      <c r="P508" s="471"/>
      <c r="Q508" s="471"/>
      <c r="R508" s="470"/>
      <c r="S508" s="471">
        <v>0.15550925925925926</v>
      </c>
      <c r="T508" s="471">
        <v>0.22217592592592594</v>
      </c>
      <c r="U508" s="471"/>
      <c r="V508" s="471"/>
      <c r="W508" s="471">
        <v>0.49777777777777782</v>
      </c>
      <c r="X508" s="471">
        <v>0.77337962962962958</v>
      </c>
      <c r="Y508" s="471">
        <v>0.26111111111111113</v>
      </c>
      <c r="Z508" s="471">
        <v>0.5493055555555556</v>
      </c>
      <c r="AA508" s="471">
        <v>0.84097222222222223</v>
      </c>
      <c r="AB508" s="470" t="s">
        <v>6463</v>
      </c>
      <c r="AC508" s="473">
        <v>152</v>
      </c>
      <c r="AD508" s="470" t="s">
        <v>110</v>
      </c>
      <c r="AE508" s="470"/>
      <c r="AF508" s="473">
        <v>20.9</v>
      </c>
      <c r="AG508" s="469">
        <v>5.5</v>
      </c>
      <c r="AH508" s="470" t="s">
        <v>6313</v>
      </c>
      <c r="AI508" s="470" t="s">
        <v>6322</v>
      </c>
      <c r="AJ508" s="470" t="s">
        <v>6493</v>
      </c>
      <c r="AK508" s="470" t="s">
        <v>6493</v>
      </c>
      <c r="AL508" s="470"/>
      <c r="AM508" s="470"/>
      <c r="AN508" s="470"/>
      <c r="AO508" s="470"/>
      <c r="AP508" s="470"/>
      <c r="AQ508" s="470"/>
      <c r="AR508" s="470"/>
      <c r="AS508" s="470"/>
      <c r="AT508" s="470"/>
      <c r="AU508" s="470"/>
      <c r="AV508" s="470"/>
      <c r="AW508" s="470"/>
      <c r="AX508" s="470"/>
      <c r="AY508" s="470"/>
      <c r="AZ508" s="470"/>
      <c r="BA508" s="470"/>
      <c r="BB508" s="470"/>
      <c r="BC508" s="470"/>
      <c r="BD508" s="470"/>
      <c r="BE508" s="470"/>
      <c r="BF508" s="470"/>
      <c r="BG508" s="470"/>
      <c r="BH508" s="470"/>
      <c r="BI508" s="470"/>
      <c r="BJ508" s="470"/>
      <c r="BK508" s="470"/>
      <c r="BL508" s="474"/>
    </row>
    <row r="509" spans="1:64">
      <c r="A509" s="475">
        <v>44300</v>
      </c>
      <c r="B509" s="478">
        <v>104</v>
      </c>
      <c r="C509" s="478">
        <v>261</v>
      </c>
      <c r="D509" s="476" t="s">
        <v>618</v>
      </c>
      <c r="E509" s="477">
        <v>15</v>
      </c>
      <c r="F509" s="476" t="s">
        <v>94</v>
      </c>
      <c r="G509" s="477">
        <v>535</v>
      </c>
      <c r="H509" s="476" t="s">
        <v>6248</v>
      </c>
      <c r="I509" s="476" t="s">
        <v>6257</v>
      </c>
      <c r="J509" s="477">
        <v>18</v>
      </c>
      <c r="K509" s="476" t="s">
        <v>6258</v>
      </c>
      <c r="L509" s="476" t="s">
        <v>6274</v>
      </c>
      <c r="M509" s="476" t="s">
        <v>9</v>
      </c>
      <c r="N509" s="478">
        <v>1</v>
      </c>
      <c r="O509" s="479"/>
      <c r="P509" s="479"/>
      <c r="Q509" s="479">
        <v>0.66387731481481482</v>
      </c>
      <c r="R509" s="476" t="s">
        <v>18</v>
      </c>
      <c r="S509" s="479">
        <v>0.15444444444444444</v>
      </c>
      <c r="T509" s="479">
        <v>0.22111111111111112</v>
      </c>
      <c r="U509" s="479"/>
      <c r="V509" s="479"/>
      <c r="W509" s="479">
        <v>0.49760416666666668</v>
      </c>
      <c r="X509" s="479">
        <v>0.77410879629629636</v>
      </c>
      <c r="Y509" s="479">
        <v>0.27916666666666667</v>
      </c>
      <c r="Z509" s="479">
        <v>0.57847222222222217</v>
      </c>
      <c r="AA509" s="479">
        <v>0.8833333333333333</v>
      </c>
      <c r="AB509" s="476" t="s">
        <v>6463</v>
      </c>
      <c r="AC509" s="478">
        <v>152</v>
      </c>
      <c r="AD509" s="476" t="s">
        <v>110</v>
      </c>
      <c r="AE509" s="476"/>
      <c r="AF509" s="478">
        <v>11.2</v>
      </c>
      <c r="AG509" s="477">
        <v>94.1</v>
      </c>
      <c r="AH509" s="476" t="s">
        <v>6313</v>
      </c>
      <c r="AI509" s="476" t="s">
        <v>6322</v>
      </c>
      <c r="AJ509" s="476" t="s">
        <v>839</v>
      </c>
      <c r="AK509" s="476" t="s">
        <v>6493</v>
      </c>
      <c r="AL509" s="476" t="s">
        <v>6764</v>
      </c>
      <c r="AM509" s="476" t="s">
        <v>6162</v>
      </c>
      <c r="AN509" s="476" t="s">
        <v>6985</v>
      </c>
      <c r="AO509" s="476"/>
      <c r="AP509" s="476"/>
      <c r="AQ509" s="476"/>
      <c r="AR509" s="476"/>
      <c r="AS509" s="476"/>
      <c r="AT509" s="476"/>
      <c r="AU509" s="476"/>
      <c r="AV509" s="476"/>
      <c r="AW509" s="476"/>
      <c r="AX509" s="476"/>
      <c r="AY509" s="476"/>
      <c r="AZ509" s="476"/>
      <c r="BA509" s="476"/>
      <c r="BB509" s="476"/>
      <c r="BC509" s="476"/>
      <c r="BD509" s="476"/>
      <c r="BE509" s="476"/>
      <c r="BF509" s="476"/>
      <c r="BG509" s="476"/>
      <c r="BH509" s="476"/>
      <c r="BI509" s="476"/>
      <c r="BJ509" s="476" t="s">
        <v>6379</v>
      </c>
      <c r="BK509" s="476"/>
      <c r="BL509" s="480"/>
    </row>
    <row r="510" spans="1:64">
      <c r="A510" s="468">
        <v>44301</v>
      </c>
      <c r="B510" s="473">
        <v>105</v>
      </c>
      <c r="C510" s="473">
        <v>260</v>
      </c>
      <c r="D510" s="470" t="s">
        <v>618</v>
      </c>
      <c r="E510" s="469">
        <v>15</v>
      </c>
      <c r="F510" s="470" t="s">
        <v>6714</v>
      </c>
      <c r="G510" s="469">
        <v>535</v>
      </c>
      <c r="H510" s="470" t="s">
        <v>6248</v>
      </c>
      <c r="I510" s="470" t="s">
        <v>6257</v>
      </c>
      <c r="J510" s="469">
        <v>19</v>
      </c>
      <c r="K510" s="470" t="s">
        <v>6259</v>
      </c>
      <c r="L510" s="470" t="s">
        <v>6274</v>
      </c>
      <c r="M510" s="470" t="s">
        <v>9</v>
      </c>
      <c r="N510" s="473">
        <v>1</v>
      </c>
      <c r="O510" s="471"/>
      <c r="P510" s="471"/>
      <c r="Q510" s="471"/>
      <c r="R510" s="470"/>
      <c r="S510" s="471">
        <v>0.15337962962962962</v>
      </c>
      <c r="T510" s="471">
        <v>0.22004629629629632</v>
      </c>
      <c r="U510" s="471"/>
      <c r="V510" s="471"/>
      <c r="W510" s="471">
        <v>0.49744212962962964</v>
      </c>
      <c r="X510" s="471">
        <v>0.77483796296296292</v>
      </c>
      <c r="Y510" s="471">
        <v>0.29930555555555555</v>
      </c>
      <c r="Z510" s="471">
        <v>0.61041666666666672</v>
      </c>
      <c r="AA510" s="471">
        <v>0.92499999999999993</v>
      </c>
      <c r="AB510" s="470" t="s">
        <v>6463</v>
      </c>
      <c r="AC510" s="473">
        <v>152</v>
      </c>
      <c r="AD510" s="470" t="s">
        <v>110</v>
      </c>
      <c r="AE510" s="470"/>
      <c r="AF510" s="473">
        <v>1.1000000000000001</v>
      </c>
      <c r="AG510" s="469">
        <v>82.4</v>
      </c>
      <c r="AH510" s="470" t="s">
        <v>6314</v>
      </c>
      <c r="AI510" s="470" t="s">
        <v>6323</v>
      </c>
      <c r="AJ510" s="470" t="s">
        <v>6493</v>
      </c>
      <c r="AK510" s="470" t="s">
        <v>6493</v>
      </c>
      <c r="AL510" s="470"/>
      <c r="AM510" s="470"/>
      <c r="AN510" s="470"/>
      <c r="AO510" s="470"/>
      <c r="AP510" s="470"/>
      <c r="AQ510" s="470"/>
      <c r="AR510" s="470"/>
      <c r="AS510" s="470"/>
      <c r="AT510" s="470"/>
      <c r="AU510" s="470"/>
      <c r="AV510" s="470"/>
      <c r="AW510" s="470"/>
      <c r="AX510" s="470"/>
      <c r="AY510" s="470"/>
      <c r="AZ510" s="470"/>
      <c r="BA510" s="470"/>
      <c r="BB510" s="470"/>
      <c r="BC510" s="470"/>
      <c r="BD510" s="470"/>
      <c r="BE510" s="470"/>
      <c r="BF510" s="470"/>
      <c r="BG510" s="470"/>
      <c r="BH510" s="470"/>
      <c r="BI510" s="470"/>
      <c r="BJ510" s="470"/>
      <c r="BK510" s="470"/>
      <c r="BL510" s="474"/>
    </row>
    <row r="511" spans="1:64">
      <c r="A511" s="475">
        <v>44302</v>
      </c>
      <c r="B511" s="478">
        <v>106</v>
      </c>
      <c r="C511" s="478">
        <v>259</v>
      </c>
      <c r="D511" s="476" t="s">
        <v>618</v>
      </c>
      <c r="E511" s="477">
        <v>15</v>
      </c>
      <c r="F511" s="476" t="s">
        <v>100</v>
      </c>
      <c r="G511" s="477">
        <v>535</v>
      </c>
      <c r="H511" s="476" t="s">
        <v>6248</v>
      </c>
      <c r="I511" s="476" t="s">
        <v>6257</v>
      </c>
      <c r="J511" s="477">
        <v>19</v>
      </c>
      <c r="K511" s="476" t="s">
        <v>6259</v>
      </c>
      <c r="L511" s="476" t="s">
        <v>6275</v>
      </c>
      <c r="M511" s="476" t="s">
        <v>10</v>
      </c>
      <c r="N511" s="478">
        <v>1</v>
      </c>
      <c r="O511" s="479"/>
      <c r="P511" s="479"/>
      <c r="Q511" s="479"/>
      <c r="R511" s="476"/>
      <c r="S511" s="479">
        <v>0.15231481481481482</v>
      </c>
      <c r="T511" s="479">
        <v>0.21898148148148147</v>
      </c>
      <c r="U511" s="479"/>
      <c r="V511" s="479"/>
      <c r="W511" s="479">
        <v>0.49728009259259259</v>
      </c>
      <c r="X511" s="479">
        <v>0.7755671296296297</v>
      </c>
      <c r="Y511" s="479">
        <v>0.32291666666666669</v>
      </c>
      <c r="Z511" s="479">
        <v>0.64236111111111105</v>
      </c>
      <c r="AA511" s="479">
        <v>0.96597222222222223</v>
      </c>
      <c r="AB511" s="476" t="s">
        <v>6463</v>
      </c>
      <c r="AC511" s="478">
        <v>152</v>
      </c>
      <c r="AD511" s="476" t="s">
        <v>110</v>
      </c>
      <c r="AE511" s="476"/>
      <c r="AF511" s="478">
        <v>91.1</v>
      </c>
      <c r="AG511" s="477">
        <v>70.7</v>
      </c>
      <c r="AH511" s="476" t="s">
        <v>973</v>
      </c>
      <c r="AI511" s="476" t="s">
        <v>6324</v>
      </c>
      <c r="AJ511" s="476" t="s">
        <v>6493</v>
      </c>
      <c r="AK511" s="476" t="s">
        <v>6493</v>
      </c>
      <c r="AL511" s="476" t="s">
        <v>6727</v>
      </c>
      <c r="AM511" s="476"/>
      <c r="AN511" s="476"/>
      <c r="AO511" s="476"/>
      <c r="AP511" s="476"/>
      <c r="AQ511" s="476"/>
      <c r="AR511" s="476"/>
      <c r="AS511" s="476"/>
      <c r="AT511" s="476"/>
      <c r="AU511" s="476"/>
      <c r="AV511" s="476"/>
      <c r="AW511" s="476"/>
      <c r="AX511" s="476"/>
      <c r="AY511" s="476"/>
      <c r="AZ511" s="476"/>
      <c r="BA511" s="476"/>
      <c r="BB511" s="476"/>
      <c r="BC511" s="476"/>
      <c r="BD511" s="476"/>
      <c r="BE511" s="476"/>
      <c r="BF511" s="476"/>
      <c r="BG511" s="476"/>
      <c r="BH511" s="476"/>
      <c r="BI511" s="476"/>
      <c r="BJ511" s="476"/>
      <c r="BK511" s="476"/>
      <c r="BL511" s="480"/>
    </row>
    <row r="512" spans="1:64">
      <c r="A512" s="468">
        <v>44303</v>
      </c>
      <c r="B512" s="473">
        <v>107</v>
      </c>
      <c r="C512" s="473">
        <v>258</v>
      </c>
      <c r="D512" s="470" t="s">
        <v>618</v>
      </c>
      <c r="E512" s="469">
        <v>15</v>
      </c>
      <c r="F512" s="470" t="s">
        <v>103</v>
      </c>
      <c r="G512" s="469">
        <v>535</v>
      </c>
      <c r="H512" s="470" t="s">
        <v>6248</v>
      </c>
      <c r="I512" s="470" t="s">
        <v>6257</v>
      </c>
      <c r="J512" s="469">
        <v>20</v>
      </c>
      <c r="K512" s="470" t="s">
        <v>6260</v>
      </c>
      <c r="L512" s="470" t="s">
        <v>6276</v>
      </c>
      <c r="M512" s="470" t="s">
        <v>9</v>
      </c>
      <c r="N512" s="473">
        <v>1</v>
      </c>
      <c r="O512" s="471"/>
      <c r="P512" s="471"/>
      <c r="Q512" s="471"/>
      <c r="R512" s="470"/>
      <c r="S512" s="471">
        <v>0.15127314814814816</v>
      </c>
      <c r="T512" s="471">
        <v>0.21793981481481481</v>
      </c>
      <c r="U512" s="471"/>
      <c r="V512" s="471"/>
      <c r="W512" s="471">
        <v>0.4971180555555556</v>
      </c>
      <c r="X512" s="471">
        <v>0.77629629629629626</v>
      </c>
      <c r="Y512" s="471">
        <v>0.35069444444444442</v>
      </c>
      <c r="Z512" s="471">
        <v>0.67708333333333337</v>
      </c>
      <c r="AA512" s="471" t="s">
        <v>1107</v>
      </c>
      <c r="AB512" s="470" t="s">
        <v>6463</v>
      </c>
      <c r="AC512" s="473">
        <v>152</v>
      </c>
      <c r="AD512" s="470" t="s">
        <v>110</v>
      </c>
      <c r="AE512" s="470"/>
      <c r="AF512" s="473">
        <v>81.599999999999994</v>
      </c>
      <c r="AG512" s="469">
        <v>59.5</v>
      </c>
      <c r="AH512" s="470" t="s">
        <v>6290</v>
      </c>
      <c r="AI512" s="470" t="s">
        <v>6325</v>
      </c>
      <c r="AJ512" s="470" t="s">
        <v>839</v>
      </c>
      <c r="AK512" s="470" t="s">
        <v>6493</v>
      </c>
      <c r="AL512" s="470" t="s">
        <v>6758</v>
      </c>
      <c r="AM512" s="470" t="s">
        <v>6346</v>
      </c>
      <c r="AN512" s="470"/>
      <c r="AO512" s="470"/>
      <c r="AP512" s="470"/>
      <c r="AQ512" s="470"/>
      <c r="AR512" s="470"/>
      <c r="AS512" s="470"/>
      <c r="AT512" s="470"/>
      <c r="AU512" s="470"/>
      <c r="AV512" s="470"/>
      <c r="AW512" s="470"/>
      <c r="AX512" s="470"/>
      <c r="AY512" s="470"/>
      <c r="AZ512" s="470"/>
      <c r="BA512" s="470"/>
      <c r="BB512" s="470"/>
      <c r="BC512" s="470"/>
      <c r="BD512" s="470"/>
      <c r="BE512" s="470"/>
      <c r="BF512" s="470"/>
      <c r="BG512" s="470"/>
      <c r="BH512" s="470"/>
      <c r="BI512" s="470"/>
      <c r="BJ512" s="470" t="s">
        <v>6377</v>
      </c>
      <c r="BK512" s="470"/>
      <c r="BL512" s="474"/>
    </row>
    <row r="513" spans="1:64">
      <c r="A513" s="481">
        <v>44304</v>
      </c>
      <c r="B513" s="484">
        <v>108</v>
      </c>
      <c r="C513" s="484">
        <v>257</v>
      </c>
      <c r="D513" s="482" t="s">
        <v>618</v>
      </c>
      <c r="E513" s="483">
        <v>15</v>
      </c>
      <c r="F513" s="482" t="s">
        <v>106</v>
      </c>
      <c r="G513" s="483">
        <v>535</v>
      </c>
      <c r="H513" s="482" t="s">
        <v>6248</v>
      </c>
      <c r="I513" s="482" t="s">
        <v>6257</v>
      </c>
      <c r="J513" s="483">
        <v>21</v>
      </c>
      <c r="K513" s="482" t="s">
        <v>6261</v>
      </c>
      <c r="L513" s="482" t="s">
        <v>6277</v>
      </c>
      <c r="M513" s="482" t="s">
        <v>9</v>
      </c>
      <c r="N513" s="484">
        <v>1</v>
      </c>
      <c r="O513" s="485"/>
      <c r="P513" s="485"/>
      <c r="Q513" s="485"/>
      <c r="R513" s="482"/>
      <c r="S513" s="485">
        <v>0.15023148148148149</v>
      </c>
      <c r="T513" s="485">
        <v>0.21689814814814815</v>
      </c>
      <c r="U513" s="485"/>
      <c r="V513" s="485"/>
      <c r="W513" s="485">
        <v>0.49695601851851851</v>
      </c>
      <c r="X513" s="485">
        <v>0.77702546296296304</v>
      </c>
      <c r="Y513" s="485">
        <v>0.3840277777777778</v>
      </c>
      <c r="Z513" s="485">
        <v>0.71250000000000002</v>
      </c>
      <c r="AA513" s="485">
        <v>4.8611111111111112E-3</v>
      </c>
      <c r="AB513" s="482" t="s">
        <v>6463</v>
      </c>
      <c r="AC513" s="484">
        <v>152</v>
      </c>
      <c r="AD513" s="482" t="s">
        <v>110</v>
      </c>
      <c r="AE513" s="482"/>
      <c r="AF513" s="484">
        <v>73.3</v>
      </c>
      <c r="AG513" s="483">
        <v>49.4</v>
      </c>
      <c r="AH513" s="482" t="s">
        <v>6315</v>
      </c>
      <c r="AI513" s="482" t="s">
        <v>6326</v>
      </c>
      <c r="AJ513" s="482" t="s">
        <v>6493</v>
      </c>
      <c r="AK513" s="482" t="s">
        <v>6493</v>
      </c>
      <c r="AL513" s="482" t="s">
        <v>739</v>
      </c>
      <c r="AM513" s="482"/>
      <c r="AN513" s="482"/>
      <c r="AO513" s="482"/>
      <c r="AP513" s="482"/>
      <c r="AQ513" s="482"/>
      <c r="AR513" s="482"/>
      <c r="AS513" s="482"/>
      <c r="AT513" s="482"/>
      <c r="AU513" s="482"/>
      <c r="AV513" s="482"/>
      <c r="AW513" s="482"/>
      <c r="AX513" s="482"/>
      <c r="AY513" s="482"/>
      <c r="AZ513" s="482"/>
      <c r="BA513" s="482"/>
      <c r="BB513" s="482"/>
      <c r="BC513" s="482"/>
      <c r="BD513" s="482"/>
      <c r="BE513" s="482"/>
      <c r="BF513" s="482"/>
      <c r="BG513" s="482"/>
      <c r="BH513" s="482"/>
      <c r="BI513" s="482"/>
      <c r="BJ513" s="482"/>
      <c r="BK513" s="482"/>
      <c r="BL513" s="486"/>
    </row>
    <row r="514" spans="1:64">
      <c r="A514" s="468">
        <v>44305</v>
      </c>
      <c r="B514" s="473">
        <v>109</v>
      </c>
      <c r="C514" s="473">
        <v>256</v>
      </c>
      <c r="D514" s="470" t="s">
        <v>618</v>
      </c>
      <c r="E514" s="469">
        <v>16</v>
      </c>
      <c r="F514" s="470" t="s">
        <v>88</v>
      </c>
      <c r="G514" s="469">
        <v>535</v>
      </c>
      <c r="H514" s="470" t="s">
        <v>6248</v>
      </c>
      <c r="I514" s="470" t="s">
        <v>6257</v>
      </c>
      <c r="J514" s="469">
        <v>22</v>
      </c>
      <c r="K514" s="470" t="s">
        <v>6262</v>
      </c>
      <c r="L514" s="470" t="s">
        <v>6278</v>
      </c>
      <c r="M514" s="470" t="s">
        <v>9</v>
      </c>
      <c r="N514" s="473">
        <v>1</v>
      </c>
      <c r="O514" s="471"/>
      <c r="P514" s="471"/>
      <c r="Q514" s="471"/>
      <c r="R514" s="470"/>
      <c r="S514" s="471">
        <v>0.1492013888888889</v>
      </c>
      <c r="T514" s="471">
        <v>0.21586805555555555</v>
      </c>
      <c r="U514" s="471"/>
      <c r="V514" s="471"/>
      <c r="W514" s="471">
        <v>0.49680555555555556</v>
      </c>
      <c r="X514" s="471">
        <v>0.7777546296296296</v>
      </c>
      <c r="Y514" s="471">
        <v>0.42222222222222222</v>
      </c>
      <c r="Z514" s="471">
        <v>0.74791666666666667</v>
      </c>
      <c r="AA514" s="471">
        <v>4.027777777777778E-2</v>
      </c>
      <c r="AB514" s="470" t="s">
        <v>6463</v>
      </c>
      <c r="AC514" s="473">
        <v>152</v>
      </c>
      <c r="AD514" s="470" t="s">
        <v>110</v>
      </c>
      <c r="AE514" s="470"/>
      <c r="AF514" s="473">
        <v>66.8</v>
      </c>
      <c r="AG514" s="469">
        <v>40.799999999999997</v>
      </c>
      <c r="AH514" s="470" t="s">
        <v>6291</v>
      </c>
      <c r="AI514" s="470" t="s">
        <v>6327</v>
      </c>
      <c r="AJ514" s="470" t="s">
        <v>6493</v>
      </c>
      <c r="AK514" s="470" t="s">
        <v>6493</v>
      </c>
      <c r="AL514" s="470" t="s">
        <v>742</v>
      </c>
      <c r="AM514" s="470"/>
      <c r="AN514" s="470"/>
      <c r="AO514" s="470"/>
      <c r="AP514" s="470"/>
      <c r="AQ514" s="470"/>
      <c r="AR514" s="470"/>
      <c r="AS514" s="470"/>
      <c r="AT514" s="470"/>
      <c r="AU514" s="470"/>
      <c r="AV514" s="470"/>
      <c r="AW514" s="470"/>
      <c r="AX514" s="470"/>
      <c r="AY514" s="470"/>
      <c r="AZ514" s="470"/>
      <c r="BA514" s="470"/>
      <c r="BB514" s="470"/>
      <c r="BC514" s="470"/>
      <c r="BD514" s="470"/>
      <c r="BE514" s="470"/>
      <c r="BF514" s="470"/>
      <c r="BG514" s="470"/>
      <c r="BH514" s="470"/>
      <c r="BI514" s="470"/>
      <c r="BJ514" s="470"/>
      <c r="BK514" s="470"/>
      <c r="BL514" s="474"/>
    </row>
    <row r="515" spans="1:64">
      <c r="A515" s="475">
        <v>44306</v>
      </c>
      <c r="B515" s="478">
        <v>110</v>
      </c>
      <c r="C515" s="478">
        <v>255</v>
      </c>
      <c r="D515" s="476" t="s">
        <v>618</v>
      </c>
      <c r="E515" s="477">
        <v>16</v>
      </c>
      <c r="F515" s="476" t="s">
        <v>91</v>
      </c>
      <c r="G515" s="477">
        <v>535</v>
      </c>
      <c r="H515" s="476" t="s">
        <v>6248</v>
      </c>
      <c r="I515" s="476" t="s">
        <v>6257</v>
      </c>
      <c r="J515" s="477">
        <v>23</v>
      </c>
      <c r="K515" s="476" t="s">
        <v>6263</v>
      </c>
      <c r="L515" s="476" t="s">
        <v>6279</v>
      </c>
      <c r="M515" s="476" t="s">
        <v>9</v>
      </c>
      <c r="N515" s="478">
        <v>1</v>
      </c>
      <c r="O515" s="479"/>
      <c r="P515" s="479"/>
      <c r="Q515" s="479"/>
      <c r="R515" s="476"/>
      <c r="S515" s="479">
        <v>0.14818287037037037</v>
      </c>
      <c r="T515" s="479">
        <v>0.21484953703703702</v>
      </c>
      <c r="U515" s="479"/>
      <c r="V515" s="479"/>
      <c r="W515" s="479">
        <v>0.49666666666666665</v>
      </c>
      <c r="X515" s="479">
        <v>0.77848379629629638</v>
      </c>
      <c r="Y515" s="479">
        <v>0.46458333333333335</v>
      </c>
      <c r="Z515" s="479">
        <v>0.78472222222222221</v>
      </c>
      <c r="AA515" s="479">
        <v>7.1527777777777787E-2</v>
      </c>
      <c r="AB515" s="476" t="s">
        <v>6464</v>
      </c>
      <c r="AC515" s="478">
        <v>130</v>
      </c>
      <c r="AD515" s="476" t="s">
        <v>113</v>
      </c>
      <c r="AE515" s="476" t="s">
        <v>6611</v>
      </c>
      <c r="AF515" s="478">
        <v>62.8</v>
      </c>
      <c r="AG515" s="477">
        <v>34.5</v>
      </c>
      <c r="AH515" s="476" t="s">
        <v>6292</v>
      </c>
      <c r="AI515" s="476" t="s">
        <v>6328</v>
      </c>
      <c r="AJ515" s="476" t="s">
        <v>6493</v>
      </c>
      <c r="AK515" s="476" t="s">
        <v>6493</v>
      </c>
      <c r="AL515" s="476"/>
      <c r="AM515" s="476"/>
      <c r="AN515" s="476"/>
      <c r="AO515" s="476"/>
      <c r="AP515" s="476"/>
      <c r="AQ515" s="476"/>
      <c r="AR515" s="476"/>
      <c r="AS515" s="476"/>
      <c r="AT515" s="476"/>
      <c r="AU515" s="476"/>
      <c r="AV515" s="476"/>
      <c r="AW515" s="476"/>
      <c r="AX515" s="476"/>
      <c r="AY515" s="476"/>
      <c r="AZ515" s="476"/>
      <c r="BA515" s="476"/>
      <c r="BB515" s="476"/>
      <c r="BC515" s="476"/>
      <c r="BD515" s="476"/>
      <c r="BE515" s="476"/>
      <c r="BF515" s="476"/>
      <c r="BG515" s="476"/>
      <c r="BH515" s="476"/>
      <c r="BI515" s="476"/>
      <c r="BJ515" s="476"/>
      <c r="BK515" s="476"/>
      <c r="BL515" s="480"/>
    </row>
    <row r="516" spans="1:64">
      <c r="A516" s="468">
        <v>44307</v>
      </c>
      <c r="B516" s="473">
        <v>111</v>
      </c>
      <c r="C516" s="473">
        <v>254</v>
      </c>
      <c r="D516" s="470" t="s">
        <v>618</v>
      </c>
      <c r="E516" s="469">
        <v>16</v>
      </c>
      <c r="F516" s="470" t="s">
        <v>94</v>
      </c>
      <c r="G516" s="469">
        <v>535</v>
      </c>
      <c r="H516" s="470" t="s">
        <v>6248</v>
      </c>
      <c r="I516" s="470" t="s">
        <v>6257</v>
      </c>
      <c r="J516" s="469">
        <v>24</v>
      </c>
      <c r="K516" s="470" t="s">
        <v>6264</v>
      </c>
      <c r="L516" s="470" t="s">
        <v>6280</v>
      </c>
      <c r="M516" s="470" t="s">
        <v>9</v>
      </c>
      <c r="N516" s="473">
        <v>1</v>
      </c>
      <c r="O516" s="471"/>
      <c r="P516" s="471"/>
      <c r="Q516" s="471"/>
      <c r="R516" s="470"/>
      <c r="S516" s="471">
        <v>0.14717592592592593</v>
      </c>
      <c r="T516" s="471">
        <v>0.21384259259259261</v>
      </c>
      <c r="U516" s="471"/>
      <c r="V516" s="471"/>
      <c r="W516" s="471">
        <v>0.49652777777777773</v>
      </c>
      <c r="X516" s="471">
        <v>0.77920138888888879</v>
      </c>
      <c r="Y516" s="471">
        <v>0.51111111111111118</v>
      </c>
      <c r="Z516" s="471">
        <v>0.82013888888888886</v>
      </c>
      <c r="AA516" s="471">
        <v>9.930555555555555E-2</v>
      </c>
      <c r="AB516" s="470" t="s">
        <v>6464</v>
      </c>
      <c r="AC516" s="473">
        <v>130</v>
      </c>
      <c r="AD516" s="470" t="s">
        <v>113</v>
      </c>
      <c r="AE516" s="470"/>
      <c r="AF516" s="473">
        <v>61.9</v>
      </c>
      <c r="AG516" s="469">
        <v>31.1</v>
      </c>
      <c r="AH516" s="470" t="s">
        <v>6293</v>
      </c>
      <c r="AI516" s="470" t="s">
        <v>6329</v>
      </c>
      <c r="AJ516" s="470" t="s">
        <v>874</v>
      </c>
      <c r="AK516" s="470" t="s">
        <v>6493</v>
      </c>
      <c r="AL516" s="470" t="s">
        <v>6759</v>
      </c>
      <c r="AM516" s="470" t="s">
        <v>6347</v>
      </c>
      <c r="AN516" s="470" t="s">
        <v>6924</v>
      </c>
      <c r="AO516" s="470" t="s">
        <v>6351</v>
      </c>
      <c r="AP516" s="470" t="s">
        <v>744</v>
      </c>
      <c r="AQ516" s="470"/>
      <c r="AR516" s="470"/>
      <c r="AS516" s="470"/>
      <c r="AT516" s="470"/>
      <c r="AU516" s="470"/>
      <c r="AV516" s="470"/>
      <c r="AW516" s="470"/>
      <c r="AX516" s="470"/>
      <c r="AY516" s="470"/>
      <c r="AZ516" s="470"/>
      <c r="BA516" s="470"/>
      <c r="BB516" s="470"/>
      <c r="BC516" s="470"/>
      <c r="BD516" s="470"/>
      <c r="BE516" s="470"/>
      <c r="BF516" s="470"/>
      <c r="BG516" s="470"/>
      <c r="BH516" s="470"/>
      <c r="BI516" s="470"/>
      <c r="BJ516" s="470" t="s">
        <v>6378</v>
      </c>
      <c r="BK516" s="470"/>
      <c r="BL516" s="474"/>
    </row>
    <row r="517" spans="1:64">
      <c r="A517" s="475">
        <v>44308</v>
      </c>
      <c r="B517" s="478">
        <v>112</v>
      </c>
      <c r="C517" s="478">
        <v>253</v>
      </c>
      <c r="D517" s="476" t="s">
        <v>618</v>
      </c>
      <c r="E517" s="477">
        <v>16</v>
      </c>
      <c r="F517" s="476" t="s">
        <v>6714</v>
      </c>
      <c r="G517" s="477">
        <v>535</v>
      </c>
      <c r="H517" s="476" t="s">
        <v>6248</v>
      </c>
      <c r="I517" s="476" t="s">
        <v>6257</v>
      </c>
      <c r="J517" s="477">
        <v>25</v>
      </c>
      <c r="K517" s="476" t="s">
        <v>6265</v>
      </c>
      <c r="L517" s="476" t="s">
        <v>6281</v>
      </c>
      <c r="M517" s="476" t="s">
        <v>9</v>
      </c>
      <c r="N517" s="478">
        <v>1</v>
      </c>
      <c r="O517" s="479"/>
      <c r="P517" s="479"/>
      <c r="Q517" s="479"/>
      <c r="R517" s="476"/>
      <c r="S517" s="479">
        <v>0.14618055555555556</v>
      </c>
      <c r="T517" s="479">
        <v>0.21284722222222222</v>
      </c>
      <c r="U517" s="479"/>
      <c r="V517" s="479"/>
      <c r="W517" s="479">
        <v>0.49638888888888894</v>
      </c>
      <c r="X517" s="479">
        <v>0.77993055555555557</v>
      </c>
      <c r="Y517" s="479">
        <v>0.55902777777777779</v>
      </c>
      <c r="Z517" s="479">
        <v>0.85486111111111107</v>
      </c>
      <c r="AA517" s="479">
        <v>0.12430555555555556</v>
      </c>
      <c r="AB517" s="476" t="s">
        <v>6464</v>
      </c>
      <c r="AC517" s="478">
        <v>130</v>
      </c>
      <c r="AD517" s="476" t="s">
        <v>113</v>
      </c>
      <c r="AE517" s="476"/>
      <c r="AF517" s="478">
        <v>64.7</v>
      </c>
      <c r="AG517" s="477">
        <v>30.9</v>
      </c>
      <c r="AH517" s="476" t="s">
        <v>6294</v>
      </c>
      <c r="AI517" s="476" t="s">
        <v>6330</v>
      </c>
      <c r="AJ517" s="476" t="s">
        <v>6493</v>
      </c>
      <c r="AK517" s="476" t="s">
        <v>6493</v>
      </c>
      <c r="AL517" s="476" t="s">
        <v>748</v>
      </c>
      <c r="AM517" s="476"/>
      <c r="AN517" s="476"/>
      <c r="AO517" s="476"/>
      <c r="AP517" s="476"/>
      <c r="AQ517" s="476"/>
      <c r="AR517" s="476"/>
      <c r="AS517" s="476"/>
      <c r="AT517" s="476"/>
      <c r="AU517" s="476"/>
      <c r="AV517" s="476"/>
      <c r="AW517" s="476"/>
      <c r="AX517" s="476"/>
      <c r="AY517" s="476"/>
      <c r="AZ517" s="476"/>
      <c r="BA517" s="476"/>
      <c r="BB517" s="476"/>
      <c r="BC517" s="476"/>
      <c r="BD517" s="476"/>
      <c r="BE517" s="476"/>
      <c r="BF517" s="476"/>
      <c r="BG517" s="476"/>
      <c r="BH517" s="476"/>
      <c r="BI517" s="476"/>
      <c r="BJ517" s="476"/>
      <c r="BK517" s="476"/>
      <c r="BL517" s="480"/>
    </row>
    <row r="518" spans="1:64">
      <c r="A518" s="468">
        <v>44309</v>
      </c>
      <c r="B518" s="473">
        <v>113</v>
      </c>
      <c r="C518" s="473">
        <v>252</v>
      </c>
      <c r="D518" s="470" t="s">
        <v>618</v>
      </c>
      <c r="E518" s="469">
        <v>16</v>
      </c>
      <c r="F518" s="470" t="s">
        <v>100</v>
      </c>
      <c r="G518" s="469">
        <v>535</v>
      </c>
      <c r="H518" s="470" t="s">
        <v>6248</v>
      </c>
      <c r="I518" s="470" t="s">
        <v>6257</v>
      </c>
      <c r="J518" s="469">
        <v>26</v>
      </c>
      <c r="K518" s="470" t="s">
        <v>6271</v>
      </c>
      <c r="L518" s="470" t="s">
        <v>6282</v>
      </c>
      <c r="M518" s="470" t="s">
        <v>9</v>
      </c>
      <c r="N518" s="473">
        <v>1</v>
      </c>
      <c r="O518" s="471"/>
      <c r="P518" s="471"/>
      <c r="Q518" s="471"/>
      <c r="R518" s="470"/>
      <c r="S518" s="471">
        <v>0.14518518518518519</v>
      </c>
      <c r="T518" s="471">
        <v>0.21185185185185185</v>
      </c>
      <c r="U518" s="471"/>
      <c r="V518" s="471"/>
      <c r="W518" s="471">
        <v>0.49626157407407406</v>
      </c>
      <c r="X518" s="471">
        <v>0.78065972222222213</v>
      </c>
      <c r="Y518" s="471">
        <v>0.60902777777777783</v>
      </c>
      <c r="Z518" s="471">
        <v>0.88958333333333339</v>
      </c>
      <c r="AA518" s="471">
        <v>0.1451388888888889</v>
      </c>
      <c r="AB518" s="470" t="s">
        <v>6464</v>
      </c>
      <c r="AC518" s="473">
        <v>130</v>
      </c>
      <c r="AD518" s="470" t="s">
        <v>113</v>
      </c>
      <c r="AE518" s="470"/>
      <c r="AF518" s="473">
        <v>71.5</v>
      </c>
      <c r="AG518" s="469">
        <v>34.299999999999997</v>
      </c>
      <c r="AH518" s="470" t="s">
        <v>6295</v>
      </c>
      <c r="AI518" s="470" t="s">
        <v>6332</v>
      </c>
      <c r="AJ518" s="470" t="s">
        <v>838</v>
      </c>
      <c r="AK518" s="470" t="s">
        <v>13</v>
      </c>
      <c r="AL518" s="470" t="s">
        <v>6760</v>
      </c>
      <c r="AM518" s="470" t="s">
        <v>6342</v>
      </c>
      <c r="AN518" s="470" t="s">
        <v>6986</v>
      </c>
      <c r="AO518" s="470" t="s">
        <v>6351</v>
      </c>
      <c r="AP518" s="470"/>
      <c r="AQ518" s="470"/>
      <c r="AR518" s="470"/>
      <c r="AS518" s="470"/>
      <c r="AT518" s="470"/>
      <c r="AU518" s="470"/>
      <c r="AV518" s="470"/>
      <c r="AW518" s="470"/>
      <c r="AX518" s="470"/>
      <c r="AY518" s="470"/>
      <c r="AZ518" s="470"/>
      <c r="BA518" s="470"/>
      <c r="BB518" s="470"/>
      <c r="BC518" s="470"/>
      <c r="BD518" s="470"/>
      <c r="BE518" s="470"/>
      <c r="BF518" s="470"/>
      <c r="BG518" s="470"/>
      <c r="BH518" s="470"/>
      <c r="BI518" s="470"/>
      <c r="BJ518" s="470"/>
      <c r="BK518" s="470"/>
      <c r="BL518" s="474"/>
    </row>
    <row r="519" spans="1:64">
      <c r="A519" s="475">
        <v>44310</v>
      </c>
      <c r="B519" s="478">
        <v>114</v>
      </c>
      <c r="C519" s="478">
        <v>251</v>
      </c>
      <c r="D519" s="476" t="s">
        <v>618</v>
      </c>
      <c r="E519" s="477">
        <v>16</v>
      </c>
      <c r="F519" s="476" t="s">
        <v>103</v>
      </c>
      <c r="G519" s="477">
        <v>535</v>
      </c>
      <c r="H519" s="476" t="s">
        <v>6248</v>
      </c>
      <c r="I519" s="476" t="s">
        <v>6257</v>
      </c>
      <c r="J519" s="477">
        <v>27</v>
      </c>
      <c r="K519" s="476" t="s">
        <v>6266</v>
      </c>
      <c r="L519" s="476" t="s">
        <v>6283</v>
      </c>
      <c r="M519" s="476" t="s">
        <v>9</v>
      </c>
      <c r="N519" s="478">
        <v>1</v>
      </c>
      <c r="O519" s="479"/>
      <c r="P519" s="479"/>
      <c r="Q519" s="479"/>
      <c r="R519" s="476"/>
      <c r="S519" s="479">
        <v>0.14421296296296296</v>
      </c>
      <c r="T519" s="479">
        <v>0.21087962962962961</v>
      </c>
      <c r="U519" s="479">
        <v>0.21041666666666667</v>
      </c>
      <c r="V519" s="479">
        <v>0.36736111111111108</v>
      </c>
      <c r="W519" s="479">
        <v>0.49613425925925925</v>
      </c>
      <c r="X519" s="479">
        <v>0.78138888888888891</v>
      </c>
      <c r="Y519" s="479">
        <v>0.66041666666666665</v>
      </c>
      <c r="Z519" s="479">
        <v>0.9243055555555556</v>
      </c>
      <c r="AA519" s="479">
        <v>0.16527777777777777</v>
      </c>
      <c r="AB519" s="476" t="s">
        <v>6464</v>
      </c>
      <c r="AC519" s="478">
        <v>130</v>
      </c>
      <c r="AD519" s="476" t="s">
        <v>113</v>
      </c>
      <c r="AE519" s="476"/>
      <c r="AF519" s="478">
        <v>82.3</v>
      </c>
      <c r="AG519" s="477">
        <v>41.3</v>
      </c>
      <c r="AH519" s="476" t="s">
        <v>6296</v>
      </c>
      <c r="AI519" s="476" t="s">
        <v>6333</v>
      </c>
      <c r="AJ519" s="476" t="s">
        <v>839</v>
      </c>
      <c r="AK519" s="476" t="s">
        <v>6493</v>
      </c>
      <c r="AL519" s="476" t="s">
        <v>6865</v>
      </c>
      <c r="AM519" s="476" t="s">
        <v>6343</v>
      </c>
      <c r="AN519" s="476" t="s">
        <v>1233</v>
      </c>
      <c r="AO519" s="476" t="s">
        <v>6344</v>
      </c>
      <c r="AP519" s="476"/>
      <c r="AQ519" s="476"/>
      <c r="AR519" s="476"/>
      <c r="AS519" s="476"/>
      <c r="AT519" s="476"/>
      <c r="AU519" s="476"/>
      <c r="AV519" s="476"/>
      <c r="AW519" s="476"/>
      <c r="AX519" s="476"/>
      <c r="AY519" s="476"/>
      <c r="AZ519" s="476"/>
      <c r="BA519" s="476"/>
      <c r="BB519" s="476"/>
      <c r="BC519" s="476"/>
      <c r="BD519" s="476"/>
      <c r="BE519" s="476"/>
      <c r="BF519" s="476"/>
      <c r="BG519" s="476"/>
      <c r="BH519" s="476"/>
      <c r="BI519" s="476"/>
      <c r="BJ519" s="476" t="s">
        <v>6380</v>
      </c>
      <c r="BK519" s="476"/>
      <c r="BL519" s="480"/>
    </row>
    <row r="520" spans="1:64">
      <c r="A520" s="468">
        <v>44311</v>
      </c>
      <c r="B520" s="473">
        <v>115</v>
      </c>
      <c r="C520" s="473">
        <v>250</v>
      </c>
      <c r="D520" s="470" t="s">
        <v>618</v>
      </c>
      <c r="E520" s="469">
        <v>16</v>
      </c>
      <c r="F520" s="470" t="s">
        <v>106</v>
      </c>
      <c r="G520" s="469">
        <v>535</v>
      </c>
      <c r="H520" s="470" t="s">
        <v>6248</v>
      </c>
      <c r="I520" s="470" t="s">
        <v>6257</v>
      </c>
      <c r="J520" s="469">
        <v>28</v>
      </c>
      <c r="K520" s="470" t="s">
        <v>6267</v>
      </c>
      <c r="L520" s="470" t="s">
        <v>6284</v>
      </c>
      <c r="M520" s="470" t="s">
        <v>9</v>
      </c>
      <c r="N520" s="473">
        <v>1</v>
      </c>
      <c r="O520" s="471"/>
      <c r="P520" s="471"/>
      <c r="Q520" s="471"/>
      <c r="R520" s="470"/>
      <c r="S520" s="471">
        <v>0.14324074074074075</v>
      </c>
      <c r="T520" s="471">
        <v>0.2099074074074074</v>
      </c>
      <c r="U520" s="471"/>
      <c r="V520" s="471"/>
      <c r="W520" s="471">
        <v>0.49601851851851847</v>
      </c>
      <c r="X520" s="471">
        <v>0.78211805555555547</v>
      </c>
      <c r="Y520" s="471">
        <v>0.71250000000000002</v>
      </c>
      <c r="Z520" s="471">
        <v>0.95972222222222225</v>
      </c>
      <c r="AA520" s="471">
        <v>0.18541666666666667</v>
      </c>
      <c r="AB520" s="470" t="s">
        <v>6464</v>
      </c>
      <c r="AC520" s="473">
        <v>130</v>
      </c>
      <c r="AD520" s="470" t="s">
        <v>113</v>
      </c>
      <c r="AE520" s="470"/>
      <c r="AF520" s="473">
        <v>96.5</v>
      </c>
      <c r="AG520" s="469">
        <v>51.5</v>
      </c>
      <c r="AH520" s="470" t="s">
        <v>6297</v>
      </c>
      <c r="AI520" s="470" t="s">
        <v>6334</v>
      </c>
      <c r="AJ520" s="470" t="s">
        <v>6493</v>
      </c>
      <c r="AK520" s="470" t="s">
        <v>6493</v>
      </c>
      <c r="AL520" s="470"/>
      <c r="AM520" s="470"/>
      <c r="AN520" s="470"/>
      <c r="AO520" s="470"/>
      <c r="AP520" s="470"/>
      <c r="AQ520" s="470"/>
      <c r="AR520" s="470"/>
      <c r="AS520" s="470"/>
      <c r="AT520" s="470"/>
      <c r="AU520" s="470"/>
      <c r="AV520" s="470"/>
      <c r="AW520" s="470"/>
      <c r="AX520" s="470"/>
      <c r="AY520" s="470"/>
      <c r="AZ520" s="470"/>
      <c r="BA520" s="470"/>
      <c r="BB520" s="470"/>
      <c r="BC520" s="470"/>
      <c r="BD520" s="470"/>
      <c r="BE520" s="470"/>
      <c r="BF520" s="470"/>
      <c r="BG520" s="470"/>
      <c r="BH520" s="470"/>
      <c r="BI520" s="470"/>
      <c r="BJ520" s="470"/>
      <c r="BK520" s="470"/>
      <c r="BL520" s="474"/>
    </row>
    <row r="521" spans="1:64">
      <c r="A521" s="475">
        <v>44312</v>
      </c>
      <c r="B521" s="478">
        <v>116</v>
      </c>
      <c r="C521" s="478">
        <v>249</v>
      </c>
      <c r="D521" s="476" t="s">
        <v>618</v>
      </c>
      <c r="E521" s="477">
        <v>17</v>
      </c>
      <c r="F521" s="476" t="s">
        <v>88</v>
      </c>
      <c r="G521" s="477">
        <v>535</v>
      </c>
      <c r="H521" s="476" t="s">
        <v>6248</v>
      </c>
      <c r="I521" s="476" t="s">
        <v>6257</v>
      </c>
      <c r="J521" s="477">
        <v>30</v>
      </c>
      <c r="K521" s="476" t="s">
        <v>6272</v>
      </c>
      <c r="L521" s="476" t="s">
        <v>6288</v>
      </c>
      <c r="M521" s="476" t="s">
        <v>9</v>
      </c>
      <c r="N521" s="478">
        <v>1</v>
      </c>
      <c r="O521" s="479">
        <v>0.23958333333333334</v>
      </c>
      <c r="P521" s="479">
        <v>9.4444444444444442E-2</v>
      </c>
      <c r="Q521" s="479"/>
      <c r="R521" s="476"/>
      <c r="S521" s="479">
        <v>0.14229166666666668</v>
      </c>
      <c r="T521" s="479">
        <v>0.20895833333333333</v>
      </c>
      <c r="U521" s="479"/>
      <c r="V521" s="479"/>
      <c r="W521" s="479">
        <v>0.4959027777777778</v>
      </c>
      <c r="X521" s="479">
        <v>0.78284722222222225</v>
      </c>
      <c r="Y521" s="479">
        <v>0.76666666666666661</v>
      </c>
      <c r="Z521" s="479">
        <v>0.99722222222222223</v>
      </c>
      <c r="AA521" s="479">
        <v>0.20486111111111113</v>
      </c>
      <c r="AB521" s="476" t="s">
        <v>6464</v>
      </c>
      <c r="AC521" s="478">
        <v>130</v>
      </c>
      <c r="AD521" s="476" t="s">
        <v>113</v>
      </c>
      <c r="AE521" s="476"/>
      <c r="AF521" s="478">
        <v>13.5</v>
      </c>
      <c r="AG521" s="477">
        <v>64</v>
      </c>
      <c r="AH521" s="476" t="s">
        <v>6298</v>
      </c>
      <c r="AI521" s="476" t="s">
        <v>6335</v>
      </c>
      <c r="AJ521" s="476" t="s">
        <v>839</v>
      </c>
      <c r="AK521" s="476" t="s">
        <v>6493</v>
      </c>
      <c r="AL521" s="476" t="s">
        <v>823</v>
      </c>
      <c r="AM521" s="476" t="s">
        <v>6344</v>
      </c>
      <c r="AN521" s="476" t="s">
        <v>1241</v>
      </c>
      <c r="AO521" s="476" t="s">
        <v>6344</v>
      </c>
      <c r="AP521" s="476" t="s">
        <v>7013</v>
      </c>
      <c r="AQ521" s="476" t="s">
        <v>6346</v>
      </c>
      <c r="AR521" s="476" t="s">
        <v>7055</v>
      </c>
      <c r="AS521" s="476" t="s">
        <v>6346</v>
      </c>
      <c r="AT521" s="476" t="s">
        <v>7076</v>
      </c>
      <c r="AU521" s="476"/>
      <c r="AV521" s="476" t="s">
        <v>7089</v>
      </c>
      <c r="AW521" s="476"/>
      <c r="AX521" s="476"/>
      <c r="AY521" s="476"/>
      <c r="AZ521" s="476"/>
      <c r="BA521" s="476"/>
      <c r="BB521" s="476"/>
      <c r="BC521" s="476"/>
      <c r="BD521" s="476"/>
      <c r="BE521" s="476"/>
      <c r="BF521" s="476"/>
      <c r="BG521" s="476"/>
      <c r="BH521" s="476"/>
      <c r="BI521" s="476"/>
      <c r="BJ521" s="476" t="s">
        <v>6381</v>
      </c>
      <c r="BK521" s="476"/>
      <c r="BL521" s="480"/>
    </row>
    <row r="522" spans="1:64">
      <c r="A522" s="468">
        <v>44313</v>
      </c>
      <c r="B522" s="473">
        <v>117</v>
      </c>
      <c r="C522" s="473">
        <v>248</v>
      </c>
      <c r="D522" s="470" t="s">
        <v>618</v>
      </c>
      <c r="E522" s="469">
        <v>17</v>
      </c>
      <c r="F522" s="470" t="s">
        <v>91</v>
      </c>
      <c r="G522" s="469">
        <v>535</v>
      </c>
      <c r="H522" s="470" t="s">
        <v>6249</v>
      </c>
      <c r="I522" s="470" t="s">
        <v>836</v>
      </c>
      <c r="J522" s="469">
        <v>1</v>
      </c>
      <c r="K522" s="470" t="s">
        <v>6270</v>
      </c>
      <c r="L522" s="470" t="s">
        <v>6287</v>
      </c>
      <c r="M522" s="470" t="s">
        <v>9</v>
      </c>
      <c r="N522" s="473">
        <v>1</v>
      </c>
      <c r="O522" s="471"/>
      <c r="P522" s="471"/>
      <c r="Q522" s="471"/>
      <c r="R522" s="470"/>
      <c r="S522" s="471">
        <v>0.1413425925925926</v>
      </c>
      <c r="T522" s="471">
        <v>0.20800925925925925</v>
      </c>
      <c r="U522" s="471"/>
      <c r="V522" s="471"/>
      <c r="W522" s="471">
        <v>0.49579861111111106</v>
      </c>
      <c r="X522" s="471">
        <v>0.78357638888888881</v>
      </c>
      <c r="Y522" s="471">
        <v>0.82152777777777775</v>
      </c>
      <c r="Z522" s="471" t="s">
        <v>1107</v>
      </c>
      <c r="AA522" s="471">
        <v>0.22638888888888889</v>
      </c>
      <c r="AB522" s="470" t="s">
        <v>6462</v>
      </c>
      <c r="AC522" s="473">
        <v>129</v>
      </c>
      <c r="AD522" s="470" t="s">
        <v>116</v>
      </c>
      <c r="AE522" s="470" t="s">
        <v>6612</v>
      </c>
      <c r="AF522" s="473">
        <v>31.8</v>
      </c>
      <c r="AG522" s="469">
        <v>77.8</v>
      </c>
      <c r="AH522" s="470" t="s">
        <v>6299</v>
      </c>
      <c r="AI522" s="470" t="s">
        <v>6336</v>
      </c>
      <c r="AJ522" s="470" t="s">
        <v>6493</v>
      </c>
      <c r="AK522" s="470" t="s">
        <v>6493</v>
      </c>
      <c r="AL522" s="470" t="s">
        <v>6763</v>
      </c>
      <c r="AM522" s="470"/>
      <c r="AN522" s="470"/>
      <c r="AO522" s="470"/>
      <c r="AP522" s="470"/>
      <c r="AQ522" s="470"/>
      <c r="AR522" s="470"/>
      <c r="AS522" s="470"/>
      <c r="AT522" s="470"/>
      <c r="AU522" s="470"/>
      <c r="AV522" s="470"/>
      <c r="AW522" s="470"/>
      <c r="AX522" s="470"/>
      <c r="AY522" s="470"/>
      <c r="AZ522" s="470"/>
      <c r="BA522" s="470"/>
      <c r="BB522" s="470"/>
      <c r="BC522" s="470"/>
      <c r="BD522" s="470"/>
      <c r="BE522" s="470"/>
      <c r="BF522" s="470"/>
      <c r="BG522" s="470"/>
      <c r="BH522" s="470"/>
      <c r="BI522" s="470"/>
      <c r="BJ522" s="470"/>
      <c r="BK522" s="470"/>
      <c r="BL522" s="474"/>
    </row>
    <row r="523" spans="1:64">
      <c r="A523" s="475">
        <v>44314</v>
      </c>
      <c r="B523" s="478">
        <v>118</v>
      </c>
      <c r="C523" s="478">
        <v>247</v>
      </c>
      <c r="D523" s="476" t="s">
        <v>618</v>
      </c>
      <c r="E523" s="477">
        <v>17</v>
      </c>
      <c r="F523" s="476" t="s">
        <v>94</v>
      </c>
      <c r="G523" s="477">
        <v>535</v>
      </c>
      <c r="H523" s="476" t="s">
        <v>6249</v>
      </c>
      <c r="I523" s="476" t="s">
        <v>836</v>
      </c>
      <c r="J523" s="477">
        <v>2</v>
      </c>
      <c r="K523" s="476" t="s">
        <v>1034</v>
      </c>
      <c r="L523" s="476" t="s">
        <v>6273</v>
      </c>
      <c r="M523" s="476" t="s">
        <v>9</v>
      </c>
      <c r="N523" s="478">
        <v>1</v>
      </c>
      <c r="O523" s="479"/>
      <c r="P523" s="479"/>
      <c r="Q523" s="479"/>
      <c r="R523" s="476"/>
      <c r="S523" s="479">
        <v>0.14041666666666666</v>
      </c>
      <c r="T523" s="479">
        <v>0.20708333333333331</v>
      </c>
      <c r="U523" s="479"/>
      <c r="V523" s="479"/>
      <c r="W523" s="479">
        <v>0.49569444444444444</v>
      </c>
      <c r="X523" s="479">
        <v>0.78430555555555559</v>
      </c>
      <c r="Y523" s="479">
        <v>0.87708333333333333</v>
      </c>
      <c r="Z523" s="479">
        <v>3.6805555555555557E-2</v>
      </c>
      <c r="AA523" s="479">
        <v>0.25138888888888888</v>
      </c>
      <c r="AB523" s="476" t="s">
        <v>6462</v>
      </c>
      <c r="AC523" s="478">
        <v>129</v>
      </c>
      <c r="AD523" s="476" t="s">
        <v>116</v>
      </c>
      <c r="AE523" s="476"/>
      <c r="AF523" s="478">
        <v>50.2</v>
      </c>
      <c r="AG523" s="477">
        <v>91.7</v>
      </c>
      <c r="AH523" s="476" t="s">
        <v>6300</v>
      </c>
      <c r="AI523" s="476" t="s">
        <v>6337</v>
      </c>
      <c r="AJ523" s="476" t="s">
        <v>6493</v>
      </c>
      <c r="AK523" s="476" t="s">
        <v>6493</v>
      </c>
      <c r="AL523" s="476"/>
      <c r="AM523" s="476"/>
      <c r="AN523" s="476"/>
      <c r="AO523" s="476"/>
      <c r="AP523" s="476"/>
      <c r="AQ523" s="476"/>
      <c r="AR523" s="476"/>
      <c r="AS523" s="476"/>
      <c r="AT523" s="476"/>
      <c r="AU523" s="476"/>
      <c r="AV523" s="476"/>
      <c r="AW523" s="476"/>
      <c r="AX523" s="476"/>
      <c r="AY523" s="476"/>
      <c r="AZ523" s="476"/>
      <c r="BA523" s="476"/>
      <c r="BB523" s="476"/>
      <c r="BC523" s="476"/>
      <c r="BD523" s="476"/>
      <c r="BE523" s="476"/>
      <c r="BF523" s="476"/>
      <c r="BG523" s="476"/>
      <c r="BH523" s="476"/>
      <c r="BI523" s="476"/>
      <c r="BJ523" s="476"/>
      <c r="BK523" s="476"/>
      <c r="BL523" s="480"/>
    </row>
    <row r="524" spans="1:64">
      <c r="A524" s="468">
        <v>44315</v>
      </c>
      <c r="B524" s="473">
        <v>119</v>
      </c>
      <c r="C524" s="473">
        <v>246</v>
      </c>
      <c r="D524" s="470" t="s">
        <v>618</v>
      </c>
      <c r="E524" s="469">
        <v>17</v>
      </c>
      <c r="F524" s="470" t="s">
        <v>6714</v>
      </c>
      <c r="G524" s="469">
        <v>535</v>
      </c>
      <c r="H524" s="470" t="s">
        <v>6249</v>
      </c>
      <c r="I524" s="470" t="s">
        <v>836</v>
      </c>
      <c r="J524" s="469">
        <v>3</v>
      </c>
      <c r="K524" s="470" t="s">
        <v>6258</v>
      </c>
      <c r="L524" s="470" t="s">
        <v>6274</v>
      </c>
      <c r="M524" s="470" t="s">
        <v>9</v>
      </c>
      <c r="N524" s="473">
        <v>1</v>
      </c>
      <c r="O524" s="471"/>
      <c r="P524" s="471"/>
      <c r="Q524" s="471"/>
      <c r="R524" s="470"/>
      <c r="S524" s="471">
        <v>0.13950231481481482</v>
      </c>
      <c r="T524" s="471">
        <v>0.20616898148148147</v>
      </c>
      <c r="U524" s="471"/>
      <c r="V524" s="471"/>
      <c r="W524" s="471">
        <v>0.49559027777777781</v>
      </c>
      <c r="X524" s="471">
        <v>0.78502314814814811</v>
      </c>
      <c r="Y524" s="471">
        <v>0.93055555555555547</v>
      </c>
      <c r="Z524" s="471">
        <v>7.9166666666666663E-2</v>
      </c>
      <c r="AA524" s="471">
        <v>0.28125</v>
      </c>
      <c r="AB524" s="470" t="s">
        <v>6462</v>
      </c>
      <c r="AC524" s="473">
        <v>129</v>
      </c>
      <c r="AD524" s="470" t="s">
        <v>116</v>
      </c>
      <c r="AE524" s="470"/>
      <c r="AF524" s="473">
        <v>67.400000000000006</v>
      </c>
      <c r="AG524" s="469">
        <v>4.4000000000000004</v>
      </c>
      <c r="AH524" s="470" t="s">
        <v>6302</v>
      </c>
      <c r="AI524" s="470" t="s">
        <v>6339</v>
      </c>
      <c r="AJ524" s="470" t="s">
        <v>6493</v>
      </c>
      <c r="AK524" s="470" t="s">
        <v>6493</v>
      </c>
      <c r="AL524" s="470"/>
      <c r="AM524" s="470"/>
      <c r="AN524" s="470"/>
      <c r="AO524" s="470"/>
      <c r="AP524" s="470"/>
      <c r="AQ524" s="470"/>
      <c r="AR524" s="470"/>
      <c r="AS524" s="470"/>
      <c r="AT524" s="470"/>
      <c r="AU524" s="470"/>
      <c r="AV524" s="470"/>
      <c r="AW524" s="470"/>
      <c r="AX524" s="470"/>
      <c r="AY524" s="470"/>
      <c r="AZ524" s="470"/>
      <c r="BA524" s="470"/>
      <c r="BB524" s="470"/>
      <c r="BC524" s="470"/>
      <c r="BD524" s="470"/>
      <c r="BE524" s="470"/>
      <c r="BF524" s="470"/>
      <c r="BG524" s="470"/>
      <c r="BH524" s="470"/>
      <c r="BI524" s="470"/>
      <c r="BJ524" s="470"/>
      <c r="BK524" s="470"/>
      <c r="BL524" s="474"/>
    </row>
    <row r="525" spans="1:64">
      <c r="A525" s="475">
        <v>44316</v>
      </c>
      <c r="B525" s="478">
        <v>120</v>
      </c>
      <c r="C525" s="478">
        <v>245</v>
      </c>
      <c r="D525" s="476" t="s">
        <v>618</v>
      </c>
      <c r="E525" s="477">
        <v>17</v>
      </c>
      <c r="F525" s="476" t="s">
        <v>100</v>
      </c>
      <c r="G525" s="477">
        <v>535</v>
      </c>
      <c r="H525" s="476" t="s">
        <v>6249</v>
      </c>
      <c r="I525" s="476" t="s">
        <v>836</v>
      </c>
      <c r="J525" s="477">
        <v>4</v>
      </c>
      <c r="K525" s="476" t="s">
        <v>6259</v>
      </c>
      <c r="L525" s="476" t="s">
        <v>6275</v>
      </c>
      <c r="M525" s="476" t="s">
        <v>9</v>
      </c>
      <c r="N525" s="478">
        <v>1</v>
      </c>
      <c r="O525" s="479"/>
      <c r="P525" s="479"/>
      <c r="Q525" s="479"/>
      <c r="R525" s="476"/>
      <c r="S525" s="479">
        <v>0.13859953703703703</v>
      </c>
      <c r="T525" s="479">
        <v>0.20526620370370371</v>
      </c>
      <c r="U525" s="479"/>
      <c r="V525" s="479"/>
      <c r="W525" s="479">
        <v>0.4955092592592592</v>
      </c>
      <c r="X525" s="479">
        <v>0.78575231481481478</v>
      </c>
      <c r="Y525" s="479">
        <v>0.9784722222222223</v>
      </c>
      <c r="Z525" s="479">
        <v>0.12361111111111112</v>
      </c>
      <c r="AA525" s="479">
        <v>0.31597222222222221</v>
      </c>
      <c r="AB525" s="476" t="s">
        <v>6462</v>
      </c>
      <c r="AC525" s="478">
        <v>129</v>
      </c>
      <c r="AD525" s="476" t="s">
        <v>116</v>
      </c>
      <c r="AE525" s="476"/>
      <c r="AF525" s="478">
        <v>82.2</v>
      </c>
      <c r="AG525" s="477">
        <v>15</v>
      </c>
      <c r="AH525" s="476" t="s">
        <v>6303</v>
      </c>
      <c r="AI525" s="476" t="s">
        <v>6340</v>
      </c>
      <c r="AJ525" s="476" t="s">
        <v>6493</v>
      </c>
      <c r="AK525" s="476" t="s">
        <v>6493</v>
      </c>
      <c r="AL525" s="476"/>
      <c r="AM525" s="476"/>
      <c r="AN525" s="476"/>
      <c r="AO525" s="476"/>
      <c r="AP525" s="476"/>
      <c r="AQ525" s="476"/>
      <c r="AR525" s="476"/>
      <c r="AS525" s="476"/>
      <c r="AT525" s="476"/>
      <c r="AU525" s="476"/>
      <c r="AV525" s="476"/>
      <c r="AW525" s="476"/>
      <c r="AX525" s="476"/>
      <c r="AY525" s="476"/>
      <c r="AZ525" s="476"/>
      <c r="BA525" s="476"/>
      <c r="BB525" s="476"/>
      <c r="BC525" s="476"/>
      <c r="BD525" s="476"/>
      <c r="BE525" s="476"/>
      <c r="BF525" s="476"/>
      <c r="BG525" s="476"/>
      <c r="BH525" s="476"/>
      <c r="BI525" s="476"/>
      <c r="BJ525" s="476"/>
      <c r="BK525" s="476"/>
      <c r="BL525" s="480"/>
    </row>
    <row r="526" spans="1:64">
      <c r="A526" s="468">
        <v>44317</v>
      </c>
      <c r="B526" s="473">
        <v>121</v>
      </c>
      <c r="C526" s="473">
        <v>244</v>
      </c>
      <c r="D526" s="470" t="s">
        <v>620</v>
      </c>
      <c r="E526" s="469">
        <v>17</v>
      </c>
      <c r="F526" s="470" t="s">
        <v>103</v>
      </c>
      <c r="G526" s="469">
        <v>535</v>
      </c>
      <c r="H526" s="470" t="s">
        <v>6249</v>
      </c>
      <c r="I526" s="470" t="s">
        <v>836</v>
      </c>
      <c r="J526" s="469">
        <v>5</v>
      </c>
      <c r="K526" s="470" t="s">
        <v>6260</v>
      </c>
      <c r="L526" s="470" t="s">
        <v>6276</v>
      </c>
      <c r="M526" s="470" t="s">
        <v>9</v>
      </c>
      <c r="N526" s="473">
        <v>1</v>
      </c>
      <c r="O526" s="471"/>
      <c r="P526" s="471"/>
      <c r="Q526" s="471"/>
      <c r="R526" s="470"/>
      <c r="S526" s="471">
        <v>0.13770833333333335</v>
      </c>
      <c r="T526" s="471">
        <v>0.204375</v>
      </c>
      <c r="U526" s="471"/>
      <c r="V526" s="471"/>
      <c r="W526" s="471">
        <v>0.49541666666666667</v>
      </c>
      <c r="X526" s="471">
        <v>0.78646990740740741</v>
      </c>
      <c r="Y526" s="471" t="s">
        <v>1107</v>
      </c>
      <c r="Z526" s="471">
        <v>0.16805555555555554</v>
      </c>
      <c r="AA526" s="471">
        <v>0.3576388888888889</v>
      </c>
      <c r="AB526" s="470" t="s">
        <v>6462</v>
      </c>
      <c r="AC526" s="473">
        <v>129</v>
      </c>
      <c r="AD526" s="470" t="s">
        <v>116</v>
      </c>
      <c r="AE526" s="470"/>
      <c r="AF526" s="473">
        <v>93.9</v>
      </c>
      <c r="AG526" s="469">
        <v>22.8</v>
      </c>
      <c r="AH526" s="470" t="s">
        <v>6304</v>
      </c>
      <c r="AI526" s="470" t="s">
        <v>974</v>
      </c>
      <c r="AJ526" s="470" t="s">
        <v>6493</v>
      </c>
      <c r="AK526" s="470" t="s">
        <v>6493</v>
      </c>
      <c r="AL526" s="470" t="s">
        <v>754</v>
      </c>
      <c r="AM526" s="470"/>
      <c r="AN526" s="470"/>
      <c r="AO526" s="470"/>
      <c r="AP526" s="470"/>
      <c r="AQ526" s="470"/>
      <c r="AR526" s="470"/>
      <c r="AS526" s="470"/>
      <c r="AT526" s="470"/>
      <c r="AU526" s="470"/>
      <c r="AV526" s="470"/>
      <c r="AW526" s="470"/>
      <c r="AX526" s="470"/>
      <c r="AY526" s="470"/>
      <c r="AZ526" s="470"/>
      <c r="BA526" s="470"/>
      <c r="BB526" s="470"/>
      <c r="BC526" s="470"/>
      <c r="BD526" s="470"/>
      <c r="BE526" s="470"/>
      <c r="BF526" s="470"/>
      <c r="BG526" s="470"/>
      <c r="BH526" s="470"/>
      <c r="BI526" s="470"/>
      <c r="BJ526" s="470"/>
      <c r="BK526" s="470"/>
      <c r="BL526" s="474"/>
    </row>
    <row r="527" spans="1:64">
      <c r="A527" s="475">
        <v>44318</v>
      </c>
      <c r="B527" s="478">
        <v>122</v>
      </c>
      <c r="C527" s="478">
        <v>243</v>
      </c>
      <c r="D527" s="476" t="s">
        <v>620</v>
      </c>
      <c r="E527" s="477">
        <v>17</v>
      </c>
      <c r="F527" s="476" t="s">
        <v>106</v>
      </c>
      <c r="G527" s="477">
        <v>535</v>
      </c>
      <c r="H527" s="476" t="s">
        <v>6249</v>
      </c>
      <c r="I527" s="476" t="s">
        <v>836</v>
      </c>
      <c r="J527" s="477">
        <v>7</v>
      </c>
      <c r="K527" s="476" t="s">
        <v>6262</v>
      </c>
      <c r="L527" s="476" t="s">
        <v>6277</v>
      </c>
      <c r="M527" s="476" t="s">
        <v>9</v>
      </c>
      <c r="N527" s="478">
        <v>1</v>
      </c>
      <c r="O527" s="479">
        <v>0.2590277777777778</v>
      </c>
      <c r="P527" s="479">
        <v>0.18194444444444444</v>
      </c>
      <c r="Q527" s="479"/>
      <c r="R527" s="476"/>
      <c r="S527" s="479">
        <v>0.1368287037037037</v>
      </c>
      <c r="T527" s="479">
        <v>0.20349537037037035</v>
      </c>
      <c r="U527" s="479"/>
      <c r="V527" s="479"/>
      <c r="W527" s="479">
        <v>0.49534722222222222</v>
      </c>
      <c r="X527" s="479">
        <v>0.78718749999999993</v>
      </c>
      <c r="Y527" s="479">
        <v>1.8749999999999999E-2</v>
      </c>
      <c r="Z527" s="479">
        <v>0.21111111111111111</v>
      </c>
      <c r="AA527" s="479">
        <v>0.40347222222222223</v>
      </c>
      <c r="AB527" s="476" t="s">
        <v>6462</v>
      </c>
      <c r="AC527" s="478">
        <v>129</v>
      </c>
      <c r="AD527" s="476" t="s">
        <v>116</v>
      </c>
      <c r="AE527" s="476"/>
      <c r="AF527" s="478">
        <v>2.2000000000000002</v>
      </c>
      <c r="AG527" s="477">
        <v>27.6</v>
      </c>
      <c r="AH527" s="476" t="s">
        <v>6305</v>
      </c>
      <c r="AI527" s="476" t="s">
        <v>6316</v>
      </c>
      <c r="AJ527" s="476" t="s">
        <v>839</v>
      </c>
      <c r="AK527" s="476" t="s">
        <v>6493</v>
      </c>
      <c r="AL527" s="476" t="s">
        <v>6765</v>
      </c>
      <c r="AM527" s="476" t="s">
        <v>6346</v>
      </c>
      <c r="AN527" s="476" t="s">
        <v>6987</v>
      </c>
      <c r="AO527" s="476"/>
      <c r="AP527" s="476"/>
      <c r="AQ527" s="476"/>
      <c r="AR527" s="476"/>
      <c r="AS527" s="476"/>
      <c r="AT527" s="476"/>
      <c r="AU527" s="476"/>
      <c r="AV527" s="476"/>
      <c r="AW527" s="476"/>
      <c r="AX527" s="476"/>
      <c r="AY527" s="476"/>
      <c r="AZ527" s="476"/>
      <c r="BA527" s="476"/>
      <c r="BB527" s="476"/>
      <c r="BC527" s="476"/>
      <c r="BD527" s="476"/>
      <c r="BE527" s="476"/>
      <c r="BF527" s="476"/>
      <c r="BG527" s="476"/>
      <c r="BH527" s="476"/>
      <c r="BI527" s="476"/>
      <c r="BJ527" s="476" t="s">
        <v>6653</v>
      </c>
      <c r="BK527" s="476"/>
      <c r="BL527" s="480"/>
    </row>
    <row r="528" spans="1:64">
      <c r="A528" s="468">
        <v>44319</v>
      </c>
      <c r="B528" s="473">
        <v>123</v>
      </c>
      <c r="C528" s="473">
        <v>242</v>
      </c>
      <c r="D528" s="470" t="s">
        <v>620</v>
      </c>
      <c r="E528" s="469">
        <v>18</v>
      </c>
      <c r="F528" s="470" t="s">
        <v>88</v>
      </c>
      <c r="G528" s="469">
        <v>535</v>
      </c>
      <c r="H528" s="470" t="s">
        <v>6249</v>
      </c>
      <c r="I528" s="470" t="s">
        <v>836</v>
      </c>
      <c r="J528" s="469">
        <v>8</v>
      </c>
      <c r="K528" s="470" t="s">
        <v>6263</v>
      </c>
      <c r="L528" s="470" t="s">
        <v>6279</v>
      </c>
      <c r="M528" s="470" t="s">
        <v>9</v>
      </c>
      <c r="N528" s="473">
        <v>1</v>
      </c>
      <c r="O528" s="471"/>
      <c r="P528" s="471"/>
      <c r="Q528" s="471"/>
      <c r="R528" s="470"/>
      <c r="S528" s="471">
        <v>0.13597222222222222</v>
      </c>
      <c r="T528" s="471">
        <v>0.2026388888888889</v>
      </c>
      <c r="U528" s="471"/>
      <c r="V528" s="471"/>
      <c r="W528" s="471">
        <v>0.49526620370370367</v>
      </c>
      <c r="X528" s="471">
        <v>0.78790509259259256</v>
      </c>
      <c r="Y528" s="471">
        <v>5.2083333333333336E-2</v>
      </c>
      <c r="Z528" s="471">
        <v>0.25138888888888888</v>
      </c>
      <c r="AA528" s="471">
        <v>0.45</v>
      </c>
      <c r="AB528" s="470" t="s">
        <v>6289</v>
      </c>
      <c r="AC528" s="473">
        <v>131</v>
      </c>
      <c r="AD528" s="470" t="s">
        <v>119</v>
      </c>
      <c r="AE528" s="470" t="s">
        <v>6613</v>
      </c>
      <c r="AF528" s="473">
        <v>7.2</v>
      </c>
      <c r="AG528" s="469">
        <v>29.3</v>
      </c>
      <c r="AH528" s="470" t="s">
        <v>6306</v>
      </c>
      <c r="AI528" s="470" t="s">
        <v>6317</v>
      </c>
      <c r="AJ528" s="470" t="s">
        <v>6493</v>
      </c>
      <c r="AK528" s="470" t="s">
        <v>6493</v>
      </c>
      <c r="AL528" s="470"/>
      <c r="AM528" s="470"/>
      <c r="AN528" s="470"/>
      <c r="AO528" s="470"/>
      <c r="AP528" s="470"/>
      <c r="AQ528" s="470"/>
      <c r="AR528" s="470"/>
      <c r="AS528" s="470"/>
      <c r="AT528" s="470"/>
      <c r="AU528" s="470"/>
      <c r="AV528" s="470"/>
      <c r="AW528" s="470"/>
      <c r="AX528" s="470"/>
      <c r="AY528" s="470"/>
      <c r="AZ528" s="470"/>
      <c r="BA528" s="470"/>
      <c r="BB528" s="470"/>
      <c r="BC528" s="470"/>
      <c r="BD528" s="470"/>
      <c r="BE528" s="470"/>
      <c r="BF528" s="470"/>
      <c r="BG528" s="470"/>
      <c r="BH528" s="470"/>
      <c r="BI528" s="470"/>
      <c r="BJ528" s="470"/>
      <c r="BK528" s="470"/>
      <c r="BL528" s="474"/>
    </row>
    <row r="529" spans="1:64">
      <c r="A529" s="475">
        <v>44320</v>
      </c>
      <c r="B529" s="478">
        <v>124</v>
      </c>
      <c r="C529" s="478">
        <v>241</v>
      </c>
      <c r="D529" s="476" t="s">
        <v>620</v>
      </c>
      <c r="E529" s="477">
        <v>18</v>
      </c>
      <c r="F529" s="476" t="s">
        <v>91</v>
      </c>
      <c r="G529" s="477">
        <v>535</v>
      </c>
      <c r="H529" s="476" t="s">
        <v>6249</v>
      </c>
      <c r="I529" s="476" t="s">
        <v>836</v>
      </c>
      <c r="J529" s="477">
        <v>9</v>
      </c>
      <c r="K529" s="476" t="s">
        <v>6264</v>
      </c>
      <c r="L529" s="476" t="s">
        <v>6280</v>
      </c>
      <c r="M529" s="476" t="s">
        <v>9</v>
      </c>
      <c r="N529" s="478">
        <v>1</v>
      </c>
      <c r="O529" s="479"/>
      <c r="P529" s="479"/>
      <c r="Q529" s="479"/>
      <c r="R529" s="476"/>
      <c r="S529" s="479">
        <v>0.13511574074074076</v>
      </c>
      <c r="T529" s="479">
        <v>0.20178240740740741</v>
      </c>
      <c r="U529" s="479"/>
      <c r="V529" s="479"/>
      <c r="W529" s="479">
        <v>0.49520833333333331</v>
      </c>
      <c r="X529" s="479">
        <v>0.78862268518518519</v>
      </c>
      <c r="Y529" s="479">
        <v>7.8472222222222221E-2</v>
      </c>
      <c r="Z529" s="479">
        <v>0.28750000000000003</v>
      </c>
      <c r="AA529" s="479">
        <v>0.49722222222222223</v>
      </c>
      <c r="AB529" s="476" t="s">
        <v>6289</v>
      </c>
      <c r="AC529" s="478">
        <v>131</v>
      </c>
      <c r="AD529" s="476" t="s">
        <v>119</v>
      </c>
      <c r="AE529" s="476"/>
      <c r="AF529" s="478">
        <v>8.9</v>
      </c>
      <c r="AG529" s="477">
        <v>28.1</v>
      </c>
      <c r="AH529" s="476" t="s">
        <v>6307</v>
      </c>
      <c r="AI529" s="476" t="s">
        <v>6318</v>
      </c>
      <c r="AJ529" s="476" t="s">
        <v>6493</v>
      </c>
      <c r="AK529" s="476" t="s">
        <v>6493</v>
      </c>
      <c r="AL529" s="476"/>
      <c r="AM529" s="476"/>
      <c r="AN529" s="476"/>
      <c r="AO529" s="476"/>
      <c r="AP529" s="476"/>
      <c r="AQ529" s="476"/>
      <c r="AR529" s="476"/>
      <c r="AS529" s="476"/>
      <c r="AT529" s="476"/>
      <c r="AU529" s="476"/>
      <c r="AV529" s="476"/>
      <c r="AW529" s="476"/>
      <c r="AX529" s="476"/>
      <c r="AY529" s="476"/>
      <c r="AZ529" s="476"/>
      <c r="BA529" s="476"/>
      <c r="BB529" s="476"/>
      <c r="BC529" s="476"/>
      <c r="BD529" s="476"/>
      <c r="BE529" s="476"/>
      <c r="BF529" s="476"/>
      <c r="BG529" s="476"/>
      <c r="BH529" s="476"/>
      <c r="BI529" s="476"/>
      <c r="BJ529" s="476"/>
      <c r="BK529" s="476"/>
      <c r="BL529" s="480"/>
    </row>
    <row r="530" spans="1:64">
      <c r="A530" s="468">
        <v>44321</v>
      </c>
      <c r="B530" s="473">
        <v>125</v>
      </c>
      <c r="C530" s="473">
        <v>240</v>
      </c>
      <c r="D530" s="470" t="s">
        <v>620</v>
      </c>
      <c r="E530" s="469">
        <v>18</v>
      </c>
      <c r="F530" s="470" t="s">
        <v>94</v>
      </c>
      <c r="G530" s="469">
        <v>535</v>
      </c>
      <c r="H530" s="470" t="s">
        <v>6249</v>
      </c>
      <c r="I530" s="470" t="s">
        <v>836</v>
      </c>
      <c r="J530" s="469">
        <v>10</v>
      </c>
      <c r="K530" s="470" t="s">
        <v>6265</v>
      </c>
      <c r="L530" s="470" t="s">
        <v>6281</v>
      </c>
      <c r="M530" s="470" t="s">
        <v>9</v>
      </c>
      <c r="N530" s="473">
        <v>1</v>
      </c>
      <c r="O530" s="471"/>
      <c r="P530" s="471"/>
      <c r="Q530" s="471"/>
      <c r="R530" s="470"/>
      <c r="S530" s="471">
        <v>0.13428240740740741</v>
      </c>
      <c r="T530" s="471">
        <v>0.20094907407407406</v>
      </c>
      <c r="U530" s="471"/>
      <c r="V530" s="471"/>
      <c r="W530" s="471">
        <v>0.495150462962963</v>
      </c>
      <c r="X530" s="471">
        <v>0.78934027777777782</v>
      </c>
      <c r="Y530" s="471">
        <v>9.9999999999999992E-2</v>
      </c>
      <c r="Z530" s="471">
        <v>0.32083333333333336</v>
      </c>
      <c r="AA530" s="471">
        <v>0.54236111111111118</v>
      </c>
      <c r="AB530" s="470" t="s">
        <v>6289</v>
      </c>
      <c r="AC530" s="473">
        <v>131</v>
      </c>
      <c r="AD530" s="470" t="s">
        <v>119</v>
      </c>
      <c r="AE530" s="470"/>
      <c r="AF530" s="473">
        <v>7.8</v>
      </c>
      <c r="AG530" s="469">
        <v>24.4</v>
      </c>
      <c r="AH530" s="470" t="s">
        <v>6308</v>
      </c>
      <c r="AI530" s="470" t="s">
        <v>6319</v>
      </c>
      <c r="AJ530" s="470" t="s">
        <v>839</v>
      </c>
      <c r="AK530" s="470" t="s">
        <v>6493</v>
      </c>
      <c r="AL530" s="470" t="s">
        <v>6766</v>
      </c>
      <c r="AM530" s="470" t="s">
        <v>6346</v>
      </c>
      <c r="AN530" s="470"/>
      <c r="AO530" s="470"/>
      <c r="AP530" s="470"/>
      <c r="AQ530" s="470"/>
      <c r="AR530" s="470"/>
      <c r="AS530" s="470"/>
      <c r="AT530" s="470"/>
      <c r="AU530" s="470"/>
      <c r="AV530" s="470"/>
      <c r="AW530" s="470"/>
      <c r="AX530" s="470"/>
      <c r="AY530" s="470"/>
      <c r="AZ530" s="470"/>
      <c r="BA530" s="470"/>
      <c r="BB530" s="470"/>
      <c r="BC530" s="470"/>
      <c r="BD530" s="470"/>
      <c r="BE530" s="470"/>
      <c r="BF530" s="470"/>
      <c r="BG530" s="470"/>
      <c r="BH530" s="470"/>
      <c r="BI530" s="470"/>
      <c r="BJ530" s="470" t="s">
        <v>6382</v>
      </c>
      <c r="BK530" s="470"/>
      <c r="BL530" s="474"/>
    </row>
    <row r="531" spans="1:64">
      <c r="A531" s="475">
        <v>44322</v>
      </c>
      <c r="B531" s="478">
        <v>126</v>
      </c>
      <c r="C531" s="478">
        <v>239</v>
      </c>
      <c r="D531" s="476" t="s">
        <v>620</v>
      </c>
      <c r="E531" s="477">
        <v>18</v>
      </c>
      <c r="F531" s="476" t="s">
        <v>6714</v>
      </c>
      <c r="G531" s="477">
        <v>535</v>
      </c>
      <c r="H531" s="476" t="s">
        <v>6249</v>
      </c>
      <c r="I531" s="476" t="s">
        <v>836</v>
      </c>
      <c r="J531" s="477">
        <v>11</v>
      </c>
      <c r="K531" s="476" t="s">
        <v>6271</v>
      </c>
      <c r="L531" s="476" t="s">
        <v>6281</v>
      </c>
      <c r="M531" s="476" t="s">
        <v>9</v>
      </c>
      <c r="N531" s="478">
        <v>1</v>
      </c>
      <c r="O531" s="479"/>
      <c r="P531" s="479"/>
      <c r="Q531" s="479"/>
      <c r="R531" s="476"/>
      <c r="S531" s="479">
        <v>0.13347222222222221</v>
      </c>
      <c r="T531" s="479">
        <v>0.20013888888888889</v>
      </c>
      <c r="U531" s="479"/>
      <c r="V531" s="479"/>
      <c r="W531" s="479">
        <v>0.49509259259259258</v>
      </c>
      <c r="X531" s="479">
        <v>0.7900462962962963</v>
      </c>
      <c r="Y531" s="479">
        <v>0.11805555555555557</v>
      </c>
      <c r="Z531" s="479">
        <v>0.35138888888888892</v>
      </c>
      <c r="AA531" s="479">
        <v>0.58680555555555558</v>
      </c>
      <c r="AB531" s="476" t="s">
        <v>6289</v>
      </c>
      <c r="AC531" s="478">
        <v>131</v>
      </c>
      <c r="AD531" s="476" t="s">
        <v>119</v>
      </c>
      <c r="AE531" s="476"/>
      <c r="AF531" s="478">
        <v>4.3</v>
      </c>
      <c r="AG531" s="477">
        <v>18.5</v>
      </c>
      <c r="AH531" s="476" t="s">
        <v>6309</v>
      </c>
      <c r="AI531" s="476" t="s">
        <v>6341</v>
      </c>
      <c r="AJ531" s="476" t="s">
        <v>6493</v>
      </c>
      <c r="AK531" s="476" t="s">
        <v>6493</v>
      </c>
      <c r="AL531" s="476"/>
      <c r="AM531" s="476"/>
      <c r="AN531" s="476"/>
      <c r="AO531" s="476"/>
      <c r="AP531" s="476"/>
      <c r="AQ531" s="476"/>
      <c r="AR531" s="476"/>
      <c r="AS531" s="476"/>
      <c r="AT531" s="476"/>
      <c r="AU531" s="476"/>
      <c r="AV531" s="476"/>
      <c r="AW531" s="476"/>
      <c r="AX531" s="476"/>
      <c r="AY531" s="476"/>
      <c r="AZ531" s="476"/>
      <c r="BA531" s="476"/>
      <c r="BB531" s="476"/>
      <c r="BC531" s="476"/>
      <c r="BD531" s="476"/>
      <c r="BE531" s="476"/>
      <c r="BF531" s="476"/>
      <c r="BG531" s="476"/>
      <c r="BH531" s="476"/>
      <c r="BI531" s="476"/>
      <c r="BJ531" s="476"/>
      <c r="BK531" s="476"/>
      <c r="BL531" s="480"/>
    </row>
    <row r="532" spans="1:64">
      <c r="A532" s="468">
        <v>44323</v>
      </c>
      <c r="B532" s="473">
        <v>127</v>
      </c>
      <c r="C532" s="473">
        <v>238</v>
      </c>
      <c r="D532" s="470" t="s">
        <v>620</v>
      </c>
      <c r="E532" s="469">
        <v>18</v>
      </c>
      <c r="F532" s="470" t="s">
        <v>100</v>
      </c>
      <c r="G532" s="469">
        <v>535</v>
      </c>
      <c r="H532" s="470" t="s">
        <v>6249</v>
      </c>
      <c r="I532" s="470" t="s">
        <v>836</v>
      </c>
      <c r="J532" s="469">
        <v>11</v>
      </c>
      <c r="K532" s="470" t="s">
        <v>6271</v>
      </c>
      <c r="L532" s="470" t="s">
        <v>6282</v>
      </c>
      <c r="M532" s="470" t="s">
        <v>10</v>
      </c>
      <c r="N532" s="473">
        <v>1</v>
      </c>
      <c r="O532" s="471"/>
      <c r="P532" s="471"/>
      <c r="Q532" s="471"/>
      <c r="R532" s="470"/>
      <c r="S532" s="471">
        <v>0.13267361111111112</v>
      </c>
      <c r="T532" s="471">
        <v>0.19934027777777777</v>
      </c>
      <c r="U532" s="471"/>
      <c r="V532" s="471"/>
      <c r="W532" s="471">
        <v>0.49504629629629626</v>
      </c>
      <c r="X532" s="471">
        <v>0.79076388888888882</v>
      </c>
      <c r="Y532" s="471">
        <v>0.13472222222222222</v>
      </c>
      <c r="Z532" s="471">
        <v>0.38055555555555554</v>
      </c>
      <c r="AA532" s="471">
        <v>0.62847222222222221</v>
      </c>
      <c r="AB532" s="470" t="s">
        <v>6289</v>
      </c>
      <c r="AC532" s="473">
        <v>131</v>
      </c>
      <c r="AD532" s="470" t="s">
        <v>119</v>
      </c>
      <c r="AE532" s="470"/>
      <c r="AF532" s="473">
        <v>98.8</v>
      </c>
      <c r="AG532" s="469">
        <v>10.8</v>
      </c>
      <c r="AH532" s="470" t="s">
        <v>6310</v>
      </c>
      <c r="AI532" s="470" t="s">
        <v>6320</v>
      </c>
      <c r="AJ532" s="470" t="s">
        <v>838</v>
      </c>
      <c r="AK532" s="470" t="s">
        <v>13</v>
      </c>
      <c r="AL532" s="470" t="s">
        <v>6767</v>
      </c>
      <c r="AM532" s="470" t="s">
        <v>6342</v>
      </c>
      <c r="AN532" s="470" t="s">
        <v>6988</v>
      </c>
      <c r="AO532" s="470" t="s">
        <v>6351</v>
      </c>
      <c r="AP532" s="470" t="s">
        <v>6727</v>
      </c>
      <c r="AQ532" s="470"/>
      <c r="AR532" s="470"/>
      <c r="AS532" s="470"/>
      <c r="AT532" s="470"/>
      <c r="AU532" s="470"/>
      <c r="AV532" s="470"/>
      <c r="AW532" s="470"/>
      <c r="AX532" s="470"/>
      <c r="AY532" s="470"/>
      <c r="AZ532" s="470"/>
      <c r="BA532" s="470"/>
      <c r="BB532" s="470"/>
      <c r="BC532" s="470"/>
      <c r="BD532" s="470"/>
      <c r="BE532" s="470"/>
      <c r="BF532" s="470"/>
      <c r="BG532" s="470"/>
      <c r="BH532" s="470"/>
      <c r="BI532" s="470"/>
      <c r="BJ532" s="470"/>
      <c r="BK532" s="470"/>
      <c r="BL532" s="474"/>
    </row>
    <row r="533" spans="1:64">
      <c r="A533" s="475">
        <v>44324</v>
      </c>
      <c r="B533" s="478">
        <v>128</v>
      </c>
      <c r="C533" s="478">
        <v>237</v>
      </c>
      <c r="D533" s="476" t="s">
        <v>620</v>
      </c>
      <c r="E533" s="477">
        <v>18</v>
      </c>
      <c r="F533" s="476" t="s">
        <v>103</v>
      </c>
      <c r="G533" s="477">
        <v>535</v>
      </c>
      <c r="H533" s="476" t="s">
        <v>6249</v>
      </c>
      <c r="I533" s="476" t="s">
        <v>836</v>
      </c>
      <c r="J533" s="477">
        <v>12</v>
      </c>
      <c r="K533" s="476" t="s">
        <v>6266</v>
      </c>
      <c r="L533" s="476" t="s">
        <v>6283</v>
      </c>
      <c r="M533" s="476" t="s">
        <v>9</v>
      </c>
      <c r="N533" s="478">
        <v>1</v>
      </c>
      <c r="O533" s="479"/>
      <c r="P533" s="479"/>
      <c r="Q533" s="479"/>
      <c r="R533" s="476"/>
      <c r="S533" s="479">
        <v>0.13188657407407409</v>
      </c>
      <c r="T533" s="479">
        <v>0.19855324074074074</v>
      </c>
      <c r="U533" s="479">
        <v>0.19791666666666666</v>
      </c>
      <c r="V533" s="479">
        <v>0.28680555555555554</v>
      </c>
      <c r="W533" s="479">
        <v>0.49501157407407409</v>
      </c>
      <c r="X533" s="479">
        <v>0.79145833333333337</v>
      </c>
      <c r="Y533" s="479">
        <v>0.15</v>
      </c>
      <c r="Z533" s="479">
        <v>0.40833333333333338</v>
      </c>
      <c r="AA533" s="479">
        <v>0.67013888888888884</v>
      </c>
      <c r="AB533" s="476" t="s">
        <v>6289</v>
      </c>
      <c r="AC533" s="478">
        <v>131</v>
      </c>
      <c r="AD533" s="476" t="s">
        <v>119</v>
      </c>
      <c r="AE533" s="476"/>
      <c r="AF533" s="478">
        <v>91.8</v>
      </c>
      <c r="AG533" s="477">
        <v>1.7</v>
      </c>
      <c r="AH533" s="476" t="s">
        <v>6311</v>
      </c>
      <c r="AI533" s="476" t="s">
        <v>6321</v>
      </c>
      <c r="AJ533" s="476" t="s">
        <v>839</v>
      </c>
      <c r="AK533" s="476" t="s">
        <v>6493</v>
      </c>
      <c r="AL533" s="476" t="s">
        <v>6866</v>
      </c>
      <c r="AM533" s="476" t="s">
        <v>6343</v>
      </c>
      <c r="AN533" s="476"/>
      <c r="AO533" s="476"/>
      <c r="AP533" s="476"/>
      <c r="AQ533" s="476"/>
      <c r="AR533" s="476"/>
      <c r="AS533" s="476"/>
      <c r="AT533" s="476"/>
      <c r="AU533" s="476"/>
      <c r="AV533" s="476"/>
      <c r="AW533" s="476"/>
      <c r="AX533" s="476"/>
      <c r="AY533" s="476"/>
      <c r="AZ533" s="476"/>
      <c r="BA533" s="476"/>
      <c r="BB533" s="476"/>
      <c r="BC533" s="476"/>
      <c r="BD533" s="476"/>
      <c r="BE533" s="476"/>
      <c r="BF533" s="476"/>
      <c r="BG533" s="476"/>
      <c r="BH533" s="476"/>
      <c r="BI533" s="476"/>
      <c r="BJ533" s="476"/>
      <c r="BK533" s="476"/>
      <c r="BL533" s="480"/>
    </row>
    <row r="534" spans="1:64">
      <c r="A534" s="468">
        <v>44325</v>
      </c>
      <c r="B534" s="473">
        <v>129</v>
      </c>
      <c r="C534" s="473">
        <v>236</v>
      </c>
      <c r="D534" s="470" t="s">
        <v>620</v>
      </c>
      <c r="E534" s="469">
        <v>18</v>
      </c>
      <c r="F534" s="470" t="s">
        <v>106</v>
      </c>
      <c r="G534" s="469">
        <v>535</v>
      </c>
      <c r="H534" s="470" t="s">
        <v>6249</v>
      </c>
      <c r="I534" s="470" t="s">
        <v>836</v>
      </c>
      <c r="J534" s="469">
        <v>13</v>
      </c>
      <c r="K534" s="470" t="s">
        <v>6267</v>
      </c>
      <c r="L534" s="470" t="s">
        <v>6284</v>
      </c>
      <c r="M534" s="470" t="s">
        <v>9</v>
      </c>
      <c r="N534" s="473">
        <v>1</v>
      </c>
      <c r="O534" s="471"/>
      <c r="P534" s="471"/>
      <c r="Q534" s="471"/>
      <c r="R534" s="470"/>
      <c r="S534" s="471">
        <v>0.13111111111111109</v>
      </c>
      <c r="T534" s="471">
        <v>0.19777777777777775</v>
      </c>
      <c r="U534" s="471"/>
      <c r="V534" s="471"/>
      <c r="W534" s="471">
        <v>0.49497685185185186</v>
      </c>
      <c r="X534" s="471">
        <v>0.79216435185185186</v>
      </c>
      <c r="Y534" s="471">
        <v>0.16527777777777777</v>
      </c>
      <c r="Z534" s="471">
        <v>0.4368055555555555</v>
      </c>
      <c r="AA534" s="471">
        <v>0.71180555555555547</v>
      </c>
      <c r="AB534" s="470" t="s">
        <v>6289</v>
      </c>
      <c r="AC534" s="473">
        <v>131</v>
      </c>
      <c r="AD534" s="470" t="s">
        <v>119</v>
      </c>
      <c r="AE534" s="470"/>
      <c r="AF534" s="473">
        <v>83.6</v>
      </c>
      <c r="AG534" s="469">
        <v>91.6</v>
      </c>
      <c r="AH534" s="470" t="s">
        <v>6311</v>
      </c>
      <c r="AI534" s="470" t="s">
        <v>6322</v>
      </c>
      <c r="AJ534" s="470" t="s">
        <v>6493</v>
      </c>
      <c r="AK534" s="470" t="s">
        <v>6493</v>
      </c>
      <c r="AL534" s="470" t="s">
        <v>807</v>
      </c>
      <c r="AM534" s="470"/>
      <c r="AN534" s="470"/>
      <c r="AO534" s="470"/>
      <c r="AP534" s="470"/>
      <c r="AQ534" s="470"/>
      <c r="AR534" s="470"/>
      <c r="AS534" s="470"/>
      <c r="AT534" s="470"/>
      <c r="AU534" s="470"/>
      <c r="AV534" s="470"/>
      <c r="AW534" s="470"/>
      <c r="AX534" s="470"/>
      <c r="AY534" s="470"/>
      <c r="AZ534" s="470"/>
      <c r="BA534" s="470"/>
      <c r="BB534" s="470"/>
      <c r="BC534" s="470"/>
      <c r="BD534" s="470"/>
      <c r="BE534" s="470"/>
      <c r="BF534" s="470"/>
      <c r="BG534" s="470"/>
      <c r="BH534" s="470"/>
      <c r="BI534" s="470"/>
      <c r="BJ534" s="470"/>
      <c r="BK534" s="470"/>
      <c r="BL534" s="474"/>
    </row>
    <row r="535" spans="1:64">
      <c r="A535" s="475">
        <v>44326</v>
      </c>
      <c r="B535" s="478">
        <v>130</v>
      </c>
      <c r="C535" s="478">
        <v>235</v>
      </c>
      <c r="D535" s="476" t="s">
        <v>620</v>
      </c>
      <c r="E535" s="477">
        <v>19</v>
      </c>
      <c r="F535" s="476" t="s">
        <v>88</v>
      </c>
      <c r="G535" s="477">
        <v>535</v>
      </c>
      <c r="H535" s="476" t="s">
        <v>6249</v>
      </c>
      <c r="I535" s="476" t="s">
        <v>836</v>
      </c>
      <c r="J535" s="477">
        <v>14</v>
      </c>
      <c r="K535" s="476" t="s">
        <v>6268</v>
      </c>
      <c r="L535" s="476" t="s">
        <v>6285</v>
      </c>
      <c r="M535" s="476" t="s">
        <v>9</v>
      </c>
      <c r="N535" s="478">
        <v>1</v>
      </c>
      <c r="O535" s="479"/>
      <c r="P535" s="479"/>
      <c r="Q535" s="479"/>
      <c r="R535" s="476"/>
      <c r="S535" s="479">
        <v>0.13035879629629629</v>
      </c>
      <c r="T535" s="479">
        <v>0.19702546296296297</v>
      </c>
      <c r="U535" s="479"/>
      <c r="V535" s="479"/>
      <c r="W535" s="479">
        <v>0.49494212962962963</v>
      </c>
      <c r="X535" s="479">
        <v>0.7928587962962963</v>
      </c>
      <c r="Y535" s="479">
        <v>0.18124999999999999</v>
      </c>
      <c r="Z535" s="479">
        <v>0.46527777777777773</v>
      </c>
      <c r="AA535" s="479">
        <v>0.75277777777777777</v>
      </c>
      <c r="AB535" s="476" t="s">
        <v>6289</v>
      </c>
      <c r="AC535" s="478">
        <v>131</v>
      </c>
      <c r="AD535" s="476" t="s">
        <v>119</v>
      </c>
      <c r="AE535" s="476"/>
      <c r="AF535" s="478">
        <v>74.599999999999994</v>
      </c>
      <c r="AG535" s="477">
        <v>80.7</v>
      </c>
      <c r="AH535" s="476" t="s">
        <v>6312</v>
      </c>
      <c r="AI535" s="476" t="s">
        <v>6323</v>
      </c>
      <c r="AJ535" s="476" t="s">
        <v>6493</v>
      </c>
      <c r="AK535" s="476" t="s">
        <v>6493</v>
      </c>
      <c r="AL535" s="476"/>
      <c r="AM535" s="476"/>
      <c r="AN535" s="476"/>
      <c r="AO535" s="476"/>
      <c r="AP535" s="476"/>
      <c r="AQ535" s="476"/>
      <c r="AR535" s="476"/>
      <c r="AS535" s="476"/>
      <c r="AT535" s="476"/>
      <c r="AU535" s="476"/>
      <c r="AV535" s="476"/>
      <c r="AW535" s="476"/>
      <c r="AX535" s="476"/>
      <c r="AY535" s="476"/>
      <c r="AZ535" s="476"/>
      <c r="BA535" s="476"/>
      <c r="BB535" s="476"/>
      <c r="BC535" s="476"/>
      <c r="BD535" s="476"/>
      <c r="BE535" s="476"/>
      <c r="BF535" s="476"/>
      <c r="BG535" s="476"/>
      <c r="BH535" s="476"/>
      <c r="BI535" s="476"/>
      <c r="BJ535" s="476"/>
      <c r="BK535" s="476"/>
      <c r="BL535" s="480"/>
    </row>
    <row r="536" spans="1:64">
      <c r="A536" s="468">
        <v>44327</v>
      </c>
      <c r="B536" s="473">
        <v>131</v>
      </c>
      <c r="C536" s="473">
        <v>234</v>
      </c>
      <c r="D536" s="470" t="s">
        <v>620</v>
      </c>
      <c r="E536" s="469">
        <v>19</v>
      </c>
      <c r="F536" s="470" t="s">
        <v>91</v>
      </c>
      <c r="G536" s="469">
        <v>535</v>
      </c>
      <c r="H536" s="470" t="s">
        <v>6249</v>
      </c>
      <c r="I536" s="470" t="s">
        <v>836</v>
      </c>
      <c r="J536" s="469">
        <v>15</v>
      </c>
      <c r="K536" s="470" t="s">
        <v>6269</v>
      </c>
      <c r="L536" s="470" t="s">
        <v>6286</v>
      </c>
      <c r="M536" s="470" t="s">
        <v>9</v>
      </c>
      <c r="N536" s="473">
        <v>1</v>
      </c>
      <c r="O536" s="471"/>
      <c r="P536" s="471"/>
      <c r="Q536" s="471"/>
      <c r="R536" s="470"/>
      <c r="S536" s="471">
        <v>0.12962962962962962</v>
      </c>
      <c r="T536" s="471">
        <v>0.1962962962962963</v>
      </c>
      <c r="U536" s="471"/>
      <c r="V536" s="471"/>
      <c r="W536" s="471">
        <v>0.4949305555555556</v>
      </c>
      <c r="X536" s="471">
        <v>0.79355324074074074</v>
      </c>
      <c r="Y536" s="471">
        <v>0.1986111111111111</v>
      </c>
      <c r="Z536" s="471">
        <v>0.49444444444444446</v>
      </c>
      <c r="AA536" s="471">
        <v>0.7944444444444444</v>
      </c>
      <c r="AB536" s="470" t="s">
        <v>6463</v>
      </c>
      <c r="AC536" s="473">
        <v>152</v>
      </c>
      <c r="AD536" s="470" t="s">
        <v>110</v>
      </c>
      <c r="AE536" s="470" t="s">
        <v>6614</v>
      </c>
      <c r="AF536" s="473">
        <v>65</v>
      </c>
      <c r="AG536" s="469">
        <v>69.3</v>
      </c>
      <c r="AH536" s="470" t="s">
        <v>6313</v>
      </c>
      <c r="AI536" s="470" t="s">
        <v>6324</v>
      </c>
      <c r="AJ536" s="470" t="s">
        <v>839</v>
      </c>
      <c r="AK536" s="470" t="s">
        <v>6493</v>
      </c>
      <c r="AL536" s="470" t="s">
        <v>6769</v>
      </c>
      <c r="AM536" s="470" t="s">
        <v>6346</v>
      </c>
      <c r="AN536" s="470"/>
      <c r="AO536" s="470"/>
      <c r="AP536" s="470"/>
      <c r="AQ536" s="470"/>
      <c r="AR536" s="470"/>
      <c r="AS536" s="470"/>
      <c r="AT536" s="470"/>
      <c r="AU536" s="470"/>
      <c r="AV536" s="470"/>
      <c r="AW536" s="470"/>
      <c r="AX536" s="470"/>
      <c r="AY536" s="470"/>
      <c r="AZ536" s="470"/>
      <c r="BA536" s="470"/>
      <c r="BB536" s="470"/>
      <c r="BC536" s="470"/>
      <c r="BD536" s="470"/>
      <c r="BE536" s="470"/>
      <c r="BF536" s="470"/>
      <c r="BG536" s="470"/>
      <c r="BH536" s="470"/>
      <c r="BI536" s="470"/>
      <c r="BJ536" s="470" t="s">
        <v>1016</v>
      </c>
      <c r="BK536" s="470"/>
      <c r="BL536" s="474"/>
    </row>
    <row r="537" spans="1:64">
      <c r="A537" s="475">
        <v>44328</v>
      </c>
      <c r="B537" s="478">
        <v>132</v>
      </c>
      <c r="C537" s="478">
        <v>233</v>
      </c>
      <c r="D537" s="476" t="s">
        <v>620</v>
      </c>
      <c r="E537" s="477">
        <v>19</v>
      </c>
      <c r="F537" s="476" t="s">
        <v>94</v>
      </c>
      <c r="G537" s="477">
        <v>535</v>
      </c>
      <c r="H537" s="476" t="s">
        <v>6249</v>
      </c>
      <c r="I537" s="476" t="s">
        <v>6257</v>
      </c>
      <c r="J537" s="477">
        <v>16</v>
      </c>
      <c r="K537" s="476" t="s">
        <v>6270</v>
      </c>
      <c r="L537" s="476" t="s">
        <v>6287</v>
      </c>
      <c r="M537" s="476" t="s">
        <v>9</v>
      </c>
      <c r="N537" s="478">
        <v>1</v>
      </c>
      <c r="O537" s="479"/>
      <c r="P537" s="479"/>
      <c r="Q537" s="479"/>
      <c r="R537" s="476"/>
      <c r="S537" s="479">
        <v>0.12891203703703705</v>
      </c>
      <c r="T537" s="479">
        <v>0.1955787037037037</v>
      </c>
      <c r="U537" s="479"/>
      <c r="V537" s="479"/>
      <c r="W537" s="479">
        <v>0.49490740740740741</v>
      </c>
      <c r="X537" s="479">
        <v>0.79424768518518529</v>
      </c>
      <c r="Y537" s="479">
        <v>0.21736111111111112</v>
      </c>
      <c r="Z537" s="479">
        <v>0.52500000000000002</v>
      </c>
      <c r="AA537" s="479">
        <v>0.83680555555555547</v>
      </c>
      <c r="AB537" s="476" t="s">
        <v>6463</v>
      </c>
      <c r="AC537" s="478">
        <v>152</v>
      </c>
      <c r="AD537" s="476" t="s">
        <v>110</v>
      </c>
      <c r="AE537" s="476"/>
      <c r="AF537" s="478">
        <v>55.1</v>
      </c>
      <c r="AG537" s="477">
        <v>57.7</v>
      </c>
      <c r="AH537" s="476" t="s">
        <v>6314</v>
      </c>
      <c r="AI537" s="476" t="s">
        <v>6325</v>
      </c>
      <c r="AJ537" s="476" t="s">
        <v>6493</v>
      </c>
      <c r="AK537" s="476" t="s">
        <v>6493</v>
      </c>
      <c r="AL537" s="476"/>
      <c r="AM537" s="476"/>
      <c r="AN537" s="476"/>
      <c r="AO537" s="476"/>
      <c r="AP537" s="476"/>
      <c r="AQ537" s="476"/>
      <c r="AR537" s="476"/>
      <c r="AS537" s="476"/>
      <c r="AT537" s="476"/>
      <c r="AU537" s="476"/>
      <c r="AV537" s="476"/>
      <c r="AW537" s="476"/>
      <c r="AX537" s="476"/>
      <c r="AY537" s="476"/>
      <c r="AZ537" s="476"/>
      <c r="BA537" s="476"/>
      <c r="BB537" s="476"/>
      <c r="BC537" s="476"/>
      <c r="BD537" s="476"/>
      <c r="BE537" s="476"/>
      <c r="BF537" s="476"/>
      <c r="BG537" s="476"/>
      <c r="BH537" s="476"/>
      <c r="BI537" s="476"/>
      <c r="BJ537" s="476"/>
      <c r="BK537" s="476"/>
      <c r="BL537" s="480"/>
    </row>
    <row r="538" spans="1:64">
      <c r="A538" s="468">
        <v>44329</v>
      </c>
      <c r="B538" s="473">
        <v>133</v>
      </c>
      <c r="C538" s="473">
        <v>232</v>
      </c>
      <c r="D538" s="470" t="s">
        <v>620</v>
      </c>
      <c r="E538" s="469">
        <v>19</v>
      </c>
      <c r="F538" s="470" t="s">
        <v>6714</v>
      </c>
      <c r="G538" s="469">
        <v>535</v>
      </c>
      <c r="H538" s="470" t="s">
        <v>6249</v>
      </c>
      <c r="I538" s="470" t="s">
        <v>6257</v>
      </c>
      <c r="J538" s="469">
        <v>17</v>
      </c>
      <c r="K538" s="470" t="s">
        <v>1034</v>
      </c>
      <c r="L538" s="470" t="s">
        <v>6273</v>
      </c>
      <c r="M538" s="470" t="s">
        <v>9</v>
      </c>
      <c r="N538" s="473">
        <v>1</v>
      </c>
      <c r="O538" s="471"/>
      <c r="P538" s="471"/>
      <c r="Q538" s="471"/>
      <c r="R538" s="470"/>
      <c r="S538" s="471">
        <v>0.12820601851851851</v>
      </c>
      <c r="T538" s="471">
        <v>0.19487268518518519</v>
      </c>
      <c r="U538" s="471"/>
      <c r="V538" s="471"/>
      <c r="W538" s="471">
        <v>0.49490740740740741</v>
      </c>
      <c r="X538" s="471">
        <v>0.79493055555555558</v>
      </c>
      <c r="Y538" s="471">
        <v>0.24027777777777778</v>
      </c>
      <c r="Z538" s="471">
        <v>0.55694444444444446</v>
      </c>
      <c r="AA538" s="471">
        <v>0.87847222222222221</v>
      </c>
      <c r="AB538" s="470" t="s">
        <v>6463</v>
      </c>
      <c r="AC538" s="473">
        <v>152</v>
      </c>
      <c r="AD538" s="470" t="s">
        <v>110</v>
      </c>
      <c r="AE538" s="470"/>
      <c r="AF538" s="473">
        <v>45.3</v>
      </c>
      <c r="AG538" s="469">
        <v>46.1</v>
      </c>
      <c r="AH538" s="470" t="s">
        <v>973</v>
      </c>
      <c r="AI538" s="470" t="s">
        <v>6326</v>
      </c>
      <c r="AJ538" s="470" t="s">
        <v>6493</v>
      </c>
      <c r="AK538" s="470" t="s">
        <v>6493</v>
      </c>
      <c r="AL538" s="470" t="s">
        <v>758</v>
      </c>
      <c r="AM538" s="470"/>
      <c r="AN538" s="470"/>
      <c r="AO538" s="470"/>
      <c r="AP538" s="470"/>
      <c r="AQ538" s="470"/>
      <c r="AR538" s="470"/>
      <c r="AS538" s="470"/>
      <c r="AT538" s="470"/>
      <c r="AU538" s="470"/>
      <c r="AV538" s="470"/>
      <c r="AW538" s="470"/>
      <c r="AX538" s="470"/>
      <c r="AY538" s="470"/>
      <c r="AZ538" s="470"/>
      <c r="BA538" s="470"/>
      <c r="BB538" s="470"/>
      <c r="BC538" s="470"/>
      <c r="BD538" s="470"/>
      <c r="BE538" s="470"/>
      <c r="BF538" s="470"/>
      <c r="BG538" s="470"/>
      <c r="BH538" s="470"/>
      <c r="BI538" s="470"/>
      <c r="BJ538" s="470"/>
      <c r="BK538" s="470"/>
      <c r="BL538" s="474"/>
    </row>
    <row r="539" spans="1:64">
      <c r="A539" s="475">
        <v>44330</v>
      </c>
      <c r="B539" s="478">
        <v>134</v>
      </c>
      <c r="C539" s="478">
        <v>231</v>
      </c>
      <c r="D539" s="476" t="s">
        <v>620</v>
      </c>
      <c r="E539" s="477">
        <v>19</v>
      </c>
      <c r="F539" s="476" t="s">
        <v>100</v>
      </c>
      <c r="G539" s="477">
        <v>535</v>
      </c>
      <c r="H539" s="476" t="s">
        <v>6249</v>
      </c>
      <c r="I539" s="476" t="s">
        <v>6257</v>
      </c>
      <c r="J539" s="477">
        <v>18</v>
      </c>
      <c r="K539" s="476" t="s">
        <v>6258</v>
      </c>
      <c r="L539" s="476" t="s">
        <v>6274</v>
      </c>
      <c r="M539" s="476" t="s">
        <v>9</v>
      </c>
      <c r="N539" s="478">
        <v>1</v>
      </c>
      <c r="O539" s="479"/>
      <c r="P539" s="479"/>
      <c r="Q539" s="479"/>
      <c r="R539" s="476"/>
      <c r="S539" s="479">
        <v>0.12753472222222223</v>
      </c>
      <c r="T539" s="479">
        <v>0.19420138888888891</v>
      </c>
      <c r="U539" s="479"/>
      <c r="V539" s="479"/>
      <c r="W539" s="479">
        <v>0.49490740740740741</v>
      </c>
      <c r="X539" s="479">
        <v>0.79561342592592599</v>
      </c>
      <c r="Y539" s="479">
        <v>0.26597222222222222</v>
      </c>
      <c r="Z539" s="479">
        <v>0.59097222222222223</v>
      </c>
      <c r="AA539" s="479">
        <v>0.91805555555555562</v>
      </c>
      <c r="AB539" s="476" t="s">
        <v>6463</v>
      </c>
      <c r="AC539" s="478">
        <v>152</v>
      </c>
      <c r="AD539" s="476" t="s">
        <v>110</v>
      </c>
      <c r="AE539" s="476"/>
      <c r="AF539" s="478">
        <v>35.9</v>
      </c>
      <c r="AG539" s="477">
        <v>34.799999999999997</v>
      </c>
      <c r="AH539" s="476" t="s">
        <v>6290</v>
      </c>
      <c r="AI539" s="476" t="s">
        <v>6327</v>
      </c>
      <c r="AJ539" s="476" t="s">
        <v>839</v>
      </c>
      <c r="AK539" s="476" t="s">
        <v>6493</v>
      </c>
      <c r="AL539" s="476" t="s">
        <v>6778</v>
      </c>
      <c r="AM539" s="476" t="s">
        <v>6162</v>
      </c>
      <c r="AN539" s="476" t="s">
        <v>6770</v>
      </c>
      <c r="AO539" s="476" t="s">
        <v>6344</v>
      </c>
      <c r="AP539" s="476"/>
      <c r="AQ539" s="476"/>
      <c r="AR539" s="476"/>
      <c r="AS539" s="476"/>
      <c r="AT539" s="476"/>
      <c r="AU539" s="476"/>
      <c r="AV539" s="476"/>
      <c r="AW539" s="476"/>
      <c r="AX539" s="476"/>
      <c r="AY539" s="476"/>
      <c r="AZ539" s="476"/>
      <c r="BA539" s="476"/>
      <c r="BB539" s="476"/>
      <c r="BC539" s="476"/>
      <c r="BD539" s="476"/>
      <c r="BE539" s="476"/>
      <c r="BF539" s="476"/>
      <c r="BG539" s="476"/>
      <c r="BH539" s="476"/>
      <c r="BI539" s="476"/>
      <c r="BJ539" s="476" t="s">
        <v>6654</v>
      </c>
      <c r="BK539" s="476"/>
      <c r="BL539" s="480"/>
    </row>
    <row r="540" spans="1:64">
      <c r="A540" s="468">
        <v>44331</v>
      </c>
      <c r="B540" s="473">
        <v>135</v>
      </c>
      <c r="C540" s="473">
        <v>230</v>
      </c>
      <c r="D540" s="470" t="s">
        <v>620</v>
      </c>
      <c r="E540" s="469">
        <v>19</v>
      </c>
      <c r="F540" s="470" t="s">
        <v>103</v>
      </c>
      <c r="G540" s="469">
        <v>535</v>
      </c>
      <c r="H540" s="470" t="s">
        <v>6249</v>
      </c>
      <c r="I540" s="470" t="s">
        <v>6257</v>
      </c>
      <c r="J540" s="469">
        <v>19</v>
      </c>
      <c r="K540" s="470" t="s">
        <v>6259</v>
      </c>
      <c r="L540" s="470" t="s">
        <v>6275</v>
      </c>
      <c r="M540" s="470" t="s">
        <v>9</v>
      </c>
      <c r="N540" s="473">
        <v>1</v>
      </c>
      <c r="O540" s="471"/>
      <c r="P540" s="471"/>
      <c r="Q540" s="471">
        <v>0.53328703703703706</v>
      </c>
      <c r="R540" s="470" t="s">
        <v>19</v>
      </c>
      <c r="S540" s="471">
        <v>0.12686342592592592</v>
      </c>
      <c r="T540" s="471">
        <v>0.1935300925925926</v>
      </c>
      <c r="U540" s="471"/>
      <c r="V540" s="471"/>
      <c r="W540" s="471">
        <v>0.49490740740740741</v>
      </c>
      <c r="X540" s="471">
        <v>0.79628472222222213</v>
      </c>
      <c r="Y540" s="471">
        <v>0.29722222222222222</v>
      </c>
      <c r="Z540" s="471">
        <v>0.62638888888888888</v>
      </c>
      <c r="AA540" s="471">
        <v>0.95416666666666661</v>
      </c>
      <c r="AB540" s="470" t="s">
        <v>6463</v>
      </c>
      <c r="AC540" s="473">
        <v>152</v>
      </c>
      <c r="AD540" s="470" t="s">
        <v>110</v>
      </c>
      <c r="AE540" s="470"/>
      <c r="AF540" s="473">
        <v>27.2</v>
      </c>
      <c r="AG540" s="469">
        <v>24.2</v>
      </c>
      <c r="AH540" s="470" t="s">
        <v>6315</v>
      </c>
      <c r="AI540" s="470" t="s">
        <v>6328</v>
      </c>
      <c r="AJ540" s="470" t="s">
        <v>6493</v>
      </c>
      <c r="AK540" s="470" t="s">
        <v>6493</v>
      </c>
      <c r="AL540" s="470" t="s">
        <v>6867</v>
      </c>
      <c r="AM540" s="470"/>
      <c r="AN540" s="470"/>
      <c r="AO540" s="470"/>
      <c r="AP540" s="470"/>
      <c r="AQ540" s="470"/>
      <c r="AR540" s="470"/>
      <c r="AS540" s="470"/>
      <c r="AT540" s="470"/>
      <c r="AU540" s="470"/>
      <c r="AV540" s="470"/>
      <c r="AW540" s="470"/>
      <c r="AX540" s="470"/>
      <c r="AY540" s="470"/>
      <c r="AZ540" s="470"/>
      <c r="BA540" s="470"/>
      <c r="BB540" s="470"/>
      <c r="BC540" s="470"/>
      <c r="BD540" s="470"/>
      <c r="BE540" s="470"/>
      <c r="BF540" s="470"/>
      <c r="BG540" s="470"/>
      <c r="BH540" s="470"/>
      <c r="BI540" s="470"/>
      <c r="BJ540" s="470"/>
      <c r="BK540" s="470"/>
      <c r="BL540" s="474"/>
    </row>
    <row r="541" spans="1:64">
      <c r="A541" s="475">
        <v>44332</v>
      </c>
      <c r="B541" s="478">
        <v>136</v>
      </c>
      <c r="C541" s="478">
        <v>229</v>
      </c>
      <c r="D541" s="476" t="s">
        <v>620</v>
      </c>
      <c r="E541" s="477">
        <v>19</v>
      </c>
      <c r="F541" s="476" t="s">
        <v>106</v>
      </c>
      <c r="G541" s="477">
        <v>535</v>
      </c>
      <c r="H541" s="476" t="s">
        <v>6249</v>
      </c>
      <c r="I541" s="476" t="s">
        <v>6257</v>
      </c>
      <c r="J541" s="477">
        <v>20</v>
      </c>
      <c r="K541" s="476" t="s">
        <v>6260</v>
      </c>
      <c r="L541" s="476" t="s">
        <v>6276</v>
      </c>
      <c r="M541" s="476" t="s">
        <v>9</v>
      </c>
      <c r="N541" s="478">
        <v>1</v>
      </c>
      <c r="O541" s="479"/>
      <c r="P541" s="479"/>
      <c r="Q541" s="479"/>
      <c r="R541" s="476"/>
      <c r="S541" s="479">
        <v>0.12622685185185187</v>
      </c>
      <c r="T541" s="479">
        <v>0.19289351851851852</v>
      </c>
      <c r="U541" s="479"/>
      <c r="V541" s="479"/>
      <c r="W541" s="479">
        <v>0.49491898148148145</v>
      </c>
      <c r="X541" s="479">
        <v>0.79695601851851849</v>
      </c>
      <c r="Y541" s="479">
        <v>0.33402777777777781</v>
      </c>
      <c r="Z541" s="479">
        <v>0.66180555555555554</v>
      </c>
      <c r="AA541" s="479">
        <v>0.98749999999999993</v>
      </c>
      <c r="AB541" s="476" t="s">
        <v>6463</v>
      </c>
      <c r="AC541" s="478">
        <v>152</v>
      </c>
      <c r="AD541" s="476" t="s">
        <v>110</v>
      </c>
      <c r="AE541" s="476"/>
      <c r="AF541" s="478">
        <v>19.7</v>
      </c>
      <c r="AG541" s="477">
        <v>14.7</v>
      </c>
      <c r="AH541" s="476" t="s">
        <v>6291</v>
      </c>
      <c r="AI541" s="476" t="s">
        <v>6329</v>
      </c>
      <c r="AJ541" s="476" t="s">
        <v>6493</v>
      </c>
      <c r="AK541" s="476" t="s">
        <v>6493</v>
      </c>
      <c r="AL541" s="476"/>
      <c r="AM541" s="476"/>
      <c r="AN541" s="476"/>
      <c r="AO541" s="476"/>
      <c r="AP541" s="476"/>
      <c r="AQ541" s="476"/>
      <c r="AR541" s="476"/>
      <c r="AS541" s="476"/>
      <c r="AT541" s="476"/>
      <c r="AU541" s="476"/>
      <c r="AV541" s="476"/>
      <c r="AW541" s="476"/>
      <c r="AX541" s="476"/>
      <c r="AY541" s="476"/>
      <c r="AZ541" s="476"/>
      <c r="BA541" s="476"/>
      <c r="BB541" s="476"/>
      <c r="BC541" s="476"/>
      <c r="BD541" s="476"/>
      <c r="BE541" s="476"/>
      <c r="BF541" s="476"/>
      <c r="BG541" s="476"/>
      <c r="BH541" s="476"/>
      <c r="BI541" s="476"/>
      <c r="BJ541" s="476"/>
      <c r="BK541" s="476"/>
      <c r="BL541" s="480"/>
    </row>
    <row r="542" spans="1:64">
      <c r="A542" s="468">
        <v>44333</v>
      </c>
      <c r="B542" s="473">
        <v>137</v>
      </c>
      <c r="C542" s="473">
        <v>228</v>
      </c>
      <c r="D542" s="470" t="s">
        <v>620</v>
      </c>
      <c r="E542" s="469">
        <v>20</v>
      </c>
      <c r="F542" s="470" t="s">
        <v>88</v>
      </c>
      <c r="G542" s="469">
        <v>535</v>
      </c>
      <c r="H542" s="470" t="s">
        <v>6249</v>
      </c>
      <c r="I542" s="470" t="s">
        <v>6257</v>
      </c>
      <c r="J542" s="469">
        <v>21</v>
      </c>
      <c r="K542" s="470" t="s">
        <v>6261</v>
      </c>
      <c r="L542" s="470" t="s">
        <v>6277</v>
      </c>
      <c r="M542" s="470" t="s">
        <v>9</v>
      </c>
      <c r="N542" s="473">
        <v>1</v>
      </c>
      <c r="O542" s="471"/>
      <c r="P542" s="471"/>
      <c r="Q542" s="471"/>
      <c r="R542" s="470"/>
      <c r="S542" s="471">
        <v>0.12560185185185185</v>
      </c>
      <c r="T542" s="471">
        <v>0.19226851851851853</v>
      </c>
      <c r="U542" s="471"/>
      <c r="V542" s="471"/>
      <c r="W542" s="471">
        <v>0.49494212962962963</v>
      </c>
      <c r="X542" s="471">
        <v>0.79761574074074071</v>
      </c>
      <c r="Y542" s="471">
        <v>0.3743055555555555</v>
      </c>
      <c r="Z542" s="471">
        <v>0.6972222222222223</v>
      </c>
      <c r="AA542" s="471" t="s">
        <v>1107</v>
      </c>
      <c r="AB542" s="470" t="s">
        <v>6463</v>
      </c>
      <c r="AC542" s="473">
        <v>152</v>
      </c>
      <c r="AD542" s="470" t="s">
        <v>110</v>
      </c>
      <c r="AE542" s="470"/>
      <c r="AF542" s="473">
        <v>13.9</v>
      </c>
      <c r="AG542" s="469">
        <v>6.7</v>
      </c>
      <c r="AH542" s="470" t="s">
        <v>6292</v>
      </c>
      <c r="AI542" s="470" t="s">
        <v>6330</v>
      </c>
      <c r="AJ542" s="470" t="s">
        <v>6493</v>
      </c>
      <c r="AK542" s="470" t="s">
        <v>6493</v>
      </c>
      <c r="AL542" s="470"/>
      <c r="AM542" s="470"/>
      <c r="AN542" s="470"/>
      <c r="AO542" s="470"/>
      <c r="AP542" s="470"/>
      <c r="AQ542" s="470"/>
      <c r="AR542" s="470"/>
      <c r="AS542" s="470"/>
      <c r="AT542" s="470"/>
      <c r="AU542" s="470"/>
      <c r="AV542" s="470"/>
      <c r="AW542" s="470"/>
      <c r="AX542" s="470"/>
      <c r="AY542" s="470"/>
      <c r="AZ542" s="470"/>
      <c r="BA542" s="470"/>
      <c r="BB542" s="470"/>
      <c r="BC542" s="470"/>
      <c r="BD542" s="470"/>
      <c r="BE542" s="470"/>
      <c r="BF542" s="470"/>
      <c r="BG542" s="470"/>
      <c r="BH542" s="470"/>
      <c r="BI542" s="470"/>
      <c r="BJ542" s="470"/>
      <c r="BK542" s="470"/>
      <c r="BL542" s="474"/>
    </row>
    <row r="543" spans="1:64">
      <c r="A543" s="475">
        <v>44334</v>
      </c>
      <c r="B543" s="478">
        <v>138</v>
      </c>
      <c r="C543" s="478">
        <v>227</v>
      </c>
      <c r="D543" s="476" t="s">
        <v>620</v>
      </c>
      <c r="E543" s="477">
        <v>20</v>
      </c>
      <c r="F543" s="476" t="s">
        <v>91</v>
      </c>
      <c r="G543" s="477">
        <v>535</v>
      </c>
      <c r="H543" s="476" t="s">
        <v>6249</v>
      </c>
      <c r="I543" s="476" t="s">
        <v>6257</v>
      </c>
      <c r="J543" s="477">
        <v>22</v>
      </c>
      <c r="K543" s="476" t="s">
        <v>6262</v>
      </c>
      <c r="L543" s="476" t="s">
        <v>6278</v>
      </c>
      <c r="M543" s="476" t="s">
        <v>9</v>
      </c>
      <c r="N543" s="478">
        <v>1</v>
      </c>
      <c r="O543" s="479"/>
      <c r="P543" s="479"/>
      <c r="Q543" s="479"/>
      <c r="R543" s="476"/>
      <c r="S543" s="479">
        <v>0.125</v>
      </c>
      <c r="T543" s="479">
        <v>0.19166666666666665</v>
      </c>
      <c r="U543" s="479"/>
      <c r="V543" s="479"/>
      <c r="W543" s="479">
        <v>0.49496527777777777</v>
      </c>
      <c r="X543" s="479">
        <v>0.79826388888888899</v>
      </c>
      <c r="Y543" s="479">
        <v>0.41805555555555557</v>
      </c>
      <c r="Z543" s="479">
        <v>0.7319444444444444</v>
      </c>
      <c r="AA543" s="479">
        <v>1.5972222222222224E-2</v>
      </c>
      <c r="AB543" s="476" t="s">
        <v>6463</v>
      </c>
      <c r="AC543" s="478">
        <v>152</v>
      </c>
      <c r="AD543" s="476" t="s">
        <v>110</v>
      </c>
      <c r="AE543" s="476"/>
      <c r="AF543" s="478">
        <v>10.199999999999999</v>
      </c>
      <c r="AG543" s="477">
        <v>0.6</v>
      </c>
      <c r="AH543" s="476" t="s">
        <v>6293</v>
      </c>
      <c r="AI543" s="476" t="s">
        <v>6331</v>
      </c>
      <c r="AJ543" s="476" t="s">
        <v>6493</v>
      </c>
      <c r="AK543" s="476" t="s">
        <v>6493</v>
      </c>
      <c r="AL543" s="476"/>
      <c r="AM543" s="476"/>
      <c r="AN543" s="476"/>
      <c r="AO543" s="476"/>
      <c r="AP543" s="476"/>
      <c r="AQ543" s="476"/>
      <c r="AR543" s="476"/>
      <c r="AS543" s="476"/>
      <c r="AT543" s="476"/>
      <c r="AU543" s="476"/>
      <c r="AV543" s="476"/>
      <c r="AW543" s="476"/>
      <c r="AX543" s="476"/>
      <c r="AY543" s="476"/>
      <c r="AZ543" s="476"/>
      <c r="BA543" s="476"/>
      <c r="BB543" s="476"/>
      <c r="BC543" s="476"/>
      <c r="BD543" s="476"/>
      <c r="BE543" s="476"/>
      <c r="BF543" s="476"/>
      <c r="BG543" s="476"/>
      <c r="BH543" s="476"/>
      <c r="BI543" s="476"/>
      <c r="BJ543" s="476"/>
      <c r="BK543" s="476"/>
      <c r="BL543" s="480"/>
    </row>
    <row r="544" spans="1:64">
      <c r="A544" s="468">
        <v>44335</v>
      </c>
      <c r="B544" s="473">
        <v>139</v>
      </c>
      <c r="C544" s="473">
        <v>226</v>
      </c>
      <c r="D544" s="470" t="s">
        <v>620</v>
      </c>
      <c r="E544" s="469">
        <v>20</v>
      </c>
      <c r="F544" s="470" t="s">
        <v>94</v>
      </c>
      <c r="G544" s="469">
        <v>535</v>
      </c>
      <c r="H544" s="470" t="s">
        <v>6249</v>
      </c>
      <c r="I544" s="470" t="s">
        <v>6257</v>
      </c>
      <c r="J544" s="469">
        <v>23</v>
      </c>
      <c r="K544" s="470" t="s">
        <v>6263</v>
      </c>
      <c r="L544" s="470" t="s">
        <v>6279</v>
      </c>
      <c r="M544" s="470" t="s">
        <v>9</v>
      </c>
      <c r="N544" s="473">
        <v>1</v>
      </c>
      <c r="O544" s="471"/>
      <c r="P544" s="471"/>
      <c r="Q544" s="471"/>
      <c r="R544" s="470"/>
      <c r="S544" s="471">
        <v>0.12440972222222223</v>
      </c>
      <c r="T544" s="471">
        <v>0.19107638888888889</v>
      </c>
      <c r="U544" s="471"/>
      <c r="V544" s="471"/>
      <c r="W544" s="471">
        <v>0.49500000000000005</v>
      </c>
      <c r="X544" s="471">
        <v>0.79891203703703706</v>
      </c>
      <c r="Y544" s="471">
        <v>0.46527777777777773</v>
      </c>
      <c r="Z544" s="471">
        <v>0.76597222222222217</v>
      </c>
      <c r="AA544" s="471">
        <v>4.027777777777778E-2</v>
      </c>
      <c r="AB544" s="470" t="s">
        <v>6464</v>
      </c>
      <c r="AC544" s="473">
        <v>130</v>
      </c>
      <c r="AD544" s="470" t="s">
        <v>113</v>
      </c>
      <c r="AE544" s="470" t="s">
        <v>6615</v>
      </c>
      <c r="AF544" s="473">
        <v>9.1999999999999993</v>
      </c>
      <c r="AG544" s="469">
        <v>97</v>
      </c>
      <c r="AH544" s="470" t="s">
        <v>6293</v>
      </c>
      <c r="AI544" s="470" t="s">
        <v>6332</v>
      </c>
      <c r="AJ544" s="470" t="s">
        <v>6493</v>
      </c>
      <c r="AK544" s="470" t="s">
        <v>6493</v>
      </c>
      <c r="AL544" s="470"/>
      <c r="AM544" s="470"/>
      <c r="AN544" s="470"/>
      <c r="AO544" s="470"/>
      <c r="AP544" s="470"/>
      <c r="AQ544" s="470"/>
      <c r="AR544" s="470"/>
      <c r="AS544" s="470"/>
      <c r="AT544" s="470"/>
      <c r="AU544" s="470"/>
      <c r="AV544" s="470"/>
      <c r="AW544" s="470"/>
      <c r="AX544" s="470"/>
      <c r="AY544" s="470"/>
      <c r="AZ544" s="470"/>
      <c r="BA544" s="470"/>
      <c r="BB544" s="470"/>
      <c r="BC544" s="470"/>
      <c r="BD544" s="470"/>
      <c r="BE544" s="470"/>
      <c r="BF544" s="470"/>
      <c r="BG544" s="470"/>
      <c r="BH544" s="470"/>
      <c r="BI544" s="470"/>
      <c r="BJ544" s="470"/>
      <c r="BK544" s="470"/>
      <c r="BL544" s="474"/>
    </row>
    <row r="545" spans="1:64">
      <c r="A545" s="475">
        <v>44336</v>
      </c>
      <c r="B545" s="478">
        <v>140</v>
      </c>
      <c r="C545" s="478">
        <v>225</v>
      </c>
      <c r="D545" s="476" t="s">
        <v>620</v>
      </c>
      <c r="E545" s="477">
        <v>20</v>
      </c>
      <c r="F545" s="476" t="s">
        <v>6714</v>
      </c>
      <c r="G545" s="477">
        <v>535</v>
      </c>
      <c r="H545" s="476" t="s">
        <v>6249</v>
      </c>
      <c r="I545" s="476" t="s">
        <v>6257</v>
      </c>
      <c r="J545" s="477">
        <v>24</v>
      </c>
      <c r="K545" s="476" t="s">
        <v>6264</v>
      </c>
      <c r="L545" s="476" t="s">
        <v>6280</v>
      </c>
      <c r="M545" s="476" t="s">
        <v>9</v>
      </c>
      <c r="N545" s="478">
        <v>1</v>
      </c>
      <c r="O545" s="479"/>
      <c r="P545" s="479"/>
      <c r="Q545" s="479"/>
      <c r="R545" s="476"/>
      <c r="S545" s="479">
        <v>0.1238425925925926</v>
      </c>
      <c r="T545" s="479">
        <v>0.19050925925925924</v>
      </c>
      <c r="U545" s="479"/>
      <c r="V545" s="479"/>
      <c r="W545" s="479">
        <v>0.49503472222222222</v>
      </c>
      <c r="X545" s="479">
        <v>0.79954861111111108</v>
      </c>
      <c r="Y545" s="479">
        <v>0.51250000000000007</v>
      </c>
      <c r="Z545" s="479">
        <v>0.7993055555555556</v>
      </c>
      <c r="AA545" s="479">
        <v>6.25E-2</v>
      </c>
      <c r="AB545" s="476" t="s">
        <v>6464</v>
      </c>
      <c r="AC545" s="478">
        <v>130</v>
      </c>
      <c r="AD545" s="476" t="s">
        <v>113</v>
      </c>
      <c r="AE545" s="476"/>
      <c r="AF545" s="478">
        <v>11.5</v>
      </c>
      <c r="AG545" s="477">
        <v>96.2</v>
      </c>
      <c r="AH545" s="476" t="s">
        <v>6294</v>
      </c>
      <c r="AI545" s="476" t="s">
        <v>6333</v>
      </c>
      <c r="AJ545" s="476" t="s">
        <v>839</v>
      </c>
      <c r="AK545" s="476" t="s">
        <v>6493</v>
      </c>
      <c r="AL545" s="476" t="s">
        <v>6771</v>
      </c>
      <c r="AM545" s="476" t="s">
        <v>6344</v>
      </c>
      <c r="AN545" s="476" t="s">
        <v>6928</v>
      </c>
      <c r="AO545" s="476" t="s">
        <v>6346</v>
      </c>
      <c r="AP545" s="476" t="s">
        <v>7014</v>
      </c>
      <c r="AQ545" s="476" t="s">
        <v>6346</v>
      </c>
      <c r="AR545" s="476"/>
      <c r="AS545" s="476"/>
      <c r="AT545" s="476"/>
      <c r="AU545" s="476"/>
      <c r="AV545" s="476"/>
      <c r="AW545" s="476"/>
      <c r="AX545" s="476"/>
      <c r="AY545" s="476"/>
      <c r="AZ545" s="476"/>
      <c r="BA545" s="476"/>
      <c r="BB545" s="476"/>
      <c r="BC545" s="476"/>
      <c r="BD545" s="476"/>
      <c r="BE545" s="476"/>
      <c r="BF545" s="476"/>
      <c r="BG545" s="476"/>
      <c r="BH545" s="476"/>
      <c r="BI545" s="476"/>
      <c r="BJ545" s="476" t="s">
        <v>6655</v>
      </c>
      <c r="BK545" s="476"/>
      <c r="BL545" s="480"/>
    </row>
    <row r="546" spans="1:64">
      <c r="A546" s="468">
        <v>44337</v>
      </c>
      <c r="B546" s="473">
        <v>141</v>
      </c>
      <c r="C546" s="473">
        <v>224</v>
      </c>
      <c r="D546" s="470" t="s">
        <v>620</v>
      </c>
      <c r="E546" s="469">
        <v>20</v>
      </c>
      <c r="F546" s="470" t="s">
        <v>100</v>
      </c>
      <c r="G546" s="469">
        <v>535</v>
      </c>
      <c r="H546" s="470" t="s">
        <v>6249</v>
      </c>
      <c r="I546" s="470" t="s">
        <v>6257</v>
      </c>
      <c r="J546" s="469">
        <v>25</v>
      </c>
      <c r="K546" s="470" t="s">
        <v>6265</v>
      </c>
      <c r="L546" s="470" t="s">
        <v>6281</v>
      </c>
      <c r="M546" s="470" t="s">
        <v>9</v>
      </c>
      <c r="N546" s="473">
        <v>1</v>
      </c>
      <c r="O546" s="471"/>
      <c r="P546" s="471"/>
      <c r="Q546" s="471"/>
      <c r="R546" s="470"/>
      <c r="S546" s="471">
        <v>0.12329861111111111</v>
      </c>
      <c r="T546" s="471">
        <v>0.18996527777777775</v>
      </c>
      <c r="U546" s="471"/>
      <c r="V546" s="471"/>
      <c r="W546" s="471">
        <v>0.4950694444444444</v>
      </c>
      <c r="X546" s="471">
        <v>0.80018518518518522</v>
      </c>
      <c r="Y546" s="471">
        <v>0.56111111111111112</v>
      </c>
      <c r="Z546" s="471">
        <v>0.83263888888888893</v>
      </c>
      <c r="AA546" s="471">
        <v>8.1944444444444445E-2</v>
      </c>
      <c r="AB546" s="470" t="s">
        <v>6464</v>
      </c>
      <c r="AC546" s="473">
        <v>130</v>
      </c>
      <c r="AD546" s="470" t="s">
        <v>113</v>
      </c>
      <c r="AE546" s="470"/>
      <c r="AF546" s="473">
        <v>17.2</v>
      </c>
      <c r="AG546" s="469">
        <v>98.5</v>
      </c>
      <c r="AH546" s="470" t="s">
        <v>6295</v>
      </c>
      <c r="AI546" s="470" t="s">
        <v>6334</v>
      </c>
      <c r="AJ546" s="470" t="s">
        <v>6493</v>
      </c>
      <c r="AK546" s="470" t="s">
        <v>6493</v>
      </c>
      <c r="AL546" s="470"/>
      <c r="AM546" s="470"/>
      <c r="AN546" s="470"/>
      <c r="AO546" s="470"/>
      <c r="AP546" s="470"/>
      <c r="AQ546" s="470"/>
      <c r="AR546" s="470"/>
      <c r="AS546" s="470"/>
      <c r="AT546" s="470"/>
      <c r="AU546" s="470"/>
      <c r="AV546" s="470"/>
      <c r="AW546" s="470"/>
      <c r="AX546" s="470"/>
      <c r="AY546" s="470"/>
      <c r="AZ546" s="470"/>
      <c r="BA546" s="470"/>
      <c r="BB546" s="470"/>
      <c r="BC546" s="470"/>
      <c r="BD546" s="470"/>
      <c r="BE546" s="470"/>
      <c r="BF546" s="470"/>
      <c r="BG546" s="470"/>
      <c r="BH546" s="470"/>
      <c r="BI546" s="470"/>
      <c r="BJ546" s="470"/>
      <c r="BK546" s="470"/>
      <c r="BL546" s="474"/>
    </row>
    <row r="547" spans="1:64">
      <c r="A547" s="475">
        <v>44338</v>
      </c>
      <c r="B547" s="478">
        <v>142</v>
      </c>
      <c r="C547" s="478">
        <v>223</v>
      </c>
      <c r="D547" s="476" t="s">
        <v>620</v>
      </c>
      <c r="E547" s="477">
        <v>20</v>
      </c>
      <c r="F547" s="476" t="s">
        <v>103</v>
      </c>
      <c r="G547" s="477">
        <v>535</v>
      </c>
      <c r="H547" s="476" t="s">
        <v>6249</v>
      </c>
      <c r="I547" s="476" t="s">
        <v>6257</v>
      </c>
      <c r="J547" s="477">
        <v>26</v>
      </c>
      <c r="K547" s="476" t="s">
        <v>6271</v>
      </c>
      <c r="L547" s="476" t="s">
        <v>6282</v>
      </c>
      <c r="M547" s="476" t="s">
        <v>9</v>
      </c>
      <c r="N547" s="478">
        <v>1</v>
      </c>
      <c r="O547" s="479"/>
      <c r="P547" s="479"/>
      <c r="Q547" s="479"/>
      <c r="R547" s="476"/>
      <c r="S547" s="479">
        <v>0.12277777777777778</v>
      </c>
      <c r="T547" s="479">
        <v>0.18944444444444444</v>
      </c>
      <c r="U547" s="479"/>
      <c r="V547" s="479"/>
      <c r="W547" s="479">
        <v>0.49512731481481481</v>
      </c>
      <c r="X547" s="479">
        <v>0.80081018518518521</v>
      </c>
      <c r="Y547" s="479">
        <v>0.61111111111111105</v>
      </c>
      <c r="Z547" s="479">
        <v>0.86736111111111114</v>
      </c>
      <c r="AA547" s="479">
        <v>0.1013888888888889</v>
      </c>
      <c r="AB547" s="476" t="s">
        <v>6464</v>
      </c>
      <c r="AC547" s="478">
        <v>130</v>
      </c>
      <c r="AD547" s="476" t="s">
        <v>113</v>
      </c>
      <c r="AE547" s="476"/>
      <c r="AF547" s="478">
        <v>26.5</v>
      </c>
      <c r="AG547" s="477">
        <v>4.2</v>
      </c>
      <c r="AH547" s="476" t="s">
        <v>6297</v>
      </c>
      <c r="AI547" s="476" t="s">
        <v>6335</v>
      </c>
      <c r="AJ547" s="476" t="s">
        <v>838</v>
      </c>
      <c r="AK547" s="476" t="s">
        <v>13</v>
      </c>
      <c r="AL547" s="476" t="s">
        <v>6772</v>
      </c>
      <c r="AM547" s="476" t="s">
        <v>6342</v>
      </c>
      <c r="AN547" s="476" t="s">
        <v>6989</v>
      </c>
      <c r="AO547" s="476" t="s">
        <v>6351</v>
      </c>
      <c r="AP547" s="476"/>
      <c r="AQ547" s="476"/>
      <c r="AR547" s="476"/>
      <c r="AS547" s="476"/>
      <c r="AT547" s="476"/>
      <c r="AU547" s="476"/>
      <c r="AV547" s="476"/>
      <c r="AW547" s="476"/>
      <c r="AX547" s="476"/>
      <c r="AY547" s="476"/>
      <c r="AZ547" s="476"/>
      <c r="BA547" s="476"/>
      <c r="BB547" s="476"/>
      <c r="BC547" s="476"/>
      <c r="BD547" s="476"/>
      <c r="BE547" s="476"/>
      <c r="BF547" s="476"/>
      <c r="BG547" s="476"/>
      <c r="BH547" s="476"/>
      <c r="BI547" s="476"/>
      <c r="BJ547" s="476"/>
      <c r="BK547" s="476"/>
      <c r="BL547" s="480"/>
    </row>
    <row r="548" spans="1:64">
      <c r="A548" s="468">
        <v>44339</v>
      </c>
      <c r="B548" s="473">
        <v>143</v>
      </c>
      <c r="C548" s="473">
        <v>222</v>
      </c>
      <c r="D548" s="470" t="s">
        <v>620</v>
      </c>
      <c r="E548" s="469">
        <v>20</v>
      </c>
      <c r="F548" s="470" t="s">
        <v>106</v>
      </c>
      <c r="G548" s="469">
        <v>535</v>
      </c>
      <c r="H548" s="470" t="s">
        <v>6249</v>
      </c>
      <c r="I548" s="470" t="s">
        <v>6257</v>
      </c>
      <c r="J548" s="469">
        <v>27</v>
      </c>
      <c r="K548" s="470" t="s">
        <v>6266</v>
      </c>
      <c r="L548" s="470" t="s">
        <v>6283</v>
      </c>
      <c r="M548" s="470" t="s">
        <v>9</v>
      </c>
      <c r="N548" s="473">
        <v>1</v>
      </c>
      <c r="O548" s="471"/>
      <c r="P548" s="471"/>
      <c r="Q548" s="471"/>
      <c r="R548" s="470"/>
      <c r="S548" s="471">
        <v>0.12226851851851851</v>
      </c>
      <c r="T548" s="471">
        <v>0.18893518518518518</v>
      </c>
      <c r="U548" s="471">
        <v>0.18888888888888888</v>
      </c>
      <c r="V548" s="471">
        <v>0.39305555555555555</v>
      </c>
      <c r="W548" s="471">
        <v>0.49517361111111113</v>
      </c>
      <c r="X548" s="471">
        <v>0.80141203703703701</v>
      </c>
      <c r="Y548" s="471">
        <v>0.66388888888888886</v>
      </c>
      <c r="Z548" s="471">
        <v>0.90277777777777779</v>
      </c>
      <c r="AA548" s="471">
        <v>0.12013888888888889</v>
      </c>
      <c r="AB548" s="470" t="s">
        <v>6464</v>
      </c>
      <c r="AC548" s="473">
        <v>130</v>
      </c>
      <c r="AD548" s="470" t="s">
        <v>113</v>
      </c>
      <c r="AE548" s="470"/>
      <c r="AF548" s="473">
        <v>39.299999999999997</v>
      </c>
      <c r="AG548" s="469">
        <v>12.9</v>
      </c>
      <c r="AH548" s="470" t="s">
        <v>6298</v>
      </c>
      <c r="AI548" s="470" t="s">
        <v>6337</v>
      </c>
      <c r="AJ548" s="470" t="s">
        <v>839</v>
      </c>
      <c r="AK548" s="470" t="s">
        <v>6493</v>
      </c>
      <c r="AL548" s="470" t="s">
        <v>6868</v>
      </c>
      <c r="AM548" s="470" t="s">
        <v>6343</v>
      </c>
      <c r="AN548" s="470" t="s">
        <v>1240</v>
      </c>
      <c r="AO548" s="470" t="s">
        <v>6344</v>
      </c>
      <c r="AP548" s="470"/>
      <c r="AQ548" s="470"/>
      <c r="AR548" s="470"/>
      <c r="AS548" s="470"/>
      <c r="AT548" s="470"/>
      <c r="AU548" s="470"/>
      <c r="AV548" s="470"/>
      <c r="AW548" s="470"/>
      <c r="AX548" s="470"/>
      <c r="AY548" s="470"/>
      <c r="AZ548" s="470"/>
      <c r="BA548" s="470"/>
      <c r="BB548" s="470"/>
      <c r="BC548" s="470"/>
      <c r="BD548" s="470"/>
      <c r="BE548" s="470"/>
      <c r="BF548" s="470"/>
      <c r="BG548" s="470"/>
      <c r="BH548" s="470"/>
      <c r="BI548" s="470"/>
      <c r="BJ548" s="470" t="s">
        <v>6427</v>
      </c>
      <c r="BK548" s="470"/>
      <c r="BL548" s="474"/>
    </row>
    <row r="549" spans="1:64">
      <c r="A549" s="475">
        <v>44340</v>
      </c>
      <c r="B549" s="478">
        <v>144</v>
      </c>
      <c r="C549" s="478">
        <v>221</v>
      </c>
      <c r="D549" s="476" t="s">
        <v>620</v>
      </c>
      <c r="E549" s="477">
        <v>21</v>
      </c>
      <c r="F549" s="476" t="s">
        <v>88</v>
      </c>
      <c r="G549" s="477">
        <v>535</v>
      </c>
      <c r="H549" s="476" t="s">
        <v>6249</v>
      </c>
      <c r="I549" s="476" t="s">
        <v>6257</v>
      </c>
      <c r="J549" s="477">
        <v>28</v>
      </c>
      <c r="K549" s="476" t="s">
        <v>6267</v>
      </c>
      <c r="L549" s="476" t="s">
        <v>6284</v>
      </c>
      <c r="M549" s="476" t="s">
        <v>9</v>
      </c>
      <c r="N549" s="478">
        <v>1</v>
      </c>
      <c r="O549" s="479"/>
      <c r="P549" s="479"/>
      <c r="Q549" s="479"/>
      <c r="R549" s="476"/>
      <c r="S549" s="479">
        <v>0.12179398148148148</v>
      </c>
      <c r="T549" s="479">
        <v>0.18846064814814814</v>
      </c>
      <c r="U549" s="479"/>
      <c r="V549" s="479"/>
      <c r="W549" s="479">
        <v>0.49524305555555559</v>
      </c>
      <c r="X549" s="479">
        <v>0.80202546296296295</v>
      </c>
      <c r="Y549" s="479">
        <v>0.71736111111111101</v>
      </c>
      <c r="Z549" s="479">
        <v>0.94097222222222221</v>
      </c>
      <c r="AA549" s="479">
        <v>0.14027777777777778</v>
      </c>
      <c r="AB549" s="476" t="s">
        <v>6464</v>
      </c>
      <c r="AC549" s="478">
        <v>130</v>
      </c>
      <c r="AD549" s="476" t="s">
        <v>113</v>
      </c>
      <c r="AE549" s="476"/>
      <c r="AF549" s="478">
        <v>55</v>
      </c>
      <c r="AG549" s="477">
        <v>24.2</v>
      </c>
      <c r="AH549" s="476" t="s">
        <v>6299</v>
      </c>
      <c r="AI549" s="476" t="s">
        <v>6338</v>
      </c>
      <c r="AJ549" s="476" t="s">
        <v>839</v>
      </c>
      <c r="AK549" s="476" t="s">
        <v>6493</v>
      </c>
      <c r="AL549" s="476" t="s">
        <v>6774</v>
      </c>
      <c r="AM549" s="476" t="s">
        <v>6348</v>
      </c>
      <c r="AN549" s="476"/>
      <c r="AO549" s="476"/>
      <c r="AP549" s="476"/>
      <c r="AQ549" s="476"/>
      <c r="AR549" s="476"/>
      <c r="AS549" s="476"/>
      <c r="AT549" s="476"/>
      <c r="AU549" s="476"/>
      <c r="AV549" s="476"/>
      <c r="AW549" s="476"/>
      <c r="AX549" s="476"/>
      <c r="AY549" s="476"/>
      <c r="AZ549" s="476"/>
      <c r="BA549" s="476"/>
      <c r="BB549" s="476"/>
      <c r="BC549" s="476"/>
      <c r="BD549" s="476"/>
      <c r="BE549" s="476"/>
      <c r="BF549" s="476"/>
      <c r="BG549" s="476"/>
      <c r="BH549" s="476"/>
      <c r="BI549" s="476"/>
      <c r="BJ549" s="476" t="s">
        <v>6385</v>
      </c>
      <c r="BK549" s="476"/>
      <c r="BL549" s="480"/>
    </row>
    <row r="550" spans="1:64">
      <c r="A550" s="468">
        <v>44341</v>
      </c>
      <c r="B550" s="473">
        <v>145</v>
      </c>
      <c r="C550" s="473">
        <v>220</v>
      </c>
      <c r="D550" s="470" t="s">
        <v>620</v>
      </c>
      <c r="E550" s="469">
        <v>21</v>
      </c>
      <c r="F550" s="470" t="s">
        <v>91</v>
      </c>
      <c r="G550" s="469">
        <v>535</v>
      </c>
      <c r="H550" s="470" t="s">
        <v>6249</v>
      </c>
      <c r="I550" s="470" t="s">
        <v>6257</v>
      </c>
      <c r="J550" s="469">
        <v>29</v>
      </c>
      <c r="K550" s="470" t="s">
        <v>6268</v>
      </c>
      <c r="L550" s="470" t="s">
        <v>6285</v>
      </c>
      <c r="M550" s="470" t="s">
        <v>9</v>
      </c>
      <c r="N550" s="473">
        <v>1</v>
      </c>
      <c r="O550" s="471"/>
      <c r="P550" s="471"/>
      <c r="Q550" s="471"/>
      <c r="R550" s="470"/>
      <c r="S550" s="471">
        <v>0.12133101851851852</v>
      </c>
      <c r="T550" s="471">
        <v>0.1879976851851852</v>
      </c>
      <c r="U550" s="471"/>
      <c r="V550" s="471"/>
      <c r="W550" s="471">
        <v>0.49530092592592595</v>
      </c>
      <c r="X550" s="471">
        <v>0.80261574074074071</v>
      </c>
      <c r="Y550" s="471">
        <v>0.7729166666666667</v>
      </c>
      <c r="Z550" s="471">
        <v>0.98125000000000007</v>
      </c>
      <c r="AA550" s="471">
        <v>0.16319444444444445</v>
      </c>
      <c r="AB550" s="470" t="s">
        <v>6464</v>
      </c>
      <c r="AC550" s="473">
        <v>130</v>
      </c>
      <c r="AD550" s="470" t="s">
        <v>113</v>
      </c>
      <c r="AE550" s="470"/>
      <c r="AF550" s="473">
        <v>72.7</v>
      </c>
      <c r="AG550" s="469">
        <v>37.4</v>
      </c>
      <c r="AH550" s="470" t="s">
        <v>6300</v>
      </c>
      <c r="AI550" s="470" t="s">
        <v>6339</v>
      </c>
      <c r="AJ550" s="470" t="s">
        <v>874</v>
      </c>
      <c r="AK550" s="470" t="s">
        <v>6493</v>
      </c>
      <c r="AL550" s="470" t="s">
        <v>6775</v>
      </c>
      <c r="AM550" s="470" t="s">
        <v>6347</v>
      </c>
      <c r="AN550" s="470" t="s">
        <v>6930</v>
      </c>
      <c r="AO550" s="470" t="s">
        <v>6351</v>
      </c>
      <c r="AP550" s="470"/>
      <c r="AQ550" s="470"/>
      <c r="AR550" s="470"/>
      <c r="AS550" s="470"/>
      <c r="AT550" s="470"/>
      <c r="AU550" s="470"/>
      <c r="AV550" s="470"/>
      <c r="AW550" s="470"/>
      <c r="AX550" s="470"/>
      <c r="AY550" s="470"/>
      <c r="AZ550" s="470"/>
      <c r="BA550" s="470"/>
      <c r="BB550" s="470"/>
      <c r="BC550" s="470"/>
      <c r="BD550" s="470"/>
      <c r="BE550" s="470"/>
      <c r="BF550" s="470"/>
      <c r="BG550" s="470"/>
      <c r="BH550" s="470"/>
      <c r="BI550" s="470"/>
      <c r="BJ550" s="470" t="s">
        <v>6386</v>
      </c>
      <c r="BK550" s="470"/>
      <c r="BL550" s="474"/>
    </row>
    <row r="551" spans="1:64">
      <c r="A551" s="475">
        <v>44342</v>
      </c>
      <c r="B551" s="478">
        <v>146</v>
      </c>
      <c r="C551" s="478">
        <v>219</v>
      </c>
      <c r="D551" s="476" t="s">
        <v>620</v>
      </c>
      <c r="E551" s="477">
        <v>21</v>
      </c>
      <c r="F551" s="476" t="s">
        <v>94</v>
      </c>
      <c r="G551" s="477">
        <v>535</v>
      </c>
      <c r="H551" s="476" t="s">
        <v>6249</v>
      </c>
      <c r="I551" s="476" t="s">
        <v>6257</v>
      </c>
      <c r="J551" s="477">
        <v>30</v>
      </c>
      <c r="K551" s="476" t="s">
        <v>6272</v>
      </c>
      <c r="L551" s="476" t="s">
        <v>6288</v>
      </c>
      <c r="M551" s="476" t="s">
        <v>9</v>
      </c>
      <c r="N551" s="478">
        <v>1</v>
      </c>
      <c r="O551" s="479"/>
      <c r="P551" s="479"/>
      <c r="Q551" s="479"/>
      <c r="R551" s="476"/>
      <c r="S551" s="479">
        <v>0.12089120370370371</v>
      </c>
      <c r="T551" s="479">
        <v>0.18755787037037039</v>
      </c>
      <c r="U551" s="479"/>
      <c r="V551" s="479"/>
      <c r="W551" s="479">
        <v>0.49537037037037041</v>
      </c>
      <c r="X551" s="479">
        <v>0.80319444444444443</v>
      </c>
      <c r="Y551" s="479">
        <v>0.82777777777777783</v>
      </c>
      <c r="Z551" s="479" t="s">
        <v>1107</v>
      </c>
      <c r="AA551" s="479">
        <v>0.18958333333333333</v>
      </c>
      <c r="AB551" s="476" t="s">
        <v>6462</v>
      </c>
      <c r="AC551" s="478">
        <v>129</v>
      </c>
      <c r="AD551" s="476" t="s">
        <v>116</v>
      </c>
      <c r="AE551" s="476" t="s">
        <v>6616</v>
      </c>
      <c r="AF551" s="478">
        <v>91.3</v>
      </c>
      <c r="AG551" s="477">
        <v>51.3</v>
      </c>
      <c r="AH551" s="476" t="s">
        <v>6301</v>
      </c>
      <c r="AI551" s="476" t="s">
        <v>6340</v>
      </c>
      <c r="AJ551" s="476" t="s">
        <v>839</v>
      </c>
      <c r="AK551" s="476" t="s">
        <v>6493</v>
      </c>
      <c r="AL551" s="476" t="s">
        <v>1234</v>
      </c>
      <c r="AM551" s="476" t="s">
        <v>6344</v>
      </c>
      <c r="AN551" s="476" t="s">
        <v>6931</v>
      </c>
      <c r="AO551" s="476" t="s">
        <v>6346</v>
      </c>
      <c r="AP551" s="476" t="s">
        <v>7015</v>
      </c>
      <c r="AQ551" s="476" t="s">
        <v>6344</v>
      </c>
      <c r="AR551" s="476" t="s">
        <v>7056</v>
      </c>
      <c r="AS551" s="476" t="s">
        <v>6346</v>
      </c>
      <c r="AT551" s="476" t="s">
        <v>7077</v>
      </c>
      <c r="AU551" s="476" t="s">
        <v>6346</v>
      </c>
      <c r="AV551" s="476" t="s">
        <v>7085</v>
      </c>
      <c r="AW551" s="476"/>
      <c r="AX551" s="476"/>
      <c r="AY551" s="476"/>
      <c r="AZ551" s="476"/>
      <c r="BA551" s="476"/>
      <c r="BB551" s="476"/>
      <c r="BC551" s="476"/>
      <c r="BD551" s="476"/>
      <c r="BE551" s="476"/>
      <c r="BF551" s="476"/>
      <c r="BG551" s="476"/>
      <c r="BH551" s="476"/>
      <c r="BI551" s="476"/>
      <c r="BJ551" s="476" t="s">
        <v>6387</v>
      </c>
      <c r="BK551" s="476"/>
      <c r="BL551" s="480"/>
    </row>
    <row r="552" spans="1:64">
      <c r="A552" s="468">
        <v>44343</v>
      </c>
      <c r="B552" s="473">
        <v>147</v>
      </c>
      <c r="C552" s="473">
        <v>218</v>
      </c>
      <c r="D552" s="470" t="s">
        <v>620</v>
      </c>
      <c r="E552" s="469">
        <v>21</v>
      </c>
      <c r="F552" s="470" t="s">
        <v>6714</v>
      </c>
      <c r="G552" s="469">
        <v>535</v>
      </c>
      <c r="H552" s="470" t="s">
        <v>6250</v>
      </c>
      <c r="I552" s="470" t="s">
        <v>836</v>
      </c>
      <c r="J552" s="469">
        <v>2</v>
      </c>
      <c r="K552" s="470" t="s">
        <v>1034</v>
      </c>
      <c r="L552" s="470" t="s">
        <v>6273</v>
      </c>
      <c r="M552" s="470" t="s">
        <v>9</v>
      </c>
      <c r="N552" s="473">
        <v>1</v>
      </c>
      <c r="O552" s="471">
        <v>0.26041666666666669</v>
      </c>
      <c r="P552" s="471">
        <v>0.10694444444444444</v>
      </c>
      <c r="Q552" s="471"/>
      <c r="R552" s="470"/>
      <c r="S552" s="471">
        <v>0.12047453703703703</v>
      </c>
      <c r="T552" s="471">
        <v>0.18714120370370371</v>
      </c>
      <c r="U552" s="471"/>
      <c r="V552" s="471"/>
      <c r="W552" s="471">
        <v>0.4954513888888889</v>
      </c>
      <c r="X552" s="471">
        <v>0.80377314814814815</v>
      </c>
      <c r="Y552" s="471">
        <v>0.87986111111111109</v>
      </c>
      <c r="Z552" s="471">
        <v>2.5694444444444447E-2</v>
      </c>
      <c r="AA552" s="471">
        <v>0.22222222222222221</v>
      </c>
      <c r="AB552" s="470" t="s">
        <v>6462</v>
      </c>
      <c r="AC552" s="473">
        <v>129</v>
      </c>
      <c r="AD552" s="470" t="s">
        <v>116</v>
      </c>
      <c r="AE552" s="470"/>
      <c r="AF552" s="473">
        <v>9.3000000000000007</v>
      </c>
      <c r="AG552" s="469">
        <v>64.7</v>
      </c>
      <c r="AH552" s="470" t="s">
        <v>6302</v>
      </c>
      <c r="AI552" s="470" t="s">
        <v>974</v>
      </c>
      <c r="AJ552" s="470" t="s">
        <v>6493</v>
      </c>
      <c r="AK552" s="470" t="s">
        <v>6493</v>
      </c>
      <c r="AL552" s="470" t="s">
        <v>6776</v>
      </c>
      <c r="AM552" s="470"/>
      <c r="AN552" s="470" t="s">
        <v>6932</v>
      </c>
      <c r="AO552" s="470"/>
      <c r="AP552" s="470" t="s">
        <v>7046</v>
      </c>
      <c r="AQ552" s="470"/>
      <c r="AR552" s="470"/>
      <c r="AS552" s="470"/>
      <c r="AT552" s="470"/>
      <c r="AU552" s="470"/>
      <c r="AV552" s="470"/>
      <c r="AW552" s="470"/>
      <c r="AX552" s="470"/>
      <c r="AY552" s="470"/>
      <c r="AZ552" s="470"/>
      <c r="BA552" s="470"/>
      <c r="BB552" s="470"/>
      <c r="BC552" s="470"/>
      <c r="BD552" s="470"/>
      <c r="BE552" s="470"/>
      <c r="BF552" s="470"/>
      <c r="BG552" s="470"/>
      <c r="BH552" s="470"/>
      <c r="BI552" s="470"/>
      <c r="BJ552" s="470"/>
      <c r="BK552" s="470"/>
      <c r="BL552" s="474"/>
    </row>
    <row r="553" spans="1:64">
      <c r="A553" s="475">
        <v>44344</v>
      </c>
      <c r="B553" s="478">
        <v>148</v>
      </c>
      <c r="C553" s="478">
        <v>217</v>
      </c>
      <c r="D553" s="476" t="s">
        <v>620</v>
      </c>
      <c r="E553" s="477">
        <v>21</v>
      </c>
      <c r="F553" s="476" t="s">
        <v>100</v>
      </c>
      <c r="G553" s="477">
        <v>535</v>
      </c>
      <c r="H553" s="476" t="s">
        <v>6250</v>
      </c>
      <c r="I553" s="476" t="s">
        <v>836</v>
      </c>
      <c r="J553" s="477">
        <v>3</v>
      </c>
      <c r="K553" s="476" t="s">
        <v>6258</v>
      </c>
      <c r="L553" s="476" t="s">
        <v>6274</v>
      </c>
      <c r="M553" s="476" t="s">
        <v>9</v>
      </c>
      <c r="N553" s="478">
        <v>1</v>
      </c>
      <c r="O553" s="479"/>
      <c r="P553" s="479"/>
      <c r="Q553" s="479"/>
      <c r="R553" s="476"/>
      <c r="S553" s="479">
        <v>0.12006944444444445</v>
      </c>
      <c r="T553" s="479">
        <v>0.1867361111111111</v>
      </c>
      <c r="U553" s="479"/>
      <c r="V553" s="479"/>
      <c r="W553" s="479">
        <v>0.49553240740740739</v>
      </c>
      <c r="X553" s="479">
        <v>0.80432870370370368</v>
      </c>
      <c r="Y553" s="479">
        <v>0.92569444444444438</v>
      </c>
      <c r="Z553" s="479">
        <v>7.0833333333333331E-2</v>
      </c>
      <c r="AA553" s="479">
        <v>0.26111111111111113</v>
      </c>
      <c r="AB553" s="476" t="s">
        <v>6462</v>
      </c>
      <c r="AC553" s="478">
        <v>129</v>
      </c>
      <c r="AD553" s="476" t="s">
        <v>116</v>
      </c>
      <c r="AE553" s="476"/>
      <c r="AF553" s="478">
        <v>25.7</v>
      </c>
      <c r="AG553" s="477">
        <v>76.599999999999994</v>
      </c>
      <c r="AH553" s="476" t="s">
        <v>6303</v>
      </c>
      <c r="AI553" s="476" t="s">
        <v>6317</v>
      </c>
      <c r="AJ553" s="476" t="s">
        <v>6493</v>
      </c>
      <c r="AK553" s="476" t="s">
        <v>6493</v>
      </c>
      <c r="AL553" s="476"/>
      <c r="AM553" s="476"/>
      <c r="AN553" s="476"/>
      <c r="AO553" s="476"/>
      <c r="AP553" s="476"/>
      <c r="AQ553" s="476"/>
      <c r="AR553" s="476"/>
      <c r="AS553" s="476"/>
      <c r="AT553" s="476"/>
      <c r="AU553" s="476"/>
      <c r="AV553" s="476"/>
      <c r="AW553" s="476"/>
      <c r="AX553" s="476"/>
      <c r="AY553" s="476"/>
      <c r="AZ553" s="476"/>
      <c r="BA553" s="476"/>
      <c r="BB553" s="476"/>
      <c r="BC553" s="476"/>
      <c r="BD553" s="476"/>
      <c r="BE553" s="476"/>
      <c r="BF553" s="476"/>
      <c r="BG553" s="476"/>
      <c r="BH553" s="476"/>
      <c r="BI553" s="476"/>
      <c r="BJ553" s="476"/>
      <c r="BK553" s="476"/>
      <c r="BL553" s="480"/>
    </row>
    <row r="554" spans="1:64">
      <c r="A554" s="468">
        <v>44345</v>
      </c>
      <c r="B554" s="473">
        <v>149</v>
      </c>
      <c r="C554" s="473">
        <v>216</v>
      </c>
      <c r="D554" s="470" t="s">
        <v>620</v>
      </c>
      <c r="E554" s="469">
        <v>21</v>
      </c>
      <c r="F554" s="470" t="s">
        <v>103</v>
      </c>
      <c r="G554" s="469">
        <v>535</v>
      </c>
      <c r="H554" s="470" t="s">
        <v>6250</v>
      </c>
      <c r="I554" s="470" t="s">
        <v>836</v>
      </c>
      <c r="J554" s="469">
        <v>4</v>
      </c>
      <c r="K554" s="470" t="s">
        <v>6259</v>
      </c>
      <c r="L554" s="470" t="s">
        <v>6275</v>
      </c>
      <c r="M554" s="470" t="s">
        <v>9</v>
      </c>
      <c r="N554" s="473">
        <v>1</v>
      </c>
      <c r="O554" s="471"/>
      <c r="P554" s="471"/>
      <c r="Q554" s="471"/>
      <c r="R554" s="470"/>
      <c r="S554" s="471">
        <v>0.11969907407407408</v>
      </c>
      <c r="T554" s="471">
        <v>0.18636574074074075</v>
      </c>
      <c r="U554" s="471"/>
      <c r="V554" s="471"/>
      <c r="W554" s="471">
        <v>0.49562499999999998</v>
      </c>
      <c r="X554" s="471">
        <v>0.80487268518518518</v>
      </c>
      <c r="Y554" s="471">
        <v>0.96319444444444446</v>
      </c>
      <c r="Z554" s="471">
        <v>0.11666666666666665</v>
      </c>
      <c r="AA554" s="471">
        <v>0.30694444444444441</v>
      </c>
      <c r="AB554" s="470" t="s">
        <v>6462</v>
      </c>
      <c r="AC554" s="473">
        <v>129</v>
      </c>
      <c r="AD554" s="470" t="s">
        <v>116</v>
      </c>
      <c r="AE554" s="470"/>
      <c r="AF554" s="473">
        <v>39.299999999999997</v>
      </c>
      <c r="AG554" s="469">
        <v>86</v>
      </c>
      <c r="AH554" s="470" t="s">
        <v>6304</v>
      </c>
      <c r="AI554" s="470" t="s">
        <v>6318</v>
      </c>
      <c r="AJ554" s="470" t="s">
        <v>6493</v>
      </c>
      <c r="AK554" s="470" t="s">
        <v>6493</v>
      </c>
      <c r="AL554" s="470"/>
      <c r="AM554" s="470"/>
      <c r="AN554" s="470"/>
      <c r="AO554" s="470"/>
      <c r="AP554" s="470"/>
      <c r="AQ554" s="470"/>
      <c r="AR554" s="470"/>
      <c r="AS554" s="470"/>
      <c r="AT554" s="470"/>
      <c r="AU554" s="470"/>
      <c r="AV554" s="470"/>
      <c r="AW554" s="470"/>
      <c r="AX554" s="470"/>
      <c r="AY554" s="470"/>
      <c r="AZ554" s="470"/>
      <c r="BA554" s="470"/>
      <c r="BB554" s="470"/>
      <c r="BC554" s="470"/>
      <c r="BD554" s="470"/>
      <c r="BE554" s="470"/>
      <c r="BF554" s="470"/>
      <c r="BG554" s="470"/>
      <c r="BH554" s="470"/>
      <c r="BI554" s="470"/>
      <c r="BJ554" s="470"/>
      <c r="BK554" s="470"/>
      <c r="BL554" s="474"/>
    </row>
    <row r="555" spans="1:64">
      <c r="A555" s="475">
        <v>44346</v>
      </c>
      <c r="B555" s="478">
        <v>150</v>
      </c>
      <c r="C555" s="478">
        <v>215</v>
      </c>
      <c r="D555" s="476" t="s">
        <v>620</v>
      </c>
      <c r="E555" s="477">
        <v>21</v>
      </c>
      <c r="F555" s="476" t="s">
        <v>106</v>
      </c>
      <c r="G555" s="477">
        <v>535</v>
      </c>
      <c r="H555" s="476" t="s">
        <v>6250</v>
      </c>
      <c r="I555" s="476" t="s">
        <v>836</v>
      </c>
      <c r="J555" s="477">
        <v>5</v>
      </c>
      <c r="K555" s="476" t="s">
        <v>6260</v>
      </c>
      <c r="L555" s="476" t="s">
        <v>6276</v>
      </c>
      <c r="M555" s="476" t="s">
        <v>9</v>
      </c>
      <c r="N555" s="478">
        <v>1</v>
      </c>
      <c r="O555" s="479"/>
      <c r="P555" s="479"/>
      <c r="Q555" s="479"/>
      <c r="R555" s="476"/>
      <c r="S555" s="479">
        <v>0.11935185185185186</v>
      </c>
      <c r="T555" s="479">
        <v>0.1860185185185185</v>
      </c>
      <c r="U555" s="479"/>
      <c r="V555" s="479"/>
      <c r="W555" s="479">
        <v>0.49571759259259257</v>
      </c>
      <c r="X555" s="479">
        <v>0.80541666666666656</v>
      </c>
      <c r="Y555" s="479">
        <v>0.99375000000000002</v>
      </c>
      <c r="Z555" s="479">
        <v>0.15972222222222224</v>
      </c>
      <c r="AA555" s="479">
        <v>0.35486111111111113</v>
      </c>
      <c r="AB555" s="476" t="s">
        <v>6462</v>
      </c>
      <c r="AC555" s="478">
        <v>129</v>
      </c>
      <c r="AD555" s="476" t="s">
        <v>116</v>
      </c>
      <c r="AE555" s="476"/>
      <c r="AF555" s="478">
        <v>49.4</v>
      </c>
      <c r="AG555" s="477">
        <v>92.4</v>
      </c>
      <c r="AH555" s="476" t="s">
        <v>6305</v>
      </c>
      <c r="AI555" s="476" t="s">
        <v>6319</v>
      </c>
      <c r="AJ555" s="476" t="s">
        <v>839</v>
      </c>
      <c r="AK555" s="476" t="s">
        <v>6493</v>
      </c>
      <c r="AL555" s="476" t="s">
        <v>6777</v>
      </c>
      <c r="AM555" s="476" t="s">
        <v>6346</v>
      </c>
      <c r="AN555" s="476"/>
      <c r="AO555" s="476"/>
      <c r="AP555" s="476"/>
      <c r="AQ555" s="476"/>
      <c r="AR555" s="476"/>
      <c r="AS555" s="476"/>
      <c r="AT555" s="476"/>
      <c r="AU555" s="476"/>
      <c r="AV555" s="476"/>
      <c r="AW555" s="476"/>
      <c r="AX555" s="476"/>
      <c r="AY555" s="476"/>
      <c r="AZ555" s="476"/>
      <c r="BA555" s="476"/>
      <c r="BB555" s="476"/>
      <c r="BC555" s="476"/>
      <c r="BD555" s="476"/>
      <c r="BE555" s="476"/>
      <c r="BF555" s="476"/>
      <c r="BG555" s="476"/>
      <c r="BH555" s="476"/>
      <c r="BI555" s="476"/>
      <c r="BJ555" s="476" t="s">
        <v>6388</v>
      </c>
      <c r="BK555" s="476"/>
      <c r="BL555" s="480"/>
    </row>
    <row r="556" spans="1:64">
      <c r="A556" s="468">
        <v>44347</v>
      </c>
      <c r="B556" s="473">
        <v>151</v>
      </c>
      <c r="C556" s="473">
        <v>214</v>
      </c>
      <c r="D556" s="470" t="s">
        <v>620</v>
      </c>
      <c r="E556" s="469">
        <v>22</v>
      </c>
      <c r="F556" s="470" t="s">
        <v>88</v>
      </c>
      <c r="G556" s="469">
        <v>535</v>
      </c>
      <c r="H556" s="470" t="s">
        <v>6250</v>
      </c>
      <c r="I556" s="470" t="s">
        <v>836</v>
      </c>
      <c r="J556" s="469">
        <v>6</v>
      </c>
      <c r="K556" s="470" t="s">
        <v>6261</v>
      </c>
      <c r="L556" s="470" t="s">
        <v>6277</v>
      </c>
      <c r="M556" s="470" t="s">
        <v>9</v>
      </c>
      <c r="N556" s="473">
        <v>1</v>
      </c>
      <c r="O556" s="471"/>
      <c r="P556" s="471"/>
      <c r="Q556" s="471"/>
      <c r="R556" s="470"/>
      <c r="S556" s="471">
        <v>0.11901620370370369</v>
      </c>
      <c r="T556" s="471">
        <v>0.18568287037037037</v>
      </c>
      <c r="U556" s="471"/>
      <c r="V556" s="471"/>
      <c r="W556" s="471">
        <v>0.49581018518518521</v>
      </c>
      <c r="X556" s="471">
        <v>0.80593750000000008</v>
      </c>
      <c r="Y556" s="471" t="s">
        <v>1107</v>
      </c>
      <c r="Z556" s="471">
        <v>0.1986111111111111</v>
      </c>
      <c r="AA556" s="471">
        <v>0.40416666666666662</v>
      </c>
      <c r="AB556" s="470" t="s">
        <v>6462</v>
      </c>
      <c r="AC556" s="473">
        <v>129</v>
      </c>
      <c r="AD556" s="470" t="s">
        <v>116</v>
      </c>
      <c r="AE556" s="470"/>
      <c r="AF556" s="473">
        <v>55.9</v>
      </c>
      <c r="AG556" s="469">
        <v>95.4</v>
      </c>
      <c r="AH556" s="470" t="s">
        <v>6306</v>
      </c>
      <c r="AI556" s="470" t="s">
        <v>6341</v>
      </c>
      <c r="AJ556" s="470" t="s">
        <v>6493</v>
      </c>
      <c r="AK556" s="470" t="s">
        <v>6493</v>
      </c>
      <c r="AL556" s="470"/>
      <c r="AM556" s="470"/>
      <c r="AN556" s="470"/>
      <c r="AO556" s="470"/>
      <c r="AP556" s="470"/>
      <c r="AQ556" s="470"/>
      <c r="AR556" s="470"/>
      <c r="AS556" s="470"/>
      <c r="AT556" s="470"/>
      <c r="AU556" s="470"/>
      <c r="AV556" s="470"/>
      <c r="AW556" s="470"/>
      <c r="AX556" s="470"/>
      <c r="AY556" s="470"/>
      <c r="AZ556" s="470"/>
      <c r="BA556" s="470"/>
      <c r="BB556" s="470"/>
      <c r="BC556" s="470"/>
      <c r="BD556" s="470"/>
      <c r="BE556" s="470"/>
      <c r="BF556" s="470"/>
      <c r="BG556" s="470"/>
      <c r="BH556" s="470"/>
      <c r="BI556" s="470"/>
      <c r="BJ556" s="470"/>
      <c r="BK556" s="470"/>
      <c r="BL556" s="474"/>
    </row>
    <row r="557" spans="1:64">
      <c r="A557" s="475">
        <v>44348</v>
      </c>
      <c r="B557" s="478">
        <v>152</v>
      </c>
      <c r="C557" s="478">
        <v>213</v>
      </c>
      <c r="D557" s="476" t="s">
        <v>623</v>
      </c>
      <c r="E557" s="477">
        <v>22</v>
      </c>
      <c r="F557" s="476" t="s">
        <v>91</v>
      </c>
      <c r="G557" s="477">
        <v>535</v>
      </c>
      <c r="H557" s="476" t="s">
        <v>6250</v>
      </c>
      <c r="I557" s="476" t="s">
        <v>836</v>
      </c>
      <c r="J557" s="477">
        <v>7</v>
      </c>
      <c r="K557" s="476" t="s">
        <v>6262</v>
      </c>
      <c r="L557" s="476" t="s">
        <v>6278</v>
      </c>
      <c r="M557" s="476" t="s">
        <v>9</v>
      </c>
      <c r="N557" s="478">
        <v>1</v>
      </c>
      <c r="O557" s="479"/>
      <c r="P557" s="479"/>
      <c r="Q557" s="479"/>
      <c r="R557" s="476"/>
      <c r="S557" s="479">
        <v>0.11871527777777778</v>
      </c>
      <c r="T557" s="479">
        <v>0.18538194444444445</v>
      </c>
      <c r="U557" s="479"/>
      <c r="V557" s="479"/>
      <c r="W557" s="479">
        <v>0.49591435185185184</v>
      </c>
      <c r="X557" s="479">
        <v>0.80644675925925924</v>
      </c>
      <c r="Y557" s="479">
        <v>1.8055555555555557E-2</v>
      </c>
      <c r="Z557" s="479">
        <v>0.23402777777777781</v>
      </c>
      <c r="AA557" s="479">
        <v>0.4513888888888889</v>
      </c>
      <c r="AB557" s="476" t="s">
        <v>6462</v>
      </c>
      <c r="AC557" s="478">
        <v>129</v>
      </c>
      <c r="AD557" s="476" t="s">
        <v>116</v>
      </c>
      <c r="AE557" s="476"/>
      <c r="AF557" s="478">
        <v>58.7</v>
      </c>
      <c r="AG557" s="477">
        <v>95.1</v>
      </c>
      <c r="AH557" s="476" t="s">
        <v>6307</v>
      </c>
      <c r="AI557" s="476" t="s">
        <v>6320</v>
      </c>
      <c r="AJ557" s="476" t="s">
        <v>6493</v>
      </c>
      <c r="AK557" s="476" t="s">
        <v>6493</v>
      </c>
      <c r="AL557" s="476"/>
      <c r="AM557" s="476"/>
      <c r="AN557" s="476"/>
      <c r="AO557" s="476"/>
      <c r="AP557" s="476"/>
      <c r="AQ557" s="476"/>
      <c r="AR557" s="476"/>
      <c r="AS557" s="476"/>
      <c r="AT557" s="476"/>
      <c r="AU557" s="476"/>
      <c r="AV557" s="476"/>
      <c r="AW557" s="476"/>
      <c r="AX557" s="476"/>
      <c r="AY557" s="476"/>
      <c r="AZ557" s="476"/>
      <c r="BA557" s="476"/>
      <c r="BB557" s="476"/>
      <c r="BC557" s="476"/>
      <c r="BD557" s="476"/>
      <c r="BE557" s="476"/>
      <c r="BF557" s="476"/>
      <c r="BG557" s="476"/>
      <c r="BH557" s="476"/>
      <c r="BI557" s="476"/>
      <c r="BJ557" s="476"/>
      <c r="BK557" s="476"/>
      <c r="BL557" s="480"/>
    </row>
    <row r="558" spans="1:64">
      <c r="A558" s="468">
        <v>44349</v>
      </c>
      <c r="B558" s="473">
        <v>153</v>
      </c>
      <c r="C558" s="473">
        <v>212</v>
      </c>
      <c r="D558" s="470" t="s">
        <v>623</v>
      </c>
      <c r="E558" s="469">
        <v>22</v>
      </c>
      <c r="F558" s="470" t="s">
        <v>94</v>
      </c>
      <c r="G558" s="469">
        <v>535</v>
      </c>
      <c r="H558" s="470" t="s">
        <v>6250</v>
      </c>
      <c r="I558" s="470" t="s">
        <v>836</v>
      </c>
      <c r="J558" s="469">
        <v>8</v>
      </c>
      <c r="K558" s="470" t="s">
        <v>6263</v>
      </c>
      <c r="L558" s="470" t="s">
        <v>6279</v>
      </c>
      <c r="M558" s="470" t="s">
        <v>9</v>
      </c>
      <c r="N558" s="473">
        <v>1</v>
      </c>
      <c r="O558" s="471"/>
      <c r="P558" s="471"/>
      <c r="Q558" s="471"/>
      <c r="R558" s="470"/>
      <c r="S558" s="471">
        <v>0.11842592592592593</v>
      </c>
      <c r="T558" s="471">
        <v>0.18509259259259259</v>
      </c>
      <c r="U558" s="471"/>
      <c r="V558" s="471"/>
      <c r="W558" s="471">
        <v>0.49601851851851847</v>
      </c>
      <c r="X558" s="471">
        <v>0.80693287037037031</v>
      </c>
      <c r="Y558" s="471">
        <v>3.8194444444444441E-2</v>
      </c>
      <c r="Z558" s="471">
        <v>0.26666666666666666</v>
      </c>
      <c r="AA558" s="471">
        <v>0.49652777777777773</v>
      </c>
      <c r="AB558" s="470" t="s">
        <v>6289</v>
      </c>
      <c r="AC558" s="473">
        <v>131</v>
      </c>
      <c r="AD558" s="470" t="s">
        <v>119</v>
      </c>
      <c r="AE558" s="470" t="s">
        <v>6617</v>
      </c>
      <c r="AF558" s="473">
        <v>58.2</v>
      </c>
      <c r="AG558" s="469">
        <v>91.8</v>
      </c>
      <c r="AH558" s="470" t="s">
        <v>6308</v>
      </c>
      <c r="AI558" s="470" t="s">
        <v>6321</v>
      </c>
      <c r="AJ558" s="470" t="s">
        <v>6493</v>
      </c>
      <c r="AK558" s="470" t="s">
        <v>6493</v>
      </c>
      <c r="AL558" s="470"/>
      <c r="AM558" s="470"/>
      <c r="AN558" s="470"/>
      <c r="AO558" s="470"/>
      <c r="AP558" s="470"/>
      <c r="AQ558" s="470"/>
      <c r="AR558" s="470"/>
      <c r="AS558" s="470"/>
      <c r="AT558" s="470"/>
      <c r="AU558" s="470"/>
      <c r="AV558" s="470"/>
      <c r="AW558" s="470"/>
      <c r="AX558" s="470"/>
      <c r="AY558" s="470"/>
      <c r="AZ558" s="470"/>
      <c r="BA558" s="470"/>
      <c r="BB558" s="470"/>
      <c r="BC558" s="470"/>
      <c r="BD558" s="470"/>
      <c r="BE558" s="470"/>
      <c r="BF558" s="470"/>
      <c r="BG558" s="470"/>
      <c r="BH558" s="470"/>
      <c r="BI558" s="470"/>
      <c r="BJ558" s="470"/>
      <c r="BK558" s="470"/>
      <c r="BL558" s="474"/>
    </row>
    <row r="559" spans="1:64">
      <c r="A559" s="475">
        <v>44350</v>
      </c>
      <c r="B559" s="478">
        <v>154</v>
      </c>
      <c r="C559" s="478">
        <v>211</v>
      </c>
      <c r="D559" s="476" t="s">
        <v>623</v>
      </c>
      <c r="E559" s="477">
        <v>22</v>
      </c>
      <c r="F559" s="476" t="s">
        <v>6714</v>
      </c>
      <c r="G559" s="477">
        <v>535</v>
      </c>
      <c r="H559" s="476" t="s">
        <v>6250</v>
      </c>
      <c r="I559" s="476" t="s">
        <v>836</v>
      </c>
      <c r="J559" s="477">
        <v>9</v>
      </c>
      <c r="K559" s="476" t="s">
        <v>6264</v>
      </c>
      <c r="L559" s="476" t="s">
        <v>6280</v>
      </c>
      <c r="M559" s="476" t="s">
        <v>9</v>
      </c>
      <c r="N559" s="478">
        <v>1</v>
      </c>
      <c r="O559" s="479"/>
      <c r="P559" s="479"/>
      <c r="Q559" s="479"/>
      <c r="R559" s="476"/>
      <c r="S559" s="479">
        <v>0.1181712962962963</v>
      </c>
      <c r="T559" s="479">
        <v>0.18483796296296295</v>
      </c>
      <c r="U559" s="479"/>
      <c r="V559" s="479"/>
      <c r="W559" s="479">
        <v>0.49612268518518521</v>
      </c>
      <c r="X559" s="479">
        <v>0.8074189814814815</v>
      </c>
      <c r="Y559" s="479">
        <v>5.486111111111111E-2</v>
      </c>
      <c r="Z559" s="479">
        <v>0.29652777777777778</v>
      </c>
      <c r="AA559" s="479">
        <v>0.5395833333333333</v>
      </c>
      <c r="AB559" s="476" t="s">
        <v>6289</v>
      </c>
      <c r="AC559" s="478">
        <v>131</v>
      </c>
      <c r="AD559" s="476" t="s">
        <v>119</v>
      </c>
      <c r="AE559" s="476"/>
      <c r="AF559" s="478">
        <v>54.7</v>
      </c>
      <c r="AG559" s="477">
        <v>85.8</v>
      </c>
      <c r="AH559" s="476" t="s">
        <v>6309</v>
      </c>
      <c r="AI559" s="476" t="s">
        <v>6322</v>
      </c>
      <c r="AJ559" s="476" t="s">
        <v>6493</v>
      </c>
      <c r="AK559" s="476" t="s">
        <v>6493</v>
      </c>
      <c r="AL559" s="476" t="s">
        <v>599</v>
      </c>
      <c r="AM559" s="476"/>
      <c r="AN559" s="476"/>
      <c r="AO559" s="476"/>
      <c r="AP559" s="476"/>
      <c r="AQ559" s="476"/>
      <c r="AR559" s="476"/>
      <c r="AS559" s="476"/>
      <c r="AT559" s="476"/>
      <c r="AU559" s="476"/>
      <c r="AV559" s="476"/>
      <c r="AW559" s="476"/>
      <c r="AX559" s="476"/>
      <c r="AY559" s="476"/>
      <c r="AZ559" s="476"/>
      <c r="BA559" s="476"/>
      <c r="BB559" s="476"/>
      <c r="BC559" s="476"/>
      <c r="BD559" s="476"/>
      <c r="BE559" s="476"/>
      <c r="BF559" s="476"/>
      <c r="BG559" s="476"/>
      <c r="BH559" s="476"/>
      <c r="BI559" s="476"/>
      <c r="BJ559" s="476"/>
      <c r="BK559" s="476"/>
      <c r="BL559" s="480"/>
    </row>
    <row r="560" spans="1:64">
      <c r="A560" s="468">
        <v>44351</v>
      </c>
      <c r="B560" s="473">
        <v>155</v>
      </c>
      <c r="C560" s="473">
        <v>210</v>
      </c>
      <c r="D560" s="470" t="s">
        <v>623</v>
      </c>
      <c r="E560" s="469">
        <v>22</v>
      </c>
      <c r="F560" s="470" t="s">
        <v>100</v>
      </c>
      <c r="G560" s="469">
        <v>535</v>
      </c>
      <c r="H560" s="470" t="s">
        <v>6250</v>
      </c>
      <c r="I560" s="470" t="s">
        <v>836</v>
      </c>
      <c r="J560" s="469">
        <v>10</v>
      </c>
      <c r="K560" s="470" t="s">
        <v>6265</v>
      </c>
      <c r="L560" s="470" t="s">
        <v>6281</v>
      </c>
      <c r="M560" s="470" t="s">
        <v>9</v>
      </c>
      <c r="N560" s="473">
        <v>1</v>
      </c>
      <c r="O560" s="471"/>
      <c r="P560" s="471"/>
      <c r="Q560" s="471"/>
      <c r="R560" s="470"/>
      <c r="S560" s="471">
        <v>0.11792824074074075</v>
      </c>
      <c r="T560" s="471">
        <v>0.18459490740740739</v>
      </c>
      <c r="U560" s="471"/>
      <c r="V560" s="471"/>
      <c r="W560" s="471">
        <v>0.49623842592592587</v>
      </c>
      <c r="X560" s="471">
        <v>0.8078819444444445</v>
      </c>
      <c r="Y560" s="471">
        <v>7.0833333333333331E-2</v>
      </c>
      <c r="Z560" s="471">
        <v>0.32500000000000001</v>
      </c>
      <c r="AA560" s="471">
        <v>0.58194444444444449</v>
      </c>
      <c r="AB560" s="470" t="s">
        <v>6289</v>
      </c>
      <c r="AC560" s="473">
        <v>131</v>
      </c>
      <c r="AD560" s="470" t="s">
        <v>119</v>
      </c>
      <c r="AE560" s="470"/>
      <c r="AF560" s="473">
        <v>48.8</v>
      </c>
      <c r="AG560" s="469">
        <v>77.8</v>
      </c>
      <c r="AH560" s="470" t="s">
        <v>6310</v>
      </c>
      <c r="AI560" s="470" t="s">
        <v>6323</v>
      </c>
      <c r="AJ560" s="470" t="s">
        <v>6493</v>
      </c>
      <c r="AK560" s="470" t="s">
        <v>6493</v>
      </c>
      <c r="AL560" s="470"/>
      <c r="AM560" s="470"/>
      <c r="AN560" s="470"/>
      <c r="AO560" s="470"/>
      <c r="AP560" s="470"/>
      <c r="AQ560" s="470"/>
      <c r="AR560" s="470"/>
      <c r="AS560" s="470"/>
      <c r="AT560" s="470"/>
      <c r="AU560" s="470"/>
      <c r="AV560" s="470"/>
      <c r="AW560" s="470"/>
      <c r="AX560" s="470"/>
      <c r="AY560" s="470"/>
      <c r="AZ560" s="470"/>
      <c r="BA560" s="470"/>
      <c r="BB560" s="470"/>
      <c r="BC560" s="470"/>
      <c r="BD560" s="470"/>
      <c r="BE560" s="470"/>
      <c r="BF560" s="470"/>
      <c r="BG560" s="470"/>
      <c r="BH560" s="470"/>
      <c r="BI560" s="470"/>
      <c r="BJ560" s="470"/>
      <c r="BK560" s="470"/>
      <c r="BL560" s="474"/>
    </row>
    <row r="561" spans="1:64">
      <c r="A561" s="475">
        <v>44352</v>
      </c>
      <c r="B561" s="478">
        <v>156</v>
      </c>
      <c r="C561" s="478">
        <v>209</v>
      </c>
      <c r="D561" s="476" t="s">
        <v>623</v>
      </c>
      <c r="E561" s="477">
        <v>22</v>
      </c>
      <c r="F561" s="476" t="s">
        <v>103</v>
      </c>
      <c r="G561" s="477">
        <v>535</v>
      </c>
      <c r="H561" s="476" t="s">
        <v>6250</v>
      </c>
      <c r="I561" s="476" t="s">
        <v>836</v>
      </c>
      <c r="J561" s="477">
        <v>11</v>
      </c>
      <c r="K561" s="476" t="s">
        <v>6271</v>
      </c>
      <c r="L561" s="476" t="s">
        <v>6282</v>
      </c>
      <c r="M561" s="476" t="s">
        <v>9</v>
      </c>
      <c r="N561" s="478">
        <v>1</v>
      </c>
      <c r="O561" s="479"/>
      <c r="P561" s="479"/>
      <c r="Q561" s="479"/>
      <c r="R561" s="476"/>
      <c r="S561" s="479">
        <v>0.11771990740740741</v>
      </c>
      <c r="T561" s="479">
        <v>0.18438657407407408</v>
      </c>
      <c r="U561" s="479"/>
      <c r="V561" s="479"/>
      <c r="W561" s="479">
        <v>0.49635416666666665</v>
      </c>
      <c r="X561" s="479">
        <v>0.80833333333333324</v>
      </c>
      <c r="Y561" s="479">
        <v>8.6111111111111124E-2</v>
      </c>
      <c r="Z561" s="479">
        <v>0.3527777777777778</v>
      </c>
      <c r="AA561" s="479">
        <v>0.62361111111111112</v>
      </c>
      <c r="AB561" s="476" t="s">
        <v>6289</v>
      </c>
      <c r="AC561" s="478">
        <v>131</v>
      </c>
      <c r="AD561" s="476" t="s">
        <v>119</v>
      </c>
      <c r="AE561" s="476"/>
      <c r="AF561" s="478">
        <v>41.2</v>
      </c>
      <c r="AG561" s="477">
        <v>68.099999999999994</v>
      </c>
      <c r="AH561" s="476" t="s">
        <v>6311</v>
      </c>
      <c r="AI561" s="476" t="s">
        <v>6324</v>
      </c>
      <c r="AJ561" s="476" t="s">
        <v>6493</v>
      </c>
      <c r="AK561" s="476" t="s">
        <v>6493</v>
      </c>
      <c r="AL561" s="476"/>
      <c r="AM561" s="476"/>
      <c r="AN561" s="476"/>
      <c r="AO561" s="476"/>
      <c r="AP561" s="476"/>
      <c r="AQ561" s="476"/>
      <c r="AR561" s="476"/>
      <c r="AS561" s="476"/>
      <c r="AT561" s="476"/>
      <c r="AU561" s="476"/>
      <c r="AV561" s="476"/>
      <c r="AW561" s="476"/>
      <c r="AX561" s="476"/>
      <c r="AY561" s="476"/>
      <c r="AZ561" s="476"/>
      <c r="BA561" s="476"/>
      <c r="BB561" s="476"/>
      <c r="BC561" s="476"/>
      <c r="BD561" s="476"/>
      <c r="BE561" s="476"/>
      <c r="BF561" s="476"/>
      <c r="BG561" s="476"/>
      <c r="BH561" s="476"/>
      <c r="BI561" s="476"/>
      <c r="BJ561" s="476"/>
      <c r="BK561" s="476"/>
      <c r="BL561" s="480"/>
    </row>
    <row r="562" spans="1:64">
      <c r="A562" s="468">
        <v>44353</v>
      </c>
      <c r="B562" s="473">
        <v>157</v>
      </c>
      <c r="C562" s="473">
        <v>208</v>
      </c>
      <c r="D562" s="470" t="s">
        <v>623</v>
      </c>
      <c r="E562" s="469">
        <v>22</v>
      </c>
      <c r="F562" s="470" t="s">
        <v>106</v>
      </c>
      <c r="G562" s="469">
        <v>535</v>
      </c>
      <c r="H562" s="470" t="s">
        <v>6250</v>
      </c>
      <c r="I562" s="470" t="s">
        <v>836</v>
      </c>
      <c r="J562" s="469">
        <v>12</v>
      </c>
      <c r="K562" s="470" t="s">
        <v>6266</v>
      </c>
      <c r="L562" s="470" t="s">
        <v>6283</v>
      </c>
      <c r="M562" s="470" t="s">
        <v>9</v>
      </c>
      <c r="N562" s="473">
        <v>1</v>
      </c>
      <c r="O562" s="471"/>
      <c r="P562" s="471"/>
      <c r="Q562" s="471"/>
      <c r="R562" s="470"/>
      <c r="S562" s="471">
        <v>0.11752314814814814</v>
      </c>
      <c r="T562" s="471">
        <v>0.18418981481481481</v>
      </c>
      <c r="U562" s="471"/>
      <c r="V562" s="471"/>
      <c r="W562" s="471">
        <v>0.49648148148148147</v>
      </c>
      <c r="X562" s="471">
        <v>0.80876157407407412</v>
      </c>
      <c r="Y562" s="471">
        <v>0.1013888888888889</v>
      </c>
      <c r="Z562" s="471">
        <v>0.38125000000000003</v>
      </c>
      <c r="AA562" s="471">
        <v>0.6645833333333333</v>
      </c>
      <c r="AB562" s="470" t="s">
        <v>6289</v>
      </c>
      <c r="AC562" s="473">
        <v>131</v>
      </c>
      <c r="AD562" s="470" t="s">
        <v>119</v>
      </c>
      <c r="AE562" s="470"/>
      <c r="AF562" s="473">
        <v>32.4</v>
      </c>
      <c r="AG562" s="469">
        <v>57.3</v>
      </c>
      <c r="AH562" s="470" t="s">
        <v>6312</v>
      </c>
      <c r="AI562" s="470" t="s">
        <v>6325</v>
      </c>
      <c r="AJ562" s="470" t="s">
        <v>838</v>
      </c>
      <c r="AK562" s="470" t="s">
        <v>13</v>
      </c>
      <c r="AL562" s="470" t="s">
        <v>1221</v>
      </c>
      <c r="AM562" s="470" t="s">
        <v>6342</v>
      </c>
      <c r="AN562" s="470" t="s">
        <v>6933</v>
      </c>
      <c r="AO562" s="470" t="s">
        <v>6342</v>
      </c>
      <c r="AP562" s="470" t="s">
        <v>6990</v>
      </c>
      <c r="AQ562" s="470" t="s">
        <v>6351</v>
      </c>
      <c r="AR562" s="470" t="s">
        <v>6934</v>
      </c>
      <c r="AS562" s="470" t="s">
        <v>6346</v>
      </c>
      <c r="AT562" s="470"/>
      <c r="AU562" s="470"/>
      <c r="AV562" s="470"/>
      <c r="AW562" s="470"/>
      <c r="AX562" s="470"/>
      <c r="AY562" s="470"/>
      <c r="AZ562" s="470"/>
      <c r="BA562" s="470"/>
      <c r="BB562" s="470"/>
      <c r="BC562" s="470"/>
      <c r="BD562" s="470"/>
      <c r="BE562" s="470"/>
      <c r="BF562" s="470"/>
      <c r="BG562" s="470"/>
      <c r="BH562" s="470"/>
      <c r="BI562" s="470"/>
      <c r="BJ562" s="470" t="s">
        <v>6699</v>
      </c>
      <c r="BK562" s="470"/>
      <c r="BL562" s="474"/>
    </row>
    <row r="563" spans="1:64">
      <c r="A563" s="475">
        <v>44354</v>
      </c>
      <c r="B563" s="478">
        <v>158</v>
      </c>
      <c r="C563" s="478">
        <v>207</v>
      </c>
      <c r="D563" s="476" t="s">
        <v>623</v>
      </c>
      <c r="E563" s="477">
        <v>23</v>
      </c>
      <c r="F563" s="476" t="s">
        <v>88</v>
      </c>
      <c r="G563" s="477">
        <v>535</v>
      </c>
      <c r="H563" s="476" t="s">
        <v>6250</v>
      </c>
      <c r="I563" s="476" t="s">
        <v>836</v>
      </c>
      <c r="J563" s="477">
        <v>13</v>
      </c>
      <c r="K563" s="476" t="s">
        <v>6267</v>
      </c>
      <c r="L563" s="476" t="s">
        <v>6284</v>
      </c>
      <c r="M563" s="476" t="s">
        <v>9</v>
      </c>
      <c r="N563" s="478">
        <v>1</v>
      </c>
      <c r="O563" s="479"/>
      <c r="P563" s="479"/>
      <c r="Q563" s="479"/>
      <c r="R563" s="476"/>
      <c r="S563" s="479">
        <v>0.1173611111111111</v>
      </c>
      <c r="T563" s="479">
        <v>0.18402777777777779</v>
      </c>
      <c r="U563" s="479">
        <v>0.18402777777777779</v>
      </c>
      <c r="V563" s="479">
        <v>0.3923611111111111</v>
      </c>
      <c r="W563" s="479">
        <v>0.49660879629629634</v>
      </c>
      <c r="X563" s="479">
        <v>0.80917824074074074</v>
      </c>
      <c r="Y563" s="479">
        <v>0.11805555555555557</v>
      </c>
      <c r="Z563" s="479">
        <v>0.40972222222222227</v>
      </c>
      <c r="AA563" s="479">
        <v>0.70624999999999993</v>
      </c>
      <c r="AB563" s="476" t="s">
        <v>6289</v>
      </c>
      <c r="AC563" s="478">
        <v>131</v>
      </c>
      <c r="AD563" s="476" t="s">
        <v>119</v>
      </c>
      <c r="AE563" s="476"/>
      <c r="AF563" s="478">
        <v>22.8</v>
      </c>
      <c r="AG563" s="477">
        <v>45.9</v>
      </c>
      <c r="AH563" s="476" t="s">
        <v>6313</v>
      </c>
      <c r="AI563" s="476" t="s">
        <v>6326</v>
      </c>
      <c r="AJ563" s="476" t="s">
        <v>839</v>
      </c>
      <c r="AK563" s="476" t="s">
        <v>6493</v>
      </c>
      <c r="AL563" s="476" t="s">
        <v>6869</v>
      </c>
      <c r="AM563" s="476" t="s">
        <v>6343</v>
      </c>
      <c r="AN563" s="476"/>
      <c r="AO563" s="476"/>
      <c r="AP563" s="476"/>
      <c r="AQ563" s="476"/>
      <c r="AR563" s="476"/>
      <c r="AS563" s="476"/>
      <c r="AT563" s="476"/>
      <c r="AU563" s="476"/>
      <c r="AV563" s="476"/>
      <c r="AW563" s="476"/>
      <c r="AX563" s="476"/>
      <c r="AY563" s="476"/>
      <c r="AZ563" s="476"/>
      <c r="BA563" s="476"/>
      <c r="BB563" s="476"/>
      <c r="BC563" s="476"/>
      <c r="BD563" s="476"/>
      <c r="BE563" s="476"/>
      <c r="BF563" s="476"/>
      <c r="BG563" s="476"/>
      <c r="BH563" s="476"/>
      <c r="BI563" s="476"/>
      <c r="BJ563" s="476"/>
      <c r="BK563" s="476"/>
      <c r="BL563" s="480"/>
    </row>
    <row r="564" spans="1:64">
      <c r="A564" s="468">
        <v>44355</v>
      </c>
      <c r="B564" s="473">
        <v>159</v>
      </c>
      <c r="C564" s="473">
        <v>206</v>
      </c>
      <c r="D564" s="470" t="s">
        <v>623</v>
      </c>
      <c r="E564" s="469">
        <v>23</v>
      </c>
      <c r="F564" s="470" t="s">
        <v>91</v>
      </c>
      <c r="G564" s="469">
        <v>535</v>
      </c>
      <c r="H564" s="470" t="s">
        <v>6250</v>
      </c>
      <c r="I564" s="470" t="s">
        <v>836</v>
      </c>
      <c r="J564" s="469">
        <v>14</v>
      </c>
      <c r="K564" s="470" t="s">
        <v>6268</v>
      </c>
      <c r="L564" s="470" t="s">
        <v>6285</v>
      </c>
      <c r="M564" s="470" t="s">
        <v>9</v>
      </c>
      <c r="N564" s="473">
        <v>1</v>
      </c>
      <c r="O564" s="471"/>
      <c r="P564" s="471"/>
      <c r="Q564" s="471"/>
      <c r="R564" s="470"/>
      <c r="S564" s="471">
        <v>0.11721064814814815</v>
      </c>
      <c r="T564" s="471">
        <v>0.18387731481481481</v>
      </c>
      <c r="U564" s="471"/>
      <c r="V564" s="471"/>
      <c r="W564" s="471">
        <v>0.4967361111111111</v>
      </c>
      <c r="X564" s="471">
        <v>0.80958333333333332</v>
      </c>
      <c r="Y564" s="471">
        <v>0.13680555555555554</v>
      </c>
      <c r="Z564" s="471">
        <v>0.44027777777777777</v>
      </c>
      <c r="AA564" s="471">
        <v>0.74861111111111101</v>
      </c>
      <c r="AB564" s="470" t="s">
        <v>6289</v>
      </c>
      <c r="AC564" s="473">
        <v>131</v>
      </c>
      <c r="AD564" s="470" t="s">
        <v>119</v>
      </c>
      <c r="AE564" s="470"/>
      <c r="AF564" s="473">
        <v>13</v>
      </c>
      <c r="AG564" s="469">
        <v>34.200000000000003</v>
      </c>
      <c r="AH564" s="470" t="s">
        <v>6314</v>
      </c>
      <c r="AI564" s="470" t="s">
        <v>6327</v>
      </c>
      <c r="AJ564" s="470" t="s">
        <v>6493</v>
      </c>
      <c r="AK564" s="470" t="s">
        <v>6493</v>
      </c>
      <c r="AL564" s="470"/>
      <c r="AM564" s="470"/>
      <c r="AN564" s="470"/>
      <c r="AO564" s="470"/>
      <c r="AP564" s="470"/>
      <c r="AQ564" s="470"/>
      <c r="AR564" s="470"/>
      <c r="AS564" s="470"/>
      <c r="AT564" s="470"/>
      <c r="AU564" s="470"/>
      <c r="AV564" s="470"/>
      <c r="AW564" s="470"/>
      <c r="AX564" s="470"/>
      <c r="AY564" s="470"/>
      <c r="AZ564" s="470"/>
      <c r="BA564" s="470"/>
      <c r="BB564" s="470"/>
      <c r="BC564" s="470"/>
      <c r="BD564" s="470"/>
      <c r="BE564" s="470"/>
      <c r="BF564" s="470"/>
      <c r="BG564" s="470"/>
      <c r="BH564" s="470"/>
      <c r="BI564" s="470"/>
      <c r="BJ564" s="470"/>
      <c r="BK564" s="470"/>
      <c r="BL564" s="474"/>
    </row>
    <row r="565" spans="1:64">
      <c r="A565" s="475">
        <v>44356</v>
      </c>
      <c r="B565" s="478">
        <v>160</v>
      </c>
      <c r="C565" s="478">
        <v>205</v>
      </c>
      <c r="D565" s="476" t="s">
        <v>623</v>
      </c>
      <c r="E565" s="477">
        <v>23</v>
      </c>
      <c r="F565" s="476" t="s">
        <v>94</v>
      </c>
      <c r="G565" s="477">
        <v>535</v>
      </c>
      <c r="H565" s="476" t="s">
        <v>6250</v>
      </c>
      <c r="I565" s="476" t="s">
        <v>836</v>
      </c>
      <c r="J565" s="477">
        <v>15</v>
      </c>
      <c r="K565" s="476" t="s">
        <v>6269</v>
      </c>
      <c r="L565" s="476" t="s">
        <v>6285</v>
      </c>
      <c r="M565" s="476" t="s">
        <v>9</v>
      </c>
      <c r="N565" s="478">
        <v>1</v>
      </c>
      <c r="O565" s="479"/>
      <c r="P565" s="479"/>
      <c r="Q565" s="479"/>
      <c r="R565" s="476"/>
      <c r="S565" s="479">
        <v>0.11709490740740741</v>
      </c>
      <c r="T565" s="479">
        <v>0.18376157407407409</v>
      </c>
      <c r="U565" s="479"/>
      <c r="V565" s="479"/>
      <c r="W565" s="479">
        <v>0.49686342592592592</v>
      </c>
      <c r="X565" s="479">
        <v>0.80996527777777771</v>
      </c>
      <c r="Y565" s="479">
        <v>0.15763888888888888</v>
      </c>
      <c r="Z565" s="479">
        <v>0.47152777777777777</v>
      </c>
      <c r="AA565" s="479">
        <v>0.79027777777777775</v>
      </c>
      <c r="AB565" s="476" t="s">
        <v>6289</v>
      </c>
      <c r="AC565" s="478">
        <v>131</v>
      </c>
      <c r="AD565" s="476" t="s">
        <v>119</v>
      </c>
      <c r="AE565" s="476"/>
      <c r="AF565" s="478">
        <v>3.4</v>
      </c>
      <c r="AG565" s="477">
        <v>22.7</v>
      </c>
      <c r="AH565" s="476" t="s">
        <v>973</v>
      </c>
      <c r="AI565" s="476" t="s">
        <v>6328</v>
      </c>
      <c r="AJ565" s="476" t="s">
        <v>6493</v>
      </c>
      <c r="AK565" s="476" t="s">
        <v>6493</v>
      </c>
      <c r="AL565" s="476"/>
      <c r="AM565" s="476"/>
      <c r="AN565" s="476"/>
      <c r="AO565" s="476"/>
      <c r="AP565" s="476"/>
      <c r="AQ565" s="476"/>
      <c r="AR565" s="476"/>
      <c r="AS565" s="476"/>
      <c r="AT565" s="476"/>
      <c r="AU565" s="476"/>
      <c r="AV565" s="476"/>
      <c r="AW565" s="476"/>
      <c r="AX565" s="476"/>
      <c r="AY565" s="476"/>
      <c r="AZ565" s="476"/>
      <c r="BA565" s="476"/>
      <c r="BB565" s="476"/>
      <c r="BC565" s="476"/>
      <c r="BD565" s="476"/>
      <c r="BE565" s="476"/>
      <c r="BF565" s="476"/>
      <c r="BG565" s="476"/>
      <c r="BH565" s="476"/>
      <c r="BI565" s="476"/>
      <c r="BJ565" s="476"/>
      <c r="BK565" s="476"/>
      <c r="BL565" s="480"/>
    </row>
    <row r="566" spans="1:64">
      <c r="A566" s="468">
        <v>44357</v>
      </c>
      <c r="B566" s="473">
        <v>161</v>
      </c>
      <c r="C566" s="473">
        <v>204</v>
      </c>
      <c r="D566" s="470" t="s">
        <v>623</v>
      </c>
      <c r="E566" s="469">
        <v>23</v>
      </c>
      <c r="F566" s="470" t="s">
        <v>6714</v>
      </c>
      <c r="G566" s="469">
        <v>535</v>
      </c>
      <c r="H566" s="470" t="s">
        <v>6250</v>
      </c>
      <c r="I566" s="470" t="s">
        <v>836</v>
      </c>
      <c r="J566" s="469">
        <v>15</v>
      </c>
      <c r="K566" s="470" t="s">
        <v>6269</v>
      </c>
      <c r="L566" s="470" t="s">
        <v>6286</v>
      </c>
      <c r="M566" s="470" t="s">
        <v>10</v>
      </c>
      <c r="N566" s="473">
        <v>1</v>
      </c>
      <c r="O566" s="471"/>
      <c r="P566" s="471"/>
      <c r="Q566" s="471"/>
      <c r="R566" s="470"/>
      <c r="S566" s="471">
        <v>0.11699074074074074</v>
      </c>
      <c r="T566" s="471">
        <v>0.18365740740740741</v>
      </c>
      <c r="U566" s="471"/>
      <c r="V566" s="471"/>
      <c r="W566" s="471">
        <v>0.49699074074074073</v>
      </c>
      <c r="X566" s="471">
        <v>0.81033564814814818</v>
      </c>
      <c r="Y566" s="471">
        <v>0.18263888888888891</v>
      </c>
      <c r="Z566" s="471">
        <v>0.50555555555555554</v>
      </c>
      <c r="AA566" s="471">
        <v>0.83124999999999993</v>
      </c>
      <c r="AB566" s="470" t="s">
        <v>6463</v>
      </c>
      <c r="AC566" s="473">
        <v>152</v>
      </c>
      <c r="AD566" s="470" t="s">
        <v>110</v>
      </c>
      <c r="AE566" s="470" t="s">
        <v>6618</v>
      </c>
      <c r="AF566" s="473">
        <v>94.3</v>
      </c>
      <c r="AG566" s="469">
        <v>11.7</v>
      </c>
      <c r="AH566" s="470" t="s">
        <v>6290</v>
      </c>
      <c r="AI566" s="470" t="s">
        <v>6329</v>
      </c>
      <c r="AJ566" s="470" t="s">
        <v>6493</v>
      </c>
      <c r="AK566" s="470" t="s">
        <v>6493</v>
      </c>
      <c r="AL566" s="470" t="s">
        <v>6727</v>
      </c>
      <c r="AM566" s="470"/>
      <c r="AN566" s="470"/>
      <c r="AO566" s="470"/>
      <c r="AP566" s="470"/>
      <c r="AQ566" s="470"/>
      <c r="AR566" s="470"/>
      <c r="AS566" s="470"/>
      <c r="AT566" s="470"/>
      <c r="AU566" s="470"/>
      <c r="AV566" s="470"/>
      <c r="AW566" s="470"/>
      <c r="AX566" s="470"/>
      <c r="AY566" s="470"/>
      <c r="AZ566" s="470"/>
      <c r="BA566" s="470"/>
      <c r="BB566" s="470"/>
      <c r="BC566" s="470"/>
      <c r="BD566" s="470"/>
      <c r="BE566" s="470"/>
      <c r="BF566" s="470"/>
      <c r="BG566" s="470"/>
      <c r="BH566" s="470"/>
      <c r="BI566" s="470"/>
      <c r="BJ566" s="470"/>
      <c r="BK566" s="470"/>
      <c r="BL566" s="474"/>
    </row>
    <row r="567" spans="1:64">
      <c r="A567" s="475">
        <v>44358</v>
      </c>
      <c r="B567" s="478">
        <v>162</v>
      </c>
      <c r="C567" s="478">
        <v>203</v>
      </c>
      <c r="D567" s="476" t="s">
        <v>623</v>
      </c>
      <c r="E567" s="477">
        <v>23</v>
      </c>
      <c r="F567" s="476" t="s">
        <v>100</v>
      </c>
      <c r="G567" s="477">
        <v>535</v>
      </c>
      <c r="H567" s="476" t="s">
        <v>6250</v>
      </c>
      <c r="I567" s="476" t="s">
        <v>6257</v>
      </c>
      <c r="J567" s="477">
        <v>16</v>
      </c>
      <c r="K567" s="476" t="s">
        <v>6270</v>
      </c>
      <c r="L567" s="476" t="s">
        <v>6287</v>
      </c>
      <c r="M567" s="476" t="s">
        <v>9</v>
      </c>
      <c r="N567" s="478">
        <v>1</v>
      </c>
      <c r="O567" s="479"/>
      <c r="P567" s="479"/>
      <c r="Q567" s="479"/>
      <c r="R567" s="476"/>
      <c r="S567" s="479">
        <v>0.11690972222222222</v>
      </c>
      <c r="T567" s="479">
        <v>0.18357638888888891</v>
      </c>
      <c r="U567" s="479"/>
      <c r="V567" s="479"/>
      <c r="W567" s="479">
        <v>0.49712962962962964</v>
      </c>
      <c r="X567" s="479">
        <v>0.8106712962962962</v>
      </c>
      <c r="Y567" s="479">
        <v>0.21249999999999999</v>
      </c>
      <c r="Z567" s="479">
        <v>0.54027777777777775</v>
      </c>
      <c r="AA567" s="479">
        <v>0.86944444444444446</v>
      </c>
      <c r="AB567" s="476" t="s">
        <v>6463</v>
      </c>
      <c r="AC567" s="478">
        <v>152</v>
      </c>
      <c r="AD567" s="476" t="s">
        <v>110</v>
      </c>
      <c r="AE567" s="476"/>
      <c r="AF567" s="478">
        <v>86</v>
      </c>
      <c r="AG567" s="477">
        <v>1.4</v>
      </c>
      <c r="AH567" s="476" t="s">
        <v>6315</v>
      </c>
      <c r="AI567" s="476" t="s">
        <v>6330</v>
      </c>
      <c r="AJ567" s="476" t="s">
        <v>6493</v>
      </c>
      <c r="AK567" s="476" t="s">
        <v>6493</v>
      </c>
      <c r="AL567" s="476"/>
      <c r="AM567" s="476"/>
      <c r="AN567" s="476"/>
      <c r="AO567" s="476"/>
      <c r="AP567" s="476"/>
      <c r="AQ567" s="476"/>
      <c r="AR567" s="476"/>
      <c r="AS567" s="476"/>
      <c r="AT567" s="476"/>
      <c r="AU567" s="476"/>
      <c r="AV567" s="476"/>
      <c r="AW567" s="476"/>
      <c r="AX567" s="476"/>
      <c r="AY567" s="476"/>
      <c r="AZ567" s="476"/>
      <c r="BA567" s="476"/>
      <c r="BB567" s="476"/>
      <c r="BC567" s="476"/>
      <c r="BD567" s="476"/>
      <c r="BE567" s="476"/>
      <c r="BF567" s="476"/>
      <c r="BG567" s="476"/>
      <c r="BH567" s="476"/>
      <c r="BI567" s="476"/>
      <c r="BJ567" s="476"/>
      <c r="BK567" s="476"/>
      <c r="BL567" s="480"/>
    </row>
    <row r="568" spans="1:64">
      <c r="A568" s="468">
        <v>44359</v>
      </c>
      <c r="B568" s="473">
        <v>163</v>
      </c>
      <c r="C568" s="473">
        <v>202</v>
      </c>
      <c r="D568" s="470" t="s">
        <v>623</v>
      </c>
      <c r="E568" s="469">
        <v>23</v>
      </c>
      <c r="F568" s="470" t="s">
        <v>103</v>
      </c>
      <c r="G568" s="469">
        <v>535</v>
      </c>
      <c r="H568" s="470" t="s">
        <v>6250</v>
      </c>
      <c r="I568" s="470" t="s">
        <v>6257</v>
      </c>
      <c r="J568" s="469">
        <v>17</v>
      </c>
      <c r="K568" s="470" t="s">
        <v>1034</v>
      </c>
      <c r="L568" s="470" t="s">
        <v>6273</v>
      </c>
      <c r="M568" s="470" t="s">
        <v>9</v>
      </c>
      <c r="N568" s="473">
        <v>1</v>
      </c>
      <c r="O568" s="471"/>
      <c r="P568" s="471"/>
      <c r="Q568" s="471"/>
      <c r="R568" s="470"/>
      <c r="S568" s="471">
        <v>0.11686342592592593</v>
      </c>
      <c r="T568" s="471">
        <v>0.18353009259259259</v>
      </c>
      <c r="U568" s="471"/>
      <c r="V568" s="471"/>
      <c r="W568" s="471">
        <v>0.49726851851851855</v>
      </c>
      <c r="X568" s="471">
        <v>0.81100694444444443</v>
      </c>
      <c r="Y568" s="471">
        <v>0.24722222222222223</v>
      </c>
      <c r="Z568" s="471">
        <v>0.5756944444444444</v>
      </c>
      <c r="AA568" s="471">
        <v>0.90347222222222223</v>
      </c>
      <c r="AB568" s="470" t="s">
        <v>6463</v>
      </c>
      <c r="AC568" s="473">
        <v>152</v>
      </c>
      <c r="AD568" s="470" t="s">
        <v>110</v>
      </c>
      <c r="AE568" s="470"/>
      <c r="AF568" s="473">
        <v>78.8</v>
      </c>
      <c r="AG568" s="469">
        <v>92.1</v>
      </c>
      <c r="AH568" s="470" t="s">
        <v>6315</v>
      </c>
      <c r="AI568" s="470" t="s">
        <v>6331</v>
      </c>
      <c r="AJ568" s="470" t="s">
        <v>6493</v>
      </c>
      <c r="AK568" s="470" t="s">
        <v>6493</v>
      </c>
      <c r="AL568" s="470" t="s">
        <v>760</v>
      </c>
      <c r="AM568" s="470"/>
      <c r="AN568" s="470"/>
      <c r="AO568" s="470"/>
      <c r="AP568" s="470"/>
      <c r="AQ568" s="470"/>
      <c r="AR568" s="470"/>
      <c r="AS568" s="470"/>
      <c r="AT568" s="470"/>
      <c r="AU568" s="470"/>
      <c r="AV568" s="470"/>
      <c r="AW568" s="470"/>
      <c r="AX568" s="470"/>
      <c r="AY568" s="470"/>
      <c r="AZ568" s="470"/>
      <c r="BA568" s="470"/>
      <c r="BB568" s="470"/>
      <c r="BC568" s="470"/>
      <c r="BD568" s="470"/>
      <c r="BE568" s="470"/>
      <c r="BF568" s="470"/>
      <c r="BG568" s="470"/>
      <c r="BH568" s="470"/>
      <c r="BI568" s="470"/>
      <c r="BJ568" s="470"/>
      <c r="BK568" s="470"/>
      <c r="BL568" s="474"/>
    </row>
    <row r="569" spans="1:64">
      <c r="A569" s="475">
        <v>44360</v>
      </c>
      <c r="B569" s="478">
        <v>164</v>
      </c>
      <c r="C569" s="478">
        <v>201</v>
      </c>
      <c r="D569" s="476" t="s">
        <v>623</v>
      </c>
      <c r="E569" s="477">
        <v>23</v>
      </c>
      <c r="F569" s="476" t="s">
        <v>106</v>
      </c>
      <c r="G569" s="477">
        <v>535</v>
      </c>
      <c r="H569" s="476" t="s">
        <v>6250</v>
      </c>
      <c r="I569" s="476" t="s">
        <v>6257</v>
      </c>
      <c r="J569" s="477">
        <v>18</v>
      </c>
      <c r="K569" s="476" t="s">
        <v>6258</v>
      </c>
      <c r="L569" s="476" t="s">
        <v>6274</v>
      </c>
      <c r="M569" s="476" t="s">
        <v>9</v>
      </c>
      <c r="N569" s="478">
        <v>1</v>
      </c>
      <c r="O569" s="479"/>
      <c r="P569" s="479"/>
      <c r="Q569" s="479"/>
      <c r="R569" s="476"/>
      <c r="S569" s="479">
        <v>0.1168287037037037</v>
      </c>
      <c r="T569" s="479">
        <v>0.18349537037037036</v>
      </c>
      <c r="U569" s="479"/>
      <c r="V569" s="479"/>
      <c r="W569" s="479">
        <v>0.49740740740740735</v>
      </c>
      <c r="X569" s="479">
        <v>0.81130787037037033</v>
      </c>
      <c r="Y569" s="479">
        <v>0.28680555555555554</v>
      </c>
      <c r="Z569" s="479">
        <v>0.6118055555555556</v>
      </c>
      <c r="AA569" s="479">
        <v>0.93333333333333324</v>
      </c>
      <c r="AB569" s="476" t="s">
        <v>6463</v>
      </c>
      <c r="AC569" s="478">
        <v>152</v>
      </c>
      <c r="AD569" s="476" t="s">
        <v>110</v>
      </c>
      <c r="AE569" s="476"/>
      <c r="AF569" s="478">
        <v>73</v>
      </c>
      <c r="AG569" s="477">
        <v>84.1</v>
      </c>
      <c r="AH569" s="476" t="s">
        <v>6291</v>
      </c>
      <c r="AI569" s="476" t="s">
        <v>6332</v>
      </c>
      <c r="AJ569" s="476" t="s">
        <v>6493</v>
      </c>
      <c r="AK569" s="476" t="s">
        <v>6493</v>
      </c>
      <c r="AL569" s="476"/>
      <c r="AM569" s="476"/>
      <c r="AN569" s="476"/>
      <c r="AO569" s="476"/>
      <c r="AP569" s="476"/>
      <c r="AQ569" s="476"/>
      <c r="AR569" s="476"/>
      <c r="AS569" s="476"/>
      <c r="AT569" s="476"/>
      <c r="AU569" s="476"/>
      <c r="AV569" s="476"/>
      <c r="AW569" s="476"/>
      <c r="AX569" s="476"/>
      <c r="AY569" s="476"/>
      <c r="AZ569" s="476"/>
      <c r="BA569" s="476"/>
      <c r="BB569" s="476"/>
      <c r="BC569" s="476"/>
      <c r="BD569" s="476"/>
      <c r="BE569" s="476"/>
      <c r="BF569" s="476"/>
      <c r="BG569" s="476"/>
      <c r="BH569" s="476"/>
      <c r="BI569" s="476"/>
      <c r="BJ569" s="476"/>
      <c r="BK569" s="476"/>
      <c r="BL569" s="480"/>
    </row>
    <row r="570" spans="1:64">
      <c r="A570" s="468">
        <v>44361</v>
      </c>
      <c r="B570" s="473">
        <v>165</v>
      </c>
      <c r="C570" s="473">
        <v>200</v>
      </c>
      <c r="D570" s="470" t="s">
        <v>623</v>
      </c>
      <c r="E570" s="469">
        <v>24</v>
      </c>
      <c r="F570" s="470" t="s">
        <v>88</v>
      </c>
      <c r="G570" s="469">
        <v>535</v>
      </c>
      <c r="H570" s="470" t="s">
        <v>6250</v>
      </c>
      <c r="I570" s="470" t="s">
        <v>6257</v>
      </c>
      <c r="J570" s="469">
        <v>19</v>
      </c>
      <c r="K570" s="470" t="s">
        <v>6259</v>
      </c>
      <c r="L570" s="470" t="s">
        <v>6275</v>
      </c>
      <c r="M570" s="470" t="s">
        <v>9</v>
      </c>
      <c r="N570" s="473">
        <v>1</v>
      </c>
      <c r="O570" s="471"/>
      <c r="P570" s="471"/>
      <c r="Q570" s="471"/>
      <c r="R570" s="470"/>
      <c r="S570" s="471">
        <v>0.11681712962962963</v>
      </c>
      <c r="T570" s="471">
        <v>0.1834837962962963</v>
      </c>
      <c r="U570" s="471"/>
      <c r="V570" s="471"/>
      <c r="W570" s="471">
        <v>0.49754629629629626</v>
      </c>
      <c r="X570" s="471">
        <v>0.81159722222222219</v>
      </c>
      <c r="Y570" s="471">
        <v>0.3298611111111111</v>
      </c>
      <c r="Z570" s="471">
        <v>0.64652777777777781</v>
      </c>
      <c r="AA570" s="471">
        <v>0.95833333333333337</v>
      </c>
      <c r="AB570" s="470" t="s">
        <v>6463</v>
      </c>
      <c r="AC570" s="473">
        <v>152</v>
      </c>
      <c r="AD570" s="470" t="s">
        <v>110</v>
      </c>
      <c r="AE570" s="470"/>
      <c r="AF570" s="473">
        <v>68.8</v>
      </c>
      <c r="AG570" s="469">
        <v>77.5</v>
      </c>
      <c r="AH570" s="470" t="s">
        <v>6292</v>
      </c>
      <c r="AI570" s="470" t="s">
        <v>6333</v>
      </c>
      <c r="AJ570" s="470" t="s">
        <v>6493</v>
      </c>
      <c r="AK570" s="470" t="s">
        <v>6493</v>
      </c>
      <c r="AL570" s="470"/>
      <c r="AM570" s="470"/>
      <c r="AN570" s="470"/>
      <c r="AO570" s="470"/>
      <c r="AP570" s="470"/>
      <c r="AQ570" s="470"/>
      <c r="AR570" s="470"/>
      <c r="AS570" s="470"/>
      <c r="AT570" s="470"/>
      <c r="AU570" s="470"/>
      <c r="AV570" s="470"/>
      <c r="AW570" s="470"/>
      <c r="AX570" s="470"/>
      <c r="AY570" s="470"/>
      <c r="AZ570" s="470"/>
      <c r="BA570" s="470"/>
      <c r="BB570" s="470"/>
      <c r="BC570" s="470"/>
      <c r="BD570" s="470"/>
      <c r="BE570" s="470"/>
      <c r="BF570" s="470"/>
      <c r="BG570" s="470"/>
      <c r="BH570" s="470"/>
      <c r="BI570" s="470"/>
      <c r="BJ570" s="470"/>
      <c r="BK570" s="470"/>
      <c r="BL570" s="474"/>
    </row>
    <row r="571" spans="1:64">
      <c r="A571" s="475">
        <v>44362</v>
      </c>
      <c r="B571" s="478">
        <v>166</v>
      </c>
      <c r="C571" s="478">
        <v>199</v>
      </c>
      <c r="D571" s="476" t="s">
        <v>623</v>
      </c>
      <c r="E571" s="477">
        <v>24</v>
      </c>
      <c r="F571" s="476" t="s">
        <v>91</v>
      </c>
      <c r="G571" s="477">
        <v>535</v>
      </c>
      <c r="H571" s="476" t="s">
        <v>6250</v>
      </c>
      <c r="I571" s="476" t="s">
        <v>6257</v>
      </c>
      <c r="J571" s="477">
        <v>20</v>
      </c>
      <c r="K571" s="476" t="s">
        <v>6260</v>
      </c>
      <c r="L571" s="476" t="s">
        <v>6276</v>
      </c>
      <c r="M571" s="476" t="s">
        <v>9</v>
      </c>
      <c r="N571" s="478">
        <v>1</v>
      </c>
      <c r="O571" s="479"/>
      <c r="P571" s="479"/>
      <c r="Q571" s="479">
        <v>0.80837962962962961</v>
      </c>
      <c r="R571" s="476" t="s">
        <v>20</v>
      </c>
      <c r="S571" s="479">
        <v>0.11684027777777778</v>
      </c>
      <c r="T571" s="479">
        <v>0.18350694444444446</v>
      </c>
      <c r="U571" s="479"/>
      <c r="V571" s="479"/>
      <c r="W571" s="479">
        <v>0.49768518518518517</v>
      </c>
      <c r="X571" s="479">
        <v>0.81187500000000001</v>
      </c>
      <c r="Y571" s="479">
        <v>0.375</v>
      </c>
      <c r="Z571" s="479">
        <v>0.68125000000000002</v>
      </c>
      <c r="AA571" s="479">
        <v>0.98125000000000007</v>
      </c>
      <c r="AB571" s="476" t="s">
        <v>6463</v>
      </c>
      <c r="AC571" s="478">
        <v>152</v>
      </c>
      <c r="AD571" s="476" t="s">
        <v>110</v>
      </c>
      <c r="AE571" s="476"/>
      <c r="AF571" s="478">
        <v>66.599999999999994</v>
      </c>
      <c r="AG571" s="477">
        <v>72.599999999999994</v>
      </c>
      <c r="AH571" s="476" t="s">
        <v>6293</v>
      </c>
      <c r="AI571" s="476" t="s">
        <v>6334</v>
      </c>
      <c r="AJ571" s="476" t="s">
        <v>6493</v>
      </c>
      <c r="AK571" s="476" t="s">
        <v>6493</v>
      </c>
      <c r="AL571" s="476" t="s">
        <v>6870</v>
      </c>
      <c r="AM571" s="476"/>
      <c r="AN571" s="476"/>
      <c r="AO571" s="476"/>
      <c r="AP571" s="476"/>
      <c r="AQ571" s="476"/>
      <c r="AR571" s="476"/>
      <c r="AS571" s="476"/>
      <c r="AT571" s="476"/>
      <c r="AU571" s="476"/>
      <c r="AV571" s="476"/>
      <c r="AW571" s="476"/>
      <c r="AX571" s="476"/>
      <c r="AY571" s="476"/>
      <c r="AZ571" s="476"/>
      <c r="BA571" s="476"/>
      <c r="BB571" s="476"/>
      <c r="BC571" s="476"/>
      <c r="BD571" s="476"/>
      <c r="BE571" s="476"/>
      <c r="BF571" s="476"/>
      <c r="BG571" s="476"/>
      <c r="BH571" s="476"/>
      <c r="BI571" s="476"/>
      <c r="BJ571" s="476"/>
      <c r="BK571" s="476"/>
      <c r="BL571" s="480"/>
    </row>
    <row r="572" spans="1:64">
      <c r="A572" s="468">
        <v>44363</v>
      </c>
      <c r="B572" s="473">
        <v>167</v>
      </c>
      <c r="C572" s="473">
        <v>198</v>
      </c>
      <c r="D572" s="470" t="s">
        <v>623</v>
      </c>
      <c r="E572" s="469">
        <v>24</v>
      </c>
      <c r="F572" s="470" t="s">
        <v>94</v>
      </c>
      <c r="G572" s="469">
        <v>535</v>
      </c>
      <c r="H572" s="470" t="s">
        <v>6250</v>
      </c>
      <c r="I572" s="470" t="s">
        <v>6257</v>
      </c>
      <c r="J572" s="469">
        <v>21</v>
      </c>
      <c r="K572" s="470" t="s">
        <v>6261</v>
      </c>
      <c r="L572" s="470" t="s">
        <v>6277</v>
      </c>
      <c r="M572" s="470" t="s">
        <v>9</v>
      </c>
      <c r="N572" s="473">
        <v>1</v>
      </c>
      <c r="O572" s="471"/>
      <c r="P572" s="471"/>
      <c r="Q572" s="471"/>
      <c r="R572" s="470"/>
      <c r="S572" s="471">
        <v>0.11687499999999999</v>
      </c>
      <c r="T572" s="471">
        <v>0.18354166666666669</v>
      </c>
      <c r="U572" s="471"/>
      <c r="V572" s="471"/>
      <c r="W572" s="471">
        <v>0.49783564814814812</v>
      </c>
      <c r="X572" s="471">
        <v>0.81211805555555561</v>
      </c>
      <c r="Y572" s="471">
        <v>0.42222222222222222</v>
      </c>
      <c r="Z572" s="471">
        <v>0.71388888888888891</v>
      </c>
      <c r="AA572" s="471" t="s">
        <v>1107</v>
      </c>
      <c r="AB572" s="470" t="s">
        <v>6463</v>
      </c>
      <c r="AC572" s="473">
        <v>152</v>
      </c>
      <c r="AD572" s="470" t="s">
        <v>110</v>
      </c>
      <c r="AE572" s="470"/>
      <c r="AF572" s="473">
        <v>66.599999999999994</v>
      </c>
      <c r="AG572" s="469">
        <v>69.8</v>
      </c>
      <c r="AH572" s="470" t="s">
        <v>6294</v>
      </c>
      <c r="AI572" s="470" t="s">
        <v>6335</v>
      </c>
      <c r="AJ572" s="470" t="s">
        <v>6493</v>
      </c>
      <c r="AK572" s="470" t="s">
        <v>6493</v>
      </c>
      <c r="AL572" s="470"/>
      <c r="AM572" s="470"/>
      <c r="AN572" s="470"/>
      <c r="AO572" s="470"/>
      <c r="AP572" s="470"/>
      <c r="AQ572" s="470"/>
      <c r="AR572" s="470"/>
      <c r="AS572" s="470"/>
      <c r="AT572" s="470"/>
      <c r="AU572" s="470"/>
      <c r="AV572" s="470"/>
      <c r="AW572" s="470"/>
      <c r="AX572" s="470"/>
      <c r="AY572" s="470"/>
      <c r="AZ572" s="470"/>
      <c r="BA572" s="470"/>
      <c r="BB572" s="470"/>
      <c r="BC572" s="470"/>
      <c r="BD572" s="470"/>
      <c r="BE572" s="470"/>
      <c r="BF572" s="470"/>
      <c r="BG572" s="470"/>
      <c r="BH572" s="470"/>
      <c r="BI572" s="470"/>
      <c r="BJ572" s="470"/>
      <c r="BK572" s="470"/>
      <c r="BL572" s="474"/>
    </row>
    <row r="573" spans="1:64">
      <c r="A573" s="475">
        <v>44364</v>
      </c>
      <c r="B573" s="478">
        <v>168</v>
      </c>
      <c r="C573" s="478">
        <v>197</v>
      </c>
      <c r="D573" s="476" t="s">
        <v>623</v>
      </c>
      <c r="E573" s="477">
        <v>24</v>
      </c>
      <c r="F573" s="476" t="s">
        <v>6714</v>
      </c>
      <c r="G573" s="477">
        <v>535</v>
      </c>
      <c r="H573" s="476" t="s">
        <v>6250</v>
      </c>
      <c r="I573" s="476" t="s">
        <v>6257</v>
      </c>
      <c r="J573" s="477">
        <v>22</v>
      </c>
      <c r="K573" s="476" t="s">
        <v>6262</v>
      </c>
      <c r="L573" s="476" t="s">
        <v>6278</v>
      </c>
      <c r="M573" s="476" t="s">
        <v>9</v>
      </c>
      <c r="N573" s="478">
        <v>1</v>
      </c>
      <c r="O573" s="479"/>
      <c r="P573" s="479"/>
      <c r="Q573" s="479"/>
      <c r="R573" s="476"/>
      <c r="S573" s="479">
        <v>0.11693287037037037</v>
      </c>
      <c r="T573" s="479">
        <v>0.18359953703703702</v>
      </c>
      <c r="U573" s="479"/>
      <c r="V573" s="479"/>
      <c r="W573" s="479">
        <v>0.49797453703703703</v>
      </c>
      <c r="X573" s="479">
        <v>0.81234953703703694</v>
      </c>
      <c r="Y573" s="479">
        <v>0.46875</v>
      </c>
      <c r="Z573" s="479">
        <v>0.74583333333333324</v>
      </c>
      <c r="AA573" s="479">
        <v>1.3888888888888889E-3</v>
      </c>
      <c r="AB573" s="476" t="s">
        <v>6463</v>
      </c>
      <c r="AC573" s="478">
        <v>152</v>
      </c>
      <c r="AD573" s="476" t="s">
        <v>110</v>
      </c>
      <c r="AE573" s="476"/>
      <c r="AF573" s="478">
        <v>69</v>
      </c>
      <c r="AG573" s="477">
        <v>69.099999999999994</v>
      </c>
      <c r="AH573" s="476" t="s">
        <v>6295</v>
      </c>
      <c r="AI573" s="476" t="s">
        <v>6336</v>
      </c>
      <c r="AJ573" s="476" t="s">
        <v>6493</v>
      </c>
      <c r="AK573" s="476" t="s">
        <v>6493</v>
      </c>
      <c r="AL573" s="476"/>
      <c r="AM573" s="476"/>
      <c r="AN573" s="476"/>
      <c r="AO573" s="476"/>
      <c r="AP573" s="476"/>
      <c r="AQ573" s="476"/>
      <c r="AR573" s="476"/>
      <c r="AS573" s="476"/>
      <c r="AT573" s="476"/>
      <c r="AU573" s="476"/>
      <c r="AV573" s="476"/>
      <c r="AW573" s="476"/>
      <c r="AX573" s="476"/>
      <c r="AY573" s="476"/>
      <c r="AZ573" s="476"/>
      <c r="BA573" s="476"/>
      <c r="BB573" s="476"/>
      <c r="BC573" s="476"/>
      <c r="BD573" s="476"/>
      <c r="BE573" s="476"/>
      <c r="BF573" s="476"/>
      <c r="BG573" s="476"/>
      <c r="BH573" s="476"/>
      <c r="BI573" s="476"/>
      <c r="BJ573" s="476"/>
      <c r="BK573" s="476"/>
      <c r="BL573" s="480"/>
    </row>
    <row r="574" spans="1:64">
      <c r="A574" s="468">
        <v>44365</v>
      </c>
      <c r="B574" s="473">
        <v>169</v>
      </c>
      <c r="C574" s="473">
        <v>196</v>
      </c>
      <c r="D574" s="470" t="s">
        <v>623</v>
      </c>
      <c r="E574" s="469">
        <v>24</v>
      </c>
      <c r="F574" s="470" t="s">
        <v>100</v>
      </c>
      <c r="G574" s="469">
        <v>535</v>
      </c>
      <c r="H574" s="470" t="s">
        <v>6250</v>
      </c>
      <c r="I574" s="470" t="s">
        <v>6257</v>
      </c>
      <c r="J574" s="469">
        <v>23</v>
      </c>
      <c r="K574" s="470" t="s">
        <v>6263</v>
      </c>
      <c r="L574" s="470" t="s">
        <v>6279</v>
      </c>
      <c r="M574" s="470" t="s">
        <v>9</v>
      </c>
      <c r="N574" s="473">
        <v>1</v>
      </c>
      <c r="O574" s="471"/>
      <c r="P574" s="471"/>
      <c r="Q574" s="471"/>
      <c r="R574" s="470"/>
      <c r="S574" s="471">
        <v>0.1170138888888889</v>
      </c>
      <c r="T574" s="471">
        <v>0.18368055555555554</v>
      </c>
      <c r="U574" s="471"/>
      <c r="V574" s="471"/>
      <c r="W574" s="471">
        <v>0.49812499999999998</v>
      </c>
      <c r="X574" s="471">
        <v>0.81255787037037042</v>
      </c>
      <c r="Y574" s="471">
        <v>0.51666666666666672</v>
      </c>
      <c r="Z574" s="471">
        <v>0.77847222222222223</v>
      </c>
      <c r="AA574" s="471">
        <v>1.9444444444444445E-2</v>
      </c>
      <c r="AB574" s="470" t="s">
        <v>6464</v>
      </c>
      <c r="AC574" s="473">
        <v>130</v>
      </c>
      <c r="AD574" s="470" t="s">
        <v>113</v>
      </c>
      <c r="AE574" s="470" t="s">
        <v>6619</v>
      </c>
      <c r="AF574" s="473">
        <v>74.2</v>
      </c>
      <c r="AG574" s="469">
        <v>71</v>
      </c>
      <c r="AH574" s="470" t="s">
        <v>6296</v>
      </c>
      <c r="AI574" s="470" t="s">
        <v>6337</v>
      </c>
      <c r="AJ574" s="470" t="s">
        <v>6493</v>
      </c>
      <c r="AK574" s="470" t="s">
        <v>6493</v>
      </c>
      <c r="AL574" s="470"/>
      <c r="AM574" s="470"/>
      <c r="AN574" s="470"/>
      <c r="AO574" s="470"/>
      <c r="AP574" s="470"/>
      <c r="AQ574" s="470"/>
      <c r="AR574" s="470"/>
      <c r="AS574" s="470"/>
      <c r="AT574" s="470"/>
      <c r="AU574" s="470"/>
      <c r="AV574" s="470"/>
      <c r="AW574" s="470"/>
      <c r="AX574" s="470"/>
      <c r="AY574" s="470"/>
      <c r="AZ574" s="470"/>
      <c r="BA574" s="470"/>
      <c r="BB574" s="470"/>
      <c r="BC574" s="470"/>
      <c r="BD574" s="470"/>
      <c r="BE574" s="470"/>
      <c r="BF574" s="470"/>
      <c r="BG574" s="470"/>
      <c r="BH574" s="470"/>
      <c r="BI574" s="470"/>
      <c r="BJ574" s="470"/>
      <c r="BK574" s="470"/>
      <c r="BL574" s="474"/>
    </row>
    <row r="575" spans="1:64">
      <c r="A575" s="475">
        <v>44366</v>
      </c>
      <c r="B575" s="478">
        <v>170</v>
      </c>
      <c r="C575" s="478">
        <v>195</v>
      </c>
      <c r="D575" s="476" t="s">
        <v>623</v>
      </c>
      <c r="E575" s="477">
        <v>24</v>
      </c>
      <c r="F575" s="476" t="s">
        <v>103</v>
      </c>
      <c r="G575" s="477">
        <v>535</v>
      </c>
      <c r="H575" s="476" t="s">
        <v>6250</v>
      </c>
      <c r="I575" s="476" t="s">
        <v>6257</v>
      </c>
      <c r="J575" s="477">
        <v>24</v>
      </c>
      <c r="K575" s="476" t="s">
        <v>6264</v>
      </c>
      <c r="L575" s="476" t="s">
        <v>6280</v>
      </c>
      <c r="M575" s="476" t="s">
        <v>9</v>
      </c>
      <c r="N575" s="478">
        <v>1</v>
      </c>
      <c r="O575" s="479"/>
      <c r="P575" s="479"/>
      <c r="Q575" s="479"/>
      <c r="R575" s="476"/>
      <c r="S575" s="479">
        <v>0.11711805555555554</v>
      </c>
      <c r="T575" s="479">
        <v>0.18378472222222222</v>
      </c>
      <c r="U575" s="479"/>
      <c r="V575" s="479"/>
      <c r="W575" s="479">
        <v>0.4982638888888889</v>
      </c>
      <c r="X575" s="479">
        <v>0.81274305555555559</v>
      </c>
      <c r="Y575" s="479">
        <v>0.56597222222222221</v>
      </c>
      <c r="Z575" s="479">
        <v>0.81180555555555556</v>
      </c>
      <c r="AA575" s="479">
        <v>3.7499999999999999E-2</v>
      </c>
      <c r="AB575" s="476" t="s">
        <v>6464</v>
      </c>
      <c r="AC575" s="478">
        <v>130</v>
      </c>
      <c r="AD575" s="476" t="s">
        <v>113</v>
      </c>
      <c r="AE575" s="476"/>
      <c r="AF575" s="478">
        <v>82.2</v>
      </c>
      <c r="AG575" s="477">
        <v>75.400000000000006</v>
      </c>
      <c r="AH575" s="476" t="s">
        <v>6297</v>
      </c>
      <c r="AI575" s="476" t="s">
        <v>6338</v>
      </c>
      <c r="AJ575" s="476" t="s">
        <v>6493</v>
      </c>
      <c r="AK575" s="476" t="s">
        <v>6493</v>
      </c>
      <c r="AL575" s="476"/>
      <c r="AM575" s="476"/>
      <c r="AN575" s="476"/>
      <c r="AO575" s="476"/>
      <c r="AP575" s="476"/>
      <c r="AQ575" s="476"/>
      <c r="AR575" s="476"/>
      <c r="AS575" s="476"/>
      <c r="AT575" s="476"/>
      <c r="AU575" s="476"/>
      <c r="AV575" s="476"/>
      <c r="AW575" s="476"/>
      <c r="AX575" s="476"/>
      <c r="AY575" s="476"/>
      <c r="AZ575" s="476"/>
      <c r="BA575" s="476"/>
      <c r="BB575" s="476"/>
      <c r="BC575" s="476"/>
      <c r="BD575" s="476"/>
      <c r="BE575" s="476"/>
      <c r="BF575" s="476"/>
      <c r="BG575" s="476"/>
      <c r="BH575" s="476"/>
      <c r="BI575" s="476"/>
      <c r="BJ575" s="476"/>
      <c r="BK575" s="476"/>
      <c r="BL575" s="480"/>
    </row>
    <row r="576" spans="1:64">
      <c r="A576" s="468">
        <v>44367</v>
      </c>
      <c r="B576" s="473">
        <v>171</v>
      </c>
      <c r="C576" s="473">
        <v>194</v>
      </c>
      <c r="D576" s="470" t="s">
        <v>623</v>
      </c>
      <c r="E576" s="469">
        <v>24</v>
      </c>
      <c r="F576" s="470" t="s">
        <v>106</v>
      </c>
      <c r="G576" s="469">
        <v>535</v>
      </c>
      <c r="H576" s="470" t="s">
        <v>6250</v>
      </c>
      <c r="I576" s="470" t="s">
        <v>6257</v>
      </c>
      <c r="J576" s="469">
        <v>25</v>
      </c>
      <c r="K576" s="470" t="s">
        <v>6265</v>
      </c>
      <c r="L576" s="470" t="s">
        <v>6281</v>
      </c>
      <c r="M576" s="470" t="s">
        <v>9</v>
      </c>
      <c r="N576" s="473">
        <v>1</v>
      </c>
      <c r="O576" s="471"/>
      <c r="P576" s="471"/>
      <c r="Q576" s="471"/>
      <c r="R576" s="470"/>
      <c r="S576" s="471">
        <v>0.11724537037037037</v>
      </c>
      <c r="T576" s="471">
        <v>0.18391203703703704</v>
      </c>
      <c r="U576" s="471"/>
      <c r="V576" s="471"/>
      <c r="W576" s="471">
        <v>0.49840277777777775</v>
      </c>
      <c r="X576" s="471">
        <v>0.81290509259259258</v>
      </c>
      <c r="Y576" s="471">
        <v>0.61736111111111114</v>
      </c>
      <c r="Z576" s="471">
        <v>0.84791666666666676</v>
      </c>
      <c r="AA576" s="471">
        <v>5.5555555555555552E-2</v>
      </c>
      <c r="AB576" s="470" t="s">
        <v>6464</v>
      </c>
      <c r="AC576" s="473">
        <v>130</v>
      </c>
      <c r="AD576" s="470" t="s">
        <v>113</v>
      </c>
      <c r="AE576" s="470"/>
      <c r="AF576" s="473">
        <v>93.1</v>
      </c>
      <c r="AG576" s="469">
        <v>82.3</v>
      </c>
      <c r="AH576" s="470" t="s">
        <v>6298</v>
      </c>
      <c r="AI576" s="470" t="s">
        <v>6339</v>
      </c>
      <c r="AJ576" s="470" t="s">
        <v>839</v>
      </c>
      <c r="AK576" s="470" t="s">
        <v>6493</v>
      </c>
      <c r="AL576" s="470" t="s">
        <v>6781</v>
      </c>
      <c r="AM576" s="470" t="s">
        <v>6346</v>
      </c>
      <c r="AN576" s="470" t="s">
        <v>1235</v>
      </c>
      <c r="AO576" s="470" t="s">
        <v>6344</v>
      </c>
      <c r="AP576" s="470" t="s">
        <v>7018</v>
      </c>
      <c r="AQ576" s="470" t="s">
        <v>6346</v>
      </c>
      <c r="AR576" s="470" t="s">
        <v>558</v>
      </c>
      <c r="AS576" s="470"/>
      <c r="AT576" s="470"/>
      <c r="AU576" s="470"/>
      <c r="AV576" s="470"/>
      <c r="AW576" s="470"/>
      <c r="AX576" s="470"/>
      <c r="AY576" s="470"/>
      <c r="AZ576" s="470"/>
      <c r="BA576" s="470"/>
      <c r="BB576" s="470"/>
      <c r="BC576" s="470"/>
      <c r="BD576" s="470"/>
      <c r="BE576" s="470"/>
      <c r="BF576" s="470"/>
      <c r="BG576" s="470"/>
      <c r="BH576" s="470"/>
      <c r="BI576" s="470"/>
      <c r="BJ576" s="470" t="s">
        <v>6389</v>
      </c>
      <c r="BK576" s="470"/>
      <c r="BL576" s="474"/>
    </row>
    <row r="577" spans="1:64">
      <c r="A577" s="475">
        <v>44368</v>
      </c>
      <c r="B577" s="478">
        <v>172</v>
      </c>
      <c r="C577" s="478">
        <v>193</v>
      </c>
      <c r="D577" s="476" t="s">
        <v>623</v>
      </c>
      <c r="E577" s="477">
        <v>25</v>
      </c>
      <c r="F577" s="476" t="s">
        <v>88</v>
      </c>
      <c r="G577" s="477">
        <v>535</v>
      </c>
      <c r="H577" s="476" t="s">
        <v>6250</v>
      </c>
      <c r="I577" s="476" t="s">
        <v>6257</v>
      </c>
      <c r="J577" s="477">
        <v>27</v>
      </c>
      <c r="K577" s="476" t="s">
        <v>6266</v>
      </c>
      <c r="L577" s="476" t="s">
        <v>6282</v>
      </c>
      <c r="M577" s="476" t="s">
        <v>9</v>
      </c>
      <c r="N577" s="478">
        <v>1</v>
      </c>
      <c r="O577" s="479">
        <v>0.24513888888888888</v>
      </c>
      <c r="P577" s="479">
        <v>0.12708333333333333</v>
      </c>
      <c r="Q577" s="479"/>
      <c r="R577" s="476"/>
      <c r="S577" s="479">
        <v>0.11738425925925926</v>
      </c>
      <c r="T577" s="479">
        <v>0.18405092592592595</v>
      </c>
      <c r="U577" s="479"/>
      <c r="V577" s="479"/>
      <c r="W577" s="479">
        <v>0.49855324074074076</v>
      </c>
      <c r="X577" s="479">
        <v>0.81305555555555553</v>
      </c>
      <c r="Y577" s="479">
        <v>0.67083333333333339</v>
      </c>
      <c r="Z577" s="479">
        <v>0.88611111111111107</v>
      </c>
      <c r="AA577" s="479">
        <v>7.6388888888888895E-2</v>
      </c>
      <c r="AB577" s="476" t="s">
        <v>6464</v>
      </c>
      <c r="AC577" s="478">
        <v>130</v>
      </c>
      <c r="AD577" s="476" t="s">
        <v>113</v>
      </c>
      <c r="AE577" s="476"/>
      <c r="AF577" s="478">
        <v>6.4</v>
      </c>
      <c r="AG577" s="477">
        <v>91.4</v>
      </c>
      <c r="AH577" s="476" t="s">
        <v>6299</v>
      </c>
      <c r="AI577" s="476" t="s">
        <v>6340</v>
      </c>
      <c r="AJ577" s="476" t="s">
        <v>838</v>
      </c>
      <c r="AK577" s="476" t="s">
        <v>13</v>
      </c>
      <c r="AL577" s="476" t="s">
        <v>6782</v>
      </c>
      <c r="AM577" s="476" t="s">
        <v>6342</v>
      </c>
      <c r="AN577" s="476" t="s">
        <v>6990</v>
      </c>
      <c r="AO577" s="476" t="s">
        <v>6351</v>
      </c>
      <c r="AP577" s="476" t="s">
        <v>7019</v>
      </c>
      <c r="AQ577" s="476" t="s">
        <v>6342</v>
      </c>
      <c r="AR577" s="476" t="s">
        <v>7073</v>
      </c>
      <c r="AS577" s="476"/>
      <c r="AT577" s="476"/>
      <c r="AU577" s="476"/>
      <c r="AV577" s="476"/>
      <c r="AW577" s="476"/>
      <c r="AX577" s="476"/>
      <c r="AY577" s="476"/>
      <c r="AZ577" s="476"/>
      <c r="BA577" s="476"/>
      <c r="BB577" s="476"/>
      <c r="BC577" s="476"/>
      <c r="BD577" s="476"/>
      <c r="BE577" s="476"/>
      <c r="BF577" s="476"/>
      <c r="BG577" s="476"/>
      <c r="BH577" s="476"/>
      <c r="BI577" s="476"/>
      <c r="BJ577" s="476" t="s">
        <v>6563</v>
      </c>
      <c r="BK577" s="476"/>
      <c r="BL577" s="480"/>
    </row>
    <row r="578" spans="1:64">
      <c r="A578" s="468">
        <v>44369</v>
      </c>
      <c r="B578" s="473">
        <v>173</v>
      </c>
      <c r="C578" s="473">
        <v>192</v>
      </c>
      <c r="D578" s="470" t="s">
        <v>623</v>
      </c>
      <c r="E578" s="469">
        <v>25</v>
      </c>
      <c r="F578" s="470" t="s">
        <v>91</v>
      </c>
      <c r="G578" s="469">
        <v>535</v>
      </c>
      <c r="H578" s="470" t="s">
        <v>6250</v>
      </c>
      <c r="I578" s="470" t="s">
        <v>6257</v>
      </c>
      <c r="J578" s="469">
        <v>28</v>
      </c>
      <c r="K578" s="470" t="s">
        <v>6267</v>
      </c>
      <c r="L578" s="470" t="s">
        <v>6284</v>
      </c>
      <c r="M578" s="470" t="s">
        <v>9</v>
      </c>
      <c r="N578" s="473">
        <v>1</v>
      </c>
      <c r="O578" s="471"/>
      <c r="P578" s="471"/>
      <c r="Q578" s="471"/>
      <c r="R578" s="470"/>
      <c r="S578" s="471">
        <v>0.11755787037037037</v>
      </c>
      <c r="T578" s="471">
        <v>0.18422453703703703</v>
      </c>
      <c r="U578" s="471">
        <v>0.18402777777777779</v>
      </c>
      <c r="V578" s="471">
        <v>0.39374999999999999</v>
      </c>
      <c r="W578" s="471">
        <v>0.49869212962962961</v>
      </c>
      <c r="X578" s="471">
        <v>0.81317129629629636</v>
      </c>
      <c r="Y578" s="471">
        <v>0.72499999999999998</v>
      </c>
      <c r="Z578" s="471">
        <v>0.9277777777777777</v>
      </c>
      <c r="AA578" s="471">
        <v>0.10069444444444443</v>
      </c>
      <c r="AB578" s="470" t="s">
        <v>6464</v>
      </c>
      <c r="AC578" s="473">
        <v>130</v>
      </c>
      <c r="AD578" s="470" t="s">
        <v>113</v>
      </c>
      <c r="AE578" s="470"/>
      <c r="AF578" s="473">
        <v>21.8</v>
      </c>
      <c r="AG578" s="469">
        <v>2.4</v>
      </c>
      <c r="AH578" s="470" t="s">
        <v>6301</v>
      </c>
      <c r="AI578" s="470" t="s">
        <v>6316</v>
      </c>
      <c r="AJ578" s="470" t="s">
        <v>839</v>
      </c>
      <c r="AK578" s="470" t="s">
        <v>6493</v>
      </c>
      <c r="AL578" s="470" t="s">
        <v>6871</v>
      </c>
      <c r="AM578" s="470" t="s">
        <v>6343</v>
      </c>
      <c r="AN578" s="470" t="s">
        <v>1222</v>
      </c>
      <c r="AO578" s="470" t="s">
        <v>6344</v>
      </c>
      <c r="AP578" s="470"/>
      <c r="AQ578" s="470"/>
      <c r="AR578" s="470"/>
      <c r="AS578" s="470"/>
      <c r="AT578" s="470"/>
      <c r="AU578" s="470"/>
      <c r="AV578" s="470"/>
      <c r="AW578" s="470"/>
      <c r="AX578" s="470"/>
      <c r="AY578" s="470"/>
      <c r="AZ578" s="470"/>
      <c r="BA578" s="470"/>
      <c r="BB578" s="470"/>
      <c r="BC578" s="470"/>
      <c r="BD578" s="470"/>
      <c r="BE578" s="470"/>
      <c r="BF578" s="470"/>
      <c r="BG578" s="470"/>
      <c r="BH578" s="470"/>
      <c r="BI578" s="470"/>
      <c r="BJ578" s="470" t="s">
        <v>6428</v>
      </c>
      <c r="BK578" s="470"/>
      <c r="BL578" s="474"/>
    </row>
    <row r="579" spans="1:64">
      <c r="A579" s="475">
        <v>44370</v>
      </c>
      <c r="B579" s="478">
        <v>174</v>
      </c>
      <c r="C579" s="478">
        <v>191</v>
      </c>
      <c r="D579" s="476" t="s">
        <v>623</v>
      </c>
      <c r="E579" s="477">
        <v>25</v>
      </c>
      <c r="F579" s="476" t="s">
        <v>94</v>
      </c>
      <c r="G579" s="477">
        <v>535</v>
      </c>
      <c r="H579" s="476" t="s">
        <v>6250</v>
      </c>
      <c r="I579" s="476" t="s">
        <v>6257</v>
      </c>
      <c r="J579" s="477">
        <v>29</v>
      </c>
      <c r="K579" s="476" t="s">
        <v>6268</v>
      </c>
      <c r="L579" s="476" t="s">
        <v>6285</v>
      </c>
      <c r="M579" s="476" t="s">
        <v>9</v>
      </c>
      <c r="N579" s="478">
        <v>1</v>
      </c>
      <c r="O579" s="479"/>
      <c r="P579" s="479"/>
      <c r="Q579" s="479"/>
      <c r="R579" s="476"/>
      <c r="S579" s="479">
        <v>0.11774305555555555</v>
      </c>
      <c r="T579" s="479">
        <v>0.18440972222222221</v>
      </c>
      <c r="U579" s="479"/>
      <c r="V579" s="479"/>
      <c r="W579" s="479">
        <v>0.49884259259259256</v>
      </c>
      <c r="X579" s="479">
        <v>0.81327546296296294</v>
      </c>
      <c r="Y579" s="479">
        <v>0.77916666666666667</v>
      </c>
      <c r="Z579" s="479">
        <v>0.97222222222222221</v>
      </c>
      <c r="AA579" s="479">
        <v>0.12986111111111112</v>
      </c>
      <c r="AB579" s="476" t="s">
        <v>6464</v>
      </c>
      <c r="AC579" s="478">
        <v>130</v>
      </c>
      <c r="AD579" s="476" t="s">
        <v>113</v>
      </c>
      <c r="AE579" s="476"/>
      <c r="AF579" s="478">
        <v>38.4</v>
      </c>
      <c r="AG579" s="477">
        <v>14.5</v>
      </c>
      <c r="AH579" s="476" t="s">
        <v>6302</v>
      </c>
      <c r="AI579" s="476" t="s">
        <v>6317</v>
      </c>
      <c r="AJ579" s="476" t="s">
        <v>6493</v>
      </c>
      <c r="AK579" s="476" t="s">
        <v>6493</v>
      </c>
      <c r="AL579" s="476"/>
      <c r="AM579" s="476"/>
      <c r="AN579" s="476"/>
      <c r="AO579" s="476"/>
      <c r="AP579" s="476"/>
      <c r="AQ579" s="476"/>
      <c r="AR579" s="476"/>
      <c r="AS579" s="476"/>
      <c r="AT579" s="476"/>
      <c r="AU579" s="476"/>
      <c r="AV579" s="476"/>
      <c r="AW579" s="476"/>
      <c r="AX579" s="476"/>
      <c r="AY579" s="476"/>
      <c r="AZ579" s="476"/>
      <c r="BA579" s="476"/>
      <c r="BB579" s="476"/>
      <c r="BC579" s="476"/>
      <c r="BD579" s="476"/>
      <c r="BE579" s="476"/>
      <c r="BF579" s="476"/>
      <c r="BG579" s="476"/>
      <c r="BH579" s="476"/>
      <c r="BI579" s="476"/>
      <c r="BJ579" s="476"/>
      <c r="BK579" s="476"/>
      <c r="BL579" s="480"/>
    </row>
    <row r="580" spans="1:64">
      <c r="A580" s="468">
        <v>44371</v>
      </c>
      <c r="B580" s="473">
        <v>175</v>
      </c>
      <c r="C580" s="473">
        <v>190</v>
      </c>
      <c r="D580" s="470" t="s">
        <v>623</v>
      </c>
      <c r="E580" s="469">
        <v>25</v>
      </c>
      <c r="F580" s="470" t="s">
        <v>6714</v>
      </c>
      <c r="G580" s="469">
        <v>535</v>
      </c>
      <c r="H580" s="470" t="s">
        <v>6250</v>
      </c>
      <c r="I580" s="470" t="s">
        <v>6257</v>
      </c>
      <c r="J580" s="469">
        <v>30</v>
      </c>
      <c r="K580" s="470" t="s">
        <v>6272</v>
      </c>
      <c r="L580" s="470" t="s">
        <v>6288</v>
      </c>
      <c r="M580" s="470" t="s">
        <v>9</v>
      </c>
      <c r="N580" s="473">
        <v>1</v>
      </c>
      <c r="O580" s="471"/>
      <c r="P580" s="471"/>
      <c r="Q580" s="471"/>
      <c r="R580" s="470"/>
      <c r="S580" s="471">
        <v>0.1179513888888889</v>
      </c>
      <c r="T580" s="471">
        <v>0.18461805555555555</v>
      </c>
      <c r="U580" s="471"/>
      <c r="V580" s="471"/>
      <c r="W580" s="471">
        <v>0.49898148148148147</v>
      </c>
      <c r="X580" s="471">
        <v>0.81334490740740739</v>
      </c>
      <c r="Y580" s="471">
        <v>0.82847222222222217</v>
      </c>
      <c r="Z580" s="471" t="s">
        <v>1107</v>
      </c>
      <c r="AA580" s="471">
        <v>0.16527777777777777</v>
      </c>
      <c r="AB580" s="470" t="s">
        <v>6462</v>
      </c>
      <c r="AC580" s="473">
        <v>129</v>
      </c>
      <c r="AD580" s="470" t="s">
        <v>116</v>
      </c>
      <c r="AE580" s="470" t="s">
        <v>6620</v>
      </c>
      <c r="AF580" s="473">
        <v>55.1</v>
      </c>
      <c r="AG580" s="469">
        <v>26.7</v>
      </c>
      <c r="AH580" s="470" t="s">
        <v>6303</v>
      </c>
      <c r="AI580" s="470" t="s">
        <v>6318</v>
      </c>
      <c r="AJ580" s="470" t="s">
        <v>839</v>
      </c>
      <c r="AK580" s="470" t="s">
        <v>6493</v>
      </c>
      <c r="AL580" s="470" t="s">
        <v>811</v>
      </c>
      <c r="AM580" s="470" t="s">
        <v>6344</v>
      </c>
      <c r="AN580" s="470" t="s">
        <v>6936</v>
      </c>
      <c r="AO580" s="470" t="s">
        <v>6346</v>
      </c>
      <c r="AP580" s="470" t="s">
        <v>7020</v>
      </c>
      <c r="AQ580" s="470" t="s">
        <v>6346</v>
      </c>
      <c r="AR580" s="470" t="s">
        <v>7058</v>
      </c>
      <c r="AS580" s="470"/>
      <c r="AT580" s="470"/>
      <c r="AU580" s="470"/>
      <c r="AV580" s="470"/>
      <c r="AW580" s="470"/>
      <c r="AX580" s="470"/>
      <c r="AY580" s="470"/>
      <c r="AZ580" s="470"/>
      <c r="BA580" s="470"/>
      <c r="BB580" s="470"/>
      <c r="BC580" s="470"/>
      <c r="BD580" s="470"/>
      <c r="BE580" s="470"/>
      <c r="BF580" s="470"/>
      <c r="BG580" s="470"/>
      <c r="BH580" s="470"/>
      <c r="BI580" s="470"/>
      <c r="BJ580" s="470" t="s">
        <v>6390</v>
      </c>
      <c r="BK580" s="470"/>
      <c r="BL580" s="474"/>
    </row>
    <row r="581" spans="1:64">
      <c r="A581" s="475">
        <v>44372</v>
      </c>
      <c r="B581" s="478">
        <v>176</v>
      </c>
      <c r="C581" s="478">
        <v>189</v>
      </c>
      <c r="D581" s="476" t="s">
        <v>623</v>
      </c>
      <c r="E581" s="477">
        <v>25</v>
      </c>
      <c r="F581" s="476" t="s">
        <v>100</v>
      </c>
      <c r="G581" s="477">
        <v>535</v>
      </c>
      <c r="H581" s="476" t="s">
        <v>6251</v>
      </c>
      <c r="I581" s="476" t="s">
        <v>836</v>
      </c>
      <c r="J581" s="477">
        <v>1</v>
      </c>
      <c r="K581" s="476" t="s">
        <v>6270</v>
      </c>
      <c r="L581" s="476" t="s">
        <v>6287</v>
      </c>
      <c r="M581" s="476" t="s">
        <v>9</v>
      </c>
      <c r="N581" s="478">
        <v>1</v>
      </c>
      <c r="O581" s="479"/>
      <c r="P581" s="479"/>
      <c r="Q581" s="479"/>
      <c r="R581" s="476"/>
      <c r="S581" s="479">
        <v>0.11818287037037038</v>
      </c>
      <c r="T581" s="479">
        <v>0.18484953703703702</v>
      </c>
      <c r="U581" s="479"/>
      <c r="V581" s="479"/>
      <c r="W581" s="479">
        <v>0.49912037037037038</v>
      </c>
      <c r="X581" s="479">
        <v>0.81340277777777781</v>
      </c>
      <c r="Y581" s="479">
        <v>0.87013888888888891</v>
      </c>
      <c r="Z581" s="479">
        <v>1.8055555555555557E-2</v>
      </c>
      <c r="AA581" s="479">
        <v>0.2076388888888889</v>
      </c>
      <c r="AB581" s="476" t="s">
        <v>6462</v>
      </c>
      <c r="AC581" s="478">
        <v>129</v>
      </c>
      <c r="AD581" s="476" t="s">
        <v>116</v>
      </c>
      <c r="AE581" s="476"/>
      <c r="AF581" s="478">
        <v>70.900000000000006</v>
      </c>
      <c r="AG581" s="477">
        <v>38.1</v>
      </c>
      <c r="AH581" s="476" t="s">
        <v>6304</v>
      </c>
      <c r="AI581" s="476" t="s">
        <v>6319</v>
      </c>
      <c r="AJ581" s="476" t="s">
        <v>839</v>
      </c>
      <c r="AK581" s="476" t="s">
        <v>6493</v>
      </c>
      <c r="AL581" s="476" t="s">
        <v>6784</v>
      </c>
      <c r="AM581" s="476" t="s">
        <v>6346</v>
      </c>
      <c r="AN581" s="476" t="s">
        <v>6937</v>
      </c>
      <c r="AO581" s="476"/>
      <c r="AP581" s="476"/>
      <c r="AQ581" s="476"/>
      <c r="AR581" s="476"/>
      <c r="AS581" s="476"/>
      <c r="AT581" s="476"/>
      <c r="AU581" s="476"/>
      <c r="AV581" s="476"/>
      <c r="AW581" s="476"/>
      <c r="AX581" s="476"/>
      <c r="AY581" s="476"/>
      <c r="AZ581" s="476"/>
      <c r="BA581" s="476"/>
      <c r="BB581" s="476"/>
      <c r="BC581" s="476"/>
      <c r="BD581" s="476"/>
      <c r="BE581" s="476"/>
      <c r="BF581" s="476"/>
      <c r="BG581" s="476"/>
      <c r="BH581" s="476"/>
      <c r="BI581" s="476"/>
      <c r="BJ581" s="476" t="s">
        <v>6586</v>
      </c>
      <c r="BK581" s="476"/>
      <c r="BL581" s="480"/>
    </row>
    <row r="582" spans="1:64">
      <c r="A582" s="468">
        <v>44373</v>
      </c>
      <c r="B582" s="473">
        <v>177</v>
      </c>
      <c r="C582" s="473">
        <v>188</v>
      </c>
      <c r="D582" s="470" t="s">
        <v>623</v>
      </c>
      <c r="E582" s="469">
        <v>25</v>
      </c>
      <c r="F582" s="470" t="s">
        <v>103</v>
      </c>
      <c r="G582" s="469">
        <v>535</v>
      </c>
      <c r="H582" s="470" t="s">
        <v>6251</v>
      </c>
      <c r="I582" s="470" t="s">
        <v>836</v>
      </c>
      <c r="J582" s="469">
        <v>2</v>
      </c>
      <c r="K582" s="470" t="s">
        <v>1034</v>
      </c>
      <c r="L582" s="470" t="s">
        <v>6273</v>
      </c>
      <c r="M582" s="470" t="s">
        <v>9</v>
      </c>
      <c r="N582" s="473">
        <v>1</v>
      </c>
      <c r="O582" s="471"/>
      <c r="P582" s="471"/>
      <c r="Q582" s="471"/>
      <c r="R582" s="470"/>
      <c r="S582" s="471">
        <v>0.11842592592592593</v>
      </c>
      <c r="T582" s="471">
        <v>0.18509259259259259</v>
      </c>
      <c r="U582" s="471"/>
      <c r="V582" s="471"/>
      <c r="W582" s="471">
        <v>0.49925925925925929</v>
      </c>
      <c r="X582" s="471">
        <v>0.81342592592592589</v>
      </c>
      <c r="Y582" s="471">
        <v>0.90486111111111101</v>
      </c>
      <c r="Z582" s="471">
        <v>6.3194444444444442E-2</v>
      </c>
      <c r="AA582" s="471">
        <v>0.25625000000000003</v>
      </c>
      <c r="AB582" s="470" t="s">
        <v>6462</v>
      </c>
      <c r="AC582" s="473">
        <v>129</v>
      </c>
      <c r="AD582" s="470" t="s">
        <v>116</v>
      </c>
      <c r="AE582" s="470"/>
      <c r="AF582" s="473">
        <v>84.6</v>
      </c>
      <c r="AG582" s="469">
        <v>47.6</v>
      </c>
      <c r="AH582" s="470" t="s">
        <v>6305</v>
      </c>
      <c r="AI582" s="470" t="s">
        <v>6341</v>
      </c>
      <c r="AJ582" s="470" t="s">
        <v>6493</v>
      </c>
      <c r="AK582" s="470" t="s">
        <v>6493</v>
      </c>
      <c r="AL582" s="470"/>
      <c r="AM582" s="470"/>
      <c r="AN582" s="470"/>
      <c r="AO582" s="470"/>
      <c r="AP582" s="470"/>
      <c r="AQ582" s="470"/>
      <c r="AR582" s="470"/>
      <c r="AS582" s="470"/>
      <c r="AT582" s="470"/>
      <c r="AU582" s="470"/>
      <c r="AV582" s="470"/>
      <c r="AW582" s="470"/>
      <c r="AX582" s="470"/>
      <c r="AY582" s="470"/>
      <c r="AZ582" s="470"/>
      <c r="BA582" s="470"/>
      <c r="BB582" s="470"/>
      <c r="BC582" s="470"/>
      <c r="BD582" s="470"/>
      <c r="BE582" s="470"/>
      <c r="BF582" s="470"/>
      <c r="BG582" s="470"/>
      <c r="BH582" s="470"/>
      <c r="BI582" s="470"/>
      <c r="BJ582" s="470"/>
      <c r="BK582" s="470"/>
      <c r="BL582" s="474"/>
    </row>
    <row r="583" spans="1:64">
      <c r="A583" s="475">
        <v>44374</v>
      </c>
      <c r="B583" s="478">
        <v>178</v>
      </c>
      <c r="C583" s="478">
        <v>187</v>
      </c>
      <c r="D583" s="476" t="s">
        <v>623</v>
      </c>
      <c r="E583" s="477">
        <v>25</v>
      </c>
      <c r="F583" s="476" t="s">
        <v>106</v>
      </c>
      <c r="G583" s="477">
        <v>535</v>
      </c>
      <c r="H583" s="476" t="s">
        <v>6251</v>
      </c>
      <c r="I583" s="476" t="s">
        <v>836</v>
      </c>
      <c r="J583" s="477">
        <v>3</v>
      </c>
      <c r="K583" s="476" t="s">
        <v>6258</v>
      </c>
      <c r="L583" s="476" t="s">
        <v>6274</v>
      </c>
      <c r="M583" s="476" t="s">
        <v>9</v>
      </c>
      <c r="N583" s="478">
        <v>1</v>
      </c>
      <c r="O583" s="479"/>
      <c r="P583" s="479"/>
      <c r="Q583" s="479"/>
      <c r="R583" s="476"/>
      <c r="S583" s="479">
        <v>0.11869212962962962</v>
      </c>
      <c r="T583" s="479">
        <v>0.18535879629629629</v>
      </c>
      <c r="U583" s="479"/>
      <c r="V583" s="479"/>
      <c r="W583" s="479">
        <v>0.49939814814814815</v>
      </c>
      <c r="X583" s="479">
        <v>0.81343750000000004</v>
      </c>
      <c r="Y583" s="479">
        <v>0.93194444444444446</v>
      </c>
      <c r="Z583" s="479">
        <v>0.10555555555555556</v>
      </c>
      <c r="AA583" s="479">
        <v>0.30624999999999997</v>
      </c>
      <c r="AB583" s="476" t="s">
        <v>6462</v>
      </c>
      <c r="AC583" s="478">
        <v>129</v>
      </c>
      <c r="AD583" s="476" t="s">
        <v>116</v>
      </c>
      <c r="AE583" s="476"/>
      <c r="AF583" s="478">
        <v>95.5</v>
      </c>
      <c r="AG583" s="477">
        <v>54.5</v>
      </c>
      <c r="AH583" s="476" t="s">
        <v>6306</v>
      </c>
      <c r="AI583" s="476" t="s">
        <v>6320</v>
      </c>
      <c r="AJ583" s="476" t="s">
        <v>6493</v>
      </c>
      <c r="AK583" s="476" t="s">
        <v>6493</v>
      </c>
      <c r="AL583" s="476"/>
      <c r="AM583" s="476"/>
      <c r="AN583" s="476"/>
      <c r="AO583" s="476"/>
      <c r="AP583" s="476"/>
      <c r="AQ583" s="476"/>
      <c r="AR583" s="476"/>
      <c r="AS583" s="476"/>
      <c r="AT583" s="476"/>
      <c r="AU583" s="476"/>
      <c r="AV583" s="476"/>
      <c r="AW583" s="476"/>
      <c r="AX583" s="476"/>
      <c r="AY583" s="476"/>
      <c r="AZ583" s="476"/>
      <c r="BA583" s="476"/>
      <c r="BB583" s="476"/>
      <c r="BC583" s="476"/>
      <c r="BD583" s="476"/>
      <c r="BE583" s="476"/>
      <c r="BF583" s="476"/>
      <c r="BG583" s="476"/>
      <c r="BH583" s="476"/>
      <c r="BI583" s="476"/>
      <c r="BJ583" s="476"/>
      <c r="BK583" s="476"/>
      <c r="BL583" s="480"/>
    </row>
    <row r="584" spans="1:64">
      <c r="A584" s="468">
        <v>44375</v>
      </c>
      <c r="B584" s="473">
        <v>179</v>
      </c>
      <c r="C584" s="473">
        <v>186</v>
      </c>
      <c r="D584" s="470" t="s">
        <v>623</v>
      </c>
      <c r="E584" s="469">
        <v>26</v>
      </c>
      <c r="F584" s="470" t="s">
        <v>88</v>
      </c>
      <c r="G584" s="469">
        <v>535</v>
      </c>
      <c r="H584" s="470" t="s">
        <v>6251</v>
      </c>
      <c r="I584" s="470" t="s">
        <v>836</v>
      </c>
      <c r="J584" s="469">
        <v>5</v>
      </c>
      <c r="K584" s="470" t="s">
        <v>6260</v>
      </c>
      <c r="L584" s="470" t="s">
        <v>6275</v>
      </c>
      <c r="M584" s="470" t="s">
        <v>9</v>
      </c>
      <c r="N584" s="473">
        <v>1</v>
      </c>
      <c r="O584" s="471">
        <v>0.22638888888888889</v>
      </c>
      <c r="P584" s="471">
        <v>0.15833333333333333</v>
      </c>
      <c r="Q584" s="471"/>
      <c r="R584" s="470"/>
      <c r="S584" s="471">
        <v>0.11898148148148148</v>
      </c>
      <c r="T584" s="471">
        <v>0.18564814814814815</v>
      </c>
      <c r="U584" s="471"/>
      <c r="V584" s="471"/>
      <c r="W584" s="471">
        <v>0.49953703703703706</v>
      </c>
      <c r="X584" s="471">
        <v>0.81342592592592589</v>
      </c>
      <c r="Y584" s="471">
        <v>0.95486111111111116</v>
      </c>
      <c r="Z584" s="471">
        <v>0.14375000000000002</v>
      </c>
      <c r="AA584" s="471">
        <v>0.35625000000000001</v>
      </c>
      <c r="AB584" s="470" t="s">
        <v>6462</v>
      </c>
      <c r="AC584" s="473">
        <v>129</v>
      </c>
      <c r="AD584" s="470" t="s">
        <v>116</v>
      </c>
      <c r="AE584" s="470"/>
      <c r="AF584" s="473">
        <v>2.8</v>
      </c>
      <c r="AG584" s="469">
        <v>58.3</v>
      </c>
      <c r="AH584" s="470" t="s">
        <v>6307</v>
      </c>
      <c r="AI584" s="470" t="s">
        <v>6322</v>
      </c>
      <c r="AJ584" s="470" t="s">
        <v>839</v>
      </c>
      <c r="AK584" s="470" t="s">
        <v>6493</v>
      </c>
      <c r="AL584" s="470" t="s">
        <v>6785</v>
      </c>
      <c r="AM584" s="470" t="s">
        <v>6346</v>
      </c>
      <c r="AN584" s="470" t="s">
        <v>6991</v>
      </c>
      <c r="AO584" s="470"/>
      <c r="AP584" s="470"/>
      <c r="AQ584" s="470"/>
      <c r="AR584" s="470"/>
      <c r="AS584" s="470"/>
      <c r="AT584" s="470"/>
      <c r="AU584" s="470"/>
      <c r="AV584" s="470"/>
      <c r="AW584" s="470"/>
      <c r="AX584" s="470"/>
      <c r="AY584" s="470"/>
      <c r="AZ584" s="470"/>
      <c r="BA584" s="470"/>
      <c r="BB584" s="470"/>
      <c r="BC584" s="470"/>
      <c r="BD584" s="470"/>
      <c r="BE584" s="470"/>
      <c r="BF584" s="470"/>
      <c r="BG584" s="470"/>
      <c r="BH584" s="470"/>
      <c r="BI584" s="470"/>
      <c r="BJ584" s="470" t="s">
        <v>6656</v>
      </c>
      <c r="BK584" s="470"/>
      <c r="BL584" s="474"/>
    </row>
    <row r="585" spans="1:64">
      <c r="A585" s="475">
        <v>44376</v>
      </c>
      <c r="B585" s="478">
        <v>180</v>
      </c>
      <c r="C585" s="478">
        <v>185</v>
      </c>
      <c r="D585" s="476" t="s">
        <v>623</v>
      </c>
      <c r="E585" s="477">
        <v>26</v>
      </c>
      <c r="F585" s="476" t="s">
        <v>91</v>
      </c>
      <c r="G585" s="477">
        <v>535</v>
      </c>
      <c r="H585" s="476" t="s">
        <v>6251</v>
      </c>
      <c r="I585" s="476" t="s">
        <v>836</v>
      </c>
      <c r="J585" s="477">
        <v>6</v>
      </c>
      <c r="K585" s="476" t="s">
        <v>6261</v>
      </c>
      <c r="L585" s="476" t="s">
        <v>6276</v>
      </c>
      <c r="M585" s="476" t="s">
        <v>9</v>
      </c>
      <c r="N585" s="478">
        <v>1</v>
      </c>
      <c r="O585" s="479"/>
      <c r="P585" s="479"/>
      <c r="Q585" s="479"/>
      <c r="R585" s="476"/>
      <c r="S585" s="479">
        <v>0.11928240740740741</v>
      </c>
      <c r="T585" s="479">
        <v>0.1859490740740741</v>
      </c>
      <c r="U585" s="479"/>
      <c r="V585" s="479"/>
      <c r="W585" s="479">
        <v>0.49966435185185182</v>
      </c>
      <c r="X585" s="479">
        <v>0.81337962962962962</v>
      </c>
      <c r="Y585" s="479">
        <v>0.97361111111111109</v>
      </c>
      <c r="Z585" s="479">
        <v>0.17847222222222223</v>
      </c>
      <c r="AA585" s="479">
        <v>0.40347222222222223</v>
      </c>
      <c r="AB585" s="476" t="s">
        <v>6462</v>
      </c>
      <c r="AC585" s="478">
        <v>129</v>
      </c>
      <c r="AD585" s="476" t="s">
        <v>116</v>
      </c>
      <c r="AE585" s="476"/>
      <c r="AF585" s="478">
        <v>6.5</v>
      </c>
      <c r="AG585" s="477">
        <v>58.8</v>
      </c>
      <c r="AH585" s="476" t="s">
        <v>6308</v>
      </c>
      <c r="AI585" s="476" t="s">
        <v>6323</v>
      </c>
      <c r="AJ585" s="476" t="s">
        <v>6493</v>
      </c>
      <c r="AK585" s="476" t="s">
        <v>6493</v>
      </c>
      <c r="AL585" s="476"/>
      <c r="AM585" s="476"/>
      <c r="AN585" s="476"/>
      <c r="AO585" s="476"/>
      <c r="AP585" s="476"/>
      <c r="AQ585" s="476"/>
      <c r="AR585" s="476"/>
      <c r="AS585" s="476"/>
      <c r="AT585" s="476"/>
      <c r="AU585" s="476"/>
      <c r="AV585" s="476"/>
      <c r="AW585" s="476"/>
      <c r="AX585" s="476"/>
      <c r="AY585" s="476"/>
      <c r="AZ585" s="476"/>
      <c r="BA585" s="476"/>
      <c r="BB585" s="476"/>
      <c r="BC585" s="476"/>
      <c r="BD585" s="476"/>
      <c r="BE585" s="476"/>
      <c r="BF585" s="476"/>
      <c r="BG585" s="476"/>
      <c r="BH585" s="476"/>
      <c r="BI585" s="476"/>
      <c r="BJ585" s="476"/>
      <c r="BK585" s="476"/>
      <c r="BL585" s="480"/>
    </row>
    <row r="586" spans="1:64">
      <c r="A586" s="468">
        <v>44377</v>
      </c>
      <c r="B586" s="473">
        <v>181</v>
      </c>
      <c r="C586" s="473">
        <v>184</v>
      </c>
      <c r="D586" s="470" t="s">
        <v>623</v>
      </c>
      <c r="E586" s="469">
        <v>26</v>
      </c>
      <c r="F586" s="470" t="s">
        <v>94</v>
      </c>
      <c r="G586" s="469">
        <v>535</v>
      </c>
      <c r="H586" s="470" t="s">
        <v>6251</v>
      </c>
      <c r="I586" s="470" t="s">
        <v>836</v>
      </c>
      <c r="J586" s="469">
        <v>7</v>
      </c>
      <c r="K586" s="470" t="s">
        <v>6262</v>
      </c>
      <c r="L586" s="470" t="s">
        <v>6278</v>
      </c>
      <c r="M586" s="470" t="s">
        <v>9</v>
      </c>
      <c r="N586" s="473">
        <v>1</v>
      </c>
      <c r="O586" s="471"/>
      <c r="P586" s="471"/>
      <c r="Q586" s="471"/>
      <c r="R586" s="470"/>
      <c r="S586" s="471">
        <v>0.11960648148148149</v>
      </c>
      <c r="T586" s="471">
        <v>0.18627314814814813</v>
      </c>
      <c r="U586" s="471"/>
      <c r="V586" s="471"/>
      <c r="W586" s="471">
        <v>0.49980324074074073</v>
      </c>
      <c r="X586" s="471">
        <v>0.8133217592592592</v>
      </c>
      <c r="Y586" s="471">
        <v>0.9902777777777777</v>
      </c>
      <c r="Z586" s="471">
        <v>0.20972222222222223</v>
      </c>
      <c r="AA586" s="471">
        <v>0.44861111111111113</v>
      </c>
      <c r="AB586" s="470" t="s">
        <v>6462</v>
      </c>
      <c r="AC586" s="473">
        <v>129</v>
      </c>
      <c r="AD586" s="470" t="s">
        <v>116</v>
      </c>
      <c r="AE586" s="470"/>
      <c r="AF586" s="473">
        <v>6.7</v>
      </c>
      <c r="AG586" s="469">
        <v>56</v>
      </c>
      <c r="AH586" s="470" t="s">
        <v>6309</v>
      </c>
      <c r="AI586" s="470" t="s">
        <v>6324</v>
      </c>
      <c r="AJ586" s="470" t="s">
        <v>6493</v>
      </c>
      <c r="AK586" s="470" t="s">
        <v>6493</v>
      </c>
      <c r="AL586" s="470"/>
      <c r="AM586" s="470"/>
      <c r="AN586" s="470"/>
      <c r="AO586" s="470"/>
      <c r="AP586" s="470"/>
      <c r="AQ586" s="470"/>
      <c r="AR586" s="470"/>
      <c r="AS586" s="470"/>
      <c r="AT586" s="470"/>
      <c r="AU586" s="470"/>
      <c r="AV586" s="470"/>
      <c r="AW586" s="470"/>
      <c r="AX586" s="470"/>
      <c r="AY586" s="470"/>
      <c r="AZ586" s="470"/>
      <c r="BA586" s="470"/>
      <c r="BB586" s="470"/>
      <c r="BC586" s="470"/>
      <c r="BD586" s="470"/>
      <c r="BE586" s="470"/>
      <c r="BF586" s="470"/>
      <c r="BG586" s="470"/>
      <c r="BH586" s="470"/>
      <c r="BI586" s="470"/>
      <c r="BJ586" s="470"/>
      <c r="BK586" s="470"/>
      <c r="BL586" s="474"/>
    </row>
    <row r="587" spans="1:64">
      <c r="A587" s="475">
        <v>44378</v>
      </c>
      <c r="B587" s="478">
        <v>182</v>
      </c>
      <c r="C587" s="478">
        <v>183</v>
      </c>
      <c r="D587" s="476" t="s">
        <v>626</v>
      </c>
      <c r="E587" s="477">
        <v>26</v>
      </c>
      <c r="F587" s="476" t="s">
        <v>6714</v>
      </c>
      <c r="G587" s="477">
        <v>535</v>
      </c>
      <c r="H587" s="476" t="s">
        <v>6251</v>
      </c>
      <c r="I587" s="476" t="s">
        <v>836</v>
      </c>
      <c r="J587" s="477">
        <v>8</v>
      </c>
      <c r="K587" s="476" t="s">
        <v>6263</v>
      </c>
      <c r="L587" s="476" t="s">
        <v>6278</v>
      </c>
      <c r="M587" s="476" t="s">
        <v>9</v>
      </c>
      <c r="N587" s="478">
        <v>1</v>
      </c>
      <c r="O587" s="479"/>
      <c r="P587" s="479"/>
      <c r="Q587" s="479"/>
      <c r="R587" s="476"/>
      <c r="S587" s="479">
        <v>0.11995370370370372</v>
      </c>
      <c r="T587" s="479">
        <v>0.18662037037037038</v>
      </c>
      <c r="U587" s="479"/>
      <c r="V587" s="479"/>
      <c r="W587" s="479">
        <v>0.49993055555555554</v>
      </c>
      <c r="X587" s="479">
        <v>0.81322916666666656</v>
      </c>
      <c r="Y587" s="479" t="s">
        <v>1107</v>
      </c>
      <c r="Z587" s="479">
        <v>0.23958333333333334</v>
      </c>
      <c r="AA587" s="479">
        <v>0.4916666666666667</v>
      </c>
      <c r="AB587" s="476" t="s">
        <v>6289</v>
      </c>
      <c r="AC587" s="478">
        <v>131</v>
      </c>
      <c r="AD587" s="476" t="s">
        <v>119</v>
      </c>
      <c r="AE587" s="476" t="s">
        <v>6621</v>
      </c>
      <c r="AF587" s="478">
        <v>3.6</v>
      </c>
      <c r="AG587" s="477">
        <v>50.4</v>
      </c>
      <c r="AH587" s="476" t="s">
        <v>6310</v>
      </c>
      <c r="AI587" s="476" t="s">
        <v>6325</v>
      </c>
      <c r="AJ587" s="476" t="s">
        <v>6493</v>
      </c>
      <c r="AK587" s="476" t="s">
        <v>6493</v>
      </c>
      <c r="AL587" s="476"/>
      <c r="AM587" s="476"/>
      <c r="AN587" s="476"/>
      <c r="AO587" s="476"/>
      <c r="AP587" s="476"/>
      <c r="AQ587" s="476"/>
      <c r="AR587" s="476"/>
      <c r="AS587" s="476"/>
      <c r="AT587" s="476"/>
      <c r="AU587" s="476"/>
      <c r="AV587" s="476"/>
      <c r="AW587" s="476"/>
      <c r="AX587" s="476"/>
      <c r="AY587" s="476"/>
      <c r="AZ587" s="476"/>
      <c r="BA587" s="476"/>
      <c r="BB587" s="476"/>
      <c r="BC587" s="476"/>
      <c r="BD587" s="476"/>
      <c r="BE587" s="476"/>
      <c r="BF587" s="476"/>
      <c r="BG587" s="476"/>
      <c r="BH587" s="476"/>
      <c r="BI587" s="476"/>
      <c r="BJ587" s="476"/>
      <c r="BK587" s="476"/>
      <c r="BL587" s="480"/>
    </row>
    <row r="588" spans="1:64">
      <c r="A588" s="468">
        <v>44379</v>
      </c>
      <c r="B588" s="473">
        <v>183</v>
      </c>
      <c r="C588" s="473">
        <v>182</v>
      </c>
      <c r="D588" s="470" t="s">
        <v>626</v>
      </c>
      <c r="E588" s="469">
        <v>26</v>
      </c>
      <c r="F588" s="470" t="s">
        <v>100</v>
      </c>
      <c r="G588" s="469">
        <v>535</v>
      </c>
      <c r="H588" s="470" t="s">
        <v>6251</v>
      </c>
      <c r="I588" s="470" t="s">
        <v>836</v>
      </c>
      <c r="J588" s="469">
        <v>8</v>
      </c>
      <c r="K588" s="470" t="s">
        <v>6263</v>
      </c>
      <c r="L588" s="470" t="s">
        <v>6279</v>
      </c>
      <c r="M588" s="470" t="s">
        <v>10</v>
      </c>
      <c r="N588" s="473">
        <v>1</v>
      </c>
      <c r="O588" s="471"/>
      <c r="P588" s="471"/>
      <c r="Q588" s="471"/>
      <c r="R588" s="470"/>
      <c r="S588" s="471">
        <v>0.1203125</v>
      </c>
      <c r="T588" s="471">
        <v>0.18697916666666667</v>
      </c>
      <c r="U588" s="471"/>
      <c r="V588" s="471"/>
      <c r="W588" s="471">
        <v>0.50004629629629627</v>
      </c>
      <c r="X588" s="471">
        <v>0.81312499999999999</v>
      </c>
      <c r="Y588" s="471">
        <v>5.5555555555555558E-3</v>
      </c>
      <c r="Z588" s="471">
        <v>0.26805555555555555</v>
      </c>
      <c r="AA588" s="471">
        <v>0.53402777777777777</v>
      </c>
      <c r="AB588" s="470" t="s">
        <v>6289</v>
      </c>
      <c r="AC588" s="473">
        <v>131</v>
      </c>
      <c r="AD588" s="470" t="s">
        <v>119</v>
      </c>
      <c r="AE588" s="470"/>
      <c r="AF588" s="473">
        <v>97.9</v>
      </c>
      <c r="AG588" s="469">
        <v>42.5</v>
      </c>
      <c r="AH588" s="470" t="s">
        <v>6311</v>
      </c>
      <c r="AI588" s="470" t="s">
        <v>6326</v>
      </c>
      <c r="AJ588" s="470" t="s">
        <v>6493</v>
      </c>
      <c r="AK588" s="470" t="s">
        <v>6493</v>
      </c>
      <c r="AL588" s="470" t="s">
        <v>6727</v>
      </c>
      <c r="AM588" s="470"/>
      <c r="AN588" s="470"/>
      <c r="AO588" s="470"/>
      <c r="AP588" s="470"/>
      <c r="AQ588" s="470"/>
      <c r="AR588" s="470"/>
      <c r="AS588" s="470"/>
      <c r="AT588" s="470"/>
      <c r="AU588" s="470"/>
      <c r="AV588" s="470"/>
      <c r="AW588" s="470"/>
      <c r="AX588" s="470"/>
      <c r="AY588" s="470"/>
      <c r="AZ588" s="470"/>
      <c r="BA588" s="470"/>
      <c r="BB588" s="470"/>
      <c r="BC588" s="470"/>
      <c r="BD588" s="470"/>
      <c r="BE588" s="470"/>
      <c r="BF588" s="470"/>
      <c r="BG588" s="470"/>
      <c r="BH588" s="470"/>
      <c r="BI588" s="470"/>
      <c r="BJ588" s="470"/>
      <c r="BK588" s="470"/>
      <c r="BL588" s="474"/>
    </row>
    <row r="589" spans="1:64">
      <c r="A589" s="475">
        <v>44380</v>
      </c>
      <c r="B589" s="478">
        <v>184</v>
      </c>
      <c r="C589" s="478">
        <v>181</v>
      </c>
      <c r="D589" s="476" t="s">
        <v>626</v>
      </c>
      <c r="E589" s="477">
        <v>26</v>
      </c>
      <c r="F589" s="476" t="s">
        <v>103</v>
      </c>
      <c r="G589" s="477">
        <v>535</v>
      </c>
      <c r="H589" s="476" t="s">
        <v>6251</v>
      </c>
      <c r="I589" s="476" t="s">
        <v>836</v>
      </c>
      <c r="J589" s="477">
        <v>9</v>
      </c>
      <c r="K589" s="476" t="s">
        <v>6264</v>
      </c>
      <c r="L589" s="476" t="s">
        <v>6280</v>
      </c>
      <c r="M589" s="476" t="s">
        <v>9</v>
      </c>
      <c r="N589" s="478">
        <v>1</v>
      </c>
      <c r="O589" s="479"/>
      <c r="P589" s="479"/>
      <c r="Q589" s="479"/>
      <c r="R589" s="476"/>
      <c r="S589" s="479">
        <v>0.12068287037037036</v>
      </c>
      <c r="T589" s="479">
        <v>0.18734953703703705</v>
      </c>
      <c r="U589" s="479"/>
      <c r="V589" s="479"/>
      <c r="W589" s="479">
        <v>0.50017361111111114</v>
      </c>
      <c r="X589" s="479">
        <v>0.81298611111111108</v>
      </c>
      <c r="Y589" s="479">
        <v>2.0833333333333332E-2</v>
      </c>
      <c r="Z589" s="479">
        <v>0.29652777777777778</v>
      </c>
      <c r="AA589" s="479">
        <v>0.5756944444444444</v>
      </c>
      <c r="AB589" s="476" t="s">
        <v>6289</v>
      </c>
      <c r="AC589" s="478">
        <v>131</v>
      </c>
      <c r="AD589" s="476" t="s">
        <v>119</v>
      </c>
      <c r="AE589" s="476"/>
      <c r="AF589" s="478">
        <v>90.2</v>
      </c>
      <c r="AG589" s="477">
        <v>32.700000000000003</v>
      </c>
      <c r="AH589" s="476" t="s">
        <v>6312</v>
      </c>
      <c r="AI589" s="476" t="s">
        <v>6327</v>
      </c>
      <c r="AJ589" s="476" t="s">
        <v>6493</v>
      </c>
      <c r="AK589" s="476" t="s">
        <v>6493</v>
      </c>
      <c r="AL589" s="476"/>
      <c r="AM589" s="476"/>
      <c r="AN589" s="476"/>
      <c r="AO589" s="476"/>
      <c r="AP589" s="476"/>
      <c r="AQ589" s="476"/>
      <c r="AR589" s="476"/>
      <c r="AS589" s="476"/>
      <c r="AT589" s="476"/>
      <c r="AU589" s="476"/>
      <c r="AV589" s="476"/>
      <c r="AW589" s="476"/>
      <c r="AX589" s="476"/>
      <c r="AY589" s="476"/>
      <c r="AZ589" s="476"/>
      <c r="BA589" s="476"/>
      <c r="BB589" s="476"/>
      <c r="BC589" s="476"/>
      <c r="BD589" s="476"/>
      <c r="BE589" s="476"/>
      <c r="BF589" s="476"/>
      <c r="BG589" s="476"/>
      <c r="BH589" s="476"/>
      <c r="BI589" s="476"/>
      <c r="BJ589" s="476"/>
      <c r="BK589" s="476"/>
      <c r="BL589" s="480"/>
    </row>
    <row r="590" spans="1:64">
      <c r="A590" s="468">
        <v>44381</v>
      </c>
      <c r="B590" s="473">
        <v>185</v>
      </c>
      <c r="C590" s="473">
        <v>180</v>
      </c>
      <c r="D590" s="470" t="s">
        <v>626</v>
      </c>
      <c r="E590" s="469">
        <v>26</v>
      </c>
      <c r="F590" s="470" t="s">
        <v>106</v>
      </c>
      <c r="G590" s="469">
        <v>535</v>
      </c>
      <c r="H590" s="470" t="s">
        <v>6251</v>
      </c>
      <c r="I590" s="470" t="s">
        <v>836</v>
      </c>
      <c r="J590" s="469">
        <v>10</v>
      </c>
      <c r="K590" s="470" t="s">
        <v>6265</v>
      </c>
      <c r="L590" s="470" t="s">
        <v>6281</v>
      </c>
      <c r="M590" s="470" t="s">
        <v>9</v>
      </c>
      <c r="N590" s="473">
        <v>1</v>
      </c>
      <c r="O590" s="471"/>
      <c r="P590" s="471"/>
      <c r="Q590" s="471"/>
      <c r="R590" s="470"/>
      <c r="S590" s="471">
        <v>0.12107638888888889</v>
      </c>
      <c r="T590" s="471">
        <v>0.18774305555555557</v>
      </c>
      <c r="U590" s="471"/>
      <c r="V590" s="471"/>
      <c r="W590" s="471">
        <v>0.50028935185185186</v>
      </c>
      <c r="X590" s="471">
        <v>0.81283564814814813</v>
      </c>
      <c r="Y590" s="471">
        <v>3.7499999999999999E-2</v>
      </c>
      <c r="Z590" s="471">
        <v>0.32500000000000001</v>
      </c>
      <c r="AA590" s="471">
        <v>0.6166666666666667</v>
      </c>
      <c r="AB590" s="470" t="s">
        <v>6289</v>
      </c>
      <c r="AC590" s="473">
        <v>131</v>
      </c>
      <c r="AD590" s="470" t="s">
        <v>119</v>
      </c>
      <c r="AE590" s="470"/>
      <c r="AF590" s="473">
        <v>81.3</v>
      </c>
      <c r="AG590" s="469">
        <v>21.8</v>
      </c>
      <c r="AH590" s="470" t="s">
        <v>6313</v>
      </c>
      <c r="AI590" s="470" t="s">
        <v>6328</v>
      </c>
      <c r="AJ590" s="470" t="s">
        <v>839</v>
      </c>
      <c r="AK590" s="470" t="s">
        <v>6493</v>
      </c>
      <c r="AL590" s="470" t="s">
        <v>6786</v>
      </c>
      <c r="AM590" s="470" t="s">
        <v>6346</v>
      </c>
      <c r="AN590" s="470"/>
      <c r="AO590" s="470"/>
      <c r="AP590" s="470"/>
      <c r="AQ590" s="470"/>
      <c r="AR590" s="470"/>
      <c r="AS590" s="470"/>
      <c r="AT590" s="470"/>
      <c r="AU590" s="470"/>
      <c r="AV590" s="470"/>
      <c r="AW590" s="470"/>
      <c r="AX590" s="470"/>
      <c r="AY590" s="470"/>
      <c r="AZ590" s="470"/>
      <c r="BA590" s="470"/>
      <c r="BB590" s="470"/>
      <c r="BC590" s="470"/>
      <c r="BD590" s="470"/>
      <c r="BE590" s="470"/>
      <c r="BF590" s="470"/>
      <c r="BG590" s="470"/>
      <c r="BH590" s="470"/>
      <c r="BI590" s="470"/>
      <c r="BJ590" s="470" t="s">
        <v>6392</v>
      </c>
      <c r="BK590" s="470"/>
      <c r="BL590" s="474"/>
    </row>
    <row r="591" spans="1:64">
      <c r="A591" s="475">
        <v>44382</v>
      </c>
      <c r="B591" s="478">
        <v>186</v>
      </c>
      <c r="C591" s="478">
        <v>179</v>
      </c>
      <c r="D591" s="476" t="s">
        <v>626</v>
      </c>
      <c r="E591" s="477">
        <v>27</v>
      </c>
      <c r="F591" s="476" t="s">
        <v>88</v>
      </c>
      <c r="G591" s="477">
        <v>535</v>
      </c>
      <c r="H591" s="476" t="s">
        <v>6251</v>
      </c>
      <c r="I591" s="476" t="s">
        <v>836</v>
      </c>
      <c r="J591" s="477">
        <v>11</v>
      </c>
      <c r="K591" s="476" t="s">
        <v>6271</v>
      </c>
      <c r="L591" s="476" t="s">
        <v>6282</v>
      </c>
      <c r="M591" s="476" t="s">
        <v>9</v>
      </c>
      <c r="N591" s="478">
        <v>1</v>
      </c>
      <c r="O591" s="479"/>
      <c r="P591" s="479"/>
      <c r="Q591" s="479"/>
      <c r="R591" s="476"/>
      <c r="S591" s="479">
        <v>0.12148148148148148</v>
      </c>
      <c r="T591" s="479">
        <v>0.18814814814814815</v>
      </c>
      <c r="U591" s="479"/>
      <c r="V591" s="479"/>
      <c r="W591" s="479">
        <v>0.50040509259259258</v>
      </c>
      <c r="X591" s="479">
        <v>0.81265046296296306</v>
      </c>
      <c r="Y591" s="479">
        <v>5.486111111111111E-2</v>
      </c>
      <c r="Z591" s="479">
        <v>0.35486111111111113</v>
      </c>
      <c r="AA591" s="479">
        <v>0.65902777777777777</v>
      </c>
      <c r="AB591" s="476" t="s">
        <v>6289</v>
      </c>
      <c r="AC591" s="478">
        <v>131</v>
      </c>
      <c r="AD591" s="476" t="s">
        <v>119</v>
      </c>
      <c r="AE591" s="476"/>
      <c r="AF591" s="478">
        <v>71.599999999999994</v>
      </c>
      <c r="AG591" s="477">
        <v>10.3</v>
      </c>
      <c r="AH591" s="476" t="s">
        <v>6314</v>
      </c>
      <c r="AI591" s="476" t="s">
        <v>6329</v>
      </c>
      <c r="AJ591" s="476" t="s">
        <v>838</v>
      </c>
      <c r="AK591" s="476" t="s">
        <v>13</v>
      </c>
      <c r="AL591" s="476" t="s">
        <v>6787</v>
      </c>
      <c r="AM591" s="476" t="s">
        <v>6342</v>
      </c>
      <c r="AN591" s="476" t="s">
        <v>6992</v>
      </c>
      <c r="AO591" s="476" t="s">
        <v>6351</v>
      </c>
      <c r="AP591" s="476"/>
      <c r="AQ591" s="476"/>
      <c r="AR591" s="476"/>
      <c r="AS591" s="476"/>
      <c r="AT591" s="476"/>
      <c r="AU591" s="476"/>
      <c r="AV591" s="476"/>
      <c r="AW591" s="476"/>
      <c r="AX591" s="476"/>
      <c r="AY591" s="476"/>
      <c r="AZ591" s="476"/>
      <c r="BA591" s="476"/>
      <c r="BB591" s="476"/>
      <c r="BC591" s="476"/>
      <c r="BD591" s="476"/>
      <c r="BE591" s="476"/>
      <c r="BF591" s="476"/>
      <c r="BG591" s="476"/>
      <c r="BH591" s="476"/>
      <c r="BI591" s="476"/>
      <c r="BJ591" s="476"/>
      <c r="BK591" s="476"/>
      <c r="BL591" s="480"/>
    </row>
    <row r="592" spans="1:64">
      <c r="A592" s="468">
        <v>44383</v>
      </c>
      <c r="B592" s="473">
        <v>187</v>
      </c>
      <c r="C592" s="473">
        <v>178</v>
      </c>
      <c r="D592" s="470" t="s">
        <v>626</v>
      </c>
      <c r="E592" s="469">
        <v>27</v>
      </c>
      <c r="F592" s="470" t="s">
        <v>91</v>
      </c>
      <c r="G592" s="469">
        <v>535</v>
      </c>
      <c r="H592" s="470" t="s">
        <v>6251</v>
      </c>
      <c r="I592" s="470" t="s">
        <v>836</v>
      </c>
      <c r="J592" s="469">
        <v>12</v>
      </c>
      <c r="K592" s="470" t="s">
        <v>6266</v>
      </c>
      <c r="L592" s="470" t="s">
        <v>6283</v>
      </c>
      <c r="M592" s="470" t="s">
        <v>9</v>
      </c>
      <c r="N592" s="473">
        <v>1</v>
      </c>
      <c r="O592" s="471"/>
      <c r="P592" s="471"/>
      <c r="Q592" s="471"/>
      <c r="R592" s="470"/>
      <c r="S592" s="471">
        <v>0.12190972222222222</v>
      </c>
      <c r="T592" s="471">
        <v>0.18857638888888886</v>
      </c>
      <c r="U592" s="471">
        <v>0.18819444444444444</v>
      </c>
      <c r="V592" s="471">
        <v>0.39652777777777781</v>
      </c>
      <c r="W592" s="471">
        <v>0.50050925925925926</v>
      </c>
      <c r="X592" s="471">
        <v>0.81245370370370373</v>
      </c>
      <c r="Y592" s="471">
        <v>7.4999999999999997E-2</v>
      </c>
      <c r="Z592" s="471">
        <v>0.38611111111111113</v>
      </c>
      <c r="AA592" s="471">
        <v>0.70138888888888884</v>
      </c>
      <c r="AB592" s="470" t="s">
        <v>6289</v>
      </c>
      <c r="AC592" s="473">
        <v>131</v>
      </c>
      <c r="AD592" s="470" t="s">
        <v>119</v>
      </c>
      <c r="AE592" s="470"/>
      <c r="AF592" s="473">
        <v>62</v>
      </c>
      <c r="AG592" s="469">
        <v>98.8</v>
      </c>
      <c r="AH592" s="470" t="s">
        <v>6314</v>
      </c>
      <c r="AI592" s="470" t="s">
        <v>6330</v>
      </c>
      <c r="AJ592" s="470" t="s">
        <v>839</v>
      </c>
      <c r="AK592" s="470" t="s">
        <v>6493</v>
      </c>
      <c r="AL592" s="470" t="s">
        <v>6872</v>
      </c>
      <c r="AM592" s="470" t="s">
        <v>6343</v>
      </c>
      <c r="AN592" s="470"/>
      <c r="AO592" s="470"/>
      <c r="AP592" s="470"/>
      <c r="AQ592" s="470"/>
      <c r="AR592" s="470"/>
      <c r="AS592" s="470"/>
      <c r="AT592" s="470"/>
      <c r="AU592" s="470"/>
      <c r="AV592" s="470"/>
      <c r="AW592" s="470"/>
      <c r="AX592" s="470"/>
      <c r="AY592" s="470"/>
      <c r="AZ592" s="470"/>
      <c r="BA592" s="470"/>
      <c r="BB592" s="470"/>
      <c r="BC592" s="470"/>
      <c r="BD592" s="470"/>
      <c r="BE592" s="470"/>
      <c r="BF592" s="470"/>
      <c r="BG592" s="470"/>
      <c r="BH592" s="470"/>
      <c r="BI592" s="470"/>
      <c r="BJ592" s="470"/>
      <c r="BK592" s="470"/>
      <c r="BL592" s="474"/>
    </row>
    <row r="593" spans="1:64">
      <c r="A593" s="475">
        <v>44384</v>
      </c>
      <c r="B593" s="478">
        <v>188</v>
      </c>
      <c r="C593" s="478">
        <v>177</v>
      </c>
      <c r="D593" s="476" t="s">
        <v>626</v>
      </c>
      <c r="E593" s="477">
        <v>27</v>
      </c>
      <c r="F593" s="476" t="s">
        <v>94</v>
      </c>
      <c r="G593" s="477">
        <v>535</v>
      </c>
      <c r="H593" s="476" t="s">
        <v>6251</v>
      </c>
      <c r="I593" s="476" t="s">
        <v>836</v>
      </c>
      <c r="J593" s="477">
        <v>13</v>
      </c>
      <c r="K593" s="476" t="s">
        <v>6267</v>
      </c>
      <c r="L593" s="476" t="s">
        <v>6284</v>
      </c>
      <c r="M593" s="476" t="s">
        <v>9</v>
      </c>
      <c r="N593" s="478">
        <v>1</v>
      </c>
      <c r="O593" s="479"/>
      <c r="P593" s="479"/>
      <c r="Q593" s="479"/>
      <c r="R593" s="476"/>
      <c r="S593" s="479">
        <v>0.12234953703703703</v>
      </c>
      <c r="T593" s="479">
        <v>0.18901620370370367</v>
      </c>
      <c r="U593" s="479"/>
      <c r="V593" s="479"/>
      <c r="W593" s="479">
        <v>0.50061342592592595</v>
      </c>
      <c r="X593" s="479">
        <v>0.81222222222222218</v>
      </c>
      <c r="Y593" s="479">
        <v>9.930555555555555E-2</v>
      </c>
      <c r="Z593" s="479">
        <v>0.41875000000000001</v>
      </c>
      <c r="AA593" s="479">
        <v>0.74236111111111114</v>
      </c>
      <c r="AB593" s="476" t="s">
        <v>6289</v>
      </c>
      <c r="AC593" s="478">
        <v>131</v>
      </c>
      <c r="AD593" s="476" t="s">
        <v>119</v>
      </c>
      <c r="AE593" s="476"/>
      <c r="AF593" s="478">
        <v>52.9</v>
      </c>
      <c r="AG593" s="477">
        <v>87.7</v>
      </c>
      <c r="AH593" s="476" t="s">
        <v>973</v>
      </c>
      <c r="AI593" s="476" t="s">
        <v>6330</v>
      </c>
      <c r="AJ593" s="476" t="s">
        <v>6493</v>
      </c>
      <c r="AK593" s="476" t="s">
        <v>6493</v>
      </c>
      <c r="AL593" s="476"/>
      <c r="AM593" s="476"/>
      <c r="AN593" s="476"/>
      <c r="AO593" s="476"/>
      <c r="AP593" s="476"/>
      <c r="AQ593" s="476"/>
      <c r="AR593" s="476"/>
      <c r="AS593" s="476"/>
      <c r="AT593" s="476"/>
      <c r="AU593" s="476"/>
      <c r="AV593" s="476"/>
      <c r="AW593" s="476"/>
      <c r="AX593" s="476"/>
      <c r="AY593" s="476"/>
      <c r="AZ593" s="476"/>
      <c r="BA593" s="476"/>
      <c r="BB593" s="476"/>
      <c r="BC593" s="476"/>
      <c r="BD593" s="476"/>
      <c r="BE593" s="476"/>
      <c r="BF593" s="476"/>
      <c r="BG593" s="476"/>
      <c r="BH593" s="476"/>
      <c r="BI593" s="476"/>
      <c r="BJ593" s="476"/>
      <c r="BK593" s="476"/>
      <c r="BL593" s="480"/>
    </row>
    <row r="594" spans="1:64">
      <c r="A594" s="468">
        <v>44385</v>
      </c>
      <c r="B594" s="473">
        <v>189</v>
      </c>
      <c r="C594" s="473">
        <v>176</v>
      </c>
      <c r="D594" s="470" t="s">
        <v>626</v>
      </c>
      <c r="E594" s="469">
        <v>27</v>
      </c>
      <c r="F594" s="470" t="s">
        <v>6714</v>
      </c>
      <c r="G594" s="469">
        <v>535</v>
      </c>
      <c r="H594" s="470" t="s">
        <v>6251</v>
      </c>
      <c r="I594" s="470" t="s">
        <v>836</v>
      </c>
      <c r="J594" s="469">
        <v>14</v>
      </c>
      <c r="K594" s="470" t="s">
        <v>6268</v>
      </c>
      <c r="L594" s="470" t="s">
        <v>6285</v>
      </c>
      <c r="M594" s="470" t="s">
        <v>9</v>
      </c>
      <c r="N594" s="473">
        <v>1</v>
      </c>
      <c r="O594" s="471"/>
      <c r="P594" s="471"/>
      <c r="Q594" s="471"/>
      <c r="R594" s="470"/>
      <c r="S594" s="471">
        <v>0.12280092592592594</v>
      </c>
      <c r="T594" s="471">
        <v>0.1894675925925926</v>
      </c>
      <c r="U594" s="471"/>
      <c r="V594" s="471"/>
      <c r="W594" s="471">
        <v>0.50071759259259252</v>
      </c>
      <c r="X594" s="471">
        <v>0.81196759259259255</v>
      </c>
      <c r="Y594" s="471">
        <v>0.12708333333333333</v>
      </c>
      <c r="Z594" s="471">
        <v>0.45347222222222222</v>
      </c>
      <c r="AA594" s="471">
        <v>0.78125</v>
      </c>
      <c r="AB594" s="470" t="s">
        <v>6289</v>
      </c>
      <c r="AC594" s="473">
        <v>131</v>
      </c>
      <c r="AD594" s="470" t="s">
        <v>119</v>
      </c>
      <c r="AE594" s="470"/>
      <c r="AF594" s="473">
        <v>44.8</v>
      </c>
      <c r="AG594" s="469">
        <v>77.599999999999994</v>
      </c>
      <c r="AH594" s="470" t="s">
        <v>6290</v>
      </c>
      <c r="AI594" s="470" t="s">
        <v>6331</v>
      </c>
      <c r="AJ594" s="470" t="s">
        <v>6493</v>
      </c>
      <c r="AK594" s="470" t="s">
        <v>6493</v>
      </c>
      <c r="AL594" s="470"/>
      <c r="AM594" s="470"/>
      <c r="AN594" s="470"/>
      <c r="AO594" s="470"/>
      <c r="AP594" s="470"/>
      <c r="AQ594" s="470"/>
      <c r="AR594" s="470"/>
      <c r="AS594" s="470"/>
      <c r="AT594" s="470"/>
      <c r="AU594" s="470"/>
      <c r="AV594" s="470"/>
      <c r="AW594" s="470"/>
      <c r="AX594" s="470"/>
      <c r="AY594" s="470"/>
      <c r="AZ594" s="470"/>
      <c r="BA594" s="470"/>
      <c r="BB594" s="470"/>
      <c r="BC594" s="470"/>
      <c r="BD594" s="470"/>
      <c r="BE594" s="470"/>
      <c r="BF594" s="470"/>
      <c r="BG594" s="470"/>
      <c r="BH594" s="470"/>
      <c r="BI594" s="470"/>
      <c r="BJ594" s="470"/>
      <c r="BK594" s="470"/>
      <c r="BL594" s="474"/>
    </row>
    <row r="595" spans="1:64">
      <c r="A595" s="475">
        <v>44386</v>
      </c>
      <c r="B595" s="478">
        <v>190</v>
      </c>
      <c r="C595" s="478">
        <v>175</v>
      </c>
      <c r="D595" s="476" t="s">
        <v>626</v>
      </c>
      <c r="E595" s="477">
        <v>27</v>
      </c>
      <c r="F595" s="476" t="s">
        <v>100</v>
      </c>
      <c r="G595" s="477">
        <v>535</v>
      </c>
      <c r="H595" s="476" t="s">
        <v>6251</v>
      </c>
      <c r="I595" s="476" t="s">
        <v>836</v>
      </c>
      <c r="J595" s="477">
        <v>15</v>
      </c>
      <c r="K595" s="476" t="s">
        <v>6269</v>
      </c>
      <c r="L595" s="476" t="s">
        <v>6286</v>
      </c>
      <c r="M595" s="476" t="s">
        <v>9</v>
      </c>
      <c r="N595" s="478">
        <v>1</v>
      </c>
      <c r="O595" s="479"/>
      <c r="P595" s="479"/>
      <c r="Q595" s="479"/>
      <c r="R595" s="476"/>
      <c r="S595" s="479">
        <v>0.1232638888888889</v>
      </c>
      <c r="T595" s="479">
        <v>0.18993055555555557</v>
      </c>
      <c r="U595" s="479"/>
      <c r="V595" s="479"/>
      <c r="W595" s="479">
        <v>0.50081018518518516</v>
      </c>
      <c r="X595" s="479">
        <v>0.81170138888888888</v>
      </c>
      <c r="Y595" s="479">
        <v>0.16041666666666668</v>
      </c>
      <c r="Z595" s="479">
        <v>0.48958333333333331</v>
      </c>
      <c r="AA595" s="479">
        <v>0.81736111111111109</v>
      </c>
      <c r="AB595" s="476" t="s">
        <v>6463</v>
      </c>
      <c r="AC595" s="478">
        <v>152</v>
      </c>
      <c r="AD595" s="476" t="s">
        <v>110</v>
      </c>
      <c r="AE595" s="476" t="s">
        <v>6622</v>
      </c>
      <c r="AF595" s="478">
        <v>38</v>
      </c>
      <c r="AG595" s="477">
        <v>68.599999999999994</v>
      </c>
      <c r="AH595" s="476" t="s">
        <v>6315</v>
      </c>
      <c r="AI595" s="476" t="s">
        <v>6332</v>
      </c>
      <c r="AJ595" s="476" t="s">
        <v>874</v>
      </c>
      <c r="AK595" s="476" t="s">
        <v>6493</v>
      </c>
      <c r="AL595" s="476" t="s">
        <v>6789</v>
      </c>
      <c r="AM595" s="476" t="s">
        <v>6346</v>
      </c>
      <c r="AN595" s="476" t="s">
        <v>6940</v>
      </c>
      <c r="AO595" s="476" t="s">
        <v>6345</v>
      </c>
      <c r="AP595" s="476" t="s">
        <v>6900</v>
      </c>
      <c r="AQ595" s="476" t="s">
        <v>6351</v>
      </c>
      <c r="AR595" s="476"/>
      <c r="AS595" s="476"/>
      <c r="AT595" s="476"/>
      <c r="AU595" s="476"/>
      <c r="AV595" s="476"/>
      <c r="AW595" s="476"/>
      <c r="AX595" s="476"/>
      <c r="AY595" s="476"/>
      <c r="AZ595" s="476"/>
      <c r="BA595" s="476"/>
      <c r="BB595" s="476"/>
      <c r="BC595" s="476"/>
      <c r="BD595" s="476"/>
      <c r="BE595" s="476"/>
      <c r="BF595" s="476"/>
      <c r="BG595" s="476"/>
      <c r="BH595" s="476"/>
      <c r="BI595" s="476"/>
      <c r="BJ595" s="476" t="s">
        <v>6393</v>
      </c>
      <c r="BK595" s="476"/>
      <c r="BL595" s="480"/>
    </row>
    <row r="596" spans="1:64">
      <c r="A596" s="468">
        <v>44387</v>
      </c>
      <c r="B596" s="473">
        <v>191</v>
      </c>
      <c r="C596" s="473">
        <v>174</v>
      </c>
      <c r="D596" s="470" t="s">
        <v>626</v>
      </c>
      <c r="E596" s="469">
        <v>27</v>
      </c>
      <c r="F596" s="470" t="s">
        <v>103</v>
      </c>
      <c r="G596" s="469">
        <v>535</v>
      </c>
      <c r="H596" s="470" t="s">
        <v>6251</v>
      </c>
      <c r="I596" s="470" t="s">
        <v>6257</v>
      </c>
      <c r="J596" s="469">
        <v>16</v>
      </c>
      <c r="K596" s="470" t="s">
        <v>6270</v>
      </c>
      <c r="L596" s="470" t="s">
        <v>6287</v>
      </c>
      <c r="M596" s="470" t="s">
        <v>9</v>
      </c>
      <c r="N596" s="473">
        <v>1</v>
      </c>
      <c r="O596" s="471"/>
      <c r="P596" s="471"/>
      <c r="Q596" s="471"/>
      <c r="R596" s="470"/>
      <c r="S596" s="471">
        <v>0.12375000000000001</v>
      </c>
      <c r="T596" s="471">
        <v>0.19041666666666668</v>
      </c>
      <c r="U596" s="471"/>
      <c r="V596" s="471"/>
      <c r="W596" s="471">
        <v>0.50090277777777781</v>
      </c>
      <c r="X596" s="471">
        <v>0.81140046296296298</v>
      </c>
      <c r="Y596" s="471">
        <v>0.1986111111111111</v>
      </c>
      <c r="Z596" s="471">
        <v>0.52500000000000002</v>
      </c>
      <c r="AA596" s="471">
        <v>0.84930555555555554</v>
      </c>
      <c r="AB596" s="470" t="s">
        <v>6463</v>
      </c>
      <c r="AC596" s="473">
        <v>152</v>
      </c>
      <c r="AD596" s="470" t="s">
        <v>110</v>
      </c>
      <c r="AE596" s="470"/>
      <c r="AF596" s="473">
        <v>32.799999999999997</v>
      </c>
      <c r="AG596" s="469">
        <v>61.1</v>
      </c>
      <c r="AH596" s="470" t="s">
        <v>6291</v>
      </c>
      <c r="AI596" s="470" t="s">
        <v>6333</v>
      </c>
      <c r="AJ596" s="470" t="s">
        <v>839</v>
      </c>
      <c r="AK596" s="470" t="s">
        <v>6493</v>
      </c>
      <c r="AL596" s="470" t="s">
        <v>11</v>
      </c>
      <c r="AM596" s="470" t="s">
        <v>6344</v>
      </c>
      <c r="AN596" s="470"/>
      <c r="AO596" s="470"/>
      <c r="AP596" s="470"/>
      <c r="AQ596" s="470"/>
      <c r="AR596" s="470"/>
      <c r="AS596" s="470"/>
      <c r="AT596" s="470"/>
      <c r="AU596" s="470"/>
      <c r="AV596" s="470"/>
      <c r="AW596" s="470"/>
      <c r="AX596" s="470"/>
      <c r="AY596" s="470"/>
      <c r="AZ596" s="470"/>
      <c r="BA596" s="470"/>
      <c r="BB596" s="470"/>
      <c r="BC596" s="470"/>
      <c r="BD596" s="470"/>
      <c r="BE596" s="470"/>
      <c r="BF596" s="470"/>
      <c r="BG596" s="470"/>
      <c r="BH596" s="470"/>
      <c r="BI596" s="470"/>
      <c r="BJ596" s="470" t="s">
        <v>1053</v>
      </c>
      <c r="BK596" s="470"/>
      <c r="BL596" s="474"/>
    </row>
    <row r="597" spans="1:64">
      <c r="A597" s="475">
        <v>44388</v>
      </c>
      <c r="B597" s="478">
        <v>192</v>
      </c>
      <c r="C597" s="478">
        <v>173</v>
      </c>
      <c r="D597" s="476" t="s">
        <v>626</v>
      </c>
      <c r="E597" s="477">
        <v>27</v>
      </c>
      <c r="F597" s="476" t="s">
        <v>106</v>
      </c>
      <c r="G597" s="477">
        <v>535</v>
      </c>
      <c r="H597" s="476" t="s">
        <v>6251</v>
      </c>
      <c r="I597" s="476" t="s">
        <v>6257</v>
      </c>
      <c r="J597" s="477">
        <v>17</v>
      </c>
      <c r="K597" s="476" t="s">
        <v>1034</v>
      </c>
      <c r="L597" s="476" t="s">
        <v>6273</v>
      </c>
      <c r="M597" s="476" t="s">
        <v>9</v>
      </c>
      <c r="N597" s="478">
        <v>1</v>
      </c>
      <c r="O597" s="479"/>
      <c r="P597" s="479"/>
      <c r="Q597" s="479"/>
      <c r="R597" s="476"/>
      <c r="S597" s="479">
        <v>0.1242361111111111</v>
      </c>
      <c r="T597" s="479">
        <v>0.19090277777777778</v>
      </c>
      <c r="U597" s="479"/>
      <c r="V597" s="479"/>
      <c r="W597" s="479">
        <v>0.50099537037037034</v>
      </c>
      <c r="X597" s="479">
        <v>0.81107638888888889</v>
      </c>
      <c r="Y597" s="479">
        <v>0.24166666666666667</v>
      </c>
      <c r="Z597" s="479">
        <v>0.56111111111111112</v>
      </c>
      <c r="AA597" s="479">
        <v>0.87638888888888899</v>
      </c>
      <c r="AB597" s="476" t="s">
        <v>6463</v>
      </c>
      <c r="AC597" s="478">
        <v>152</v>
      </c>
      <c r="AD597" s="476" t="s">
        <v>110</v>
      </c>
      <c r="AE597" s="476"/>
      <c r="AF597" s="478">
        <v>29.4</v>
      </c>
      <c r="AG597" s="477">
        <v>55.2</v>
      </c>
      <c r="AH597" s="476" t="s">
        <v>6292</v>
      </c>
      <c r="AI597" s="476" t="s">
        <v>6334</v>
      </c>
      <c r="AJ597" s="476" t="s">
        <v>839</v>
      </c>
      <c r="AK597" s="476" t="s">
        <v>6493</v>
      </c>
      <c r="AL597" s="476" t="s">
        <v>12</v>
      </c>
      <c r="AM597" s="476" t="s">
        <v>6344</v>
      </c>
      <c r="AN597" s="476" t="s">
        <v>6941</v>
      </c>
      <c r="AO597" s="476" t="s">
        <v>6346</v>
      </c>
      <c r="AP597" s="476" t="s">
        <v>7021</v>
      </c>
      <c r="AQ597" s="476" t="s">
        <v>6346</v>
      </c>
      <c r="AR597" s="476"/>
      <c r="AS597" s="476"/>
      <c r="AT597" s="476"/>
      <c r="AU597" s="476"/>
      <c r="AV597" s="476"/>
      <c r="AW597" s="476"/>
      <c r="AX597" s="476"/>
      <c r="AY597" s="476"/>
      <c r="AZ597" s="476"/>
      <c r="BA597" s="476"/>
      <c r="BB597" s="476"/>
      <c r="BC597" s="476"/>
      <c r="BD597" s="476"/>
      <c r="BE597" s="476"/>
      <c r="BF597" s="476"/>
      <c r="BG597" s="476"/>
      <c r="BH597" s="476"/>
      <c r="BI597" s="476"/>
      <c r="BJ597" s="476" t="s">
        <v>6394</v>
      </c>
      <c r="BK597" s="476"/>
      <c r="BL597" s="480"/>
    </row>
    <row r="598" spans="1:64">
      <c r="A598" s="468">
        <v>44389</v>
      </c>
      <c r="B598" s="473">
        <v>193</v>
      </c>
      <c r="C598" s="473">
        <v>172</v>
      </c>
      <c r="D598" s="470" t="s">
        <v>626</v>
      </c>
      <c r="E598" s="469">
        <v>28</v>
      </c>
      <c r="F598" s="470" t="s">
        <v>88</v>
      </c>
      <c r="G598" s="469">
        <v>535</v>
      </c>
      <c r="H598" s="470" t="s">
        <v>6251</v>
      </c>
      <c r="I598" s="470" t="s">
        <v>6257</v>
      </c>
      <c r="J598" s="469">
        <v>18</v>
      </c>
      <c r="K598" s="470" t="s">
        <v>6258</v>
      </c>
      <c r="L598" s="470" t="s">
        <v>6274</v>
      </c>
      <c r="M598" s="470" t="s">
        <v>9</v>
      </c>
      <c r="N598" s="473">
        <v>1</v>
      </c>
      <c r="O598" s="471"/>
      <c r="P598" s="471"/>
      <c r="Q598" s="471"/>
      <c r="R598" s="470"/>
      <c r="S598" s="471">
        <v>0.12474537037037037</v>
      </c>
      <c r="T598" s="471">
        <v>0.19141203703703705</v>
      </c>
      <c r="U598" s="471"/>
      <c r="V598" s="471"/>
      <c r="W598" s="471">
        <v>0.50107638888888884</v>
      </c>
      <c r="X598" s="471">
        <v>0.81072916666666661</v>
      </c>
      <c r="Y598" s="471">
        <v>0.28680555555555554</v>
      </c>
      <c r="Z598" s="471">
        <v>0.59583333333333333</v>
      </c>
      <c r="AA598" s="471">
        <v>0.9</v>
      </c>
      <c r="AB598" s="470" t="s">
        <v>6463</v>
      </c>
      <c r="AC598" s="473">
        <v>152</v>
      </c>
      <c r="AD598" s="470" t="s">
        <v>110</v>
      </c>
      <c r="AE598" s="470"/>
      <c r="AF598" s="473">
        <v>27.8</v>
      </c>
      <c r="AG598" s="469">
        <v>50.9</v>
      </c>
      <c r="AH598" s="470" t="s">
        <v>6293</v>
      </c>
      <c r="AI598" s="470" t="s">
        <v>6335</v>
      </c>
      <c r="AJ598" s="470" t="s">
        <v>6493</v>
      </c>
      <c r="AK598" s="470" t="s">
        <v>6493</v>
      </c>
      <c r="AL598" s="470"/>
      <c r="AM598" s="470"/>
      <c r="AN598" s="470"/>
      <c r="AO598" s="470"/>
      <c r="AP598" s="470"/>
      <c r="AQ598" s="470"/>
      <c r="AR598" s="470"/>
      <c r="AS598" s="470"/>
      <c r="AT598" s="470"/>
      <c r="AU598" s="470"/>
      <c r="AV598" s="470"/>
      <c r="AW598" s="470"/>
      <c r="AX598" s="470"/>
      <c r="AY598" s="470"/>
      <c r="AZ598" s="470"/>
      <c r="BA598" s="470"/>
      <c r="BB598" s="470"/>
      <c r="BC598" s="470"/>
      <c r="BD598" s="470"/>
      <c r="BE598" s="470"/>
      <c r="BF598" s="470"/>
      <c r="BG598" s="470"/>
      <c r="BH598" s="470"/>
      <c r="BI598" s="470"/>
      <c r="BJ598" s="470"/>
      <c r="BK598" s="470"/>
      <c r="BL598" s="474"/>
    </row>
    <row r="599" spans="1:64">
      <c r="A599" s="475">
        <v>44390</v>
      </c>
      <c r="B599" s="478">
        <v>194</v>
      </c>
      <c r="C599" s="478">
        <v>171</v>
      </c>
      <c r="D599" s="476" t="s">
        <v>626</v>
      </c>
      <c r="E599" s="477">
        <v>28</v>
      </c>
      <c r="F599" s="476" t="s">
        <v>91</v>
      </c>
      <c r="G599" s="477">
        <v>535</v>
      </c>
      <c r="H599" s="476" t="s">
        <v>6251</v>
      </c>
      <c r="I599" s="476" t="s">
        <v>6257</v>
      </c>
      <c r="J599" s="477">
        <v>19</v>
      </c>
      <c r="K599" s="476" t="s">
        <v>6259</v>
      </c>
      <c r="L599" s="476" t="s">
        <v>6275</v>
      </c>
      <c r="M599" s="476" t="s">
        <v>9</v>
      </c>
      <c r="N599" s="478">
        <v>1</v>
      </c>
      <c r="O599" s="479"/>
      <c r="P599" s="479"/>
      <c r="Q599" s="479"/>
      <c r="R599" s="476"/>
      <c r="S599" s="479">
        <v>0.1252662037037037</v>
      </c>
      <c r="T599" s="479">
        <v>0.19193287037037035</v>
      </c>
      <c r="U599" s="479"/>
      <c r="V599" s="479"/>
      <c r="W599" s="479">
        <v>0.50114583333333329</v>
      </c>
      <c r="X599" s="479">
        <v>0.8103703703703703</v>
      </c>
      <c r="Y599" s="479">
        <v>0.33333333333333331</v>
      </c>
      <c r="Z599" s="479">
        <v>0.62986111111111109</v>
      </c>
      <c r="AA599" s="479">
        <v>0.92013888888888884</v>
      </c>
      <c r="AB599" s="476" t="s">
        <v>6463</v>
      </c>
      <c r="AC599" s="478">
        <v>152</v>
      </c>
      <c r="AD599" s="476" t="s">
        <v>110</v>
      </c>
      <c r="AE599" s="476"/>
      <c r="AF599" s="478">
        <v>28</v>
      </c>
      <c r="AG599" s="477">
        <v>48.3</v>
      </c>
      <c r="AH599" s="476" t="s">
        <v>6294</v>
      </c>
      <c r="AI599" s="476" t="s">
        <v>6337</v>
      </c>
      <c r="AJ599" s="476" t="s">
        <v>6493</v>
      </c>
      <c r="AK599" s="476" t="s">
        <v>6493</v>
      </c>
      <c r="AL599" s="476"/>
      <c r="AM599" s="476"/>
      <c r="AN599" s="476"/>
      <c r="AO599" s="476"/>
      <c r="AP599" s="476"/>
      <c r="AQ599" s="476"/>
      <c r="AR599" s="476"/>
      <c r="AS599" s="476"/>
      <c r="AT599" s="476"/>
      <c r="AU599" s="476"/>
      <c r="AV599" s="476"/>
      <c r="AW599" s="476"/>
      <c r="AX599" s="476"/>
      <c r="AY599" s="476"/>
      <c r="AZ599" s="476"/>
      <c r="BA599" s="476"/>
      <c r="BB599" s="476"/>
      <c r="BC599" s="476"/>
      <c r="BD599" s="476"/>
      <c r="BE599" s="476"/>
      <c r="BF599" s="476"/>
      <c r="BG599" s="476"/>
      <c r="BH599" s="476"/>
      <c r="BI599" s="476"/>
      <c r="BJ599" s="476"/>
      <c r="BK599" s="476"/>
      <c r="BL599" s="480"/>
    </row>
    <row r="600" spans="1:64">
      <c r="A600" s="468">
        <v>44391</v>
      </c>
      <c r="B600" s="473">
        <v>195</v>
      </c>
      <c r="C600" s="473">
        <v>170</v>
      </c>
      <c r="D600" s="470" t="s">
        <v>626</v>
      </c>
      <c r="E600" s="469">
        <v>28</v>
      </c>
      <c r="F600" s="470" t="s">
        <v>94</v>
      </c>
      <c r="G600" s="469">
        <v>535</v>
      </c>
      <c r="H600" s="470" t="s">
        <v>6251</v>
      </c>
      <c r="I600" s="470" t="s">
        <v>6257</v>
      </c>
      <c r="J600" s="469">
        <v>20</v>
      </c>
      <c r="K600" s="470" t="s">
        <v>6260</v>
      </c>
      <c r="L600" s="470" t="s">
        <v>6276</v>
      </c>
      <c r="M600" s="470" t="s">
        <v>9</v>
      </c>
      <c r="N600" s="473">
        <v>1</v>
      </c>
      <c r="O600" s="471"/>
      <c r="P600" s="471"/>
      <c r="Q600" s="471"/>
      <c r="R600" s="470"/>
      <c r="S600" s="471">
        <v>0.1257986111111111</v>
      </c>
      <c r="T600" s="471">
        <v>0.19246527777777778</v>
      </c>
      <c r="U600" s="471"/>
      <c r="V600" s="471"/>
      <c r="W600" s="471">
        <v>0.50121527777777775</v>
      </c>
      <c r="X600" s="471">
        <v>0.80997685185185186</v>
      </c>
      <c r="Y600" s="471">
        <v>0.38055555555555554</v>
      </c>
      <c r="Z600" s="471">
        <v>0.66180555555555554</v>
      </c>
      <c r="AA600" s="471">
        <v>0.93888888888888899</v>
      </c>
      <c r="AB600" s="470" t="s">
        <v>6463</v>
      </c>
      <c r="AC600" s="473">
        <v>152</v>
      </c>
      <c r="AD600" s="470" t="s">
        <v>110</v>
      </c>
      <c r="AE600" s="470"/>
      <c r="AF600" s="473">
        <v>30.1</v>
      </c>
      <c r="AG600" s="469">
        <v>47.3</v>
      </c>
      <c r="AH600" s="470" t="s">
        <v>6295</v>
      </c>
      <c r="AI600" s="470" t="s">
        <v>6338</v>
      </c>
      <c r="AJ600" s="470" t="s">
        <v>6493</v>
      </c>
      <c r="AK600" s="470" t="s">
        <v>6493</v>
      </c>
      <c r="AL600" s="470"/>
      <c r="AM600" s="470"/>
      <c r="AN600" s="470"/>
      <c r="AO600" s="470"/>
      <c r="AP600" s="470"/>
      <c r="AQ600" s="470"/>
      <c r="AR600" s="470"/>
      <c r="AS600" s="470"/>
      <c r="AT600" s="470"/>
      <c r="AU600" s="470"/>
      <c r="AV600" s="470"/>
      <c r="AW600" s="470"/>
      <c r="AX600" s="470"/>
      <c r="AY600" s="470"/>
      <c r="AZ600" s="470"/>
      <c r="BA600" s="470"/>
      <c r="BB600" s="470"/>
      <c r="BC600" s="470"/>
      <c r="BD600" s="470"/>
      <c r="BE600" s="470"/>
      <c r="BF600" s="470"/>
      <c r="BG600" s="470"/>
      <c r="BH600" s="470"/>
      <c r="BI600" s="470"/>
      <c r="BJ600" s="470"/>
      <c r="BK600" s="470"/>
      <c r="BL600" s="474"/>
    </row>
    <row r="601" spans="1:64">
      <c r="A601" s="475">
        <v>44392</v>
      </c>
      <c r="B601" s="478">
        <v>196</v>
      </c>
      <c r="C601" s="478">
        <v>169</v>
      </c>
      <c r="D601" s="476" t="s">
        <v>626</v>
      </c>
      <c r="E601" s="477">
        <v>28</v>
      </c>
      <c r="F601" s="476" t="s">
        <v>6714</v>
      </c>
      <c r="G601" s="477">
        <v>535</v>
      </c>
      <c r="H601" s="476" t="s">
        <v>6251</v>
      </c>
      <c r="I601" s="476" t="s">
        <v>6257</v>
      </c>
      <c r="J601" s="477">
        <v>21</v>
      </c>
      <c r="K601" s="476" t="s">
        <v>6261</v>
      </c>
      <c r="L601" s="476" t="s">
        <v>6277</v>
      </c>
      <c r="M601" s="476" t="s">
        <v>9</v>
      </c>
      <c r="N601" s="478">
        <v>1</v>
      </c>
      <c r="O601" s="479"/>
      <c r="P601" s="479"/>
      <c r="Q601" s="479"/>
      <c r="R601" s="476"/>
      <c r="S601" s="479">
        <v>0.12633101851851852</v>
      </c>
      <c r="T601" s="479">
        <v>0.1929976851851852</v>
      </c>
      <c r="U601" s="479"/>
      <c r="V601" s="479"/>
      <c r="W601" s="479">
        <v>0.5012847222222222</v>
      </c>
      <c r="X601" s="479">
        <v>0.80957175925925917</v>
      </c>
      <c r="Y601" s="479">
        <v>0.42777777777777781</v>
      </c>
      <c r="Z601" s="479">
        <v>0.69374999999999998</v>
      </c>
      <c r="AA601" s="479">
        <v>0.95624999999999993</v>
      </c>
      <c r="AB601" s="476" t="s">
        <v>6463</v>
      </c>
      <c r="AC601" s="478">
        <v>152</v>
      </c>
      <c r="AD601" s="476" t="s">
        <v>110</v>
      </c>
      <c r="AE601" s="476"/>
      <c r="AF601" s="478">
        <v>34.1</v>
      </c>
      <c r="AG601" s="477">
        <v>48</v>
      </c>
      <c r="AH601" s="476" t="s">
        <v>6296</v>
      </c>
      <c r="AI601" s="476" t="s">
        <v>6339</v>
      </c>
      <c r="AJ601" s="476" t="s">
        <v>839</v>
      </c>
      <c r="AK601" s="476" t="s">
        <v>6493</v>
      </c>
      <c r="AL601" s="476" t="s">
        <v>6790</v>
      </c>
      <c r="AM601" s="476" t="s">
        <v>6344</v>
      </c>
      <c r="AN601" s="476" t="s">
        <v>6942</v>
      </c>
      <c r="AO601" s="476" t="s">
        <v>6346</v>
      </c>
      <c r="AP601" s="476"/>
      <c r="AQ601" s="476"/>
      <c r="AR601" s="476"/>
      <c r="AS601" s="476"/>
      <c r="AT601" s="476"/>
      <c r="AU601" s="476"/>
      <c r="AV601" s="476"/>
      <c r="AW601" s="476"/>
      <c r="AX601" s="476"/>
      <c r="AY601" s="476"/>
      <c r="AZ601" s="476"/>
      <c r="BA601" s="476"/>
      <c r="BB601" s="476"/>
      <c r="BC601" s="476"/>
      <c r="BD601" s="476"/>
      <c r="BE601" s="476"/>
      <c r="BF601" s="476"/>
      <c r="BG601" s="476"/>
      <c r="BH601" s="476"/>
      <c r="BI601" s="476"/>
      <c r="BJ601" s="476" t="s">
        <v>6431</v>
      </c>
      <c r="BK601" s="476"/>
      <c r="BL601" s="480"/>
    </row>
    <row r="602" spans="1:64">
      <c r="A602" s="468">
        <v>44393</v>
      </c>
      <c r="B602" s="473">
        <v>197</v>
      </c>
      <c r="C602" s="473">
        <v>168</v>
      </c>
      <c r="D602" s="470" t="s">
        <v>626</v>
      </c>
      <c r="E602" s="469">
        <v>28</v>
      </c>
      <c r="F602" s="470" t="s">
        <v>100</v>
      </c>
      <c r="G602" s="469">
        <v>535</v>
      </c>
      <c r="H602" s="470" t="s">
        <v>6251</v>
      </c>
      <c r="I602" s="470" t="s">
        <v>6257</v>
      </c>
      <c r="J602" s="469">
        <v>22</v>
      </c>
      <c r="K602" s="470" t="s">
        <v>6262</v>
      </c>
      <c r="L602" s="470" t="s">
        <v>6278</v>
      </c>
      <c r="M602" s="470" t="s">
        <v>9</v>
      </c>
      <c r="N602" s="473">
        <v>1</v>
      </c>
      <c r="O602" s="471"/>
      <c r="P602" s="471"/>
      <c r="Q602" s="471">
        <v>0.2610763888888889</v>
      </c>
      <c r="R602" s="470" t="s">
        <v>21</v>
      </c>
      <c r="S602" s="471">
        <v>0.12688657407407408</v>
      </c>
      <c r="T602" s="471">
        <v>0.19355324074074076</v>
      </c>
      <c r="U602" s="471"/>
      <c r="V602" s="471"/>
      <c r="W602" s="471">
        <v>0.50134259259259262</v>
      </c>
      <c r="X602" s="471">
        <v>0.80913194444444436</v>
      </c>
      <c r="Y602" s="471">
        <v>0.47569444444444442</v>
      </c>
      <c r="Z602" s="471">
        <v>0.72638888888888886</v>
      </c>
      <c r="AA602" s="471">
        <v>0.97430555555555554</v>
      </c>
      <c r="AB602" s="470" t="s">
        <v>6463</v>
      </c>
      <c r="AC602" s="473">
        <v>152</v>
      </c>
      <c r="AD602" s="470" t="s">
        <v>110</v>
      </c>
      <c r="AE602" s="470"/>
      <c r="AF602" s="473">
        <v>39.9</v>
      </c>
      <c r="AG602" s="469">
        <v>50.4</v>
      </c>
      <c r="AH602" s="470" t="s">
        <v>6297</v>
      </c>
      <c r="AI602" s="470" t="s">
        <v>6340</v>
      </c>
      <c r="AJ602" s="470" t="s">
        <v>6493</v>
      </c>
      <c r="AK602" s="470" t="s">
        <v>6493</v>
      </c>
      <c r="AL602" s="470" t="s">
        <v>6873</v>
      </c>
      <c r="AM602" s="470"/>
      <c r="AN602" s="470"/>
      <c r="AO602" s="470"/>
      <c r="AP602" s="470"/>
      <c r="AQ602" s="470"/>
      <c r="AR602" s="470"/>
      <c r="AS602" s="470"/>
      <c r="AT602" s="470"/>
      <c r="AU602" s="470"/>
      <c r="AV602" s="470"/>
      <c r="AW602" s="470"/>
      <c r="AX602" s="470"/>
      <c r="AY602" s="470"/>
      <c r="AZ602" s="470"/>
      <c r="BA602" s="470"/>
      <c r="BB602" s="470"/>
      <c r="BC602" s="470"/>
      <c r="BD602" s="470"/>
      <c r="BE602" s="470"/>
      <c r="BF602" s="470"/>
      <c r="BG602" s="470"/>
      <c r="BH602" s="470"/>
      <c r="BI602" s="470"/>
      <c r="BJ602" s="470"/>
      <c r="BK602" s="470"/>
      <c r="BL602" s="474"/>
    </row>
    <row r="603" spans="1:64">
      <c r="A603" s="475">
        <v>44394</v>
      </c>
      <c r="B603" s="478">
        <v>198</v>
      </c>
      <c r="C603" s="478">
        <v>167</v>
      </c>
      <c r="D603" s="476" t="s">
        <v>626</v>
      </c>
      <c r="E603" s="477">
        <v>28</v>
      </c>
      <c r="F603" s="476" t="s">
        <v>103</v>
      </c>
      <c r="G603" s="477">
        <v>535</v>
      </c>
      <c r="H603" s="476" t="s">
        <v>6251</v>
      </c>
      <c r="I603" s="476" t="s">
        <v>6257</v>
      </c>
      <c r="J603" s="477">
        <v>23</v>
      </c>
      <c r="K603" s="476" t="s">
        <v>6263</v>
      </c>
      <c r="L603" s="476" t="s">
        <v>6279</v>
      </c>
      <c r="M603" s="476" t="s">
        <v>9</v>
      </c>
      <c r="N603" s="478">
        <v>1</v>
      </c>
      <c r="O603" s="479"/>
      <c r="P603" s="479"/>
      <c r="Q603" s="479"/>
      <c r="R603" s="476"/>
      <c r="S603" s="479">
        <v>0.12744212962962961</v>
      </c>
      <c r="T603" s="479">
        <v>0.19410879629629629</v>
      </c>
      <c r="U603" s="479"/>
      <c r="V603" s="479"/>
      <c r="W603" s="479">
        <v>0.50140046296296303</v>
      </c>
      <c r="X603" s="479">
        <v>0.80868055555555562</v>
      </c>
      <c r="Y603" s="479">
        <v>0.52430555555555558</v>
      </c>
      <c r="Z603" s="479">
        <v>0.7597222222222223</v>
      </c>
      <c r="AA603" s="479">
        <v>0.99375000000000002</v>
      </c>
      <c r="AB603" s="476" t="s">
        <v>6464</v>
      </c>
      <c r="AC603" s="478">
        <v>130</v>
      </c>
      <c r="AD603" s="476" t="s">
        <v>113</v>
      </c>
      <c r="AE603" s="476" t="s">
        <v>6623</v>
      </c>
      <c r="AF603" s="478">
        <v>47.5</v>
      </c>
      <c r="AG603" s="477">
        <v>54.4</v>
      </c>
      <c r="AH603" s="476" t="s">
        <v>6298</v>
      </c>
      <c r="AI603" s="476" t="s">
        <v>974</v>
      </c>
      <c r="AJ603" s="476" t="s">
        <v>6493</v>
      </c>
      <c r="AK603" s="476" t="s">
        <v>6493</v>
      </c>
      <c r="AL603" s="476"/>
      <c r="AM603" s="476"/>
      <c r="AN603" s="476"/>
      <c r="AO603" s="476"/>
      <c r="AP603" s="476"/>
      <c r="AQ603" s="476"/>
      <c r="AR603" s="476"/>
      <c r="AS603" s="476"/>
      <c r="AT603" s="476"/>
      <c r="AU603" s="476"/>
      <c r="AV603" s="476"/>
      <c r="AW603" s="476"/>
      <c r="AX603" s="476"/>
      <c r="AY603" s="476"/>
      <c r="AZ603" s="476"/>
      <c r="BA603" s="476"/>
      <c r="BB603" s="476"/>
      <c r="BC603" s="476"/>
      <c r="BD603" s="476"/>
      <c r="BE603" s="476"/>
      <c r="BF603" s="476"/>
      <c r="BG603" s="476"/>
      <c r="BH603" s="476"/>
      <c r="BI603" s="476"/>
      <c r="BJ603" s="476"/>
      <c r="BK603" s="476"/>
      <c r="BL603" s="480"/>
    </row>
    <row r="604" spans="1:64">
      <c r="A604" s="468">
        <v>44395</v>
      </c>
      <c r="B604" s="473">
        <v>199</v>
      </c>
      <c r="C604" s="473">
        <v>166</v>
      </c>
      <c r="D604" s="470" t="s">
        <v>626</v>
      </c>
      <c r="E604" s="469">
        <v>28</v>
      </c>
      <c r="F604" s="470" t="s">
        <v>106</v>
      </c>
      <c r="G604" s="469">
        <v>535</v>
      </c>
      <c r="H604" s="470" t="s">
        <v>6251</v>
      </c>
      <c r="I604" s="470" t="s">
        <v>6257</v>
      </c>
      <c r="J604" s="469">
        <v>24</v>
      </c>
      <c r="K604" s="470" t="s">
        <v>6264</v>
      </c>
      <c r="L604" s="470" t="s">
        <v>6280</v>
      </c>
      <c r="M604" s="470" t="s">
        <v>9</v>
      </c>
      <c r="N604" s="473">
        <v>1</v>
      </c>
      <c r="O604" s="471"/>
      <c r="P604" s="471"/>
      <c r="Q604" s="471"/>
      <c r="R604" s="470"/>
      <c r="S604" s="471">
        <v>0.12802083333333333</v>
      </c>
      <c r="T604" s="471">
        <v>0.19468750000000001</v>
      </c>
      <c r="U604" s="471"/>
      <c r="V604" s="471"/>
      <c r="W604" s="471">
        <v>0.50144675925925919</v>
      </c>
      <c r="X604" s="471">
        <v>0.80820601851851848</v>
      </c>
      <c r="Y604" s="471">
        <v>0.57500000000000007</v>
      </c>
      <c r="Z604" s="471">
        <v>0.79513888888888884</v>
      </c>
      <c r="AA604" s="471" t="s">
        <v>1107</v>
      </c>
      <c r="AB604" s="470" t="s">
        <v>6464</v>
      </c>
      <c r="AC604" s="473">
        <v>130</v>
      </c>
      <c r="AD604" s="470" t="s">
        <v>113</v>
      </c>
      <c r="AE604" s="470"/>
      <c r="AF604" s="473">
        <v>56.9</v>
      </c>
      <c r="AG604" s="469">
        <v>60.1</v>
      </c>
      <c r="AH604" s="470" t="s">
        <v>6299</v>
      </c>
      <c r="AI604" s="470" t="s">
        <v>6316</v>
      </c>
      <c r="AJ604" s="470" t="s">
        <v>6493</v>
      </c>
      <c r="AK604" s="470" t="s">
        <v>6493</v>
      </c>
      <c r="AL604" s="470"/>
      <c r="AM604" s="470"/>
      <c r="AN604" s="470"/>
      <c r="AO604" s="470"/>
      <c r="AP604" s="470"/>
      <c r="AQ604" s="470"/>
      <c r="AR604" s="470"/>
      <c r="AS604" s="470"/>
      <c r="AT604" s="470"/>
      <c r="AU604" s="470"/>
      <c r="AV604" s="470"/>
      <c r="AW604" s="470"/>
      <c r="AX604" s="470"/>
      <c r="AY604" s="470"/>
      <c r="AZ604" s="470"/>
      <c r="BA604" s="470"/>
      <c r="BB604" s="470"/>
      <c r="BC604" s="470"/>
      <c r="BD604" s="470"/>
      <c r="BE604" s="470"/>
      <c r="BF604" s="470"/>
      <c r="BG604" s="470"/>
      <c r="BH604" s="470"/>
      <c r="BI604" s="470"/>
      <c r="BJ604" s="470"/>
      <c r="BK604" s="470"/>
      <c r="BL604" s="474"/>
    </row>
    <row r="605" spans="1:64">
      <c r="A605" s="475">
        <v>44396</v>
      </c>
      <c r="B605" s="478">
        <v>200</v>
      </c>
      <c r="C605" s="478">
        <v>165</v>
      </c>
      <c r="D605" s="476" t="s">
        <v>626</v>
      </c>
      <c r="E605" s="477">
        <v>29</v>
      </c>
      <c r="F605" s="476" t="s">
        <v>88</v>
      </c>
      <c r="G605" s="477">
        <v>535</v>
      </c>
      <c r="H605" s="476" t="s">
        <v>6251</v>
      </c>
      <c r="I605" s="476" t="s">
        <v>6257</v>
      </c>
      <c r="J605" s="477">
        <v>25</v>
      </c>
      <c r="K605" s="476" t="s">
        <v>6265</v>
      </c>
      <c r="L605" s="476" t="s">
        <v>6281</v>
      </c>
      <c r="M605" s="476" t="s">
        <v>9</v>
      </c>
      <c r="N605" s="478">
        <v>1</v>
      </c>
      <c r="O605" s="479"/>
      <c r="P605" s="479"/>
      <c r="Q605" s="479"/>
      <c r="R605" s="476"/>
      <c r="S605" s="479">
        <v>0.12859953703703705</v>
      </c>
      <c r="T605" s="479">
        <v>0.19526620370370371</v>
      </c>
      <c r="U605" s="479"/>
      <c r="V605" s="479"/>
      <c r="W605" s="479">
        <v>0.50148148148148153</v>
      </c>
      <c r="X605" s="479">
        <v>0.80770833333333336</v>
      </c>
      <c r="Y605" s="479">
        <v>0.62777777777777777</v>
      </c>
      <c r="Z605" s="479">
        <v>0.83472222222222225</v>
      </c>
      <c r="AA605" s="479">
        <v>1.5277777777777777E-2</v>
      </c>
      <c r="AB605" s="476" t="s">
        <v>6464</v>
      </c>
      <c r="AC605" s="478">
        <v>130</v>
      </c>
      <c r="AD605" s="476" t="s">
        <v>113</v>
      </c>
      <c r="AE605" s="476"/>
      <c r="AF605" s="478">
        <v>68</v>
      </c>
      <c r="AG605" s="477">
        <v>67.2</v>
      </c>
      <c r="AH605" s="476" t="s">
        <v>6300</v>
      </c>
      <c r="AI605" s="476" t="s">
        <v>6317</v>
      </c>
      <c r="AJ605" s="476" t="s">
        <v>839</v>
      </c>
      <c r="AK605" s="476" t="s">
        <v>6493</v>
      </c>
      <c r="AL605" s="476" t="s">
        <v>6791</v>
      </c>
      <c r="AM605" s="476" t="s">
        <v>6344</v>
      </c>
      <c r="AN605" s="476"/>
      <c r="AO605" s="476"/>
      <c r="AP605" s="476"/>
      <c r="AQ605" s="476"/>
      <c r="AR605" s="476"/>
      <c r="AS605" s="476"/>
      <c r="AT605" s="476"/>
      <c r="AU605" s="476"/>
      <c r="AV605" s="476"/>
      <c r="AW605" s="476"/>
      <c r="AX605" s="476"/>
      <c r="AY605" s="476"/>
      <c r="AZ605" s="476"/>
      <c r="BA605" s="476"/>
      <c r="BB605" s="476"/>
      <c r="BC605" s="476"/>
      <c r="BD605" s="476"/>
      <c r="BE605" s="476"/>
      <c r="BF605" s="476"/>
      <c r="BG605" s="476"/>
      <c r="BH605" s="476"/>
      <c r="BI605" s="476"/>
      <c r="BJ605" s="476" t="s">
        <v>6432</v>
      </c>
      <c r="BK605" s="476"/>
      <c r="BL605" s="480"/>
    </row>
    <row r="606" spans="1:64">
      <c r="A606" s="468">
        <v>44397</v>
      </c>
      <c r="B606" s="473">
        <v>201</v>
      </c>
      <c r="C606" s="473">
        <v>164</v>
      </c>
      <c r="D606" s="470" t="s">
        <v>626</v>
      </c>
      <c r="E606" s="469">
        <v>29</v>
      </c>
      <c r="F606" s="470" t="s">
        <v>91</v>
      </c>
      <c r="G606" s="469">
        <v>535</v>
      </c>
      <c r="H606" s="470" t="s">
        <v>6251</v>
      </c>
      <c r="I606" s="470" t="s">
        <v>6257</v>
      </c>
      <c r="J606" s="469">
        <v>26</v>
      </c>
      <c r="K606" s="470" t="s">
        <v>6271</v>
      </c>
      <c r="L606" s="470" t="s">
        <v>6282</v>
      </c>
      <c r="M606" s="470" t="s">
        <v>9</v>
      </c>
      <c r="N606" s="473">
        <v>1</v>
      </c>
      <c r="O606" s="471"/>
      <c r="P606" s="471"/>
      <c r="Q606" s="471"/>
      <c r="R606" s="470"/>
      <c r="S606" s="471">
        <v>0.12918981481481481</v>
      </c>
      <c r="T606" s="471">
        <v>0.19585648148148149</v>
      </c>
      <c r="U606" s="471"/>
      <c r="V606" s="471"/>
      <c r="W606" s="471">
        <v>0.50151620370370364</v>
      </c>
      <c r="X606" s="471">
        <v>0.80718749999999995</v>
      </c>
      <c r="Y606" s="471">
        <v>0.68055555555555547</v>
      </c>
      <c r="Z606" s="471">
        <v>0.87708333333333333</v>
      </c>
      <c r="AA606" s="471">
        <v>4.0972222222222222E-2</v>
      </c>
      <c r="AB606" s="470" t="s">
        <v>6464</v>
      </c>
      <c r="AC606" s="473">
        <v>130</v>
      </c>
      <c r="AD606" s="470" t="s">
        <v>113</v>
      </c>
      <c r="AE606" s="470"/>
      <c r="AF606" s="473">
        <v>80.5</v>
      </c>
      <c r="AG606" s="469">
        <v>75.599999999999994</v>
      </c>
      <c r="AH606" s="470" t="s">
        <v>6301</v>
      </c>
      <c r="AI606" s="470" t="s">
        <v>6318</v>
      </c>
      <c r="AJ606" s="470" t="s">
        <v>838</v>
      </c>
      <c r="AK606" s="470" t="s">
        <v>13</v>
      </c>
      <c r="AL606" s="470" t="s">
        <v>6792</v>
      </c>
      <c r="AM606" s="470" t="s">
        <v>6342</v>
      </c>
      <c r="AN606" s="470" t="s">
        <v>6993</v>
      </c>
      <c r="AO606" s="470" t="s">
        <v>6351</v>
      </c>
      <c r="AP606" s="470" t="s">
        <v>7022</v>
      </c>
      <c r="AQ606" s="470" t="s">
        <v>6349</v>
      </c>
      <c r="AR606" s="470"/>
      <c r="AS606" s="470"/>
      <c r="AT606" s="470"/>
      <c r="AU606" s="470"/>
      <c r="AV606" s="470"/>
      <c r="AW606" s="470"/>
      <c r="AX606" s="470"/>
      <c r="AY606" s="470"/>
      <c r="AZ606" s="470"/>
      <c r="BA606" s="470"/>
      <c r="BB606" s="470"/>
      <c r="BC606" s="470"/>
      <c r="BD606" s="470"/>
      <c r="BE606" s="470"/>
      <c r="BF606" s="470"/>
      <c r="BG606" s="470"/>
      <c r="BH606" s="470"/>
      <c r="BI606" s="470"/>
      <c r="BJ606" s="470"/>
      <c r="BK606" s="470" t="s">
        <v>977</v>
      </c>
      <c r="BL606" s="474"/>
    </row>
    <row r="607" spans="1:64">
      <c r="A607" s="475">
        <v>44398</v>
      </c>
      <c r="B607" s="478">
        <v>202</v>
      </c>
      <c r="C607" s="478">
        <v>163</v>
      </c>
      <c r="D607" s="476" t="s">
        <v>626</v>
      </c>
      <c r="E607" s="477">
        <v>29</v>
      </c>
      <c r="F607" s="476" t="s">
        <v>94</v>
      </c>
      <c r="G607" s="477">
        <v>535</v>
      </c>
      <c r="H607" s="476" t="s">
        <v>6251</v>
      </c>
      <c r="I607" s="476" t="s">
        <v>6257</v>
      </c>
      <c r="J607" s="477">
        <v>27</v>
      </c>
      <c r="K607" s="476" t="s">
        <v>6266</v>
      </c>
      <c r="L607" s="476" t="s">
        <v>6283</v>
      </c>
      <c r="M607" s="476" t="s">
        <v>9</v>
      </c>
      <c r="N607" s="478">
        <v>1</v>
      </c>
      <c r="O607" s="479"/>
      <c r="P607" s="479"/>
      <c r="Q607" s="479"/>
      <c r="R607" s="476"/>
      <c r="S607" s="479">
        <v>0.1297800925925926</v>
      </c>
      <c r="T607" s="479">
        <v>0.19644675925925925</v>
      </c>
      <c r="U607" s="479">
        <v>0.19583333333333333</v>
      </c>
      <c r="V607" s="479">
        <v>0.24861111111111112</v>
      </c>
      <c r="W607" s="479">
        <v>0.50155092592592598</v>
      </c>
      <c r="X607" s="479">
        <v>0.80664351851851857</v>
      </c>
      <c r="Y607" s="479">
        <v>0.73055555555555562</v>
      </c>
      <c r="Z607" s="479">
        <v>0.92083333333333339</v>
      </c>
      <c r="AA607" s="479">
        <v>7.3611111111111113E-2</v>
      </c>
      <c r="AB607" s="476" t="s">
        <v>6464</v>
      </c>
      <c r="AC607" s="478">
        <v>130</v>
      </c>
      <c r="AD607" s="476" t="s">
        <v>113</v>
      </c>
      <c r="AE607" s="476"/>
      <c r="AF607" s="478">
        <v>94</v>
      </c>
      <c r="AG607" s="477">
        <v>84.9</v>
      </c>
      <c r="AH607" s="476" t="s">
        <v>6302</v>
      </c>
      <c r="AI607" s="476" t="s">
        <v>6319</v>
      </c>
      <c r="AJ607" s="476" t="s">
        <v>839</v>
      </c>
      <c r="AK607" s="476" t="s">
        <v>6493</v>
      </c>
      <c r="AL607" s="476" t="s">
        <v>6874</v>
      </c>
      <c r="AM607" s="476" t="s">
        <v>6343</v>
      </c>
      <c r="AN607" s="476"/>
      <c r="AO607" s="476"/>
      <c r="AP607" s="476"/>
      <c r="AQ607" s="476"/>
      <c r="AR607" s="476"/>
      <c r="AS607" s="476"/>
      <c r="AT607" s="476"/>
      <c r="AU607" s="476"/>
      <c r="AV607" s="476"/>
      <c r="AW607" s="476"/>
      <c r="AX607" s="476"/>
      <c r="AY607" s="476"/>
      <c r="AZ607" s="476"/>
      <c r="BA607" s="476"/>
      <c r="BB607" s="476"/>
      <c r="BC607" s="476"/>
      <c r="BD607" s="476"/>
      <c r="BE607" s="476"/>
      <c r="BF607" s="476"/>
      <c r="BG607" s="476"/>
      <c r="BH607" s="476"/>
      <c r="BI607" s="476"/>
      <c r="BJ607" s="476"/>
      <c r="BK607" s="476"/>
      <c r="BL607" s="480"/>
    </row>
    <row r="608" spans="1:64">
      <c r="A608" s="468">
        <v>44399</v>
      </c>
      <c r="B608" s="473">
        <v>203</v>
      </c>
      <c r="C608" s="473">
        <v>162</v>
      </c>
      <c r="D608" s="470" t="s">
        <v>626</v>
      </c>
      <c r="E608" s="469">
        <v>29</v>
      </c>
      <c r="F608" s="470" t="s">
        <v>6714</v>
      </c>
      <c r="G608" s="469">
        <v>535</v>
      </c>
      <c r="H608" s="470" t="s">
        <v>6251</v>
      </c>
      <c r="I608" s="470" t="s">
        <v>6257</v>
      </c>
      <c r="J608" s="469">
        <v>29</v>
      </c>
      <c r="K608" s="470" t="s">
        <v>6268</v>
      </c>
      <c r="L608" s="470" t="s">
        <v>6285</v>
      </c>
      <c r="M608" s="470" t="s">
        <v>9</v>
      </c>
      <c r="N608" s="473">
        <v>1</v>
      </c>
      <c r="O608" s="471">
        <v>0.24861111111111112</v>
      </c>
      <c r="P608" s="471">
        <v>0.12847222222222224</v>
      </c>
      <c r="Q608" s="471"/>
      <c r="R608" s="470"/>
      <c r="S608" s="471">
        <v>0.13039351851851852</v>
      </c>
      <c r="T608" s="471">
        <v>0.1970601851851852</v>
      </c>
      <c r="U608" s="471"/>
      <c r="V608" s="471"/>
      <c r="W608" s="471">
        <v>0.50157407407407406</v>
      </c>
      <c r="X608" s="471">
        <v>0.80607638888888899</v>
      </c>
      <c r="Y608" s="471">
        <v>0.77638888888888891</v>
      </c>
      <c r="Z608" s="471">
        <v>0.96597222222222223</v>
      </c>
      <c r="AA608" s="471">
        <v>0.11180555555555556</v>
      </c>
      <c r="AB608" s="470" t="s">
        <v>6464</v>
      </c>
      <c r="AC608" s="473">
        <v>130</v>
      </c>
      <c r="AD608" s="470" t="s">
        <v>113</v>
      </c>
      <c r="AE608" s="470"/>
      <c r="AF608" s="473">
        <v>7.8</v>
      </c>
      <c r="AG608" s="469">
        <v>94.5</v>
      </c>
      <c r="AH608" s="470" t="s">
        <v>6303</v>
      </c>
      <c r="AI608" s="470" t="s">
        <v>6320</v>
      </c>
      <c r="AJ608" s="470" t="s">
        <v>6493</v>
      </c>
      <c r="AK608" s="470" t="s">
        <v>6493</v>
      </c>
      <c r="AL608" s="470" t="s">
        <v>6875</v>
      </c>
      <c r="AM608" s="470"/>
      <c r="AN608" s="470"/>
      <c r="AO608" s="470"/>
      <c r="AP608" s="470"/>
      <c r="AQ608" s="470"/>
      <c r="AR608" s="470"/>
      <c r="AS608" s="470"/>
      <c r="AT608" s="470"/>
      <c r="AU608" s="470"/>
      <c r="AV608" s="470"/>
      <c r="AW608" s="470"/>
      <c r="AX608" s="470"/>
      <c r="AY608" s="470"/>
      <c r="AZ608" s="470"/>
      <c r="BA608" s="470"/>
      <c r="BB608" s="470"/>
      <c r="BC608" s="470"/>
      <c r="BD608" s="470"/>
      <c r="BE608" s="470"/>
      <c r="BF608" s="470"/>
      <c r="BG608" s="470"/>
      <c r="BH608" s="470"/>
      <c r="BI608" s="470"/>
      <c r="BJ608" s="470"/>
      <c r="BK608" s="470"/>
      <c r="BL608" s="474"/>
    </row>
    <row r="609" spans="1:64">
      <c r="A609" s="475">
        <v>44400</v>
      </c>
      <c r="B609" s="478">
        <v>204</v>
      </c>
      <c r="C609" s="478">
        <v>161</v>
      </c>
      <c r="D609" s="476" t="s">
        <v>626</v>
      </c>
      <c r="E609" s="477">
        <v>29</v>
      </c>
      <c r="F609" s="476" t="s">
        <v>100</v>
      </c>
      <c r="G609" s="477">
        <v>535</v>
      </c>
      <c r="H609" s="476" t="s">
        <v>6251</v>
      </c>
      <c r="I609" s="476" t="s">
        <v>6257</v>
      </c>
      <c r="J609" s="477">
        <v>30</v>
      </c>
      <c r="K609" s="476" t="s">
        <v>6272</v>
      </c>
      <c r="L609" s="476" t="s">
        <v>6288</v>
      </c>
      <c r="M609" s="476" t="s">
        <v>9</v>
      </c>
      <c r="N609" s="478">
        <v>1</v>
      </c>
      <c r="O609" s="479"/>
      <c r="P609" s="479"/>
      <c r="Q609" s="479"/>
      <c r="R609" s="476"/>
      <c r="S609" s="479">
        <v>0.13100694444444444</v>
      </c>
      <c r="T609" s="479">
        <v>0.19767361111111112</v>
      </c>
      <c r="U609" s="479"/>
      <c r="V609" s="479"/>
      <c r="W609" s="479">
        <v>0.5015856481481481</v>
      </c>
      <c r="X609" s="479">
        <v>0.80549768518518527</v>
      </c>
      <c r="Y609" s="479">
        <v>0.81388888888888899</v>
      </c>
      <c r="Z609" s="479" t="s">
        <v>1107</v>
      </c>
      <c r="AA609" s="479">
        <v>0.15694444444444444</v>
      </c>
      <c r="AB609" s="476" t="s">
        <v>6462</v>
      </c>
      <c r="AC609" s="478">
        <v>129</v>
      </c>
      <c r="AD609" s="476" t="s">
        <v>116</v>
      </c>
      <c r="AE609" s="476" t="s">
        <v>6624</v>
      </c>
      <c r="AF609" s="478">
        <v>21.1</v>
      </c>
      <c r="AG609" s="477">
        <v>3.6</v>
      </c>
      <c r="AH609" s="476" t="s">
        <v>6305</v>
      </c>
      <c r="AI609" s="476" t="s">
        <v>6321</v>
      </c>
      <c r="AJ609" s="476" t="s">
        <v>839</v>
      </c>
      <c r="AK609" s="476" t="s">
        <v>6493</v>
      </c>
      <c r="AL609" s="476" t="s">
        <v>1236</v>
      </c>
      <c r="AM609" s="476" t="s">
        <v>6344</v>
      </c>
      <c r="AN609" s="476" t="s">
        <v>6944</v>
      </c>
      <c r="AO609" s="476" t="s">
        <v>6346</v>
      </c>
      <c r="AP609" s="476" t="s">
        <v>7023</v>
      </c>
      <c r="AQ609" s="476" t="s">
        <v>6349</v>
      </c>
      <c r="AR609" s="476" t="s">
        <v>7059</v>
      </c>
      <c r="AS609" s="476"/>
      <c r="AT609" s="476"/>
      <c r="AU609" s="476"/>
      <c r="AV609" s="476"/>
      <c r="AW609" s="476"/>
      <c r="AX609" s="476"/>
      <c r="AY609" s="476"/>
      <c r="AZ609" s="476"/>
      <c r="BA609" s="476"/>
      <c r="BB609" s="476"/>
      <c r="BC609" s="476"/>
      <c r="BD609" s="476"/>
      <c r="BE609" s="476"/>
      <c r="BF609" s="476"/>
      <c r="BG609" s="476"/>
      <c r="BH609" s="476"/>
      <c r="BI609" s="476"/>
      <c r="BJ609" s="476" t="s">
        <v>6395</v>
      </c>
      <c r="BK609" s="476" t="s">
        <v>978</v>
      </c>
      <c r="BL609" s="480"/>
    </row>
    <row r="610" spans="1:64">
      <c r="A610" s="468">
        <v>44401</v>
      </c>
      <c r="B610" s="473">
        <v>205</v>
      </c>
      <c r="C610" s="473">
        <v>160</v>
      </c>
      <c r="D610" s="470" t="s">
        <v>626</v>
      </c>
      <c r="E610" s="469">
        <v>29</v>
      </c>
      <c r="F610" s="470" t="s">
        <v>103</v>
      </c>
      <c r="G610" s="469">
        <v>535</v>
      </c>
      <c r="H610" s="470" t="s">
        <v>6252</v>
      </c>
      <c r="I610" s="470" t="s">
        <v>836</v>
      </c>
      <c r="J610" s="469">
        <v>1</v>
      </c>
      <c r="K610" s="470" t="s">
        <v>6270</v>
      </c>
      <c r="L610" s="470" t="s">
        <v>6287</v>
      </c>
      <c r="M610" s="470" t="s">
        <v>9</v>
      </c>
      <c r="N610" s="473">
        <v>1</v>
      </c>
      <c r="O610" s="471"/>
      <c r="P610" s="471"/>
      <c r="Q610" s="471"/>
      <c r="R610" s="470"/>
      <c r="S610" s="471">
        <v>0.13162037037037036</v>
      </c>
      <c r="T610" s="471">
        <v>0.19828703703703701</v>
      </c>
      <c r="U610" s="471"/>
      <c r="V610" s="471"/>
      <c r="W610" s="471">
        <v>0.50159722222222225</v>
      </c>
      <c r="X610" s="471">
        <v>0.80489583333333325</v>
      </c>
      <c r="Y610" s="471">
        <v>0.84375</v>
      </c>
      <c r="Z610" s="471">
        <v>1.0416666666666666E-2</v>
      </c>
      <c r="AA610" s="471">
        <v>0.20694444444444446</v>
      </c>
      <c r="AB610" s="470" t="s">
        <v>6462</v>
      </c>
      <c r="AC610" s="473">
        <v>129</v>
      </c>
      <c r="AD610" s="470" t="s">
        <v>116</v>
      </c>
      <c r="AE610" s="470"/>
      <c r="AF610" s="473">
        <v>32.9</v>
      </c>
      <c r="AG610" s="469">
        <v>11.5</v>
      </c>
      <c r="AH610" s="470" t="s">
        <v>6306</v>
      </c>
      <c r="AI610" s="470" t="s">
        <v>6322</v>
      </c>
      <c r="AJ610" s="470" t="s">
        <v>839</v>
      </c>
      <c r="AK610" s="470" t="s">
        <v>6493</v>
      </c>
      <c r="AL610" s="470" t="s">
        <v>6795</v>
      </c>
      <c r="AM610" s="470"/>
      <c r="AN610" s="470" t="s">
        <v>6945</v>
      </c>
      <c r="AO610" s="470" t="s">
        <v>6349</v>
      </c>
      <c r="AP610" s="470" t="s">
        <v>7024</v>
      </c>
      <c r="AQ610" s="470"/>
      <c r="AR610" s="470"/>
      <c r="AS610" s="470"/>
      <c r="AT610" s="470"/>
      <c r="AU610" s="470"/>
      <c r="AV610" s="470"/>
      <c r="AW610" s="470"/>
      <c r="AX610" s="470"/>
      <c r="AY610" s="470"/>
      <c r="AZ610" s="470"/>
      <c r="BA610" s="470"/>
      <c r="BB610" s="470"/>
      <c r="BC610" s="470"/>
      <c r="BD610" s="470"/>
      <c r="BE610" s="470"/>
      <c r="BF610" s="470"/>
      <c r="BG610" s="470"/>
      <c r="BH610" s="470"/>
      <c r="BI610" s="470"/>
      <c r="BJ610" s="470"/>
      <c r="BK610" s="470" t="s">
        <v>979</v>
      </c>
      <c r="BL610" s="474"/>
    </row>
    <row r="611" spans="1:64">
      <c r="A611" s="475">
        <v>44402</v>
      </c>
      <c r="B611" s="478">
        <v>206</v>
      </c>
      <c r="C611" s="478">
        <v>159</v>
      </c>
      <c r="D611" s="476" t="s">
        <v>626</v>
      </c>
      <c r="E611" s="477">
        <v>29</v>
      </c>
      <c r="F611" s="476" t="s">
        <v>106</v>
      </c>
      <c r="G611" s="477">
        <v>535</v>
      </c>
      <c r="H611" s="476" t="s">
        <v>6252</v>
      </c>
      <c r="I611" s="476" t="s">
        <v>836</v>
      </c>
      <c r="J611" s="477">
        <v>2</v>
      </c>
      <c r="K611" s="476" t="s">
        <v>1034</v>
      </c>
      <c r="L611" s="476" t="s">
        <v>6273</v>
      </c>
      <c r="M611" s="476" t="s">
        <v>9</v>
      </c>
      <c r="N611" s="478">
        <v>1</v>
      </c>
      <c r="O611" s="479"/>
      <c r="P611" s="479"/>
      <c r="Q611" s="479"/>
      <c r="R611" s="476"/>
      <c r="S611" s="479">
        <v>0.13224537037037037</v>
      </c>
      <c r="T611" s="479">
        <v>0.19891203703703705</v>
      </c>
      <c r="U611" s="479"/>
      <c r="V611" s="479"/>
      <c r="W611" s="479">
        <v>0.50159722222222225</v>
      </c>
      <c r="X611" s="479">
        <v>0.80427083333333327</v>
      </c>
      <c r="Y611" s="479">
        <v>0.86875000000000002</v>
      </c>
      <c r="Z611" s="479">
        <v>5.0694444444444452E-2</v>
      </c>
      <c r="AA611" s="479">
        <v>0.25763888888888892</v>
      </c>
      <c r="AB611" s="476" t="s">
        <v>6462</v>
      </c>
      <c r="AC611" s="478">
        <v>129</v>
      </c>
      <c r="AD611" s="476" t="s">
        <v>116</v>
      </c>
      <c r="AE611" s="476"/>
      <c r="AF611" s="478">
        <v>42.6</v>
      </c>
      <c r="AG611" s="477">
        <v>17.3</v>
      </c>
      <c r="AH611" s="476" t="s">
        <v>6307</v>
      </c>
      <c r="AI611" s="476" t="s">
        <v>6323</v>
      </c>
      <c r="AJ611" s="476" t="s">
        <v>6493</v>
      </c>
      <c r="AK611" s="476" t="s">
        <v>6493</v>
      </c>
      <c r="AL611" s="476"/>
      <c r="AM611" s="476"/>
      <c r="AN611" s="476"/>
      <c r="AO611" s="476"/>
      <c r="AP611" s="476"/>
      <c r="AQ611" s="476"/>
      <c r="AR611" s="476"/>
      <c r="AS611" s="476"/>
      <c r="AT611" s="476"/>
      <c r="AU611" s="476"/>
      <c r="AV611" s="476"/>
      <c r="AW611" s="476"/>
      <c r="AX611" s="476"/>
      <c r="AY611" s="476"/>
      <c r="AZ611" s="476"/>
      <c r="BA611" s="476"/>
      <c r="BB611" s="476"/>
      <c r="BC611" s="476"/>
      <c r="BD611" s="476"/>
      <c r="BE611" s="476"/>
      <c r="BF611" s="476"/>
      <c r="BG611" s="476"/>
      <c r="BH611" s="476"/>
      <c r="BI611" s="476"/>
      <c r="BJ611" s="476"/>
      <c r="BK611" s="476"/>
      <c r="BL611" s="480"/>
    </row>
    <row r="612" spans="1:64">
      <c r="A612" s="468">
        <v>44403</v>
      </c>
      <c r="B612" s="473">
        <v>207</v>
      </c>
      <c r="C612" s="473">
        <v>158</v>
      </c>
      <c r="D612" s="470" t="s">
        <v>626</v>
      </c>
      <c r="E612" s="469">
        <v>30</v>
      </c>
      <c r="F612" s="470" t="s">
        <v>88</v>
      </c>
      <c r="G612" s="469">
        <v>535</v>
      </c>
      <c r="H612" s="470" t="s">
        <v>6252</v>
      </c>
      <c r="I612" s="470" t="s">
        <v>836</v>
      </c>
      <c r="J612" s="469">
        <v>3</v>
      </c>
      <c r="K612" s="470" t="s">
        <v>6258</v>
      </c>
      <c r="L612" s="470" t="s">
        <v>6274</v>
      </c>
      <c r="M612" s="470" t="s">
        <v>9</v>
      </c>
      <c r="N612" s="473">
        <v>1</v>
      </c>
      <c r="O612" s="471"/>
      <c r="P612" s="471"/>
      <c r="Q612" s="471"/>
      <c r="R612" s="470"/>
      <c r="S612" s="471">
        <v>0.13288194444444443</v>
      </c>
      <c r="T612" s="471">
        <v>0.19954861111111111</v>
      </c>
      <c r="U612" s="471"/>
      <c r="V612" s="471"/>
      <c r="W612" s="471">
        <v>0.5015856481481481</v>
      </c>
      <c r="X612" s="471">
        <v>0.80363425925925924</v>
      </c>
      <c r="Y612" s="471">
        <v>0.88888888888888884</v>
      </c>
      <c r="Z612" s="471">
        <v>8.7500000000000008E-2</v>
      </c>
      <c r="AA612" s="471">
        <v>0.30624999999999997</v>
      </c>
      <c r="AB612" s="470" t="s">
        <v>6462</v>
      </c>
      <c r="AC612" s="473">
        <v>129</v>
      </c>
      <c r="AD612" s="470" t="s">
        <v>116</v>
      </c>
      <c r="AE612" s="470"/>
      <c r="AF612" s="473">
        <v>49.3</v>
      </c>
      <c r="AG612" s="469">
        <v>20.5</v>
      </c>
      <c r="AH612" s="470" t="s">
        <v>6308</v>
      </c>
      <c r="AI612" s="470" t="s">
        <v>6324</v>
      </c>
      <c r="AJ612" s="470" t="s">
        <v>6493</v>
      </c>
      <c r="AK612" s="470" t="s">
        <v>6493</v>
      </c>
      <c r="AL612" s="470" t="s">
        <v>762</v>
      </c>
      <c r="AM612" s="470"/>
      <c r="AN612" s="470"/>
      <c r="AO612" s="470"/>
      <c r="AP612" s="470"/>
      <c r="AQ612" s="470"/>
      <c r="AR612" s="470"/>
      <c r="AS612" s="470"/>
      <c r="AT612" s="470"/>
      <c r="AU612" s="470"/>
      <c r="AV612" s="470"/>
      <c r="AW612" s="470"/>
      <c r="AX612" s="470"/>
      <c r="AY612" s="470"/>
      <c r="AZ612" s="470"/>
      <c r="BA612" s="470"/>
      <c r="BB612" s="470"/>
      <c r="BC612" s="470"/>
      <c r="BD612" s="470"/>
      <c r="BE612" s="470"/>
      <c r="BF612" s="470"/>
      <c r="BG612" s="470"/>
      <c r="BH612" s="470"/>
      <c r="BI612" s="470"/>
      <c r="BJ612" s="470"/>
      <c r="BK612" s="470"/>
      <c r="BL612" s="474"/>
    </row>
    <row r="613" spans="1:64">
      <c r="A613" s="475">
        <v>44404</v>
      </c>
      <c r="B613" s="478">
        <v>208</v>
      </c>
      <c r="C613" s="478">
        <v>157</v>
      </c>
      <c r="D613" s="476" t="s">
        <v>626</v>
      </c>
      <c r="E613" s="477">
        <v>30</v>
      </c>
      <c r="F613" s="476" t="s">
        <v>91</v>
      </c>
      <c r="G613" s="477">
        <v>535</v>
      </c>
      <c r="H613" s="476" t="s">
        <v>6252</v>
      </c>
      <c r="I613" s="476" t="s">
        <v>836</v>
      </c>
      <c r="J613" s="477">
        <v>4</v>
      </c>
      <c r="K613" s="476" t="s">
        <v>6259</v>
      </c>
      <c r="L613" s="476" t="s">
        <v>6275</v>
      </c>
      <c r="M613" s="476" t="s">
        <v>9</v>
      </c>
      <c r="N613" s="478">
        <v>1</v>
      </c>
      <c r="O613" s="479"/>
      <c r="P613" s="479"/>
      <c r="Q613" s="479"/>
      <c r="R613" s="476"/>
      <c r="S613" s="479">
        <v>0.13351851851851851</v>
      </c>
      <c r="T613" s="479">
        <v>0.20018518518518516</v>
      </c>
      <c r="U613" s="479"/>
      <c r="V613" s="479"/>
      <c r="W613" s="479">
        <v>0.50157407407407406</v>
      </c>
      <c r="X613" s="479">
        <v>0.80296296296296299</v>
      </c>
      <c r="Y613" s="479">
        <v>0.90763888888888899</v>
      </c>
      <c r="Z613" s="479">
        <v>0.12083333333333333</v>
      </c>
      <c r="AA613" s="479">
        <v>0.35347222222222219</v>
      </c>
      <c r="AB613" s="476" t="s">
        <v>6462</v>
      </c>
      <c r="AC613" s="478">
        <v>129</v>
      </c>
      <c r="AD613" s="476" t="s">
        <v>116</v>
      </c>
      <c r="AE613" s="476"/>
      <c r="AF613" s="478">
        <v>52.8</v>
      </c>
      <c r="AG613" s="477">
        <v>20.9</v>
      </c>
      <c r="AH613" s="476" t="s">
        <v>6309</v>
      </c>
      <c r="AI613" s="476" t="s">
        <v>6325</v>
      </c>
      <c r="AJ613" s="476" t="s">
        <v>6493</v>
      </c>
      <c r="AK613" s="476" t="s">
        <v>6493</v>
      </c>
      <c r="AL613" s="476"/>
      <c r="AM613" s="476"/>
      <c r="AN613" s="476"/>
      <c r="AO613" s="476"/>
      <c r="AP613" s="476"/>
      <c r="AQ613" s="476"/>
      <c r="AR613" s="476"/>
      <c r="AS613" s="476"/>
      <c r="AT613" s="476"/>
      <c r="AU613" s="476"/>
      <c r="AV613" s="476"/>
      <c r="AW613" s="476"/>
      <c r="AX613" s="476"/>
      <c r="AY613" s="476"/>
      <c r="AZ613" s="476"/>
      <c r="BA613" s="476"/>
      <c r="BB613" s="476"/>
      <c r="BC613" s="476"/>
      <c r="BD613" s="476"/>
      <c r="BE613" s="476"/>
      <c r="BF613" s="476"/>
      <c r="BG613" s="476"/>
      <c r="BH613" s="476"/>
      <c r="BI613" s="476"/>
      <c r="BJ613" s="476"/>
      <c r="BK613" s="476"/>
      <c r="BL613" s="480"/>
    </row>
    <row r="614" spans="1:64">
      <c r="A614" s="468">
        <v>44405</v>
      </c>
      <c r="B614" s="473">
        <v>209</v>
      </c>
      <c r="C614" s="473">
        <v>156</v>
      </c>
      <c r="D614" s="470" t="s">
        <v>626</v>
      </c>
      <c r="E614" s="469">
        <v>30</v>
      </c>
      <c r="F614" s="470" t="s">
        <v>94</v>
      </c>
      <c r="G614" s="469">
        <v>535</v>
      </c>
      <c r="H614" s="470" t="s">
        <v>6252</v>
      </c>
      <c r="I614" s="470" t="s">
        <v>836</v>
      </c>
      <c r="J614" s="469">
        <v>5</v>
      </c>
      <c r="K614" s="470" t="s">
        <v>6260</v>
      </c>
      <c r="L614" s="470" t="s">
        <v>6276</v>
      </c>
      <c r="M614" s="470" t="s">
        <v>9</v>
      </c>
      <c r="N614" s="473">
        <v>1</v>
      </c>
      <c r="O614" s="471"/>
      <c r="P614" s="471"/>
      <c r="Q614" s="471"/>
      <c r="R614" s="470"/>
      <c r="S614" s="471">
        <v>0.13416666666666668</v>
      </c>
      <c r="T614" s="471">
        <v>0.20083333333333334</v>
      </c>
      <c r="U614" s="471"/>
      <c r="V614" s="471"/>
      <c r="W614" s="471">
        <v>0.50156250000000002</v>
      </c>
      <c r="X614" s="471">
        <v>0.80229166666666663</v>
      </c>
      <c r="Y614" s="471">
        <v>0.92361111111111116</v>
      </c>
      <c r="Z614" s="471">
        <v>0.15208333333333332</v>
      </c>
      <c r="AA614" s="471">
        <v>0.39861111111111108</v>
      </c>
      <c r="AB614" s="470" t="s">
        <v>6462</v>
      </c>
      <c r="AC614" s="473">
        <v>129</v>
      </c>
      <c r="AD614" s="470" t="s">
        <v>116</v>
      </c>
      <c r="AE614" s="470"/>
      <c r="AF614" s="473">
        <v>53</v>
      </c>
      <c r="AG614" s="469">
        <v>18.2</v>
      </c>
      <c r="AH614" s="470" t="s">
        <v>6310</v>
      </c>
      <c r="AI614" s="470" t="s">
        <v>6326</v>
      </c>
      <c r="AJ614" s="470" t="s">
        <v>839</v>
      </c>
      <c r="AK614" s="470" t="s">
        <v>6493</v>
      </c>
      <c r="AL614" s="470" t="s">
        <v>6796</v>
      </c>
      <c r="AM614" s="470" t="s">
        <v>6346</v>
      </c>
      <c r="AN614" s="470"/>
      <c r="AO614" s="470"/>
      <c r="AP614" s="470"/>
      <c r="AQ614" s="470"/>
      <c r="AR614" s="470"/>
      <c r="AS614" s="470"/>
      <c r="AT614" s="470"/>
      <c r="AU614" s="470"/>
      <c r="AV614" s="470"/>
      <c r="AW614" s="470"/>
      <c r="AX614" s="470"/>
      <c r="AY614" s="470"/>
      <c r="AZ614" s="470"/>
      <c r="BA614" s="470"/>
      <c r="BB614" s="470"/>
      <c r="BC614" s="470"/>
      <c r="BD614" s="470"/>
      <c r="BE614" s="470"/>
      <c r="BF614" s="470"/>
      <c r="BG614" s="470"/>
      <c r="BH614" s="470"/>
      <c r="BI614" s="470"/>
      <c r="BJ614" s="470" t="s">
        <v>6396</v>
      </c>
      <c r="BK614" s="470"/>
      <c r="BL614" s="474"/>
    </row>
    <row r="615" spans="1:64">
      <c r="A615" s="475">
        <v>44406</v>
      </c>
      <c r="B615" s="478">
        <v>210</v>
      </c>
      <c r="C615" s="478">
        <v>155</v>
      </c>
      <c r="D615" s="476" t="s">
        <v>626</v>
      </c>
      <c r="E615" s="477">
        <v>30</v>
      </c>
      <c r="F615" s="476" t="s">
        <v>6714</v>
      </c>
      <c r="G615" s="477">
        <v>535</v>
      </c>
      <c r="H615" s="476" t="s">
        <v>6252</v>
      </c>
      <c r="I615" s="476" t="s">
        <v>836</v>
      </c>
      <c r="J615" s="477">
        <v>6</v>
      </c>
      <c r="K615" s="476" t="s">
        <v>6261</v>
      </c>
      <c r="L615" s="476" t="s">
        <v>6277</v>
      </c>
      <c r="M615" s="476" t="s">
        <v>9</v>
      </c>
      <c r="N615" s="478">
        <v>1</v>
      </c>
      <c r="O615" s="479"/>
      <c r="P615" s="479"/>
      <c r="Q615" s="479"/>
      <c r="R615" s="476"/>
      <c r="S615" s="479">
        <v>0.13480324074074074</v>
      </c>
      <c r="T615" s="479">
        <v>0.20146990740740742</v>
      </c>
      <c r="U615" s="479"/>
      <c r="V615" s="479"/>
      <c r="W615" s="479">
        <v>0.50152777777777779</v>
      </c>
      <c r="X615" s="479">
        <v>0.80158564814814814</v>
      </c>
      <c r="Y615" s="479">
        <v>0.93958333333333333</v>
      </c>
      <c r="Z615" s="479">
        <v>0.18194444444444444</v>
      </c>
      <c r="AA615" s="479">
        <v>0.44166666666666665</v>
      </c>
      <c r="AB615" s="476" t="s">
        <v>6462</v>
      </c>
      <c r="AC615" s="478">
        <v>129</v>
      </c>
      <c r="AD615" s="476" t="s">
        <v>116</v>
      </c>
      <c r="AE615" s="476"/>
      <c r="AF615" s="478">
        <v>50.1</v>
      </c>
      <c r="AG615" s="477">
        <v>12.8</v>
      </c>
      <c r="AH615" s="476" t="s">
        <v>6311</v>
      </c>
      <c r="AI615" s="476" t="s">
        <v>6327</v>
      </c>
      <c r="AJ615" s="476" t="s">
        <v>6493</v>
      </c>
      <c r="AK615" s="476" t="s">
        <v>6493</v>
      </c>
      <c r="AL615" s="476"/>
      <c r="AM615" s="476"/>
      <c r="AN615" s="476"/>
      <c r="AO615" s="476"/>
      <c r="AP615" s="476"/>
      <c r="AQ615" s="476"/>
      <c r="AR615" s="476"/>
      <c r="AS615" s="476"/>
      <c r="AT615" s="476"/>
      <c r="AU615" s="476"/>
      <c r="AV615" s="476"/>
      <c r="AW615" s="476"/>
      <c r="AX615" s="476"/>
      <c r="AY615" s="476"/>
      <c r="AZ615" s="476"/>
      <c r="BA615" s="476"/>
      <c r="BB615" s="476"/>
      <c r="BC615" s="476"/>
      <c r="BD615" s="476"/>
      <c r="BE615" s="476"/>
      <c r="BF615" s="476"/>
      <c r="BG615" s="476"/>
      <c r="BH615" s="476"/>
      <c r="BI615" s="476"/>
      <c r="BJ615" s="476"/>
      <c r="BK615" s="476"/>
      <c r="BL615" s="480"/>
    </row>
    <row r="616" spans="1:64">
      <c r="A616" s="468">
        <v>44407</v>
      </c>
      <c r="B616" s="473">
        <v>211</v>
      </c>
      <c r="C616" s="473">
        <v>154</v>
      </c>
      <c r="D616" s="470" t="s">
        <v>626</v>
      </c>
      <c r="E616" s="469">
        <v>30</v>
      </c>
      <c r="F616" s="470" t="s">
        <v>100</v>
      </c>
      <c r="G616" s="469">
        <v>535</v>
      </c>
      <c r="H616" s="470" t="s">
        <v>6252</v>
      </c>
      <c r="I616" s="470" t="s">
        <v>836</v>
      </c>
      <c r="J616" s="469">
        <v>7</v>
      </c>
      <c r="K616" s="470" t="s">
        <v>6262</v>
      </c>
      <c r="L616" s="470" t="s">
        <v>6278</v>
      </c>
      <c r="M616" s="470" t="s">
        <v>9</v>
      </c>
      <c r="N616" s="473">
        <v>1</v>
      </c>
      <c r="O616" s="471"/>
      <c r="P616" s="471"/>
      <c r="Q616" s="471"/>
      <c r="R616" s="470"/>
      <c r="S616" s="471">
        <v>0.13546296296296298</v>
      </c>
      <c r="T616" s="471">
        <v>0.20212962962962963</v>
      </c>
      <c r="U616" s="471"/>
      <c r="V616" s="471"/>
      <c r="W616" s="471">
        <v>0.50150462962962961</v>
      </c>
      <c r="X616" s="471">
        <v>0.80086805555555562</v>
      </c>
      <c r="Y616" s="471">
        <v>0.9555555555555556</v>
      </c>
      <c r="Z616" s="471">
        <v>0.21041666666666667</v>
      </c>
      <c r="AA616" s="471">
        <v>0.48402777777777778</v>
      </c>
      <c r="AB616" s="470" t="s">
        <v>6462</v>
      </c>
      <c r="AC616" s="473">
        <v>129</v>
      </c>
      <c r="AD616" s="470" t="s">
        <v>116</v>
      </c>
      <c r="AE616" s="470"/>
      <c r="AF616" s="473">
        <v>44.5</v>
      </c>
      <c r="AG616" s="469">
        <v>4.9000000000000004</v>
      </c>
      <c r="AH616" s="470" t="s">
        <v>6312</v>
      </c>
      <c r="AI616" s="470" t="s">
        <v>6328</v>
      </c>
      <c r="AJ616" s="470" t="s">
        <v>6493</v>
      </c>
      <c r="AK616" s="470" t="s">
        <v>6493</v>
      </c>
      <c r="AL616" s="470"/>
      <c r="AM616" s="470"/>
      <c r="AN616" s="470"/>
      <c r="AO616" s="470"/>
      <c r="AP616" s="470"/>
      <c r="AQ616" s="470"/>
      <c r="AR616" s="470"/>
      <c r="AS616" s="470"/>
      <c r="AT616" s="470"/>
      <c r="AU616" s="470"/>
      <c r="AV616" s="470"/>
      <c r="AW616" s="470"/>
      <c r="AX616" s="470"/>
      <c r="AY616" s="470"/>
      <c r="AZ616" s="470"/>
      <c r="BA616" s="470"/>
      <c r="BB616" s="470"/>
      <c r="BC616" s="470"/>
      <c r="BD616" s="470"/>
      <c r="BE616" s="470"/>
      <c r="BF616" s="470"/>
      <c r="BG616" s="470"/>
      <c r="BH616" s="470"/>
      <c r="BI616" s="470"/>
      <c r="BJ616" s="470"/>
      <c r="BK616" s="470"/>
      <c r="BL616" s="474"/>
    </row>
    <row r="617" spans="1:64">
      <c r="A617" s="475">
        <v>44408</v>
      </c>
      <c r="B617" s="478">
        <v>212</v>
      </c>
      <c r="C617" s="478">
        <v>153</v>
      </c>
      <c r="D617" s="476" t="s">
        <v>626</v>
      </c>
      <c r="E617" s="477">
        <v>30</v>
      </c>
      <c r="F617" s="476" t="s">
        <v>103</v>
      </c>
      <c r="G617" s="477">
        <v>535</v>
      </c>
      <c r="H617" s="476" t="s">
        <v>6252</v>
      </c>
      <c r="I617" s="476" t="s">
        <v>836</v>
      </c>
      <c r="J617" s="477">
        <v>8</v>
      </c>
      <c r="K617" s="476" t="s">
        <v>6263</v>
      </c>
      <c r="L617" s="476" t="s">
        <v>6279</v>
      </c>
      <c r="M617" s="476" t="s">
        <v>9</v>
      </c>
      <c r="N617" s="478">
        <v>1</v>
      </c>
      <c r="O617" s="479"/>
      <c r="P617" s="479"/>
      <c r="Q617" s="479"/>
      <c r="R617" s="476"/>
      <c r="S617" s="479">
        <v>0.13612268518518519</v>
      </c>
      <c r="T617" s="479">
        <v>0.20278935185185185</v>
      </c>
      <c r="U617" s="479"/>
      <c r="V617" s="479"/>
      <c r="W617" s="479">
        <v>0.50145833333333334</v>
      </c>
      <c r="X617" s="479">
        <v>0.80013888888888884</v>
      </c>
      <c r="Y617" s="479">
        <v>0.97291666666666676</v>
      </c>
      <c r="Z617" s="479">
        <v>0.23819444444444446</v>
      </c>
      <c r="AA617" s="479">
        <v>0.52638888888888891</v>
      </c>
      <c r="AB617" s="476" t="s">
        <v>6289</v>
      </c>
      <c r="AC617" s="478">
        <v>131</v>
      </c>
      <c r="AD617" s="476" t="s">
        <v>119</v>
      </c>
      <c r="AE617" s="476" t="s">
        <v>6625</v>
      </c>
      <c r="AF617" s="478">
        <v>36.9</v>
      </c>
      <c r="AG617" s="477">
        <v>95.2</v>
      </c>
      <c r="AH617" s="476" t="s">
        <v>6312</v>
      </c>
      <c r="AI617" s="476" t="s">
        <v>6329</v>
      </c>
      <c r="AJ617" s="476" t="s">
        <v>839</v>
      </c>
      <c r="AK617" s="476" t="s">
        <v>6493</v>
      </c>
      <c r="AL617" s="476" t="s">
        <v>6797</v>
      </c>
      <c r="AM617" s="476" t="s">
        <v>6346</v>
      </c>
      <c r="AN617" s="476"/>
      <c r="AO617" s="476"/>
      <c r="AP617" s="476"/>
      <c r="AQ617" s="476"/>
      <c r="AR617" s="476"/>
      <c r="AS617" s="476"/>
      <c r="AT617" s="476"/>
      <c r="AU617" s="476"/>
      <c r="AV617" s="476"/>
      <c r="AW617" s="476"/>
      <c r="AX617" s="476"/>
      <c r="AY617" s="476"/>
      <c r="AZ617" s="476"/>
      <c r="BA617" s="476"/>
      <c r="BB617" s="476"/>
      <c r="BC617" s="476"/>
      <c r="BD617" s="476"/>
      <c r="BE617" s="476"/>
      <c r="BF617" s="476"/>
      <c r="BG617" s="476"/>
      <c r="BH617" s="476"/>
      <c r="BI617" s="476"/>
      <c r="BJ617" s="476" t="s">
        <v>6397</v>
      </c>
      <c r="BK617" s="476"/>
      <c r="BL617" s="480"/>
    </row>
    <row r="618" spans="1:64">
      <c r="A618" s="468">
        <v>44409</v>
      </c>
      <c r="B618" s="473">
        <v>213</v>
      </c>
      <c r="C618" s="473">
        <v>152</v>
      </c>
      <c r="D618" s="470" t="s">
        <v>629</v>
      </c>
      <c r="E618" s="469">
        <v>30</v>
      </c>
      <c r="F618" s="470" t="s">
        <v>106</v>
      </c>
      <c r="G618" s="469">
        <v>535</v>
      </c>
      <c r="H618" s="470" t="s">
        <v>6252</v>
      </c>
      <c r="I618" s="470" t="s">
        <v>836</v>
      </c>
      <c r="J618" s="469">
        <v>9</v>
      </c>
      <c r="K618" s="470" t="s">
        <v>6264</v>
      </c>
      <c r="L618" s="470" t="s">
        <v>6280</v>
      </c>
      <c r="M618" s="470" t="s">
        <v>9</v>
      </c>
      <c r="N618" s="473">
        <v>1</v>
      </c>
      <c r="O618" s="471"/>
      <c r="P618" s="471"/>
      <c r="Q618" s="471"/>
      <c r="R618" s="470"/>
      <c r="S618" s="471">
        <v>0.13678240740740741</v>
      </c>
      <c r="T618" s="471">
        <v>0.20344907407407409</v>
      </c>
      <c r="U618" s="471"/>
      <c r="V618" s="471"/>
      <c r="W618" s="471">
        <v>0.50141203703703707</v>
      </c>
      <c r="X618" s="471">
        <v>0.7993865740740741</v>
      </c>
      <c r="Y618" s="471">
        <v>0.9916666666666667</v>
      </c>
      <c r="Z618" s="471">
        <v>0.26805555555555555</v>
      </c>
      <c r="AA618" s="471">
        <v>0.56874999999999998</v>
      </c>
      <c r="AB618" s="470" t="s">
        <v>6289</v>
      </c>
      <c r="AC618" s="473">
        <v>131</v>
      </c>
      <c r="AD618" s="470" t="s">
        <v>119</v>
      </c>
      <c r="AE618" s="470"/>
      <c r="AF618" s="473">
        <v>27.9</v>
      </c>
      <c r="AG618" s="469">
        <v>84.3</v>
      </c>
      <c r="AH618" s="470" t="s">
        <v>6313</v>
      </c>
      <c r="AI618" s="470" t="s">
        <v>6330</v>
      </c>
      <c r="AJ618" s="470" t="s">
        <v>839</v>
      </c>
      <c r="AK618" s="470" t="s">
        <v>6493</v>
      </c>
      <c r="AL618" s="470" t="s">
        <v>6798</v>
      </c>
      <c r="AM618" s="470" t="s">
        <v>6348</v>
      </c>
      <c r="AN618" s="470"/>
      <c r="AO618" s="470"/>
      <c r="AP618" s="470"/>
      <c r="AQ618" s="470"/>
      <c r="AR618" s="470"/>
      <c r="AS618" s="470"/>
      <c r="AT618" s="470"/>
      <c r="AU618" s="470"/>
      <c r="AV618" s="470"/>
      <c r="AW618" s="470"/>
      <c r="AX618" s="470"/>
      <c r="AY618" s="470"/>
      <c r="AZ618" s="470"/>
      <c r="BA618" s="470"/>
      <c r="BB618" s="470"/>
      <c r="BC618" s="470"/>
      <c r="BD618" s="470"/>
      <c r="BE618" s="470"/>
      <c r="BF618" s="470"/>
      <c r="BG618" s="470"/>
      <c r="BH618" s="470"/>
      <c r="BI618" s="470"/>
      <c r="BJ618" s="470" t="s">
        <v>1004</v>
      </c>
      <c r="BK618" s="470"/>
      <c r="BL618" s="474"/>
    </row>
    <row r="619" spans="1:64">
      <c r="A619" s="475">
        <v>44410</v>
      </c>
      <c r="B619" s="478">
        <v>214</v>
      </c>
      <c r="C619" s="478">
        <v>151</v>
      </c>
      <c r="D619" s="476" t="s">
        <v>629</v>
      </c>
      <c r="E619" s="477">
        <v>31</v>
      </c>
      <c r="F619" s="476" t="s">
        <v>88</v>
      </c>
      <c r="G619" s="477">
        <v>535</v>
      </c>
      <c r="H619" s="476" t="s">
        <v>6252</v>
      </c>
      <c r="I619" s="476" t="s">
        <v>836</v>
      </c>
      <c r="J619" s="477">
        <v>10</v>
      </c>
      <c r="K619" s="476" t="s">
        <v>6265</v>
      </c>
      <c r="L619" s="476" t="s">
        <v>6281</v>
      </c>
      <c r="M619" s="476" t="s">
        <v>9</v>
      </c>
      <c r="N619" s="478">
        <v>1</v>
      </c>
      <c r="O619" s="479"/>
      <c r="P619" s="479"/>
      <c r="Q619" s="479"/>
      <c r="R619" s="476"/>
      <c r="S619" s="479">
        <v>0.13744212962962962</v>
      </c>
      <c r="T619" s="479">
        <v>0.2041087962962963</v>
      </c>
      <c r="U619" s="479"/>
      <c r="V619" s="479"/>
      <c r="W619" s="479">
        <v>0.5013657407407407</v>
      </c>
      <c r="X619" s="479">
        <v>0.79861111111111116</v>
      </c>
      <c r="Y619" s="479" t="s">
        <v>1107</v>
      </c>
      <c r="Z619" s="479">
        <v>0.2986111111111111</v>
      </c>
      <c r="AA619" s="479">
        <v>0.61041666666666672</v>
      </c>
      <c r="AB619" s="476" t="s">
        <v>6289</v>
      </c>
      <c r="AC619" s="478">
        <v>131</v>
      </c>
      <c r="AD619" s="476" t="s">
        <v>119</v>
      </c>
      <c r="AE619" s="476"/>
      <c r="AF619" s="478">
        <v>18.399999999999999</v>
      </c>
      <c r="AG619" s="477">
        <v>72.900000000000006</v>
      </c>
      <c r="AH619" s="476" t="s">
        <v>6314</v>
      </c>
      <c r="AI619" s="476" t="s">
        <v>6331</v>
      </c>
      <c r="AJ619" s="476" t="s">
        <v>6493</v>
      </c>
      <c r="AK619" s="476" t="s">
        <v>6493</v>
      </c>
      <c r="AL619" s="476"/>
      <c r="AM619" s="476"/>
      <c r="AN619" s="476"/>
      <c r="AO619" s="476"/>
      <c r="AP619" s="476"/>
      <c r="AQ619" s="476"/>
      <c r="AR619" s="476"/>
      <c r="AS619" s="476"/>
      <c r="AT619" s="476"/>
      <c r="AU619" s="476"/>
      <c r="AV619" s="476"/>
      <c r="AW619" s="476"/>
      <c r="AX619" s="476"/>
      <c r="AY619" s="476"/>
      <c r="AZ619" s="476"/>
      <c r="BA619" s="476"/>
      <c r="BB619" s="476"/>
      <c r="BC619" s="476"/>
      <c r="BD619" s="476"/>
      <c r="BE619" s="476"/>
      <c r="BF619" s="476"/>
      <c r="BG619" s="476"/>
      <c r="BH619" s="476"/>
      <c r="BI619" s="476"/>
      <c r="BJ619" s="476"/>
      <c r="BK619" s="476"/>
      <c r="BL619" s="480"/>
    </row>
    <row r="620" spans="1:64">
      <c r="A620" s="468">
        <v>44411</v>
      </c>
      <c r="B620" s="473">
        <v>215</v>
      </c>
      <c r="C620" s="473">
        <v>150</v>
      </c>
      <c r="D620" s="470" t="s">
        <v>629</v>
      </c>
      <c r="E620" s="469">
        <v>31</v>
      </c>
      <c r="F620" s="470" t="s">
        <v>91</v>
      </c>
      <c r="G620" s="469">
        <v>535</v>
      </c>
      <c r="H620" s="470" t="s">
        <v>6252</v>
      </c>
      <c r="I620" s="470" t="s">
        <v>836</v>
      </c>
      <c r="J620" s="469">
        <v>11</v>
      </c>
      <c r="K620" s="470" t="s">
        <v>6271</v>
      </c>
      <c r="L620" s="470" t="s">
        <v>6282</v>
      </c>
      <c r="M620" s="470" t="s">
        <v>9</v>
      </c>
      <c r="N620" s="473">
        <v>1</v>
      </c>
      <c r="O620" s="471"/>
      <c r="P620" s="471"/>
      <c r="Q620" s="471"/>
      <c r="R620" s="470"/>
      <c r="S620" s="471">
        <v>0.13810185185185184</v>
      </c>
      <c r="T620" s="471">
        <v>0.20476851851851852</v>
      </c>
      <c r="U620" s="471"/>
      <c r="V620" s="471"/>
      <c r="W620" s="471">
        <v>0.50129629629629624</v>
      </c>
      <c r="X620" s="471">
        <v>0.79782407407407396</v>
      </c>
      <c r="Y620" s="471">
        <v>1.4583333333333332E-2</v>
      </c>
      <c r="Z620" s="471">
        <v>0.33124999999999999</v>
      </c>
      <c r="AA620" s="471">
        <v>0.65277777777777779</v>
      </c>
      <c r="AB620" s="470" t="s">
        <v>6289</v>
      </c>
      <c r="AC620" s="473">
        <v>131</v>
      </c>
      <c r="AD620" s="470" t="s">
        <v>119</v>
      </c>
      <c r="AE620" s="470"/>
      <c r="AF620" s="473">
        <v>9</v>
      </c>
      <c r="AG620" s="469">
        <v>61.6</v>
      </c>
      <c r="AH620" s="470" t="s">
        <v>973</v>
      </c>
      <c r="AI620" s="470" t="s">
        <v>6332</v>
      </c>
      <c r="AJ620" s="470" t="s">
        <v>6493</v>
      </c>
      <c r="AK620" s="470" t="s">
        <v>6493</v>
      </c>
      <c r="AL620" s="470"/>
      <c r="AM620" s="470"/>
      <c r="AN620" s="470"/>
      <c r="AO620" s="470"/>
      <c r="AP620" s="470"/>
      <c r="AQ620" s="470"/>
      <c r="AR620" s="470"/>
      <c r="AS620" s="470"/>
      <c r="AT620" s="470"/>
      <c r="AU620" s="470"/>
      <c r="AV620" s="470"/>
      <c r="AW620" s="470"/>
      <c r="AX620" s="470"/>
      <c r="AY620" s="470"/>
      <c r="AZ620" s="470"/>
      <c r="BA620" s="470"/>
      <c r="BB620" s="470"/>
      <c r="BC620" s="470"/>
      <c r="BD620" s="470"/>
      <c r="BE620" s="470"/>
      <c r="BF620" s="470"/>
      <c r="BG620" s="470"/>
      <c r="BH620" s="470"/>
      <c r="BI620" s="470"/>
      <c r="BJ620" s="470"/>
      <c r="BK620" s="470"/>
      <c r="BL620" s="474"/>
    </row>
    <row r="621" spans="1:64">
      <c r="A621" s="475">
        <v>44412</v>
      </c>
      <c r="B621" s="478">
        <v>216</v>
      </c>
      <c r="C621" s="478">
        <v>149</v>
      </c>
      <c r="D621" s="476" t="s">
        <v>629</v>
      </c>
      <c r="E621" s="477">
        <v>31</v>
      </c>
      <c r="F621" s="476" t="s">
        <v>94</v>
      </c>
      <c r="G621" s="477">
        <v>535</v>
      </c>
      <c r="H621" s="476" t="s">
        <v>6252</v>
      </c>
      <c r="I621" s="476" t="s">
        <v>836</v>
      </c>
      <c r="J621" s="477">
        <v>12</v>
      </c>
      <c r="K621" s="476" t="s">
        <v>6266</v>
      </c>
      <c r="L621" s="476" t="s">
        <v>6282</v>
      </c>
      <c r="M621" s="476" t="s">
        <v>9</v>
      </c>
      <c r="N621" s="478">
        <v>1</v>
      </c>
      <c r="O621" s="479"/>
      <c r="P621" s="479"/>
      <c r="Q621" s="479"/>
      <c r="R621" s="476"/>
      <c r="S621" s="479">
        <v>0.13877314814814815</v>
      </c>
      <c r="T621" s="479">
        <v>0.2054398148148148</v>
      </c>
      <c r="U621" s="479"/>
      <c r="V621" s="479"/>
      <c r="W621" s="479">
        <v>0.50123842592592593</v>
      </c>
      <c r="X621" s="479">
        <v>0.79702546296296306</v>
      </c>
      <c r="Y621" s="479">
        <v>4.0972222222222222E-2</v>
      </c>
      <c r="Z621" s="479">
        <v>0.36527777777777781</v>
      </c>
      <c r="AA621" s="479">
        <v>0.69236111111111109</v>
      </c>
      <c r="AB621" s="476" t="s">
        <v>6289</v>
      </c>
      <c r="AC621" s="478">
        <v>131</v>
      </c>
      <c r="AD621" s="476" t="s">
        <v>119</v>
      </c>
      <c r="AE621" s="476"/>
      <c r="AF621" s="478">
        <v>0.4</v>
      </c>
      <c r="AG621" s="477">
        <v>51.1</v>
      </c>
      <c r="AH621" s="476" t="s">
        <v>6290</v>
      </c>
      <c r="AI621" s="476" t="s">
        <v>6333</v>
      </c>
      <c r="AJ621" s="476" t="s">
        <v>838</v>
      </c>
      <c r="AK621" s="476" t="s">
        <v>13</v>
      </c>
      <c r="AL621" s="476" t="s">
        <v>6876</v>
      </c>
      <c r="AM621" s="476" t="s">
        <v>6342</v>
      </c>
      <c r="AN621" s="476" t="s">
        <v>6799</v>
      </c>
      <c r="AO621" s="476" t="s">
        <v>6342</v>
      </c>
      <c r="AP621" s="476" t="s">
        <v>7047</v>
      </c>
      <c r="AQ621" s="476" t="s">
        <v>6351</v>
      </c>
      <c r="AR621" s="476"/>
      <c r="AS621" s="476"/>
      <c r="AT621" s="476"/>
      <c r="AU621" s="476"/>
      <c r="AV621" s="476"/>
      <c r="AW621" s="476"/>
      <c r="AX621" s="476"/>
      <c r="AY621" s="476"/>
      <c r="AZ621" s="476"/>
      <c r="BA621" s="476"/>
      <c r="BB621" s="476"/>
      <c r="BC621" s="476"/>
      <c r="BD621" s="476"/>
      <c r="BE621" s="476"/>
      <c r="BF621" s="476"/>
      <c r="BG621" s="476"/>
      <c r="BH621" s="476"/>
      <c r="BI621" s="476"/>
      <c r="BJ621" s="476" t="s">
        <v>7100</v>
      </c>
      <c r="BK621" s="476"/>
      <c r="BL621" s="480"/>
    </row>
    <row r="622" spans="1:64">
      <c r="A622" s="468">
        <v>44413</v>
      </c>
      <c r="B622" s="473">
        <v>217</v>
      </c>
      <c r="C622" s="473">
        <v>148</v>
      </c>
      <c r="D622" s="470" t="s">
        <v>629</v>
      </c>
      <c r="E622" s="469">
        <v>31</v>
      </c>
      <c r="F622" s="470" t="s">
        <v>6714</v>
      </c>
      <c r="G622" s="469">
        <v>535</v>
      </c>
      <c r="H622" s="470" t="s">
        <v>6252</v>
      </c>
      <c r="I622" s="470" t="s">
        <v>836</v>
      </c>
      <c r="J622" s="469">
        <v>12</v>
      </c>
      <c r="K622" s="470" t="s">
        <v>6266</v>
      </c>
      <c r="L622" s="470" t="s">
        <v>6283</v>
      </c>
      <c r="M622" s="470" t="s">
        <v>10</v>
      </c>
      <c r="N622" s="473">
        <v>1</v>
      </c>
      <c r="O622" s="471"/>
      <c r="P622" s="471"/>
      <c r="Q622" s="471"/>
      <c r="R622" s="470"/>
      <c r="S622" s="471">
        <v>0.13944444444444445</v>
      </c>
      <c r="T622" s="471">
        <v>0.20611111111111111</v>
      </c>
      <c r="U622" s="471">
        <v>0.20555555555555557</v>
      </c>
      <c r="V622" s="471">
        <v>0.27916666666666667</v>
      </c>
      <c r="W622" s="471">
        <v>0.50115740740740744</v>
      </c>
      <c r="X622" s="471">
        <v>0.79620370370370364</v>
      </c>
      <c r="Y622" s="471">
        <v>7.2222222222222229E-2</v>
      </c>
      <c r="Z622" s="471">
        <v>0.40069444444444446</v>
      </c>
      <c r="AA622" s="471">
        <v>0.72916666666666663</v>
      </c>
      <c r="AB622" s="470" t="s">
        <v>6289</v>
      </c>
      <c r="AC622" s="473">
        <v>131</v>
      </c>
      <c r="AD622" s="470" t="s">
        <v>119</v>
      </c>
      <c r="AE622" s="470"/>
      <c r="AF622" s="473">
        <v>93.2</v>
      </c>
      <c r="AG622" s="469">
        <v>41.8</v>
      </c>
      <c r="AH622" s="470" t="s">
        <v>6315</v>
      </c>
      <c r="AI622" s="470" t="s">
        <v>6334</v>
      </c>
      <c r="AJ622" s="470" t="s">
        <v>839</v>
      </c>
      <c r="AK622" s="470" t="s">
        <v>6493</v>
      </c>
      <c r="AL622" s="470" t="s">
        <v>6877</v>
      </c>
      <c r="AM622" s="470" t="s">
        <v>6343</v>
      </c>
      <c r="AN622" s="470" t="s">
        <v>6727</v>
      </c>
      <c r="AO622" s="470"/>
      <c r="AP622" s="470"/>
      <c r="AQ622" s="470"/>
      <c r="AR622" s="470"/>
      <c r="AS622" s="470"/>
      <c r="AT622" s="470"/>
      <c r="AU622" s="470"/>
      <c r="AV622" s="470"/>
      <c r="AW622" s="470"/>
      <c r="AX622" s="470"/>
      <c r="AY622" s="470"/>
      <c r="AZ622" s="470"/>
      <c r="BA622" s="470"/>
      <c r="BB622" s="470"/>
      <c r="BC622" s="470"/>
      <c r="BD622" s="470"/>
      <c r="BE622" s="470"/>
      <c r="BF622" s="470"/>
      <c r="BG622" s="470"/>
      <c r="BH622" s="470"/>
      <c r="BI622" s="470"/>
      <c r="BJ622" s="470"/>
      <c r="BK622" s="470"/>
      <c r="BL622" s="474"/>
    </row>
    <row r="623" spans="1:64">
      <c r="A623" s="475">
        <v>44414</v>
      </c>
      <c r="B623" s="478">
        <v>218</v>
      </c>
      <c r="C623" s="478">
        <v>147</v>
      </c>
      <c r="D623" s="476" t="s">
        <v>629</v>
      </c>
      <c r="E623" s="477">
        <v>31</v>
      </c>
      <c r="F623" s="476" t="s">
        <v>100</v>
      </c>
      <c r="G623" s="477">
        <v>535</v>
      </c>
      <c r="H623" s="476" t="s">
        <v>6252</v>
      </c>
      <c r="I623" s="476" t="s">
        <v>836</v>
      </c>
      <c r="J623" s="477">
        <v>13</v>
      </c>
      <c r="K623" s="476" t="s">
        <v>6267</v>
      </c>
      <c r="L623" s="476" t="s">
        <v>6284</v>
      </c>
      <c r="M623" s="476" t="s">
        <v>9</v>
      </c>
      <c r="N623" s="478">
        <v>1</v>
      </c>
      <c r="O623" s="479"/>
      <c r="P623" s="479"/>
      <c r="Q623" s="479"/>
      <c r="R623" s="476"/>
      <c r="S623" s="479">
        <v>0.1401273148148148</v>
      </c>
      <c r="T623" s="479">
        <v>0.20679398148148151</v>
      </c>
      <c r="U623" s="479"/>
      <c r="V623" s="479"/>
      <c r="W623" s="479">
        <v>0.50107638888888884</v>
      </c>
      <c r="X623" s="479">
        <v>0.79537037037037039</v>
      </c>
      <c r="Y623" s="479">
        <v>0.10902777777777778</v>
      </c>
      <c r="Z623" s="479">
        <v>0.4368055555555555</v>
      </c>
      <c r="AA623" s="479">
        <v>0.76250000000000007</v>
      </c>
      <c r="AB623" s="476" t="s">
        <v>6289</v>
      </c>
      <c r="AC623" s="478">
        <v>131</v>
      </c>
      <c r="AD623" s="476" t="s">
        <v>119</v>
      </c>
      <c r="AE623" s="476"/>
      <c r="AF623" s="478">
        <v>87.8</v>
      </c>
      <c r="AG623" s="477">
        <v>34.200000000000003</v>
      </c>
      <c r="AH623" s="476" t="s">
        <v>6291</v>
      </c>
      <c r="AI623" s="476" t="s">
        <v>6335</v>
      </c>
      <c r="AJ623" s="476" t="s">
        <v>6493</v>
      </c>
      <c r="AK623" s="476" t="s">
        <v>6493</v>
      </c>
      <c r="AL623" s="476"/>
      <c r="AM623" s="476"/>
      <c r="AN623" s="476"/>
      <c r="AO623" s="476"/>
      <c r="AP623" s="476"/>
      <c r="AQ623" s="476"/>
      <c r="AR623" s="476"/>
      <c r="AS623" s="476"/>
      <c r="AT623" s="476"/>
      <c r="AU623" s="476"/>
      <c r="AV623" s="476"/>
      <c r="AW623" s="476"/>
      <c r="AX623" s="476"/>
      <c r="AY623" s="476"/>
      <c r="AZ623" s="476"/>
      <c r="BA623" s="476"/>
      <c r="BB623" s="476"/>
      <c r="BC623" s="476"/>
      <c r="BD623" s="476"/>
      <c r="BE623" s="476"/>
      <c r="BF623" s="476"/>
      <c r="BG623" s="476"/>
      <c r="BH623" s="476"/>
      <c r="BI623" s="476"/>
      <c r="BJ623" s="476"/>
      <c r="BK623" s="476"/>
      <c r="BL623" s="480"/>
    </row>
    <row r="624" spans="1:64">
      <c r="A624" s="468">
        <v>44415</v>
      </c>
      <c r="B624" s="473">
        <v>219</v>
      </c>
      <c r="C624" s="473">
        <v>146</v>
      </c>
      <c r="D624" s="470" t="s">
        <v>629</v>
      </c>
      <c r="E624" s="469">
        <v>31</v>
      </c>
      <c r="F624" s="470" t="s">
        <v>103</v>
      </c>
      <c r="G624" s="469">
        <v>535</v>
      </c>
      <c r="H624" s="470" t="s">
        <v>6252</v>
      </c>
      <c r="I624" s="470" t="s">
        <v>836</v>
      </c>
      <c r="J624" s="469">
        <v>14</v>
      </c>
      <c r="K624" s="470" t="s">
        <v>6268</v>
      </c>
      <c r="L624" s="470" t="s">
        <v>6285</v>
      </c>
      <c r="M624" s="470" t="s">
        <v>9</v>
      </c>
      <c r="N624" s="473">
        <v>1</v>
      </c>
      <c r="O624" s="471"/>
      <c r="P624" s="471"/>
      <c r="Q624" s="471"/>
      <c r="R624" s="470"/>
      <c r="S624" s="471">
        <v>0.14079861111111111</v>
      </c>
      <c r="T624" s="471">
        <v>0.20746527777777779</v>
      </c>
      <c r="U624" s="471"/>
      <c r="V624" s="471"/>
      <c r="W624" s="471">
        <v>0.50099537037037034</v>
      </c>
      <c r="X624" s="471">
        <v>0.79451388888888885</v>
      </c>
      <c r="Y624" s="471">
        <v>0.15</v>
      </c>
      <c r="Z624" s="471">
        <v>0.47361111111111115</v>
      </c>
      <c r="AA624" s="471">
        <v>0.79166666666666663</v>
      </c>
      <c r="AB624" s="470" t="s">
        <v>6289</v>
      </c>
      <c r="AC624" s="473">
        <v>131</v>
      </c>
      <c r="AD624" s="470" t="s">
        <v>119</v>
      </c>
      <c r="AE624" s="470"/>
      <c r="AF624" s="473">
        <v>84.7</v>
      </c>
      <c r="AG624" s="469">
        <v>28.5</v>
      </c>
      <c r="AH624" s="470" t="s">
        <v>6292</v>
      </c>
      <c r="AI624" s="470" t="s">
        <v>6336</v>
      </c>
      <c r="AJ624" s="470" t="s">
        <v>6493</v>
      </c>
      <c r="AK624" s="470" t="s">
        <v>6493</v>
      </c>
      <c r="AL624" s="470"/>
      <c r="AM624" s="470"/>
      <c r="AN624" s="470"/>
      <c r="AO624" s="470"/>
      <c r="AP624" s="470"/>
      <c r="AQ624" s="470"/>
      <c r="AR624" s="470"/>
      <c r="AS624" s="470"/>
      <c r="AT624" s="470"/>
      <c r="AU624" s="470"/>
      <c r="AV624" s="470"/>
      <c r="AW624" s="470"/>
      <c r="AX624" s="470"/>
      <c r="AY624" s="470"/>
      <c r="AZ624" s="470"/>
      <c r="BA624" s="470"/>
      <c r="BB624" s="470"/>
      <c r="BC624" s="470"/>
      <c r="BD624" s="470"/>
      <c r="BE624" s="470"/>
      <c r="BF624" s="470"/>
      <c r="BG624" s="470"/>
      <c r="BH624" s="470"/>
      <c r="BI624" s="470"/>
      <c r="BJ624" s="470"/>
      <c r="BK624" s="470"/>
      <c r="BL624" s="474"/>
    </row>
    <row r="625" spans="1:64">
      <c r="A625" s="475">
        <v>44416</v>
      </c>
      <c r="B625" s="478">
        <v>220</v>
      </c>
      <c r="C625" s="478">
        <v>145</v>
      </c>
      <c r="D625" s="476" t="s">
        <v>629</v>
      </c>
      <c r="E625" s="477">
        <v>31</v>
      </c>
      <c r="F625" s="476" t="s">
        <v>106</v>
      </c>
      <c r="G625" s="477">
        <v>535</v>
      </c>
      <c r="H625" s="476" t="s">
        <v>6252</v>
      </c>
      <c r="I625" s="476" t="s">
        <v>836</v>
      </c>
      <c r="J625" s="477">
        <v>15</v>
      </c>
      <c r="K625" s="476" t="s">
        <v>6269</v>
      </c>
      <c r="L625" s="476" t="s">
        <v>6286</v>
      </c>
      <c r="M625" s="476" t="s">
        <v>9</v>
      </c>
      <c r="N625" s="478">
        <v>1</v>
      </c>
      <c r="O625" s="479"/>
      <c r="P625" s="479"/>
      <c r="Q625" s="479"/>
      <c r="R625" s="476"/>
      <c r="S625" s="479">
        <v>0.14148148148148149</v>
      </c>
      <c r="T625" s="479">
        <v>0.20814814814814817</v>
      </c>
      <c r="U625" s="479"/>
      <c r="V625" s="479"/>
      <c r="W625" s="479">
        <v>0.50089120370370377</v>
      </c>
      <c r="X625" s="479">
        <v>0.79364583333333327</v>
      </c>
      <c r="Y625" s="479">
        <v>0.19583333333333333</v>
      </c>
      <c r="Z625" s="479">
        <v>0.5083333333333333</v>
      </c>
      <c r="AA625" s="479">
        <v>0.81666666666666676</v>
      </c>
      <c r="AB625" s="476" t="s">
        <v>6463</v>
      </c>
      <c r="AC625" s="478">
        <v>152</v>
      </c>
      <c r="AD625" s="476" t="s">
        <v>110</v>
      </c>
      <c r="AE625" s="476" t="s">
        <v>6626</v>
      </c>
      <c r="AF625" s="478">
        <v>83.8</v>
      </c>
      <c r="AG625" s="477">
        <v>24.9</v>
      </c>
      <c r="AH625" s="476" t="s">
        <v>6293</v>
      </c>
      <c r="AI625" s="476" t="s">
        <v>6337</v>
      </c>
      <c r="AJ625" s="476" t="s">
        <v>6493</v>
      </c>
      <c r="AK625" s="476" t="s">
        <v>6493</v>
      </c>
      <c r="AL625" s="476" t="s">
        <v>808</v>
      </c>
      <c r="AM625" s="476"/>
      <c r="AN625" s="476"/>
      <c r="AO625" s="476"/>
      <c r="AP625" s="476"/>
      <c r="AQ625" s="476"/>
      <c r="AR625" s="476"/>
      <c r="AS625" s="476"/>
      <c r="AT625" s="476"/>
      <c r="AU625" s="476"/>
      <c r="AV625" s="476"/>
      <c r="AW625" s="476"/>
      <c r="AX625" s="476"/>
      <c r="AY625" s="476"/>
      <c r="AZ625" s="476"/>
      <c r="BA625" s="476"/>
      <c r="BB625" s="476"/>
      <c r="BC625" s="476"/>
      <c r="BD625" s="476"/>
      <c r="BE625" s="476"/>
      <c r="BF625" s="476"/>
      <c r="BG625" s="476"/>
      <c r="BH625" s="476"/>
      <c r="BI625" s="476"/>
      <c r="BJ625" s="476"/>
      <c r="BK625" s="476"/>
      <c r="BL625" s="480"/>
    </row>
    <row r="626" spans="1:64">
      <c r="A626" s="468">
        <v>44417</v>
      </c>
      <c r="B626" s="473">
        <v>221</v>
      </c>
      <c r="C626" s="473">
        <v>144</v>
      </c>
      <c r="D626" s="470" t="s">
        <v>629</v>
      </c>
      <c r="E626" s="469">
        <v>32</v>
      </c>
      <c r="F626" s="470" t="s">
        <v>88</v>
      </c>
      <c r="G626" s="469">
        <v>535</v>
      </c>
      <c r="H626" s="470" t="s">
        <v>6252</v>
      </c>
      <c r="I626" s="470" t="s">
        <v>6257</v>
      </c>
      <c r="J626" s="469">
        <v>16</v>
      </c>
      <c r="K626" s="470" t="s">
        <v>6270</v>
      </c>
      <c r="L626" s="470" t="s">
        <v>6287</v>
      </c>
      <c r="M626" s="470" t="s">
        <v>9</v>
      </c>
      <c r="N626" s="473">
        <v>1</v>
      </c>
      <c r="O626" s="471"/>
      <c r="P626" s="471"/>
      <c r="Q626" s="471"/>
      <c r="R626" s="470"/>
      <c r="S626" s="471">
        <v>0.14215277777777777</v>
      </c>
      <c r="T626" s="471">
        <v>0.20881944444444445</v>
      </c>
      <c r="U626" s="471"/>
      <c r="V626" s="471"/>
      <c r="W626" s="471">
        <v>0.50079861111111112</v>
      </c>
      <c r="X626" s="471">
        <v>0.79276620370370365</v>
      </c>
      <c r="Y626" s="471">
        <v>0.24236111111111111</v>
      </c>
      <c r="Z626" s="471">
        <v>0.54305555555555551</v>
      </c>
      <c r="AA626" s="471">
        <v>0.83888888888888891</v>
      </c>
      <c r="AB626" s="470" t="s">
        <v>6463</v>
      </c>
      <c r="AC626" s="473">
        <v>152</v>
      </c>
      <c r="AD626" s="470" t="s">
        <v>110</v>
      </c>
      <c r="AE626" s="470"/>
      <c r="AF626" s="473">
        <v>85.2</v>
      </c>
      <c r="AG626" s="469">
        <v>23.4</v>
      </c>
      <c r="AH626" s="470" t="s">
        <v>6294</v>
      </c>
      <c r="AI626" s="470" t="s">
        <v>6338</v>
      </c>
      <c r="AJ626" s="470" t="s">
        <v>6493</v>
      </c>
      <c r="AK626" s="470" t="s">
        <v>6493</v>
      </c>
      <c r="AL626" s="470"/>
      <c r="AM626" s="470"/>
      <c r="AN626" s="470"/>
      <c r="AO626" s="470"/>
      <c r="AP626" s="470"/>
      <c r="AQ626" s="470"/>
      <c r="AR626" s="470"/>
      <c r="AS626" s="470"/>
      <c r="AT626" s="470"/>
      <c r="AU626" s="470"/>
      <c r="AV626" s="470"/>
      <c r="AW626" s="470"/>
      <c r="AX626" s="470"/>
      <c r="AY626" s="470"/>
      <c r="AZ626" s="470"/>
      <c r="BA626" s="470"/>
      <c r="BB626" s="470"/>
      <c r="BC626" s="470"/>
      <c r="BD626" s="470"/>
      <c r="BE626" s="470"/>
      <c r="BF626" s="470"/>
      <c r="BG626" s="470"/>
      <c r="BH626" s="470"/>
      <c r="BI626" s="470"/>
      <c r="BJ626" s="470"/>
      <c r="BK626" s="470"/>
      <c r="BL626" s="474"/>
    </row>
    <row r="627" spans="1:64">
      <c r="A627" s="475">
        <v>44418</v>
      </c>
      <c r="B627" s="478">
        <v>222</v>
      </c>
      <c r="C627" s="478">
        <v>143</v>
      </c>
      <c r="D627" s="476" t="s">
        <v>629</v>
      </c>
      <c r="E627" s="477">
        <v>32</v>
      </c>
      <c r="F627" s="476" t="s">
        <v>91</v>
      </c>
      <c r="G627" s="477">
        <v>535</v>
      </c>
      <c r="H627" s="476" t="s">
        <v>6252</v>
      </c>
      <c r="I627" s="476" t="s">
        <v>6257</v>
      </c>
      <c r="J627" s="477">
        <v>17</v>
      </c>
      <c r="K627" s="476" t="s">
        <v>1034</v>
      </c>
      <c r="L627" s="476" t="s">
        <v>6273</v>
      </c>
      <c r="M627" s="476" t="s">
        <v>9</v>
      </c>
      <c r="N627" s="478">
        <v>1</v>
      </c>
      <c r="O627" s="479"/>
      <c r="P627" s="479"/>
      <c r="Q627" s="479"/>
      <c r="R627" s="476"/>
      <c r="S627" s="479">
        <v>0.14283564814814814</v>
      </c>
      <c r="T627" s="479">
        <v>0.20950231481481482</v>
      </c>
      <c r="U627" s="479"/>
      <c r="V627" s="479"/>
      <c r="W627" s="479">
        <v>0.5006828703703704</v>
      </c>
      <c r="X627" s="479">
        <v>0.791875</v>
      </c>
      <c r="Y627" s="479">
        <v>0.2902777777777778</v>
      </c>
      <c r="Z627" s="479">
        <v>0.57638888888888895</v>
      </c>
      <c r="AA627" s="479">
        <v>0.85763888888888884</v>
      </c>
      <c r="AB627" s="476" t="s">
        <v>6463</v>
      </c>
      <c r="AC627" s="478">
        <v>152</v>
      </c>
      <c r="AD627" s="476" t="s">
        <v>110</v>
      </c>
      <c r="AE627" s="476"/>
      <c r="AF627" s="478">
        <v>88.6</v>
      </c>
      <c r="AG627" s="477">
        <v>23.7</v>
      </c>
      <c r="AH627" s="476" t="s">
        <v>6295</v>
      </c>
      <c r="AI627" s="476" t="s">
        <v>6339</v>
      </c>
      <c r="AJ627" s="476" t="s">
        <v>6493</v>
      </c>
      <c r="AK627" s="476" t="s">
        <v>6493</v>
      </c>
      <c r="AL627" s="476"/>
      <c r="AM627" s="476"/>
      <c r="AN627" s="476"/>
      <c r="AO627" s="476"/>
      <c r="AP627" s="476"/>
      <c r="AQ627" s="476"/>
      <c r="AR627" s="476"/>
      <c r="AS627" s="476"/>
      <c r="AT627" s="476"/>
      <c r="AU627" s="476"/>
      <c r="AV627" s="476"/>
      <c r="AW627" s="476"/>
      <c r="AX627" s="476"/>
      <c r="AY627" s="476"/>
      <c r="AZ627" s="476"/>
      <c r="BA627" s="476"/>
      <c r="BB627" s="476"/>
      <c r="BC627" s="476"/>
      <c r="BD627" s="476"/>
      <c r="BE627" s="476"/>
      <c r="BF627" s="476"/>
      <c r="BG627" s="476"/>
      <c r="BH627" s="476"/>
      <c r="BI627" s="476"/>
      <c r="BJ627" s="476"/>
      <c r="BK627" s="476"/>
      <c r="BL627" s="480"/>
    </row>
    <row r="628" spans="1:64">
      <c r="A628" s="468">
        <v>44419</v>
      </c>
      <c r="B628" s="473">
        <v>223</v>
      </c>
      <c r="C628" s="473">
        <v>142</v>
      </c>
      <c r="D628" s="470" t="s">
        <v>629</v>
      </c>
      <c r="E628" s="469">
        <v>32</v>
      </c>
      <c r="F628" s="470" t="s">
        <v>94</v>
      </c>
      <c r="G628" s="469">
        <v>535</v>
      </c>
      <c r="H628" s="470" t="s">
        <v>6252</v>
      </c>
      <c r="I628" s="470" t="s">
        <v>6257</v>
      </c>
      <c r="J628" s="469">
        <v>18</v>
      </c>
      <c r="K628" s="470" t="s">
        <v>6258</v>
      </c>
      <c r="L628" s="470" t="s">
        <v>6274</v>
      </c>
      <c r="M628" s="470" t="s">
        <v>9</v>
      </c>
      <c r="N628" s="473">
        <v>1</v>
      </c>
      <c r="O628" s="471"/>
      <c r="P628" s="471"/>
      <c r="Q628" s="471"/>
      <c r="R628" s="470"/>
      <c r="S628" s="471">
        <v>0.14351851851851852</v>
      </c>
      <c r="T628" s="471">
        <v>0.21018518518518517</v>
      </c>
      <c r="U628" s="471"/>
      <c r="V628" s="471"/>
      <c r="W628" s="471">
        <v>0.50057870370370372</v>
      </c>
      <c r="X628" s="471">
        <v>0.79096064814814815</v>
      </c>
      <c r="Y628" s="471">
        <v>0.33819444444444446</v>
      </c>
      <c r="Z628" s="471">
        <v>0.60902777777777783</v>
      </c>
      <c r="AA628" s="471">
        <v>0.87638888888888899</v>
      </c>
      <c r="AB628" s="470" t="s">
        <v>6463</v>
      </c>
      <c r="AC628" s="473">
        <v>152</v>
      </c>
      <c r="AD628" s="470" t="s">
        <v>110</v>
      </c>
      <c r="AE628" s="470"/>
      <c r="AF628" s="473">
        <v>93.9</v>
      </c>
      <c r="AG628" s="469">
        <v>25.6</v>
      </c>
      <c r="AH628" s="470" t="s">
        <v>6296</v>
      </c>
      <c r="AI628" s="470" t="s">
        <v>6340</v>
      </c>
      <c r="AJ628" s="470" t="s">
        <v>6493</v>
      </c>
      <c r="AK628" s="470" t="s">
        <v>6493</v>
      </c>
      <c r="AL628" s="470" t="s">
        <v>764</v>
      </c>
      <c r="AM628" s="470"/>
      <c r="AN628" s="470"/>
      <c r="AO628" s="470"/>
      <c r="AP628" s="470"/>
      <c r="AQ628" s="470"/>
      <c r="AR628" s="470"/>
      <c r="AS628" s="470"/>
      <c r="AT628" s="470"/>
      <c r="AU628" s="470"/>
      <c r="AV628" s="470"/>
      <c r="AW628" s="470"/>
      <c r="AX628" s="470"/>
      <c r="AY628" s="470"/>
      <c r="AZ628" s="470"/>
      <c r="BA628" s="470"/>
      <c r="BB628" s="470"/>
      <c r="BC628" s="470"/>
      <c r="BD628" s="470"/>
      <c r="BE628" s="470"/>
      <c r="BF628" s="470"/>
      <c r="BG628" s="470"/>
      <c r="BH628" s="470"/>
      <c r="BI628" s="470"/>
      <c r="BJ628" s="470"/>
      <c r="BK628" s="470"/>
      <c r="BL628" s="474"/>
    </row>
    <row r="629" spans="1:64">
      <c r="A629" s="475">
        <v>44420</v>
      </c>
      <c r="B629" s="478">
        <v>224</v>
      </c>
      <c r="C629" s="478">
        <v>141</v>
      </c>
      <c r="D629" s="476" t="s">
        <v>629</v>
      </c>
      <c r="E629" s="477">
        <v>32</v>
      </c>
      <c r="F629" s="476" t="s">
        <v>6714</v>
      </c>
      <c r="G629" s="477">
        <v>535</v>
      </c>
      <c r="H629" s="476" t="s">
        <v>6252</v>
      </c>
      <c r="I629" s="476" t="s">
        <v>6257</v>
      </c>
      <c r="J629" s="477">
        <v>20</v>
      </c>
      <c r="K629" s="476" t="s">
        <v>6260</v>
      </c>
      <c r="L629" s="476" t="s">
        <v>6275</v>
      </c>
      <c r="M629" s="476" t="s">
        <v>9</v>
      </c>
      <c r="N629" s="478">
        <v>1</v>
      </c>
      <c r="O629" s="479">
        <v>0.26805555555555555</v>
      </c>
      <c r="P629" s="479">
        <v>0.20625000000000002</v>
      </c>
      <c r="Q629" s="479"/>
      <c r="R629" s="476"/>
      <c r="S629" s="479">
        <v>0.14420138888888889</v>
      </c>
      <c r="T629" s="479">
        <v>0.21086805555555554</v>
      </c>
      <c r="U629" s="479"/>
      <c r="V629" s="479"/>
      <c r="W629" s="479">
        <v>0.50045138888888896</v>
      </c>
      <c r="X629" s="479">
        <v>0.79003472222222226</v>
      </c>
      <c r="Y629" s="479">
        <v>0.38680555555555557</v>
      </c>
      <c r="Z629" s="479">
        <v>0.64166666666666672</v>
      </c>
      <c r="AA629" s="479">
        <v>0.89374999999999993</v>
      </c>
      <c r="AB629" s="476" t="s">
        <v>6463</v>
      </c>
      <c r="AC629" s="478">
        <v>152</v>
      </c>
      <c r="AD629" s="476" t="s">
        <v>110</v>
      </c>
      <c r="AE629" s="476"/>
      <c r="AF629" s="478">
        <v>0.5</v>
      </c>
      <c r="AG629" s="477">
        <v>28.7</v>
      </c>
      <c r="AH629" s="476" t="s">
        <v>6297</v>
      </c>
      <c r="AI629" s="476" t="s">
        <v>974</v>
      </c>
      <c r="AJ629" s="476" t="s">
        <v>839</v>
      </c>
      <c r="AK629" s="476" t="s">
        <v>6493</v>
      </c>
      <c r="AL629" s="476" t="s">
        <v>6801</v>
      </c>
      <c r="AM629" s="476" t="s">
        <v>6346</v>
      </c>
      <c r="AN629" s="476" t="s">
        <v>6947</v>
      </c>
      <c r="AO629" s="476" t="s">
        <v>6345</v>
      </c>
      <c r="AP629" s="476" t="s">
        <v>7048</v>
      </c>
      <c r="AQ629" s="476"/>
      <c r="AR629" s="476"/>
      <c r="AS629" s="476"/>
      <c r="AT629" s="476"/>
      <c r="AU629" s="476"/>
      <c r="AV629" s="476"/>
      <c r="AW629" s="476"/>
      <c r="AX629" s="476"/>
      <c r="AY629" s="476"/>
      <c r="AZ629" s="476"/>
      <c r="BA629" s="476"/>
      <c r="BB629" s="476"/>
      <c r="BC629" s="476"/>
      <c r="BD629" s="476"/>
      <c r="BE629" s="476"/>
      <c r="BF629" s="476"/>
      <c r="BG629" s="476"/>
      <c r="BH629" s="476"/>
      <c r="BI629" s="476"/>
      <c r="BJ629" s="476" t="s">
        <v>6706</v>
      </c>
      <c r="BK629" s="476"/>
      <c r="BL629" s="480"/>
    </row>
    <row r="630" spans="1:64">
      <c r="A630" s="468">
        <v>44421</v>
      </c>
      <c r="B630" s="473">
        <v>225</v>
      </c>
      <c r="C630" s="473">
        <v>140</v>
      </c>
      <c r="D630" s="470" t="s">
        <v>629</v>
      </c>
      <c r="E630" s="469">
        <v>32</v>
      </c>
      <c r="F630" s="470" t="s">
        <v>100</v>
      </c>
      <c r="G630" s="469">
        <v>535</v>
      </c>
      <c r="H630" s="470" t="s">
        <v>6252</v>
      </c>
      <c r="I630" s="470" t="s">
        <v>6257</v>
      </c>
      <c r="J630" s="469">
        <v>21</v>
      </c>
      <c r="K630" s="470" t="s">
        <v>6261</v>
      </c>
      <c r="L630" s="470" t="s">
        <v>6277</v>
      </c>
      <c r="M630" s="470" t="s">
        <v>9</v>
      </c>
      <c r="N630" s="473">
        <v>1</v>
      </c>
      <c r="O630" s="471"/>
      <c r="P630" s="471"/>
      <c r="Q630" s="471"/>
      <c r="R630" s="470"/>
      <c r="S630" s="471">
        <v>0.14488425925925927</v>
      </c>
      <c r="T630" s="471">
        <v>0.21155092592592592</v>
      </c>
      <c r="U630" s="471"/>
      <c r="V630" s="471"/>
      <c r="W630" s="471">
        <v>0.50032407407407409</v>
      </c>
      <c r="X630" s="471">
        <v>0.78910879629629627</v>
      </c>
      <c r="Y630" s="471">
        <v>0.43541666666666662</v>
      </c>
      <c r="Z630" s="471">
        <v>0.67499999999999993</v>
      </c>
      <c r="AA630" s="471">
        <v>0.91249999999999998</v>
      </c>
      <c r="AB630" s="470" t="s">
        <v>6463</v>
      </c>
      <c r="AC630" s="473">
        <v>152</v>
      </c>
      <c r="AD630" s="470" t="s">
        <v>110</v>
      </c>
      <c r="AE630" s="470"/>
      <c r="AF630" s="473">
        <v>8.1999999999999993</v>
      </c>
      <c r="AG630" s="469">
        <v>32.9</v>
      </c>
      <c r="AH630" s="470" t="s">
        <v>6298</v>
      </c>
      <c r="AI630" s="470" t="s">
        <v>6317</v>
      </c>
      <c r="AJ630" s="470" t="s">
        <v>6493</v>
      </c>
      <c r="AK630" s="470" t="s">
        <v>6493</v>
      </c>
      <c r="AL630" s="470"/>
      <c r="AM630" s="470"/>
      <c r="AN630" s="470"/>
      <c r="AO630" s="470"/>
      <c r="AP630" s="470"/>
      <c r="AQ630" s="470"/>
      <c r="AR630" s="470"/>
      <c r="AS630" s="470"/>
      <c r="AT630" s="470"/>
      <c r="AU630" s="470"/>
      <c r="AV630" s="470"/>
      <c r="AW630" s="470"/>
      <c r="AX630" s="470"/>
      <c r="AY630" s="470"/>
      <c r="AZ630" s="470"/>
      <c r="BA630" s="470"/>
      <c r="BB630" s="470"/>
      <c r="BC630" s="470"/>
      <c r="BD630" s="470"/>
      <c r="BE630" s="470"/>
      <c r="BF630" s="470"/>
      <c r="BG630" s="470"/>
      <c r="BH630" s="470"/>
      <c r="BI630" s="470"/>
      <c r="BJ630" s="470"/>
      <c r="BK630" s="470"/>
      <c r="BL630" s="474"/>
    </row>
    <row r="631" spans="1:64">
      <c r="A631" s="475">
        <v>44422</v>
      </c>
      <c r="B631" s="478">
        <v>226</v>
      </c>
      <c r="C631" s="478">
        <v>139</v>
      </c>
      <c r="D631" s="476" t="s">
        <v>629</v>
      </c>
      <c r="E631" s="477">
        <v>32</v>
      </c>
      <c r="F631" s="476" t="s">
        <v>103</v>
      </c>
      <c r="G631" s="477">
        <v>535</v>
      </c>
      <c r="H631" s="476" t="s">
        <v>6252</v>
      </c>
      <c r="I631" s="476" t="s">
        <v>6257</v>
      </c>
      <c r="J631" s="477">
        <v>22</v>
      </c>
      <c r="K631" s="476" t="s">
        <v>6262</v>
      </c>
      <c r="L631" s="476" t="s">
        <v>6278</v>
      </c>
      <c r="M631" s="476" t="s">
        <v>9</v>
      </c>
      <c r="N631" s="478">
        <v>1</v>
      </c>
      <c r="O631" s="479"/>
      <c r="P631" s="479"/>
      <c r="Q631" s="479"/>
      <c r="R631" s="476"/>
      <c r="S631" s="479">
        <v>0.14556712962962962</v>
      </c>
      <c r="T631" s="479">
        <v>0.21223379629629632</v>
      </c>
      <c r="U631" s="479"/>
      <c r="V631" s="479"/>
      <c r="W631" s="479">
        <v>0.50019675925925922</v>
      </c>
      <c r="X631" s="479">
        <v>0.78815972222222219</v>
      </c>
      <c r="Y631" s="479">
        <v>0.48541666666666666</v>
      </c>
      <c r="Z631" s="479">
        <v>0.70972222222222225</v>
      </c>
      <c r="AA631" s="479">
        <v>0.93333333333333324</v>
      </c>
      <c r="AB631" s="476" t="s">
        <v>6463</v>
      </c>
      <c r="AC631" s="478">
        <v>152</v>
      </c>
      <c r="AD631" s="476" t="s">
        <v>110</v>
      </c>
      <c r="AE631" s="476"/>
      <c r="AF631" s="478">
        <v>16.8</v>
      </c>
      <c r="AG631" s="477">
        <v>37.799999999999997</v>
      </c>
      <c r="AH631" s="476" t="s">
        <v>6299</v>
      </c>
      <c r="AI631" s="476" t="s">
        <v>6318</v>
      </c>
      <c r="AJ631" s="476" t="s">
        <v>6493</v>
      </c>
      <c r="AK631" s="476" t="s">
        <v>6493</v>
      </c>
      <c r="AL631" s="476"/>
      <c r="AM631" s="476"/>
      <c r="AN631" s="476"/>
      <c r="AO631" s="476"/>
      <c r="AP631" s="476"/>
      <c r="AQ631" s="476"/>
      <c r="AR631" s="476"/>
      <c r="AS631" s="476"/>
      <c r="AT631" s="476"/>
      <c r="AU631" s="476"/>
      <c r="AV631" s="476"/>
      <c r="AW631" s="476"/>
      <c r="AX631" s="476"/>
      <c r="AY631" s="476"/>
      <c r="AZ631" s="476"/>
      <c r="BA631" s="476"/>
      <c r="BB631" s="476"/>
      <c r="BC631" s="476"/>
      <c r="BD631" s="476"/>
      <c r="BE631" s="476"/>
      <c r="BF631" s="476"/>
      <c r="BG631" s="476"/>
      <c r="BH631" s="476"/>
      <c r="BI631" s="476"/>
      <c r="BJ631" s="476"/>
      <c r="BK631" s="476"/>
      <c r="BL631" s="480"/>
    </row>
    <row r="632" spans="1:64">
      <c r="A632" s="468">
        <v>44423</v>
      </c>
      <c r="B632" s="473">
        <v>227</v>
      </c>
      <c r="C632" s="473">
        <v>138</v>
      </c>
      <c r="D632" s="470" t="s">
        <v>629</v>
      </c>
      <c r="E632" s="469">
        <v>32</v>
      </c>
      <c r="F632" s="470" t="s">
        <v>106</v>
      </c>
      <c r="G632" s="469">
        <v>535</v>
      </c>
      <c r="H632" s="470" t="s">
        <v>6252</v>
      </c>
      <c r="I632" s="470" t="s">
        <v>6257</v>
      </c>
      <c r="J632" s="469">
        <v>23</v>
      </c>
      <c r="K632" s="470" t="s">
        <v>6263</v>
      </c>
      <c r="L632" s="470" t="s">
        <v>6279</v>
      </c>
      <c r="M632" s="470" t="s">
        <v>9</v>
      </c>
      <c r="N632" s="473">
        <v>1</v>
      </c>
      <c r="O632" s="471"/>
      <c r="P632" s="471"/>
      <c r="Q632" s="471"/>
      <c r="R632" s="470"/>
      <c r="S632" s="471">
        <v>0.14624999999999999</v>
      </c>
      <c r="T632" s="471">
        <v>0.21291666666666667</v>
      </c>
      <c r="U632" s="471"/>
      <c r="V632" s="471"/>
      <c r="W632" s="471">
        <v>0.50005787037037031</v>
      </c>
      <c r="X632" s="471">
        <v>0.78719907407407408</v>
      </c>
      <c r="Y632" s="471">
        <v>0.53611111111111109</v>
      </c>
      <c r="Z632" s="471">
        <v>0.74722222222222223</v>
      </c>
      <c r="AA632" s="471">
        <v>0.95694444444444438</v>
      </c>
      <c r="AB632" s="470" t="s">
        <v>6464</v>
      </c>
      <c r="AC632" s="473">
        <v>130</v>
      </c>
      <c r="AD632" s="470" t="s">
        <v>113</v>
      </c>
      <c r="AE632" s="470" t="s">
        <v>6627</v>
      </c>
      <c r="AF632" s="473">
        <v>26.1</v>
      </c>
      <c r="AG632" s="469">
        <v>43.4</v>
      </c>
      <c r="AH632" s="470" t="s">
        <v>6300</v>
      </c>
      <c r="AI632" s="470" t="s">
        <v>6319</v>
      </c>
      <c r="AJ632" s="470" t="s">
        <v>6493</v>
      </c>
      <c r="AK632" s="470" t="s">
        <v>6493</v>
      </c>
      <c r="AL632" s="470"/>
      <c r="AM632" s="470"/>
      <c r="AN632" s="470"/>
      <c r="AO632" s="470"/>
      <c r="AP632" s="470"/>
      <c r="AQ632" s="470"/>
      <c r="AR632" s="470"/>
      <c r="AS632" s="470"/>
      <c r="AT632" s="470"/>
      <c r="AU632" s="470"/>
      <c r="AV632" s="470"/>
      <c r="AW632" s="470"/>
      <c r="AX632" s="470"/>
      <c r="AY632" s="470"/>
      <c r="AZ632" s="470"/>
      <c r="BA632" s="470"/>
      <c r="BB632" s="470"/>
      <c r="BC632" s="470"/>
      <c r="BD632" s="470"/>
      <c r="BE632" s="470"/>
      <c r="BF632" s="470"/>
      <c r="BG632" s="470"/>
      <c r="BH632" s="470"/>
      <c r="BI632" s="470"/>
      <c r="BJ632" s="470"/>
      <c r="BK632" s="470"/>
      <c r="BL632" s="474"/>
    </row>
    <row r="633" spans="1:64">
      <c r="A633" s="475">
        <v>44424</v>
      </c>
      <c r="B633" s="478">
        <v>228</v>
      </c>
      <c r="C633" s="478">
        <v>137</v>
      </c>
      <c r="D633" s="476" t="s">
        <v>629</v>
      </c>
      <c r="E633" s="477">
        <v>33</v>
      </c>
      <c r="F633" s="476" t="s">
        <v>88</v>
      </c>
      <c r="G633" s="477">
        <v>535</v>
      </c>
      <c r="H633" s="476" t="s">
        <v>6252</v>
      </c>
      <c r="I633" s="476" t="s">
        <v>6257</v>
      </c>
      <c r="J633" s="477">
        <v>24</v>
      </c>
      <c r="K633" s="476" t="s">
        <v>6264</v>
      </c>
      <c r="L633" s="476" t="s">
        <v>6280</v>
      </c>
      <c r="M633" s="476" t="s">
        <v>9</v>
      </c>
      <c r="N633" s="478">
        <v>1</v>
      </c>
      <c r="O633" s="479"/>
      <c r="P633" s="479"/>
      <c r="Q633" s="479"/>
      <c r="R633" s="476"/>
      <c r="S633" s="479">
        <v>0.14693287037037037</v>
      </c>
      <c r="T633" s="479">
        <v>0.21359953703703705</v>
      </c>
      <c r="U633" s="479"/>
      <c r="V633" s="479"/>
      <c r="W633" s="479">
        <v>0.49990740740740741</v>
      </c>
      <c r="X633" s="479">
        <v>0.78621527777777767</v>
      </c>
      <c r="Y633" s="479">
        <v>0.58819444444444446</v>
      </c>
      <c r="Z633" s="479">
        <v>0.78680555555555554</v>
      </c>
      <c r="AA633" s="479">
        <v>0.98541666666666661</v>
      </c>
      <c r="AB633" s="476" t="s">
        <v>6464</v>
      </c>
      <c r="AC633" s="478">
        <v>130</v>
      </c>
      <c r="AD633" s="476" t="s">
        <v>113</v>
      </c>
      <c r="AE633" s="476"/>
      <c r="AF633" s="478">
        <v>35.799999999999997</v>
      </c>
      <c r="AG633" s="477">
        <v>49.4</v>
      </c>
      <c r="AH633" s="476" t="s">
        <v>6301</v>
      </c>
      <c r="AI633" s="476" t="s">
        <v>6341</v>
      </c>
      <c r="AJ633" s="476" t="s">
        <v>6493</v>
      </c>
      <c r="AK633" s="476" t="s">
        <v>6493</v>
      </c>
      <c r="AL633" s="476"/>
      <c r="AM633" s="476"/>
      <c r="AN633" s="476"/>
      <c r="AO633" s="476"/>
      <c r="AP633" s="476"/>
      <c r="AQ633" s="476"/>
      <c r="AR633" s="476"/>
      <c r="AS633" s="476"/>
      <c r="AT633" s="476"/>
      <c r="AU633" s="476"/>
      <c r="AV633" s="476"/>
      <c r="AW633" s="476"/>
      <c r="AX633" s="476"/>
      <c r="AY633" s="476"/>
      <c r="AZ633" s="476"/>
      <c r="BA633" s="476"/>
      <c r="BB633" s="476"/>
      <c r="BC633" s="476"/>
      <c r="BD633" s="476"/>
      <c r="BE633" s="476"/>
      <c r="BF633" s="476"/>
      <c r="BG633" s="476"/>
      <c r="BH633" s="476"/>
      <c r="BI633" s="476"/>
      <c r="BJ633" s="476"/>
      <c r="BK633" s="476"/>
      <c r="BL633" s="480"/>
    </row>
    <row r="634" spans="1:64">
      <c r="A634" s="468">
        <v>44425</v>
      </c>
      <c r="B634" s="473">
        <v>229</v>
      </c>
      <c r="C634" s="473">
        <v>136</v>
      </c>
      <c r="D634" s="470" t="s">
        <v>629</v>
      </c>
      <c r="E634" s="469">
        <v>33</v>
      </c>
      <c r="F634" s="470" t="s">
        <v>91</v>
      </c>
      <c r="G634" s="469">
        <v>535</v>
      </c>
      <c r="H634" s="470" t="s">
        <v>6252</v>
      </c>
      <c r="I634" s="470" t="s">
        <v>6257</v>
      </c>
      <c r="J634" s="469">
        <v>25</v>
      </c>
      <c r="K634" s="470" t="s">
        <v>6265</v>
      </c>
      <c r="L634" s="470" t="s">
        <v>6281</v>
      </c>
      <c r="M634" s="470" t="s">
        <v>9</v>
      </c>
      <c r="N634" s="473">
        <v>1</v>
      </c>
      <c r="O634" s="471"/>
      <c r="P634" s="471"/>
      <c r="Q634" s="471">
        <v>0.61181712962962964</v>
      </c>
      <c r="R634" s="470" t="s">
        <v>22</v>
      </c>
      <c r="S634" s="471">
        <v>0.14761574074074074</v>
      </c>
      <c r="T634" s="471">
        <v>0.21428240740740742</v>
      </c>
      <c r="U634" s="471"/>
      <c r="V634" s="471"/>
      <c r="W634" s="471">
        <v>0.49975694444444446</v>
      </c>
      <c r="X634" s="471">
        <v>0.78523148148148147</v>
      </c>
      <c r="Y634" s="471">
        <v>0.6381944444444444</v>
      </c>
      <c r="Z634" s="471">
        <v>0.82986111111111116</v>
      </c>
      <c r="AA634" s="471" t="s">
        <v>1107</v>
      </c>
      <c r="AB634" s="470" t="s">
        <v>6464</v>
      </c>
      <c r="AC634" s="473">
        <v>130</v>
      </c>
      <c r="AD634" s="470" t="s">
        <v>113</v>
      </c>
      <c r="AE634" s="470"/>
      <c r="AF634" s="473">
        <v>46</v>
      </c>
      <c r="AG634" s="469">
        <v>55.8</v>
      </c>
      <c r="AH634" s="470" t="s">
        <v>6302</v>
      </c>
      <c r="AI634" s="470" t="s">
        <v>6320</v>
      </c>
      <c r="AJ634" s="470" t="s">
        <v>839</v>
      </c>
      <c r="AK634" s="470" t="s">
        <v>6493</v>
      </c>
      <c r="AL634" s="470" t="s">
        <v>6802</v>
      </c>
      <c r="AM634" s="470" t="s">
        <v>6349</v>
      </c>
      <c r="AN634" s="470" t="s">
        <v>6994</v>
      </c>
      <c r="AO634" s="470"/>
      <c r="AP634" s="470"/>
      <c r="AQ634" s="470"/>
      <c r="AR634" s="470"/>
      <c r="AS634" s="470"/>
      <c r="AT634" s="470"/>
      <c r="AU634" s="470"/>
      <c r="AV634" s="470"/>
      <c r="AW634" s="470"/>
      <c r="AX634" s="470"/>
      <c r="AY634" s="470"/>
      <c r="AZ634" s="470"/>
      <c r="BA634" s="470"/>
      <c r="BB634" s="470"/>
      <c r="BC634" s="470"/>
      <c r="BD634" s="470"/>
      <c r="BE634" s="470"/>
      <c r="BF634" s="470"/>
      <c r="BG634" s="470"/>
      <c r="BH634" s="470"/>
      <c r="BI634" s="470"/>
      <c r="BJ634" s="470"/>
      <c r="BK634" s="470" t="s">
        <v>980</v>
      </c>
      <c r="BL634" s="474"/>
    </row>
    <row r="635" spans="1:64">
      <c r="A635" s="475">
        <v>44426</v>
      </c>
      <c r="B635" s="478">
        <v>230</v>
      </c>
      <c r="C635" s="478">
        <v>135</v>
      </c>
      <c r="D635" s="476" t="s">
        <v>629</v>
      </c>
      <c r="E635" s="477">
        <v>33</v>
      </c>
      <c r="F635" s="476" t="s">
        <v>94</v>
      </c>
      <c r="G635" s="477">
        <v>535</v>
      </c>
      <c r="H635" s="476" t="s">
        <v>6252</v>
      </c>
      <c r="I635" s="476" t="s">
        <v>6257</v>
      </c>
      <c r="J635" s="477">
        <v>26</v>
      </c>
      <c r="K635" s="476" t="s">
        <v>6271</v>
      </c>
      <c r="L635" s="476" t="s">
        <v>6282</v>
      </c>
      <c r="M635" s="476" t="s">
        <v>9</v>
      </c>
      <c r="N635" s="478">
        <v>1</v>
      </c>
      <c r="O635" s="479"/>
      <c r="P635" s="479"/>
      <c r="Q635" s="479"/>
      <c r="R635" s="476"/>
      <c r="S635" s="479">
        <v>0.14829861111111112</v>
      </c>
      <c r="T635" s="479">
        <v>0.21496527777777777</v>
      </c>
      <c r="U635" s="479"/>
      <c r="V635" s="479"/>
      <c r="W635" s="479">
        <v>0.49960648148148151</v>
      </c>
      <c r="X635" s="479">
        <v>0.78423611111111102</v>
      </c>
      <c r="Y635" s="479">
        <v>0.68472222222222223</v>
      </c>
      <c r="Z635" s="479">
        <v>0.87291666666666667</v>
      </c>
      <c r="AA635" s="479">
        <v>2.0833333333333332E-2</v>
      </c>
      <c r="AB635" s="476" t="s">
        <v>6464</v>
      </c>
      <c r="AC635" s="478">
        <v>130</v>
      </c>
      <c r="AD635" s="476" t="s">
        <v>113</v>
      </c>
      <c r="AE635" s="476"/>
      <c r="AF635" s="478">
        <v>56.4</v>
      </c>
      <c r="AG635" s="477">
        <v>62.4</v>
      </c>
      <c r="AH635" s="476" t="s">
        <v>6303</v>
      </c>
      <c r="AI635" s="476" t="s">
        <v>6321</v>
      </c>
      <c r="AJ635" s="476" t="s">
        <v>838</v>
      </c>
      <c r="AK635" s="476" t="s">
        <v>13</v>
      </c>
      <c r="AL635" s="476" t="s">
        <v>6803</v>
      </c>
      <c r="AM635" s="476" t="s">
        <v>6342</v>
      </c>
      <c r="AN635" s="476" t="s">
        <v>6995</v>
      </c>
      <c r="AO635" s="476" t="s">
        <v>6351</v>
      </c>
      <c r="AP635" s="476" t="s">
        <v>7027</v>
      </c>
      <c r="AQ635" s="476" t="s">
        <v>6344</v>
      </c>
      <c r="AR635" s="476" t="s">
        <v>7060</v>
      </c>
      <c r="AS635" s="476" t="s">
        <v>6349</v>
      </c>
      <c r="AT635" s="476"/>
      <c r="AU635" s="476"/>
      <c r="AV635" s="476"/>
      <c r="AW635" s="476"/>
      <c r="AX635" s="476"/>
      <c r="AY635" s="476"/>
      <c r="AZ635" s="476"/>
      <c r="BA635" s="476"/>
      <c r="BB635" s="476"/>
      <c r="BC635" s="476"/>
      <c r="BD635" s="476"/>
      <c r="BE635" s="476"/>
      <c r="BF635" s="476"/>
      <c r="BG635" s="476"/>
      <c r="BH635" s="476"/>
      <c r="BI635" s="476"/>
      <c r="BJ635" s="476" t="s">
        <v>6398</v>
      </c>
      <c r="BK635" s="476" t="s">
        <v>981</v>
      </c>
      <c r="BL635" s="480"/>
    </row>
    <row r="636" spans="1:64">
      <c r="A636" s="468">
        <v>44427</v>
      </c>
      <c r="B636" s="473">
        <v>231</v>
      </c>
      <c r="C636" s="473">
        <v>134</v>
      </c>
      <c r="D636" s="470" t="s">
        <v>629</v>
      </c>
      <c r="E636" s="469">
        <v>33</v>
      </c>
      <c r="F636" s="470" t="s">
        <v>6714</v>
      </c>
      <c r="G636" s="469">
        <v>535</v>
      </c>
      <c r="H636" s="470" t="s">
        <v>6252</v>
      </c>
      <c r="I636" s="470" t="s">
        <v>6257</v>
      </c>
      <c r="J636" s="469">
        <v>27</v>
      </c>
      <c r="K636" s="470" t="s">
        <v>6266</v>
      </c>
      <c r="L636" s="470" t="s">
        <v>6283</v>
      </c>
      <c r="M636" s="470" t="s">
        <v>9</v>
      </c>
      <c r="N636" s="473">
        <v>1</v>
      </c>
      <c r="O636" s="471"/>
      <c r="P636" s="471"/>
      <c r="Q636" s="471"/>
      <c r="R636" s="470"/>
      <c r="S636" s="471">
        <v>0.14899305555555556</v>
      </c>
      <c r="T636" s="471">
        <v>0.21565972222222221</v>
      </c>
      <c r="U636" s="471">
        <v>0.21527777777777779</v>
      </c>
      <c r="V636" s="471">
        <v>0.40416666666666662</v>
      </c>
      <c r="W636" s="471">
        <v>0.49944444444444441</v>
      </c>
      <c r="X636" s="471">
        <v>0.78322916666666664</v>
      </c>
      <c r="Y636" s="471">
        <v>0.72361111111111109</v>
      </c>
      <c r="Z636" s="471">
        <v>0.91666666666666663</v>
      </c>
      <c r="AA636" s="471">
        <v>6.25E-2</v>
      </c>
      <c r="AB636" s="470" t="s">
        <v>6464</v>
      </c>
      <c r="AC636" s="473">
        <v>130</v>
      </c>
      <c r="AD636" s="470" t="s">
        <v>113</v>
      </c>
      <c r="AE636" s="470"/>
      <c r="AF636" s="473">
        <v>66.7</v>
      </c>
      <c r="AG636" s="469">
        <v>68.8</v>
      </c>
      <c r="AH636" s="470" t="s">
        <v>6304</v>
      </c>
      <c r="AI636" s="470" t="s">
        <v>6322</v>
      </c>
      <c r="AJ636" s="470" t="s">
        <v>839</v>
      </c>
      <c r="AK636" s="470" t="s">
        <v>6493</v>
      </c>
      <c r="AL636" s="470" t="s">
        <v>6878</v>
      </c>
      <c r="AM636" s="470" t="s">
        <v>6343</v>
      </c>
      <c r="AN636" s="470" t="s">
        <v>6948</v>
      </c>
      <c r="AO636" s="470" t="s">
        <v>6346</v>
      </c>
      <c r="AP636" s="470" t="s">
        <v>7028</v>
      </c>
      <c r="AQ636" s="470" t="s">
        <v>6346</v>
      </c>
      <c r="AR636" s="470"/>
      <c r="AS636" s="470"/>
      <c r="AT636" s="470"/>
      <c r="AU636" s="470"/>
      <c r="AV636" s="470"/>
      <c r="AW636" s="470"/>
      <c r="AX636" s="470"/>
      <c r="AY636" s="470"/>
      <c r="AZ636" s="470"/>
      <c r="BA636" s="470"/>
      <c r="BB636" s="470"/>
      <c r="BC636" s="470"/>
      <c r="BD636" s="470"/>
      <c r="BE636" s="470"/>
      <c r="BF636" s="470"/>
      <c r="BG636" s="470"/>
      <c r="BH636" s="470"/>
      <c r="BI636" s="470"/>
      <c r="BJ636" s="470" t="s">
        <v>6433</v>
      </c>
      <c r="BK636" s="470"/>
      <c r="BL636" s="474"/>
    </row>
    <row r="637" spans="1:64">
      <c r="A637" s="475">
        <v>44428</v>
      </c>
      <c r="B637" s="478">
        <v>232</v>
      </c>
      <c r="C637" s="478">
        <v>133</v>
      </c>
      <c r="D637" s="476" t="s">
        <v>629</v>
      </c>
      <c r="E637" s="477">
        <v>33</v>
      </c>
      <c r="F637" s="476" t="s">
        <v>100</v>
      </c>
      <c r="G637" s="477">
        <v>535</v>
      </c>
      <c r="H637" s="476" t="s">
        <v>6252</v>
      </c>
      <c r="I637" s="476" t="s">
        <v>6257</v>
      </c>
      <c r="J637" s="477">
        <v>28</v>
      </c>
      <c r="K637" s="476" t="s">
        <v>6267</v>
      </c>
      <c r="L637" s="476" t="s">
        <v>6284</v>
      </c>
      <c r="M637" s="476" t="s">
        <v>9</v>
      </c>
      <c r="N637" s="478">
        <v>1</v>
      </c>
      <c r="O637" s="479"/>
      <c r="P637" s="479"/>
      <c r="Q637" s="479"/>
      <c r="R637" s="476"/>
      <c r="S637" s="479">
        <v>0.14967592592592593</v>
      </c>
      <c r="T637" s="479">
        <v>0.21634259259259259</v>
      </c>
      <c r="U637" s="479"/>
      <c r="V637" s="479"/>
      <c r="W637" s="479">
        <v>0.49927083333333333</v>
      </c>
      <c r="X637" s="479">
        <v>0.78221064814814811</v>
      </c>
      <c r="Y637" s="479">
        <v>0.75694444444444453</v>
      </c>
      <c r="Z637" s="479">
        <v>0.95833333333333337</v>
      </c>
      <c r="AA637" s="479">
        <v>0.10972222222222222</v>
      </c>
      <c r="AB637" s="476" t="s">
        <v>6464</v>
      </c>
      <c r="AC637" s="478">
        <v>130</v>
      </c>
      <c r="AD637" s="476" t="s">
        <v>113</v>
      </c>
      <c r="AE637" s="476"/>
      <c r="AF637" s="478">
        <v>76.400000000000006</v>
      </c>
      <c r="AG637" s="477">
        <v>74.8</v>
      </c>
      <c r="AH637" s="476" t="s">
        <v>6305</v>
      </c>
      <c r="AI637" s="476" t="s">
        <v>6324</v>
      </c>
      <c r="AJ637" s="476" t="s">
        <v>6493</v>
      </c>
      <c r="AK637" s="476" t="s">
        <v>6493</v>
      </c>
      <c r="AL637" s="476"/>
      <c r="AM637" s="476"/>
      <c r="AN637" s="476"/>
      <c r="AO637" s="476"/>
      <c r="AP637" s="476"/>
      <c r="AQ637" s="476"/>
      <c r="AR637" s="476"/>
      <c r="AS637" s="476"/>
      <c r="AT637" s="476"/>
      <c r="AU637" s="476"/>
      <c r="AV637" s="476"/>
      <c r="AW637" s="476"/>
      <c r="AX637" s="476"/>
      <c r="AY637" s="476"/>
      <c r="AZ637" s="476"/>
      <c r="BA637" s="476"/>
      <c r="BB637" s="476"/>
      <c r="BC637" s="476"/>
      <c r="BD637" s="476"/>
      <c r="BE637" s="476"/>
      <c r="BF637" s="476"/>
      <c r="BG637" s="476"/>
      <c r="BH637" s="476"/>
      <c r="BI637" s="476"/>
      <c r="BJ637" s="476"/>
      <c r="BK637" s="476"/>
      <c r="BL637" s="480"/>
    </row>
    <row r="638" spans="1:64">
      <c r="A638" s="468">
        <v>44429</v>
      </c>
      <c r="B638" s="473">
        <v>233</v>
      </c>
      <c r="C638" s="473">
        <v>132</v>
      </c>
      <c r="D638" s="470" t="s">
        <v>629</v>
      </c>
      <c r="E638" s="469">
        <v>33</v>
      </c>
      <c r="F638" s="470" t="s">
        <v>103</v>
      </c>
      <c r="G638" s="469">
        <v>535</v>
      </c>
      <c r="H638" s="470" t="s">
        <v>6252</v>
      </c>
      <c r="I638" s="470" t="s">
        <v>6257</v>
      </c>
      <c r="J638" s="469">
        <v>29</v>
      </c>
      <c r="K638" s="470" t="s">
        <v>6268</v>
      </c>
      <c r="L638" s="470" t="s">
        <v>6285</v>
      </c>
      <c r="M638" s="470" t="s">
        <v>9</v>
      </c>
      <c r="N638" s="473">
        <v>1</v>
      </c>
      <c r="O638" s="471"/>
      <c r="P638" s="471"/>
      <c r="Q638" s="471"/>
      <c r="R638" s="470"/>
      <c r="S638" s="471">
        <v>0.15035879629629631</v>
      </c>
      <c r="T638" s="471">
        <v>0.21702546296296296</v>
      </c>
      <c r="U638" s="471"/>
      <c r="V638" s="471"/>
      <c r="W638" s="471">
        <v>0.49909722222222225</v>
      </c>
      <c r="X638" s="471">
        <v>0.78118055555555566</v>
      </c>
      <c r="Y638" s="471">
        <v>0.78333333333333333</v>
      </c>
      <c r="Z638" s="471">
        <v>0.99583333333333324</v>
      </c>
      <c r="AA638" s="471">
        <v>0.15902777777777777</v>
      </c>
      <c r="AB638" s="470" t="s">
        <v>6464</v>
      </c>
      <c r="AC638" s="473">
        <v>130</v>
      </c>
      <c r="AD638" s="470" t="s">
        <v>113</v>
      </c>
      <c r="AE638" s="470"/>
      <c r="AF638" s="473">
        <v>85</v>
      </c>
      <c r="AG638" s="469">
        <v>79.8</v>
      </c>
      <c r="AH638" s="470" t="s">
        <v>6306</v>
      </c>
      <c r="AI638" s="470" t="s">
        <v>6325</v>
      </c>
      <c r="AJ638" s="470" t="s">
        <v>839</v>
      </c>
      <c r="AK638" s="470" t="s">
        <v>6493</v>
      </c>
      <c r="AL638" s="470" t="s">
        <v>6805</v>
      </c>
      <c r="AM638" s="470" t="s">
        <v>6349</v>
      </c>
      <c r="AN638" s="470"/>
      <c r="AO638" s="470"/>
      <c r="AP638" s="470"/>
      <c r="AQ638" s="470"/>
      <c r="AR638" s="470"/>
      <c r="AS638" s="470"/>
      <c r="AT638" s="470"/>
      <c r="AU638" s="470"/>
      <c r="AV638" s="470"/>
      <c r="AW638" s="470"/>
      <c r="AX638" s="470"/>
      <c r="AY638" s="470"/>
      <c r="AZ638" s="470"/>
      <c r="BA638" s="470"/>
      <c r="BB638" s="470"/>
      <c r="BC638" s="470"/>
      <c r="BD638" s="470"/>
      <c r="BE638" s="470"/>
      <c r="BF638" s="470"/>
      <c r="BG638" s="470"/>
      <c r="BH638" s="470"/>
      <c r="BI638" s="470"/>
      <c r="BJ638" s="470"/>
      <c r="BK638" s="470" t="s">
        <v>982</v>
      </c>
      <c r="BL638" s="474"/>
    </row>
    <row r="639" spans="1:64">
      <c r="A639" s="475">
        <v>44430</v>
      </c>
      <c r="B639" s="478">
        <v>234</v>
      </c>
      <c r="C639" s="478">
        <v>131</v>
      </c>
      <c r="D639" s="476" t="s">
        <v>629</v>
      </c>
      <c r="E639" s="477">
        <v>33</v>
      </c>
      <c r="F639" s="476" t="s">
        <v>106</v>
      </c>
      <c r="G639" s="477">
        <v>535</v>
      </c>
      <c r="H639" s="476" t="s">
        <v>6252</v>
      </c>
      <c r="I639" s="476" t="s">
        <v>6257</v>
      </c>
      <c r="J639" s="477">
        <v>30</v>
      </c>
      <c r="K639" s="476" t="s">
        <v>6272</v>
      </c>
      <c r="L639" s="476" t="s">
        <v>6288</v>
      </c>
      <c r="M639" s="476" t="s">
        <v>9</v>
      </c>
      <c r="N639" s="478">
        <v>1</v>
      </c>
      <c r="O639" s="479"/>
      <c r="P639" s="479"/>
      <c r="Q639" s="479"/>
      <c r="R639" s="476"/>
      <c r="S639" s="479">
        <v>0.15104166666666666</v>
      </c>
      <c r="T639" s="479">
        <v>0.21770833333333331</v>
      </c>
      <c r="U639" s="479"/>
      <c r="V639" s="479"/>
      <c r="W639" s="479">
        <v>0.49892361111111111</v>
      </c>
      <c r="X639" s="479">
        <v>0.78013888888888883</v>
      </c>
      <c r="Y639" s="479">
        <v>0.80486111111111114</v>
      </c>
      <c r="Z639" s="479" t="s">
        <v>1107</v>
      </c>
      <c r="AA639" s="479">
        <v>0.20902777777777778</v>
      </c>
      <c r="AB639" s="476" t="s">
        <v>6462</v>
      </c>
      <c r="AC639" s="478">
        <v>129</v>
      </c>
      <c r="AD639" s="476" t="s">
        <v>116</v>
      </c>
      <c r="AE639" s="476" t="s">
        <v>6628</v>
      </c>
      <c r="AF639" s="478">
        <v>91.9</v>
      </c>
      <c r="AG639" s="477">
        <v>83.2</v>
      </c>
      <c r="AH639" s="476" t="s">
        <v>6307</v>
      </c>
      <c r="AI639" s="476" t="s">
        <v>6326</v>
      </c>
      <c r="AJ639" s="476" t="s">
        <v>874</v>
      </c>
      <c r="AK639" s="476" t="s">
        <v>6493</v>
      </c>
      <c r="AL639" s="476" t="s">
        <v>6806</v>
      </c>
      <c r="AM639" s="476" t="s">
        <v>6344</v>
      </c>
      <c r="AN639" s="476" t="s">
        <v>6949</v>
      </c>
      <c r="AO639" s="476" t="s">
        <v>6347</v>
      </c>
      <c r="AP639" s="476" t="s">
        <v>6900</v>
      </c>
      <c r="AQ639" s="476" t="s">
        <v>6351</v>
      </c>
      <c r="AR639" s="476" t="s">
        <v>7061</v>
      </c>
      <c r="AS639" s="476" t="s">
        <v>6349</v>
      </c>
      <c r="AT639" s="476" t="s">
        <v>7078</v>
      </c>
      <c r="AU639" s="476" t="s">
        <v>6349</v>
      </c>
      <c r="AV639" s="476" t="s">
        <v>7086</v>
      </c>
      <c r="AW639" s="476"/>
      <c r="AX639" s="476"/>
      <c r="AY639" s="476"/>
      <c r="AZ639" s="476"/>
      <c r="BA639" s="476"/>
      <c r="BB639" s="476"/>
      <c r="BC639" s="476"/>
      <c r="BD639" s="476"/>
      <c r="BE639" s="476"/>
      <c r="BF639" s="476"/>
      <c r="BG639" s="476"/>
      <c r="BH639" s="476"/>
      <c r="BI639" s="476"/>
      <c r="BJ639" s="476" t="s">
        <v>6399</v>
      </c>
      <c r="BK639" s="476" t="s">
        <v>983</v>
      </c>
      <c r="BL639" s="480" t="s">
        <v>998</v>
      </c>
    </row>
    <row r="640" spans="1:64">
      <c r="A640" s="468">
        <v>44431</v>
      </c>
      <c r="B640" s="473">
        <v>235</v>
      </c>
      <c r="C640" s="473">
        <v>130</v>
      </c>
      <c r="D640" s="470" t="s">
        <v>629</v>
      </c>
      <c r="E640" s="469">
        <v>34</v>
      </c>
      <c r="F640" s="470" t="s">
        <v>88</v>
      </c>
      <c r="G640" s="469">
        <v>535</v>
      </c>
      <c r="H640" s="470" t="s">
        <v>6253</v>
      </c>
      <c r="I640" s="470" t="s">
        <v>836</v>
      </c>
      <c r="J640" s="469">
        <v>1</v>
      </c>
      <c r="K640" s="470" t="s">
        <v>6270</v>
      </c>
      <c r="L640" s="470" t="s">
        <v>6287</v>
      </c>
      <c r="M640" s="470" t="s">
        <v>9</v>
      </c>
      <c r="N640" s="473">
        <v>1</v>
      </c>
      <c r="O640" s="471"/>
      <c r="P640" s="471"/>
      <c r="Q640" s="471"/>
      <c r="R640" s="470"/>
      <c r="S640" s="471">
        <v>0.15172453703703703</v>
      </c>
      <c r="T640" s="471">
        <v>0.21839120370370368</v>
      </c>
      <c r="U640" s="471"/>
      <c r="V640" s="471"/>
      <c r="W640" s="471">
        <v>0.49873842592592593</v>
      </c>
      <c r="X640" s="471">
        <v>0.77909722222222222</v>
      </c>
      <c r="Y640" s="471">
        <v>0.82361111111111107</v>
      </c>
      <c r="Z640" s="471">
        <v>3.125E-2</v>
      </c>
      <c r="AA640" s="471">
        <v>0.25833333333333336</v>
      </c>
      <c r="AB640" s="470" t="s">
        <v>6462</v>
      </c>
      <c r="AC640" s="473">
        <v>129</v>
      </c>
      <c r="AD640" s="470" t="s">
        <v>116</v>
      </c>
      <c r="AE640" s="470"/>
      <c r="AF640" s="473">
        <v>96.5</v>
      </c>
      <c r="AG640" s="469">
        <v>84.5</v>
      </c>
      <c r="AH640" s="470" t="s">
        <v>6308</v>
      </c>
      <c r="AI640" s="470" t="s">
        <v>6327</v>
      </c>
      <c r="AJ640" s="470" t="s">
        <v>839</v>
      </c>
      <c r="AK640" s="470" t="s">
        <v>6493</v>
      </c>
      <c r="AL640" s="470" t="s">
        <v>6807</v>
      </c>
      <c r="AM640" s="470" t="s">
        <v>6348</v>
      </c>
      <c r="AN640" s="470" t="s">
        <v>6950</v>
      </c>
      <c r="AO640" s="470"/>
      <c r="AP640" s="470" t="s">
        <v>7029</v>
      </c>
      <c r="AQ640" s="470" t="s">
        <v>6349</v>
      </c>
      <c r="AR640" s="470"/>
      <c r="AS640" s="470"/>
      <c r="AT640" s="470"/>
      <c r="AU640" s="470"/>
      <c r="AV640" s="470"/>
      <c r="AW640" s="470"/>
      <c r="AX640" s="470"/>
      <c r="AY640" s="470"/>
      <c r="AZ640" s="470"/>
      <c r="BA640" s="470"/>
      <c r="BB640" s="470"/>
      <c r="BC640" s="470"/>
      <c r="BD640" s="470"/>
      <c r="BE640" s="470"/>
      <c r="BF640" s="470"/>
      <c r="BG640" s="470"/>
      <c r="BH640" s="470"/>
      <c r="BI640" s="470"/>
      <c r="BJ640" s="470" t="s">
        <v>6400</v>
      </c>
      <c r="BK640" s="470" t="s">
        <v>984</v>
      </c>
      <c r="BL640" s="474"/>
    </row>
    <row r="641" spans="1:64">
      <c r="A641" s="475">
        <v>44432</v>
      </c>
      <c r="B641" s="478">
        <v>236</v>
      </c>
      <c r="C641" s="478">
        <v>129</v>
      </c>
      <c r="D641" s="476" t="s">
        <v>629</v>
      </c>
      <c r="E641" s="477">
        <v>34</v>
      </c>
      <c r="F641" s="476" t="s">
        <v>91</v>
      </c>
      <c r="G641" s="477">
        <v>535</v>
      </c>
      <c r="H641" s="476" t="s">
        <v>6253</v>
      </c>
      <c r="I641" s="476" t="s">
        <v>836</v>
      </c>
      <c r="J641" s="477">
        <v>2</v>
      </c>
      <c r="K641" s="476" t="s">
        <v>1034</v>
      </c>
      <c r="L641" s="476" t="s">
        <v>6273</v>
      </c>
      <c r="M641" s="476" t="s">
        <v>9</v>
      </c>
      <c r="N641" s="478">
        <v>1</v>
      </c>
      <c r="O641" s="479"/>
      <c r="P641" s="479"/>
      <c r="Q641" s="479"/>
      <c r="R641" s="476"/>
      <c r="S641" s="479">
        <v>0.15240740740740741</v>
      </c>
      <c r="T641" s="479">
        <v>0.21907407407407409</v>
      </c>
      <c r="U641" s="479"/>
      <c r="V641" s="479"/>
      <c r="W641" s="479">
        <v>0.49855324074074076</v>
      </c>
      <c r="X641" s="479">
        <v>0.77803240740740742</v>
      </c>
      <c r="Y641" s="479">
        <v>0.84097222222222223</v>
      </c>
      <c r="Z641" s="479">
        <v>6.3194444444444442E-2</v>
      </c>
      <c r="AA641" s="479">
        <v>0.30416666666666664</v>
      </c>
      <c r="AB641" s="476" t="s">
        <v>6462</v>
      </c>
      <c r="AC641" s="478">
        <v>129</v>
      </c>
      <c r="AD641" s="476" t="s">
        <v>116</v>
      </c>
      <c r="AE641" s="476"/>
      <c r="AF641" s="478">
        <v>98.5</v>
      </c>
      <c r="AG641" s="477">
        <v>83.6</v>
      </c>
      <c r="AH641" s="476" t="s">
        <v>6309</v>
      </c>
      <c r="AI641" s="476" t="s">
        <v>6328</v>
      </c>
      <c r="AJ641" s="476" t="s">
        <v>6493</v>
      </c>
      <c r="AK641" s="476" t="s">
        <v>6493</v>
      </c>
      <c r="AL641" s="476"/>
      <c r="AM641" s="476"/>
      <c r="AN641" s="476"/>
      <c r="AO641" s="476"/>
      <c r="AP641" s="476"/>
      <c r="AQ641" s="476"/>
      <c r="AR641" s="476"/>
      <c r="AS641" s="476"/>
      <c r="AT641" s="476"/>
      <c r="AU641" s="476"/>
      <c r="AV641" s="476"/>
      <c r="AW641" s="476"/>
      <c r="AX641" s="476"/>
      <c r="AY641" s="476"/>
      <c r="AZ641" s="476"/>
      <c r="BA641" s="476"/>
      <c r="BB641" s="476"/>
      <c r="BC641" s="476"/>
      <c r="BD641" s="476"/>
      <c r="BE641" s="476"/>
      <c r="BF641" s="476"/>
      <c r="BG641" s="476"/>
      <c r="BH641" s="476"/>
      <c r="BI641" s="476"/>
      <c r="BJ641" s="476"/>
      <c r="BK641" s="476"/>
      <c r="BL641" s="480"/>
    </row>
    <row r="642" spans="1:64">
      <c r="A642" s="468">
        <v>44433</v>
      </c>
      <c r="B642" s="473">
        <v>237</v>
      </c>
      <c r="C642" s="473">
        <v>128</v>
      </c>
      <c r="D642" s="470" t="s">
        <v>629</v>
      </c>
      <c r="E642" s="469">
        <v>34</v>
      </c>
      <c r="F642" s="470" t="s">
        <v>94</v>
      </c>
      <c r="G642" s="469">
        <v>535</v>
      </c>
      <c r="H642" s="470" t="s">
        <v>6253</v>
      </c>
      <c r="I642" s="470" t="s">
        <v>836</v>
      </c>
      <c r="J642" s="469">
        <v>3</v>
      </c>
      <c r="K642" s="470" t="s">
        <v>6258</v>
      </c>
      <c r="L642" s="470" t="s">
        <v>6274</v>
      </c>
      <c r="M642" s="470" t="s">
        <v>9</v>
      </c>
      <c r="N642" s="473">
        <v>1</v>
      </c>
      <c r="O642" s="471"/>
      <c r="P642" s="471"/>
      <c r="Q642" s="471"/>
      <c r="R642" s="470"/>
      <c r="S642" s="471">
        <v>0.15309027777777778</v>
      </c>
      <c r="T642" s="471">
        <v>0.21975694444444446</v>
      </c>
      <c r="U642" s="471"/>
      <c r="V642" s="471"/>
      <c r="W642" s="471">
        <v>0.49835648148148143</v>
      </c>
      <c r="X642" s="471">
        <v>0.77696759259259263</v>
      </c>
      <c r="Y642" s="471">
        <v>0.8569444444444444</v>
      </c>
      <c r="Z642" s="471">
        <v>9.375E-2</v>
      </c>
      <c r="AA642" s="471">
        <v>0.34791666666666665</v>
      </c>
      <c r="AB642" s="470" t="s">
        <v>6462</v>
      </c>
      <c r="AC642" s="473">
        <v>129</v>
      </c>
      <c r="AD642" s="470" t="s">
        <v>116</v>
      </c>
      <c r="AE642" s="470"/>
      <c r="AF642" s="473">
        <v>97.7</v>
      </c>
      <c r="AG642" s="469">
        <v>80</v>
      </c>
      <c r="AH642" s="470" t="s">
        <v>6310</v>
      </c>
      <c r="AI642" s="470" t="s">
        <v>6329</v>
      </c>
      <c r="AJ642" s="470" t="s">
        <v>6493</v>
      </c>
      <c r="AK642" s="470" t="s">
        <v>6493</v>
      </c>
      <c r="AL642" s="470"/>
      <c r="AM642" s="470"/>
      <c r="AN642" s="470"/>
      <c r="AO642" s="470"/>
      <c r="AP642" s="470"/>
      <c r="AQ642" s="470"/>
      <c r="AR642" s="470"/>
      <c r="AS642" s="470"/>
      <c r="AT642" s="470"/>
      <c r="AU642" s="470"/>
      <c r="AV642" s="470"/>
      <c r="AW642" s="470"/>
      <c r="AX642" s="470"/>
      <c r="AY642" s="470"/>
      <c r="AZ642" s="470"/>
      <c r="BA642" s="470"/>
      <c r="BB642" s="470"/>
      <c r="BC642" s="470"/>
      <c r="BD642" s="470"/>
      <c r="BE642" s="470"/>
      <c r="BF642" s="470"/>
      <c r="BG642" s="470"/>
      <c r="BH642" s="470"/>
      <c r="BI642" s="470"/>
      <c r="BJ642" s="470"/>
      <c r="BK642" s="470"/>
      <c r="BL642" s="474"/>
    </row>
    <row r="643" spans="1:64">
      <c r="A643" s="475">
        <v>44434</v>
      </c>
      <c r="B643" s="478">
        <v>238</v>
      </c>
      <c r="C643" s="478">
        <v>127</v>
      </c>
      <c r="D643" s="476" t="s">
        <v>629</v>
      </c>
      <c r="E643" s="477">
        <v>34</v>
      </c>
      <c r="F643" s="476" t="s">
        <v>6714</v>
      </c>
      <c r="G643" s="477">
        <v>535</v>
      </c>
      <c r="H643" s="476" t="s">
        <v>6253</v>
      </c>
      <c r="I643" s="476" t="s">
        <v>836</v>
      </c>
      <c r="J643" s="477">
        <v>4</v>
      </c>
      <c r="K643" s="476" t="s">
        <v>6259</v>
      </c>
      <c r="L643" s="476" t="s">
        <v>6275</v>
      </c>
      <c r="M643" s="476" t="s">
        <v>9</v>
      </c>
      <c r="N643" s="478">
        <v>1</v>
      </c>
      <c r="O643" s="479"/>
      <c r="P643" s="479"/>
      <c r="Q643" s="479"/>
      <c r="R643" s="476"/>
      <c r="S643" s="479">
        <v>0.15376157407407406</v>
      </c>
      <c r="T643" s="479">
        <v>0.22042824074074074</v>
      </c>
      <c r="U643" s="479"/>
      <c r="V643" s="479"/>
      <c r="W643" s="479">
        <v>0.49815972222222221</v>
      </c>
      <c r="X643" s="479">
        <v>0.77589120370370368</v>
      </c>
      <c r="Y643" s="479">
        <v>0.87291666666666667</v>
      </c>
      <c r="Z643" s="479">
        <v>0.12291666666666667</v>
      </c>
      <c r="AA643" s="479">
        <v>0.3923611111111111</v>
      </c>
      <c r="AB643" s="476" t="s">
        <v>6462</v>
      </c>
      <c r="AC643" s="478">
        <v>129</v>
      </c>
      <c r="AD643" s="476" t="s">
        <v>116</v>
      </c>
      <c r="AE643" s="476"/>
      <c r="AF643" s="478">
        <v>94.1</v>
      </c>
      <c r="AG643" s="477">
        <v>74.099999999999994</v>
      </c>
      <c r="AH643" s="476" t="s">
        <v>6311</v>
      </c>
      <c r="AI643" s="476" t="s">
        <v>6330</v>
      </c>
      <c r="AJ643" s="476" t="s">
        <v>6493</v>
      </c>
      <c r="AK643" s="476" t="s">
        <v>6493</v>
      </c>
      <c r="AL643" s="476"/>
      <c r="AM643" s="476"/>
      <c r="AN643" s="476"/>
      <c r="AO643" s="476"/>
      <c r="AP643" s="476"/>
      <c r="AQ643" s="476"/>
      <c r="AR643" s="476"/>
      <c r="AS643" s="476"/>
      <c r="AT643" s="476"/>
      <c r="AU643" s="476"/>
      <c r="AV643" s="476"/>
      <c r="AW643" s="476"/>
      <c r="AX643" s="476"/>
      <c r="AY643" s="476"/>
      <c r="AZ643" s="476"/>
      <c r="BA643" s="476"/>
      <c r="BB643" s="476"/>
      <c r="BC643" s="476"/>
      <c r="BD643" s="476"/>
      <c r="BE643" s="476"/>
      <c r="BF643" s="476"/>
      <c r="BG643" s="476"/>
      <c r="BH643" s="476"/>
      <c r="BI643" s="476"/>
      <c r="BJ643" s="476"/>
      <c r="BK643" s="476"/>
      <c r="BL643" s="480"/>
    </row>
    <row r="644" spans="1:64">
      <c r="A644" s="468">
        <v>44435</v>
      </c>
      <c r="B644" s="473">
        <v>239</v>
      </c>
      <c r="C644" s="473">
        <v>126</v>
      </c>
      <c r="D644" s="470" t="s">
        <v>629</v>
      </c>
      <c r="E644" s="469">
        <v>34</v>
      </c>
      <c r="F644" s="470" t="s">
        <v>100</v>
      </c>
      <c r="G644" s="469">
        <v>535</v>
      </c>
      <c r="H644" s="470" t="s">
        <v>6253</v>
      </c>
      <c r="I644" s="470" t="s">
        <v>836</v>
      </c>
      <c r="J644" s="469">
        <v>5</v>
      </c>
      <c r="K644" s="470" t="s">
        <v>6260</v>
      </c>
      <c r="L644" s="470" t="s">
        <v>6276</v>
      </c>
      <c r="M644" s="470" t="s">
        <v>9</v>
      </c>
      <c r="N644" s="473">
        <v>1</v>
      </c>
      <c r="O644" s="471"/>
      <c r="P644" s="471"/>
      <c r="Q644" s="471"/>
      <c r="R644" s="470"/>
      <c r="S644" s="471">
        <v>0.15444444444444444</v>
      </c>
      <c r="T644" s="471">
        <v>0.22111111111111112</v>
      </c>
      <c r="U644" s="471"/>
      <c r="V644" s="471"/>
      <c r="W644" s="471">
        <v>0.49796296296296294</v>
      </c>
      <c r="X644" s="471">
        <v>0.7748032407407407</v>
      </c>
      <c r="Y644" s="471">
        <v>0.88958333333333339</v>
      </c>
      <c r="Z644" s="471">
        <v>0.15138888888888888</v>
      </c>
      <c r="AA644" s="471">
        <v>0.43472222222222223</v>
      </c>
      <c r="AB644" s="470" t="s">
        <v>6462</v>
      </c>
      <c r="AC644" s="473">
        <v>129</v>
      </c>
      <c r="AD644" s="470" t="s">
        <v>116</v>
      </c>
      <c r="AE644" s="470"/>
      <c r="AF644" s="473">
        <v>88.2</v>
      </c>
      <c r="AG644" s="469">
        <v>66</v>
      </c>
      <c r="AH644" s="470" t="s">
        <v>6312</v>
      </c>
      <c r="AI644" s="470" t="s">
        <v>6331</v>
      </c>
      <c r="AJ644" s="470" t="s">
        <v>6493</v>
      </c>
      <c r="AK644" s="470" t="s">
        <v>6493</v>
      </c>
      <c r="AL644" s="470"/>
      <c r="AM644" s="470"/>
      <c r="AN644" s="470"/>
      <c r="AO644" s="470"/>
      <c r="AP644" s="470"/>
      <c r="AQ644" s="470"/>
      <c r="AR644" s="470"/>
      <c r="AS644" s="470"/>
      <c r="AT644" s="470"/>
      <c r="AU644" s="470"/>
      <c r="AV644" s="470"/>
      <c r="AW644" s="470"/>
      <c r="AX644" s="470"/>
      <c r="AY644" s="470"/>
      <c r="AZ644" s="470"/>
      <c r="BA644" s="470"/>
      <c r="BB644" s="470"/>
      <c r="BC644" s="470"/>
      <c r="BD644" s="470"/>
      <c r="BE644" s="470"/>
      <c r="BF644" s="470"/>
      <c r="BG644" s="470"/>
      <c r="BH644" s="470"/>
      <c r="BI644" s="470"/>
      <c r="BJ644" s="470"/>
      <c r="BK644" s="470"/>
      <c r="BL644" s="474"/>
    </row>
    <row r="645" spans="1:64">
      <c r="A645" s="475">
        <v>44436</v>
      </c>
      <c r="B645" s="478">
        <v>240</v>
      </c>
      <c r="C645" s="478">
        <v>125</v>
      </c>
      <c r="D645" s="476" t="s">
        <v>629</v>
      </c>
      <c r="E645" s="477">
        <v>34</v>
      </c>
      <c r="F645" s="476" t="s">
        <v>103</v>
      </c>
      <c r="G645" s="477">
        <v>535</v>
      </c>
      <c r="H645" s="476" t="s">
        <v>6253</v>
      </c>
      <c r="I645" s="476" t="s">
        <v>836</v>
      </c>
      <c r="J645" s="477">
        <v>6</v>
      </c>
      <c r="K645" s="476" t="s">
        <v>6261</v>
      </c>
      <c r="L645" s="476" t="s">
        <v>6277</v>
      </c>
      <c r="M645" s="476" t="s">
        <v>9</v>
      </c>
      <c r="N645" s="478">
        <v>1</v>
      </c>
      <c r="O645" s="479"/>
      <c r="P645" s="479"/>
      <c r="Q645" s="479"/>
      <c r="R645" s="476"/>
      <c r="S645" s="479">
        <v>0.15512731481481482</v>
      </c>
      <c r="T645" s="479">
        <v>0.22179398148148147</v>
      </c>
      <c r="U645" s="479"/>
      <c r="V645" s="479"/>
      <c r="W645" s="479">
        <v>0.49775462962962963</v>
      </c>
      <c r="X645" s="479">
        <v>0.77371527777777782</v>
      </c>
      <c r="Y645" s="479">
        <v>0.90763888888888899</v>
      </c>
      <c r="Z645" s="479">
        <v>0.18124999999999999</v>
      </c>
      <c r="AA645" s="479">
        <v>0.47638888888888892</v>
      </c>
      <c r="AB645" s="476" t="s">
        <v>6462</v>
      </c>
      <c r="AC645" s="478">
        <v>129</v>
      </c>
      <c r="AD645" s="476" t="s">
        <v>116</v>
      </c>
      <c r="AE645" s="476"/>
      <c r="AF645" s="478">
        <v>80.400000000000006</v>
      </c>
      <c r="AG645" s="477">
        <v>56.2</v>
      </c>
      <c r="AH645" s="476" t="s">
        <v>6313</v>
      </c>
      <c r="AI645" s="476" t="s">
        <v>6332</v>
      </c>
      <c r="AJ645" s="476" t="s">
        <v>6493</v>
      </c>
      <c r="AK645" s="476" t="s">
        <v>6493</v>
      </c>
      <c r="AL645" s="476"/>
      <c r="AM645" s="476"/>
      <c r="AN645" s="476"/>
      <c r="AO645" s="476"/>
      <c r="AP645" s="476"/>
      <c r="AQ645" s="476"/>
      <c r="AR645" s="476"/>
      <c r="AS645" s="476"/>
      <c r="AT645" s="476"/>
      <c r="AU645" s="476"/>
      <c r="AV645" s="476"/>
      <c r="AW645" s="476"/>
      <c r="AX645" s="476"/>
      <c r="AY645" s="476"/>
      <c r="AZ645" s="476"/>
      <c r="BA645" s="476"/>
      <c r="BB645" s="476"/>
      <c r="BC645" s="476"/>
      <c r="BD645" s="476"/>
      <c r="BE645" s="476"/>
      <c r="BF645" s="476"/>
      <c r="BG645" s="476"/>
      <c r="BH645" s="476"/>
      <c r="BI645" s="476"/>
      <c r="BJ645" s="476"/>
      <c r="BK645" s="476"/>
      <c r="BL645" s="480"/>
    </row>
    <row r="646" spans="1:64">
      <c r="A646" s="468">
        <v>44437</v>
      </c>
      <c r="B646" s="473">
        <v>241</v>
      </c>
      <c r="C646" s="473">
        <v>124</v>
      </c>
      <c r="D646" s="470" t="s">
        <v>629</v>
      </c>
      <c r="E646" s="469">
        <v>34</v>
      </c>
      <c r="F646" s="470" t="s">
        <v>106</v>
      </c>
      <c r="G646" s="469">
        <v>535</v>
      </c>
      <c r="H646" s="470" t="s">
        <v>6253</v>
      </c>
      <c r="I646" s="470" t="s">
        <v>836</v>
      </c>
      <c r="J646" s="469">
        <v>7</v>
      </c>
      <c r="K646" s="470" t="s">
        <v>6262</v>
      </c>
      <c r="L646" s="470" t="s">
        <v>6278</v>
      </c>
      <c r="M646" s="470" t="s">
        <v>9</v>
      </c>
      <c r="N646" s="473">
        <v>1</v>
      </c>
      <c r="O646" s="471"/>
      <c r="P646" s="471"/>
      <c r="Q646" s="471"/>
      <c r="R646" s="470"/>
      <c r="S646" s="471">
        <v>0.15581018518518519</v>
      </c>
      <c r="T646" s="471">
        <v>0.22247685185185184</v>
      </c>
      <c r="U646" s="471"/>
      <c r="V646" s="471"/>
      <c r="W646" s="471">
        <v>0.49754629629629626</v>
      </c>
      <c r="X646" s="471">
        <v>0.7726157407407408</v>
      </c>
      <c r="Y646" s="471">
        <v>0.92847222222222225</v>
      </c>
      <c r="Z646" s="471">
        <v>0.21111111111111111</v>
      </c>
      <c r="AA646" s="471">
        <v>0.51944444444444449</v>
      </c>
      <c r="AB646" s="470" t="s">
        <v>6462</v>
      </c>
      <c r="AC646" s="473">
        <v>129</v>
      </c>
      <c r="AD646" s="470" t="s">
        <v>116</v>
      </c>
      <c r="AE646" s="470"/>
      <c r="AF646" s="473">
        <v>71.3</v>
      </c>
      <c r="AG646" s="469">
        <v>45.3</v>
      </c>
      <c r="AH646" s="470" t="s">
        <v>6314</v>
      </c>
      <c r="AI646" s="470" t="s">
        <v>6333</v>
      </c>
      <c r="AJ646" s="470" t="s">
        <v>6493</v>
      </c>
      <c r="AK646" s="470" t="s">
        <v>6493</v>
      </c>
      <c r="AL646" s="470"/>
      <c r="AM646" s="470"/>
      <c r="AN646" s="470"/>
      <c r="AO646" s="470"/>
      <c r="AP646" s="470"/>
      <c r="AQ646" s="470"/>
      <c r="AR646" s="470"/>
      <c r="AS646" s="470"/>
      <c r="AT646" s="470"/>
      <c r="AU646" s="470"/>
      <c r="AV646" s="470"/>
      <c r="AW646" s="470"/>
      <c r="AX646" s="470"/>
      <c r="AY646" s="470"/>
      <c r="AZ646" s="470"/>
      <c r="BA646" s="470"/>
      <c r="BB646" s="470"/>
      <c r="BC646" s="470"/>
      <c r="BD646" s="470"/>
      <c r="BE646" s="470"/>
      <c r="BF646" s="470"/>
      <c r="BG646" s="470"/>
      <c r="BH646" s="470"/>
      <c r="BI646" s="470"/>
      <c r="BJ646" s="470"/>
      <c r="BK646" s="470"/>
      <c r="BL646" s="474"/>
    </row>
    <row r="647" spans="1:64">
      <c r="A647" s="475">
        <v>44438</v>
      </c>
      <c r="B647" s="478">
        <v>242</v>
      </c>
      <c r="C647" s="478">
        <v>123</v>
      </c>
      <c r="D647" s="476" t="s">
        <v>629</v>
      </c>
      <c r="E647" s="477">
        <v>35</v>
      </c>
      <c r="F647" s="476" t="s">
        <v>88</v>
      </c>
      <c r="G647" s="477">
        <v>535</v>
      </c>
      <c r="H647" s="476" t="s">
        <v>6253</v>
      </c>
      <c r="I647" s="476" t="s">
        <v>836</v>
      </c>
      <c r="J647" s="477">
        <v>8</v>
      </c>
      <c r="K647" s="476" t="s">
        <v>6263</v>
      </c>
      <c r="L647" s="476" t="s">
        <v>6279</v>
      </c>
      <c r="M647" s="476" t="s">
        <v>9</v>
      </c>
      <c r="N647" s="478">
        <v>1</v>
      </c>
      <c r="O647" s="479"/>
      <c r="P647" s="479"/>
      <c r="Q647" s="479"/>
      <c r="R647" s="476"/>
      <c r="S647" s="479">
        <v>0.15648148148148147</v>
      </c>
      <c r="T647" s="479">
        <v>0.22314814814814812</v>
      </c>
      <c r="U647" s="479"/>
      <c r="V647" s="479"/>
      <c r="W647" s="479">
        <v>0.49732638888888886</v>
      </c>
      <c r="X647" s="479">
        <v>0.77151620370370377</v>
      </c>
      <c r="Y647" s="479">
        <v>0.95277777777777783</v>
      </c>
      <c r="Z647" s="479">
        <v>0.24236111111111111</v>
      </c>
      <c r="AA647" s="479">
        <v>0.56180555555555556</v>
      </c>
      <c r="AB647" s="476" t="s">
        <v>6289</v>
      </c>
      <c r="AC647" s="478">
        <v>131</v>
      </c>
      <c r="AD647" s="476" t="s">
        <v>119</v>
      </c>
      <c r="AE647" s="476" t="s">
        <v>6629</v>
      </c>
      <c r="AF647" s="478">
        <v>61.7</v>
      </c>
      <c r="AG647" s="477">
        <v>33.9</v>
      </c>
      <c r="AH647" s="476" t="s">
        <v>973</v>
      </c>
      <c r="AI647" s="476" t="s">
        <v>6334</v>
      </c>
      <c r="AJ647" s="476" t="s">
        <v>874</v>
      </c>
      <c r="AK647" s="476" t="s">
        <v>6493</v>
      </c>
      <c r="AL647" s="476" t="s">
        <v>6808</v>
      </c>
      <c r="AM647" s="476" t="s">
        <v>6347</v>
      </c>
      <c r="AN647" s="476" t="s">
        <v>6951</v>
      </c>
      <c r="AO647" s="476" t="s">
        <v>6351</v>
      </c>
      <c r="AP647" s="476"/>
      <c r="AQ647" s="476"/>
      <c r="AR647" s="476"/>
      <c r="AS647" s="476"/>
      <c r="AT647" s="476"/>
      <c r="AU647" s="476"/>
      <c r="AV647" s="476"/>
      <c r="AW647" s="476"/>
      <c r="AX647" s="476"/>
      <c r="AY647" s="476"/>
      <c r="AZ647" s="476"/>
      <c r="BA647" s="476"/>
      <c r="BB647" s="476"/>
      <c r="BC647" s="476"/>
      <c r="BD647" s="476"/>
      <c r="BE647" s="476"/>
      <c r="BF647" s="476"/>
      <c r="BG647" s="476"/>
      <c r="BH647" s="476"/>
      <c r="BI647" s="476"/>
      <c r="BJ647" s="476" t="s">
        <v>6401</v>
      </c>
      <c r="BK647" s="476"/>
      <c r="BL647" s="480"/>
    </row>
    <row r="648" spans="1:64">
      <c r="A648" s="468">
        <v>44439</v>
      </c>
      <c r="B648" s="473">
        <v>243</v>
      </c>
      <c r="C648" s="473">
        <v>122</v>
      </c>
      <c r="D648" s="470" t="s">
        <v>629</v>
      </c>
      <c r="E648" s="469">
        <v>35</v>
      </c>
      <c r="F648" s="470" t="s">
        <v>91</v>
      </c>
      <c r="G648" s="469">
        <v>535</v>
      </c>
      <c r="H648" s="470" t="s">
        <v>6253</v>
      </c>
      <c r="I648" s="470" t="s">
        <v>836</v>
      </c>
      <c r="J648" s="469">
        <v>9</v>
      </c>
      <c r="K648" s="470" t="s">
        <v>6264</v>
      </c>
      <c r="L648" s="470" t="s">
        <v>6280</v>
      </c>
      <c r="M648" s="470" t="s">
        <v>9</v>
      </c>
      <c r="N648" s="473">
        <v>1</v>
      </c>
      <c r="O648" s="471"/>
      <c r="P648" s="471"/>
      <c r="Q648" s="471"/>
      <c r="R648" s="470"/>
      <c r="S648" s="471">
        <v>0.15716435185185185</v>
      </c>
      <c r="T648" s="471">
        <v>0.22383101851851853</v>
      </c>
      <c r="U648" s="471"/>
      <c r="V648" s="471"/>
      <c r="W648" s="471">
        <v>0.4971180555555556</v>
      </c>
      <c r="X648" s="471">
        <v>0.7704050925925926</v>
      </c>
      <c r="Y648" s="471">
        <v>0.98333333333333339</v>
      </c>
      <c r="Z648" s="471">
        <v>0.27569444444444446</v>
      </c>
      <c r="AA648" s="471">
        <v>0.6020833333333333</v>
      </c>
      <c r="AB648" s="470" t="s">
        <v>6289</v>
      </c>
      <c r="AC648" s="473">
        <v>131</v>
      </c>
      <c r="AD648" s="470" t="s">
        <v>119</v>
      </c>
      <c r="AE648" s="470"/>
      <c r="AF648" s="473">
        <v>52.3</v>
      </c>
      <c r="AG648" s="469">
        <v>22.7</v>
      </c>
      <c r="AH648" s="470" t="s">
        <v>6290</v>
      </c>
      <c r="AI648" s="470" t="s">
        <v>6335</v>
      </c>
      <c r="AJ648" s="470" t="s">
        <v>874</v>
      </c>
      <c r="AK648" s="470" t="s">
        <v>6493</v>
      </c>
      <c r="AL648" s="470" t="s">
        <v>1223</v>
      </c>
      <c r="AM648" s="470" t="s">
        <v>6344</v>
      </c>
      <c r="AN648" s="470" t="s">
        <v>6952</v>
      </c>
      <c r="AO648" s="470" t="s">
        <v>6345</v>
      </c>
      <c r="AP648" s="470" t="s">
        <v>6900</v>
      </c>
      <c r="AQ648" s="470" t="s">
        <v>6351</v>
      </c>
      <c r="AR648" s="470"/>
      <c r="AS648" s="470"/>
      <c r="AT648" s="470"/>
      <c r="AU648" s="470"/>
      <c r="AV648" s="470"/>
      <c r="AW648" s="470"/>
      <c r="AX648" s="470"/>
      <c r="AY648" s="470"/>
      <c r="AZ648" s="470"/>
      <c r="BA648" s="470"/>
      <c r="BB648" s="470"/>
      <c r="BC648" s="470"/>
      <c r="BD648" s="470"/>
      <c r="BE648" s="470"/>
      <c r="BF648" s="470"/>
      <c r="BG648" s="470"/>
      <c r="BH648" s="470"/>
      <c r="BI648" s="470"/>
      <c r="BJ648" s="470" t="s">
        <v>6402</v>
      </c>
      <c r="BK648" s="470"/>
      <c r="BL648" s="474"/>
    </row>
    <row r="649" spans="1:64">
      <c r="A649" s="475">
        <v>44440</v>
      </c>
      <c r="B649" s="478">
        <v>244</v>
      </c>
      <c r="C649" s="478">
        <v>121</v>
      </c>
      <c r="D649" s="476" t="s">
        <v>631</v>
      </c>
      <c r="E649" s="477">
        <v>35</v>
      </c>
      <c r="F649" s="476" t="s">
        <v>94</v>
      </c>
      <c r="G649" s="477">
        <v>535</v>
      </c>
      <c r="H649" s="476" t="s">
        <v>6253</v>
      </c>
      <c r="I649" s="476" t="s">
        <v>836</v>
      </c>
      <c r="J649" s="477">
        <v>10</v>
      </c>
      <c r="K649" s="476" t="s">
        <v>6265</v>
      </c>
      <c r="L649" s="476" t="s">
        <v>6281</v>
      </c>
      <c r="M649" s="476" t="s">
        <v>9</v>
      </c>
      <c r="N649" s="478">
        <v>1</v>
      </c>
      <c r="O649" s="479"/>
      <c r="P649" s="479"/>
      <c r="Q649" s="479"/>
      <c r="R649" s="476"/>
      <c r="S649" s="479">
        <v>0.15783564814814813</v>
      </c>
      <c r="T649" s="479">
        <v>0.22450231481481484</v>
      </c>
      <c r="U649" s="479"/>
      <c r="V649" s="479"/>
      <c r="W649" s="479">
        <v>0.4968981481481482</v>
      </c>
      <c r="X649" s="479">
        <v>0.76928240740740739</v>
      </c>
      <c r="Y649" s="479" t="s">
        <v>1107</v>
      </c>
      <c r="Z649" s="479">
        <v>0.31111111111111112</v>
      </c>
      <c r="AA649" s="479">
        <v>0.64027777777777783</v>
      </c>
      <c r="AB649" s="476" t="s">
        <v>6289</v>
      </c>
      <c r="AC649" s="478">
        <v>131</v>
      </c>
      <c r="AD649" s="476" t="s">
        <v>119</v>
      </c>
      <c r="AE649" s="476"/>
      <c r="AF649" s="478">
        <v>43.9</v>
      </c>
      <c r="AG649" s="477">
        <v>12.4</v>
      </c>
      <c r="AH649" s="476" t="s">
        <v>6315</v>
      </c>
      <c r="AI649" s="476" t="s">
        <v>6336</v>
      </c>
      <c r="AJ649" s="476" t="s">
        <v>6493</v>
      </c>
      <c r="AK649" s="476" t="s">
        <v>6493</v>
      </c>
      <c r="AL649" s="476"/>
      <c r="AM649" s="476"/>
      <c r="AN649" s="476"/>
      <c r="AO649" s="476"/>
      <c r="AP649" s="476"/>
      <c r="AQ649" s="476"/>
      <c r="AR649" s="476"/>
      <c r="AS649" s="476"/>
      <c r="AT649" s="476"/>
      <c r="AU649" s="476"/>
      <c r="AV649" s="476"/>
      <c r="AW649" s="476"/>
      <c r="AX649" s="476"/>
      <c r="AY649" s="476"/>
      <c r="AZ649" s="476"/>
      <c r="BA649" s="476"/>
      <c r="BB649" s="476"/>
      <c r="BC649" s="476"/>
      <c r="BD649" s="476"/>
      <c r="BE649" s="476"/>
      <c r="BF649" s="476"/>
      <c r="BG649" s="476"/>
      <c r="BH649" s="476"/>
      <c r="BI649" s="476"/>
      <c r="BJ649" s="476"/>
      <c r="BK649" s="476"/>
      <c r="BL649" s="480"/>
    </row>
    <row r="650" spans="1:64">
      <c r="A650" s="468">
        <v>44441</v>
      </c>
      <c r="B650" s="473">
        <v>245</v>
      </c>
      <c r="C650" s="473">
        <v>120</v>
      </c>
      <c r="D650" s="470" t="s">
        <v>631</v>
      </c>
      <c r="E650" s="469">
        <v>35</v>
      </c>
      <c r="F650" s="470" t="s">
        <v>6714</v>
      </c>
      <c r="G650" s="469">
        <v>535</v>
      </c>
      <c r="H650" s="470" t="s">
        <v>6253</v>
      </c>
      <c r="I650" s="470" t="s">
        <v>836</v>
      </c>
      <c r="J650" s="469">
        <v>11</v>
      </c>
      <c r="K650" s="470" t="s">
        <v>6271</v>
      </c>
      <c r="L650" s="470" t="s">
        <v>6282</v>
      </c>
      <c r="M650" s="470" t="s">
        <v>9</v>
      </c>
      <c r="N650" s="473">
        <v>1</v>
      </c>
      <c r="O650" s="471"/>
      <c r="P650" s="471"/>
      <c r="Q650" s="471"/>
      <c r="R650" s="470"/>
      <c r="S650" s="471">
        <v>0.15851851851851853</v>
      </c>
      <c r="T650" s="471">
        <v>0.22518518518518518</v>
      </c>
      <c r="U650" s="471"/>
      <c r="V650" s="471"/>
      <c r="W650" s="471">
        <v>0.49666666666666665</v>
      </c>
      <c r="X650" s="471">
        <v>0.76815972222222229</v>
      </c>
      <c r="Y650" s="471">
        <v>1.7361111111111112E-2</v>
      </c>
      <c r="Z650" s="471">
        <v>0.34722222222222227</v>
      </c>
      <c r="AA650" s="471">
        <v>0.67499999999999993</v>
      </c>
      <c r="AB650" s="470" t="s">
        <v>6289</v>
      </c>
      <c r="AC650" s="473">
        <v>131</v>
      </c>
      <c r="AD650" s="470" t="s">
        <v>119</v>
      </c>
      <c r="AE650" s="470"/>
      <c r="AF650" s="473">
        <v>37.1</v>
      </c>
      <c r="AG650" s="469">
        <v>3.6</v>
      </c>
      <c r="AH650" s="470" t="s">
        <v>6291</v>
      </c>
      <c r="AI650" s="470" t="s">
        <v>6337</v>
      </c>
      <c r="AJ650" s="470" t="s">
        <v>838</v>
      </c>
      <c r="AK650" s="470" t="s">
        <v>13</v>
      </c>
      <c r="AL650" s="470" t="s">
        <v>6809</v>
      </c>
      <c r="AM650" s="470" t="s">
        <v>6342</v>
      </c>
      <c r="AN650" s="470" t="s">
        <v>6996</v>
      </c>
      <c r="AO650" s="470" t="s">
        <v>6351</v>
      </c>
      <c r="AP650" s="470"/>
      <c r="AQ650" s="470"/>
      <c r="AR650" s="470"/>
      <c r="AS650" s="470"/>
      <c r="AT650" s="470"/>
      <c r="AU650" s="470"/>
      <c r="AV650" s="470"/>
      <c r="AW650" s="470"/>
      <c r="AX650" s="470"/>
      <c r="AY650" s="470"/>
      <c r="AZ650" s="470"/>
      <c r="BA650" s="470"/>
      <c r="BB650" s="470"/>
      <c r="BC650" s="470"/>
      <c r="BD650" s="470"/>
      <c r="BE650" s="470"/>
      <c r="BF650" s="470"/>
      <c r="BG650" s="470"/>
      <c r="BH650" s="470"/>
      <c r="BI650" s="470"/>
      <c r="BJ650" s="470"/>
      <c r="BK650" s="470"/>
      <c r="BL650" s="474"/>
    </row>
    <row r="651" spans="1:64">
      <c r="A651" s="475">
        <v>44442</v>
      </c>
      <c r="B651" s="478">
        <v>246</v>
      </c>
      <c r="C651" s="478">
        <v>119</v>
      </c>
      <c r="D651" s="476" t="s">
        <v>631</v>
      </c>
      <c r="E651" s="477">
        <v>35</v>
      </c>
      <c r="F651" s="476" t="s">
        <v>100</v>
      </c>
      <c r="G651" s="477">
        <v>535</v>
      </c>
      <c r="H651" s="476" t="s">
        <v>6253</v>
      </c>
      <c r="I651" s="476" t="s">
        <v>836</v>
      </c>
      <c r="J651" s="477">
        <v>12</v>
      </c>
      <c r="K651" s="476" t="s">
        <v>6266</v>
      </c>
      <c r="L651" s="476" t="s">
        <v>6283</v>
      </c>
      <c r="M651" s="476" t="s">
        <v>9</v>
      </c>
      <c r="N651" s="478">
        <v>1</v>
      </c>
      <c r="O651" s="479"/>
      <c r="P651" s="479"/>
      <c r="Q651" s="479"/>
      <c r="R651" s="476"/>
      <c r="S651" s="479">
        <v>0.15918981481481481</v>
      </c>
      <c r="T651" s="479">
        <v>0.22585648148148149</v>
      </c>
      <c r="U651" s="479">
        <v>0.22569444444444445</v>
      </c>
      <c r="V651" s="479">
        <v>0.40625</v>
      </c>
      <c r="W651" s="479">
        <v>0.49644675925925924</v>
      </c>
      <c r="X651" s="479">
        <v>0.76702546296296292</v>
      </c>
      <c r="Y651" s="479">
        <v>5.6944444444444443E-2</v>
      </c>
      <c r="Z651" s="479">
        <v>0.38263888888888892</v>
      </c>
      <c r="AA651" s="479">
        <v>0.7055555555555556</v>
      </c>
      <c r="AB651" s="476" t="s">
        <v>6289</v>
      </c>
      <c r="AC651" s="478">
        <v>131</v>
      </c>
      <c r="AD651" s="476" t="s">
        <v>119</v>
      </c>
      <c r="AE651" s="476"/>
      <c r="AF651" s="478">
        <v>32.700000000000003</v>
      </c>
      <c r="AG651" s="477">
        <v>96.9</v>
      </c>
      <c r="AH651" s="476" t="s">
        <v>6291</v>
      </c>
      <c r="AI651" s="476" t="s">
        <v>6338</v>
      </c>
      <c r="AJ651" s="476" t="s">
        <v>839</v>
      </c>
      <c r="AK651" s="476" t="s">
        <v>6493</v>
      </c>
      <c r="AL651" s="476" t="s">
        <v>6879</v>
      </c>
      <c r="AM651" s="476" t="s">
        <v>6343</v>
      </c>
      <c r="AN651" s="476"/>
      <c r="AO651" s="476"/>
      <c r="AP651" s="476"/>
      <c r="AQ651" s="476"/>
      <c r="AR651" s="476"/>
      <c r="AS651" s="476"/>
      <c r="AT651" s="476"/>
      <c r="AU651" s="476"/>
      <c r="AV651" s="476"/>
      <c r="AW651" s="476"/>
      <c r="AX651" s="476"/>
      <c r="AY651" s="476"/>
      <c r="AZ651" s="476"/>
      <c r="BA651" s="476"/>
      <c r="BB651" s="476"/>
      <c r="BC651" s="476"/>
      <c r="BD651" s="476"/>
      <c r="BE651" s="476"/>
      <c r="BF651" s="476"/>
      <c r="BG651" s="476"/>
      <c r="BH651" s="476"/>
      <c r="BI651" s="476"/>
      <c r="BJ651" s="476"/>
      <c r="BK651" s="476"/>
      <c r="BL651" s="480"/>
    </row>
    <row r="652" spans="1:64">
      <c r="A652" s="468">
        <v>44443</v>
      </c>
      <c r="B652" s="473">
        <v>247</v>
      </c>
      <c r="C652" s="473">
        <v>118</v>
      </c>
      <c r="D652" s="470" t="s">
        <v>631</v>
      </c>
      <c r="E652" s="469">
        <v>35</v>
      </c>
      <c r="F652" s="470" t="s">
        <v>103</v>
      </c>
      <c r="G652" s="469">
        <v>535</v>
      </c>
      <c r="H652" s="470" t="s">
        <v>6253</v>
      </c>
      <c r="I652" s="470" t="s">
        <v>836</v>
      </c>
      <c r="J652" s="469">
        <v>13</v>
      </c>
      <c r="K652" s="470" t="s">
        <v>6267</v>
      </c>
      <c r="L652" s="470" t="s">
        <v>6284</v>
      </c>
      <c r="M652" s="470" t="s">
        <v>9</v>
      </c>
      <c r="N652" s="473">
        <v>1</v>
      </c>
      <c r="O652" s="471"/>
      <c r="P652" s="471"/>
      <c r="Q652" s="471"/>
      <c r="R652" s="470"/>
      <c r="S652" s="471">
        <v>0.15987268518518519</v>
      </c>
      <c r="T652" s="471">
        <v>0.22653935185185184</v>
      </c>
      <c r="U652" s="471"/>
      <c r="V652" s="471"/>
      <c r="W652" s="471">
        <v>0.49621527777777774</v>
      </c>
      <c r="X652" s="471">
        <v>0.76589120370370367</v>
      </c>
      <c r="Y652" s="471">
        <v>0.10069444444444443</v>
      </c>
      <c r="Z652" s="471">
        <v>0.41944444444444445</v>
      </c>
      <c r="AA652" s="471">
        <v>0.7319444444444444</v>
      </c>
      <c r="AB652" s="470" t="s">
        <v>6289</v>
      </c>
      <c r="AC652" s="473">
        <v>131</v>
      </c>
      <c r="AD652" s="470" t="s">
        <v>119</v>
      </c>
      <c r="AE652" s="470"/>
      <c r="AF652" s="473">
        <v>31</v>
      </c>
      <c r="AG652" s="469">
        <v>92.6</v>
      </c>
      <c r="AH652" s="470" t="s">
        <v>6292</v>
      </c>
      <c r="AI652" s="470" t="s">
        <v>6339</v>
      </c>
      <c r="AJ652" s="470" t="s">
        <v>6493</v>
      </c>
      <c r="AK652" s="470" t="s">
        <v>6493</v>
      </c>
      <c r="AL652" s="470"/>
      <c r="AM652" s="470"/>
      <c r="AN652" s="470"/>
      <c r="AO652" s="470"/>
      <c r="AP652" s="470"/>
      <c r="AQ652" s="470"/>
      <c r="AR652" s="470"/>
      <c r="AS652" s="470"/>
      <c r="AT652" s="470"/>
      <c r="AU652" s="470"/>
      <c r="AV652" s="470"/>
      <c r="AW652" s="470"/>
      <c r="AX652" s="470"/>
      <c r="AY652" s="470"/>
      <c r="AZ652" s="470"/>
      <c r="BA652" s="470"/>
      <c r="BB652" s="470"/>
      <c r="BC652" s="470"/>
      <c r="BD652" s="470"/>
      <c r="BE652" s="470"/>
      <c r="BF652" s="470"/>
      <c r="BG652" s="470"/>
      <c r="BH652" s="470"/>
      <c r="BI652" s="470"/>
      <c r="BJ652" s="470"/>
      <c r="BK652" s="470"/>
      <c r="BL652" s="474"/>
    </row>
    <row r="653" spans="1:64">
      <c r="A653" s="475">
        <v>44444</v>
      </c>
      <c r="B653" s="478">
        <v>248</v>
      </c>
      <c r="C653" s="478">
        <v>117</v>
      </c>
      <c r="D653" s="476" t="s">
        <v>631</v>
      </c>
      <c r="E653" s="477">
        <v>35</v>
      </c>
      <c r="F653" s="476" t="s">
        <v>106</v>
      </c>
      <c r="G653" s="477">
        <v>535</v>
      </c>
      <c r="H653" s="476" t="s">
        <v>6253</v>
      </c>
      <c r="I653" s="476" t="s">
        <v>836</v>
      </c>
      <c r="J653" s="477">
        <v>14</v>
      </c>
      <c r="K653" s="476" t="s">
        <v>6268</v>
      </c>
      <c r="L653" s="476" t="s">
        <v>6285</v>
      </c>
      <c r="M653" s="476" t="s">
        <v>9</v>
      </c>
      <c r="N653" s="478">
        <v>1</v>
      </c>
      <c r="O653" s="479"/>
      <c r="P653" s="479"/>
      <c r="Q653" s="479"/>
      <c r="R653" s="476"/>
      <c r="S653" s="479">
        <v>0.1605439814814815</v>
      </c>
      <c r="T653" s="479">
        <v>0.22721064814814815</v>
      </c>
      <c r="U653" s="479"/>
      <c r="V653" s="479"/>
      <c r="W653" s="479">
        <v>0.4959837962962963</v>
      </c>
      <c r="X653" s="479">
        <v>0.76474537037037038</v>
      </c>
      <c r="Y653" s="479">
        <v>0.14791666666666667</v>
      </c>
      <c r="Z653" s="479">
        <v>0.45347222222222222</v>
      </c>
      <c r="AA653" s="479">
        <v>0.75486111111111109</v>
      </c>
      <c r="AB653" s="476" t="s">
        <v>6289</v>
      </c>
      <c r="AC653" s="478">
        <v>131</v>
      </c>
      <c r="AD653" s="476" t="s">
        <v>119</v>
      </c>
      <c r="AE653" s="476"/>
      <c r="AF653" s="478">
        <v>32.200000000000003</v>
      </c>
      <c r="AG653" s="477">
        <v>90.9</v>
      </c>
      <c r="AH653" s="476" t="s">
        <v>6293</v>
      </c>
      <c r="AI653" s="476" t="s">
        <v>6340</v>
      </c>
      <c r="AJ653" s="476" t="s">
        <v>6493</v>
      </c>
      <c r="AK653" s="476" t="s">
        <v>6493</v>
      </c>
      <c r="AL653" s="476"/>
      <c r="AM653" s="476"/>
      <c r="AN653" s="476"/>
      <c r="AO653" s="476"/>
      <c r="AP653" s="476"/>
      <c r="AQ653" s="476"/>
      <c r="AR653" s="476"/>
      <c r="AS653" s="476"/>
      <c r="AT653" s="476"/>
      <c r="AU653" s="476"/>
      <c r="AV653" s="476"/>
      <c r="AW653" s="476"/>
      <c r="AX653" s="476"/>
      <c r="AY653" s="476"/>
      <c r="AZ653" s="476"/>
      <c r="BA653" s="476"/>
      <c r="BB653" s="476"/>
      <c r="BC653" s="476"/>
      <c r="BD653" s="476"/>
      <c r="BE653" s="476"/>
      <c r="BF653" s="476"/>
      <c r="BG653" s="476"/>
      <c r="BH653" s="476"/>
      <c r="BI653" s="476"/>
      <c r="BJ653" s="476"/>
      <c r="BK653" s="476"/>
      <c r="BL653" s="480"/>
    </row>
    <row r="654" spans="1:64">
      <c r="A654" s="468">
        <v>44445</v>
      </c>
      <c r="B654" s="473">
        <v>249</v>
      </c>
      <c r="C654" s="473">
        <v>116</v>
      </c>
      <c r="D654" s="470" t="s">
        <v>631</v>
      </c>
      <c r="E654" s="469">
        <v>36</v>
      </c>
      <c r="F654" s="470" t="s">
        <v>88</v>
      </c>
      <c r="G654" s="469">
        <v>535</v>
      </c>
      <c r="H654" s="470" t="s">
        <v>6253</v>
      </c>
      <c r="I654" s="470" t="s">
        <v>836</v>
      </c>
      <c r="J654" s="469">
        <v>15</v>
      </c>
      <c r="K654" s="470" t="s">
        <v>6269</v>
      </c>
      <c r="L654" s="470" t="s">
        <v>6286</v>
      </c>
      <c r="M654" s="470" t="s">
        <v>9</v>
      </c>
      <c r="N654" s="473">
        <v>1</v>
      </c>
      <c r="O654" s="471"/>
      <c r="P654" s="471"/>
      <c r="Q654" s="471"/>
      <c r="R654" s="470"/>
      <c r="S654" s="471">
        <v>0.16122685185185184</v>
      </c>
      <c r="T654" s="471">
        <v>0.2278935185185185</v>
      </c>
      <c r="U654" s="471"/>
      <c r="V654" s="471"/>
      <c r="W654" s="471">
        <v>0.49574074074074076</v>
      </c>
      <c r="X654" s="471">
        <v>0.76359953703703709</v>
      </c>
      <c r="Y654" s="471">
        <v>0.19583333333333333</v>
      </c>
      <c r="Z654" s="471">
        <v>0.48819444444444443</v>
      </c>
      <c r="AA654" s="471">
        <v>0.77500000000000002</v>
      </c>
      <c r="AB654" s="470" t="s">
        <v>6463</v>
      </c>
      <c r="AC654" s="473">
        <v>152</v>
      </c>
      <c r="AD654" s="470" t="s">
        <v>110</v>
      </c>
      <c r="AE654" s="470" t="s">
        <v>6630</v>
      </c>
      <c r="AF654" s="473">
        <v>36.200000000000003</v>
      </c>
      <c r="AG654" s="469">
        <v>91.9</v>
      </c>
      <c r="AH654" s="470" t="s">
        <v>6294</v>
      </c>
      <c r="AI654" s="470" t="s">
        <v>974</v>
      </c>
      <c r="AJ654" s="470" t="s">
        <v>6493</v>
      </c>
      <c r="AK654" s="470" t="s">
        <v>6493</v>
      </c>
      <c r="AL654" s="470"/>
      <c r="AM654" s="470"/>
      <c r="AN654" s="470"/>
      <c r="AO654" s="470"/>
      <c r="AP654" s="470"/>
      <c r="AQ654" s="470"/>
      <c r="AR654" s="470"/>
      <c r="AS654" s="470"/>
      <c r="AT654" s="470"/>
      <c r="AU654" s="470"/>
      <c r="AV654" s="470"/>
      <c r="AW654" s="470"/>
      <c r="AX654" s="470"/>
      <c r="AY654" s="470"/>
      <c r="AZ654" s="470"/>
      <c r="BA654" s="470"/>
      <c r="BB654" s="470"/>
      <c r="BC654" s="470"/>
      <c r="BD654" s="470"/>
      <c r="BE654" s="470"/>
      <c r="BF654" s="470"/>
      <c r="BG654" s="470"/>
      <c r="BH654" s="470"/>
      <c r="BI654" s="470"/>
      <c r="BJ654" s="470"/>
      <c r="BK654" s="470"/>
      <c r="BL654" s="474"/>
    </row>
    <row r="655" spans="1:64">
      <c r="A655" s="475">
        <v>44446</v>
      </c>
      <c r="B655" s="478">
        <v>250</v>
      </c>
      <c r="C655" s="478">
        <v>115</v>
      </c>
      <c r="D655" s="476" t="s">
        <v>631</v>
      </c>
      <c r="E655" s="477">
        <v>36</v>
      </c>
      <c r="F655" s="476" t="s">
        <v>91</v>
      </c>
      <c r="G655" s="477">
        <v>535</v>
      </c>
      <c r="H655" s="476" t="s">
        <v>6253</v>
      </c>
      <c r="I655" s="476" t="s">
        <v>6257</v>
      </c>
      <c r="J655" s="477">
        <v>16</v>
      </c>
      <c r="K655" s="476" t="s">
        <v>6270</v>
      </c>
      <c r="L655" s="476" t="s">
        <v>6287</v>
      </c>
      <c r="M655" s="476" t="s">
        <v>9</v>
      </c>
      <c r="N655" s="478">
        <v>1</v>
      </c>
      <c r="O655" s="479"/>
      <c r="P655" s="479"/>
      <c r="Q655" s="479"/>
      <c r="R655" s="476"/>
      <c r="S655" s="479">
        <v>0.16189814814814815</v>
      </c>
      <c r="T655" s="479">
        <v>0.22856481481481483</v>
      </c>
      <c r="U655" s="479"/>
      <c r="V655" s="479"/>
      <c r="W655" s="479">
        <v>0.4955092592592592</v>
      </c>
      <c r="X655" s="479">
        <v>0.76245370370370369</v>
      </c>
      <c r="Y655" s="479">
        <v>0.24513888888888888</v>
      </c>
      <c r="Z655" s="479">
        <v>0.52152777777777781</v>
      </c>
      <c r="AA655" s="479">
        <v>0.79375000000000007</v>
      </c>
      <c r="AB655" s="476" t="s">
        <v>6463</v>
      </c>
      <c r="AC655" s="478">
        <v>152</v>
      </c>
      <c r="AD655" s="476" t="s">
        <v>110</v>
      </c>
      <c r="AE655" s="476"/>
      <c r="AF655" s="478">
        <v>42.9</v>
      </c>
      <c r="AG655" s="477">
        <v>95.1</v>
      </c>
      <c r="AH655" s="476" t="s">
        <v>6295</v>
      </c>
      <c r="AI655" s="476" t="s">
        <v>6316</v>
      </c>
      <c r="AJ655" s="476" t="s">
        <v>6493</v>
      </c>
      <c r="AK655" s="476" t="s">
        <v>6493</v>
      </c>
      <c r="AL655" s="476" t="s">
        <v>769</v>
      </c>
      <c r="AM655" s="476"/>
      <c r="AN655" s="476"/>
      <c r="AO655" s="476"/>
      <c r="AP655" s="476"/>
      <c r="AQ655" s="476"/>
      <c r="AR655" s="476"/>
      <c r="AS655" s="476"/>
      <c r="AT655" s="476"/>
      <c r="AU655" s="476"/>
      <c r="AV655" s="476"/>
      <c r="AW655" s="476"/>
      <c r="AX655" s="476"/>
      <c r="AY655" s="476"/>
      <c r="AZ655" s="476"/>
      <c r="BA655" s="476"/>
      <c r="BB655" s="476"/>
      <c r="BC655" s="476"/>
      <c r="BD655" s="476"/>
      <c r="BE655" s="476"/>
      <c r="BF655" s="476"/>
      <c r="BG655" s="476"/>
      <c r="BH655" s="476"/>
      <c r="BI655" s="476"/>
      <c r="BJ655" s="476"/>
      <c r="BK655" s="476"/>
      <c r="BL655" s="480"/>
    </row>
    <row r="656" spans="1:64">
      <c r="A656" s="468">
        <v>44447</v>
      </c>
      <c r="B656" s="473">
        <v>251</v>
      </c>
      <c r="C656" s="473">
        <v>114</v>
      </c>
      <c r="D656" s="470" t="s">
        <v>631</v>
      </c>
      <c r="E656" s="469">
        <v>36</v>
      </c>
      <c r="F656" s="470" t="s">
        <v>94</v>
      </c>
      <c r="G656" s="469">
        <v>535</v>
      </c>
      <c r="H656" s="470" t="s">
        <v>6253</v>
      </c>
      <c r="I656" s="470" t="s">
        <v>6257</v>
      </c>
      <c r="J656" s="469">
        <v>17</v>
      </c>
      <c r="K656" s="470" t="s">
        <v>1034</v>
      </c>
      <c r="L656" s="470" t="s">
        <v>6273</v>
      </c>
      <c r="M656" s="470" t="s">
        <v>9</v>
      </c>
      <c r="N656" s="473">
        <v>1</v>
      </c>
      <c r="O656" s="471"/>
      <c r="P656" s="471"/>
      <c r="Q656" s="471"/>
      <c r="R656" s="470"/>
      <c r="S656" s="471">
        <v>0.16256944444444446</v>
      </c>
      <c r="T656" s="471">
        <v>0.22923611111111111</v>
      </c>
      <c r="U656" s="471"/>
      <c r="V656" s="471"/>
      <c r="W656" s="471">
        <v>0.49526620370370367</v>
      </c>
      <c r="X656" s="471">
        <v>0.76129629629629625</v>
      </c>
      <c r="Y656" s="471">
        <v>0.29375000000000001</v>
      </c>
      <c r="Z656" s="471">
        <v>0.55486111111111114</v>
      </c>
      <c r="AA656" s="471">
        <v>0.81180555555555556</v>
      </c>
      <c r="AB656" s="470" t="s">
        <v>6463</v>
      </c>
      <c r="AC656" s="473">
        <v>152</v>
      </c>
      <c r="AD656" s="470" t="s">
        <v>110</v>
      </c>
      <c r="AE656" s="470"/>
      <c r="AF656" s="473">
        <v>51.6</v>
      </c>
      <c r="AG656" s="469">
        <v>0.2</v>
      </c>
      <c r="AH656" s="470" t="s">
        <v>6297</v>
      </c>
      <c r="AI656" s="470" t="s">
        <v>6317</v>
      </c>
      <c r="AJ656" s="470" t="s">
        <v>6493</v>
      </c>
      <c r="AK656" s="470" t="s">
        <v>6493</v>
      </c>
      <c r="AL656" s="470"/>
      <c r="AM656" s="470"/>
      <c r="AN656" s="470"/>
      <c r="AO656" s="470"/>
      <c r="AP656" s="470"/>
      <c r="AQ656" s="470"/>
      <c r="AR656" s="470"/>
      <c r="AS656" s="470"/>
      <c r="AT656" s="470"/>
      <c r="AU656" s="470"/>
      <c r="AV656" s="470"/>
      <c r="AW656" s="470"/>
      <c r="AX656" s="470"/>
      <c r="AY656" s="470"/>
      <c r="AZ656" s="470"/>
      <c r="BA656" s="470"/>
      <c r="BB656" s="470"/>
      <c r="BC656" s="470"/>
      <c r="BD656" s="470"/>
      <c r="BE656" s="470"/>
      <c r="BF656" s="470"/>
      <c r="BG656" s="470"/>
      <c r="BH656" s="470"/>
      <c r="BI656" s="470"/>
      <c r="BJ656" s="470"/>
      <c r="BK656" s="470"/>
      <c r="BL656" s="474"/>
    </row>
    <row r="657" spans="1:64">
      <c r="A657" s="475">
        <v>44448</v>
      </c>
      <c r="B657" s="478">
        <v>252</v>
      </c>
      <c r="C657" s="478">
        <v>113</v>
      </c>
      <c r="D657" s="476" t="s">
        <v>631</v>
      </c>
      <c r="E657" s="477">
        <v>36</v>
      </c>
      <c r="F657" s="476" t="s">
        <v>6714</v>
      </c>
      <c r="G657" s="477">
        <v>535</v>
      </c>
      <c r="H657" s="476" t="s">
        <v>6253</v>
      </c>
      <c r="I657" s="476" t="s">
        <v>6257</v>
      </c>
      <c r="J657" s="477">
        <v>18</v>
      </c>
      <c r="K657" s="476" t="s">
        <v>6258</v>
      </c>
      <c r="L657" s="476" t="s">
        <v>6274</v>
      </c>
      <c r="M657" s="476" t="s">
        <v>9</v>
      </c>
      <c r="N657" s="478">
        <v>1</v>
      </c>
      <c r="O657" s="479"/>
      <c r="P657" s="479"/>
      <c r="Q657" s="479"/>
      <c r="R657" s="476"/>
      <c r="S657" s="479">
        <v>0.16325231481481481</v>
      </c>
      <c r="T657" s="479">
        <v>0.22991898148148149</v>
      </c>
      <c r="U657" s="479"/>
      <c r="V657" s="479"/>
      <c r="W657" s="479">
        <v>0.49502314814814818</v>
      </c>
      <c r="X657" s="479">
        <v>0.76013888888888881</v>
      </c>
      <c r="Y657" s="479">
        <v>0.3444444444444445</v>
      </c>
      <c r="Z657" s="479">
        <v>0.58888888888888891</v>
      </c>
      <c r="AA657" s="479">
        <v>0.83124999999999993</v>
      </c>
      <c r="AB657" s="476" t="s">
        <v>6463</v>
      </c>
      <c r="AC657" s="478">
        <v>152</v>
      </c>
      <c r="AD657" s="476" t="s">
        <v>110</v>
      </c>
      <c r="AE657" s="476"/>
      <c r="AF657" s="478">
        <v>61.6</v>
      </c>
      <c r="AG657" s="477">
        <v>6.6</v>
      </c>
      <c r="AH657" s="476" t="s">
        <v>6298</v>
      </c>
      <c r="AI657" s="476" t="s">
        <v>6318</v>
      </c>
      <c r="AJ657" s="476" t="s">
        <v>6493</v>
      </c>
      <c r="AK657" s="476" t="s">
        <v>6493</v>
      </c>
      <c r="AL657" s="476"/>
      <c r="AM657" s="476"/>
      <c r="AN657" s="476"/>
      <c r="AO657" s="476"/>
      <c r="AP657" s="476"/>
      <c r="AQ657" s="476"/>
      <c r="AR657" s="476"/>
      <c r="AS657" s="476"/>
      <c r="AT657" s="476"/>
      <c r="AU657" s="476"/>
      <c r="AV657" s="476"/>
      <c r="AW657" s="476"/>
      <c r="AX657" s="476"/>
      <c r="AY657" s="476"/>
      <c r="AZ657" s="476"/>
      <c r="BA657" s="476"/>
      <c r="BB657" s="476"/>
      <c r="BC657" s="476"/>
      <c r="BD657" s="476"/>
      <c r="BE657" s="476"/>
      <c r="BF657" s="476"/>
      <c r="BG657" s="476"/>
      <c r="BH657" s="476"/>
      <c r="BI657" s="476"/>
      <c r="BJ657" s="476"/>
      <c r="BK657" s="476"/>
      <c r="BL657" s="480"/>
    </row>
    <row r="658" spans="1:64">
      <c r="A658" s="468">
        <v>44449</v>
      </c>
      <c r="B658" s="473">
        <v>253</v>
      </c>
      <c r="C658" s="473">
        <v>112</v>
      </c>
      <c r="D658" s="470" t="s">
        <v>631</v>
      </c>
      <c r="E658" s="469">
        <v>36</v>
      </c>
      <c r="F658" s="470" t="s">
        <v>100</v>
      </c>
      <c r="G658" s="469">
        <v>535</v>
      </c>
      <c r="H658" s="470" t="s">
        <v>6253</v>
      </c>
      <c r="I658" s="470" t="s">
        <v>6257</v>
      </c>
      <c r="J658" s="469">
        <v>19</v>
      </c>
      <c r="K658" s="470" t="s">
        <v>6259</v>
      </c>
      <c r="L658" s="470" t="s">
        <v>6275</v>
      </c>
      <c r="M658" s="470" t="s">
        <v>9</v>
      </c>
      <c r="N658" s="473">
        <v>1</v>
      </c>
      <c r="O658" s="471"/>
      <c r="P658" s="471"/>
      <c r="Q658" s="471"/>
      <c r="R658" s="470"/>
      <c r="S658" s="471">
        <v>0.16392361111111112</v>
      </c>
      <c r="T658" s="471">
        <v>0.23059027777777777</v>
      </c>
      <c r="U658" s="471"/>
      <c r="V658" s="471"/>
      <c r="W658" s="471">
        <v>0.49478009259259265</v>
      </c>
      <c r="X658" s="471">
        <v>0.75898148148148159</v>
      </c>
      <c r="Y658" s="471">
        <v>0.39513888888888887</v>
      </c>
      <c r="Z658" s="471">
        <v>0.62361111111111112</v>
      </c>
      <c r="AA658" s="471">
        <v>0.85069444444444453</v>
      </c>
      <c r="AB658" s="470" t="s">
        <v>6463</v>
      </c>
      <c r="AC658" s="473">
        <v>152</v>
      </c>
      <c r="AD658" s="470" t="s">
        <v>110</v>
      </c>
      <c r="AE658" s="470"/>
      <c r="AF658" s="473">
        <v>72.5</v>
      </c>
      <c r="AG658" s="469">
        <v>13.6</v>
      </c>
      <c r="AH658" s="470" t="s">
        <v>6299</v>
      </c>
      <c r="AI658" s="470" t="s">
        <v>6319</v>
      </c>
      <c r="AJ658" s="470" t="s">
        <v>6493</v>
      </c>
      <c r="AK658" s="470" t="s">
        <v>6493</v>
      </c>
      <c r="AL658" s="470"/>
      <c r="AM658" s="470"/>
      <c r="AN658" s="470"/>
      <c r="AO658" s="470"/>
      <c r="AP658" s="470"/>
      <c r="AQ658" s="470"/>
      <c r="AR658" s="470"/>
      <c r="AS658" s="470"/>
      <c r="AT658" s="470"/>
      <c r="AU658" s="470"/>
      <c r="AV658" s="470"/>
      <c r="AW658" s="470"/>
      <c r="AX658" s="470"/>
      <c r="AY658" s="470"/>
      <c r="AZ658" s="470"/>
      <c r="BA658" s="470"/>
      <c r="BB658" s="470"/>
      <c r="BC658" s="470"/>
      <c r="BD658" s="470"/>
      <c r="BE658" s="470"/>
      <c r="BF658" s="470"/>
      <c r="BG658" s="470"/>
      <c r="BH658" s="470"/>
      <c r="BI658" s="470"/>
      <c r="BJ658" s="470"/>
      <c r="BK658" s="470"/>
      <c r="BL658" s="474"/>
    </row>
    <row r="659" spans="1:64">
      <c r="A659" s="475">
        <v>44450</v>
      </c>
      <c r="B659" s="478">
        <v>254</v>
      </c>
      <c r="C659" s="478">
        <v>111</v>
      </c>
      <c r="D659" s="476" t="s">
        <v>631</v>
      </c>
      <c r="E659" s="477">
        <v>36</v>
      </c>
      <c r="F659" s="476" t="s">
        <v>103</v>
      </c>
      <c r="G659" s="477">
        <v>535</v>
      </c>
      <c r="H659" s="476" t="s">
        <v>6253</v>
      </c>
      <c r="I659" s="476" t="s">
        <v>6257</v>
      </c>
      <c r="J659" s="477">
        <v>20</v>
      </c>
      <c r="K659" s="476" t="s">
        <v>6260</v>
      </c>
      <c r="L659" s="476" t="s">
        <v>6276</v>
      </c>
      <c r="M659" s="476" t="s">
        <v>9</v>
      </c>
      <c r="N659" s="478">
        <v>1</v>
      </c>
      <c r="O659" s="479"/>
      <c r="P659" s="479"/>
      <c r="Q659" s="479"/>
      <c r="R659" s="476"/>
      <c r="S659" s="479">
        <v>0.16459490740740743</v>
      </c>
      <c r="T659" s="479">
        <v>0.23126157407407408</v>
      </c>
      <c r="U659" s="479"/>
      <c r="V659" s="479"/>
      <c r="W659" s="479">
        <v>0.49453703703703705</v>
      </c>
      <c r="X659" s="479">
        <v>0.7578125</v>
      </c>
      <c r="Y659" s="479">
        <v>0.44722222222222219</v>
      </c>
      <c r="Z659" s="479">
        <v>0.66041666666666665</v>
      </c>
      <c r="AA659" s="479">
        <v>0.87361111111111101</v>
      </c>
      <c r="AB659" s="476" t="s">
        <v>6463</v>
      </c>
      <c r="AC659" s="478">
        <v>152</v>
      </c>
      <c r="AD659" s="476" t="s">
        <v>110</v>
      </c>
      <c r="AE659" s="476"/>
      <c r="AF659" s="478">
        <v>83.4</v>
      </c>
      <c r="AG659" s="477">
        <v>20.7</v>
      </c>
      <c r="AH659" s="476" t="s">
        <v>6300</v>
      </c>
      <c r="AI659" s="476" t="s">
        <v>6320</v>
      </c>
      <c r="AJ659" s="476" t="s">
        <v>839</v>
      </c>
      <c r="AK659" s="476" t="s">
        <v>6493</v>
      </c>
      <c r="AL659" s="476" t="s">
        <v>6811</v>
      </c>
      <c r="AM659" s="476" t="s">
        <v>6346</v>
      </c>
      <c r="AN659" s="476"/>
      <c r="AO659" s="476"/>
      <c r="AP659" s="476"/>
      <c r="AQ659" s="476"/>
      <c r="AR659" s="476"/>
      <c r="AS659" s="476"/>
      <c r="AT659" s="476"/>
      <c r="AU659" s="476"/>
      <c r="AV659" s="476"/>
      <c r="AW659" s="476"/>
      <c r="AX659" s="476"/>
      <c r="AY659" s="476"/>
      <c r="AZ659" s="476"/>
      <c r="BA659" s="476"/>
      <c r="BB659" s="476"/>
      <c r="BC659" s="476"/>
      <c r="BD659" s="476"/>
      <c r="BE659" s="476"/>
      <c r="BF659" s="476"/>
      <c r="BG659" s="476"/>
      <c r="BH659" s="476"/>
      <c r="BI659" s="476"/>
      <c r="BJ659" s="476" t="s">
        <v>1030</v>
      </c>
      <c r="BK659" s="476"/>
      <c r="BL659" s="480"/>
    </row>
    <row r="660" spans="1:64">
      <c r="A660" s="468">
        <v>44451</v>
      </c>
      <c r="B660" s="473">
        <v>255</v>
      </c>
      <c r="C660" s="473">
        <v>110</v>
      </c>
      <c r="D660" s="470" t="s">
        <v>631</v>
      </c>
      <c r="E660" s="469">
        <v>36</v>
      </c>
      <c r="F660" s="470" t="s">
        <v>106</v>
      </c>
      <c r="G660" s="469">
        <v>535</v>
      </c>
      <c r="H660" s="470" t="s">
        <v>6253</v>
      </c>
      <c r="I660" s="470" t="s">
        <v>6257</v>
      </c>
      <c r="J660" s="469">
        <v>21</v>
      </c>
      <c r="K660" s="470" t="s">
        <v>6261</v>
      </c>
      <c r="L660" s="470" t="s">
        <v>6277</v>
      </c>
      <c r="M660" s="470" t="s">
        <v>9</v>
      </c>
      <c r="N660" s="473">
        <v>1</v>
      </c>
      <c r="O660" s="471"/>
      <c r="P660" s="471"/>
      <c r="Q660" s="471"/>
      <c r="R660" s="470"/>
      <c r="S660" s="471">
        <v>0.16527777777777777</v>
      </c>
      <c r="T660" s="471">
        <v>0.23194444444444443</v>
      </c>
      <c r="U660" s="471"/>
      <c r="V660" s="471"/>
      <c r="W660" s="471">
        <v>0.49429398148148151</v>
      </c>
      <c r="X660" s="471">
        <v>0.75664351851851841</v>
      </c>
      <c r="Y660" s="471">
        <v>0.4993055555555555</v>
      </c>
      <c r="Z660" s="471">
        <v>0.7006944444444444</v>
      </c>
      <c r="AA660" s="471">
        <v>0.90138888888888891</v>
      </c>
      <c r="AB660" s="470" t="s">
        <v>6463</v>
      </c>
      <c r="AC660" s="473">
        <v>152</v>
      </c>
      <c r="AD660" s="470" t="s">
        <v>110</v>
      </c>
      <c r="AE660" s="470"/>
      <c r="AF660" s="473">
        <v>94</v>
      </c>
      <c r="AG660" s="469">
        <v>27.6</v>
      </c>
      <c r="AH660" s="470" t="s">
        <v>6301</v>
      </c>
      <c r="AI660" s="470" t="s">
        <v>6321</v>
      </c>
      <c r="AJ660" s="470" t="s">
        <v>839</v>
      </c>
      <c r="AK660" s="470" t="s">
        <v>6493</v>
      </c>
      <c r="AL660" s="470" t="s">
        <v>1224</v>
      </c>
      <c r="AM660" s="470" t="s">
        <v>6344</v>
      </c>
      <c r="AN660" s="470"/>
      <c r="AO660" s="470"/>
      <c r="AP660" s="470"/>
      <c r="AQ660" s="470"/>
      <c r="AR660" s="470"/>
      <c r="AS660" s="470"/>
      <c r="AT660" s="470"/>
      <c r="AU660" s="470"/>
      <c r="AV660" s="470"/>
      <c r="AW660" s="470"/>
      <c r="AX660" s="470"/>
      <c r="AY660" s="470"/>
      <c r="AZ660" s="470"/>
      <c r="BA660" s="470"/>
      <c r="BB660" s="470"/>
      <c r="BC660" s="470"/>
      <c r="BD660" s="470"/>
      <c r="BE660" s="470"/>
      <c r="BF660" s="470"/>
      <c r="BG660" s="470"/>
      <c r="BH660" s="470"/>
      <c r="BI660" s="470"/>
      <c r="BJ660" s="470" t="s">
        <v>6403</v>
      </c>
      <c r="BK660" s="470"/>
      <c r="BL660" s="474"/>
    </row>
    <row r="661" spans="1:64">
      <c r="A661" s="475">
        <v>44452</v>
      </c>
      <c r="B661" s="478">
        <v>256</v>
      </c>
      <c r="C661" s="478">
        <v>109</v>
      </c>
      <c r="D661" s="476" t="s">
        <v>631</v>
      </c>
      <c r="E661" s="477">
        <v>37</v>
      </c>
      <c r="F661" s="476" t="s">
        <v>88</v>
      </c>
      <c r="G661" s="477">
        <v>535</v>
      </c>
      <c r="H661" s="476" t="s">
        <v>6253</v>
      </c>
      <c r="I661" s="476" t="s">
        <v>6257</v>
      </c>
      <c r="J661" s="477">
        <v>23</v>
      </c>
      <c r="K661" s="476" t="s">
        <v>6263</v>
      </c>
      <c r="L661" s="476" t="s">
        <v>6278</v>
      </c>
      <c r="M661" s="476" t="s">
        <v>9</v>
      </c>
      <c r="N661" s="478">
        <v>1</v>
      </c>
      <c r="O661" s="479">
        <v>0.28611111111111115</v>
      </c>
      <c r="P661" s="479">
        <v>0.19583333333333333</v>
      </c>
      <c r="Q661" s="479"/>
      <c r="R661" s="476"/>
      <c r="S661" s="479">
        <v>0.16594907407407408</v>
      </c>
      <c r="T661" s="479">
        <v>0.23261574074074076</v>
      </c>
      <c r="U661" s="479"/>
      <c r="V661" s="479"/>
      <c r="W661" s="479">
        <v>0.49405092592592598</v>
      </c>
      <c r="X661" s="479">
        <v>0.75547453703703704</v>
      </c>
      <c r="Y661" s="479">
        <v>0.54999999999999993</v>
      </c>
      <c r="Z661" s="479">
        <v>0.7416666666666667</v>
      </c>
      <c r="AA661" s="479">
        <v>0.93402777777777779</v>
      </c>
      <c r="AB661" s="476" t="s">
        <v>6464</v>
      </c>
      <c r="AC661" s="478">
        <v>130</v>
      </c>
      <c r="AD661" s="476" t="s">
        <v>113</v>
      </c>
      <c r="AE661" s="476" t="s">
        <v>6631</v>
      </c>
      <c r="AF661" s="478">
        <v>4</v>
      </c>
      <c r="AG661" s="477">
        <v>33.9</v>
      </c>
      <c r="AH661" s="476" t="s">
        <v>6302</v>
      </c>
      <c r="AI661" s="476" t="s">
        <v>6322</v>
      </c>
      <c r="AJ661" s="476" t="s">
        <v>874</v>
      </c>
      <c r="AK661" s="476" t="s">
        <v>6493</v>
      </c>
      <c r="AL661" s="476" t="s">
        <v>6812</v>
      </c>
      <c r="AM661" s="476" t="s">
        <v>6347</v>
      </c>
      <c r="AN661" s="476" t="s">
        <v>6900</v>
      </c>
      <c r="AO661" s="476" t="s">
        <v>6351</v>
      </c>
      <c r="AP661" s="476" t="s">
        <v>7049</v>
      </c>
      <c r="AQ661" s="476"/>
      <c r="AR661" s="476"/>
      <c r="AS661" s="476"/>
      <c r="AT661" s="476"/>
      <c r="AU661" s="476"/>
      <c r="AV661" s="476"/>
      <c r="AW661" s="476"/>
      <c r="AX661" s="476"/>
      <c r="AY661" s="476"/>
      <c r="AZ661" s="476"/>
      <c r="BA661" s="476"/>
      <c r="BB661" s="476"/>
      <c r="BC661" s="476"/>
      <c r="BD661" s="476"/>
      <c r="BE661" s="476"/>
      <c r="BF661" s="476"/>
      <c r="BG661" s="476"/>
      <c r="BH661" s="476"/>
      <c r="BI661" s="476"/>
      <c r="BJ661" s="476" t="s">
        <v>6564</v>
      </c>
      <c r="BK661" s="476"/>
      <c r="BL661" s="480"/>
    </row>
    <row r="662" spans="1:64">
      <c r="A662" s="468">
        <v>44453</v>
      </c>
      <c r="B662" s="473">
        <v>257</v>
      </c>
      <c r="C662" s="473">
        <v>108</v>
      </c>
      <c r="D662" s="470" t="s">
        <v>631</v>
      </c>
      <c r="E662" s="469">
        <v>37</v>
      </c>
      <c r="F662" s="470" t="s">
        <v>91</v>
      </c>
      <c r="G662" s="469">
        <v>535</v>
      </c>
      <c r="H662" s="470" t="s">
        <v>6253</v>
      </c>
      <c r="I662" s="470" t="s">
        <v>6257</v>
      </c>
      <c r="J662" s="469">
        <v>24</v>
      </c>
      <c r="K662" s="470" t="s">
        <v>6264</v>
      </c>
      <c r="L662" s="470" t="s">
        <v>6280</v>
      </c>
      <c r="M662" s="470" t="s">
        <v>9</v>
      </c>
      <c r="N662" s="473">
        <v>1</v>
      </c>
      <c r="O662" s="471"/>
      <c r="P662" s="471"/>
      <c r="Q662" s="471"/>
      <c r="R662" s="470"/>
      <c r="S662" s="471">
        <v>0.16663194444444443</v>
      </c>
      <c r="T662" s="471">
        <v>0.23329861111111114</v>
      </c>
      <c r="U662" s="471"/>
      <c r="V662" s="471"/>
      <c r="W662" s="471">
        <v>0.49379629629629629</v>
      </c>
      <c r="X662" s="471">
        <v>0.75430555555555545</v>
      </c>
      <c r="Y662" s="471">
        <v>0.59722222222222221</v>
      </c>
      <c r="Z662" s="471">
        <v>0.74236111111111114</v>
      </c>
      <c r="AA662" s="471">
        <v>0.97361111111111109</v>
      </c>
      <c r="AB662" s="470" t="s">
        <v>6464</v>
      </c>
      <c r="AC662" s="473">
        <v>130</v>
      </c>
      <c r="AD662" s="470" t="s">
        <v>113</v>
      </c>
      <c r="AE662" s="470"/>
      <c r="AF662" s="473">
        <v>13.2</v>
      </c>
      <c r="AG662" s="469">
        <v>39.5</v>
      </c>
      <c r="AH662" s="470" t="s">
        <v>6303</v>
      </c>
      <c r="AI662" s="470" t="s">
        <v>6323</v>
      </c>
      <c r="AJ662" s="470" t="s">
        <v>6493</v>
      </c>
      <c r="AK662" s="470" t="s">
        <v>6493</v>
      </c>
      <c r="AL662" s="470"/>
      <c r="AM662" s="470"/>
      <c r="AN662" s="470"/>
      <c r="AO662" s="470"/>
      <c r="AP662" s="470"/>
      <c r="AQ662" s="470"/>
      <c r="AR662" s="470"/>
      <c r="AS662" s="470"/>
      <c r="AT662" s="470"/>
      <c r="AU662" s="470"/>
      <c r="AV662" s="470"/>
      <c r="AW662" s="470"/>
      <c r="AX662" s="470"/>
      <c r="AY662" s="470"/>
      <c r="AZ662" s="470"/>
      <c r="BA662" s="470"/>
      <c r="BB662" s="470"/>
      <c r="BC662" s="470"/>
      <c r="BD662" s="470"/>
      <c r="BE662" s="470"/>
      <c r="BF662" s="470"/>
      <c r="BG662" s="470"/>
      <c r="BH662" s="470"/>
      <c r="BI662" s="470"/>
      <c r="BJ662" s="470"/>
      <c r="BK662" s="470"/>
      <c r="BL662" s="474"/>
    </row>
    <row r="663" spans="1:64">
      <c r="A663" s="475">
        <v>44454</v>
      </c>
      <c r="B663" s="478">
        <v>258</v>
      </c>
      <c r="C663" s="478">
        <v>107</v>
      </c>
      <c r="D663" s="476" t="s">
        <v>631</v>
      </c>
      <c r="E663" s="477">
        <v>37</v>
      </c>
      <c r="F663" s="476" t="s">
        <v>94</v>
      </c>
      <c r="G663" s="477">
        <v>535</v>
      </c>
      <c r="H663" s="476" t="s">
        <v>6253</v>
      </c>
      <c r="I663" s="476" t="s">
        <v>6257</v>
      </c>
      <c r="J663" s="477">
        <v>25</v>
      </c>
      <c r="K663" s="476" t="s">
        <v>6265</v>
      </c>
      <c r="L663" s="476" t="s">
        <v>6281</v>
      </c>
      <c r="M663" s="476" t="s">
        <v>9</v>
      </c>
      <c r="N663" s="478">
        <v>1</v>
      </c>
      <c r="O663" s="479"/>
      <c r="P663" s="479"/>
      <c r="Q663" s="479"/>
      <c r="R663" s="476"/>
      <c r="S663" s="479">
        <v>0.16730324074074074</v>
      </c>
      <c r="T663" s="479">
        <v>0.23396990740740742</v>
      </c>
      <c r="U663" s="479"/>
      <c r="V663" s="479"/>
      <c r="W663" s="479">
        <v>0.49355324074074075</v>
      </c>
      <c r="X663" s="479">
        <v>0.75313657407407408</v>
      </c>
      <c r="Y663" s="479">
        <v>0.63750000000000007</v>
      </c>
      <c r="Z663" s="479">
        <v>0.82847222222222217</v>
      </c>
      <c r="AA663" s="479" t="s">
        <v>1107</v>
      </c>
      <c r="AB663" s="476" t="s">
        <v>6464</v>
      </c>
      <c r="AC663" s="478">
        <v>130</v>
      </c>
      <c r="AD663" s="476" t="s">
        <v>113</v>
      </c>
      <c r="AE663" s="476"/>
      <c r="AF663" s="478">
        <v>21.5</v>
      </c>
      <c r="AG663" s="477">
        <v>44.3</v>
      </c>
      <c r="AH663" s="476" t="s">
        <v>6304</v>
      </c>
      <c r="AI663" s="476" t="s">
        <v>6324</v>
      </c>
      <c r="AJ663" s="476" t="s">
        <v>839</v>
      </c>
      <c r="AK663" s="476" t="s">
        <v>6493</v>
      </c>
      <c r="AL663" s="476" t="s">
        <v>6813</v>
      </c>
      <c r="AM663" s="476" t="s">
        <v>6349</v>
      </c>
      <c r="AN663" s="476"/>
      <c r="AO663" s="476"/>
      <c r="AP663" s="476"/>
      <c r="AQ663" s="476"/>
      <c r="AR663" s="476"/>
      <c r="AS663" s="476"/>
      <c r="AT663" s="476"/>
      <c r="AU663" s="476"/>
      <c r="AV663" s="476"/>
      <c r="AW663" s="476"/>
      <c r="AX663" s="476"/>
      <c r="AY663" s="476"/>
      <c r="AZ663" s="476"/>
      <c r="BA663" s="476"/>
      <c r="BB663" s="476"/>
      <c r="BC663" s="476"/>
      <c r="BD663" s="476"/>
      <c r="BE663" s="476"/>
      <c r="BF663" s="476"/>
      <c r="BG663" s="476"/>
      <c r="BH663" s="476"/>
      <c r="BI663" s="476"/>
      <c r="BJ663" s="476"/>
      <c r="BK663" s="476" t="s">
        <v>985</v>
      </c>
      <c r="BL663" s="480"/>
    </row>
    <row r="664" spans="1:64">
      <c r="A664" s="468">
        <v>44455</v>
      </c>
      <c r="B664" s="473">
        <v>259</v>
      </c>
      <c r="C664" s="473">
        <v>106</v>
      </c>
      <c r="D664" s="470" t="s">
        <v>631</v>
      </c>
      <c r="E664" s="469">
        <v>37</v>
      </c>
      <c r="F664" s="470" t="s">
        <v>6714</v>
      </c>
      <c r="G664" s="469">
        <v>535</v>
      </c>
      <c r="H664" s="470" t="s">
        <v>6253</v>
      </c>
      <c r="I664" s="470" t="s">
        <v>6257</v>
      </c>
      <c r="J664" s="469">
        <v>26</v>
      </c>
      <c r="K664" s="470" t="s">
        <v>6271</v>
      </c>
      <c r="L664" s="470" t="s">
        <v>6282</v>
      </c>
      <c r="M664" s="470" t="s">
        <v>9</v>
      </c>
      <c r="N664" s="473">
        <v>1</v>
      </c>
      <c r="O664" s="471"/>
      <c r="P664" s="471"/>
      <c r="Q664" s="471"/>
      <c r="R664" s="470"/>
      <c r="S664" s="471">
        <v>0.16798611111111109</v>
      </c>
      <c r="T664" s="471">
        <v>0.23465277777777779</v>
      </c>
      <c r="U664" s="471"/>
      <c r="V664" s="471"/>
      <c r="W664" s="471">
        <v>0.49331018518518516</v>
      </c>
      <c r="X664" s="471">
        <v>0.75196759259259249</v>
      </c>
      <c r="Y664" s="471">
        <v>0.67222222222222217</v>
      </c>
      <c r="Z664" s="471">
        <v>0.86875000000000002</v>
      </c>
      <c r="AA664" s="471">
        <v>1.8055555555555557E-2</v>
      </c>
      <c r="AB664" s="470" t="s">
        <v>6464</v>
      </c>
      <c r="AC664" s="473">
        <v>130</v>
      </c>
      <c r="AD664" s="470" t="s">
        <v>113</v>
      </c>
      <c r="AE664" s="470"/>
      <c r="AF664" s="473">
        <v>28.9</v>
      </c>
      <c r="AG664" s="469">
        <v>48.3</v>
      </c>
      <c r="AH664" s="470" t="s">
        <v>6305</v>
      </c>
      <c r="AI664" s="470" t="s">
        <v>6325</v>
      </c>
      <c r="AJ664" s="470" t="s">
        <v>8</v>
      </c>
      <c r="AK664" s="470" t="s">
        <v>13</v>
      </c>
      <c r="AL664" s="470" t="s">
        <v>6814</v>
      </c>
      <c r="AM664" s="470" t="s">
        <v>6342</v>
      </c>
      <c r="AN664" s="470" t="s">
        <v>6997</v>
      </c>
      <c r="AO664" s="470" t="s">
        <v>6351</v>
      </c>
      <c r="AP664" s="470" t="s">
        <v>7030</v>
      </c>
      <c r="AQ664" s="470" t="s">
        <v>6351</v>
      </c>
      <c r="AR664" s="470" t="s">
        <v>7062</v>
      </c>
      <c r="AS664" s="470" t="s">
        <v>6349</v>
      </c>
      <c r="AT664" s="470"/>
      <c r="AU664" s="470"/>
      <c r="AV664" s="470"/>
      <c r="AW664" s="470"/>
      <c r="AX664" s="470"/>
      <c r="AY664" s="470"/>
      <c r="AZ664" s="470"/>
      <c r="BA664" s="470"/>
      <c r="BB664" s="470"/>
      <c r="BC664" s="470"/>
      <c r="BD664" s="470"/>
      <c r="BE664" s="470"/>
      <c r="BF664" s="470"/>
      <c r="BG664" s="470"/>
      <c r="BH664" s="470"/>
      <c r="BI664" s="470"/>
      <c r="BJ664" s="470" t="s">
        <v>6434</v>
      </c>
      <c r="BK664" s="470" t="s">
        <v>986</v>
      </c>
      <c r="BL664" s="474"/>
    </row>
    <row r="665" spans="1:64">
      <c r="A665" s="475">
        <v>44456</v>
      </c>
      <c r="B665" s="478">
        <v>260</v>
      </c>
      <c r="C665" s="478">
        <v>105</v>
      </c>
      <c r="D665" s="476" t="s">
        <v>631</v>
      </c>
      <c r="E665" s="477">
        <v>37</v>
      </c>
      <c r="F665" s="476" t="s">
        <v>100</v>
      </c>
      <c r="G665" s="477">
        <v>535</v>
      </c>
      <c r="H665" s="476" t="s">
        <v>6253</v>
      </c>
      <c r="I665" s="476" t="s">
        <v>6257</v>
      </c>
      <c r="J665" s="477">
        <v>27</v>
      </c>
      <c r="K665" s="476" t="s">
        <v>6266</v>
      </c>
      <c r="L665" s="476" t="s">
        <v>6283</v>
      </c>
      <c r="M665" s="476" t="s">
        <v>9</v>
      </c>
      <c r="N665" s="478">
        <v>1</v>
      </c>
      <c r="O665" s="479"/>
      <c r="P665" s="479"/>
      <c r="Q665" s="479">
        <v>0.61024305555555558</v>
      </c>
      <c r="R665" s="476" t="s">
        <v>23</v>
      </c>
      <c r="S665" s="479">
        <v>0.16866898148148149</v>
      </c>
      <c r="T665" s="479">
        <v>0.23533564814814814</v>
      </c>
      <c r="U665" s="479">
        <v>0.23472222222222219</v>
      </c>
      <c r="V665" s="479">
        <v>0.4069444444444445</v>
      </c>
      <c r="W665" s="479">
        <v>0.49305555555555558</v>
      </c>
      <c r="X665" s="479">
        <v>0.75078703703703698</v>
      </c>
      <c r="Y665" s="479">
        <v>0.69930555555555562</v>
      </c>
      <c r="Z665" s="479">
        <v>0.90763888888888899</v>
      </c>
      <c r="AA665" s="479">
        <v>6.6666666666666666E-2</v>
      </c>
      <c r="AB665" s="476" t="s">
        <v>6464</v>
      </c>
      <c r="AC665" s="478">
        <v>130</v>
      </c>
      <c r="AD665" s="476" t="s">
        <v>113</v>
      </c>
      <c r="AE665" s="476"/>
      <c r="AF665" s="478">
        <v>35.200000000000003</v>
      </c>
      <c r="AG665" s="477">
        <v>51.2</v>
      </c>
      <c r="AH665" s="476" t="s">
        <v>6306</v>
      </c>
      <c r="AI665" s="476" t="s">
        <v>6326</v>
      </c>
      <c r="AJ665" s="476" t="s">
        <v>840</v>
      </c>
      <c r="AK665" s="476" t="s">
        <v>6493</v>
      </c>
      <c r="AL665" s="476" t="s">
        <v>6880</v>
      </c>
      <c r="AM665" s="476" t="s">
        <v>6343</v>
      </c>
      <c r="AN665" s="476" t="s">
        <v>6957</v>
      </c>
      <c r="AO665" s="476" t="s">
        <v>6347</v>
      </c>
      <c r="AP665" s="476" t="s">
        <v>7010</v>
      </c>
      <c r="AQ665" s="476" t="s">
        <v>6352</v>
      </c>
      <c r="AR665" s="476" t="s">
        <v>7063</v>
      </c>
      <c r="AS665" s="476" t="s">
        <v>6346</v>
      </c>
      <c r="AT665" s="476" t="s">
        <v>7083</v>
      </c>
      <c r="AU665" s="476"/>
      <c r="AV665" s="476"/>
      <c r="AW665" s="476"/>
      <c r="AX665" s="476"/>
      <c r="AY665" s="476"/>
      <c r="AZ665" s="476"/>
      <c r="BA665" s="476"/>
      <c r="BB665" s="476"/>
      <c r="BC665" s="476"/>
      <c r="BD665" s="476"/>
      <c r="BE665" s="476"/>
      <c r="BF665" s="476"/>
      <c r="BG665" s="476"/>
      <c r="BH665" s="476"/>
      <c r="BI665" s="476"/>
      <c r="BJ665" s="476" t="s">
        <v>6657</v>
      </c>
      <c r="BK665" s="476"/>
      <c r="BL665" s="480"/>
    </row>
    <row r="666" spans="1:64">
      <c r="A666" s="468">
        <v>44457</v>
      </c>
      <c r="B666" s="473">
        <v>261</v>
      </c>
      <c r="C666" s="473">
        <v>104</v>
      </c>
      <c r="D666" s="470" t="s">
        <v>631</v>
      </c>
      <c r="E666" s="469">
        <v>37</v>
      </c>
      <c r="F666" s="470" t="s">
        <v>103</v>
      </c>
      <c r="G666" s="469">
        <v>535</v>
      </c>
      <c r="H666" s="470" t="s">
        <v>6253</v>
      </c>
      <c r="I666" s="470" t="s">
        <v>6257</v>
      </c>
      <c r="J666" s="469">
        <v>28</v>
      </c>
      <c r="K666" s="470" t="s">
        <v>6267</v>
      </c>
      <c r="L666" s="470" t="s">
        <v>6284</v>
      </c>
      <c r="M666" s="470" t="s">
        <v>9</v>
      </c>
      <c r="N666" s="473">
        <v>1</v>
      </c>
      <c r="O666" s="471"/>
      <c r="P666" s="471"/>
      <c r="Q666" s="471"/>
      <c r="R666" s="470"/>
      <c r="S666" s="471">
        <v>0.1693402777777778</v>
      </c>
      <c r="T666" s="471">
        <v>0.23600694444444445</v>
      </c>
      <c r="U666" s="471"/>
      <c r="V666" s="471"/>
      <c r="W666" s="471">
        <v>0.49281250000000004</v>
      </c>
      <c r="X666" s="471">
        <v>0.74961805555555561</v>
      </c>
      <c r="Y666" s="471">
        <v>0.72222222222222221</v>
      </c>
      <c r="Z666" s="471">
        <v>0.94236111111111109</v>
      </c>
      <c r="AA666" s="471">
        <v>0.11527777777777777</v>
      </c>
      <c r="AB666" s="470" t="s">
        <v>6464</v>
      </c>
      <c r="AC666" s="473">
        <v>130</v>
      </c>
      <c r="AD666" s="470" t="s">
        <v>113</v>
      </c>
      <c r="AE666" s="470"/>
      <c r="AF666" s="473">
        <v>40.1</v>
      </c>
      <c r="AG666" s="469">
        <v>53</v>
      </c>
      <c r="AH666" s="470" t="s">
        <v>6307</v>
      </c>
      <c r="AI666" s="470" t="s">
        <v>6327</v>
      </c>
      <c r="AJ666" s="470" t="s">
        <v>874</v>
      </c>
      <c r="AK666" s="470" t="s">
        <v>6493</v>
      </c>
      <c r="AL666" s="470" t="s">
        <v>6816</v>
      </c>
      <c r="AM666" s="470" t="s">
        <v>6345</v>
      </c>
      <c r="AN666" s="470" t="s">
        <v>6900</v>
      </c>
      <c r="AO666" s="470" t="s">
        <v>6351</v>
      </c>
      <c r="AP666" s="470"/>
      <c r="AQ666" s="470"/>
      <c r="AR666" s="470"/>
      <c r="AS666" s="470"/>
      <c r="AT666" s="470"/>
      <c r="AU666" s="470"/>
      <c r="AV666" s="470"/>
      <c r="AW666" s="470"/>
      <c r="AX666" s="470"/>
      <c r="AY666" s="470"/>
      <c r="AZ666" s="470"/>
      <c r="BA666" s="470"/>
      <c r="BB666" s="470"/>
      <c r="BC666" s="470"/>
      <c r="BD666" s="470"/>
      <c r="BE666" s="470"/>
      <c r="BF666" s="470"/>
      <c r="BG666" s="470"/>
      <c r="BH666" s="470"/>
      <c r="BI666" s="470"/>
      <c r="BJ666" s="470" t="s">
        <v>6436</v>
      </c>
      <c r="BK666" s="470"/>
      <c r="BL666" s="474"/>
    </row>
    <row r="667" spans="1:64">
      <c r="A667" s="475">
        <v>44458</v>
      </c>
      <c r="B667" s="478">
        <v>262</v>
      </c>
      <c r="C667" s="478">
        <v>103</v>
      </c>
      <c r="D667" s="476" t="s">
        <v>631</v>
      </c>
      <c r="E667" s="477">
        <v>37</v>
      </c>
      <c r="F667" s="476" t="s">
        <v>106</v>
      </c>
      <c r="G667" s="477">
        <v>535</v>
      </c>
      <c r="H667" s="476" t="s">
        <v>6253</v>
      </c>
      <c r="I667" s="476" t="s">
        <v>6257</v>
      </c>
      <c r="J667" s="477">
        <v>29</v>
      </c>
      <c r="K667" s="476" t="s">
        <v>6268</v>
      </c>
      <c r="L667" s="476" t="s">
        <v>6285</v>
      </c>
      <c r="M667" s="476" t="s">
        <v>9</v>
      </c>
      <c r="N667" s="478">
        <v>1</v>
      </c>
      <c r="O667" s="479"/>
      <c r="P667" s="479"/>
      <c r="Q667" s="479"/>
      <c r="R667" s="476"/>
      <c r="S667" s="479">
        <v>0.17002314814814815</v>
      </c>
      <c r="T667" s="479">
        <v>0.2366898148148148</v>
      </c>
      <c r="U667" s="479"/>
      <c r="V667" s="479"/>
      <c r="W667" s="479">
        <v>0.49256944444444445</v>
      </c>
      <c r="X667" s="479">
        <v>0.74843749999999998</v>
      </c>
      <c r="Y667" s="479">
        <v>0.7416666666666667</v>
      </c>
      <c r="Z667" s="479">
        <v>0.97569444444444453</v>
      </c>
      <c r="AA667" s="479">
        <v>0.16319444444444445</v>
      </c>
      <c r="AB667" s="476" t="s">
        <v>6464</v>
      </c>
      <c r="AC667" s="478">
        <v>130</v>
      </c>
      <c r="AD667" s="476" t="s">
        <v>113</v>
      </c>
      <c r="AE667" s="476"/>
      <c r="AF667" s="478">
        <v>43.4</v>
      </c>
      <c r="AG667" s="477">
        <v>53.3</v>
      </c>
      <c r="AH667" s="476" t="s">
        <v>6308</v>
      </c>
      <c r="AI667" s="476" t="s">
        <v>6328</v>
      </c>
      <c r="AJ667" s="476" t="s">
        <v>839</v>
      </c>
      <c r="AK667" s="476" t="s">
        <v>6493</v>
      </c>
      <c r="AL667" s="476" t="s">
        <v>1225</v>
      </c>
      <c r="AM667" s="476" t="s">
        <v>6344</v>
      </c>
      <c r="AN667" s="476" t="s">
        <v>6958</v>
      </c>
      <c r="AO667" s="476" t="s">
        <v>6346</v>
      </c>
      <c r="AP667" s="476" t="s">
        <v>7031</v>
      </c>
      <c r="AQ667" s="476" t="s">
        <v>6349</v>
      </c>
      <c r="AR667" s="476"/>
      <c r="AS667" s="476"/>
      <c r="AT667" s="476"/>
      <c r="AU667" s="476"/>
      <c r="AV667" s="476"/>
      <c r="AW667" s="476"/>
      <c r="AX667" s="476"/>
      <c r="AY667" s="476"/>
      <c r="AZ667" s="476"/>
      <c r="BA667" s="476"/>
      <c r="BB667" s="476"/>
      <c r="BC667" s="476"/>
      <c r="BD667" s="476"/>
      <c r="BE667" s="476"/>
      <c r="BF667" s="476"/>
      <c r="BG667" s="476"/>
      <c r="BH667" s="476"/>
      <c r="BI667" s="476"/>
      <c r="BJ667" s="476" t="s">
        <v>6404</v>
      </c>
      <c r="BK667" s="476" t="s">
        <v>987</v>
      </c>
      <c r="BL667" s="480"/>
    </row>
    <row r="668" spans="1:64">
      <c r="A668" s="468">
        <v>44459</v>
      </c>
      <c r="B668" s="473">
        <v>263</v>
      </c>
      <c r="C668" s="473">
        <v>102</v>
      </c>
      <c r="D668" s="470" t="s">
        <v>631</v>
      </c>
      <c r="E668" s="469">
        <v>38</v>
      </c>
      <c r="F668" s="470" t="s">
        <v>88</v>
      </c>
      <c r="G668" s="469">
        <v>535</v>
      </c>
      <c r="H668" s="470" t="s">
        <v>6253</v>
      </c>
      <c r="I668" s="470" t="s">
        <v>6257</v>
      </c>
      <c r="J668" s="469">
        <v>30</v>
      </c>
      <c r="K668" s="470" t="s">
        <v>6272</v>
      </c>
      <c r="L668" s="470" t="s">
        <v>6288</v>
      </c>
      <c r="M668" s="470" t="s">
        <v>9</v>
      </c>
      <c r="N668" s="473">
        <v>1</v>
      </c>
      <c r="O668" s="471"/>
      <c r="P668" s="471"/>
      <c r="Q668" s="471"/>
      <c r="R668" s="470"/>
      <c r="S668" s="471">
        <v>0.17070601851851852</v>
      </c>
      <c r="T668" s="471">
        <v>0.23737268518518517</v>
      </c>
      <c r="U668" s="471"/>
      <c r="V668" s="471"/>
      <c r="W668" s="471">
        <v>0.49231481481481482</v>
      </c>
      <c r="X668" s="471">
        <v>0.74725694444444446</v>
      </c>
      <c r="Y668" s="471">
        <v>0.75902777777777775</v>
      </c>
      <c r="Z668" s="471" t="s">
        <v>1107</v>
      </c>
      <c r="AA668" s="471">
        <v>0.20972222222222223</v>
      </c>
      <c r="AB668" s="470" t="s">
        <v>6462</v>
      </c>
      <c r="AC668" s="473">
        <v>129</v>
      </c>
      <c r="AD668" s="470" t="s">
        <v>116</v>
      </c>
      <c r="AE668" s="470" t="s">
        <v>6632</v>
      </c>
      <c r="AF668" s="473">
        <v>44.9</v>
      </c>
      <c r="AG668" s="469">
        <v>52</v>
      </c>
      <c r="AH668" s="470" t="s">
        <v>6309</v>
      </c>
      <c r="AI668" s="470" t="s">
        <v>6330</v>
      </c>
      <c r="AJ668" s="470" t="s">
        <v>839</v>
      </c>
      <c r="AK668" s="470" t="s">
        <v>6493</v>
      </c>
      <c r="AL668" s="470" t="s">
        <v>1237</v>
      </c>
      <c r="AM668" s="470" t="s">
        <v>6344</v>
      </c>
      <c r="AN668" s="470" t="s">
        <v>6959</v>
      </c>
      <c r="AO668" s="470" t="s">
        <v>6348</v>
      </c>
      <c r="AP668" s="470" t="s">
        <v>7032</v>
      </c>
      <c r="AQ668" s="470" t="s">
        <v>6349</v>
      </c>
      <c r="AR668" s="470" t="s">
        <v>7064</v>
      </c>
      <c r="AS668" s="470" t="s">
        <v>6349</v>
      </c>
      <c r="AT668" s="470" t="s">
        <v>7079</v>
      </c>
      <c r="AU668" s="470"/>
      <c r="AV668" s="470"/>
      <c r="AW668" s="470"/>
      <c r="AX668" s="470"/>
      <c r="AY668" s="470"/>
      <c r="AZ668" s="470"/>
      <c r="BA668" s="470"/>
      <c r="BB668" s="470"/>
      <c r="BC668" s="470"/>
      <c r="BD668" s="470"/>
      <c r="BE668" s="470"/>
      <c r="BF668" s="470"/>
      <c r="BG668" s="470"/>
      <c r="BH668" s="470"/>
      <c r="BI668" s="470"/>
      <c r="BJ668" s="470" t="s">
        <v>6405</v>
      </c>
      <c r="BK668" s="470" t="s">
        <v>988</v>
      </c>
      <c r="BL668" s="474" t="s">
        <v>999</v>
      </c>
    </row>
    <row r="669" spans="1:64">
      <c r="A669" s="475">
        <v>44460</v>
      </c>
      <c r="B669" s="478">
        <v>264</v>
      </c>
      <c r="C669" s="478">
        <v>101</v>
      </c>
      <c r="D669" s="476" t="s">
        <v>631</v>
      </c>
      <c r="E669" s="477">
        <v>38</v>
      </c>
      <c r="F669" s="476" t="s">
        <v>91</v>
      </c>
      <c r="G669" s="477">
        <v>535</v>
      </c>
      <c r="H669" s="476" t="s">
        <v>6254</v>
      </c>
      <c r="I669" s="476" t="s">
        <v>836</v>
      </c>
      <c r="J669" s="477">
        <v>1</v>
      </c>
      <c r="K669" s="476" t="s">
        <v>6270</v>
      </c>
      <c r="L669" s="476" t="s">
        <v>6287</v>
      </c>
      <c r="M669" s="476" t="s">
        <v>9</v>
      </c>
      <c r="N669" s="478">
        <v>1</v>
      </c>
      <c r="O669" s="479"/>
      <c r="P669" s="479"/>
      <c r="Q669" s="479"/>
      <c r="R669" s="476"/>
      <c r="S669" s="479">
        <v>0.1713888888888889</v>
      </c>
      <c r="T669" s="479">
        <v>0.23805555555555555</v>
      </c>
      <c r="U669" s="479"/>
      <c r="V669" s="479"/>
      <c r="W669" s="479">
        <v>0.49207175925925922</v>
      </c>
      <c r="X669" s="479">
        <v>0.74608796296296298</v>
      </c>
      <c r="Y669" s="479">
        <v>0.77500000000000002</v>
      </c>
      <c r="Z669" s="479">
        <v>6.2499999999999995E-3</v>
      </c>
      <c r="AA669" s="479">
        <v>0.25555555555555559</v>
      </c>
      <c r="AB669" s="476" t="s">
        <v>6462</v>
      </c>
      <c r="AC669" s="478">
        <v>129</v>
      </c>
      <c r="AD669" s="476" t="s">
        <v>116</v>
      </c>
      <c r="AE669" s="476"/>
      <c r="AF669" s="478">
        <v>44.3</v>
      </c>
      <c r="AG669" s="477">
        <v>48.8</v>
      </c>
      <c r="AH669" s="476" t="s">
        <v>6310</v>
      </c>
      <c r="AI669" s="476" t="s">
        <v>6331</v>
      </c>
      <c r="AJ669" s="476" t="s">
        <v>839</v>
      </c>
      <c r="AK669" s="476" t="s">
        <v>6493</v>
      </c>
      <c r="AL669" s="476" t="s">
        <v>6817</v>
      </c>
      <c r="AM669" s="476"/>
      <c r="AN669" s="476" t="s">
        <v>6960</v>
      </c>
      <c r="AO669" s="476" t="s">
        <v>6349</v>
      </c>
      <c r="AP669" s="476" t="s">
        <v>7033</v>
      </c>
      <c r="AQ669" s="476"/>
      <c r="AR669" s="476"/>
      <c r="AS669" s="476"/>
      <c r="AT669" s="476"/>
      <c r="AU669" s="476"/>
      <c r="AV669" s="476"/>
      <c r="AW669" s="476"/>
      <c r="AX669" s="476"/>
      <c r="AY669" s="476"/>
      <c r="AZ669" s="476"/>
      <c r="BA669" s="476"/>
      <c r="BB669" s="476"/>
      <c r="BC669" s="476"/>
      <c r="BD669" s="476"/>
      <c r="BE669" s="476"/>
      <c r="BF669" s="476"/>
      <c r="BG669" s="476"/>
      <c r="BH669" s="476"/>
      <c r="BI669" s="476"/>
      <c r="BJ669" s="476"/>
      <c r="BK669" s="476" t="s">
        <v>989</v>
      </c>
      <c r="BL669" s="480"/>
    </row>
    <row r="670" spans="1:64">
      <c r="A670" s="468">
        <v>44461</v>
      </c>
      <c r="B670" s="473">
        <v>265</v>
      </c>
      <c r="C670" s="473">
        <v>100</v>
      </c>
      <c r="D670" s="470" t="s">
        <v>631</v>
      </c>
      <c r="E670" s="469">
        <v>38</v>
      </c>
      <c r="F670" s="470" t="s">
        <v>94</v>
      </c>
      <c r="G670" s="469">
        <v>535</v>
      </c>
      <c r="H670" s="470" t="s">
        <v>6254</v>
      </c>
      <c r="I670" s="470" t="s">
        <v>836</v>
      </c>
      <c r="J670" s="469">
        <v>2</v>
      </c>
      <c r="K670" s="470" t="s">
        <v>1034</v>
      </c>
      <c r="L670" s="470" t="s">
        <v>6273</v>
      </c>
      <c r="M670" s="470" t="s">
        <v>9</v>
      </c>
      <c r="N670" s="473">
        <v>1</v>
      </c>
      <c r="O670" s="471"/>
      <c r="P670" s="471"/>
      <c r="Q670" s="471"/>
      <c r="R670" s="470"/>
      <c r="S670" s="471">
        <v>0.17208333333333334</v>
      </c>
      <c r="T670" s="471">
        <v>0.23875000000000002</v>
      </c>
      <c r="U670" s="471"/>
      <c r="V670" s="471"/>
      <c r="W670" s="471">
        <v>0.49182870370370368</v>
      </c>
      <c r="X670" s="471">
        <v>0.7449189814814815</v>
      </c>
      <c r="Y670" s="471">
        <v>0.77500000000000002</v>
      </c>
      <c r="Z670" s="471">
        <v>3.5416666666666666E-2</v>
      </c>
      <c r="AA670" s="471">
        <v>0.29930555555555555</v>
      </c>
      <c r="AB670" s="470" t="s">
        <v>6462</v>
      </c>
      <c r="AC670" s="473">
        <v>129</v>
      </c>
      <c r="AD670" s="470" t="s">
        <v>116</v>
      </c>
      <c r="AE670" s="470"/>
      <c r="AF670" s="473">
        <v>41.5</v>
      </c>
      <c r="AG670" s="469">
        <v>43.6</v>
      </c>
      <c r="AH670" s="470" t="s">
        <v>6311</v>
      </c>
      <c r="AI670" s="470" t="s">
        <v>6332</v>
      </c>
      <c r="AJ670" s="470" t="s">
        <v>6493</v>
      </c>
      <c r="AK670" s="470" t="s">
        <v>6493</v>
      </c>
      <c r="AL670" s="470" t="s">
        <v>547</v>
      </c>
      <c r="AM670" s="470"/>
      <c r="AN670" s="470"/>
      <c r="AO670" s="470"/>
      <c r="AP670" s="470"/>
      <c r="AQ670" s="470"/>
      <c r="AR670" s="470"/>
      <c r="AS670" s="470"/>
      <c r="AT670" s="470"/>
      <c r="AU670" s="470"/>
      <c r="AV670" s="470"/>
      <c r="AW670" s="470"/>
      <c r="AX670" s="470"/>
      <c r="AY670" s="470"/>
      <c r="AZ670" s="470"/>
      <c r="BA670" s="470"/>
      <c r="BB670" s="470"/>
      <c r="BC670" s="470"/>
      <c r="BD670" s="470"/>
      <c r="BE670" s="470"/>
      <c r="BF670" s="470"/>
      <c r="BG670" s="470"/>
      <c r="BH670" s="470"/>
      <c r="BI670" s="470"/>
      <c r="BJ670" s="470"/>
      <c r="BK670" s="470"/>
      <c r="BL670" s="474"/>
    </row>
    <row r="671" spans="1:64">
      <c r="A671" s="475">
        <v>44462</v>
      </c>
      <c r="B671" s="478">
        <v>266</v>
      </c>
      <c r="C671" s="478">
        <v>99</v>
      </c>
      <c r="D671" s="476" t="s">
        <v>631</v>
      </c>
      <c r="E671" s="477">
        <v>38</v>
      </c>
      <c r="F671" s="476" t="s">
        <v>6714</v>
      </c>
      <c r="G671" s="477">
        <v>535</v>
      </c>
      <c r="H671" s="476" t="s">
        <v>6254</v>
      </c>
      <c r="I671" s="476" t="s">
        <v>836</v>
      </c>
      <c r="J671" s="477">
        <v>3</v>
      </c>
      <c r="K671" s="476" t="s">
        <v>6258</v>
      </c>
      <c r="L671" s="476" t="s">
        <v>6274</v>
      </c>
      <c r="M671" s="476" t="s">
        <v>9</v>
      </c>
      <c r="N671" s="478">
        <v>1</v>
      </c>
      <c r="O671" s="479"/>
      <c r="P671" s="479"/>
      <c r="Q671" s="479"/>
      <c r="R671" s="476"/>
      <c r="S671" s="479">
        <v>0.17276620370370369</v>
      </c>
      <c r="T671" s="479">
        <v>0.23943287037037039</v>
      </c>
      <c r="U671" s="479"/>
      <c r="V671" s="479"/>
      <c r="W671" s="479">
        <v>0.49158564814814815</v>
      </c>
      <c r="X671" s="479">
        <v>0.74373842592592598</v>
      </c>
      <c r="Y671" s="479">
        <v>0.80625000000000002</v>
      </c>
      <c r="Z671" s="479">
        <v>6.458333333333334E-2</v>
      </c>
      <c r="AA671" s="479">
        <v>0.34236111111111112</v>
      </c>
      <c r="AB671" s="476" t="s">
        <v>6462</v>
      </c>
      <c r="AC671" s="478">
        <v>129</v>
      </c>
      <c r="AD671" s="476" t="s">
        <v>116</v>
      </c>
      <c r="AE671" s="476"/>
      <c r="AF671" s="478">
        <v>36.6</v>
      </c>
      <c r="AG671" s="477">
        <v>36.5</v>
      </c>
      <c r="AH671" s="476" t="s">
        <v>6312</v>
      </c>
      <c r="AI671" s="476" t="s">
        <v>6333</v>
      </c>
      <c r="AJ671" s="476" t="s">
        <v>6493</v>
      </c>
      <c r="AK671" s="476" t="s">
        <v>6493</v>
      </c>
      <c r="AL671" s="476"/>
      <c r="AM671" s="476"/>
      <c r="AN671" s="476"/>
      <c r="AO671" s="476"/>
      <c r="AP671" s="476"/>
      <c r="AQ671" s="476"/>
      <c r="AR671" s="476"/>
      <c r="AS671" s="476"/>
      <c r="AT671" s="476"/>
      <c r="AU671" s="476"/>
      <c r="AV671" s="476"/>
      <c r="AW671" s="476"/>
      <c r="AX671" s="476"/>
      <c r="AY671" s="476"/>
      <c r="AZ671" s="476"/>
      <c r="BA671" s="476"/>
      <c r="BB671" s="476"/>
      <c r="BC671" s="476"/>
      <c r="BD671" s="476"/>
      <c r="BE671" s="476"/>
      <c r="BF671" s="476"/>
      <c r="BG671" s="476"/>
      <c r="BH671" s="476"/>
      <c r="BI671" s="476"/>
      <c r="BJ671" s="476"/>
      <c r="BK671" s="476"/>
      <c r="BL671" s="480"/>
    </row>
    <row r="672" spans="1:64">
      <c r="A672" s="468">
        <v>44463</v>
      </c>
      <c r="B672" s="473">
        <v>267</v>
      </c>
      <c r="C672" s="473">
        <v>98</v>
      </c>
      <c r="D672" s="470" t="s">
        <v>631</v>
      </c>
      <c r="E672" s="469">
        <v>38</v>
      </c>
      <c r="F672" s="470" t="s">
        <v>100</v>
      </c>
      <c r="G672" s="469">
        <v>535</v>
      </c>
      <c r="H672" s="470" t="s">
        <v>6254</v>
      </c>
      <c r="I672" s="470" t="s">
        <v>836</v>
      </c>
      <c r="J672" s="469">
        <v>4</v>
      </c>
      <c r="K672" s="470" t="s">
        <v>6259</v>
      </c>
      <c r="L672" s="470" t="s">
        <v>6275</v>
      </c>
      <c r="M672" s="470" t="s">
        <v>9</v>
      </c>
      <c r="N672" s="473">
        <v>1</v>
      </c>
      <c r="O672" s="471"/>
      <c r="P672" s="471"/>
      <c r="Q672" s="471"/>
      <c r="R672" s="470"/>
      <c r="S672" s="471">
        <v>0.17344907407407406</v>
      </c>
      <c r="T672" s="471">
        <v>0.24011574074074074</v>
      </c>
      <c r="U672" s="471"/>
      <c r="V672" s="471"/>
      <c r="W672" s="471">
        <v>0.49134259259259255</v>
      </c>
      <c r="X672" s="471">
        <v>0.74256944444444439</v>
      </c>
      <c r="Y672" s="471">
        <v>0.82430555555555562</v>
      </c>
      <c r="Z672" s="471">
        <v>9.375E-2</v>
      </c>
      <c r="AA672" s="471">
        <v>0.38541666666666669</v>
      </c>
      <c r="AB672" s="470" t="s">
        <v>6462</v>
      </c>
      <c r="AC672" s="473">
        <v>129</v>
      </c>
      <c r="AD672" s="470" t="s">
        <v>116</v>
      </c>
      <c r="AE672" s="470"/>
      <c r="AF672" s="473">
        <v>29.8</v>
      </c>
      <c r="AG672" s="469">
        <v>27.7</v>
      </c>
      <c r="AH672" s="470" t="s">
        <v>6313</v>
      </c>
      <c r="AI672" s="470" t="s">
        <v>6334</v>
      </c>
      <c r="AJ672" s="470" t="s">
        <v>6493</v>
      </c>
      <c r="AK672" s="470" t="s">
        <v>6493</v>
      </c>
      <c r="AL672" s="470"/>
      <c r="AM672" s="470"/>
      <c r="AN672" s="470"/>
      <c r="AO672" s="470"/>
      <c r="AP672" s="470"/>
      <c r="AQ672" s="470"/>
      <c r="AR672" s="470"/>
      <c r="AS672" s="470"/>
      <c r="AT672" s="470"/>
      <c r="AU672" s="470"/>
      <c r="AV672" s="470"/>
      <c r="AW672" s="470"/>
      <c r="AX672" s="470"/>
      <c r="AY672" s="470"/>
      <c r="AZ672" s="470"/>
      <c r="BA672" s="470"/>
      <c r="BB672" s="470"/>
      <c r="BC672" s="470"/>
      <c r="BD672" s="470"/>
      <c r="BE672" s="470"/>
      <c r="BF672" s="470"/>
      <c r="BG672" s="470"/>
      <c r="BH672" s="470"/>
      <c r="BI672" s="470"/>
      <c r="BJ672" s="470"/>
      <c r="BK672" s="470"/>
      <c r="BL672" s="474"/>
    </row>
    <row r="673" spans="1:64">
      <c r="A673" s="475">
        <v>44464</v>
      </c>
      <c r="B673" s="478">
        <v>268</v>
      </c>
      <c r="C673" s="478">
        <v>97</v>
      </c>
      <c r="D673" s="476" t="s">
        <v>631</v>
      </c>
      <c r="E673" s="477">
        <v>38</v>
      </c>
      <c r="F673" s="476" t="s">
        <v>103</v>
      </c>
      <c r="G673" s="477">
        <v>535</v>
      </c>
      <c r="H673" s="476" t="s">
        <v>6254</v>
      </c>
      <c r="I673" s="476" t="s">
        <v>836</v>
      </c>
      <c r="J673" s="477">
        <v>5</v>
      </c>
      <c r="K673" s="476" t="s">
        <v>6260</v>
      </c>
      <c r="L673" s="476" t="s">
        <v>6276</v>
      </c>
      <c r="M673" s="476" t="s">
        <v>9</v>
      </c>
      <c r="N673" s="478">
        <v>1</v>
      </c>
      <c r="O673" s="479"/>
      <c r="P673" s="479"/>
      <c r="Q673" s="479"/>
      <c r="R673" s="476"/>
      <c r="S673" s="479">
        <v>0.1741435185185185</v>
      </c>
      <c r="T673" s="479">
        <v>0.24081018518518518</v>
      </c>
      <c r="U673" s="479"/>
      <c r="V673" s="479"/>
      <c r="W673" s="479">
        <v>0.49111111111111111</v>
      </c>
      <c r="X673" s="479">
        <v>0.74140046296296302</v>
      </c>
      <c r="Y673" s="479">
        <v>0.84375</v>
      </c>
      <c r="Z673" s="479">
        <v>0.12361111111111112</v>
      </c>
      <c r="AA673" s="479">
        <v>0.42777777777777781</v>
      </c>
      <c r="AB673" s="476" t="s">
        <v>6462</v>
      </c>
      <c r="AC673" s="478">
        <v>129</v>
      </c>
      <c r="AD673" s="476" t="s">
        <v>116</v>
      </c>
      <c r="AE673" s="476"/>
      <c r="AF673" s="478">
        <v>21.4</v>
      </c>
      <c r="AG673" s="477">
        <v>17.5</v>
      </c>
      <c r="AH673" s="476" t="s">
        <v>6314</v>
      </c>
      <c r="AI673" s="476" t="s">
        <v>6335</v>
      </c>
      <c r="AJ673" s="476" t="s">
        <v>6493</v>
      </c>
      <c r="AK673" s="476" t="s">
        <v>6493</v>
      </c>
      <c r="AL673" s="476"/>
      <c r="AM673" s="476"/>
      <c r="AN673" s="476"/>
      <c r="AO673" s="476"/>
      <c r="AP673" s="476"/>
      <c r="AQ673" s="476"/>
      <c r="AR673" s="476"/>
      <c r="AS673" s="476"/>
      <c r="AT673" s="476"/>
      <c r="AU673" s="476"/>
      <c r="AV673" s="476"/>
      <c r="AW673" s="476"/>
      <c r="AX673" s="476"/>
      <c r="AY673" s="476"/>
      <c r="AZ673" s="476"/>
      <c r="BA673" s="476"/>
      <c r="BB673" s="476"/>
      <c r="BC673" s="476"/>
      <c r="BD673" s="476"/>
      <c r="BE673" s="476"/>
      <c r="BF673" s="476"/>
      <c r="BG673" s="476"/>
      <c r="BH673" s="476"/>
      <c r="BI673" s="476"/>
      <c r="BJ673" s="476"/>
      <c r="BK673" s="476"/>
      <c r="BL673" s="480"/>
    </row>
    <row r="674" spans="1:64">
      <c r="A674" s="468">
        <v>44465</v>
      </c>
      <c r="B674" s="473">
        <v>269</v>
      </c>
      <c r="C674" s="473">
        <v>96</v>
      </c>
      <c r="D674" s="470" t="s">
        <v>631</v>
      </c>
      <c r="E674" s="469">
        <v>38</v>
      </c>
      <c r="F674" s="470" t="s">
        <v>106</v>
      </c>
      <c r="G674" s="469">
        <v>535</v>
      </c>
      <c r="H674" s="470" t="s">
        <v>6254</v>
      </c>
      <c r="I674" s="470" t="s">
        <v>836</v>
      </c>
      <c r="J674" s="469">
        <v>6</v>
      </c>
      <c r="K674" s="470" t="s">
        <v>6261</v>
      </c>
      <c r="L674" s="470" t="s">
        <v>6277</v>
      </c>
      <c r="M674" s="470" t="s">
        <v>9</v>
      </c>
      <c r="N674" s="473">
        <v>1</v>
      </c>
      <c r="O674" s="471"/>
      <c r="P674" s="471"/>
      <c r="Q674" s="471"/>
      <c r="R674" s="470"/>
      <c r="S674" s="471">
        <v>0.17483796296296297</v>
      </c>
      <c r="T674" s="471">
        <v>0.24150462962962962</v>
      </c>
      <c r="U674" s="471"/>
      <c r="V674" s="471"/>
      <c r="W674" s="471">
        <v>0.49086805555555557</v>
      </c>
      <c r="X674" s="471">
        <v>0.74023148148148143</v>
      </c>
      <c r="Y674" s="471">
        <v>0.8666666666666667</v>
      </c>
      <c r="Z674" s="471">
        <v>0.15486111111111112</v>
      </c>
      <c r="AA674" s="471">
        <v>0.47013888888888888</v>
      </c>
      <c r="AB674" s="470" t="s">
        <v>6462</v>
      </c>
      <c r="AC674" s="473">
        <v>129</v>
      </c>
      <c r="AD674" s="470" t="s">
        <v>116</v>
      </c>
      <c r="AE674" s="470"/>
      <c r="AF674" s="473">
        <v>11.9</v>
      </c>
      <c r="AG674" s="469">
        <v>6.4</v>
      </c>
      <c r="AH674" s="470" t="s">
        <v>973</v>
      </c>
      <c r="AI674" s="470" t="s">
        <v>6336</v>
      </c>
      <c r="AJ674" s="470" t="s">
        <v>6493</v>
      </c>
      <c r="AK674" s="470" t="s">
        <v>6493</v>
      </c>
      <c r="AL674" s="470"/>
      <c r="AM674" s="470"/>
      <c r="AN674" s="470"/>
      <c r="AO674" s="470"/>
      <c r="AP674" s="470"/>
      <c r="AQ674" s="470"/>
      <c r="AR674" s="470"/>
      <c r="AS674" s="470"/>
      <c r="AT674" s="470"/>
      <c r="AU674" s="470"/>
      <c r="AV674" s="470"/>
      <c r="AW674" s="470"/>
      <c r="AX674" s="470"/>
      <c r="AY674" s="470"/>
      <c r="AZ674" s="470"/>
      <c r="BA674" s="470"/>
      <c r="BB674" s="470"/>
      <c r="BC674" s="470"/>
      <c r="BD674" s="470"/>
      <c r="BE674" s="470"/>
      <c r="BF674" s="470"/>
      <c r="BG674" s="470"/>
      <c r="BH674" s="470"/>
      <c r="BI674" s="470"/>
      <c r="BJ674" s="470"/>
      <c r="BK674" s="470"/>
      <c r="BL674" s="474"/>
    </row>
    <row r="675" spans="1:64">
      <c r="A675" s="475">
        <v>44466</v>
      </c>
      <c r="B675" s="478">
        <v>270</v>
      </c>
      <c r="C675" s="478">
        <v>95</v>
      </c>
      <c r="D675" s="476" t="s">
        <v>631</v>
      </c>
      <c r="E675" s="477">
        <v>39</v>
      </c>
      <c r="F675" s="476" t="s">
        <v>88</v>
      </c>
      <c r="G675" s="477">
        <v>535</v>
      </c>
      <c r="H675" s="476" t="s">
        <v>6254</v>
      </c>
      <c r="I675" s="476" t="s">
        <v>836</v>
      </c>
      <c r="J675" s="477">
        <v>7</v>
      </c>
      <c r="K675" s="476" t="s">
        <v>6262</v>
      </c>
      <c r="L675" s="476" t="s">
        <v>6277</v>
      </c>
      <c r="M675" s="476" t="s">
        <v>9</v>
      </c>
      <c r="N675" s="478">
        <v>1</v>
      </c>
      <c r="O675" s="479"/>
      <c r="P675" s="479"/>
      <c r="Q675" s="479"/>
      <c r="R675" s="476"/>
      <c r="S675" s="479">
        <v>0.17553240740740741</v>
      </c>
      <c r="T675" s="479">
        <v>0.24219907407407407</v>
      </c>
      <c r="U675" s="479"/>
      <c r="V675" s="479"/>
      <c r="W675" s="479">
        <v>0.49063657407407407</v>
      </c>
      <c r="X675" s="479">
        <v>0.73907407407407411</v>
      </c>
      <c r="Y675" s="479">
        <v>0.89374999999999993</v>
      </c>
      <c r="Z675" s="479">
        <v>0.1875</v>
      </c>
      <c r="AA675" s="479">
        <v>0.51111111111111118</v>
      </c>
      <c r="AB675" s="476" t="s">
        <v>6462</v>
      </c>
      <c r="AC675" s="478">
        <v>129</v>
      </c>
      <c r="AD675" s="476" t="s">
        <v>116</v>
      </c>
      <c r="AE675" s="476"/>
      <c r="AF675" s="478">
        <v>2.1</v>
      </c>
      <c r="AG675" s="477">
        <v>94.9</v>
      </c>
      <c r="AH675" s="476" t="s">
        <v>973</v>
      </c>
      <c r="AI675" s="476" t="s">
        <v>6336</v>
      </c>
      <c r="AJ675" s="476" t="s">
        <v>839</v>
      </c>
      <c r="AK675" s="476" t="s">
        <v>6493</v>
      </c>
      <c r="AL675" s="476" t="s">
        <v>6818</v>
      </c>
      <c r="AM675" s="476" t="s">
        <v>6348</v>
      </c>
      <c r="AN675" s="476"/>
      <c r="AO675" s="476"/>
      <c r="AP675" s="476"/>
      <c r="AQ675" s="476"/>
      <c r="AR675" s="476"/>
      <c r="AS675" s="476"/>
      <c r="AT675" s="476"/>
      <c r="AU675" s="476"/>
      <c r="AV675" s="476"/>
      <c r="AW675" s="476"/>
      <c r="AX675" s="476"/>
      <c r="AY675" s="476"/>
      <c r="AZ675" s="476"/>
      <c r="BA675" s="476"/>
      <c r="BB675" s="476"/>
      <c r="BC675" s="476"/>
      <c r="BD675" s="476"/>
      <c r="BE675" s="476"/>
      <c r="BF675" s="476"/>
      <c r="BG675" s="476"/>
      <c r="BH675" s="476"/>
      <c r="BI675" s="476"/>
      <c r="BJ675" s="476" t="s">
        <v>1025</v>
      </c>
      <c r="BK675" s="476"/>
      <c r="BL675" s="480"/>
    </row>
    <row r="676" spans="1:64">
      <c r="A676" s="468">
        <v>44467</v>
      </c>
      <c r="B676" s="473">
        <v>271</v>
      </c>
      <c r="C676" s="473">
        <v>94</v>
      </c>
      <c r="D676" s="470" t="s">
        <v>631</v>
      </c>
      <c r="E676" s="469">
        <v>39</v>
      </c>
      <c r="F676" s="470" t="s">
        <v>91</v>
      </c>
      <c r="G676" s="469">
        <v>535</v>
      </c>
      <c r="H676" s="470" t="s">
        <v>6254</v>
      </c>
      <c r="I676" s="470" t="s">
        <v>836</v>
      </c>
      <c r="J676" s="469">
        <v>7</v>
      </c>
      <c r="K676" s="470" t="s">
        <v>6262</v>
      </c>
      <c r="L676" s="470" t="s">
        <v>6278</v>
      </c>
      <c r="M676" s="470" t="s">
        <v>10</v>
      </c>
      <c r="N676" s="473">
        <v>1</v>
      </c>
      <c r="O676" s="471"/>
      <c r="P676" s="471"/>
      <c r="Q676" s="471"/>
      <c r="R676" s="470"/>
      <c r="S676" s="471">
        <v>0.17622685185185186</v>
      </c>
      <c r="T676" s="471">
        <v>0.24289351851851851</v>
      </c>
      <c r="U676" s="471"/>
      <c r="V676" s="471"/>
      <c r="W676" s="471">
        <v>0.49040509259259263</v>
      </c>
      <c r="X676" s="471">
        <v>0.73790509259259263</v>
      </c>
      <c r="Y676" s="471">
        <v>0.92638888888888893</v>
      </c>
      <c r="Z676" s="471">
        <v>0.22152777777777777</v>
      </c>
      <c r="AA676" s="471">
        <v>0.55138888888888882</v>
      </c>
      <c r="AB676" s="470" t="s">
        <v>6289</v>
      </c>
      <c r="AC676" s="473">
        <v>131</v>
      </c>
      <c r="AD676" s="470" t="s">
        <v>119</v>
      </c>
      <c r="AE676" s="470" t="s">
        <v>6633</v>
      </c>
      <c r="AF676" s="473">
        <v>92.5</v>
      </c>
      <c r="AG676" s="469">
        <v>83.6</v>
      </c>
      <c r="AH676" s="470" t="s">
        <v>6290</v>
      </c>
      <c r="AI676" s="470" t="s">
        <v>6337</v>
      </c>
      <c r="AJ676" s="470" t="s">
        <v>6493</v>
      </c>
      <c r="AK676" s="470" t="s">
        <v>6493</v>
      </c>
      <c r="AL676" s="470" t="s">
        <v>6727</v>
      </c>
      <c r="AM676" s="470"/>
      <c r="AN676" s="470"/>
      <c r="AO676" s="470"/>
      <c r="AP676" s="470"/>
      <c r="AQ676" s="470"/>
      <c r="AR676" s="470"/>
      <c r="AS676" s="470"/>
      <c r="AT676" s="470"/>
      <c r="AU676" s="470"/>
      <c r="AV676" s="470"/>
      <c r="AW676" s="470"/>
      <c r="AX676" s="470"/>
      <c r="AY676" s="470"/>
      <c r="AZ676" s="470"/>
      <c r="BA676" s="470"/>
      <c r="BB676" s="470"/>
      <c r="BC676" s="470"/>
      <c r="BD676" s="470"/>
      <c r="BE676" s="470"/>
      <c r="BF676" s="470"/>
      <c r="BG676" s="470"/>
      <c r="BH676" s="470"/>
      <c r="BI676" s="470"/>
      <c r="BJ676" s="470"/>
      <c r="BK676" s="470"/>
      <c r="BL676" s="474"/>
    </row>
    <row r="677" spans="1:64">
      <c r="A677" s="475">
        <v>44468</v>
      </c>
      <c r="B677" s="478">
        <v>272</v>
      </c>
      <c r="C677" s="478">
        <v>93</v>
      </c>
      <c r="D677" s="476" t="s">
        <v>631</v>
      </c>
      <c r="E677" s="477">
        <v>39</v>
      </c>
      <c r="F677" s="476" t="s">
        <v>94</v>
      </c>
      <c r="G677" s="477">
        <v>535</v>
      </c>
      <c r="H677" s="476" t="s">
        <v>6254</v>
      </c>
      <c r="I677" s="476" t="s">
        <v>836</v>
      </c>
      <c r="J677" s="477">
        <v>8</v>
      </c>
      <c r="K677" s="476" t="s">
        <v>6263</v>
      </c>
      <c r="L677" s="476" t="s">
        <v>6279</v>
      </c>
      <c r="M677" s="476" t="s">
        <v>9</v>
      </c>
      <c r="N677" s="478">
        <v>1</v>
      </c>
      <c r="O677" s="479"/>
      <c r="P677" s="479"/>
      <c r="Q677" s="479"/>
      <c r="R677" s="476"/>
      <c r="S677" s="479">
        <v>0.17693287037037039</v>
      </c>
      <c r="T677" s="479">
        <v>0.24359953703703704</v>
      </c>
      <c r="U677" s="479"/>
      <c r="V677" s="479"/>
      <c r="W677" s="479">
        <v>0.49017361111111107</v>
      </c>
      <c r="X677" s="479">
        <v>0.73674768518518519</v>
      </c>
      <c r="Y677" s="479">
        <v>0.96388888888888891</v>
      </c>
      <c r="Z677" s="479">
        <v>0.25694444444444448</v>
      </c>
      <c r="AA677" s="479">
        <v>0.58680555555555558</v>
      </c>
      <c r="AB677" s="476" t="s">
        <v>6289</v>
      </c>
      <c r="AC677" s="478">
        <v>131</v>
      </c>
      <c r="AD677" s="476" t="s">
        <v>119</v>
      </c>
      <c r="AE677" s="476"/>
      <c r="AF677" s="478">
        <v>83.9</v>
      </c>
      <c r="AG677" s="477">
        <v>73.2</v>
      </c>
      <c r="AH677" s="476" t="s">
        <v>6315</v>
      </c>
      <c r="AI677" s="476" t="s">
        <v>6338</v>
      </c>
      <c r="AJ677" s="476" t="s">
        <v>6493</v>
      </c>
      <c r="AK677" s="476" t="s">
        <v>6493</v>
      </c>
      <c r="AL677" s="476"/>
      <c r="AM677" s="476"/>
      <c r="AN677" s="476"/>
      <c r="AO677" s="476"/>
      <c r="AP677" s="476"/>
      <c r="AQ677" s="476"/>
      <c r="AR677" s="476"/>
      <c r="AS677" s="476"/>
      <c r="AT677" s="476"/>
      <c r="AU677" s="476"/>
      <c r="AV677" s="476"/>
      <c r="AW677" s="476"/>
      <c r="AX677" s="476"/>
      <c r="AY677" s="476"/>
      <c r="AZ677" s="476"/>
      <c r="BA677" s="476"/>
      <c r="BB677" s="476"/>
      <c r="BC677" s="476"/>
      <c r="BD677" s="476"/>
      <c r="BE677" s="476"/>
      <c r="BF677" s="476"/>
      <c r="BG677" s="476"/>
      <c r="BH677" s="476"/>
      <c r="BI677" s="476"/>
      <c r="BJ677" s="476"/>
      <c r="BK677" s="476"/>
      <c r="BL677" s="480"/>
    </row>
    <row r="678" spans="1:64">
      <c r="A678" s="468">
        <v>44469</v>
      </c>
      <c r="B678" s="473">
        <v>273</v>
      </c>
      <c r="C678" s="473">
        <v>92</v>
      </c>
      <c r="D678" s="470" t="s">
        <v>631</v>
      </c>
      <c r="E678" s="469">
        <v>39</v>
      </c>
      <c r="F678" s="470" t="s">
        <v>6714</v>
      </c>
      <c r="G678" s="469">
        <v>535</v>
      </c>
      <c r="H678" s="470" t="s">
        <v>6254</v>
      </c>
      <c r="I678" s="470" t="s">
        <v>836</v>
      </c>
      <c r="J678" s="469">
        <v>9</v>
      </c>
      <c r="K678" s="470" t="s">
        <v>6264</v>
      </c>
      <c r="L678" s="470" t="s">
        <v>6280</v>
      </c>
      <c r="M678" s="470" t="s">
        <v>9</v>
      </c>
      <c r="N678" s="473">
        <v>1</v>
      </c>
      <c r="O678" s="471"/>
      <c r="P678" s="471"/>
      <c r="Q678" s="471"/>
      <c r="R678" s="470"/>
      <c r="S678" s="471">
        <v>0.17762731481481484</v>
      </c>
      <c r="T678" s="471">
        <v>0.24429398148148149</v>
      </c>
      <c r="U678" s="471"/>
      <c r="V678" s="471"/>
      <c r="W678" s="471">
        <v>0.48994212962962963</v>
      </c>
      <c r="X678" s="471">
        <v>0.73559027777777775</v>
      </c>
      <c r="Y678" s="471" t="s">
        <v>1107</v>
      </c>
      <c r="Z678" s="471">
        <v>0.29236111111111113</v>
      </c>
      <c r="AA678" s="471">
        <v>0.61875000000000002</v>
      </c>
      <c r="AB678" s="470" t="s">
        <v>6289</v>
      </c>
      <c r="AC678" s="473">
        <v>131</v>
      </c>
      <c r="AD678" s="470" t="s">
        <v>119</v>
      </c>
      <c r="AE678" s="470"/>
      <c r="AF678" s="473">
        <v>77.099999999999994</v>
      </c>
      <c r="AG678" s="469">
        <v>64.5</v>
      </c>
      <c r="AH678" s="470" t="s">
        <v>6291</v>
      </c>
      <c r="AI678" s="470" t="s">
        <v>6339</v>
      </c>
      <c r="AJ678" s="470" t="s">
        <v>6493</v>
      </c>
      <c r="AK678" s="470" t="s">
        <v>6493</v>
      </c>
      <c r="AL678" s="470"/>
      <c r="AM678" s="470"/>
      <c r="AN678" s="470"/>
      <c r="AO678" s="470"/>
      <c r="AP678" s="470"/>
      <c r="AQ678" s="470"/>
      <c r="AR678" s="470"/>
      <c r="AS678" s="470"/>
      <c r="AT678" s="470"/>
      <c r="AU678" s="470"/>
      <c r="AV678" s="470"/>
      <c r="AW678" s="470"/>
      <c r="AX678" s="470"/>
      <c r="AY678" s="470"/>
      <c r="AZ678" s="470"/>
      <c r="BA678" s="470"/>
      <c r="BB678" s="470"/>
      <c r="BC678" s="470"/>
      <c r="BD678" s="470"/>
      <c r="BE678" s="470"/>
      <c r="BF678" s="470"/>
      <c r="BG678" s="470"/>
      <c r="BH678" s="470"/>
      <c r="BI678" s="470"/>
      <c r="BJ678" s="470"/>
      <c r="BK678" s="470"/>
      <c r="BL678" s="474"/>
    </row>
    <row r="679" spans="1:64">
      <c r="A679" s="475">
        <v>44470</v>
      </c>
      <c r="B679" s="478">
        <v>274</v>
      </c>
      <c r="C679" s="478">
        <v>91</v>
      </c>
      <c r="D679" s="476" t="s">
        <v>634</v>
      </c>
      <c r="E679" s="477">
        <v>39</v>
      </c>
      <c r="F679" s="476" t="s">
        <v>100</v>
      </c>
      <c r="G679" s="477">
        <v>535</v>
      </c>
      <c r="H679" s="476" t="s">
        <v>6254</v>
      </c>
      <c r="I679" s="476" t="s">
        <v>836</v>
      </c>
      <c r="J679" s="477">
        <v>10</v>
      </c>
      <c r="K679" s="476" t="s">
        <v>6265</v>
      </c>
      <c r="L679" s="476" t="s">
        <v>6281</v>
      </c>
      <c r="M679" s="476" t="s">
        <v>9</v>
      </c>
      <c r="N679" s="478">
        <v>1</v>
      </c>
      <c r="O679" s="479"/>
      <c r="P679" s="479"/>
      <c r="Q679" s="479"/>
      <c r="R679" s="476"/>
      <c r="S679" s="479">
        <v>0.17833333333333334</v>
      </c>
      <c r="T679" s="479">
        <v>0.245</v>
      </c>
      <c r="U679" s="479"/>
      <c r="V679" s="479"/>
      <c r="W679" s="479">
        <v>0.48972222222222223</v>
      </c>
      <c r="X679" s="479">
        <v>0.73444444444444434</v>
      </c>
      <c r="Y679" s="479">
        <v>5.5555555555555558E-3</v>
      </c>
      <c r="Z679" s="479">
        <v>0.32847222222222222</v>
      </c>
      <c r="AA679" s="479">
        <v>0.64583333333333337</v>
      </c>
      <c r="AB679" s="476" t="s">
        <v>6289</v>
      </c>
      <c r="AC679" s="478">
        <v>131</v>
      </c>
      <c r="AD679" s="476" t="s">
        <v>119</v>
      </c>
      <c r="AE679" s="476"/>
      <c r="AF679" s="478">
        <v>72.7</v>
      </c>
      <c r="AG679" s="477">
        <v>57.9</v>
      </c>
      <c r="AH679" s="476" t="s">
        <v>6292</v>
      </c>
      <c r="AI679" s="476" t="s">
        <v>6340</v>
      </c>
      <c r="AJ679" s="476" t="s">
        <v>6493</v>
      </c>
      <c r="AK679" s="476" t="s">
        <v>6493</v>
      </c>
      <c r="AL679" s="476" t="s">
        <v>776</v>
      </c>
      <c r="AM679" s="476"/>
      <c r="AN679" s="476"/>
      <c r="AO679" s="476"/>
      <c r="AP679" s="476"/>
      <c r="AQ679" s="476"/>
      <c r="AR679" s="476"/>
      <c r="AS679" s="476"/>
      <c r="AT679" s="476"/>
      <c r="AU679" s="476"/>
      <c r="AV679" s="476"/>
      <c r="AW679" s="476"/>
      <c r="AX679" s="476"/>
      <c r="AY679" s="476"/>
      <c r="AZ679" s="476"/>
      <c r="BA679" s="476"/>
      <c r="BB679" s="476"/>
      <c r="BC679" s="476"/>
      <c r="BD679" s="476"/>
      <c r="BE679" s="476"/>
      <c r="BF679" s="476"/>
      <c r="BG679" s="476"/>
      <c r="BH679" s="476"/>
      <c r="BI679" s="476"/>
      <c r="BJ679" s="476"/>
      <c r="BK679" s="476"/>
      <c r="BL679" s="480"/>
    </row>
    <row r="680" spans="1:64">
      <c r="A680" s="468">
        <v>44471</v>
      </c>
      <c r="B680" s="473">
        <v>275</v>
      </c>
      <c r="C680" s="473">
        <v>90</v>
      </c>
      <c r="D680" s="470" t="s">
        <v>634</v>
      </c>
      <c r="E680" s="469">
        <v>39</v>
      </c>
      <c r="F680" s="470" t="s">
        <v>103</v>
      </c>
      <c r="G680" s="469">
        <v>535</v>
      </c>
      <c r="H680" s="470" t="s">
        <v>6254</v>
      </c>
      <c r="I680" s="470" t="s">
        <v>836</v>
      </c>
      <c r="J680" s="469">
        <v>11</v>
      </c>
      <c r="K680" s="470" t="s">
        <v>6271</v>
      </c>
      <c r="L680" s="470" t="s">
        <v>6282</v>
      </c>
      <c r="M680" s="470" t="s">
        <v>9</v>
      </c>
      <c r="N680" s="473">
        <v>1</v>
      </c>
      <c r="O680" s="471"/>
      <c r="P680" s="471"/>
      <c r="Q680" s="471"/>
      <c r="R680" s="470"/>
      <c r="S680" s="471">
        <v>0.17903935185185185</v>
      </c>
      <c r="T680" s="471">
        <v>0.2457060185185185</v>
      </c>
      <c r="U680" s="471"/>
      <c r="V680" s="471"/>
      <c r="W680" s="471">
        <v>0.48950231481481482</v>
      </c>
      <c r="X680" s="471">
        <v>0.73329861111111105</v>
      </c>
      <c r="Y680" s="471">
        <v>5.0694444444444452E-2</v>
      </c>
      <c r="Z680" s="471">
        <v>0.36319444444444443</v>
      </c>
      <c r="AA680" s="471">
        <v>0.67013888888888884</v>
      </c>
      <c r="AB680" s="470" t="s">
        <v>6289</v>
      </c>
      <c r="AC680" s="473">
        <v>131</v>
      </c>
      <c r="AD680" s="470" t="s">
        <v>119</v>
      </c>
      <c r="AE680" s="470"/>
      <c r="AF680" s="473">
        <v>71.400000000000006</v>
      </c>
      <c r="AG680" s="469">
        <v>54.1</v>
      </c>
      <c r="AH680" s="470" t="s">
        <v>6293</v>
      </c>
      <c r="AI680" s="470" t="s">
        <v>974</v>
      </c>
      <c r="AJ680" s="470" t="s">
        <v>838</v>
      </c>
      <c r="AK680" s="470" t="s">
        <v>13</v>
      </c>
      <c r="AL680" s="470" t="s">
        <v>6819</v>
      </c>
      <c r="AM680" s="470" t="s">
        <v>6342</v>
      </c>
      <c r="AN680" s="470" t="s">
        <v>6998</v>
      </c>
      <c r="AO680" s="470" t="s">
        <v>6351</v>
      </c>
      <c r="AP680" s="470"/>
      <c r="AQ680" s="470"/>
      <c r="AR680" s="470"/>
      <c r="AS680" s="470"/>
      <c r="AT680" s="470"/>
      <c r="AU680" s="470"/>
      <c r="AV680" s="470"/>
      <c r="AW680" s="470"/>
      <c r="AX680" s="470"/>
      <c r="AY680" s="470"/>
      <c r="AZ680" s="470"/>
      <c r="BA680" s="470"/>
      <c r="BB680" s="470"/>
      <c r="BC680" s="470"/>
      <c r="BD680" s="470"/>
      <c r="BE680" s="470"/>
      <c r="BF680" s="470"/>
      <c r="BG680" s="470"/>
      <c r="BH680" s="470"/>
      <c r="BI680" s="470"/>
      <c r="BJ680" s="470"/>
      <c r="BK680" s="470"/>
      <c r="BL680" s="474"/>
    </row>
    <row r="681" spans="1:64">
      <c r="A681" s="475">
        <v>44472</v>
      </c>
      <c r="B681" s="478">
        <v>276</v>
      </c>
      <c r="C681" s="478">
        <v>89</v>
      </c>
      <c r="D681" s="476" t="s">
        <v>634</v>
      </c>
      <c r="E681" s="477">
        <v>39</v>
      </c>
      <c r="F681" s="476" t="s">
        <v>106</v>
      </c>
      <c r="G681" s="477">
        <v>535</v>
      </c>
      <c r="H681" s="476" t="s">
        <v>6254</v>
      </c>
      <c r="I681" s="476" t="s">
        <v>836</v>
      </c>
      <c r="J681" s="477">
        <v>12</v>
      </c>
      <c r="K681" s="476" t="s">
        <v>6266</v>
      </c>
      <c r="L681" s="476" t="s">
        <v>6283</v>
      </c>
      <c r="M681" s="476" t="s">
        <v>9</v>
      </c>
      <c r="N681" s="478">
        <v>1</v>
      </c>
      <c r="O681" s="479"/>
      <c r="P681" s="479"/>
      <c r="Q681" s="479"/>
      <c r="R681" s="476"/>
      <c r="S681" s="479">
        <v>0.17975694444444446</v>
      </c>
      <c r="T681" s="479">
        <v>0.24642361111111111</v>
      </c>
      <c r="U681" s="479">
        <v>0.24583333333333335</v>
      </c>
      <c r="V681" s="479">
        <v>0.40833333333333338</v>
      </c>
      <c r="W681" s="479">
        <v>0.48929398148148145</v>
      </c>
      <c r="X681" s="479">
        <v>0.73215277777777776</v>
      </c>
      <c r="Y681" s="479">
        <v>9.8611111111111108E-2</v>
      </c>
      <c r="Z681" s="479">
        <v>0.3972222222222222</v>
      </c>
      <c r="AA681" s="479">
        <v>0.69166666666666676</v>
      </c>
      <c r="AB681" s="476" t="s">
        <v>6289</v>
      </c>
      <c r="AC681" s="478">
        <v>131</v>
      </c>
      <c r="AD681" s="476" t="s">
        <v>119</v>
      </c>
      <c r="AE681" s="476"/>
      <c r="AF681" s="478">
        <v>73.400000000000006</v>
      </c>
      <c r="AG681" s="477">
        <v>53.3</v>
      </c>
      <c r="AH681" s="476" t="s">
        <v>6294</v>
      </c>
      <c r="AI681" s="476" t="s">
        <v>6317</v>
      </c>
      <c r="AJ681" s="476" t="s">
        <v>839</v>
      </c>
      <c r="AK681" s="476" t="s">
        <v>6493</v>
      </c>
      <c r="AL681" s="476" t="s">
        <v>6881</v>
      </c>
      <c r="AM681" s="476" t="s">
        <v>6343</v>
      </c>
      <c r="AN681" s="476"/>
      <c r="AO681" s="476"/>
      <c r="AP681" s="476"/>
      <c r="AQ681" s="476"/>
      <c r="AR681" s="476"/>
      <c r="AS681" s="476"/>
      <c r="AT681" s="476"/>
      <c r="AU681" s="476"/>
      <c r="AV681" s="476"/>
      <c r="AW681" s="476"/>
      <c r="AX681" s="476"/>
      <c r="AY681" s="476"/>
      <c r="AZ681" s="476"/>
      <c r="BA681" s="476"/>
      <c r="BB681" s="476"/>
      <c r="BC681" s="476"/>
      <c r="BD681" s="476"/>
      <c r="BE681" s="476"/>
      <c r="BF681" s="476"/>
      <c r="BG681" s="476"/>
      <c r="BH681" s="476"/>
      <c r="BI681" s="476"/>
      <c r="BJ681" s="476"/>
      <c r="BK681" s="476"/>
      <c r="BL681" s="480"/>
    </row>
    <row r="682" spans="1:64">
      <c r="A682" s="468">
        <v>44473</v>
      </c>
      <c r="B682" s="473">
        <v>277</v>
      </c>
      <c r="C682" s="473">
        <v>88</v>
      </c>
      <c r="D682" s="470" t="s">
        <v>634</v>
      </c>
      <c r="E682" s="469">
        <v>40</v>
      </c>
      <c r="F682" s="470" t="s">
        <v>88</v>
      </c>
      <c r="G682" s="469">
        <v>535</v>
      </c>
      <c r="H682" s="470" t="s">
        <v>6254</v>
      </c>
      <c r="I682" s="470" t="s">
        <v>836</v>
      </c>
      <c r="J682" s="469">
        <v>13</v>
      </c>
      <c r="K682" s="470" t="s">
        <v>6267</v>
      </c>
      <c r="L682" s="470" t="s">
        <v>6284</v>
      </c>
      <c r="M682" s="470" t="s">
        <v>9</v>
      </c>
      <c r="N682" s="473">
        <v>1</v>
      </c>
      <c r="O682" s="471"/>
      <c r="P682" s="471"/>
      <c r="Q682" s="471"/>
      <c r="R682" s="470"/>
      <c r="S682" s="471">
        <v>0.18046296296296296</v>
      </c>
      <c r="T682" s="471">
        <v>0.24712962962962962</v>
      </c>
      <c r="U682" s="471"/>
      <c r="V682" s="471"/>
      <c r="W682" s="471">
        <v>0.48907407407407405</v>
      </c>
      <c r="X682" s="471">
        <v>0.73101851851851851</v>
      </c>
      <c r="Y682" s="471">
        <v>0.14652777777777778</v>
      </c>
      <c r="Z682" s="471">
        <v>0.43055555555555558</v>
      </c>
      <c r="AA682" s="471">
        <v>0.7104166666666667</v>
      </c>
      <c r="AB682" s="470" t="s">
        <v>6289</v>
      </c>
      <c r="AC682" s="473">
        <v>131</v>
      </c>
      <c r="AD682" s="470" t="s">
        <v>119</v>
      </c>
      <c r="AE682" s="470"/>
      <c r="AF682" s="473">
        <v>79</v>
      </c>
      <c r="AG682" s="469">
        <v>55.7</v>
      </c>
      <c r="AH682" s="470" t="s">
        <v>6295</v>
      </c>
      <c r="AI682" s="470" t="s">
        <v>6318</v>
      </c>
      <c r="AJ682" s="470" t="s">
        <v>6493</v>
      </c>
      <c r="AK682" s="470" t="s">
        <v>6493</v>
      </c>
      <c r="AL682" s="470"/>
      <c r="AM682" s="470"/>
      <c r="AN682" s="470"/>
      <c r="AO682" s="470"/>
      <c r="AP682" s="470"/>
      <c r="AQ682" s="470"/>
      <c r="AR682" s="470"/>
      <c r="AS682" s="470"/>
      <c r="AT682" s="470"/>
      <c r="AU682" s="470"/>
      <c r="AV682" s="470"/>
      <c r="AW682" s="470"/>
      <c r="AX682" s="470"/>
      <c r="AY682" s="470"/>
      <c r="AZ682" s="470"/>
      <c r="BA682" s="470"/>
      <c r="BB682" s="470"/>
      <c r="BC682" s="470"/>
      <c r="BD682" s="470"/>
      <c r="BE682" s="470"/>
      <c r="BF682" s="470"/>
      <c r="BG682" s="470"/>
      <c r="BH682" s="470"/>
      <c r="BI682" s="470"/>
      <c r="BJ682" s="470"/>
      <c r="BK682" s="470"/>
      <c r="BL682" s="474"/>
    </row>
    <row r="683" spans="1:64">
      <c r="A683" s="475">
        <v>44474</v>
      </c>
      <c r="B683" s="478">
        <v>278</v>
      </c>
      <c r="C683" s="478">
        <v>87</v>
      </c>
      <c r="D683" s="476" t="s">
        <v>634</v>
      </c>
      <c r="E683" s="477">
        <v>40</v>
      </c>
      <c r="F683" s="476" t="s">
        <v>91</v>
      </c>
      <c r="G683" s="477">
        <v>535</v>
      </c>
      <c r="H683" s="476" t="s">
        <v>6254</v>
      </c>
      <c r="I683" s="476" t="s">
        <v>836</v>
      </c>
      <c r="J683" s="477">
        <v>14</v>
      </c>
      <c r="K683" s="476" t="s">
        <v>6268</v>
      </c>
      <c r="L683" s="476" t="s">
        <v>6285</v>
      </c>
      <c r="M683" s="476" t="s">
        <v>9</v>
      </c>
      <c r="N683" s="478">
        <v>1</v>
      </c>
      <c r="O683" s="479"/>
      <c r="P683" s="479"/>
      <c r="Q683" s="479"/>
      <c r="R683" s="476"/>
      <c r="S683" s="479">
        <v>0.18118055555555557</v>
      </c>
      <c r="T683" s="479">
        <v>0.24784722222222222</v>
      </c>
      <c r="U683" s="479"/>
      <c r="V683" s="479"/>
      <c r="W683" s="479">
        <v>0.4888657407407408</v>
      </c>
      <c r="X683" s="479">
        <v>0.72988425925925926</v>
      </c>
      <c r="Y683" s="479">
        <v>0.19652777777777777</v>
      </c>
      <c r="Z683" s="479">
        <v>0.46458333333333335</v>
      </c>
      <c r="AA683" s="479">
        <v>0.72916666666666663</v>
      </c>
      <c r="AB683" s="476" t="s">
        <v>6289</v>
      </c>
      <c r="AC683" s="478">
        <v>131</v>
      </c>
      <c r="AD683" s="476" t="s">
        <v>119</v>
      </c>
      <c r="AE683" s="476"/>
      <c r="AF683" s="478">
        <v>87.8</v>
      </c>
      <c r="AG683" s="477">
        <v>61</v>
      </c>
      <c r="AH683" s="476" t="s">
        <v>6296</v>
      </c>
      <c r="AI683" s="476" t="s">
        <v>6319</v>
      </c>
      <c r="AJ683" s="476" t="s">
        <v>6493</v>
      </c>
      <c r="AK683" s="476" t="s">
        <v>6493</v>
      </c>
      <c r="AL683" s="476"/>
      <c r="AM683" s="476"/>
      <c r="AN683" s="476"/>
      <c r="AO683" s="476"/>
      <c r="AP683" s="476"/>
      <c r="AQ683" s="476"/>
      <c r="AR683" s="476"/>
      <c r="AS683" s="476"/>
      <c r="AT683" s="476"/>
      <c r="AU683" s="476"/>
      <c r="AV683" s="476"/>
      <c r="AW683" s="476"/>
      <c r="AX683" s="476"/>
      <c r="AY683" s="476"/>
      <c r="AZ683" s="476"/>
      <c r="BA683" s="476"/>
      <c r="BB683" s="476"/>
      <c r="BC683" s="476"/>
      <c r="BD683" s="476"/>
      <c r="BE683" s="476"/>
      <c r="BF683" s="476"/>
      <c r="BG683" s="476"/>
      <c r="BH683" s="476"/>
      <c r="BI683" s="476"/>
      <c r="BJ683" s="476"/>
      <c r="BK683" s="476"/>
      <c r="BL683" s="480"/>
    </row>
    <row r="684" spans="1:64">
      <c r="A684" s="468">
        <v>44475</v>
      </c>
      <c r="B684" s="473">
        <v>279</v>
      </c>
      <c r="C684" s="473">
        <v>86</v>
      </c>
      <c r="D684" s="470" t="s">
        <v>634</v>
      </c>
      <c r="E684" s="469">
        <v>40</v>
      </c>
      <c r="F684" s="470" t="s">
        <v>94</v>
      </c>
      <c r="G684" s="469">
        <v>535</v>
      </c>
      <c r="H684" s="470" t="s">
        <v>6254</v>
      </c>
      <c r="I684" s="470" t="s">
        <v>836</v>
      </c>
      <c r="J684" s="469">
        <v>15</v>
      </c>
      <c r="K684" s="470" t="s">
        <v>6269</v>
      </c>
      <c r="L684" s="470" t="s">
        <v>6286</v>
      </c>
      <c r="M684" s="470" t="s">
        <v>9</v>
      </c>
      <c r="N684" s="473">
        <v>1</v>
      </c>
      <c r="O684" s="471"/>
      <c r="P684" s="471"/>
      <c r="Q684" s="471"/>
      <c r="R684" s="470"/>
      <c r="S684" s="471">
        <v>0.18189814814814817</v>
      </c>
      <c r="T684" s="471">
        <v>0.24856481481481482</v>
      </c>
      <c r="U684" s="471"/>
      <c r="V684" s="471"/>
      <c r="W684" s="471">
        <v>0.48866898148148147</v>
      </c>
      <c r="X684" s="471">
        <v>0.72876157407407405</v>
      </c>
      <c r="Y684" s="471">
        <v>0.24652777777777779</v>
      </c>
      <c r="Z684" s="471">
        <v>0.49861111111111112</v>
      </c>
      <c r="AA684" s="471">
        <v>0.74722222222222223</v>
      </c>
      <c r="AB684" s="470" t="s">
        <v>6463</v>
      </c>
      <c r="AC684" s="473">
        <v>152</v>
      </c>
      <c r="AD684" s="470" t="s">
        <v>110</v>
      </c>
      <c r="AE684" s="470" t="s">
        <v>6634</v>
      </c>
      <c r="AF684" s="473">
        <v>99.3</v>
      </c>
      <c r="AG684" s="469">
        <v>68.8</v>
      </c>
      <c r="AH684" s="470" t="s">
        <v>6297</v>
      </c>
      <c r="AI684" s="470" t="s">
        <v>6341</v>
      </c>
      <c r="AJ684" s="470" t="s">
        <v>6493</v>
      </c>
      <c r="AK684" s="470" t="s">
        <v>6493</v>
      </c>
      <c r="AL684" s="470"/>
      <c r="AM684" s="470"/>
      <c r="AN684" s="470"/>
      <c r="AO684" s="470"/>
      <c r="AP684" s="470"/>
      <c r="AQ684" s="470"/>
      <c r="AR684" s="470"/>
      <c r="AS684" s="470"/>
      <c r="AT684" s="470"/>
      <c r="AU684" s="470"/>
      <c r="AV684" s="470"/>
      <c r="AW684" s="470"/>
      <c r="AX684" s="470"/>
      <c r="AY684" s="470"/>
      <c r="AZ684" s="470"/>
      <c r="BA684" s="470"/>
      <c r="BB684" s="470"/>
      <c r="BC684" s="470"/>
      <c r="BD684" s="470"/>
      <c r="BE684" s="470"/>
      <c r="BF684" s="470"/>
      <c r="BG684" s="470"/>
      <c r="BH684" s="470"/>
      <c r="BI684" s="470"/>
      <c r="BJ684" s="470"/>
      <c r="BK684" s="470"/>
      <c r="BL684" s="474"/>
    </row>
    <row r="685" spans="1:64">
      <c r="A685" s="475">
        <v>44476</v>
      </c>
      <c r="B685" s="478">
        <v>280</v>
      </c>
      <c r="C685" s="478">
        <v>85</v>
      </c>
      <c r="D685" s="476" t="s">
        <v>634</v>
      </c>
      <c r="E685" s="477">
        <v>40</v>
      </c>
      <c r="F685" s="476" t="s">
        <v>6714</v>
      </c>
      <c r="G685" s="477">
        <v>535</v>
      </c>
      <c r="H685" s="476" t="s">
        <v>6254</v>
      </c>
      <c r="I685" s="476" t="s">
        <v>6257</v>
      </c>
      <c r="J685" s="477">
        <v>17</v>
      </c>
      <c r="K685" s="476" t="s">
        <v>1034</v>
      </c>
      <c r="L685" s="476" t="s">
        <v>6273</v>
      </c>
      <c r="M685" s="476" t="s">
        <v>9</v>
      </c>
      <c r="N685" s="478">
        <v>1</v>
      </c>
      <c r="O685" s="479">
        <v>0.25486111111111109</v>
      </c>
      <c r="P685" s="479">
        <v>0.13749999999999998</v>
      </c>
      <c r="Q685" s="479"/>
      <c r="R685" s="476"/>
      <c r="S685" s="479">
        <v>0.18262731481481484</v>
      </c>
      <c r="T685" s="479">
        <v>0.24929398148148149</v>
      </c>
      <c r="U685" s="479"/>
      <c r="V685" s="479"/>
      <c r="W685" s="479">
        <v>0.4884722222222222</v>
      </c>
      <c r="X685" s="479">
        <v>0.72763888888888895</v>
      </c>
      <c r="Y685" s="479">
        <v>0.2986111111111111</v>
      </c>
      <c r="Z685" s="479">
        <v>0.53333333333333333</v>
      </c>
      <c r="AA685" s="479">
        <v>0.76736111111111116</v>
      </c>
      <c r="AB685" s="476" t="s">
        <v>6463</v>
      </c>
      <c r="AC685" s="478">
        <v>152</v>
      </c>
      <c r="AD685" s="476" t="s">
        <v>110</v>
      </c>
      <c r="AE685" s="476"/>
      <c r="AF685" s="478">
        <v>12.7</v>
      </c>
      <c r="AG685" s="477">
        <v>78.2</v>
      </c>
      <c r="AH685" s="476" t="s">
        <v>6298</v>
      </c>
      <c r="AI685" s="476" t="s">
        <v>6320</v>
      </c>
      <c r="AJ685" s="476" t="s">
        <v>6493</v>
      </c>
      <c r="AK685" s="476" t="s">
        <v>6493</v>
      </c>
      <c r="AL685" s="476" t="s">
        <v>6882</v>
      </c>
      <c r="AM685" s="476"/>
      <c r="AN685" s="476"/>
      <c r="AO685" s="476"/>
      <c r="AP685" s="476"/>
      <c r="AQ685" s="476"/>
      <c r="AR685" s="476"/>
      <c r="AS685" s="476"/>
      <c r="AT685" s="476"/>
      <c r="AU685" s="476"/>
      <c r="AV685" s="476"/>
      <c r="AW685" s="476"/>
      <c r="AX685" s="476"/>
      <c r="AY685" s="476"/>
      <c r="AZ685" s="476"/>
      <c r="BA685" s="476"/>
      <c r="BB685" s="476"/>
      <c r="BC685" s="476"/>
      <c r="BD685" s="476"/>
      <c r="BE685" s="476"/>
      <c r="BF685" s="476"/>
      <c r="BG685" s="476"/>
      <c r="BH685" s="476"/>
      <c r="BI685" s="476"/>
      <c r="BJ685" s="476"/>
      <c r="BK685" s="476"/>
      <c r="BL685" s="480"/>
    </row>
    <row r="686" spans="1:64">
      <c r="A686" s="468">
        <v>44477</v>
      </c>
      <c r="B686" s="473">
        <v>281</v>
      </c>
      <c r="C686" s="473">
        <v>84</v>
      </c>
      <c r="D686" s="470" t="s">
        <v>634</v>
      </c>
      <c r="E686" s="469">
        <v>40</v>
      </c>
      <c r="F686" s="470" t="s">
        <v>100</v>
      </c>
      <c r="G686" s="469">
        <v>535</v>
      </c>
      <c r="H686" s="470" t="s">
        <v>6254</v>
      </c>
      <c r="I686" s="470" t="s">
        <v>6257</v>
      </c>
      <c r="J686" s="469">
        <v>18</v>
      </c>
      <c r="K686" s="470" t="s">
        <v>6258</v>
      </c>
      <c r="L686" s="470" t="s">
        <v>6274</v>
      </c>
      <c r="M686" s="470" t="s">
        <v>9</v>
      </c>
      <c r="N686" s="473">
        <v>1</v>
      </c>
      <c r="O686" s="471"/>
      <c r="P686" s="471"/>
      <c r="Q686" s="471"/>
      <c r="R686" s="470"/>
      <c r="S686" s="471">
        <v>0.18335648148148151</v>
      </c>
      <c r="T686" s="471">
        <v>0.25002314814814813</v>
      </c>
      <c r="U686" s="471"/>
      <c r="V686" s="471"/>
      <c r="W686" s="471">
        <v>0.48827546296296293</v>
      </c>
      <c r="X686" s="471">
        <v>0.72652777777777777</v>
      </c>
      <c r="Y686" s="471">
        <v>0.3520833333333333</v>
      </c>
      <c r="Z686" s="471">
        <v>0.5708333333333333</v>
      </c>
      <c r="AA686" s="471">
        <v>0.7895833333333333</v>
      </c>
      <c r="AB686" s="470" t="s">
        <v>6463</v>
      </c>
      <c r="AC686" s="473">
        <v>152</v>
      </c>
      <c r="AD686" s="470" t="s">
        <v>110</v>
      </c>
      <c r="AE686" s="470"/>
      <c r="AF686" s="473">
        <v>26.9</v>
      </c>
      <c r="AG686" s="469">
        <v>88.5</v>
      </c>
      <c r="AH686" s="470" t="s">
        <v>6299</v>
      </c>
      <c r="AI686" s="470" t="s">
        <v>6321</v>
      </c>
      <c r="AJ686" s="470" t="s">
        <v>6493</v>
      </c>
      <c r="AK686" s="470" t="s">
        <v>6493</v>
      </c>
      <c r="AL686" s="470"/>
      <c r="AM686" s="470"/>
      <c r="AN686" s="470"/>
      <c r="AO686" s="470"/>
      <c r="AP686" s="470"/>
      <c r="AQ686" s="470"/>
      <c r="AR686" s="470"/>
      <c r="AS686" s="470"/>
      <c r="AT686" s="470"/>
      <c r="AU686" s="470"/>
      <c r="AV686" s="470"/>
      <c r="AW686" s="470"/>
      <c r="AX686" s="470"/>
      <c r="AY686" s="470"/>
      <c r="AZ686" s="470"/>
      <c r="BA686" s="470"/>
      <c r="BB686" s="470"/>
      <c r="BC686" s="470"/>
      <c r="BD686" s="470"/>
      <c r="BE686" s="470"/>
      <c r="BF686" s="470"/>
      <c r="BG686" s="470"/>
      <c r="BH686" s="470"/>
      <c r="BI686" s="470"/>
      <c r="BJ686" s="470"/>
      <c r="BK686" s="470"/>
      <c r="BL686" s="474"/>
    </row>
    <row r="687" spans="1:64">
      <c r="A687" s="475">
        <v>44478</v>
      </c>
      <c r="B687" s="478">
        <v>282</v>
      </c>
      <c r="C687" s="478">
        <v>83</v>
      </c>
      <c r="D687" s="476" t="s">
        <v>634</v>
      </c>
      <c r="E687" s="477">
        <v>40</v>
      </c>
      <c r="F687" s="476" t="s">
        <v>103</v>
      </c>
      <c r="G687" s="477">
        <v>535</v>
      </c>
      <c r="H687" s="476" t="s">
        <v>6254</v>
      </c>
      <c r="I687" s="476" t="s">
        <v>6257</v>
      </c>
      <c r="J687" s="477">
        <v>19</v>
      </c>
      <c r="K687" s="476" t="s">
        <v>6259</v>
      </c>
      <c r="L687" s="476" t="s">
        <v>6275</v>
      </c>
      <c r="M687" s="476" t="s">
        <v>9</v>
      </c>
      <c r="N687" s="478">
        <v>1</v>
      </c>
      <c r="O687" s="479"/>
      <c r="P687" s="479"/>
      <c r="Q687" s="479"/>
      <c r="R687" s="476"/>
      <c r="S687" s="479">
        <v>0.18408564814814812</v>
      </c>
      <c r="T687" s="479">
        <v>0.2507523148148148</v>
      </c>
      <c r="U687" s="479"/>
      <c r="V687" s="479"/>
      <c r="W687" s="479">
        <v>0.4880902777777778</v>
      </c>
      <c r="X687" s="479">
        <v>0.72542824074074075</v>
      </c>
      <c r="Y687" s="479">
        <v>0.4055555555555555</v>
      </c>
      <c r="Z687" s="479">
        <v>0.61111111111111105</v>
      </c>
      <c r="AA687" s="479">
        <v>0.81527777777777777</v>
      </c>
      <c r="AB687" s="476" t="s">
        <v>6463</v>
      </c>
      <c r="AC687" s="478">
        <v>152</v>
      </c>
      <c r="AD687" s="476" t="s">
        <v>110</v>
      </c>
      <c r="AE687" s="476"/>
      <c r="AF687" s="478">
        <v>41.2</v>
      </c>
      <c r="AG687" s="477">
        <v>98.7</v>
      </c>
      <c r="AH687" s="476" t="s">
        <v>6300</v>
      </c>
      <c r="AI687" s="476" t="s">
        <v>6322</v>
      </c>
      <c r="AJ687" s="476" t="s">
        <v>6493</v>
      </c>
      <c r="AK687" s="476" t="s">
        <v>6493</v>
      </c>
      <c r="AL687" s="476"/>
      <c r="AM687" s="476"/>
      <c r="AN687" s="476"/>
      <c r="AO687" s="476"/>
      <c r="AP687" s="476"/>
      <c r="AQ687" s="476"/>
      <c r="AR687" s="476"/>
      <c r="AS687" s="476"/>
      <c r="AT687" s="476"/>
      <c r="AU687" s="476"/>
      <c r="AV687" s="476"/>
      <c r="AW687" s="476"/>
      <c r="AX687" s="476"/>
      <c r="AY687" s="476"/>
      <c r="AZ687" s="476"/>
      <c r="BA687" s="476"/>
      <c r="BB687" s="476"/>
      <c r="BC687" s="476"/>
      <c r="BD687" s="476"/>
      <c r="BE687" s="476"/>
      <c r="BF687" s="476"/>
      <c r="BG687" s="476"/>
      <c r="BH687" s="476"/>
      <c r="BI687" s="476"/>
      <c r="BJ687" s="476"/>
      <c r="BK687" s="476"/>
      <c r="BL687" s="480"/>
    </row>
    <row r="688" spans="1:64">
      <c r="A688" s="468">
        <v>44479</v>
      </c>
      <c r="B688" s="473">
        <v>283</v>
      </c>
      <c r="C688" s="473">
        <v>82</v>
      </c>
      <c r="D688" s="470" t="s">
        <v>634</v>
      </c>
      <c r="E688" s="469">
        <v>40</v>
      </c>
      <c r="F688" s="470" t="s">
        <v>106</v>
      </c>
      <c r="G688" s="469">
        <v>535</v>
      </c>
      <c r="H688" s="470" t="s">
        <v>6254</v>
      </c>
      <c r="I688" s="470" t="s">
        <v>6257</v>
      </c>
      <c r="J688" s="469">
        <v>20</v>
      </c>
      <c r="K688" s="470" t="s">
        <v>6260</v>
      </c>
      <c r="L688" s="470" t="s">
        <v>6276</v>
      </c>
      <c r="M688" s="470" t="s">
        <v>9</v>
      </c>
      <c r="N688" s="473">
        <v>1</v>
      </c>
      <c r="O688" s="471"/>
      <c r="P688" s="471"/>
      <c r="Q688" s="471"/>
      <c r="R688" s="470"/>
      <c r="S688" s="471">
        <v>0.18481481481481479</v>
      </c>
      <c r="T688" s="471">
        <v>0.25148148148148147</v>
      </c>
      <c r="U688" s="471"/>
      <c r="V688" s="471"/>
      <c r="W688" s="471">
        <v>0.48790509259259257</v>
      </c>
      <c r="X688" s="471">
        <v>0.72432870370370372</v>
      </c>
      <c r="Y688" s="471">
        <v>0.45902777777777781</v>
      </c>
      <c r="Z688" s="471">
        <v>0.65347222222222223</v>
      </c>
      <c r="AA688" s="471">
        <v>0.84791666666666676</v>
      </c>
      <c r="AB688" s="470" t="s">
        <v>6463</v>
      </c>
      <c r="AC688" s="473">
        <v>152</v>
      </c>
      <c r="AD688" s="470" t="s">
        <v>110</v>
      </c>
      <c r="AE688" s="470"/>
      <c r="AF688" s="473">
        <v>54.5</v>
      </c>
      <c r="AG688" s="469">
        <v>8.1</v>
      </c>
      <c r="AH688" s="470" t="s">
        <v>6302</v>
      </c>
      <c r="AI688" s="470" t="s">
        <v>6324</v>
      </c>
      <c r="AJ688" s="470" t="s">
        <v>6493</v>
      </c>
      <c r="AK688" s="470" t="s">
        <v>6493</v>
      </c>
      <c r="AL688" s="470"/>
      <c r="AM688" s="470"/>
      <c r="AN688" s="470"/>
      <c r="AO688" s="470"/>
      <c r="AP688" s="470"/>
      <c r="AQ688" s="470"/>
      <c r="AR688" s="470"/>
      <c r="AS688" s="470"/>
      <c r="AT688" s="470"/>
      <c r="AU688" s="470"/>
      <c r="AV688" s="470"/>
      <c r="AW688" s="470"/>
      <c r="AX688" s="470"/>
      <c r="AY688" s="470"/>
      <c r="AZ688" s="470"/>
      <c r="BA688" s="470"/>
      <c r="BB688" s="470"/>
      <c r="BC688" s="470"/>
      <c r="BD688" s="470"/>
      <c r="BE688" s="470"/>
      <c r="BF688" s="470"/>
      <c r="BG688" s="470"/>
      <c r="BH688" s="470"/>
      <c r="BI688" s="470"/>
      <c r="BJ688" s="470"/>
      <c r="BK688" s="470"/>
      <c r="BL688" s="474"/>
    </row>
    <row r="689" spans="1:64">
      <c r="A689" s="475">
        <v>44480</v>
      </c>
      <c r="B689" s="478">
        <v>284</v>
      </c>
      <c r="C689" s="478">
        <v>81</v>
      </c>
      <c r="D689" s="476" t="s">
        <v>634</v>
      </c>
      <c r="E689" s="477">
        <v>41</v>
      </c>
      <c r="F689" s="476" t="s">
        <v>88</v>
      </c>
      <c r="G689" s="477">
        <v>535</v>
      </c>
      <c r="H689" s="476" t="s">
        <v>6254</v>
      </c>
      <c r="I689" s="476" t="s">
        <v>6257</v>
      </c>
      <c r="J689" s="477">
        <v>21</v>
      </c>
      <c r="K689" s="476" t="s">
        <v>6261</v>
      </c>
      <c r="L689" s="476" t="s">
        <v>6277</v>
      </c>
      <c r="M689" s="476" t="s">
        <v>9</v>
      </c>
      <c r="N689" s="478">
        <v>1</v>
      </c>
      <c r="O689" s="479"/>
      <c r="P689" s="479"/>
      <c r="Q689" s="479"/>
      <c r="R689" s="476"/>
      <c r="S689" s="479">
        <v>0.18555555555555556</v>
      </c>
      <c r="T689" s="479">
        <v>0.25222222222222224</v>
      </c>
      <c r="U689" s="479"/>
      <c r="V689" s="479"/>
      <c r="W689" s="479">
        <v>0.48773148148148149</v>
      </c>
      <c r="X689" s="479">
        <v>0.7232291666666667</v>
      </c>
      <c r="Y689" s="479">
        <v>0.50902777777777775</v>
      </c>
      <c r="Z689" s="479">
        <v>0.65416666666666667</v>
      </c>
      <c r="AA689" s="479">
        <v>0.88541666666666663</v>
      </c>
      <c r="AB689" s="476" t="s">
        <v>6463</v>
      </c>
      <c r="AC689" s="478">
        <v>152</v>
      </c>
      <c r="AD689" s="476" t="s">
        <v>110</v>
      </c>
      <c r="AE689" s="476"/>
      <c r="AF689" s="478">
        <v>66.3</v>
      </c>
      <c r="AG689" s="477">
        <v>16.100000000000001</v>
      </c>
      <c r="AH689" s="476" t="s">
        <v>6303</v>
      </c>
      <c r="AI689" s="476" t="s">
        <v>6325</v>
      </c>
      <c r="AJ689" s="476" t="s">
        <v>6493</v>
      </c>
      <c r="AK689" s="476" t="s">
        <v>6493</v>
      </c>
      <c r="AL689" s="476"/>
      <c r="AM689" s="476"/>
      <c r="AN689" s="476"/>
      <c r="AO689" s="476"/>
      <c r="AP689" s="476"/>
      <c r="AQ689" s="476"/>
      <c r="AR689" s="476"/>
      <c r="AS689" s="476"/>
      <c r="AT689" s="476"/>
      <c r="AU689" s="476"/>
      <c r="AV689" s="476"/>
      <c r="AW689" s="476"/>
      <c r="AX689" s="476"/>
      <c r="AY689" s="476"/>
      <c r="AZ689" s="476"/>
      <c r="BA689" s="476"/>
      <c r="BB689" s="476"/>
      <c r="BC689" s="476"/>
      <c r="BD689" s="476"/>
      <c r="BE689" s="476"/>
      <c r="BF689" s="476"/>
      <c r="BG689" s="476"/>
      <c r="BH689" s="476"/>
      <c r="BI689" s="476"/>
      <c r="BJ689" s="476"/>
      <c r="BK689" s="476"/>
      <c r="BL689" s="480"/>
    </row>
    <row r="690" spans="1:64">
      <c r="A690" s="468">
        <v>44481</v>
      </c>
      <c r="B690" s="473">
        <v>285</v>
      </c>
      <c r="C690" s="473">
        <v>80</v>
      </c>
      <c r="D690" s="470" t="s">
        <v>634</v>
      </c>
      <c r="E690" s="469">
        <v>41</v>
      </c>
      <c r="F690" s="470" t="s">
        <v>91</v>
      </c>
      <c r="G690" s="469">
        <v>535</v>
      </c>
      <c r="H690" s="470" t="s">
        <v>6254</v>
      </c>
      <c r="I690" s="470" t="s">
        <v>6257</v>
      </c>
      <c r="J690" s="469">
        <v>22</v>
      </c>
      <c r="K690" s="470" t="s">
        <v>6262</v>
      </c>
      <c r="L690" s="470" t="s">
        <v>6278</v>
      </c>
      <c r="M690" s="470" t="s">
        <v>9</v>
      </c>
      <c r="N690" s="473">
        <v>1</v>
      </c>
      <c r="O690" s="471"/>
      <c r="P690" s="471"/>
      <c r="Q690" s="471"/>
      <c r="R690" s="470"/>
      <c r="S690" s="471">
        <v>0.18629629629629629</v>
      </c>
      <c r="T690" s="471">
        <v>0.25296296296296295</v>
      </c>
      <c r="U690" s="471"/>
      <c r="V690" s="471"/>
      <c r="W690" s="471">
        <v>0.48755787037037041</v>
      </c>
      <c r="X690" s="471">
        <v>0.72215277777777775</v>
      </c>
      <c r="Y690" s="471">
        <v>0.55208333333333337</v>
      </c>
      <c r="Z690" s="471">
        <v>0.6958333333333333</v>
      </c>
      <c r="AA690" s="471">
        <v>0.9291666666666667</v>
      </c>
      <c r="AB690" s="470" t="s">
        <v>6463</v>
      </c>
      <c r="AC690" s="473">
        <v>152</v>
      </c>
      <c r="AD690" s="470" t="s">
        <v>110</v>
      </c>
      <c r="AE690" s="470"/>
      <c r="AF690" s="473">
        <v>76.2</v>
      </c>
      <c r="AG690" s="469">
        <v>22.5</v>
      </c>
      <c r="AH690" s="470" t="s">
        <v>6304</v>
      </c>
      <c r="AI690" s="470" t="s">
        <v>6326</v>
      </c>
      <c r="AJ690" s="470" t="s">
        <v>839</v>
      </c>
      <c r="AK690" s="470" t="s">
        <v>6493</v>
      </c>
      <c r="AL690" s="470" t="s">
        <v>1227</v>
      </c>
      <c r="AM690" s="470" t="s">
        <v>6162</v>
      </c>
      <c r="AN690" s="470" t="s">
        <v>778</v>
      </c>
      <c r="AO690" s="470"/>
      <c r="AP690" s="470"/>
      <c r="AQ690" s="470"/>
      <c r="AR690" s="470"/>
      <c r="AS690" s="470"/>
      <c r="AT690" s="470"/>
      <c r="AU690" s="470"/>
      <c r="AV690" s="470"/>
      <c r="AW690" s="470"/>
      <c r="AX690" s="470"/>
      <c r="AY690" s="470"/>
      <c r="AZ690" s="470"/>
      <c r="BA690" s="470"/>
      <c r="BB690" s="470"/>
      <c r="BC690" s="470"/>
      <c r="BD690" s="470"/>
      <c r="BE690" s="470"/>
      <c r="BF690" s="470"/>
      <c r="BG690" s="470"/>
      <c r="BH690" s="470"/>
      <c r="BI690" s="470"/>
      <c r="BJ690" s="470" t="s">
        <v>7101</v>
      </c>
      <c r="BK690" s="470"/>
      <c r="BL690" s="474"/>
    </row>
    <row r="691" spans="1:64">
      <c r="A691" s="475">
        <v>44482</v>
      </c>
      <c r="B691" s="478">
        <v>286</v>
      </c>
      <c r="C691" s="478">
        <v>79</v>
      </c>
      <c r="D691" s="476" t="s">
        <v>634</v>
      </c>
      <c r="E691" s="477">
        <v>41</v>
      </c>
      <c r="F691" s="476" t="s">
        <v>94</v>
      </c>
      <c r="G691" s="477">
        <v>535</v>
      </c>
      <c r="H691" s="476" t="s">
        <v>6254</v>
      </c>
      <c r="I691" s="476" t="s">
        <v>6257</v>
      </c>
      <c r="J691" s="477">
        <v>23</v>
      </c>
      <c r="K691" s="476" t="s">
        <v>6263</v>
      </c>
      <c r="L691" s="476" t="s">
        <v>6279</v>
      </c>
      <c r="M691" s="476" t="s">
        <v>9</v>
      </c>
      <c r="N691" s="478">
        <v>1</v>
      </c>
      <c r="O691" s="479"/>
      <c r="P691" s="479"/>
      <c r="Q691" s="479"/>
      <c r="R691" s="476"/>
      <c r="S691" s="479">
        <v>0.18703703703703703</v>
      </c>
      <c r="T691" s="479">
        <v>0.25370370370370371</v>
      </c>
      <c r="U691" s="479"/>
      <c r="V691" s="479"/>
      <c r="W691" s="479">
        <v>0.48738425925925927</v>
      </c>
      <c r="X691" s="479">
        <v>0.72107638888888881</v>
      </c>
      <c r="Y691" s="479">
        <v>0.58888888888888891</v>
      </c>
      <c r="Z691" s="479">
        <v>0.7368055555555556</v>
      </c>
      <c r="AA691" s="479">
        <v>0.97638888888888886</v>
      </c>
      <c r="AB691" s="476" t="s">
        <v>6464</v>
      </c>
      <c r="AC691" s="478">
        <v>130</v>
      </c>
      <c r="AD691" s="476" t="s">
        <v>113</v>
      </c>
      <c r="AE691" s="476" t="s">
        <v>6635</v>
      </c>
      <c r="AF691" s="478">
        <v>84.1</v>
      </c>
      <c r="AG691" s="477">
        <v>27</v>
      </c>
      <c r="AH691" s="476" t="s">
        <v>6305</v>
      </c>
      <c r="AI691" s="476" t="s">
        <v>6327</v>
      </c>
      <c r="AJ691" s="476" t="s">
        <v>6493</v>
      </c>
      <c r="AK691" s="476" t="s">
        <v>6493</v>
      </c>
      <c r="AL691" s="476"/>
      <c r="AM691" s="476"/>
      <c r="AN691" s="476"/>
      <c r="AO691" s="476"/>
      <c r="AP691" s="476"/>
      <c r="AQ691" s="476"/>
      <c r="AR691" s="476"/>
      <c r="AS691" s="476"/>
      <c r="AT691" s="476"/>
      <c r="AU691" s="476"/>
      <c r="AV691" s="476"/>
      <c r="AW691" s="476"/>
      <c r="AX691" s="476"/>
      <c r="AY691" s="476"/>
      <c r="AZ691" s="476"/>
      <c r="BA691" s="476"/>
      <c r="BB691" s="476"/>
      <c r="BC691" s="476"/>
      <c r="BD691" s="476"/>
      <c r="BE691" s="476"/>
      <c r="BF691" s="476"/>
      <c r="BG691" s="476"/>
      <c r="BH691" s="476"/>
      <c r="BI691" s="476"/>
      <c r="BJ691" s="476"/>
      <c r="BK691" s="476"/>
      <c r="BL691" s="480"/>
    </row>
    <row r="692" spans="1:64">
      <c r="A692" s="468">
        <v>44483</v>
      </c>
      <c r="B692" s="473">
        <v>287</v>
      </c>
      <c r="C692" s="473">
        <v>78</v>
      </c>
      <c r="D692" s="470" t="s">
        <v>634</v>
      </c>
      <c r="E692" s="469">
        <v>41</v>
      </c>
      <c r="F692" s="470" t="s">
        <v>6714</v>
      </c>
      <c r="G692" s="469">
        <v>535</v>
      </c>
      <c r="H692" s="470" t="s">
        <v>6254</v>
      </c>
      <c r="I692" s="470" t="s">
        <v>6257</v>
      </c>
      <c r="J692" s="469">
        <v>24</v>
      </c>
      <c r="K692" s="470" t="s">
        <v>6264</v>
      </c>
      <c r="L692" s="470" t="s">
        <v>6280</v>
      </c>
      <c r="M692" s="470" t="s">
        <v>9</v>
      </c>
      <c r="N692" s="473">
        <v>1</v>
      </c>
      <c r="O692" s="471"/>
      <c r="P692" s="471"/>
      <c r="Q692" s="471"/>
      <c r="R692" s="470"/>
      <c r="S692" s="471">
        <v>0.18777777777777779</v>
      </c>
      <c r="T692" s="471">
        <v>0.25444444444444442</v>
      </c>
      <c r="U692" s="471"/>
      <c r="V692" s="471"/>
      <c r="W692" s="471">
        <v>0.48723379629629626</v>
      </c>
      <c r="X692" s="471">
        <v>0.72001157407407401</v>
      </c>
      <c r="Y692" s="471">
        <v>0.61736111111111114</v>
      </c>
      <c r="Z692" s="471">
        <v>0.77708333333333324</v>
      </c>
      <c r="AA692" s="471" t="s">
        <v>1107</v>
      </c>
      <c r="AB692" s="470" t="s">
        <v>6464</v>
      </c>
      <c r="AC692" s="473">
        <v>130</v>
      </c>
      <c r="AD692" s="470" t="s">
        <v>113</v>
      </c>
      <c r="AE692" s="470"/>
      <c r="AF692" s="473">
        <v>90</v>
      </c>
      <c r="AG692" s="469">
        <v>29.7</v>
      </c>
      <c r="AH692" s="470" t="s">
        <v>6306</v>
      </c>
      <c r="AI692" s="470" t="s">
        <v>6328</v>
      </c>
      <c r="AJ692" s="470" t="s">
        <v>6493</v>
      </c>
      <c r="AK692" s="470" t="s">
        <v>6493</v>
      </c>
      <c r="AL692" s="470"/>
      <c r="AM692" s="470"/>
      <c r="AN692" s="470"/>
      <c r="AO692" s="470"/>
      <c r="AP692" s="470"/>
      <c r="AQ692" s="470"/>
      <c r="AR692" s="470"/>
      <c r="AS692" s="470"/>
      <c r="AT692" s="470"/>
      <c r="AU692" s="470"/>
      <c r="AV692" s="470"/>
      <c r="AW692" s="470"/>
      <c r="AX692" s="470"/>
      <c r="AY692" s="470"/>
      <c r="AZ692" s="470"/>
      <c r="BA692" s="470"/>
      <c r="BB692" s="470"/>
      <c r="BC692" s="470"/>
      <c r="BD692" s="470"/>
      <c r="BE692" s="470"/>
      <c r="BF692" s="470"/>
      <c r="BG692" s="470"/>
      <c r="BH692" s="470"/>
      <c r="BI692" s="470"/>
      <c r="BJ692" s="470"/>
      <c r="BK692" s="470"/>
      <c r="BL692" s="474"/>
    </row>
    <row r="693" spans="1:64">
      <c r="A693" s="475">
        <v>44484</v>
      </c>
      <c r="B693" s="478">
        <v>288</v>
      </c>
      <c r="C693" s="478">
        <v>77</v>
      </c>
      <c r="D693" s="476" t="s">
        <v>634</v>
      </c>
      <c r="E693" s="477">
        <v>41</v>
      </c>
      <c r="F693" s="476" t="s">
        <v>100</v>
      </c>
      <c r="G693" s="477">
        <v>535</v>
      </c>
      <c r="H693" s="476" t="s">
        <v>6254</v>
      </c>
      <c r="I693" s="476" t="s">
        <v>6257</v>
      </c>
      <c r="J693" s="477">
        <v>25</v>
      </c>
      <c r="K693" s="476" t="s">
        <v>6265</v>
      </c>
      <c r="L693" s="476" t="s">
        <v>6281</v>
      </c>
      <c r="M693" s="476" t="s">
        <v>9</v>
      </c>
      <c r="N693" s="478">
        <v>1</v>
      </c>
      <c r="O693" s="479"/>
      <c r="P693" s="479"/>
      <c r="Q693" s="479"/>
      <c r="R693" s="476"/>
      <c r="S693" s="479">
        <v>0.1885300925925926</v>
      </c>
      <c r="T693" s="479">
        <v>0.25519675925925928</v>
      </c>
      <c r="U693" s="479"/>
      <c r="V693" s="479"/>
      <c r="W693" s="479">
        <v>0.48707175925925927</v>
      </c>
      <c r="X693" s="479">
        <v>0.71894675925925933</v>
      </c>
      <c r="Y693" s="479">
        <v>0.64097222222222217</v>
      </c>
      <c r="Z693" s="479">
        <v>0.81458333333333333</v>
      </c>
      <c r="AA693" s="479">
        <v>2.4999999999999998E-2</v>
      </c>
      <c r="AB693" s="476" t="s">
        <v>6464</v>
      </c>
      <c r="AC693" s="478">
        <v>130</v>
      </c>
      <c r="AD693" s="476" t="s">
        <v>113</v>
      </c>
      <c r="AE693" s="476"/>
      <c r="AF693" s="478">
        <v>93.8</v>
      </c>
      <c r="AG693" s="477">
        <v>30.6</v>
      </c>
      <c r="AH693" s="476" t="s">
        <v>6307</v>
      </c>
      <c r="AI693" s="476" t="s">
        <v>6329</v>
      </c>
      <c r="AJ693" s="476" t="s">
        <v>839</v>
      </c>
      <c r="AK693" s="476" t="s">
        <v>6493</v>
      </c>
      <c r="AL693" s="476" t="s">
        <v>813</v>
      </c>
      <c r="AM693" s="476" t="s">
        <v>6344</v>
      </c>
      <c r="AN693" s="476" t="s">
        <v>6966</v>
      </c>
      <c r="AO693" s="476" t="s">
        <v>6345</v>
      </c>
      <c r="AP693" s="476" t="s">
        <v>7037</v>
      </c>
      <c r="AQ693" s="476" t="s">
        <v>6349</v>
      </c>
      <c r="AR693" s="476" t="s">
        <v>782</v>
      </c>
      <c r="AS693" s="476"/>
      <c r="AT693" s="476"/>
      <c r="AU693" s="476"/>
      <c r="AV693" s="476"/>
      <c r="AW693" s="476"/>
      <c r="AX693" s="476"/>
      <c r="AY693" s="476"/>
      <c r="AZ693" s="476"/>
      <c r="BA693" s="476"/>
      <c r="BB693" s="476"/>
      <c r="BC693" s="476"/>
      <c r="BD693" s="476"/>
      <c r="BE693" s="476"/>
      <c r="BF693" s="476"/>
      <c r="BG693" s="476"/>
      <c r="BH693" s="476"/>
      <c r="BI693" s="476"/>
      <c r="BJ693" s="476" t="s">
        <v>6437</v>
      </c>
      <c r="BK693" s="476" t="s">
        <v>990</v>
      </c>
      <c r="BL693" s="480"/>
    </row>
    <row r="694" spans="1:64">
      <c r="A694" s="468">
        <v>44485</v>
      </c>
      <c r="B694" s="473">
        <v>289</v>
      </c>
      <c r="C694" s="473">
        <v>76</v>
      </c>
      <c r="D694" s="470" t="s">
        <v>634</v>
      </c>
      <c r="E694" s="469">
        <v>41</v>
      </c>
      <c r="F694" s="470" t="s">
        <v>103</v>
      </c>
      <c r="G694" s="469">
        <v>535</v>
      </c>
      <c r="H694" s="470" t="s">
        <v>6254</v>
      </c>
      <c r="I694" s="470" t="s">
        <v>6257</v>
      </c>
      <c r="J694" s="469">
        <v>26</v>
      </c>
      <c r="K694" s="470" t="s">
        <v>6271</v>
      </c>
      <c r="L694" s="470" t="s">
        <v>6282</v>
      </c>
      <c r="M694" s="470" t="s">
        <v>9</v>
      </c>
      <c r="N694" s="473">
        <v>1</v>
      </c>
      <c r="O694" s="471"/>
      <c r="P694" s="471"/>
      <c r="Q694" s="471"/>
      <c r="R694" s="470"/>
      <c r="S694" s="471">
        <v>0.18929398148148149</v>
      </c>
      <c r="T694" s="471">
        <v>0.25596064814814817</v>
      </c>
      <c r="U694" s="471"/>
      <c r="V694" s="471"/>
      <c r="W694" s="471">
        <v>0.48693287037037036</v>
      </c>
      <c r="X694" s="471">
        <v>0.71790509259259261</v>
      </c>
      <c r="Y694" s="471">
        <v>0.66111111111111109</v>
      </c>
      <c r="Z694" s="471">
        <v>0.88958333333333339</v>
      </c>
      <c r="AA694" s="471">
        <v>7.3611111111111113E-2</v>
      </c>
      <c r="AB694" s="470" t="s">
        <v>6464</v>
      </c>
      <c r="AC694" s="473">
        <v>130</v>
      </c>
      <c r="AD694" s="470" t="s">
        <v>113</v>
      </c>
      <c r="AE694" s="470"/>
      <c r="AF694" s="473">
        <v>95.7</v>
      </c>
      <c r="AG694" s="469">
        <v>29.8</v>
      </c>
      <c r="AH694" s="470" t="s">
        <v>6308</v>
      </c>
      <c r="AI694" s="470" t="s">
        <v>6330</v>
      </c>
      <c r="AJ694" s="470" t="s">
        <v>838</v>
      </c>
      <c r="AK694" s="470" t="s">
        <v>13</v>
      </c>
      <c r="AL694" s="470" t="s">
        <v>6831</v>
      </c>
      <c r="AM694" s="470" t="s">
        <v>6342</v>
      </c>
      <c r="AN694" s="470" t="s">
        <v>6999</v>
      </c>
      <c r="AO694" s="470" t="s">
        <v>6351</v>
      </c>
      <c r="AP694" s="470" t="s">
        <v>7038</v>
      </c>
      <c r="AQ694" s="470" t="s">
        <v>6349</v>
      </c>
      <c r="AR694" s="470"/>
      <c r="AS694" s="470"/>
      <c r="AT694" s="470"/>
      <c r="AU694" s="470"/>
      <c r="AV694" s="470"/>
      <c r="AW694" s="470"/>
      <c r="AX694" s="470"/>
      <c r="AY694" s="470"/>
      <c r="AZ694" s="470"/>
      <c r="BA694" s="470"/>
      <c r="BB694" s="470"/>
      <c r="BC694" s="470"/>
      <c r="BD694" s="470"/>
      <c r="BE694" s="470"/>
      <c r="BF694" s="470"/>
      <c r="BG694" s="470"/>
      <c r="BH694" s="470"/>
      <c r="BI694" s="470"/>
      <c r="BJ694" s="470"/>
      <c r="BK694" s="470" t="s">
        <v>991</v>
      </c>
      <c r="BL694" s="474"/>
    </row>
    <row r="695" spans="1:64">
      <c r="A695" s="475">
        <v>44486</v>
      </c>
      <c r="B695" s="478">
        <v>290</v>
      </c>
      <c r="C695" s="478">
        <v>75</v>
      </c>
      <c r="D695" s="476" t="s">
        <v>634</v>
      </c>
      <c r="E695" s="477">
        <v>41</v>
      </c>
      <c r="F695" s="476" t="s">
        <v>106</v>
      </c>
      <c r="G695" s="477">
        <v>535</v>
      </c>
      <c r="H695" s="476" t="s">
        <v>6254</v>
      </c>
      <c r="I695" s="476" t="s">
        <v>6257</v>
      </c>
      <c r="J695" s="477">
        <v>27</v>
      </c>
      <c r="K695" s="476" t="s">
        <v>6266</v>
      </c>
      <c r="L695" s="476" t="s">
        <v>6283</v>
      </c>
      <c r="M695" s="476" t="s">
        <v>9</v>
      </c>
      <c r="N695" s="478">
        <v>1</v>
      </c>
      <c r="O695" s="479"/>
      <c r="P695" s="479"/>
      <c r="Q695" s="479">
        <v>0.10900462962962963</v>
      </c>
      <c r="R695" s="476" t="s">
        <v>24</v>
      </c>
      <c r="S695" s="479">
        <v>0.1900462962962963</v>
      </c>
      <c r="T695" s="479">
        <v>0.25671296296296298</v>
      </c>
      <c r="U695" s="479">
        <v>0.25625000000000003</v>
      </c>
      <c r="V695" s="479">
        <v>0.29930555555555555</v>
      </c>
      <c r="W695" s="479">
        <v>0.48679398148148145</v>
      </c>
      <c r="X695" s="479">
        <v>0.716863425925926</v>
      </c>
      <c r="Y695" s="479">
        <v>0.67847222222222225</v>
      </c>
      <c r="Z695" s="479">
        <v>0.92083333333333339</v>
      </c>
      <c r="AA695" s="479">
        <v>0.11944444444444445</v>
      </c>
      <c r="AB695" s="476" t="s">
        <v>6464</v>
      </c>
      <c r="AC695" s="478">
        <v>130</v>
      </c>
      <c r="AD695" s="476" t="s">
        <v>113</v>
      </c>
      <c r="AE695" s="476"/>
      <c r="AF695" s="478">
        <v>95.8</v>
      </c>
      <c r="AG695" s="477">
        <v>27.3</v>
      </c>
      <c r="AH695" s="476" t="s">
        <v>6309</v>
      </c>
      <c r="AI695" s="476" t="s">
        <v>6331</v>
      </c>
      <c r="AJ695" s="476" t="s">
        <v>839</v>
      </c>
      <c r="AK695" s="476" t="s">
        <v>6493</v>
      </c>
      <c r="AL695" s="476" t="s">
        <v>6883</v>
      </c>
      <c r="AM695" s="476" t="s">
        <v>6343</v>
      </c>
      <c r="AN695" s="476" t="s">
        <v>6967</v>
      </c>
      <c r="AO695" s="476" t="s">
        <v>6346</v>
      </c>
      <c r="AP695" s="476" t="s">
        <v>7039</v>
      </c>
      <c r="AQ695" s="476" t="s">
        <v>6346</v>
      </c>
      <c r="AR695" s="476" t="s">
        <v>7065</v>
      </c>
      <c r="AS695" s="476" t="s">
        <v>6346</v>
      </c>
      <c r="AT695" s="476" t="s">
        <v>7084</v>
      </c>
      <c r="AU695" s="476"/>
      <c r="AV695" s="476"/>
      <c r="AW695" s="476"/>
      <c r="AX695" s="476"/>
      <c r="AY695" s="476"/>
      <c r="AZ695" s="476"/>
      <c r="BA695" s="476"/>
      <c r="BB695" s="476"/>
      <c r="BC695" s="476"/>
      <c r="BD695" s="476"/>
      <c r="BE695" s="476"/>
      <c r="BF695" s="476"/>
      <c r="BG695" s="476"/>
      <c r="BH695" s="476"/>
      <c r="BI695" s="476"/>
      <c r="BJ695" s="476" t="s">
        <v>6658</v>
      </c>
      <c r="BK695" s="476"/>
      <c r="BL695" s="480"/>
    </row>
    <row r="696" spans="1:64">
      <c r="A696" s="468">
        <v>44487</v>
      </c>
      <c r="B696" s="473">
        <v>291</v>
      </c>
      <c r="C696" s="473">
        <v>74</v>
      </c>
      <c r="D696" s="470" t="s">
        <v>634</v>
      </c>
      <c r="E696" s="469">
        <v>42</v>
      </c>
      <c r="F696" s="470" t="s">
        <v>88</v>
      </c>
      <c r="G696" s="469">
        <v>535</v>
      </c>
      <c r="H696" s="470" t="s">
        <v>6254</v>
      </c>
      <c r="I696" s="470" t="s">
        <v>6257</v>
      </c>
      <c r="J696" s="469">
        <v>28</v>
      </c>
      <c r="K696" s="470" t="s">
        <v>6267</v>
      </c>
      <c r="L696" s="470" t="s">
        <v>6284</v>
      </c>
      <c r="M696" s="470" t="s">
        <v>9</v>
      </c>
      <c r="N696" s="473">
        <v>1</v>
      </c>
      <c r="O696" s="471"/>
      <c r="P696" s="471"/>
      <c r="Q696" s="471"/>
      <c r="R696" s="470"/>
      <c r="S696" s="471">
        <v>0.19081018518518519</v>
      </c>
      <c r="T696" s="471">
        <v>0.25747685185185182</v>
      </c>
      <c r="U696" s="471"/>
      <c r="V696" s="471"/>
      <c r="W696" s="471">
        <v>0.4866550925925926</v>
      </c>
      <c r="X696" s="471">
        <v>0.71584490740740747</v>
      </c>
      <c r="Y696" s="471">
        <v>0.69444444444444453</v>
      </c>
      <c r="Z696" s="471">
        <v>0.95000000000000007</v>
      </c>
      <c r="AA696" s="471">
        <v>0.16458333333333333</v>
      </c>
      <c r="AB696" s="470" t="s">
        <v>6464</v>
      </c>
      <c r="AC696" s="473">
        <v>130</v>
      </c>
      <c r="AD696" s="470" t="s">
        <v>113</v>
      </c>
      <c r="AE696" s="470"/>
      <c r="AF696" s="473">
        <v>94</v>
      </c>
      <c r="AG696" s="469">
        <v>23.1</v>
      </c>
      <c r="AH696" s="470" t="s">
        <v>6310</v>
      </c>
      <c r="AI696" s="470" t="s">
        <v>6332</v>
      </c>
      <c r="AJ696" s="470" t="s">
        <v>6493</v>
      </c>
      <c r="AK696" s="470" t="s">
        <v>6493</v>
      </c>
      <c r="AL696" s="470"/>
      <c r="AM696" s="470"/>
      <c r="AN696" s="470"/>
      <c r="AO696" s="470"/>
      <c r="AP696" s="470"/>
      <c r="AQ696" s="470"/>
      <c r="AR696" s="470"/>
      <c r="AS696" s="470"/>
      <c r="AT696" s="470"/>
      <c r="AU696" s="470"/>
      <c r="AV696" s="470"/>
      <c r="AW696" s="470"/>
      <c r="AX696" s="470"/>
      <c r="AY696" s="470"/>
      <c r="AZ696" s="470"/>
      <c r="BA696" s="470"/>
      <c r="BB696" s="470"/>
      <c r="BC696" s="470"/>
      <c r="BD696" s="470"/>
      <c r="BE696" s="470"/>
      <c r="BF696" s="470"/>
      <c r="BG696" s="470"/>
      <c r="BH696" s="470"/>
      <c r="BI696" s="470"/>
      <c r="BJ696" s="470"/>
      <c r="BK696" s="470"/>
      <c r="BL696" s="474"/>
    </row>
    <row r="697" spans="1:64">
      <c r="A697" s="475">
        <v>44488</v>
      </c>
      <c r="B697" s="478">
        <v>292</v>
      </c>
      <c r="C697" s="478">
        <v>73</v>
      </c>
      <c r="D697" s="476" t="s">
        <v>634</v>
      </c>
      <c r="E697" s="477">
        <v>42</v>
      </c>
      <c r="F697" s="476" t="s">
        <v>91</v>
      </c>
      <c r="G697" s="477">
        <v>535</v>
      </c>
      <c r="H697" s="476" t="s">
        <v>6254</v>
      </c>
      <c r="I697" s="476" t="s">
        <v>6257</v>
      </c>
      <c r="J697" s="477">
        <v>29</v>
      </c>
      <c r="K697" s="476" t="s">
        <v>6268</v>
      </c>
      <c r="L697" s="476" t="s">
        <v>6285</v>
      </c>
      <c r="M697" s="476" t="s">
        <v>9</v>
      </c>
      <c r="N697" s="478">
        <v>1</v>
      </c>
      <c r="O697" s="479"/>
      <c r="P697" s="479"/>
      <c r="Q697" s="479"/>
      <c r="R697" s="476"/>
      <c r="S697" s="479">
        <v>0.19157407407407409</v>
      </c>
      <c r="T697" s="479">
        <v>0.25824074074074072</v>
      </c>
      <c r="U697" s="479"/>
      <c r="V697" s="479"/>
      <c r="W697" s="479">
        <v>0.48652777777777773</v>
      </c>
      <c r="X697" s="479">
        <v>0.71482638888888894</v>
      </c>
      <c r="Y697" s="479">
        <v>0.70972222222222225</v>
      </c>
      <c r="Z697" s="479">
        <v>0.97916666666666663</v>
      </c>
      <c r="AA697" s="479">
        <v>0.2076388888888889</v>
      </c>
      <c r="AB697" s="476" t="s">
        <v>6464</v>
      </c>
      <c r="AC697" s="478">
        <v>130</v>
      </c>
      <c r="AD697" s="476" t="s">
        <v>113</v>
      </c>
      <c r="AE697" s="476"/>
      <c r="AF697" s="478">
        <v>90.5</v>
      </c>
      <c r="AG697" s="477">
        <v>17.399999999999999</v>
      </c>
      <c r="AH697" s="476" t="s">
        <v>6311</v>
      </c>
      <c r="AI697" s="476" t="s">
        <v>6333</v>
      </c>
      <c r="AJ697" s="476" t="s">
        <v>839</v>
      </c>
      <c r="AK697" s="476" t="s">
        <v>6493</v>
      </c>
      <c r="AL697" s="476" t="s">
        <v>6833</v>
      </c>
      <c r="AM697" s="476" t="s">
        <v>6349</v>
      </c>
      <c r="AN697" s="476"/>
      <c r="AO697" s="476"/>
      <c r="AP697" s="476"/>
      <c r="AQ697" s="476"/>
      <c r="AR697" s="476"/>
      <c r="AS697" s="476"/>
      <c r="AT697" s="476"/>
      <c r="AU697" s="476"/>
      <c r="AV697" s="476"/>
      <c r="AW697" s="476"/>
      <c r="AX697" s="476"/>
      <c r="AY697" s="476"/>
      <c r="AZ697" s="476"/>
      <c r="BA697" s="476"/>
      <c r="BB697" s="476"/>
      <c r="BC697" s="476"/>
      <c r="BD697" s="476"/>
      <c r="BE697" s="476"/>
      <c r="BF697" s="476"/>
      <c r="BG697" s="476"/>
      <c r="BH697" s="476"/>
      <c r="BI697" s="476"/>
      <c r="BJ697" s="476"/>
      <c r="BK697" s="476" t="s">
        <v>992</v>
      </c>
      <c r="BL697" s="480"/>
    </row>
    <row r="698" spans="1:64">
      <c r="A698" s="468">
        <v>44489</v>
      </c>
      <c r="B698" s="473">
        <v>293</v>
      </c>
      <c r="C698" s="473">
        <v>72</v>
      </c>
      <c r="D698" s="470" t="s">
        <v>634</v>
      </c>
      <c r="E698" s="469">
        <v>42</v>
      </c>
      <c r="F698" s="470" t="s">
        <v>94</v>
      </c>
      <c r="G698" s="469">
        <v>535</v>
      </c>
      <c r="H698" s="470" t="s">
        <v>6254</v>
      </c>
      <c r="I698" s="470" t="s">
        <v>6257</v>
      </c>
      <c r="J698" s="469">
        <v>30</v>
      </c>
      <c r="K698" s="470" t="s">
        <v>6272</v>
      </c>
      <c r="L698" s="470" t="s">
        <v>6288</v>
      </c>
      <c r="M698" s="470" t="s">
        <v>9</v>
      </c>
      <c r="N698" s="473">
        <v>1</v>
      </c>
      <c r="O698" s="471"/>
      <c r="P698" s="471"/>
      <c r="Q698" s="471"/>
      <c r="R698" s="470"/>
      <c r="S698" s="471">
        <v>0.19234953703703703</v>
      </c>
      <c r="T698" s="471">
        <v>0.25901620370370371</v>
      </c>
      <c r="U698" s="471"/>
      <c r="V698" s="471"/>
      <c r="W698" s="471">
        <v>0.48641203703703706</v>
      </c>
      <c r="X698" s="471">
        <v>0.71381944444444445</v>
      </c>
      <c r="Y698" s="471">
        <v>0.72569444444444453</v>
      </c>
      <c r="Z698" s="471" t="s">
        <v>1107</v>
      </c>
      <c r="AA698" s="471">
        <v>0.25138888888888888</v>
      </c>
      <c r="AB698" s="470" t="s">
        <v>6462</v>
      </c>
      <c r="AC698" s="473">
        <v>129</v>
      </c>
      <c r="AD698" s="470" t="s">
        <v>116</v>
      </c>
      <c r="AE698" s="470" t="s">
        <v>6636</v>
      </c>
      <c r="AF698" s="473">
        <v>85.3</v>
      </c>
      <c r="AG698" s="469">
        <v>10.199999999999999</v>
      </c>
      <c r="AH698" s="470" t="s">
        <v>6312</v>
      </c>
      <c r="AI698" s="470" t="s">
        <v>6334</v>
      </c>
      <c r="AJ698" s="470" t="s">
        <v>839</v>
      </c>
      <c r="AK698" s="470" t="s">
        <v>6493</v>
      </c>
      <c r="AL698" s="470" t="s">
        <v>817</v>
      </c>
      <c r="AM698" s="470" t="s">
        <v>6344</v>
      </c>
      <c r="AN698" s="470" t="s">
        <v>6968</v>
      </c>
      <c r="AO698" s="470" t="s">
        <v>6346</v>
      </c>
      <c r="AP698" s="470" t="s">
        <v>1242</v>
      </c>
      <c r="AQ698" s="470" t="s">
        <v>6162</v>
      </c>
      <c r="AR698" s="470" t="s">
        <v>7066</v>
      </c>
      <c r="AS698" s="470" t="s">
        <v>6349</v>
      </c>
      <c r="AT698" s="470" t="s">
        <v>7080</v>
      </c>
      <c r="AU698" s="470" t="s">
        <v>6349</v>
      </c>
      <c r="AV698" s="470" t="s">
        <v>6822</v>
      </c>
      <c r="AW698" s="470"/>
      <c r="AX698" s="470"/>
      <c r="AY698" s="470"/>
      <c r="AZ698" s="470"/>
      <c r="BA698" s="470"/>
      <c r="BB698" s="470"/>
      <c r="BC698" s="470"/>
      <c r="BD698" s="470"/>
      <c r="BE698" s="470"/>
      <c r="BF698" s="470"/>
      <c r="BG698" s="470"/>
      <c r="BH698" s="470"/>
      <c r="BI698" s="470"/>
      <c r="BJ698" s="470" t="s">
        <v>6408</v>
      </c>
      <c r="BK698" s="470" t="s">
        <v>993</v>
      </c>
      <c r="BL698" s="474" t="s">
        <v>1000</v>
      </c>
    </row>
    <row r="699" spans="1:64">
      <c r="A699" s="475">
        <v>44490</v>
      </c>
      <c r="B699" s="478">
        <v>294</v>
      </c>
      <c r="C699" s="478">
        <v>71</v>
      </c>
      <c r="D699" s="476" t="s">
        <v>634</v>
      </c>
      <c r="E699" s="477">
        <v>42</v>
      </c>
      <c r="F699" s="476" t="s">
        <v>6714</v>
      </c>
      <c r="G699" s="477">
        <v>535</v>
      </c>
      <c r="H699" s="476" t="s">
        <v>6255</v>
      </c>
      <c r="I699" s="476" t="s">
        <v>836</v>
      </c>
      <c r="J699" s="477">
        <v>1</v>
      </c>
      <c r="K699" s="476" t="s">
        <v>6270</v>
      </c>
      <c r="L699" s="476" t="s">
        <v>6287</v>
      </c>
      <c r="M699" s="476" t="s">
        <v>9</v>
      </c>
      <c r="N699" s="478">
        <v>1</v>
      </c>
      <c r="O699" s="479"/>
      <c r="P699" s="479"/>
      <c r="Q699" s="479"/>
      <c r="R699" s="476"/>
      <c r="S699" s="479">
        <v>0.19312499999999999</v>
      </c>
      <c r="T699" s="479">
        <v>0.2597916666666667</v>
      </c>
      <c r="U699" s="479"/>
      <c r="V699" s="479"/>
      <c r="W699" s="479">
        <v>0.48630787037037032</v>
      </c>
      <c r="X699" s="479">
        <v>0.712824074074074</v>
      </c>
      <c r="Y699" s="479">
        <v>0.74236111111111114</v>
      </c>
      <c r="Z699" s="479">
        <v>7.6388888888888886E-3</v>
      </c>
      <c r="AA699" s="479">
        <v>0.29375000000000001</v>
      </c>
      <c r="AB699" s="476" t="s">
        <v>6462</v>
      </c>
      <c r="AC699" s="478">
        <v>129</v>
      </c>
      <c r="AD699" s="476" t="s">
        <v>116</v>
      </c>
      <c r="AE699" s="476"/>
      <c r="AF699" s="478">
        <v>78.599999999999994</v>
      </c>
      <c r="AG699" s="477">
        <v>1.6</v>
      </c>
      <c r="AH699" s="476" t="s">
        <v>6313</v>
      </c>
      <c r="AI699" s="476" t="s">
        <v>6335</v>
      </c>
      <c r="AJ699" s="476" t="s">
        <v>839</v>
      </c>
      <c r="AK699" s="476" t="s">
        <v>6493</v>
      </c>
      <c r="AL699" s="476" t="s">
        <v>6834</v>
      </c>
      <c r="AM699" s="476"/>
      <c r="AN699" s="476" t="s">
        <v>6969</v>
      </c>
      <c r="AO699" s="476" t="s">
        <v>6349</v>
      </c>
      <c r="AP699" s="476"/>
      <c r="AQ699" s="476"/>
      <c r="AR699" s="476"/>
      <c r="AS699" s="476"/>
      <c r="AT699" s="476"/>
      <c r="AU699" s="476"/>
      <c r="AV699" s="476"/>
      <c r="AW699" s="476"/>
      <c r="AX699" s="476"/>
      <c r="AY699" s="476"/>
      <c r="AZ699" s="476"/>
      <c r="BA699" s="476"/>
      <c r="BB699" s="476"/>
      <c r="BC699" s="476"/>
      <c r="BD699" s="476"/>
      <c r="BE699" s="476"/>
      <c r="BF699" s="476"/>
      <c r="BG699" s="476"/>
      <c r="BH699" s="476"/>
      <c r="BI699" s="476"/>
      <c r="BJ699" s="476"/>
      <c r="BK699" s="476" t="s">
        <v>994</v>
      </c>
      <c r="BL699" s="480"/>
    </row>
    <row r="700" spans="1:64">
      <c r="A700" s="468">
        <v>44491</v>
      </c>
      <c r="B700" s="473">
        <v>295</v>
      </c>
      <c r="C700" s="473">
        <v>70</v>
      </c>
      <c r="D700" s="470" t="s">
        <v>634</v>
      </c>
      <c r="E700" s="469">
        <v>42</v>
      </c>
      <c r="F700" s="470" t="s">
        <v>100</v>
      </c>
      <c r="G700" s="469">
        <v>535</v>
      </c>
      <c r="H700" s="470" t="s">
        <v>6255</v>
      </c>
      <c r="I700" s="470" t="s">
        <v>836</v>
      </c>
      <c r="J700" s="469">
        <v>2</v>
      </c>
      <c r="K700" s="470" t="s">
        <v>1034</v>
      </c>
      <c r="L700" s="470" t="s">
        <v>6273</v>
      </c>
      <c r="M700" s="470" t="s">
        <v>9</v>
      </c>
      <c r="N700" s="473">
        <v>1</v>
      </c>
      <c r="O700" s="471"/>
      <c r="P700" s="471"/>
      <c r="Q700" s="471"/>
      <c r="R700" s="470"/>
      <c r="S700" s="471">
        <v>0.19390046296296296</v>
      </c>
      <c r="T700" s="471">
        <v>0.26056712962962963</v>
      </c>
      <c r="U700" s="471"/>
      <c r="V700" s="471"/>
      <c r="W700" s="471">
        <v>0.48620370370370369</v>
      </c>
      <c r="X700" s="471">
        <v>0.71184027777777781</v>
      </c>
      <c r="Y700" s="471">
        <v>0.76111111111111107</v>
      </c>
      <c r="Z700" s="471">
        <v>3.7499999999999999E-2</v>
      </c>
      <c r="AA700" s="471">
        <v>0.33680555555555558</v>
      </c>
      <c r="AB700" s="470" t="s">
        <v>6462</v>
      </c>
      <c r="AC700" s="473">
        <v>129</v>
      </c>
      <c r="AD700" s="470" t="s">
        <v>116</v>
      </c>
      <c r="AE700" s="470"/>
      <c r="AF700" s="473">
        <v>70.5</v>
      </c>
      <c r="AG700" s="469">
        <v>91.8</v>
      </c>
      <c r="AH700" s="470" t="s">
        <v>6313</v>
      </c>
      <c r="AI700" s="470" t="s">
        <v>6336</v>
      </c>
      <c r="AJ700" s="470" t="s">
        <v>6493</v>
      </c>
      <c r="AK700" s="470" t="s">
        <v>6493</v>
      </c>
      <c r="AL700" s="470"/>
      <c r="AM700" s="470"/>
      <c r="AN700" s="470"/>
      <c r="AO700" s="470"/>
      <c r="AP700" s="470"/>
      <c r="AQ700" s="470"/>
      <c r="AR700" s="470"/>
      <c r="AS700" s="470"/>
      <c r="AT700" s="470"/>
      <c r="AU700" s="470"/>
      <c r="AV700" s="470"/>
      <c r="AW700" s="470"/>
      <c r="AX700" s="470"/>
      <c r="AY700" s="470"/>
      <c r="AZ700" s="470"/>
      <c r="BA700" s="470"/>
      <c r="BB700" s="470"/>
      <c r="BC700" s="470"/>
      <c r="BD700" s="470"/>
      <c r="BE700" s="470"/>
      <c r="BF700" s="470"/>
      <c r="BG700" s="470"/>
      <c r="BH700" s="470"/>
      <c r="BI700" s="470"/>
      <c r="BJ700" s="470"/>
      <c r="BK700" s="470"/>
      <c r="BL700" s="474"/>
    </row>
    <row r="701" spans="1:64">
      <c r="A701" s="475">
        <v>44492</v>
      </c>
      <c r="B701" s="478">
        <v>296</v>
      </c>
      <c r="C701" s="478">
        <v>69</v>
      </c>
      <c r="D701" s="476" t="s">
        <v>634</v>
      </c>
      <c r="E701" s="477">
        <v>42</v>
      </c>
      <c r="F701" s="476" t="s">
        <v>103</v>
      </c>
      <c r="G701" s="477">
        <v>535</v>
      </c>
      <c r="H701" s="476" t="s">
        <v>6255</v>
      </c>
      <c r="I701" s="476" t="s">
        <v>836</v>
      </c>
      <c r="J701" s="477">
        <v>3</v>
      </c>
      <c r="K701" s="476" t="s">
        <v>6258</v>
      </c>
      <c r="L701" s="476" t="s">
        <v>6274</v>
      </c>
      <c r="M701" s="476" t="s">
        <v>9</v>
      </c>
      <c r="N701" s="478">
        <v>1</v>
      </c>
      <c r="O701" s="479"/>
      <c r="P701" s="479"/>
      <c r="Q701" s="479"/>
      <c r="R701" s="476"/>
      <c r="S701" s="479">
        <v>0.19467592592592595</v>
      </c>
      <c r="T701" s="479">
        <v>0.26134259259259257</v>
      </c>
      <c r="U701" s="479"/>
      <c r="V701" s="479"/>
      <c r="W701" s="479">
        <v>0.4861111111111111</v>
      </c>
      <c r="X701" s="479">
        <v>0.71086805555555566</v>
      </c>
      <c r="Y701" s="479">
        <v>0.78263888888888899</v>
      </c>
      <c r="Z701" s="479">
        <v>6.805555555555555E-2</v>
      </c>
      <c r="AA701" s="479">
        <v>0.37986111111111115</v>
      </c>
      <c r="AB701" s="476" t="s">
        <v>6462</v>
      </c>
      <c r="AC701" s="478">
        <v>129</v>
      </c>
      <c r="AD701" s="476" t="s">
        <v>116</v>
      </c>
      <c r="AE701" s="476"/>
      <c r="AF701" s="478">
        <v>61.3</v>
      </c>
      <c r="AG701" s="477">
        <v>81</v>
      </c>
      <c r="AH701" s="476" t="s">
        <v>6314</v>
      </c>
      <c r="AI701" s="476" t="s">
        <v>6337</v>
      </c>
      <c r="AJ701" s="476" t="s">
        <v>6493</v>
      </c>
      <c r="AK701" s="476" t="s">
        <v>6493</v>
      </c>
      <c r="AL701" s="476"/>
      <c r="AM701" s="476"/>
      <c r="AN701" s="476"/>
      <c r="AO701" s="476"/>
      <c r="AP701" s="476"/>
      <c r="AQ701" s="476"/>
      <c r="AR701" s="476"/>
      <c r="AS701" s="476"/>
      <c r="AT701" s="476"/>
      <c r="AU701" s="476"/>
      <c r="AV701" s="476"/>
      <c r="AW701" s="476"/>
      <c r="AX701" s="476"/>
      <c r="AY701" s="476"/>
      <c r="AZ701" s="476"/>
      <c r="BA701" s="476"/>
      <c r="BB701" s="476"/>
      <c r="BC701" s="476"/>
      <c r="BD701" s="476"/>
      <c r="BE701" s="476"/>
      <c r="BF701" s="476"/>
      <c r="BG701" s="476"/>
      <c r="BH701" s="476"/>
      <c r="BI701" s="476"/>
      <c r="BJ701" s="476"/>
      <c r="BK701" s="476"/>
      <c r="BL701" s="480"/>
    </row>
    <row r="702" spans="1:64">
      <c r="A702" s="468">
        <v>44493</v>
      </c>
      <c r="B702" s="473">
        <v>297</v>
      </c>
      <c r="C702" s="473">
        <v>68</v>
      </c>
      <c r="D702" s="470" t="s">
        <v>634</v>
      </c>
      <c r="E702" s="469">
        <v>42</v>
      </c>
      <c r="F702" s="470" t="s">
        <v>106</v>
      </c>
      <c r="G702" s="469">
        <v>535</v>
      </c>
      <c r="H702" s="470" t="s">
        <v>6255</v>
      </c>
      <c r="I702" s="470" t="s">
        <v>836</v>
      </c>
      <c r="J702" s="469">
        <v>4</v>
      </c>
      <c r="K702" s="470" t="s">
        <v>6259</v>
      </c>
      <c r="L702" s="470" t="s">
        <v>6275</v>
      </c>
      <c r="M702" s="470" t="s">
        <v>9</v>
      </c>
      <c r="N702" s="473">
        <v>1</v>
      </c>
      <c r="O702" s="471"/>
      <c r="P702" s="471"/>
      <c r="Q702" s="471"/>
      <c r="R702" s="470"/>
      <c r="S702" s="471">
        <v>0.19546296296296295</v>
      </c>
      <c r="T702" s="471">
        <v>0.26212962962962966</v>
      </c>
      <c r="U702" s="471"/>
      <c r="V702" s="471"/>
      <c r="W702" s="471">
        <v>0.48601851851851857</v>
      </c>
      <c r="X702" s="471">
        <v>0.70990740740740732</v>
      </c>
      <c r="Y702" s="471">
        <v>0.80763888888888891</v>
      </c>
      <c r="Z702" s="471">
        <v>9.9999999999999992E-2</v>
      </c>
      <c r="AA702" s="471">
        <v>0.42222222222222222</v>
      </c>
      <c r="AB702" s="470" t="s">
        <v>6462</v>
      </c>
      <c r="AC702" s="473">
        <v>129</v>
      </c>
      <c r="AD702" s="470" t="s">
        <v>116</v>
      </c>
      <c r="AE702" s="470"/>
      <c r="AF702" s="473">
        <v>51.4</v>
      </c>
      <c r="AG702" s="469">
        <v>69.599999999999994</v>
      </c>
      <c r="AH702" s="470" t="s">
        <v>973</v>
      </c>
      <c r="AI702" s="470" t="s">
        <v>6338</v>
      </c>
      <c r="AJ702" s="470" t="s">
        <v>6493</v>
      </c>
      <c r="AK702" s="470" t="s">
        <v>6493</v>
      </c>
      <c r="AL702" s="470"/>
      <c r="AM702" s="470"/>
      <c r="AN702" s="470"/>
      <c r="AO702" s="470"/>
      <c r="AP702" s="470"/>
      <c r="AQ702" s="470"/>
      <c r="AR702" s="470"/>
      <c r="AS702" s="470"/>
      <c r="AT702" s="470"/>
      <c r="AU702" s="470"/>
      <c r="AV702" s="470"/>
      <c r="AW702" s="470"/>
      <c r="AX702" s="470"/>
      <c r="AY702" s="470"/>
      <c r="AZ702" s="470"/>
      <c r="BA702" s="470"/>
      <c r="BB702" s="470"/>
      <c r="BC702" s="470"/>
      <c r="BD702" s="470"/>
      <c r="BE702" s="470"/>
      <c r="BF702" s="470"/>
      <c r="BG702" s="470"/>
      <c r="BH702" s="470"/>
      <c r="BI702" s="470"/>
      <c r="BJ702" s="470"/>
      <c r="BK702" s="470"/>
      <c r="BL702" s="474"/>
    </row>
    <row r="703" spans="1:64">
      <c r="A703" s="475">
        <v>44494</v>
      </c>
      <c r="B703" s="478">
        <v>298</v>
      </c>
      <c r="C703" s="478">
        <v>67</v>
      </c>
      <c r="D703" s="476" t="s">
        <v>634</v>
      </c>
      <c r="E703" s="477">
        <v>43</v>
      </c>
      <c r="F703" s="476" t="s">
        <v>88</v>
      </c>
      <c r="G703" s="477">
        <v>535</v>
      </c>
      <c r="H703" s="476" t="s">
        <v>6255</v>
      </c>
      <c r="I703" s="476" t="s">
        <v>836</v>
      </c>
      <c r="J703" s="477">
        <v>5</v>
      </c>
      <c r="K703" s="476" t="s">
        <v>6260</v>
      </c>
      <c r="L703" s="476" t="s">
        <v>6276</v>
      </c>
      <c r="M703" s="476" t="s">
        <v>9</v>
      </c>
      <c r="N703" s="478">
        <v>1</v>
      </c>
      <c r="O703" s="479"/>
      <c r="P703" s="479"/>
      <c r="Q703" s="479"/>
      <c r="R703" s="476"/>
      <c r="S703" s="479">
        <v>0.19625000000000001</v>
      </c>
      <c r="T703" s="479">
        <v>0.26291666666666663</v>
      </c>
      <c r="U703" s="479"/>
      <c r="V703" s="479"/>
      <c r="W703" s="479">
        <v>0.48594907407407412</v>
      </c>
      <c r="X703" s="479">
        <v>0.70896990740740751</v>
      </c>
      <c r="Y703" s="479">
        <v>0.83750000000000002</v>
      </c>
      <c r="Z703" s="479">
        <v>0.13402777777777777</v>
      </c>
      <c r="AA703" s="479">
        <v>0.46180555555555558</v>
      </c>
      <c r="AB703" s="476" t="s">
        <v>6462</v>
      </c>
      <c r="AC703" s="478">
        <v>129</v>
      </c>
      <c r="AD703" s="476" t="s">
        <v>116</v>
      </c>
      <c r="AE703" s="476"/>
      <c r="AF703" s="478">
        <v>41.3</v>
      </c>
      <c r="AG703" s="477">
        <v>58</v>
      </c>
      <c r="AH703" s="476" t="s">
        <v>6290</v>
      </c>
      <c r="AI703" s="476" t="s">
        <v>6339</v>
      </c>
      <c r="AJ703" s="476" t="s">
        <v>839</v>
      </c>
      <c r="AK703" s="476" t="s">
        <v>6493</v>
      </c>
      <c r="AL703" s="476" t="s">
        <v>6835</v>
      </c>
      <c r="AM703" s="476" t="s">
        <v>6346</v>
      </c>
      <c r="AN703" s="476"/>
      <c r="AO703" s="476"/>
      <c r="AP703" s="476"/>
      <c r="AQ703" s="476"/>
      <c r="AR703" s="476"/>
      <c r="AS703" s="476"/>
      <c r="AT703" s="476"/>
      <c r="AU703" s="476"/>
      <c r="AV703" s="476"/>
      <c r="AW703" s="476"/>
      <c r="AX703" s="476"/>
      <c r="AY703" s="476"/>
      <c r="AZ703" s="476"/>
      <c r="BA703" s="476"/>
      <c r="BB703" s="476"/>
      <c r="BC703" s="476"/>
      <c r="BD703" s="476"/>
      <c r="BE703" s="476"/>
      <c r="BF703" s="476"/>
      <c r="BG703" s="476"/>
      <c r="BH703" s="476"/>
      <c r="BI703" s="476"/>
      <c r="BJ703" s="476" t="s">
        <v>6438</v>
      </c>
      <c r="BK703" s="476"/>
      <c r="BL703" s="480"/>
    </row>
    <row r="704" spans="1:64">
      <c r="A704" s="468">
        <v>44495</v>
      </c>
      <c r="B704" s="473">
        <v>299</v>
      </c>
      <c r="C704" s="473">
        <v>66</v>
      </c>
      <c r="D704" s="470" t="s">
        <v>634</v>
      </c>
      <c r="E704" s="469">
        <v>43</v>
      </c>
      <c r="F704" s="470" t="s">
        <v>91</v>
      </c>
      <c r="G704" s="469">
        <v>535</v>
      </c>
      <c r="H704" s="470" t="s">
        <v>6255</v>
      </c>
      <c r="I704" s="470" t="s">
        <v>836</v>
      </c>
      <c r="J704" s="469">
        <v>6</v>
      </c>
      <c r="K704" s="470" t="s">
        <v>6261</v>
      </c>
      <c r="L704" s="470" t="s">
        <v>6277</v>
      </c>
      <c r="M704" s="470" t="s">
        <v>9</v>
      </c>
      <c r="N704" s="473">
        <v>1</v>
      </c>
      <c r="O704" s="471"/>
      <c r="P704" s="471"/>
      <c r="Q704" s="471"/>
      <c r="R704" s="470"/>
      <c r="S704" s="471">
        <v>0.19704861111111113</v>
      </c>
      <c r="T704" s="471">
        <v>0.26371527777777776</v>
      </c>
      <c r="U704" s="471"/>
      <c r="V704" s="471"/>
      <c r="W704" s="471">
        <v>0.48587962962962966</v>
      </c>
      <c r="X704" s="471">
        <v>0.70803240740740747</v>
      </c>
      <c r="Y704" s="471">
        <v>0.87222222222222223</v>
      </c>
      <c r="Z704" s="471">
        <v>0.16805555555555554</v>
      </c>
      <c r="AA704" s="471">
        <v>0.49861111111111112</v>
      </c>
      <c r="AB704" s="470" t="s">
        <v>6462</v>
      </c>
      <c r="AC704" s="473">
        <v>129</v>
      </c>
      <c r="AD704" s="470" t="s">
        <v>116</v>
      </c>
      <c r="AE704" s="470"/>
      <c r="AF704" s="473">
        <v>31.6</v>
      </c>
      <c r="AG704" s="469">
        <v>46.7</v>
      </c>
      <c r="AH704" s="470" t="s">
        <v>6315</v>
      </c>
      <c r="AI704" s="470" t="s">
        <v>6340</v>
      </c>
      <c r="AJ704" s="470" t="s">
        <v>6493</v>
      </c>
      <c r="AK704" s="470" t="s">
        <v>6493</v>
      </c>
      <c r="AL704" s="470"/>
      <c r="AM704" s="470"/>
      <c r="AN704" s="470"/>
      <c r="AO704" s="470"/>
      <c r="AP704" s="470"/>
      <c r="AQ704" s="470"/>
      <c r="AR704" s="470"/>
      <c r="AS704" s="470"/>
      <c r="AT704" s="470"/>
      <c r="AU704" s="470"/>
      <c r="AV704" s="470"/>
      <c r="AW704" s="470"/>
      <c r="AX704" s="470"/>
      <c r="AY704" s="470"/>
      <c r="AZ704" s="470"/>
      <c r="BA704" s="470"/>
      <c r="BB704" s="470"/>
      <c r="BC704" s="470"/>
      <c r="BD704" s="470"/>
      <c r="BE704" s="470"/>
      <c r="BF704" s="470"/>
      <c r="BG704" s="470"/>
      <c r="BH704" s="470"/>
      <c r="BI704" s="470"/>
      <c r="BJ704" s="470"/>
      <c r="BK704" s="470"/>
      <c r="BL704" s="474"/>
    </row>
    <row r="705" spans="1:64">
      <c r="A705" s="475">
        <v>44496</v>
      </c>
      <c r="B705" s="478">
        <v>300</v>
      </c>
      <c r="C705" s="478">
        <v>65</v>
      </c>
      <c r="D705" s="476" t="s">
        <v>634</v>
      </c>
      <c r="E705" s="477">
        <v>43</v>
      </c>
      <c r="F705" s="476" t="s">
        <v>94</v>
      </c>
      <c r="G705" s="477">
        <v>535</v>
      </c>
      <c r="H705" s="476" t="s">
        <v>6255</v>
      </c>
      <c r="I705" s="476" t="s">
        <v>836</v>
      </c>
      <c r="J705" s="477">
        <v>7</v>
      </c>
      <c r="K705" s="476" t="s">
        <v>6262</v>
      </c>
      <c r="L705" s="476" t="s">
        <v>6278</v>
      </c>
      <c r="M705" s="476" t="s">
        <v>9</v>
      </c>
      <c r="N705" s="478">
        <v>1</v>
      </c>
      <c r="O705" s="479"/>
      <c r="P705" s="479"/>
      <c r="Q705" s="479"/>
      <c r="R705" s="476"/>
      <c r="S705" s="479">
        <v>0.19783564814814814</v>
      </c>
      <c r="T705" s="479">
        <v>0.26450231481481484</v>
      </c>
      <c r="U705" s="479"/>
      <c r="V705" s="479"/>
      <c r="W705" s="479">
        <v>0.48581018518518521</v>
      </c>
      <c r="X705" s="479">
        <v>0.70711805555555562</v>
      </c>
      <c r="Y705" s="479">
        <v>0.91249999999999998</v>
      </c>
      <c r="Z705" s="479">
        <v>0.20277777777777781</v>
      </c>
      <c r="AA705" s="479">
        <v>0.53194444444444444</v>
      </c>
      <c r="AB705" s="476" t="s">
        <v>6462</v>
      </c>
      <c r="AC705" s="478">
        <v>129</v>
      </c>
      <c r="AD705" s="476" t="s">
        <v>116</v>
      </c>
      <c r="AE705" s="476"/>
      <c r="AF705" s="478">
        <v>22.8</v>
      </c>
      <c r="AG705" s="477">
        <v>36.299999999999997</v>
      </c>
      <c r="AH705" s="476" t="s">
        <v>6291</v>
      </c>
      <c r="AI705" s="476" t="s">
        <v>974</v>
      </c>
      <c r="AJ705" s="476" t="s">
        <v>6493</v>
      </c>
      <c r="AK705" s="476" t="s">
        <v>6493</v>
      </c>
      <c r="AL705" s="476"/>
      <c r="AM705" s="476"/>
      <c r="AN705" s="476"/>
      <c r="AO705" s="476"/>
      <c r="AP705" s="476"/>
      <c r="AQ705" s="476"/>
      <c r="AR705" s="476"/>
      <c r="AS705" s="476"/>
      <c r="AT705" s="476"/>
      <c r="AU705" s="476"/>
      <c r="AV705" s="476"/>
      <c r="AW705" s="476"/>
      <c r="AX705" s="476"/>
      <c r="AY705" s="476"/>
      <c r="AZ705" s="476"/>
      <c r="BA705" s="476"/>
      <c r="BB705" s="476"/>
      <c r="BC705" s="476"/>
      <c r="BD705" s="476"/>
      <c r="BE705" s="476"/>
      <c r="BF705" s="476"/>
      <c r="BG705" s="476"/>
      <c r="BH705" s="476"/>
      <c r="BI705" s="476"/>
      <c r="BJ705" s="476"/>
      <c r="BK705" s="476"/>
      <c r="BL705" s="480"/>
    </row>
    <row r="706" spans="1:64">
      <c r="A706" s="468">
        <v>44497</v>
      </c>
      <c r="B706" s="473">
        <v>301</v>
      </c>
      <c r="C706" s="473">
        <v>64</v>
      </c>
      <c r="D706" s="470" t="s">
        <v>634</v>
      </c>
      <c r="E706" s="469">
        <v>43</v>
      </c>
      <c r="F706" s="470" t="s">
        <v>6714</v>
      </c>
      <c r="G706" s="469">
        <v>535</v>
      </c>
      <c r="H706" s="470" t="s">
        <v>6255</v>
      </c>
      <c r="I706" s="470" t="s">
        <v>836</v>
      </c>
      <c r="J706" s="469">
        <v>8</v>
      </c>
      <c r="K706" s="470" t="s">
        <v>6263</v>
      </c>
      <c r="L706" s="470" t="s">
        <v>6279</v>
      </c>
      <c r="M706" s="470" t="s">
        <v>9</v>
      </c>
      <c r="N706" s="473">
        <v>1</v>
      </c>
      <c r="O706" s="471"/>
      <c r="P706" s="471"/>
      <c r="Q706" s="471"/>
      <c r="R706" s="470"/>
      <c r="S706" s="471">
        <v>0.19863425925925926</v>
      </c>
      <c r="T706" s="471">
        <v>0.26530092592592591</v>
      </c>
      <c r="U706" s="471"/>
      <c r="V706" s="471"/>
      <c r="W706" s="471">
        <v>0.48576388888888888</v>
      </c>
      <c r="X706" s="471">
        <v>0.70621527777777782</v>
      </c>
      <c r="Y706" s="471">
        <v>0.9555555555555556</v>
      </c>
      <c r="Z706" s="471">
        <v>0.23819444444444446</v>
      </c>
      <c r="AA706" s="471">
        <v>0.56111111111111112</v>
      </c>
      <c r="AB706" s="470" t="s">
        <v>6289</v>
      </c>
      <c r="AC706" s="473">
        <v>131</v>
      </c>
      <c r="AD706" s="470" t="s">
        <v>119</v>
      </c>
      <c r="AE706" s="470" t="s">
        <v>6637</v>
      </c>
      <c r="AF706" s="473">
        <v>15.6</v>
      </c>
      <c r="AG706" s="469">
        <v>27.3</v>
      </c>
      <c r="AH706" s="470" t="s">
        <v>6292</v>
      </c>
      <c r="AI706" s="470" t="s">
        <v>6316</v>
      </c>
      <c r="AJ706" s="470" t="s">
        <v>839</v>
      </c>
      <c r="AK706" s="470" t="s">
        <v>6493</v>
      </c>
      <c r="AL706" s="470" t="s">
        <v>6836</v>
      </c>
      <c r="AM706" s="470" t="s">
        <v>6344</v>
      </c>
      <c r="AN706" s="470" t="s">
        <v>1238</v>
      </c>
      <c r="AO706" s="470" t="s">
        <v>6344</v>
      </c>
      <c r="AP706" s="470" t="s">
        <v>785</v>
      </c>
      <c r="AQ706" s="470"/>
      <c r="AR706" s="470"/>
      <c r="AS706" s="470"/>
      <c r="AT706" s="470"/>
      <c r="AU706" s="470"/>
      <c r="AV706" s="470"/>
      <c r="AW706" s="470"/>
      <c r="AX706" s="470"/>
      <c r="AY706" s="470"/>
      <c r="AZ706" s="470"/>
      <c r="BA706" s="470"/>
      <c r="BB706" s="470"/>
      <c r="BC706" s="470"/>
      <c r="BD706" s="470"/>
      <c r="BE706" s="470"/>
      <c r="BF706" s="470"/>
      <c r="BG706" s="470"/>
      <c r="BH706" s="470"/>
      <c r="BI706" s="470"/>
      <c r="BJ706" s="470" t="s">
        <v>6659</v>
      </c>
      <c r="BK706" s="470"/>
      <c r="BL706" s="474"/>
    </row>
    <row r="707" spans="1:64">
      <c r="A707" s="475">
        <v>44498</v>
      </c>
      <c r="B707" s="478">
        <v>302</v>
      </c>
      <c r="C707" s="478">
        <v>63</v>
      </c>
      <c r="D707" s="476" t="s">
        <v>634</v>
      </c>
      <c r="E707" s="477">
        <v>43</v>
      </c>
      <c r="F707" s="476" t="s">
        <v>100</v>
      </c>
      <c r="G707" s="477">
        <v>535</v>
      </c>
      <c r="H707" s="476" t="s">
        <v>6255</v>
      </c>
      <c r="I707" s="476" t="s">
        <v>836</v>
      </c>
      <c r="J707" s="477">
        <v>9</v>
      </c>
      <c r="K707" s="476" t="s">
        <v>6264</v>
      </c>
      <c r="L707" s="476" t="s">
        <v>6280</v>
      </c>
      <c r="M707" s="476" t="s">
        <v>9</v>
      </c>
      <c r="N707" s="478">
        <v>1</v>
      </c>
      <c r="O707" s="479"/>
      <c r="P707" s="479"/>
      <c r="Q707" s="479"/>
      <c r="R707" s="476"/>
      <c r="S707" s="479">
        <v>0.19944444444444445</v>
      </c>
      <c r="T707" s="479">
        <v>0.26611111111111113</v>
      </c>
      <c r="U707" s="479"/>
      <c r="V707" s="479"/>
      <c r="W707" s="479">
        <v>0.48571759259259256</v>
      </c>
      <c r="X707" s="479">
        <v>0.7053356481481482</v>
      </c>
      <c r="Y707" s="479" t="s">
        <v>1107</v>
      </c>
      <c r="Z707" s="479">
        <v>0.27291666666666664</v>
      </c>
      <c r="AA707" s="479">
        <v>0.5854166666666667</v>
      </c>
      <c r="AB707" s="476" t="s">
        <v>6289</v>
      </c>
      <c r="AC707" s="478">
        <v>131</v>
      </c>
      <c r="AD707" s="476" t="s">
        <v>119</v>
      </c>
      <c r="AE707" s="476"/>
      <c r="AF707" s="478">
        <v>10.8</v>
      </c>
      <c r="AG707" s="477">
        <v>20.5</v>
      </c>
      <c r="AH707" s="476" t="s">
        <v>6293</v>
      </c>
      <c r="AI707" s="476" t="s">
        <v>6317</v>
      </c>
      <c r="AJ707" s="476" t="s">
        <v>839</v>
      </c>
      <c r="AK707" s="476" t="s">
        <v>6493</v>
      </c>
      <c r="AL707" s="476" t="s">
        <v>6837</v>
      </c>
      <c r="AM707" s="476" t="s">
        <v>6346</v>
      </c>
      <c r="AN707" s="476"/>
      <c r="AO707" s="476"/>
      <c r="AP707" s="476"/>
      <c r="AQ707" s="476"/>
      <c r="AR707" s="476"/>
      <c r="AS707" s="476"/>
      <c r="AT707" s="476"/>
      <c r="AU707" s="476"/>
      <c r="AV707" s="476"/>
      <c r="AW707" s="476"/>
      <c r="AX707" s="476"/>
      <c r="AY707" s="476"/>
      <c r="AZ707" s="476"/>
      <c r="BA707" s="476"/>
      <c r="BB707" s="476"/>
      <c r="BC707" s="476"/>
      <c r="BD707" s="476"/>
      <c r="BE707" s="476"/>
      <c r="BF707" s="476"/>
      <c r="BG707" s="476"/>
      <c r="BH707" s="476"/>
      <c r="BI707" s="476"/>
      <c r="BJ707" s="476" t="s">
        <v>6410</v>
      </c>
      <c r="BK707" s="476"/>
      <c r="BL707" s="480"/>
    </row>
    <row r="708" spans="1:64">
      <c r="A708" s="468">
        <v>44499</v>
      </c>
      <c r="B708" s="473">
        <v>303</v>
      </c>
      <c r="C708" s="473">
        <v>62</v>
      </c>
      <c r="D708" s="470" t="s">
        <v>634</v>
      </c>
      <c r="E708" s="469">
        <v>43</v>
      </c>
      <c r="F708" s="470" t="s">
        <v>103</v>
      </c>
      <c r="G708" s="469">
        <v>535</v>
      </c>
      <c r="H708" s="470" t="s">
        <v>6255</v>
      </c>
      <c r="I708" s="470" t="s">
        <v>836</v>
      </c>
      <c r="J708" s="469">
        <v>10</v>
      </c>
      <c r="K708" s="470" t="s">
        <v>6265</v>
      </c>
      <c r="L708" s="470" t="s">
        <v>6281</v>
      </c>
      <c r="M708" s="470" t="s">
        <v>9</v>
      </c>
      <c r="N708" s="473">
        <v>1</v>
      </c>
      <c r="O708" s="471"/>
      <c r="P708" s="471"/>
      <c r="Q708" s="471"/>
      <c r="R708" s="470"/>
      <c r="S708" s="471">
        <v>0.20024305555555555</v>
      </c>
      <c r="T708" s="471">
        <v>0.26690972222222226</v>
      </c>
      <c r="U708" s="471"/>
      <c r="V708" s="471"/>
      <c r="W708" s="471">
        <v>0.48568287037037039</v>
      </c>
      <c r="X708" s="471">
        <v>0.70445601851851858</v>
      </c>
      <c r="Y708" s="471">
        <v>6.9444444444444447E-4</v>
      </c>
      <c r="Z708" s="471">
        <v>0.30624999999999997</v>
      </c>
      <c r="AA708" s="471">
        <v>0.6069444444444444</v>
      </c>
      <c r="AB708" s="470" t="s">
        <v>6289</v>
      </c>
      <c r="AC708" s="473">
        <v>131</v>
      </c>
      <c r="AD708" s="470" t="s">
        <v>119</v>
      </c>
      <c r="AE708" s="470"/>
      <c r="AF708" s="473">
        <v>8.9</v>
      </c>
      <c r="AG708" s="469">
        <v>16.3</v>
      </c>
      <c r="AH708" s="470" t="s">
        <v>6294</v>
      </c>
      <c r="AI708" s="470" t="s">
        <v>6318</v>
      </c>
      <c r="AJ708" s="470" t="s">
        <v>6493</v>
      </c>
      <c r="AK708" s="470" t="s">
        <v>6493</v>
      </c>
      <c r="AL708" s="470" t="s">
        <v>787</v>
      </c>
      <c r="AM708" s="470"/>
      <c r="AN708" s="470"/>
      <c r="AO708" s="470"/>
      <c r="AP708" s="470"/>
      <c r="AQ708" s="470"/>
      <c r="AR708" s="470"/>
      <c r="AS708" s="470"/>
      <c r="AT708" s="470"/>
      <c r="AU708" s="470"/>
      <c r="AV708" s="470"/>
      <c r="AW708" s="470"/>
      <c r="AX708" s="470"/>
      <c r="AY708" s="470"/>
      <c r="AZ708" s="470"/>
      <c r="BA708" s="470"/>
      <c r="BB708" s="470"/>
      <c r="BC708" s="470"/>
      <c r="BD708" s="470"/>
      <c r="BE708" s="470"/>
      <c r="BF708" s="470"/>
      <c r="BG708" s="470"/>
      <c r="BH708" s="470"/>
      <c r="BI708" s="470"/>
      <c r="BJ708" s="470"/>
      <c r="BK708" s="470"/>
      <c r="BL708" s="474"/>
    </row>
    <row r="709" spans="1:64">
      <c r="A709" s="475">
        <v>44500</v>
      </c>
      <c r="B709" s="478">
        <v>304</v>
      </c>
      <c r="C709" s="478">
        <v>61</v>
      </c>
      <c r="D709" s="476" t="s">
        <v>634</v>
      </c>
      <c r="E709" s="477">
        <v>43</v>
      </c>
      <c r="F709" s="476" t="s">
        <v>106</v>
      </c>
      <c r="G709" s="477">
        <v>535</v>
      </c>
      <c r="H709" s="476" t="s">
        <v>6255</v>
      </c>
      <c r="I709" s="476" t="s">
        <v>836</v>
      </c>
      <c r="J709" s="477">
        <v>11</v>
      </c>
      <c r="K709" s="476" t="s">
        <v>6271</v>
      </c>
      <c r="L709" s="476" t="s">
        <v>6282</v>
      </c>
      <c r="M709" s="476" t="s">
        <v>9</v>
      </c>
      <c r="N709" s="478">
        <v>1</v>
      </c>
      <c r="O709" s="479"/>
      <c r="P709" s="479"/>
      <c r="Q709" s="479"/>
      <c r="R709" s="476"/>
      <c r="S709" s="479">
        <v>0.20105324074074074</v>
      </c>
      <c r="T709" s="479">
        <v>0.26771990740740742</v>
      </c>
      <c r="U709" s="479"/>
      <c r="V709" s="479"/>
      <c r="W709" s="479">
        <v>0.48565972222222226</v>
      </c>
      <c r="X709" s="479">
        <v>0.70359953703703704</v>
      </c>
      <c r="Y709" s="479">
        <v>4.7916666666666663E-2</v>
      </c>
      <c r="Z709" s="479">
        <v>0.33958333333333335</v>
      </c>
      <c r="AA709" s="479">
        <v>0.62638888888888888</v>
      </c>
      <c r="AB709" s="476" t="s">
        <v>6289</v>
      </c>
      <c r="AC709" s="478">
        <v>131</v>
      </c>
      <c r="AD709" s="476" t="s">
        <v>119</v>
      </c>
      <c r="AE709" s="476"/>
      <c r="AF709" s="478">
        <v>10.4</v>
      </c>
      <c r="AG709" s="477">
        <v>15.2</v>
      </c>
      <c r="AH709" s="476" t="s">
        <v>6295</v>
      </c>
      <c r="AI709" s="476" t="s">
        <v>6319</v>
      </c>
      <c r="AJ709" s="476" t="s">
        <v>838</v>
      </c>
      <c r="AK709" s="476" t="s">
        <v>13</v>
      </c>
      <c r="AL709" s="476" t="s">
        <v>6838</v>
      </c>
      <c r="AM709" s="476" t="s">
        <v>6342</v>
      </c>
      <c r="AN709" s="476" t="s">
        <v>7000</v>
      </c>
      <c r="AO709" s="476" t="s">
        <v>6351</v>
      </c>
      <c r="AP709" s="476"/>
      <c r="AQ709" s="476"/>
      <c r="AR709" s="476"/>
      <c r="AS709" s="476"/>
      <c r="AT709" s="476"/>
      <c r="AU709" s="476"/>
      <c r="AV709" s="476"/>
      <c r="AW709" s="476"/>
      <c r="AX709" s="476"/>
      <c r="AY709" s="476"/>
      <c r="AZ709" s="476"/>
      <c r="BA709" s="476"/>
      <c r="BB709" s="476"/>
      <c r="BC709" s="476"/>
      <c r="BD709" s="476"/>
      <c r="BE709" s="476"/>
      <c r="BF709" s="476"/>
      <c r="BG709" s="476"/>
      <c r="BH709" s="476"/>
      <c r="BI709" s="476"/>
      <c r="BJ709" s="476"/>
      <c r="BK709" s="476"/>
      <c r="BL709" s="480"/>
    </row>
    <row r="710" spans="1:64">
      <c r="A710" s="468">
        <v>44501</v>
      </c>
      <c r="B710" s="473">
        <v>305</v>
      </c>
      <c r="C710" s="473">
        <v>60</v>
      </c>
      <c r="D710" s="470" t="s">
        <v>637</v>
      </c>
      <c r="E710" s="469">
        <v>44</v>
      </c>
      <c r="F710" s="470" t="s">
        <v>88</v>
      </c>
      <c r="G710" s="469">
        <v>535</v>
      </c>
      <c r="H710" s="470" t="s">
        <v>6255</v>
      </c>
      <c r="I710" s="470" t="s">
        <v>836</v>
      </c>
      <c r="J710" s="469">
        <v>12</v>
      </c>
      <c r="K710" s="470" t="s">
        <v>6266</v>
      </c>
      <c r="L710" s="470" t="s">
        <v>6283</v>
      </c>
      <c r="M710" s="470" t="s">
        <v>9</v>
      </c>
      <c r="N710" s="473">
        <v>1</v>
      </c>
      <c r="O710" s="471"/>
      <c r="P710" s="471"/>
      <c r="Q710" s="471"/>
      <c r="R710" s="470"/>
      <c r="S710" s="471">
        <v>0.2018634259259259</v>
      </c>
      <c r="T710" s="471">
        <v>0.26853009259259258</v>
      </c>
      <c r="U710" s="471">
        <v>0.35138888888888892</v>
      </c>
      <c r="V710" s="471">
        <v>0.41319444444444442</v>
      </c>
      <c r="W710" s="471">
        <v>0.48564814814814811</v>
      </c>
      <c r="X710" s="471">
        <v>0.70275462962962953</v>
      </c>
      <c r="Y710" s="471">
        <v>9.6527777777777768E-2</v>
      </c>
      <c r="Z710" s="471">
        <v>0.37222222222222223</v>
      </c>
      <c r="AA710" s="471">
        <v>0.64444444444444449</v>
      </c>
      <c r="AB710" s="470" t="s">
        <v>6289</v>
      </c>
      <c r="AC710" s="473">
        <v>131</v>
      </c>
      <c r="AD710" s="470" t="s">
        <v>119</v>
      </c>
      <c r="AE710" s="470"/>
      <c r="AF710" s="473">
        <v>15.8</v>
      </c>
      <c r="AG710" s="469">
        <v>17.5</v>
      </c>
      <c r="AH710" s="470" t="s">
        <v>6296</v>
      </c>
      <c r="AI710" s="470" t="s">
        <v>6341</v>
      </c>
      <c r="AJ710" s="470" t="s">
        <v>839</v>
      </c>
      <c r="AK710" s="470" t="s">
        <v>6493</v>
      </c>
      <c r="AL710" s="470" t="s">
        <v>6884</v>
      </c>
      <c r="AM710" s="470" t="s">
        <v>6343</v>
      </c>
      <c r="AN710" s="470" t="s">
        <v>789</v>
      </c>
      <c r="AO710" s="470"/>
      <c r="AP710" s="470"/>
      <c r="AQ710" s="470"/>
      <c r="AR710" s="470"/>
      <c r="AS710" s="470"/>
      <c r="AT710" s="470"/>
      <c r="AU710" s="470"/>
      <c r="AV710" s="470"/>
      <c r="AW710" s="470"/>
      <c r="AX710" s="470"/>
      <c r="AY710" s="470"/>
      <c r="AZ710" s="470"/>
      <c r="BA710" s="470"/>
      <c r="BB710" s="470"/>
      <c r="BC710" s="470"/>
      <c r="BD710" s="470"/>
      <c r="BE710" s="470"/>
      <c r="BF710" s="470"/>
      <c r="BG710" s="470"/>
      <c r="BH710" s="470"/>
      <c r="BI710" s="470"/>
      <c r="BJ710" s="470"/>
      <c r="BK710" s="470"/>
      <c r="BL710" s="474"/>
    </row>
    <row r="711" spans="1:64">
      <c r="A711" s="475">
        <v>44502</v>
      </c>
      <c r="B711" s="478">
        <v>306</v>
      </c>
      <c r="C711" s="478">
        <v>59</v>
      </c>
      <c r="D711" s="476" t="s">
        <v>637</v>
      </c>
      <c r="E711" s="477">
        <v>44</v>
      </c>
      <c r="F711" s="476" t="s">
        <v>91</v>
      </c>
      <c r="G711" s="477">
        <v>535</v>
      </c>
      <c r="H711" s="476" t="s">
        <v>6255</v>
      </c>
      <c r="I711" s="476" t="s">
        <v>836</v>
      </c>
      <c r="J711" s="477">
        <v>13</v>
      </c>
      <c r="K711" s="476" t="s">
        <v>6267</v>
      </c>
      <c r="L711" s="476" t="s">
        <v>6284</v>
      </c>
      <c r="M711" s="476" t="s">
        <v>9</v>
      </c>
      <c r="N711" s="478">
        <v>1</v>
      </c>
      <c r="O711" s="479"/>
      <c r="P711" s="479"/>
      <c r="Q711" s="479"/>
      <c r="R711" s="476"/>
      <c r="S711" s="479">
        <v>0.20267361111111112</v>
      </c>
      <c r="T711" s="479">
        <v>0.26934027777777775</v>
      </c>
      <c r="U711" s="479"/>
      <c r="V711" s="479"/>
      <c r="W711" s="479">
        <v>0.48563657407407407</v>
      </c>
      <c r="X711" s="479">
        <v>0.70193287037037033</v>
      </c>
      <c r="Y711" s="479">
        <v>0.14583333333333334</v>
      </c>
      <c r="Z711" s="479">
        <v>0.4055555555555555</v>
      </c>
      <c r="AA711" s="479">
        <v>0.66249999999999998</v>
      </c>
      <c r="AB711" s="476" t="s">
        <v>6289</v>
      </c>
      <c r="AC711" s="478">
        <v>131</v>
      </c>
      <c r="AD711" s="476" t="s">
        <v>119</v>
      </c>
      <c r="AE711" s="476"/>
      <c r="AF711" s="478">
        <v>24.9</v>
      </c>
      <c r="AG711" s="477">
        <v>23.2</v>
      </c>
      <c r="AH711" s="476" t="s">
        <v>6297</v>
      </c>
      <c r="AI711" s="476" t="s">
        <v>6320</v>
      </c>
      <c r="AJ711" s="476" t="s">
        <v>6493</v>
      </c>
      <c r="AK711" s="476" t="s">
        <v>6493</v>
      </c>
      <c r="AL711" s="476" t="s">
        <v>565</v>
      </c>
      <c r="AM711" s="476"/>
      <c r="AN711" s="476"/>
      <c r="AO711" s="476"/>
      <c r="AP711" s="476"/>
      <c r="AQ711" s="476"/>
      <c r="AR711" s="476"/>
      <c r="AS711" s="476"/>
      <c r="AT711" s="476"/>
      <c r="AU711" s="476"/>
      <c r="AV711" s="476"/>
      <c r="AW711" s="476"/>
      <c r="AX711" s="476"/>
      <c r="AY711" s="476"/>
      <c r="AZ711" s="476"/>
      <c r="BA711" s="476"/>
      <c r="BB711" s="476"/>
      <c r="BC711" s="476"/>
      <c r="BD711" s="476"/>
      <c r="BE711" s="476"/>
      <c r="BF711" s="476"/>
      <c r="BG711" s="476"/>
      <c r="BH711" s="476"/>
      <c r="BI711" s="476"/>
      <c r="BJ711" s="476"/>
      <c r="BK711" s="476"/>
      <c r="BL711" s="480"/>
    </row>
    <row r="712" spans="1:64">
      <c r="A712" s="468">
        <v>44503</v>
      </c>
      <c r="B712" s="473">
        <v>307</v>
      </c>
      <c r="C712" s="473">
        <v>58</v>
      </c>
      <c r="D712" s="470" t="s">
        <v>637</v>
      </c>
      <c r="E712" s="469">
        <v>44</v>
      </c>
      <c r="F712" s="470" t="s">
        <v>94</v>
      </c>
      <c r="G712" s="469">
        <v>535</v>
      </c>
      <c r="H712" s="470" t="s">
        <v>6255</v>
      </c>
      <c r="I712" s="470" t="s">
        <v>836</v>
      </c>
      <c r="J712" s="469">
        <v>14</v>
      </c>
      <c r="K712" s="470" t="s">
        <v>6268</v>
      </c>
      <c r="L712" s="470" t="s">
        <v>6285</v>
      </c>
      <c r="M712" s="470" t="s">
        <v>9</v>
      </c>
      <c r="N712" s="473">
        <v>1</v>
      </c>
      <c r="O712" s="471"/>
      <c r="P712" s="471"/>
      <c r="Q712" s="471"/>
      <c r="R712" s="470"/>
      <c r="S712" s="471">
        <v>0.20348379629629632</v>
      </c>
      <c r="T712" s="471">
        <v>0.27015046296296297</v>
      </c>
      <c r="U712" s="471"/>
      <c r="V712" s="471"/>
      <c r="W712" s="471">
        <v>0.48563657407407407</v>
      </c>
      <c r="X712" s="471">
        <v>0.70112268518518517</v>
      </c>
      <c r="Y712" s="471">
        <v>0.19652777777777777</v>
      </c>
      <c r="Z712" s="471">
        <v>0.43958333333333338</v>
      </c>
      <c r="AA712" s="471">
        <v>0.68125000000000002</v>
      </c>
      <c r="AB712" s="470" t="s">
        <v>6289</v>
      </c>
      <c r="AC712" s="473">
        <v>131</v>
      </c>
      <c r="AD712" s="470" t="s">
        <v>119</v>
      </c>
      <c r="AE712" s="470"/>
      <c r="AF712" s="473">
        <v>37.4</v>
      </c>
      <c r="AG712" s="469">
        <v>32</v>
      </c>
      <c r="AH712" s="470" t="s">
        <v>6298</v>
      </c>
      <c r="AI712" s="470" t="s">
        <v>6322</v>
      </c>
      <c r="AJ712" s="470" t="s">
        <v>6493</v>
      </c>
      <c r="AK712" s="470" t="s">
        <v>6493</v>
      </c>
      <c r="AL712" s="470"/>
      <c r="AM712" s="470"/>
      <c r="AN712" s="470"/>
      <c r="AO712" s="470"/>
      <c r="AP712" s="470"/>
      <c r="AQ712" s="470"/>
      <c r="AR712" s="470"/>
      <c r="AS712" s="470"/>
      <c r="AT712" s="470"/>
      <c r="AU712" s="470"/>
      <c r="AV712" s="470"/>
      <c r="AW712" s="470"/>
      <c r="AX712" s="470"/>
      <c r="AY712" s="470"/>
      <c r="AZ712" s="470"/>
      <c r="BA712" s="470"/>
      <c r="BB712" s="470"/>
      <c r="BC712" s="470"/>
      <c r="BD712" s="470"/>
      <c r="BE712" s="470"/>
      <c r="BF712" s="470"/>
      <c r="BG712" s="470"/>
      <c r="BH712" s="470"/>
      <c r="BI712" s="470"/>
      <c r="BJ712" s="470"/>
      <c r="BK712" s="470"/>
      <c r="BL712" s="474"/>
    </row>
    <row r="713" spans="1:64">
      <c r="A713" s="475">
        <v>44504</v>
      </c>
      <c r="B713" s="478">
        <v>308</v>
      </c>
      <c r="C713" s="478">
        <v>57</v>
      </c>
      <c r="D713" s="476" t="s">
        <v>637</v>
      </c>
      <c r="E713" s="477">
        <v>44</v>
      </c>
      <c r="F713" s="476" t="s">
        <v>6714</v>
      </c>
      <c r="G713" s="477">
        <v>535</v>
      </c>
      <c r="H713" s="476" t="s">
        <v>6255</v>
      </c>
      <c r="I713" s="476" t="s">
        <v>836</v>
      </c>
      <c r="J713" s="477">
        <v>15</v>
      </c>
      <c r="K713" s="476" t="s">
        <v>6269</v>
      </c>
      <c r="L713" s="476" t="s">
        <v>6286</v>
      </c>
      <c r="M713" s="476" t="s">
        <v>9</v>
      </c>
      <c r="N713" s="478">
        <v>1</v>
      </c>
      <c r="O713" s="479"/>
      <c r="P713" s="479"/>
      <c r="Q713" s="479"/>
      <c r="R713" s="476"/>
      <c r="S713" s="479">
        <v>0.20430555555555555</v>
      </c>
      <c r="T713" s="479">
        <v>0.27097222222222223</v>
      </c>
      <c r="U713" s="479"/>
      <c r="V713" s="479"/>
      <c r="W713" s="479">
        <v>0.48564814814814811</v>
      </c>
      <c r="X713" s="479">
        <v>0.70033564814814808</v>
      </c>
      <c r="Y713" s="479">
        <v>0.25</v>
      </c>
      <c r="Z713" s="479">
        <v>0.47638888888888892</v>
      </c>
      <c r="AA713" s="479">
        <v>0.70277777777777783</v>
      </c>
      <c r="AB713" s="476" t="s">
        <v>6463</v>
      </c>
      <c r="AC713" s="478">
        <v>152</v>
      </c>
      <c r="AD713" s="476" t="s">
        <v>110</v>
      </c>
      <c r="AE713" s="476" t="s">
        <v>6638</v>
      </c>
      <c r="AF713" s="478">
        <v>52.6</v>
      </c>
      <c r="AG713" s="477">
        <v>43.2</v>
      </c>
      <c r="AH713" s="476" t="s">
        <v>6299</v>
      </c>
      <c r="AI713" s="476" t="s">
        <v>6323</v>
      </c>
      <c r="AJ713" s="476" t="s">
        <v>839</v>
      </c>
      <c r="AK713" s="476" t="s">
        <v>6493</v>
      </c>
      <c r="AL713" s="476" t="s">
        <v>1228</v>
      </c>
      <c r="AM713" s="476" t="s">
        <v>6344</v>
      </c>
      <c r="AN713" s="476"/>
      <c r="AO713" s="476"/>
      <c r="AP713" s="476"/>
      <c r="AQ713" s="476"/>
      <c r="AR713" s="476"/>
      <c r="AS713" s="476"/>
      <c r="AT713" s="476"/>
      <c r="AU713" s="476"/>
      <c r="AV713" s="476"/>
      <c r="AW713" s="476"/>
      <c r="AX713" s="476"/>
      <c r="AY713" s="476"/>
      <c r="AZ713" s="476"/>
      <c r="BA713" s="476"/>
      <c r="BB713" s="476"/>
      <c r="BC713" s="476"/>
      <c r="BD713" s="476"/>
      <c r="BE713" s="476"/>
      <c r="BF713" s="476"/>
      <c r="BG713" s="476"/>
      <c r="BH713" s="476"/>
      <c r="BI713" s="476"/>
      <c r="BJ713" s="476" t="s">
        <v>6660</v>
      </c>
      <c r="BK713" s="476"/>
      <c r="BL713" s="480"/>
    </row>
    <row r="714" spans="1:64">
      <c r="A714" s="468">
        <v>44505</v>
      </c>
      <c r="B714" s="473">
        <v>309</v>
      </c>
      <c r="C714" s="473">
        <v>56</v>
      </c>
      <c r="D714" s="470" t="s">
        <v>637</v>
      </c>
      <c r="E714" s="469">
        <v>44</v>
      </c>
      <c r="F714" s="470" t="s">
        <v>100</v>
      </c>
      <c r="G714" s="469">
        <v>535</v>
      </c>
      <c r="H714" s="470" t="s">
        <v>6255</v>
      </c>
      <c r="I714" s="470" t="s">
        <v>6257</v>
      </c>
      <c r="J714" s="469">
        <v>16</v>
      </c>
      <c r="K714" s="470" t="s">
        <v>6270</v>
      </c>
      <c r="L714" s="470" t="s">
        <v>6287</v>
      </c>
      <c r="M714" s="470" t="s">
        <v>9</v>
      </c>
      <c r="N714" s="473">
        <v>1</v>
      </c>
      <c r="O714" s="471"/>
      <c r="P714" s="471"/>
      <c r="Q714" s="471"/>
      <c r="R714" s="470"/>
      <c r="S714" s="471">
        <v>0.20511574074074077</v>
      </c>
      <c r="T714" s="471">
        <v>0.27178240740740739</v>
      </c>
      <c r="U714" s="471"/>
      <c r="V714" s="471"/>
      <c r="W714" s="471">
        <v>0.4856712962962963</v>
      </c>
      <c r="X714" s="471">
        <v>0.69956018518518526</v>
      </c>
      <c r="Y714" s="471">
        <v>0.30486111111111108</v>
      </c>
      <c r="Z714" s="471">
        <v>0.51597222222222217</v>
      </c>
      <c r="AA714" s="471">
        <v>0.7270833333333333</v>
      </c>
      <c r="AB714" s="470" t="s">
        <v>6463</v>
      </c>
      <c r="AC714" s="473">
        <v>152</v>
      </c>
      <c r="AD714" s="470" t="s">
        <v>110</v>
      </c>
      <c r="AE714" s="470"/>
      <c r="AF714" s="473">
        <v>69.400000000000006</v>
      </c>
      <c r="AG714" s="469">
        <v>55.8</v>
      </c>
      <c r="AH714" s="470" t="s">
        <v>6300</v>
      </c>
      <c r="AI714" s="470" t="s">
        <v>6324</v>
      </c>
      <c r="AJ714" s="470" t="s">
        <v>839</v>
      </c>
      <c r="AK714" s="470" t="s">
        <v>6493</v>
      </c>
      <c r="AL714" s="470" t="s">
        <v>1229</v>
      </c>
      <c r="AM714" s="470" t="s">
        <v>6344</v>
      </c>
      <c r="AN714" s="470" t="s">
        <v>1239</v>
      </c>
      <c r="AO714" s="470" t="s">
        <v>6344</v>
      </c>
      <c r="AP714" s="470" t="s">
        <v>7040</v>
      </c>
      <c r="AQ714" s="470" t="s">
        <v>6346</v>
      </c>
      <c r="AR714" s="470"/>
      <c r="AS714" s="470"/>
      <c r="AT714" s="470"/>
      <c r="AU714" s="470"/>
      <c r="AV714" s="470"/>
      <c r="AW714" s="470"/>
      <c r="AX714" s="470"/>
      <c r="AY714" s="470"/>
      <c r="AZ714" s="470"/>
      <c r="BA714" s="470"/>
      <c r="BB714" s="470"/>
      <c r="BC714" s="470"/>
      <c r="BD714" s="470"/>
      <c r="BE714" s="470"/>
      <c r="BF714" s="470"/>
      <c r="BG714" s="470"/>
      <c r="BH714" s="470"/>
      <c r="BI714" s="470"/>
      <c r="BJ714" s="470" t="s">
        <v>6661</v>
      </c>
      <c r="BK714" s="470"/>
      <c r="BL714" s="474"/>
    </row>
    <row r="715" spans="1:64">
      <c r="A715" s="475">
        <v>44506</v>
      </c>
      <c r="B715" s="478">
        <v>310</v>
      </c>
      <c r="C715" s="478">
        <v>55</v>
      </c>
      <c r="D715" s="476" t="s">
        <v>637</v>
      </c>
      <c r="E715" s="477">
        <v>44</v>
      </c>
      <c r="F715" s="476" t="s">
        <v>103</v>
      </c>
      <c r="G715" s="477">
        <v>535</v>
      </c>
      <c r="H715" s="476" t="s">
        <v>6255</v>
      </c>
      <c r="I715" s="476" t="s">
        <v>6257</v>
      </c>
      <c r="J715" s="477">
        <v>17</v>
      </c>
      <c r="K715" s="476" t="s">
        <v>1034</v>
      </c>
      <c r="L715" s="476" t="s">
        <v>6273</v>
      </c>
      <c r="M715" s="476" t="s">
        <v>9</v>
      </c>
      <c r="N715" s="478">
        <v>1</v>
      </c>
      <c r="O715" s="479"/>
      <c r="P715" s="479"/>
      <c r="Q715" s="479"/>
      <c r="R715" s="476"/>
      <c r="S715" s="479">
        <v>0.2059375</v>
      </c>
      <c r="T715" s="479">
        <v>0.2726041666666667</v>
      </c>
      <c r="U715" s="479"/>
      <c r="V715" s="479"/>
      <c r="W715" s="479">
        <v>0.48570601851851852</v>
      </c>
      <c r="X715" s="479">
        <v>0.6988078703703704</v>
      </c>
      <c r="Y715" s="479">
        <v>0.36041666666666666</v>
      </c>
      <c r="Z715" s="479">
        <v>0.55902777777777779</v>
      </c>
      <c r="AA715" s="479">
        <v>0.75694444444444453</v>
      </c>
      <c r="AB715" s="476" t="s">
        <v>6463</v>
      </c>
      <c r="AC715" s="478">
        <v>152</v>
      </c>
      <c r="AD715" s="476" t="s">
        <v>110</v>
      </c>
      <c r="AE715" s="476"/>
      <c r="AF715" s="478">
        <v>86.7</v>
      </c>
      <c r="AG715" s="477">
        <v>68.900000000000006</v>
      </c>
      <c r="AH715" s="476" t="s">
        <v>6301</v>
      </c>
      <c r="AI715" s="476" t="s">
        <v>6325</v>
      </c>
      <c r="AJ715" s="476" t="s">
        <v>839</v>
      </c>
      <c r="AK715" s="476" t="s">
        <v>6493</v>
      </c>
      <c r="AL715" s="476" t="s">
        <v>6840</v>
      </c>
      <c r="AM715" s="476" t="s">
        <v>6346</v>
      </c>
      <c r="AN715" s="476"/>
      <c r="AO715" s="476"/>
      <c r="AP715" s="476"/>
      <c r="AQ715" s="476"/>
      <c r="AR715" s="476"/>
      <c r="AS715" s="476"/>
      <c r="AT715" s="476"/>
      <c r="AU715" s="476"/>
      <c r="AV715" s="476"/>
      <c r="AW715" s="476"/>
      <c r="AX715" s="476"/>
      <c r="AY715" s="476"/>
      <c r="AZ715" s="476"/>
      <c r="BA715" s="476"/>
      <c r="BB715" s="476"/>
      <c r="BC715" s="476"/>
      <c r="BD715" s="476"/>
      <c r="BE715" s="476"/>
      <c r="BF715" s="476"/>
      <c r="BG715" s="476"/>
      <c r="BH715" s="476"/>
      <c r="BI715" s="476"/>
      <c r="BJ715" s="476" t="s">
        <v>6411</v>
      </c>
      <c r="BK715" s="476"/>
      <c r="BL715" s="480"/>
    </row>
    <row r="716" spans="1:64">
      <c r="A716" s="468">
        <v>44507</v>
      </c>
      <c r="B716" s="473">
        <v>311</v>
      </c>
      <c r="C716" s="473">
        <v>54</v>
      </c>
      <c r="D716" s="470" t="s">
        <v>637</v>
      </c>
      <c r="E716" s="469">
        <v>44</v>
      </c>
      <c r="F716" s="470" t="s">
        <v>106</v>
      </c>
      <c r="G716" s="469">
        <v>535</v>
      </c>
      <c r="H716" s="470" t="s">
        <v>6255</v>
      </c>
      <c r="I716" s="470" t="s">
        <v>6257</v>
      </c>
      <c r="J716" s="469">
        <v>19</v>
      </c>
      <c r="K716" s="470" t="s">
        <v>6259</v>
      </c>
      <c r="L716" s="470" t="s">
        <v>6274</v>
      </c>
      <c r="M716" s="470" t="s">
        <v>9</v>
      </c>
      <c r="N716" s="473">
        <v>0</v>
      </c>
      <c r="O716" s="471">
        <v>0.38611111111111113</v>
      </c>
      <c r="P716" s="471">
        <v>0.24583333333333335</v>
      </c>
      <c r="Q716" s="471"/>
      <c r="R716" s="470"/>
      <c r="S716" s="471">
        <v>0.20675925925925928</v>
      </c>
      <c r="T716" s="471">
        <v>0.27342592592592591</v>
      </c>
      <c r="U716" s="471"/>
      <c r="V716" s="471"/>
      <c r="W716" s="471">
        <v>0.48575231481481485</v>
      </c>
      <c r="X716" s="471">
        <v>0.69806712962962969</v>
      </c>
      <c r="Y716" s="471">
        <v>0.41388888888888892</v>
      </c>
      <c r="Z716" s="471">
        <v>0.60416666666666663</v>
      </c>
      <c r="AA716" s="471">
        <v>0.79375000000000007</v>
      </c>
      <c r="AB716" s="470" t="s">
        <v>6463</v>
      </c>
      <c r="AC716" s="473">
        <v>152</v>
      </c>
      <c r="AD716" s="470" t="s">
        <v>110</v>
      </c>
      <c r="AE716" s="470"/>
      <c r="AF716" s="473">
        <v>3.2</v>
      </c>
      <c r="AG716" s="469">
        <v>81.3</v>
      </c>
      <c r="AH716" s="470" t="s">
        <v>6302</v>
      </c>
      <c r="AI716" s="470" t="s">
        <v>6326</v>
      </c>
      <c r="AJ716" s="470" t="s">
        <v>874</v>
      </c>
      <c r="AK716" s="470" t="s">
        <v>6493</v>
      </c>
      <c r="AL716" s="470" t="s">
        <v>6841</v>
      </c>
      <c r="AM716" s="470" t="s">
        <v>6345</v>
      </c>
      <c r="AN716" s="470" t="s">
        <v>6900</v>
      </c>
      <c r="AO716" s="470" t="s">
        <v>6351</v>
      </c>
      <c r="AP716" s="470" t="s">
        <v>7050</v>
      </c>
      <c r="AQ716" s="470"/>
      <c r="AR716" s="470"/>
      <c r="AS716" s="470"/>
      <c r="AT716" s="470"/>
      <c r="AU716" s="470"/>
      <c r="AV716" s="470"/>
      <c r="AW716" s="470"/>
      <c r="AX716" s="470"/>
      <c r="AY716" s="470"/>
      <c r="AZ716" s="470"/>
      <c r="BA716" s="470"/>
      <c r="BB716" s="470"/>
      <c r="BC716" s="470"/>
      <c r="BD716" s="470"/>
      <c r="BE716" s="470"/>
      <c r="BF716" s="470"/>
      <c r="BG716" s="470"/>
      <c r="BH716" s="470"/>
      <c r="BI716" s="470"/>
      <c r="BJ716" s="470" t="s">
        <v>6662</v>
      </c>
      <c r="BK716" s="470"/>
      <c r="BL716" s="474"/>
    </row>
    <row r="717" spans="1:64">
      <c r="A717" s="475">
        <v>44508</v>
      </c>
      <c r="B717" s="478">
        <v>312</v>
      </c>
      <c r="C717" s="478">
        <v>53</v>
      </c>
      <c r="D717" s="476" t="s">
        <v>637</v>
      </c>
      <c r="E717" s="477">
        <v>45</v>
      </c>
      <c r="F717" s="476" t="s">
        <v>88</v>
      </c>
      <c r="G717" s="477">
        <v>535</v>
      </c>
      <c r="H717" s="476" t="s">
        <v>6255</v>
      </c>
      <c r="I717" s="476" t="s">
        <v>6257</v>
      </c>
      <c r="J717" s="477">
        <v>20</v>
      </c>
      <c r="K717" s="476" t="s">
        <v>6260</v>
      </c>
      <c r="L717" s="476" t="s">
        <v>6276</v>
      </c>
      <c r="M717" s="476" t="s">
        <v>9</v>
      </c>
      <c r="N717" s="478">
        <v>0</v>
      </c>
      <c r="O717" s="479"/>
      <c r="P717" s="479"/>
      <c r="Q717" s="479"/>
      <c r="R717" s="476"/>
      <c r="S717" s="479">
        <v>0.20758101851851851</v>
      </c>
      <c r="T717" s="479">
        <v>0.27424768518518516</v>
      </c>
      <c r="U717" s="479"/>
      <c r="V717" s="479"/>
      <c r="W717" s="479">
        <v>0.48579861111111106</v>
      </c>
      <c r="X717" s="479">
        <v>0.69734953703703706</v>
      </c>
      <c r="Y717" s="479">
        <v>0.46180555555555558</v>
      </c>
      <c r="Z717" s="479">
        <v>0.60625000000000007</v>
      </c>
      <c r="AA717" s="479">
        <v>0.83750000000000002</v>
      </c>
      <c r="AB717" s="476" t="s">
        <v>6463</v>
      </c>
      <c r="AC717" s="478">
        <v>152</v>
      </c>
      <c r="AD717" s="476" t="s">
        <v>110</v>
      </c>
      <c r="AE717" s="476"/>
      <c r="AF717" s="478">
        <v>17.8</v>
      </c>
      <c r="AG717" s="477">
        <v>92</v>
      </c>
      <c r="AH717" s="476" t="s">
        <v>6303</v>
      </c>
      <c r="AI717" s="476" t="s">
        <v>6328</v>
      </c>
      <c r="AJ717" s="476" t="s">
        <v>6493</v>
      </c>
      <c r="AK717" s="476" t="s">
        <v>6493</v>
      </c>
      <c r="AL717" s="476"/>
      <c r="AM717" s="476"/>
      <c r="AN717" s="476"/>
      <c r="AO717" s="476"/>
      <c r="AP717" s="476"/>
      <c r="AQ717" s="476"/>
      <c r="AR717" s="476"/>
      <c r="AS717" s="476"/>
      <c r="AT717" s="476"/>
      <c r="AU717" s="476"/>
      <c r="AV717" s="476"/>
      <c r="AW717" s="476"/>
      <c r="AX717" s="476"/>
      <c r="AY717" s="476"/>
      <c r="AZ717" s="476"/>
      <c r="BA717" s="476"/>
      <c r="BB717" s="476"/>
      <c r="BC717" s="476"/>
      <c r="BD717" s="476"/>
      <c r="BE717" s="476"/>
      <c r="BF717" s="476"/>
      <c r="BG717" s="476"/>
      <c r="BH717" s="476"/>
      <c r="BI717" s="476"/>
      <c r="BJ717" s="476"/>
      <c r="BK717" s="476"/>
      <c r="BL717" s="480"/>
    </row>
    <row r="718" spans="1:64">
      <c r="A718" s="468">
        <v>44509</v>
      </c>
      <c r="B718" s="473">
        <v>313</v>
      </c>
      <c r="C718" s="473">
        <v>52</v>
      </c>
      <c r="D718" s="470" t="s">
        <v>637</v>
      </c>
      <c r="E718" s="469">
        <v>45</v>
      </c>
      <c r="F718" s="470" t="s">
        <v>91</v>
      </c>
      <c r="G718" s="469">
        <v>535</v>
      </c>
      <c r="H718" s="470" t="s">
        <v>6255</v>
      </c>
      <c r="I718" s="470" t="s">
        <v>6257</v>
      </c>
      <c r="J718" s="469">
        <v>21</v>
      </c>
      <c r="K718" s="470" t="s">
        <v>6261</v>
      </c>
      <c r="L718" s="470" t="s">
        <v>6277</v>
      </c>
      <c r="M718" s="470" t="s">
        <v>9</v>
      </c>
      <c r="N718" s="473">
        <v>0</v>
      </c>
      <c r="O718" s="471"/>
      <c r="P718" s="471"/>
      <c r="Q718" s="471"/>
      <c r="R718" s="470"/>
      <c r="S718" s="471">
        <v>0.2084027777777778</v>
      </c>
      <c r="T718" s="471">
        <v>0.27506944444444442</v>
      </c>
      <c r="U718" s="471"/>
      <c r="V718" s="471"/>
      <c r="W718" s="471">
        <v>0.48585648148148147</v>
      </c>
      <c r="X718" s="471">
        <v>0.69665509259259262</v>
      </c>
      <c r="Y718" s="471">
        <v>0.50277777777777777</v>
      </c>
      <c r="Z718" s="471">
        <v>0.64930555555555558</v>
      </c>
      <c r="AA718" s="471">
        <v>0.88541666666666663</v>
      </c>
      <c r="AB718" s="470" t="s">
        <v>6463</v>
      </c>
      <c r="AC718" s="473">
        <v>152</v>
      </c>
      <c r="AD718" s="470" t="s">
        <v>110</v>
      </c>
      <c r="AE718" s="470"/>
      <c r="AF718" s="473">
        <v>29.9</v>
      </c>
      <c r="AG718" s="469">
        <v>0.4</v>
      </c>
      <c r="AH718" s="470" t="s">
        <v>6305</v>
      </c>
      <c r="AI718" s="470" t="s">
        <v>6329</v>
      </c>
      <c r="AJ718" s="470" t="s">
        <v>6493</v>
      </c>
      <c r="AK718" s="470" t="s">
        <v>6493</v>
      </c>
      <c r="AL718" s="470"/>
      <c r="AM718" s="470"/>
      <c r="AN718" s="470"/>
      <c r="AO718" s="470"/>
      <c r="AP718" s="470"/>
      <c r="AQ718" s="470"/>
      <c r="AR718" s="470"/>
      <c r="AS718" s="470"/>
      <c r="AT718" s="470"/>
      <c r="AU718" s="470"/>
      <c r="AV718" s="470"/>
      <c r="AW718" s="470"/>
      <c r="AX718" s="470"/>
      <c r="AY718" s="470"/>
      <c r="AZ718" s="470"/>
      <c r="BA718" s="470"/>
      <c r="BB718" s="470"/>
      <c r="BC718" s="470"/>
      <c r="BD718" s="470"/>
      <c r="BE718" s="470"/>
      <c r="BF718" s="470"/>
      <c r="BG718" s="470"/>
      <c r="BH718" s="470"/>
      <c r="BI718" s="470"/>
      <c r="BJ718" s="470"/>
      <c r="BK718" s="470"/>
      <c r="BL718" s="474"/>
    </row>
    <row r="719" spans="1:64">
      <c r="A719" s="475">
        <v>44510</v>
      </c>
      <c r="B719" s="478">
        <v>314</v>
      </c>
      <c r="C719" s="478">
        <v>51</v>
      </c>
      <c r="D719" s="476" t="s">
        <v>637</v>
      </c>
      <c r="E719" s="477">
        <v>45</v>
      </c>
      <c r="F719" s="476" t="s">
        <v>94</v>
      </c>
      <c r="G719" s="477">
        <v>535</v>
      </c>
      <c r="H719" s="476" t="s">
        <v>6255</v>
      </c>
      <c r="I719" s="476" t="s">
        <v>6257</v>
      </c>
      <c r="J719" s="477">
        <v>22</v>
      </c>
      <c r="K719" s="476" t="s">
        <v>6262</v>
      </c>
      <c r="L719" s="476" t="s">
        <v>6278</v>
      </c>
      <c r="M719" s="476" t="s">
        <v>9</v>
      </c>
      <c r="N719" s="478">
        <v>0</v>
      </c>
      <c r="O719" s="479"/>
      <c r="P719" s="479"/>
      <c r="Q719" s="479"/>
      <c r="R719" s="476"/>
      <c r="S719" s="479">
        <v>0.20922453703703703</v>
      </c>
      <c r="T719" s="479">
        <v>0.27589120370370374</v>
      </c>
      <c r="U719" s="479"/>
      <c r="V719" s="479"/>
      <c r="W719" s="479">
        <v>0.48593749999999997</v>
      </c>
      <c r="X719" s="479">
        <v>0.69597222222222221</v>
      </c>
      <c r="Y719" s="479">
        <v>0.53472222222222221</v>
      </c>
      <c r="Z719" s="479">
        <v>0.69097222222222221</v>
      </c>
      <c r="AA719" s="479">
        <v>0.93472222222222223</v>
      </c>
      <c r="AB719" s="476" t="s">
        <v>6463</v>
      </c>
      <c r="AC719" s="478">
        <v>152</v>
      </c>
      <c r="AD719" s="476" t="s">
        <v>110</v>
      </c>
      <c r="AE719" s="476"/>
      <c r="AF719" s="478">
        <v>39</v>
      </c>
      <c r="AG719" s="477">
        <v>6.1</v>
      </c>
      <c r="AH719" s="476" t="s">
        <v>6306</v>
      </c>
      <c r="AI719" s="476" t="s">
        <v>6330</v>
      </c>
      <c r="AJ719" s="476" t="s">
        <v>6493</v>
      </c>
      <c r="AK719" s="476" t="s">
        <v>6493</v>
      </c>
      <c r="AL719" s="476"/>
      <c r="AM719" s="476"/>
      <c r="AN719" s="476"/>
      <c r="AO719" s="476"/>
      <c r="AP719" s="476"/>
      <c r="AQ719" s="476"/>
      <c r="AR719" s="476"/>
      <c r="AS719" s="476"/>
      <c r="AT719" s="476"/>
      <c r="AU719" s="476"/>
      <c r="AV719" s="476"/>
      <c r="AW719" s="476"/>
      <c r="AX719" s="476"/>
      <c r="AY719" s="476"/>
      <c r="AZ719" s="476"/>
      <c r="BA719" s="476"/>
      <c r="BB719" s="476"/>
      <c r="BC719" s="476"/>
      <c r="BD719" s="476"/>
      <c r="BE719" s="476"/>
      <c r="BF719" s="476"/>
      <c r="BG719" s="476"/>
      <c r="BH719" s="476"/>
      <c r="BI719" s="476"/>
      <c r="BJ719" s="476"/>
      <c r="BK719" s="476"/>
      <c r="BL719" s="480"/>
    </row>
    <row r="720" spans="1:64">
      <c r="A720" s="468">
        <v>44511</v>
      </c>
      <c r="B720" s="473">
        <v>315</v>
      </c>
      <c r="C720" s="473">
        <v>50</v>
      </c>
      <c r="D720" s="470" t="s">
        <v>637</v>
      </c>
      <c r="E720" s="469">
        <v>45</v>
      </c>
      <c r="F720" s="470" t="s">
        <v>6714</v>
      </c>
      <c r="G720" s="469">
        <v>535</v>
      </c>
      <c r="H720" s="470" t="s">
        <v>6255</v>
      </c>
      <c r="I720" s="470" t="s">
        <v>6257</v>
      </c>
      <c r="J720" s="469">
        <v>23</v>
      </c>
      <c r="K720" s="470" t="s">
        <v>6263</v>
      </c>
      <c r="L720" s="470" t="s">
        <v>6279</v>
      </c>
      <c r="M720" s="470" t="s">
        <v>9</v>
      </c>
      <c r="N720" s="473">
        <v>0</v>
      </c>
      <c r="O720" s="471"/>
      <c r="P720" s="471"/>
      <c r="Q720" s="471"/>
      <c r="R720" s="470"/>
      <c r="S720" s="471">
        <v>0.21003472222222222</v>
      </c>
      <c r="T720" s="471">
        <v>0.2767013888888889</v>
      </c>
      <c r="U720" s="471"/>
      <c r="V720" s="471"/>
      <c r="W720" s="471">
        <v>0.48601851851851857</v>
      </c>
      <c r="X720" s="471">
        <v>0.69532407407407415</v>
      </c>
      <c r="Y720" s="471">
        <v>0.56041666666666667</v>
      </c>
      <c r="Z720" s="471">
        <v>0.73055555555555562</v>
      </c>
      <c r="AA720" s="471">
        <v>0.98402777777777783</v>
      </c>
      <c r="AB720" s="470" t="s">
        <v>6464</v>
      </c>
      <c r="AC720" s="473">
        <v>130</v>
      </c>
      <c r="AD720" s="470" t="s">
        <v>113</v>
      </c>
      <c r="AE720" s="470" t="s">
        <v>6639</v>
      </c>
      <c r="AF720" s="473">
        <v>45</v>
      </c>
      <c r="AG720" s="469">
        <v>9.1</v>
      </c>
      <c r="AH720" s="470" t="s">
        <v>6307</v>
      </c>
      <c r="AI720" s="470" t="s">
        <v>6331</v>
      </c>
      <c r="AJ720" s="470" t="s">
        <v>839</v>
      </c>
      <c r="AK720" s="470" t="s">
        <v>6493</v>
      </c>
      <c r="AL720" s="470" t="s">
        <v>1230</v>
      </c>
      <c r="AM720" s="470" t="s">
        <v>6344</v>
      </c>
      <c r="AN720" s="470" t="s">
        <v>6973</v>
      </c>
      <c r="AO720" s="470" t="s">
        <v>6346</v>
      </c>
      <c r="AP720" s="470" t="s">
        <v>7041</v>
      </c>
      <c r="AQ720" s="470" t="s">
        <v>6346</v>
      </c>
      <c r="AR720" s="470" t="s">
        <v>7067</v>
      </c>
      <c r="AS720" s="470" t="s">
        <v>6346</v>
      </c>
      <c r="AT720" s="470"/>
      <c r="AU720" s="470"/>
      <c r="AV720" s="470"/>
      <c r="AW720" s="470"/>
      <c r="AX720" s="470"/>
      <c r="AY720" s="470"/>
      <c r="AZ720" s="470"/>
      <c r="BA720" s="470"/>
      <c r="BB720" s="470"/>
      <c r="BC720" s="470"/>
      <c r="BD720" s="470"/>
      <c r="BE720" s="470"/>
      <c r="BF720" s="470"/>
      <c r="BG720" s="470"/>
      <c r="BH720" s="470"/>
      <c r="BI720" s="470"/>
      <c r="BJ720" s="470" t="s">
        <v>6413</v>
      </c>
      <c r="BK720" s="470"/>
      <c r="BL720" s="474"/>
    </row>
    <row r="721" spans="1:64">
      <c r="A721" s="475">
        <v>44512</v>
      </c>
      <c r="B721" s="478">
        <v>316</v>
      </c>
      <c r="C721" s="478">
        <v>49</v>
      </c>
      <c r="D721" s="476" t="s">
        <v>637</v>
      </c>
      <c r="E721" s="477">
        <v>45</v>
      </c>
      <c r="F721" s="476" t="s">
        <v>100</v>
      </c>
      <c r="G721" s="477">
        <v>535</v>
      </c>
      <c r="H721" s="476" t="s">
        <v>6255</v>
      </c>
      <c r="I721" s="476" t="s">
        <v>6257</v>
      </c>
      <c r="J721" s="477">
        <v>24</v>
      </c>
      <c r="K721" s="476" t="s">
        <v>6264</v>
      </c>
      <c r="L721" s="476" t="s">
        <v>6280</v>
      </c>
      <c r="M721" s="476" t="s">
        <v>9</v>
      </c>
      <c r="N721" s="478">
        <v>0</v>
      </c>
      <c r="O721" s="479"/>
      <c r="P721" s="479"/>
      <c r="Q721" s="479"/>
      <c r="R721" s="476"/>
      <c r="S721" s="479">
        <v>0.21085648148148148</v>
      </c>
      <c r="T721" s="479">
        <v>0.27752314814814816</v>
      </c>
      <c r="U721" s="479"/>
      <c r="V721" s="479"/>
      <c r="W721" s="479">
        <v>0.48609953703703707</v>
      </c>
      <c r="X721" s="479">
        <v>0.69467592592592586</v>
      </c>
      <c r="Y721" s="479">
        <v>0.58124999999999993</v>
      </c>
      <c r="Z721" s="479">
        <v>0.80625000000000002</v>
      </c>
      <c r="AA721" s="479" t="s">
        <v>1107</v>
      </c>
      <c r="AB721" s="476" t="s">
        <v>6464</v>
      </c>
      <c r="AC721" s="478">
        <v>130</v>
      </c>
      <c r="AD721" s="476" t="s">
        <v>113</v>
      </c>
      <c r="AE721" s="476"/>
      <c r="AF721" s="478">
        <v>47.9</v>
      </c>
      <c r="AG721" s="477">
        <v>9.3000000000000007</v>
      </c>
      <c r="AH721" s="476" t="s">
        <v>6308</v>
      </c>
      <c r="AI721" s="476" t="s">
        <v>6332</v>
      </c>
      <c r="AJ721" s="476" t="s">
        <v>839</v>
      </c>
      <c r="AK721" s="476" t="s">
        <v>6493</v>
      </c>
      <c r="AL721" s="476" t="s">
        <v>1231</v>
      </c>
      <c r="AM721" s="476" t="s">
        <v>6162</v>
      </c>
      <c r="AN721" s="476"/>
      <c r="AO721" s="476"/>
      <c r="AP721" s="476"/>
      <c r="AQ721" s="476"/>
      <c r="AR721" s="476"/>
      <c r="AS721" s="476"/>
      <c r="AT721" s="476"/>
      <c r="AU721" s="476"/>
      <c r="AV721" s="476"/>
      <c r="AW721" s="476"/>
      <c r="AX721" s="476"/>
      <c r="AY721" s="476"/>
      <c r="AZ721" s="476"/>
      <c r="BA721" s="476"/>
      <c r="BB721" s="476"/>
      <c r="BC721" s="476"/>
      <c r="BD721" s="476"/>
      <c r="BE721" s="476"/>
      <c r="BF721" s="476"/>
      <c r="BG721" s="476"/>
      <c r="BH721" s="476"/>
      <c r="BI721" s="476"/>
      <c r="BJ721" s="476" t="s">
        <v>6414</v>
      </c>
      <c r="BK721" s="476"/>
      <c r="BL721" s="480"/>
    </row>
    <row r="722" spans="1:64">
      <c r="A722" s="468">
        <v>44513</v>
      </c>
      <c r="B722" s="473">
        <v>317</v>
      </c>
      <c r="C722" s="473">
        <v>48</v>
      </c>
      <c r="D722" s="470" t="s">
        <v>637</v>
      </c>
      <c r="E722" s="469">
        <v>45</v>
      </c>
      <c r="F722" s="470" t="s">
        <v>103</v>
      </c>
      <c r="G722" s="469">
        <v>535</v>
      </c>
      <c r="H722" s="470" t="s">
        <v>6255</v>
      </c>
      <c r="I722" s="470" t="s">
        <v>6257</v>
      </c>
      <c r="J722" s="469">
        <v>25</v>
      </c>
      <c r="K722" s="470" t="s">
        <v>6265</v>
      </c>
      <c r="L722" s="470" t="s">
        <v>6281</v>
      </c>
      <c r="M722" s="470" t="s">
        <v>9</v>
      </c>
      <c r="N722" s="473">
        <v>0</v>
      </c>
      <c r="O722" s="471"/>
      <c r="P722" s="471"/>
      <c r="Q722" s="471"/>
      <c r="R722" s="470"/>
      <c r="S722" s="471">
        <v>0.21167824074074074</v>
      </c>
      <c r="T722" s="471">
        <v>0.27834490740740742</v>
      </c>
      <c r="U722" s="471"/>
      <c r="V722" s="471"/>
      <c r="W722" s="471">
        <v>0.48620370370370369</v>
      </c>
      <c r="X722" s="471">
        <v>0.69406249999999992</v>
      </c>
      <c r="Y722" s="471">
        <v>0.59930555555555554</v>
      </c>
      <c r="Z722" s="471">
        <v>0.83750000000000002</v>
      </c>
      <c r="AA722" s="471">
        <v>3.125E-2</v>
      </c>
      <c r="AB722" s="470" t="s">
        <v>6464</v>
      </c>
      <c r="AC722" s="473">
        <v>130</v>
      </c>
      <c r="AD722" s="470" t="s">
        <v>113</v>
      </c>
      <c r="AE722" s="470"/>
      <c r="AF722" s="473">
        <v>48.2</v>
      </c>
      <c r="AG722" s="469">
        <v>7</v>
      </c>
      <c r="AH722" s="470" t="s">
        <v>6309</v>
      </c>
      <c r="AI722" s="470" t="s">
        <v>6333</v>
      </c>
      <c r="AJ722" s="470" t="s">
        <v>839</v>
      </c>
      <c r="AK722" s="470" t="s">
        <v>6493</v>
      </c>
      <c r="AL722" s="470" t="s">
        <v>6842</v>
      </c>
      <c r="AM722" s="470" t="s">
        <v>6349</v>
      </c>
      <c r="AN722" s="470"/>
      <c r="AO722" s="470"/>
      <c r="AP722" s="470"/>
      <c r="AQ722" s="470"/>
      <c r="AR722" s="470"/>
      <c r="AS722" s="470"/>
      <c r="AT722" s="470"/>
      <c r="AU722" s="470"/>
      <c r="AV722" s="470"/>
      <c r="AW722" s="470"/>
      <c r="AX722" s="470"/>
      <c r="AY722" s="470"/>
      <c r="AZ722" s="470"/>
      <c r="BA722" s="470"/>
      <c r="BB722" s="470"/>
      <c r="BC722" s="470"/>
      <c r="BD722" s="470"/>
      <c r="BE722" s="470"/>
      <c r="BF722" s="470"/>
      <c r="BG722" s="470"/>
      <c r="BH722" s="470"/>
      <c r="BI722" s="470"/>
      <c r="BJ722" s="470"/>
      <c r="BK722" s="470" t="s">
        <v>995</v>
      </c>
      <c r="BL722" s="474"/>
    </row>
    <row r="723" spans="1:64">
      <c r="A723" s="475">
        <v>44514</v>
      </c>
      <c r="B723" s="478">
        <v>318</v>
      </c>
      <c r="C723" s="478">
        <v>47</v>
      </c>
      <c r="D723" s="476" t="s">
        <v>637</v>
      </c>
      <c r="E723" s="477">
        <v>45</v>
      </c>
      <c r="F723" s="476" t="s">
        <v>106</v>
      </c>
      <c r="G723" s="477">
        <v>535</v>
      </c>
      <c r="H723" s="476" t="s">
        <v>6255</v>
      </c>
      <c r="I723" s="476" t="s">
        <v>6257</v>
      </c>
      <c r="J723" s="477">
        <v>26</v>
      </c>
      <c r="K723" s="476" t="s">
        <v>6271</v>
      </c>
      <c r="L723" s="476" t="s">
        <v>6282</v>
      </c>
      <c r="M723" s="476" t="s">
        <v>9</v>
      </c>
      <c r="N723" s="478">
        <v>0</v>
      </c>
      <c r="O723" s="479"/>
      <c r="P723" s="479"/>
      <c r="Q723" s="479"/>
      <c r="R723" s="476"/>
      <c r="S723" s="479">
        <v>0.21249999999999999</v>
      </c>
      <c r="T723" s="479">
        <v>0.27916666666666667</v>
      </c>
      <c r="U723" s="479"/>
      <c r="V723" s="479"/>
      <c r="W723" s="479">
        <v>0.48631944444444447</v>
      </c>
      <c r="X723" s="479">
        <v>0.69347222222222227</v>
      </c>
      <c r="Y723" s="479">
        <v>0.61527777777777781</v>
      </c>
      <c r="Z723" s="479">
        <v>0.86597222222222225</v>
      </c>
      <c r="AA723" s="479">
        <v>7.6388888888888895E-2</v>
      </c>
      <c r="AB723" s="476" t="s">
        <v>6464</v>
      </c>
      <c r="AC723" s="478">
        <v>130</v>
      </c>
      <c r="AD723" s="476" t="s">
        <v>113</v>
      </c>
      <c r="AE723" s="476"/>
      <c r="AF723" s="478">
        <v>46</v>
      </c>
      <c r="AG723" s="477">
        <v>2.6</v>
      </c>
      <c r="AH723" s="476" t="s">
        <v>6310</v>
      </c>
      <c r="AI723" s="476" t="s">
        <v>6334</v>
      </c>
      <c r="AJ723" s="476" t="s">
        <v>8</v>
      </c>
      <c r="AK723" s="476" t="s">
        <v>13</v>
      </c>
      <c r="AL723" s="476" t="s">
        <v>6843</v>
      </c>
      <c r="AM723" s="476" t="s">
        <v>6342</v>
      </c>
      <c r="AN723" s="476" t="s">
        <v>7001</v>
      </c>
      <c r="AO723" s="476" t="s">
        <v>6351</v>
      </c>
      <c r="AP723" s="476" t="s">
        <v>7042</v>
      </c>
      <c r="AQ723" s="476" t="s">
        <v>6350</v>
      </c>
      <c r="AR723" s="476" t="s">
        <v>7068</v>
      </c>
      <c r="AS723" s="476" t="s">
        <v>6350</v>
      </c>
      <c r="AT723" s="476" t="s">
        <v>7081</v>
      </c>
      <c r="AU723" s="476" t="s">
        <v>6345</v>
      </c>
      <c r="AV723" s="476" t="s">
        <v>7087</v>
      </c>
      <c r="AW723" s="476" t="s">
        <v>6351</v>
      </c>
      <c r="AX723" s="476"/>
      <c r="AY723" s="476"/>
      <c r="AZ723" s="476"/>
      <c r="BA723" s="476"/>
      <c r="BB723" s="476"/>
      <c r="BC723" s="476"/>
      <c r="BD723" s="476"/>
      <c r="BE723" s="476"/>
      <c r="BF723" s="476"/>
      <c r="BG723" s="476"/>
      <c r="BH723" s="476"/>
      <c r="BI723" s="476"/>
      <c r="BJ723" s="476" t="s">
        <v>7096</v>
      </c>
      <c r="BK723" s="476"/>
      <c r="BL723" s="480"/>
    </row>
    <row r="724" spans="1:64">
      <c r="A724" s="468">
        <v>44515</v>
      </c>
      <c r="B724" s="473">
        <v>319</v>
      </c>
      <c r="C724" s="473">
        <v>46</v>
      </c>
      <c r="D724" s="470" t="s">
        <v>637</v>
      </c>
      <c r="E724" s="469">
        <v>46</v>
      </c>
      <c r="F724" s="470" t="s">
        <v>88</v>
      </c>
      <c r="G724" s="469">
        <v>535</v>
      </c>
      <c r="H724" s="470" t="s">
        <v>6255</v>
      </c>
      <c r="I724" s="470" t="s">
        <v>6257</v>
      </c>
      <c r="J724" s="469">
        <v>27</v>
      </c>
      <c r="K724" s="470" t="s">
        <v>6266</v>
      </c>
      <c r="L724" s="470" t="s">
        <v>6283</v>
      </c>
      <c r="M724" s="470" t="s">
        <v>9</v>
      </c>
      <c r="N724" s="473">
        <v>0</v>
      </c>
      <c r="O724" s="471"/>
      <c r="P724" s="471"/>
      <c r="Q724" s="471"/>
      <c r="R724" s="470"/>
      <c r="S724" s="471">
        <v>0.21331018518518519</v>
      </c>
      <c r="T724" s="471">
        <v>0.27997685185185184</v>
      </c>
      <c r="U724" s="471">
        <v>0.27986111111111112</v>
      </c>
      <c r="V724" s="471">
        <v>0.41736111111111113</v>
      </c>
      <c r="W724" s="471">
        <v>0.48643518518518519</v>
      </c>
      <c r="X724" s="471">
        <v>0.69289351851851855</v>
      </c>
      <c r="Y724" s="471">
        <v>0.63055555555555554</v>
      </c>
      <c r="Z724" s="471">
        <v>0.89444444444444438</v>
      </c>
      <c r="AA724" s="471">
        <v>0.11944444444444445</v>
      </c>
      <c r="AB724" s="470" t="s">
        <v>6464</v>
      </c>
      <c r="AC724" s="473">
        <v>130</v>
      </c>
      <c r="AD724" s="470" t="s">
        <v>113</v>
      </c>
      <c r="AE724" s="470"/>
      <c r="AF724" s="473">
        <v>41.7</v>
      </c>
      <c r="AG724" s="469">
        <v>96.3</v>
      </c>
      <c r="AH724" s="470" t="s">
        <v>6310</v>
      </c>
      <c r="AI724" s="470" t="s">
        <v>6335</v>
      </c>
      <c r="AJ724" s="470" t="s">
        <v>839</v>
      </c>
      <c r="AK724" s="470" t="s">
        <v>6493</v>
      </c>
      <c r="AL724" s="470" t="s">
        <v>6885</v>
      </c>
      <c r="AM724" s="470" t="s">
        <v>6343</v>
      </c>
      <c r="AN724" s="470" t="s">
        <v>793</v>
      </c>
      <c r="AO724" s="470"/>
      <c r="AP724" s="470"/>
      <c r="AQ724" s="470"/>
      <c r="AR724" s="470"/>
      <c r="AS724" s="470"/>
      <c r="AT724" s="470"/>
      <c r="AU724" s="470"/>
      <c r="AV724" s="470"/>
      <c r="AW724" s="470"/>
      <c r="AX724" s="470"/>
      <c r="AY724" s="470"/>
      <c r="AZ724" s="470"/>
      <c r="BA724" s="470"/>
      <c r="BB724" s="470"/>
      <c r="BC724" s="470"/>
      <c r="BD724" s="470"/>
      <c r="BE724" s="470"/>
      <c r="BF724" s="470"/>
      <c r="BG724" s="470"/>
      <c r="BH724" s="470"/>
      <c r="BI724" s="470"/>
      <c r="BJ724" s="470"/>
      <c r="BK724" s="470"/>
      <c r="BL724" s="474"/>
    </row>
    <row r="725" spans="1:64">
      <c r="A725" s="475">
        <v>44516</v>
      </c>
      <c r="B725" s="478">
        <v>320</v>
      </c>
      <c r="C725" s="478">
        <v>45</v>
      </c>
      <c r="D725" s="476" t="s">
        <v>637</v>
      </c>
      <c r="E725" s="477">
        <v>46</v>
      </c>
      <c r="F725" s="476" t="s">
        <v>91</v>
      </c>
      <c r="G725" s="477">
        <v>535</v>
      </c>
      <c r="H725" s="476" t="s">
        <v>6255</v>
      </c>
      <c r="I725" s="476" t="s">
        <v>6257</v>
      </c>
      <c r="J725" s="477">
        <v>28</v>
      </c>
      <c r="K725" s="476" t="s">
        <v>6267</v>
      </c>
      <c r="L725" s="476" t="s">
        <v>6284</v>
      </c>
      <c r="M725" s="476" t="s">
        <v>9</v>
      </c>
      <c r="N725" s="478">
        <v>0</v>
      </c>
      <c r="O725" s="479"/>
      <c r="P725" s="479"/>
      <c r="Q725" s="479">
        <v>9.9930555555555564E-2</v>
      </c>
      <c r="R725" s="476" t="s">
        <v>25</v>
      </c>
      <c r="S725" s="479">
        <v>0.21412037037037038</v>
      </c>
      <c r="T725" s="479">
        <v>0.28078703703703706</v>
      </c>
      <c r="U725" s="479"/>
      <c r="V725" s="479"/>
      <c r="W725" s="479">
        <v>0.48656250000000001</v>
      </c>
      <c r="X725" s="479">
        <v>0.69233796296296291</v>
      </c>
      <c r="Y725" s="479">
        <v>0.64583333333333337</v>
      </c>
      <c r="Z725" s="479">
        <v>0.92291666666666661</v>
      </c>
      <c r="AA725" s="479">
        <v>0.16250000000000001</v>
      </c>
      <c r="AB725" s="476" t="s">
        <v>6464</v>
      </c>
      <c r="AC725" s="478">
        <v>130</v>
      </c>
      <c r="AD725" s="476" t="s">
        <v>113</v>
      </c>
      <c r="AE725" s="476"/>
      <c r="AF725" s="478">
        <v>35.700000000000003</v>
      </c>
      <c r="AG725" s="477">
        <v>88.5</v>
      </c>
      <c r="AH725" s="476" t="s">
        <v>6311</v>
      </c>
      <c r="AI725" s="476" t="s">
        <v>6336</v>
      </c>
      <c r="AJ725" s="476" t="s">
        <v>6493</v>
      </c>
      <c r="AK725" s="476" t="s">
        <v>6493</v>
      </c>
      <c r="AL725" s="476" t="s">
        <v>6886</v>
      </c>
      <c r="AM725" s="476"/>
      <c r="AN725" s="476"/>
      <c r="AO725" s="476"/>
      <c r="AP725" s="476"/>
      <c r="AQ725" s="476"/>
      <c r="AR725" s="476"/>
      <c r="AS725" s="476"/>
      <c r="AT725" s="476"/>
      <c r="AU725" s="476"/>
      <c r="AV725" s="476"/>
      <c r="AW725" s="476"/>
      <c r="AX725" s="476"/>
      <c r="AY725" s="476"/>
      <c r="AZ725" s="476"/>
      <c r="BA725" s="476"/>
      <c r="BB725" s="476"/>
      <c r="BC725" s="476"/>
      <c r="BD725" s="476"/>
      <c r="BE725" s="476"/>
      <c r="BF725" s="476"/>
      <c r="BG725" s="476"/>
      <c r="BH725" s="476"/>
      <c r="BI725" s="476"/>
      <c r="BJ725" s="476"/>
      <c r="BK725" s="476"/>
      <c r="BL725" s="480"/>
    </row>
    <row r="726" spans="1:64">
      <c r="A726" s="468">
        <v>44517</v>
      </c>
      <c r="B726" s="473">
        <v>321</v>
      </c>
      <c r="C726" s="473">
        <v>44</v>
      </c>
      <c r="D726" s="470" t="s">
        <v>637</v>
      </c>
      <c r="E726" s="469">
        <v>46</v>
      </c>
      <c r="F726" s="470" t="s">
        <v>94</v>
      </c>
      <c r="G726" s="469">
        <v>535</v>
      </c>
      <c r="H726" s="470" t="s">
        <v>6255</v>
      </c>
      <c r="I726" s="470" t="s">
        <v>6257</v>
      </c>
      <c r="J726" s="469">
        <v>29</v>
      </c>
      <c r="K726" s="470" t="s">
        <v>6268</v>
      </c>
      <c r="L726" s="470" t="s">
        <v>6285</v>
      </c>
      <c r="M726" s="470" t="s">
        <v>9</v>
      </c>
      <c r="N726" s="473">
        <v>0</v>
      </c>
      <c r="O726" s="471"/>
      <c r="P726" s="471"/>
      <c r="Q726" s="471"/>
      <c r="R726" s="470"/>
      <c r="S726" s="471">
        <v>0.21493055555555554</v>
      </c>
      <c r="T726" s="471">
        <v>0.28159722222222222</v>
      </c>
      <c r="U726" s="471"/>
      <c r="V726" s="471"/>
      <c r="W726" s="471">
        <v>0.48670138888888892</v>
      </c>
      <c r="X726" s="471">
        <v>0.6918171296296296</v>
      </c>
      <c r="Y726" s="471">
        <v>0.66180555555555554</v>
      </c>
      <c r="Z726" s="471">
        <v>0.95208333333333339</v>
      </c>
      <c r="AA726" s="471">
        <v>0.20416666666666669</v>
      </c>
      <c r="AB726" s="470" t="s">
        <v>6464</v>
      </c>
      <c r="AC726" s="473">
        <v>130</v>
      </c>
      <c r="AD726" s="470" t="s">
        <v>113</v>
      </c>
      <c r="AE726" s="470"/>
      <c r="AF726" s="473">
        <v>28.3</v>
      </c>
      <c r="AG726" s="469">
        <v>79.400000000000006</v>
      </c>
      <c r="AH726" s="470" t="s">
        <v>6312</v>
      </c>
      <c r="AI726" s="470" t="s">
        <v>6337</v>
      </c>
      <c r="AJ726" s="470" t="s">
        <v>839</v>
      </c>
      <c r="AK726" s="470" t="s">
        <v>6493</v>
      </c>
      <c r="AL726" s="470" t="s">
        <v>6845</v>
      </c>
      <c r="AM726" s="470" t="s">
        <v>6346</v>
      </c>
      <c r="AN726" s="470" t="s">
        <v>6975</v>
      </c>
      <c r="AO726" s="470" t="s">
        <v>6346</v>
      </c>
      <c r="AP726" s="470" t="s">
        <v>7043</v>
      </c>
      <c r="AQ726" s="470" t="s">
        <v>6349</v>
      </c>
      <c r="AR726" s="470"/>
      <c r="AS726" s="470"/>
      <c r="AT726" s="470"/>
      <c r="AU726" s="470"/>
      <c r="AV726" s="470"/>
      <c r="AW726" s="470"/>
      <c r="AX726" s="470"/>
      <c r="AY726" s="470"/>
      <c r="AZ726" s="470"/>
      <c r="BA726" s="470"/>
      <c r="BB726" s="470"/>
      <c r="BC726" s="470"/>
      <c r="BD726" s="470"/>
      <c r="BE726" s="470"/>
      <c r="BF726" s="470"/>
      <c r="BG726" s="470"/>
      <c r="BH726" s="470"/>
      <c r="BI726" s="470"/>
      <c r="BJ726" s="470" t="s">
        <v>6415</v>
      </c>
      <c r="BK726" s="470" t="s">
        <v>996</v>
      </c>
      <c r="BL726" s="474"/>
    </row>
    <row r="727" spans="1:64">
      <c r="A727" s="475">
        <v>44518</v>
      </c>
      <c r="B727" s="478">
        <v>322</v>
      </c>
      <c r="C727" s="478">
        <v>43</v>
      </c>
      <c r="D727" s="476" t="s">
        <v>637</v>
      </c>
      <c r="E727" s="477">
        <v>46</v>
      </c>
      <c r="F727" s="476" t="s">
        <v>6714</v>
      </c>
      <c r="G727" s="477">
        <v>535</v>
      </c>
      <c r="H727" s="476" t="s">
        <v>6255</v>
      </c>
      <c r="I727" s="476" t="s">
        <v>6257</v>
      </c>
      <c r="J727" s="477">
        <v>30</v>
      </c>
      <c r="K727" s="476" t="s">
        <v>6272</v>
      </c>
      <c r="L727" s="476" t="s">
        <v>6288</v>
      </c>
      <c r="M727" s="476" t="s">
        <v>9</v>
      </c>
      <c r="N727" s="478">
        <v>0</v>
      </c>
      <c r="O727" s="479"/>
      <c r="P727" s="479"/>
      <c r="Q727" s="479"/>
      <c r="R727" s="476"/>
      <c r="S727" s="479">
        <v>0.21574074074074076</v>
      </c>
      <c r="T727" s="479">
        <v>0.28240740740740738</v>
      </c>
      <c r="U727" s="479"/>
      <c r="V727" s="479"/>
      <c r="W727" s="479">
        <v>0.48685185185185187</v>
      </c>
      <c r="X727" s="479">
        <v>0.69130787037037045</v>
      </c>
      <c r="Y727" s="479">
        <v>0.67986111111111114</v>
      </c>
      <c r="Z727" s="479">
        <v>0.98263888888888884</v>
      </c>
      <c r="AA727" s="479">
        <v>0.24722222222222223</v>
      </c>
      <c r="AB727" s="476" t="s">
        <v>6464</v>
      </c>
      <c r="AC727" s="478">
        <v>130</v>
      </c>
      <c r="AD727" s="476" t="s">
        <v>113</v>
      </c>
      <c r="AE727" s="476"/>
      <c r="AF727" s="478">
        <v>19.8</v>
      </c>
      <c r="AG727" s="477">
        <v>69.400000000000006</v>
      </c>
      <c r="AH727" s="476" t="s">
        <v>6313</v>
      </c>
      <c r="AI727" s="476" t="s">
        <v>6338</v>
      </c>
      <c r="AJ727" s="476" t="s">
        <v>839</v>
      </c>
      <c r="AK727" s="476" t="s">
        <v>6493</v>
      </c>
      <c r="AL727" s="476" t="s">
        <v>6846</v>
      </c>
      <c r="AM727" s="476" t="s">
        <v>6350</v>
      </c>
      <c r="AN727" s="476" t="s">
        <v>824</v>
      </c>
      <c r="AO727" s="476" t="s">
        <v>6344</v>
      </c>
      <c r="AP727" s="476" t="s">
        <v>7044</v>
      </c>
      <c r="AQ727" s="476" t="s">
        <v>6344</v>
      </c>
      <c r="AR727" s="476" t="s">
        <v>7069</v>
      </c>
      <c r="AS727" s="476" t="s">
        <v>6346</v>
      </c>
      <c r="AT727" s="476" t="s">
        <v>7082</v>
      </c>
      <c r="AU727" s="476" t="s">
        <v>6349</v>
      </c>
      <c r="AV727" s="476" t="s">
        <v>7088</v>
      </c>
      <c r="AW727" s="476"/>
      <c r="AX727" s="476"/>
      <c r="AY727" s="476"/>
      <c r="AZ727" s="476"/>
      <c r="BA727" s="476"/>
      <c r="BB727" s="476"/>
      <c r="BC727" s="476"/>
      <c r="BD727" s="476"/>
      <c r="BE727" s="476"/>
      <c r="BF727" s="476"/>
      <c r="BG727" s="476"/>
      <c r="BH727" s="476"/>
      <c r="BI727" s="476"/>
      <c r="BJ727" s="476" t="s">
        <v>7097</v>
      </c>
      <c r="BK727" s="476" t="s">
        <v>997</v>
      </c>
      <c r="BL727" s="480"/>
    </row>
    <row r="728" spans="1:64">
      <c r="A728" s="468">
        <v>44519</v>
      </c>
      <c r="B728" s="473">
        <v>323</v>
      </c>
      <c r="C728" s="473">
        <v>42</v>
      </c>
      <c r="D728" s="470" t="s">
        <v>637</v>
      </c>
      <c r="E728" s="469">
        <v>46</v>
      </c>
      <c r="F728" s="470" t="s">
        <v>100</v>
      </c>
      <c r="G728" s="469">
        <v>535</v>
      </c>
      <c r="H728" s="470" t="s">
        <v>967</v>
      </c>
      <c r="I728" s="470" t="s">
        <v>836</v>
      </c>
      <c r="J728" s="469">
        <v>1</v>
      </c>
      <c r="K728" s="470" t="s">
        <v>6270</v>
      </c>
      <c r="L728" s="470" t="s">
        <v>6287</v>
      </c>
      <c r="M728" s="470" t="s">
        <v>9</v>
      </c>
      <c r="N728" s="473">
        <v>0</v>
      </c>
      <c r="O728" s="471"/>
      <c r="P728" s="471"/>
      <c r="Q728" s="471"/>
      <c r="R728" s="470"/>
      <c r="S728" s="471">
        <v>0.21653935185185183</v>
      </c>
      <c r="T728" s="471">
        <v>0.28320601851851851</v>
      </c>
      <c r="U728" s="471"/>
      <c r="V728" s="471"/>
      <c r="W728" s="471">
        <v>0.48701388888888886</v>
      </c>
      <c r="X728" s="471">
        <v>0.69082175925925926</v>
      </c>
      <c r="Y728" s="471">
        <v>0.70000000000000007</v>
      </c>
      <c r="Z728" s="471" t="s">
        <v>1107</v>
      </c>
      <c r="AA728" s="471">
        <v>0.2902777777777778</v>
      </c>
      <c r="AB728" s="470" t="s">
        <v>6462</v>
      </c>
      <c r="AC728" s="473">
        <v>129</v>
      </c>
      <c r="AD728" s="470" t="s">
        <v>116</v>
      </c>
      <c r="AE728" s="470" t="s">
        <v>6640</v>
      </c>
      <c r="AF728" s="473">
        <v>10.5</v>
      </c>
      <c r="AG728" s="469">
        <v>58.6</v>
      </c>
      <c r="AH728" s="470" t="s">
        <v>6314</v>
      </c>
      <c r="AI728" s="470" t="s">
        <v>6339</v>
      </c>
      <c r="AJ728" s="470" t="s">
        <v>839</v>
      </c>
      <c r="AK728" s="470" t="s">
        <v>6493</v>
      </c>
      <c r="AL728" s="470" t="s">
        <v>6847</v>
      </c>
      <c r="AM728" s="470" t="s">
        <v>6344</v>
      </c>
      <c r="AN728" s="470" t="s">
        <v>6897</v>
      </c>
      <c r="AO728" s="470"/>
      <c r="AP728" s="470" t="s">
        <v>7004</v>
      </c>
      <c r="AQ728" s="470"/>
      <c r="AR728" s="470" t="s">
        <v>795</v>
      </c>
      <c r="AS728" s="470"/>
      <c r="AT728" s="470"/>
      <c r="AU728" s="470"/>
      <c r="AV728" s="470"/>
      <c r="AW728" s="470"/>
      <c r="AX728" s="470"/>
      <c r="AY728" s="470"/>
      <c r="AZ728" s="470"/>
      <c r="BA728" s="470"/>
      <c r="BB728" s="470"/>
      <c r="BC728" s="470"/>
      <c r="BD728" s="470"/>
      <c r="BE728" s="470"/>
      <c r="BF728" s="470"/>
      <c r="BG728" s="470"/>
      <c r="BH728" s="470"/>
      <c r="BI728" s="470"/>
      <c r="BJ728" s="470" t="s">
        <v>6416</v>
      </c>
      <c r="BK728" s="470"/>
      <c r="BL728" s="474"/>
    </row>
    <row r="729" spans="1:64">
      <c r="A729" s="475">
        <v>44520</v>
      </c>
      <c r="B729" s="478">
        <v>324</v>
      </c>
      <c r="C729" s="478">
        <v>41</v>
      </c>
      <c r="D729" s="476" t="s">
        <v>637</v>
      </c>
      <c r="E729" s="477">
        <v>46</v>
      </c>
      <c r="F729" s="476" t="s">
        <v>103</v>
      </c>
      <c r="G729" s="477">
        <v>535</v>
      </c>
      <c r="H729" s="476" t="s">
        <v>967</v>
      </c>
      <c r="I729" s="476" t="s">
        <v>836</v>
      </c>
      <c r="J729" s="477">
        <v>2</v>
      </c>
      <c r="K729" s="476" t="s">
        <v>1034</v>
      </c>
      <c r="L729" s="476" t="s">
        <v>6287</v>
      </c>
      <c r="M729" s="476" t="s">
        <v>9</v>
      </c>
      <c r="N729" s="478">
        <v>0</v>
      </c>
      <c r="O729" s="479"/>
      <c r="P729" s="479"/>
      <c r="Q729" s="479"/>
      <c r="R729" s="476"/>
      <c r="S729" s="479">
        <v>0.21733796296296296</v>
      </c>
      <c r="T729" s="479">
        <v>0.28400462962962963</v>
      </c>
      <c r="U729" s="479"/>
      <c r="V729" s="479"/>
      <c r="W729" s="479">
        <v>0.48718750000000005</v>
      </c>
      <c r="X729" s="479">
        <v>0.69035879629629626</v>
      </c>
      <c r="Y729" s="479">
        <v>0.72361111111111109</v>
      </c>
      <c r="Z729" s="479">
        <v>1.3888888888888888E-2</v>
      </c>
      <c r="AA729" s="479">
        <v>0.33263888888888887</v>
      </c>
      <c r="AB729" s="476" t="s">
        <v>6462</v>
      </c>
      <c r="AC729" s="478">
        <v>129</v>
      </c>
      <c r="AD729" s="476" t="s">
        <v>116</v>
      </c>
      <c r="AE729" s="476"/>
      <c r="AF729" s="478">
        <v>0.7</v>
      </c>
      <c r="AG729" s="477">
        <v>47.3</v>
      </c>
      <c r="AH729" s="476" t="s">
        <v>973</v>
      </c>
      <c r="AI729" s="476" t="s">
        <v>6340</v>
      </c>
      <c r="AJ729" s="476" t="s">
        <v>6493</v>
      </c>
      <c r="AK729" s="476" t="s">
        <v>6493</v>
      </c>
      <c r="AL729" s="476" t="s">
        <v>796</v>
      </c>
      <c r="AM729" s="476"/>
      <c r="AN729" s="476"/>
      <c r="AO729" s="476"/>
      <c r="AP729" s="476"/>
      <c r="AQ729" s="476"/>
      <c r="AR729" s="476"/>
      <c r="AS729" s="476"/>
      <c r="AT729" s="476"/>
      <c r="AU729" s="476"/>
      <c r="AV729" s="476"/>
      <c r="AW729" s="476"/>
      <c r="AX729" s="476"/>
      <c r="AY729" s="476"/>
      <c r="AZ729" s="476"/>
      <c r="BA729" s="476"/>
      <c r="BB729" s="476"/>
      <c r="BC729" s="476"/>
      <c r="BD729" s="476"/>
      <c r="BE729" s="476"/>
      <c r="BF729" s="476"/>
      <c r="BG729" s="476"/>
      <c r="BH729" s="476"/>
      <c r="BI729" s="476"/>
      <c r="BJ729" s="476"/>
      <c r="BK729" s="476"/>
      <c r="BL729" s="480"/>
    </row>
    <row r="730" spans="1:64">
      <c r="A730" s="468">
        <v>44521</v>
      </c>
      <c r="B730" s="473">
        <v>325</v>
      </c>
      <c r="C730" s="473">
        <v>40</v>
      </c>
      <c r="D730" s="470" t="s">
        <v>637</v>
      </c>
      <c r="E730" s="469">
        <v>46</v>
      </c>
      <c r="F730" s="470" t="s">
        <v>106</v>
      </c>
      <c r="G730" s="469">
        <v>535</v>
      </c>
      <c r="H730" s="470" t="s">
        <v>967</v>
      </c>
      <c r="I730" s="470" t="s">
        <v>836</v>
      </c>
      <c r="J730" s="469">
        <v>2</v>
      </c>
      <c r="K730" s="470" t="s">
        <v>1034</v>
      </c>
      <c r="L730" s="470" t="s">
        <v>6273</v>
      </c>
      <c r="M730" s="470" t="s">
        <v>10</v>
      </c>
      <c r="N730" s="473">
        <v>0</v>
      </c>
      <c r="O730" s="471"/>
      <c r="P730" s="471"/>
      <c r="Q730" s="471"/>
      <c r="R730" s="470"/>
      <c r="S730" s="471">
        <v>0.21813657407407408</v>
      </c>
      <c r="T730" s="471">
        <v>0.28480324074074076</v>
      </c>
      <c r="U730" s="471"/>
      <c r="V730" s="471"/>
      <c r="W730" s="471">
        <v>0.48736111111111113</v>
      </c>
      <c r="X730" s="471">
        <v>0.6899305555555556</v>
      </c>
      <c r="Y730" s="471">
        <v>0.75277777777777777</v>
      </c>
      <c r="Z730" s="471">
        <v>4.6527777777777779E-2</v>
      </c>
      <c r="AA730" s="471">
        <v>0.37361111111111112</v>
      </c>
      <c r="AB730" s="470" t="s">
        <v>6462</v>
      </c>
      <c r="AC730" s="473">
        <v>129</v>
      </c>
      <c r="AD730" s="470" t="s">
        <v>116</v>
      </c>
      <c r="AE730" s="470"/>
      <c r="AF730" s="473">
        <v>90.6</v>
      </c>
      <c r="AG730" s="469">
        <v>35.799999999999997</v>
      </c>
      <c r="AH730" s="470" t="s">
        <v>6290</v>
      </c>
      <c r="AI730" s="470" t="s">
        <v>974</v>
      </c>
      <c r="AJ730" s="470" t="s">
        <v>6493</v>
      </c>
      <c r="AK730" s="470" t="s">
        <v>6493</v>
      </c>
      <c r="AL730" s="470" t="s">
        <v>6727</v>
      </c>
      <c r="AM730" s="470"/>
      <c r="AN730" s="470"/>
      <c r="AO730" s="470"/>
      <c r="AP730" s="470"/>
      <c r="AQ730" s="470"/>
      <c r="AR730" s="470"/>
      <c r="AS730" s="470"/>
      <c r="AT730" s="470"/>
      <c r="AU730" s="470"/>
      <c r="AV730" s="470"/>
      <c r="AW730" s="470"/>
      <c r="AX730" s="470"/>
      <c r="AY730" s="470"/>
      <c r="AZ730" s="470"/>
      <c r="BA730" s="470"/>
      <c r="BB730" s="470"/>
      <c r="BC730" s="470"/>
      <c r="BD730" s="470"/>
      <c r="BE730" s="470"/>
      <c r="BF730" s="470"/>
      <c r="BG730" s="470"/>
      <c r="BH730" s="470"/>
      <c r="BI730" s="470"/>
      <c r="BJ730" s="470"/>
      <c r="BK730" s="470"/>
      <c r="BL730" s="474"/>
    </row>
    <row r="731" spans="1:64">
      <c r="A731" s="475">
        <v>44522</v>
      </c>
      <c r="B731" s="478">
        <v>326</v>
      </c>
      <c r="C731" s="478">
        <v>39</v>
      </c>
      <c r="D731" s="476" t="s">
        <v>637</v>
      </c>
      <c r="E731" s="477">
        <v>47</v>
      </c>
      <c r="F731" s="476" t="s">
        <v>88</v>
      </c>
      <c r="G731" s="477">
        <v>535</v>
      </c>
      <c r="H731" s="476" t="s">
        <v>967</v>
      </c>
      <c r="I731" s="476" t="s">
        <v>836</v>
      </c>
      <c r="J731" s="477">
        <v>3</v>
      </c>
      <c r="K731" s="476" t="s">
        <v>6258</v>
      </c>
      <c r="L731" s="476" t="s">
        <v>6274</v>
      </c>
      <c r="M731" s="476" t="s">
        <v>9</v>
      </c>
      <c r="N731" s="478">
        <v>0</v>
      </c>
      <c r="O731" s="479"/>
      <c r="P731" s="479"/>
      <c r="Q731" s="479"/>
      <c r="R731" s="476"/>
      <c r="S731" s="479">
        <v>0.21892361111111111</v>
      </c>
      <c r="T731" s="479">
        <v>0.28559027777777779</v>
      </c>
      <c r="U731" s="479"/>
      <c r="V731" s="479"/>
      <c r="W731" s="479">
        <v>0.48754629629629626</v>
      </c>
      <c r="X731" s="479">
        <v>0.68951388888888887</v>
      </c>
      <c r="Y731" s="479">
        <v>0.78541666666666676</v>
      </c>
      <c r="Z731" s="479">
        <v>8.1250000000000003E-2</v>
      </c>
      <c r="AA731" s="479">
        <v>0.41250000000000003</v>
      </c>
      <c r="AB731" s="476" t="s">
        <v>6462</v>
      </c>
      <c r="AC731" s="478">
        <v>129</v>
      </c>
      <c r="AD731" s="476" t="s">
        <v>116</v>
      </c>
      <c r="AE731" s="476"/>
      <c r="AF731" s="478">
        <v>80.7</v>
      </c>
      <c r="AG731" s="477">
        <v>24.4</v>
      </c>
      <c r="AH731" s="476" t="s">
        <v>6315</v>
      </c>
      <c r="AI731" s="476" t="s">
        <v>6316</v>
      </c>
      <c r="AJ731" s="476" t="s">
        <v>6493</v>
      </c>
      <c r="AK731" s="476" t="s">
        <v>6493</v>
      </c>
      <c r="AL731" s="476"/>
      <c r="AM731" s="476"/>
      <c r="AN731" s="476"/>
      <c r="AO731" s="476"/>
      <c r="AP731" s="476"/>
      <c r="AQ731" s="476"/>
      <c r="AR731" s="476"/>
      <c r="AS731" s="476"/>
      <c r="AT731" s="476"/>
      <c r="AU731" s="476"/>
      <c r="AV731" s="476"/>
      <c r="AW731" s="476"/>
      <c r="AX731" s="476"/>
      <c r="AY731" s="476"/>
      <c r="AZ731" s="476"/>
      <c r="BA731" s="476"/>
      <c r="BB731" s="476"/>
      <c r="BC731" s="476"/>
      <c r="BD731" s="476"/>
      <c r="BE731" s="476"/>
      <c r="BF731" s="476"/>
      <c r="BG731" s="476"/>
      <c r="BH731" s="476"/>
      <c r="BI731" s="476"/>
      <c r="BJ731" s="476"/>
      <c r="BK731" s="476"/>
      <c r="BL731" s="480"/>
    </row>
    <row r="732" spans="1:64">
      <c r="A732" s="468">
        <v>44523</v>
      </c>
      <c r="B732" s="473">
        <v>327</v>
      </c>
      <c r="C732" s="473">
        <v>38</v>
      </c>
      <c r="D732" s="470" t="s">
        <v>637</v>
      </c>
      <c r="E732" s="469">
        <v>47</v>
      </c>
      <c r="F732" s="470" t="s">
        <v>91</v>
      </c>
      <c r="G732" s="469">
        <v>535</v>
      </c>
      <c r="H732" s="470" t="s">
        <v>967</v>
      </c>
      <c r="I732" s="470" t="s">
        <v>836</v>
      </c>
      <c r="J732" s="469">
        <v>4</v>
      </c>
      <c r="K732" s="470" t="s">
        <v>6259</v>
      </c>
      <c r="L732" s="470" t="s">
        <v>6275</v>
      </c>
      <c r="M732" s="470" t="s">
        <v>9</v>
      </c>
      <c r="N732" s="473">
        <v>0</v>
      </c>
      <c r="O732" s="471"/>
      <c r="P732" s="471"/>
      <c r="Q732" s="471"/>
      <c r="R732" s="470"/>
      <c r="S732" s="471">
        <v>0.21969907407407407</v>
      </c>
      <c r="T732" s="471">
        <v>0.28636574074074073</v>
      </c>
      <c r="U732" s="471"/>
      <c r="V732" s="471"/>
      <c r="W732" s="471">
        <v>0.48774305555555553</v>
      </c>
      <c r="X732" s="471">
        <v>0.68913194444444448</v>
      </c>
      <c r="Y732" s="471">
        <v>0.82291666666666663</v>
      </c>
      <c r="Z732" s="471">
        <v>0.11597222222222221</v>
      </c>
      <c r="AA732" s="471">
        <v>0.4465277777777778</v>
      </c>
      <c r="AB732" s="470" t="s">
        <v>6462</v>
      </c>
      <c r="AC732" s="473">
        <v>129</v>
      </c>
      <c r="AD732" s="470" t="s">
        <v>116</v>
      </c>
      <c r="AE732" s="470"/>
      <c r="AF732" s="473">
        <v>71.2</v>
      </c>
      <c r="AG732" s="469">
        <v>13.5</v>
      </c>
      <c r="AH732" s="470" t="s">
        <v>6291</v>
      </c>
      <c r="AI732" s="470" t="s">
        <v>6317</v>
      </c>
      <c r="AJ732" s="470" t="s">
        <v>6493</v>
      </c>
      <c r="AK732" s="470" t="s">
        <v>6493</v>
      </c>
      <c r="AL732" s="470"/>
      <c r="AM732" s="470"/>
      <c r="AN732" s="470"/>
      <c r="AO732" s="470"/>
      <c r="AP732" s="470"/>
      <c r="AQ732" s="470"/>
      <c r="AR732" s="470"/>
      <c r="AS732" s="470"/>
      <c r="AT732" s="470"/>
      <c r="AU732" s="470"/>
      <c r="AV732" s="470"/>
      <c r="AW732" s="470"/>
      <c r="AX732" s="470"/>
      <c r="AY732" s="470"/>
      <c r="AZ732" s="470"/>
      <c r="BA732" s="470"/>
      <c r="BB732" s="470"/>
      <c r="BC732" s="470"/>
      <c r="BD732" s="470"/>
      <c r="BE732" s="470"/>
      <c r="BF732" s="470"/>
      <c r="BG732" s="470"/>
      <c r="BH732" s="470"/>
      <c r="BI732" s="470"/>
      <c r="BJ732" s="470"/>
      <c r="BK732" s="470"/>
      <c r="BL732" s="474"/>
    </row>
    <row r="733" spans="1:64">
      <c r="A733" s="475">
        <v>44524</v>
      </c>
      <c r="B733" s="478">
        <v>328</v>
      </c>
      <c r="C733" s="478">
        <v>37</v>
      </c>
      <c r="D733" s="476" t="s">
        <v>637</v>
      </c>
      <c r="E733" s="477">
        <v>47</v>
      </c>
      <c r="F733" s="476" t="s">
        <v>94</v>
      </c>
      <c r="G733" s="477">
        <v>535</v>
      </c>
      <c r="H733" s="476" t="s">
        <v>967</v>
      </c>
      <c r="I733" s="476" t="s">
        <v>836</v>
      </c>
      <c r="J733" s="477">
        <v>5</v>
      </c>
      <c r="K733" s="476" t="s">
        <v>6260</v>
      </c>
      <c r="L733" s="476" t="s">
        <v>6276</v>
      </c>
      <c r="M733" s="476" t="s">
        <v>9</v>
      </c>
      <c r="N733" s="478">
        <v>0</v>
      </c>
      <c r="O733" s="479"/>
      <c r="P733" s="479"/>
      <c r="Q733" s="479"/>
      <c r="R733" s="476"/>
      <c r="S733" s="479">
        <v>0.22047453703703704</v>
      </c>
      <c r="T733" s="479">
        <v>0.28714120370370372</v>
      </c>
      <c r="U733" s="479"/>
      <c r="V733" s="479"/>
      <c r="W733" s="479">
        <v>0.48795138888888889</v>
      </c>
      <c r="X733" s="479">
        <v>0.68876157407407401</v>
      </c>
      <c r="Y733" s="479">
        <v>0.86388888888888893</v>
      </c>
      <c r="Z733" s="479">
        <v>0.15138888888888888</v>
      </c>
      <c r="AA733" s="479">
        <v>0.47638888888888892</v>
      </c>
      <c r="AB733" s="476" t="s">
        <v>6462</v>
      </c>
      <c r="AC733" s="478">
        <v>129</v>
      </c>
      <c r="AD733" s="476" t="s">
        <v>116</v>
      </c>
      <c r="AE733" s="476"/>
      <c r="AF733" s="478">
        <v>62.6</v>
      </c>
      <c r="AG733" s="477">
        <v>3.3</v>
      </c>
      <c r="AH733" s="476" t="s">
        <v>6292</v>
      </c>
      <c r="AI733" s="476" t="s">
        <v>6318</v>
      </c>
      <c r="AJ733" s="476" t="s">
        <v>6493</v>
      </c>
      <c r="AK733" s="476" t="s">
        <v>6493</v>
      </c>
      <c r="AL733" s="476"/>
      <c r="AM733" s="476"/>
      <c r="AN733" s="476"/>
      <c r="AO733" s="476"/>
      <c r="AP733" s="476"/>
      <c r="AQ733" s="476"/>
      <c r="AR733" s="476"/>
      <c r="AS733" s="476"/>
      <c r="AT733" s="476"/>
      <c r="AU733" s="476"/>
      <c r="AV733" s="476"/>
      <c r="AW733" s="476"/>
      <c r="AX733" s="476"/>
      <c r="AY733" s="476"/>
      <c r="AZ733" s="476"/>
      <c r="BA733" s="476"/>
      <c r="BB733" s="476"/>
      <c r="BC733" s="476"/>
      <c r="BD733" s="476"/>
      <c r="BE733" s="476"/>
      <c r="BF733" s="476"/>
      <c r="BG733" s="476"/>
      <c r="BH733" s="476"/>
      <c r="BI733" s="476"/>
      <c r="BJ733" s="476"/>
      <c r="BK733" s="476"/>
      <c r="BL733" s="480"/>
    </row>
    <row r="734" spans="1:64">
      <c r="A734" s="468">
        <v>44525</v>
      </c>
      <c r="B734" s="473">
        <v>329</v>
      </c>
      <c r="C734" s="473">
        <v>36</v>
      </c>
      <c r="D734" s="470" t="s">
        <v>637</v>
      </c>
      <c r="E734" s="469">
        <v>47</v>
      </c>
      <c r="F734" s="470" t="s">
        <v>6714</v>
      </c>
      <c r="G734" s="469">
        <v>535</v>
      </c>
      <c r="H734" s="470" t="s">
        <v>967</v>
      </c>
      <c r="I734" s="470" t="s">
        <v>836</v>
      </c>
      <c r="J734" s="469">
        <v>6</v>
      </c>
      <c r="K734" s="470" t="s">
        <v>6261</v>
      </c>
      <c r="L734" s="470" t="s">
        <v>6277</v>
      </c>
      <c r="M734" s="470" t="s">
        <v>9</v>
      </c>
      <c r="N734" s="473">
        <v>0</v>
      </c>
      <c r="O734" s="471"/>
      <c r="P734" s="471"/>
      <c r="Q734" s="471"/>
      <c r="R734" s="470"/>
      <c r="S734" s="471">
        <v>0.22124999999999997</v>
      </c>
      <c r="T734" s="471">
        <v>0.28791666666666665</v>
      </c>
      <c r="U734" s="471"/>
      <c r="V734" s="471"/>
      <c r="W734" s="471">
        <v>0.4881712962962963</v>
      </c>
      <c r="X734" s="471">
        <v>0.68842592592592589</v>
      </c>
      <c r="Y734" s="471">
        <v>0.90833333333333333</v>
      </c>
      <c r="Z734" s="471">
        <v>0.18541666666666667</v>
      </c>
      <c r="AA734" s="471">
        <v>0.50208333333333333</v>
      </c>
      <c r="AB734" s="470" t="s">
        <v>6462</v>
      </c>
      <c r="AC734" s="473">
        <v>129</v>
      </c>
      <c r="AD734" s="470" t="s">
        <v>116</v>
      </c>
      <c r="AE734" s="470"/>
      <c r="AF734" s="473">
        <v>55.5</v>
      </c>
      <c r="AG734" s="469">
        <v>94.5</v>
      </c>
      <c r="AH734" s="470" t="s">
        <v>6292</v>
      </c>
      <c r="AI734" s="470" t="s">
        <v>6319</v>
      </c>
      <c r="AJ734" s="470" t="s">
        <v>6493</v>
      </c>
      <c r="AK734" s="470" t="s">
        <v>6493</v>
      </c>
      <c r="AL734" s="470"/>
      <c r="AM734" s="470"/>
      <c r="AN734" s="470"/>
      <c r="AO734" s="470"/>
      <c r="AP734" s="470"/>
      <c r="AQ734" s="470"/>
      <c r="AR734" s="470"/>
      <c r="AS734" s="470"/>
      <c r="AT734" s="470"/>
      <c r="AU734" s="470"/>
      <c r="AV734" s="470"/>
      <c r="AW734" s="470"/>
      <c r="AX734" s="470"/>
      <c r="AY734" s="470"/>
      <c r="AZ734" s="470"/>
      <c r="BA734" s="470"/>
      <c r="BB734" s="470"/>
      <c r="BC734" s="470"/>
      <c r="BD734" s="470"/>
      <c r="BE734" s="470"/>
      <c r="BF734" s="470"/>
      <c r="BG734" s="470"/>
      <c r="BH734" s="470"/>
      <c r="BI734" s="470"/>
      <c r="BJ734" s="470"/>
      <c r="BK734" s="470"/>
      <c r="BL734" s="474"/>
    </row>
    <row r="735" spans="1:64">
      <c r="A735" s="475">
        <v>44526</v>
      </c>
      <c r="B735" s="478">
        <v>330</v>
      </c>
      <c r="C735" s="478">
        <v>35</v>
      </c>
      <c r="D735" s="476" t="s">
        <v>637</v>
      </c>
      <c r="E735" s="477">
        <v>47</v>
      </c>
      <c r="F735" s="476" t="s">
        <v>100</v>
      </c>
      <c r="G735" s="477">
        <v>535</v>
      </c>
      <c r="H735" s="476" t="s">
        <v>967</v>
      </c>
      <c r="I735" s="476" t="s">
        <v>836</v>
      </c>
      <c r="J735" s="477">
        <v>7</v>
      </c>
      <c r="K735" s="476" t="s">
        <v>6262</v>
      </c>
      <c r="L735" s="476" t="s">
        <v>6278</v>
      </c>
      <c r="M735" s="476" t="s">
        <v>9</v>
      </c>
      <c r="N735" s="478">
        <v>0</v>
      </c>
      <c r="O735" s="479"/>
      <c r="P735" s="479"/>
      <c r="Q735" s="479"/>
      <c r="R735" s="476"/>
      <c r="S735" s="479">
        <v>0.22200231481481481</v>
      </c>
      <c r="T735" s="479">
        <v>0.28866898148148151</v>
      </c>
      <c r="U735" s="479"/>
      <c r="V735" s="479"/>
      <c r="W735" s="479">
        <v>0.4883912037037037</v>
      </c>
      <c r="X735" s="479">
        <v>0.68811342592592595</v>
      </c>
      <c r="Y735" s="479">
        <v>0.95347222222222217</v>
      </c>
      <c r="Z735" s="479">
        <v>0.21875</v>
      </c>
      <c r="AA735" s="479">
        <v>0.52361111111111114</v>
      </c>
      <c r="AB735" s="476" t="s">
        <v>6462</v>
      </c>
      <c r="AC735" s="478">
        <v>129</v>
      </c>
      <c r="AD735" s="476" t="s">
        <v>116</v>
      </c>
      <c r="AE735" s="476"/>
      <c r="AF735" s="478">
        <v>50.3</v>
      </c>
      <c r="AG735" s="477">
        <v>87.5</v>
      </c>
      <c r="AH735" s="476" t="s">
        <v>6293</v>
      </c>
      <c r="AI735" s="476" t="s">
        <v>6341</v>
      </c>
      <c r="AJ735" s="476" t="s">
        <v>6493</v>
      </c>
      <c r="AK735" s="476" t="s">
        <v>6493</v>
      </c>
      <c r="AL735" s="476"/>
      <c r="AM735" s="476"/>
      <c r="AN735" s="476"/>
      <c r="AO735" s="476"/>
      <c r="AP735" s="476"/>
      <c r="AQ735" s="476"/>
      <c r="AR735" s="476"/>
      <c r="AS735" s="476"/>
      <c r="AT735" s="476"/>
      <c r="AU735" s="476"/>
      <c r="AV735" s="476"/>
      <c r="AW735" s="476"/>
      <c r="AX735" s="476"/>
      <c r="AY735" s="476"/>
      <c r="AZ735" s="476"/>
      <c r="BA735" s="476"/>
      <c r="BB735" s="476"/>
      <c r="BC735" s="476"/>
      <c r="BD735" s="476"/>
      <c r="BE735" s="476"/>
      <c r="BF735" s="476"/>
      <c r="BG735" s="476"/>
      <c r="BH735" s="476"/>
      <c r="BI735" s="476"/>
      <c r="BJ735" s="476"/>
      <c r="BK735" s="476"/>
      <c r="BL735" s="480"/>
    </row>
    <row r="736" spans="1:64">
      <c r="A736" s="468">
        <v>44527</v>
      </c>
      <c r="B736" s="473">
        <v>331</v>
      </c>
      <c r="C736" s="473">
        <v>34</v>
      </c>
      <c r="D736" s="470" t="s">
        <v>637</v>
      </c>
      <c r="E736" s="469">
        <v>47</v>
      </c>
      <c r="F736" s="470" t="s">
        <v>103</v>
      </c>
      <c r="G736" s="469">
        <v>535</v>
      </c>
      <c r="H736" s="470" t="s">
        <v>967</v>
      </c>
      <c r="I736" s="470" t="s">
        <v>836</v>
      </c>
      <c r="J736" s="469">
        <v>8</v>
      </c>
      <c r="K736" s="470" t="s">
        <v>6263</v>
      </c>
      <c r="L736" s="470" t="s">
        <v>6279</v>
      </c>
      <c r="M736" s="470" t="s">
        <v>9</v>
      </c>
      <c r="N736" s="473">
        <v>0</v>
      </c>
      <c r="O736" s="471"/>
      <c r="P736" s="471"/>
      <c r="Q736" s="471"/>
      <c r="R736" s="470"/>
      <c r="S736" s="471">
        <v>0.22275462962962964</v>
      </c>
      <c r="T736" s="471">
        <v>0.28942129629629632</v>
      </c>
      <c r="U736" s="471"/>
      <c r="V736" s="471"/>
      <c r="W736" s="471">
        <v>0.4886226851851852</v>
      </c>
      <c r="X736" s="471">
        <v>0.68782407407407409</v>
      </c>
      <c r="Y736" s="471">
        <v>0.99930555555555556</v>
      </c>
      <c r="Z736" s="471">
        <v>0.25069444444444444</v>
      </c>
      <c r="AA736" s="471">
        <v>0.54375000000000007</v>
      </c>
      <c r="AB736" s="470" t="s">
        <v>6289</v>
      </c>
      <c r="AC736" s="473">
        <v>131</v>
      </c>
      <c r="AD736" s="470" t="s">
        <v>119</v>
      </c>
      <c r="AE736" s="470" t="s">
        <v>6641</v>
      </c>
      <c r="AF736" s="473">
        <v>47.7</v>
      </c>
      <c r="AG736" s="469">
        <v>82.7</v>
      </c>
      <c r="AH736" s="470" t="s">
        <v>6294</v>
      </c>
      <c r="AI736" s="470" t="s">
        <v>6320</v>
      </c>
      <c r="AJ736" s="470" t="s">
        <v>6493</v>
      </c>
      <c r="AK736" s="470" t="s">
        <v>6493</v>
      </c>
      <c r="AL736" s="470"/>
      <c r="AM736" s="470"/>
      <c r="AN736" s="470"/>
      <c r="AO736" s="470"/>
      <c r="AP736" s="470"/>
      <c r="AQ736" s="470"/>
      <c r="AR736" s="470"/>
      <c r="AS736" s="470"/>
      <c r="AT736" s="470"/>
      <c r="AU736" s="470"/>
      <c r="AV736" s="470"/>
      <c r="AW736" s="470"/>
      <c r="AX736" s="470"/>
      <c r="AY736" s="470"/>
      <c r="AZ736" s="470"/>
      <c r="BA736" s="470"/>
      <c r="BB736" s="470"/>
      <c r="BC736" s="470"/>
      <c r="BD736" s="470"/>
      <c r="BE736" s="470"/>
      <c r="BF736" s="470"/>
      <c r="BG736" s="470"/>
      <c r="BH736" s="470"/>
      <c r="BI736" s="470"/>
      <c r="BJ736" s="470"/>
      <c r="BK736" s="470"/>
      <c r="BL736" s="474"/>
    </row>
    <row r="737" spans="1:64">
      <c r="A737" s="475">
        <v>44528</v>
      </c>
      <c r="B737" s="478">
        <v>332</v>
      </c>
      <c r="C737" s="478">
        <v>33</v>
      </c>
      <c r="D737" s="476" t="s">
        <v>637</v>
      </c>
      <c r="E737" s="477">
        <v>47</v>
      </c>
      <c r="F737" s="476" t="s">
        <v>106</v>
      </c>
      <c r="G737" s="477">
        <v>535</v>
      </c>
      <c r="H737" s="476" t="s">
        <v>967</v>
      </c>
      <c r="I737" s="476" t="s">
        <v>836</v>
      </c>
      <c r="J737" s="477">
        <v>9</v>
      </c>
      <c r="K737" s="476" t="s">
        <v>6264</v>
      </c>
      <c r="L737" s="476" t="s">
        <v>6280</v>
      </c>
      <c r="M737" s="476" t="s">
        <v>9</v>
      </c>
      <c r="N737" s="478">
        <v>0</v>
      </c>
      <c r="O737" s="479"/>
      <c r="P737" s="479"/>
      <c r="Q737" s="479"/>
      <c r="R737" s="476"/>
      <c r="S737" s="479">
        <v>0.22349537037037037</v>
      </c>
      <c r="T737" s="479">
        <v>0.29016203703703702</v>
      </c>
      <c r="U737" s="479"/>
      <c r="V737" s="479"/>
      <c r="W737" s="479">
        <v>0.4888657407407408</v>
      </c>
      <c r="X737" s="479">
        <v>0.68756944444444434</v>
      </c>
      <c r="Y737" s="479" t="s">
        <v>1107</v>
      </c>
      <c r="Z737" s="479">
        <v>0.28263888888888888</v>
      </c>
      <c r="AA737" s="479">
        <v>0.56111111111111112</v>
      </c>
      <c r="AB737" s="476" t="s">
        <v>6289</v>
      </c>
      <c r="AC737" s="478">
        <v>131</v>
      </c>
      <c r="AD737" s="476" t="s">
        <v>119</v>
      </c>
      <c r="AE737" s="476"/>
      <c r="AF737" s="478">
        <v>48.1</v>
      </c>
      <c r="AG737" s="477">
        <v>80.7</v>
      </c>
      <c r="AH737" s="476" t="s">
        <v>6295</v>
      </c>
      <c r="AI737" s="476" t="s">
        <v>6321</v>
      </c>
      <c r="AJ737" s="476" t="s">
        <v>6493</v>
      </c>
      <c r="AK737" s="476" t="s">
        <v>6493</v>
      </c>
      <c r="AL737" s="476"/>
      <c r="AM737" s="476"/>
      <c r="AN737" s="476"/>
      <c r="AO737" s="476"/>
      <c r="AP737" s="476"/>
      <c r="AQ737" s="476"/>
      <c r="AR737" s="476"/>
      <c r="AS737" s="476"/>
      <c r="AT737" s="476"/>
      <c r="AU737" s="476"/>
      <c r="AV737" s="476"/>
      <c r="AW737" s="476"/>
      <c r="AX737" s="476"/>
      <c r="AY737" s="476"/>
      <c r="AZ737" s="476"/>
      <c r="BA737" s="476"/>
      <c r="BB737" s="476"/>
      <c r="BC737" s="476"/>
      <c r="BD737" s="476"/>
      <c r="BE737" s="476"/>
      <c r="BF737" s="476"/>
      <c r="BG737" s="476"/>
      <c r="BH737" s="476"/>
      <c r="BI737" s="476"/>
      <c r="BJ737" s="476"/>
      <c r="BK737" s="476"/>
      <c r="BL737" s="480"/>
    </row>
    <row r="738" spans="1:64">
      <c r="A738" s="468">
        <v>44529</v>
      </c>
      <c r="B738" s="473">
        <v>333</v>
      </c>
      <c r="C738" s="473">
        <v>32</v>
      </c>
      <c r="D738" s="470" t="s">
        <v>637</v>
      </c>
      <c r="E738" s="469">
        <v>48</v>
      </c>
      <c r="F738" s="470" t="s">
        <v>88</v>
      </c>
      <c r="G738" s="469">
        <v>535</v>
      </c>
      <c r="H738" s="470" t="s">
        <v>967</v>
      </c>
      <c r="I738" s="470" t="s">
        <v>836</v>
      </c>
      <c r="J738" s="469">
        <v>10</v>
      </c>
      <c r="K738" s="470" t="s">
        <v>6265</v>
      </c>
      <c r="L738" s="470" t="s">
        <v>6281</v>
      </c>
      <c r="M738" s="470" t="s">
        <v>9</v>
      </c>
      <c r="N738" s="473">
        <v>0</v>
      </c>
      <c r="O738" s="471"/>
      <c r="P738" s="471"/>
      <c r="Q738" s="471"/>
      <c r="R738" s="470"/>
      <c r="S738" s="471">
        <v>0.22422453703703704</v>
      </c>
      <c r="T738" s="471">
        <v>0.29089120370370369</v>
      </c>
      <c r="U738" s="471"/>
      <c r="V738" s="471"/>
      <c r="W738" s="471">
        <v>0.48910879629629633</v>
      </c>
      <c r="X738" s="471">
        <v>0.68732638888888886</v>
      </c>
      <c r="Y738" s="471">
        <v>4.6527777777777779E-2</v>
      </c>
      <c r="Z738" s="471">
        <v>0.31458333333333333</v>
      </c>
      <c r="AA738" s="471">
        <v>0.57847222222222217</v>
      </c>
      <c r="AB738" s="470" t="s">
        <v>6289</v>
      </c>
      <c r="AC738" s="473">
        <v>131</v>
      </c>
      <c r="AD738" s="470" t="s">
        <v>119</v>
      </c>
      <c r="AE738" s="470"/>
      <c r="AF738" s="473">
        <v>52.1</v>
      </c>
      <c r="AG738" s="469">
        <v>81.8</v>
      </c>
      <c r="AH738" s="470" t="s">
        <v>6296</v>
      </c>
      <c r="AI738" s="470" t="s">
        <v>6322</v>
      </c>
      <c r="AJ738" s="470" t="s">
        <v>6493</v>
      </c>
      <c r="AK738" s="470" t="s">
        <v>6493</v>
      </c>
      <c r="AL738" s="470"/>
      <c r="AM738" s="470"/>
      <c r="AN738" s="470"/>
      <c r="AO738" s="470"/>
      <c r="AP738" s="470"/>
      <c r="AQ738" s="470"/>
      <c r="AR738" s="470"/>
      <c r="AS738" s="470"/>
      <c r="AT738" s="470"/>
      <c r="AU738" s="470"/>
      <c r="AV738" s="470"/>
      <c r="AW738" s="470"/>
      <c r="AX738" s="470"/>
      <c r="AY738" s="470"/>
      <c r="AZ738" s="470"/>
      <c r="BA738" s="470"/>
      <c r="BB738" s="470"/>
      <c r="BC738" s="470"/>
      <c r="BD738" s="470"/>
      <c r="BE738" s="470"/>
      <c r="BF738" s="470"/>
      <c r="BG738" s="470"/>
      <c r="BH738" s="470"/>
      <c r="BI738" s="470"/>
      <c r="BJ738" s="470"/>
      <c r="BK738" s="470"/>
      <c r="BL738" s="474"/>
    </row>
    <row r="739" spans="1:64">
      <c r="A739" s="475">
        <v>44530</v>
      </c>
      <c r="B739" s="478">
        <v>334</v>
      </c>
      <c r="C739" s="478">
        <v>31</v>
      </c>
      <c r="D739" s="476" t="s">
        <v>637</v>
      </c>
      <c r="E739" s="477">
        <v>48</v>
      </c>
      <c r="F739" s="476" t="s">
        <v>91</v>
      </c>
      <c r="G739" s="477">
        <v>535</v>
      </c>
      <c r="H739" s="476" t="s">
        <v>967</v>
      </c>
      <c r="I739" s="476" t="s">
        <v>836</v>
      </c>
      <c r="J739" s="477">
        <v>11</v>
      </c>
      <c r="K739" s="476" t="s">
        <v>6271</v>
      </c>
      <c r="L739" s="476" t="s">
        <v>6282</v>
      </c>
      <c r="M739" s="476" t="s">
        <v>9</v>
      </c>
      <c r="N739" s="478">
        <v>0</v>
      </c>
      <c r="O739" s="479"/>
      <c r="P739" s="479"/>
      <c r="Q739" s="479"/>
      <c r="R739" s="476"/>
      <c r="S739" s="479">
        <v>0.22495370370370371</v>
      </c>
      <c r="T739" s="479">
        <v>0.29162037037037036</v>
      </c>
      <c r="U739" s="479"/>
      <c r="V739" s="479"/>
      <c r="W739" s="479">
        <v>0.48936342592592591</v>
      </c>
      <c r="X739" s="479">
        <v>0.68711805555555561</v>
      </c>
      <c r="Y739" s="479">
        <v>9.5138888888888884E-2</v>
      </c>
      <c r="Z739" s="479">
        <v>0.34652777777777777</v>
      </c>
      <c r="AA739" s="479">
        <v>0.59652777777777777</v>
      </c>
      <c r="AB739" s="476" t="s">
        <v>6289</v>
      </c>
      <c r="AC739" s="478">
        <v>131</v>
      </c>
      <c r="AD739" s="476" t="s">
        <v>119</v>
      </c>
      <c r="AE739" s="476"/>
      <c r="AF739" s="478">
        <v>59.7</v>
      </c>
      <c r="AG739" s="477">
        <v>86.3</v>
      </c>
      <c r="AH739" s="476" t="s">
        <v>6297</v>
      </c>
      <c r="AI739" s="476" t="s">
        <v>6323</v>
      </c>
      <c r="AJ739" s="476" t="s">
        <v>838</v>
      </c>
      <c r="AK739" s="476" t="s">
        <v>13</v>
      </c>
      <c r="AL739" s="476" t="s">
        <v>6849</v>
      </c>
      <c r="AM739" s="476" t="s">
        <v>6342</v>
      </c>
      <c r="AN739" s="476" t="s">
        <v>6981</v>
      </c>
      <c r="AO739" s="476" t="s">
        <v>6351</v>
      </c>
      <c r="AP739" s="476" t="s">
        <v>7045</v>
      </c>
      <c r="AQ739" s="476" t="s">
        <v>6346</v>
      </c>
      <c r="AR739" s="476"/>
      <c r="AS739" s="476"/>
      <c r="AT739" s="476"/>
      <c r="AU739" s="476"/>
      <c r="AV739" s="476"/>
      <c r="AW739" s="476"/>
      <c r="AX739" s="476"/>
      <c r="AY739" s="476"/>
      <c r="AZ739" s="476"/>
      <c r="BA739" s="476"/>
      <c r="BB739" s="476"/>
      <c r="BC739" s="476"/>
      <c r="BD739" s="476"/>
      <c r="BE739" s="476"/>
      <c r="BF739" s="476"/>
      <c r="BG739" s="476"/>
      <c r="BH739" s="476"/>
      <c r="BI739" s="476"/>
      <c r="BJ739" s="476" t="s">
        <v>6417</v>
      </c>
      <c r="BK739" s="476"/>
      <c r="BL739" s="480"/>
    </row>
    <row r="740" spans="1:64">
      <c r="A740" s="468">
        <v>44531</v>
      </c>
      <c r="B740" s="473">
        <v>335</v>
      </c>
      <c r="C740" s="473">
        <v>30</v>
      </c>
      <c r="D740" s="470" t="s">
        <v>640</v>
      </c>
      <c r="E740" s="469">
        <v>48</v>
      </c>
      <c r="F740" s="470" t="s">
        <v>94</v>
      </c>
      <c r="G740" s="469">
        <v>535</v>
      </c>
      <c r="H740" s="470" t="s">
        <v>967</v>
      </c>
      <c r="I740" s="470" t="s">
        <v>836</v>
      </c>
      <c r="J740" s="469">
        <v>12</v>
      </c>
      <c r="K740" s="470" t="s">
        <v>6266</v>
      </c>
      <c r="L740" s="470" t="s">
        <v>6283</v>
      </c>
      <c r="M740" s="470" t="s">
        <v>9</v>
      </c>
      <c r="N740" s="473">
        <v>0</v>
      </c>
      <c r="O740" s="471"/>
      <c r="P740" s="471"/>
      <c r="Q740" s="471"/>
      <c r="R740" s="470"/>
      <c r="S740" s="471">
        <v>0.22565972222222222</v>
      </c>
      <c r="T740" s="471">
        <v>0.2923263888888889</v>
      </c>
      <c r="U740" s="471">
        <v>0.29166666666666669</v>
      </c>
      <c r="V740" s="471">
        <v>0.4236111111111111</v>
      </c>
      <c r="W740" s="471">
        <v>0.48962962962962964</v>
      </c>
      <c r="X740" s="471">
        <v>0.68693287037037043</v>
      </c>
      <c r="Y740" s="471">
        <v>0.14583333333333334</v>
      </c>
      <c r="Z740" s="471">
        <v>0.38125000000000003</v>
      </c>
      <c r="AA740" s="471">
        <v>0.61597222222222225</v>
      </c>
      <c r="AB740" s="470" t="s">
        <v>6289</v>
      </c>
      <c r="AC740" s="473">
        <v>131</v>
      </c>
      <c r="AD740" s="470" t="s">
        <v>119</v>
      </c>
      <c r="AE740" s="470"/>
      <c r="AF740" s="473">
        <v>71.099999999999994</v>
      </c>
      <c r="AG740" s="469">
        <v>94.1</v>
      </c>
      <c r="AH740" s="470" t="s">
        <v>6298</v>
      </c>
      <c r="AI740" s="470" t="s">
        <v>6324</v>
      </c>
      <c r="AJ740" s="470" t="s">
        <v>839</v>
      </c>
      <c r="AK740" s="470" t="s">
        <v>6493</v>
      </c>
      <c r="AL740" s="470" t="s">
        <v>6887</v>
      </c>
      <c r="AM740" s="470" t="s">
        <v>6343</v>
      </c>
      <c r="AN740" s="470" t="s">
        <v>6977</v>
      </c>
      <c r="AO740" s="470" t="s">
        <v>6346</v>
      </c>
      <c r="AP740" s="470"/>
      <c r="AQ740" s="470"/>
      <c r="AR740" s="470"/>
      <c r="AS740" s="470"/>
      <c r="AT740" s="470"/>
      <c r="AU740" s="470"/>
      <c r="AV740" s="470"/>
      <c r="AW740" s="470"/>
      <c r="AX740" s="470"/>
      <c r="AY740" s="470"/>
      <c r="AZ740" s="470"/>
      <c r="BA740" s="470"/>
      <c r="BB740" s="470"/>
      <c r="BC740" s="470"/>
      <c r="BD740" s="470"/>
      <c r="BE740" s="470"/>
      <c r="BF740" s="470"/>
      <c r="BG740" s="470"/>
      <c r="BH740" s="470"/>
      <c r="BI740" s="470"/>
      <c r="BJ740" s="470" t="s">
        <v>6418</v>
      </c>
      <c r="BK740" s="470"/>
      <c r="BL740" s="474"/>
    </row>
    <row r="741" spans="1:64">
      <c r="A741" s="475">
        <v>44532</v>
      </c>
      <c r="B741" s="478">
        <v>336</v>
      </c>
      <c r="C741" s="478">
        <v>29</v>
      </c>
      <c r="D741" s="476" t="s">
        <v>640</v>
      </c>
      <c r="E741" s="477">
        <v>48</v>
      </c>
      <c r="F741" s="476" t="s">
        <v>6714</v>
      </c>
      <c r="G741" s="477">
        <v>535</v>
      </c>
      <c r="H741" s="476" t="s">
        <v>967</v>
      </c>
      <c r="I741" s="476" t="s">
        <v>836</v>
      </c>
      <c r="J741" s="477">
        <v>13</v>
      </c>
      <c r="K741" s="476" t="s">
        <v>6267</v>
      </c>
      <c r="L741" s="476" t="s">
        <v>6284</v>
      </c>
      <c r="M741" s="476" t="s">
        <v>9</v>
      </c>
      <c r="N741" s="478">
        <v>0</v>
      </c>
      <c r="O741" s="479"/>
      <c r="P741" s="479"/>
      <c r="Q741" s="479"/>
      <c r="R741" s="476"/>
      <c r="S741" s="479">
        <v>0.22636574074074076</v>
      </c>
      <c r="T741" s="479">
        <v>0.29303240740740738</v>
      </c>
      <c r="U741" s="479"/>
      <c r="V741" s="479"/>
      <c r="W741" s="479">
        <v>0.4899074074074074</v>
      </c>
      <c r="X741" s="479">
        <v>0.68678240740740737</v>
      </c>
      <c r="Y741" s="479">
        <v>0.19930555555555554</v>
      </c>
      <c r="Z741" s="479">
        <v>0.41875000000000001</v>
      </c>
      <c r="AA741" s="479">
        <v>0.63750000000000007</v>
      </c>
      <c r="AB741" s="476" t="s">
        <v>6289</v>
      </c>
      <c r="AC741" s="478">
        <v>131</v>
      </c>
      <c r="AD741" s="476" t="s">
        <v>119</v>
      </c>
      <c r="AE741" s="476"/>
      <c r="AF741" s="478">
        <v>85.7</v>
      </c>
      <c r="AG741" s="477">
        <v>4.9000000000000004</v>
      </c>
      <c r="AH741" s="476" t="s">
        <v>6300</v>
      </c>
      <c r="AI741" s="476" t="s">
        <v>6326</v>
      </c>
      <c r="AJ741" s="476" t="s">
        <v>839</v>
      </c>
      <c r="AK741" s="476" t="s">
        <v>6493</v>
      </c>
      <c r="AL741" s="476" t="s">
        <v>6715</v>
      </c>
      <c r="AM741" s="476" t="s">
        <v>6346</v>
      </c>
      <c r="AN741" s="476"/>
      <c r="AO741" s="476"/>
      <c r="AP741" s="476"/>
      <c r="AQ741" s="476"/>
      <c r="AR741" s="476"/>
      <c r="AS741" s="476"/>
      <c r="AT741" s="476"/>
      <c r="AU741" s="476"/>
      <c r="AV741" s="476"/>
      <c r="AW741" s="476"/>
      <c r="AX741" s="476"/>
      <c r="AY741" s="476"/>
      <c r="AZ741" s="476"/>
      <c r="BA741" s="476"/>
      <c r="BB741" s="476"/>
      <c r="BC741" s="476"/>
      <c r="BD741" s="476"/>
      <c r="BE741" s="476"/>
      <c r="BF741" s="476"/>
      <c r="BG741" s="476"/>
      <c r="BH741" s="476"/>
      <c r="BI741" s="476"/>
      <c r="BJ741" s="476" t="s">
        <v>6353</v>
      </c>
      <c r="BK741" s="476"/>
      <c r="BL741" s="480"/>
    </row>
    <row r="742" spans="1:64">
      <c r="A742" s="468">
        <v>44533</v>
      </c>
      <c r="B742" s="473">
        <v>337</v>
      </c>
      <c r="C742" s="473">
        <v>28</v>
      </c>
      <c r="D742" s="470" t="s">
        <v>640</v>
      </c>
      <c r="E742" s="469">
        <v>48</v>
      </c>
      <c r="F742" s="470" t="s">
        <v>100</v>
      </c>
      <c r="G742" s="469">
        <v>535</v>
      </c>
      <c r="H742" s="470" t="s">
        <v>967</v>
      </c>
      <c r="I742" s="470" t="s">
        <v>836</v>
      </c>
      <c r="J742" s="469">
        <v>15</v>
      </c>
      <c r="K742" s="470" t="s">
        <v>6269</v>
      </c>
      <c r="L742" s="470" t="s">
        <v>6285</v>
      </c>
      <c r="M742" s="470" t="s">
        <v>9</v>
      </c>
      <c r="N742" s="473">
        <v>0</v>
      </c>
      <c r="O742" s="471">
        <v>0.41597222222222219</v>
      </c>
      <c r="P742" s="471">
        <v>0.26944444444444443</v>
      </c>
      <c r="Q742" s="471"/>
      <c r="R742" s="470"/>
      <c r="S742" s="471">
        <v>0.2270486111111111</v>
      </c>
      <c r="T742" s="471">
        <v>0.29371527777777778</v>
      </c>
      <c r="U742" s="471"/>
      <c r="V742" s="471"/>
      <c r="W742" s="471">
        <v>0.49018518518518522</v>
      </c>
      <c r="X742" s="471">
        <v>0.68664351851851846</v>
      </c>
      <c r="Y742" s="471">
        <v>0.25486111111111109</v>
      </c>
      <c r="Z742" s="471">
        <v>0.4604166666666667</v>
      </c>
      <c r="AA742" s="471">
        <v>0.66527777777777775</v>
      </c>
      <c r="AB742" s="470" t="s">
        <v>6289</v>
      </c>
      <c r="AC742" s="473">
        <v>131</v>
      </c>
      <c r="AD742" s="470" t="s">
        <v>119</v>
      </c>
      <c r="AE742" s="470"/>
      <c r="AF742" s="473">
        <v>2.8</v>
      </c>
      <c r="AG742" s="469">
        <v>17.899999999999999</v>
      </c>
      <c r="AH742" s="470" t="s">
        <v>6301</v>
      </c>
      <c r="AI742" s="470" t="s">
        <v>6327</v>
      </c>
      <c r="AJ742" s="470" t="s">
        <v>6493</v>
      </c>
      <c r="AK742" s="470" t="s">
        <v>6493</v>
      </c>
      <c r="AL742" s="470" t="s">
        <v>6888</v>
      </c>
      <c r="AM742" s="470"/>
      <c r="AN742" s="470"/>
      <c r="AO742" s="470"/>
      <c r="AP742" s="470"/>
      <c r="AQ742" s="470"/>
      <c r="AR742" s="470"/>
      <c r="AS742" s="470"/>
      <c r="AT742" s="470"/>
      <c r="AU742" s="470"/>
      <c r="AV742" s="470"/>
      <c r="AW742" s="470"/>
      <c r="AX742" s="470"/>
      <c r="AY742" s="470"/>
      <c r="AZ742" s="470"/>
      <c r="BA742" s="470"/>
      <c r="BB742" s="470"/>
      <c r="BC742" s="470"/>
      <c r="BD742" s="470"/>
      <c r="BE742" s="470"/>
      <c r="BF742" s="470"/>
      <c r="BG742" s="470"/>
      <c r="BH742" s="470"/>
      <c r="BI742" s="470"/>
      <c r="BJ742" s="470"/>
      <c r="BK742" s="470"/>
      <c r="BL742" s="474"/>
    </row>
    <row r="743" spans="1:64">
      <c r="A743" s="475">
        <v>44534</v>
      </c>
      <c r="B743" s="478">
        <v>338</v>
      </c>
      <c r="C743" s="478">
        <v>27</v>
      </c>
      <c r="D743" s="476" t="s">
        <v>640</v>
      </c>
      <c r="E743" s="477">
        <v>48</v>
      </c>
      <c r="F743" s="476" t="s">
        <v>103</v>
      </c>
      <c r="G743" s="477">
        <v>535</v>
      </c>
      <c r="H743" s="476" t="s">
        <v>967</v>
      </c>
      <c r="I743" s="476" t="s">
        <v>6257</v>
      </c>
      <c r="J743" s="477">
        <v>16</v>
      </c>
      <c r="K743" s="476" t="s">
        <v>6270</v>
      </c>
      <c r="L743" s="476" t="s">
        <v>6287</v>
      </c>
      <c r="M743" s="476" t="s">
        <v>9</v>
      </c>
      <c r="N743" s="478">
        <v>0</v>
      </c>
      <c r="O743" s="479"/>
      <c r="P743" s="479"/>
      <c r="Q743" s="479"/>
      <c r="R743" s="476"/>
      <c r="S743" s="479">
        <v>0.22771990740740741</v>
      </c>
      <c r="T743" s="479">
        <v>0.29438657407407409</v>
      </c>
      <c r="U743" s="479"/>
      <c r="V743" s="479"/>
      <c r="W743" s="479">
        <v>0.49046296296296293</v>
      </c>
      <c r="X743" s="479">
        <v>0.68653935185185189</v>
      </c>
      <c r="Y743" s="479">
        <v>0.31111111111111112</v>
      </c>
      <c r="Z743" s="479">
        <v>0.50486111111111109</v>
      </c>
      <c r="AA743" s="479">
        <v>0.69861111111111107</v>
      </c>
      <c r="AB743" s="476" t="s">
        <v>6463</v>
      </c>
      <c r="AC743" s="478">
        <v>152</v>
      </c>
      <c r="AD743" s="476" t="s">
        <v>110</v>
      </c>
      <c r="AE743" s="476" t="s">
        <v>6642</v>
      </c>
      <c r="AF743" s="478">
        <v>21.3</v>
      </c>
      <c r="AG743" s="477">
        <v>32.200000000000003</v>
      </c>
      <c r="AH743" s="476" t="s">
        <v>6302</v>
      </c>
      <c r="AI743" s="476" t="s">
        <v>6328</v>
      </c>
      <c r="AJ743" s="476" t="s">
        <v>6493</v>
      </c>
      <c r="AK743" s="476" t="s">
        <v>6493</v>
      </c>
      <c r="AL743" s="476"/>
      <c r="AM743" s="476"/>
      <c r="AN743" s="476"/>
      <c r="AO743" s="476"/>
      <c r="AP743" s="476"/>
      <c r="AQ743" s="476"/>
      <c r="AR743" s="476"/>
      <c r="AS743" s="476"/>
      <c r="AT743" s="476"/>
      <c r="AU743" s="476"/>
      <c r="AV743" s="476"/>
      <c r="AW743" s="476"/>
      <c r="AX743" s="476"/>
      <c r="AY743" s="476"/>
      <c r="AZ743" s="476"/>
      <c r="BA743" s="476"/>
      <c r="BB743" s="476"/>
      <c r="BC743" s="476"/>
      <c r="BD743" s="476"/>
      <c r="BE743" s="476"/>
      <c r="BF743" s="476"/>
      <c r="BG743" s="476"/>
      <c r="BH743" s="476"/>
      <c r="BI743" s="476"/>
      <c r="BJ743" s="476"/>
      <c r="BK743" s="476"/>
      <c r="BL743" s="480"/>
    </row>
    <row r="744" spans="1:64">
      <c r="A744" s="468">
        <v>44535</v>
      </c>
      <c r="B744" s="473">
        <v>339</v>
      </c>
      <c r="C744" s="473">
        <v>26</v>
      </c>
      <c r="D744" s="470" t="s">
        <v>640</v>
      </c>
      <c r="E744" s="469">
        <v>48</v>
      </c>
      <c r="F744" s="470" t="s">
        <v>106</v>
      </c>
      <c r="G744" s="469">
        <v>535</v>
      </c>
      <c r="H744" s="470" t="s">
        <v>967</v>
      </c>
      <c r="I744" s="470" t="s">
        <v>6257</v>
      </c>
      <c r="J744" s="469">
        <v>17</v>
      </c>
      <c r="K744" s="470" t="s">
        <v>1034</v>
      </c>
      <c r="L744" s="470" t="s">
        <v>6273</v>
      </c>
      <c r="M744" s="470" t="s">
        <v>9</v>
      </c>
      <c r="N744" s="473">
        <v>0</v>
      </c>
      <c r="O744" s="471"/>
      <c r="P744" s="471"/>
      <c r="Q744" s="471"/>
      <c r="R744" s="470"/>
      <c r="S744" s="471">
        <v>0.22837962962962963</v>
      </c>
      <c r="T744" s="471">
        <v>0.29504629629629631</v>
      </c>
      <c r="U744" s="471"/>
      <c r="V744" s="471"/>
      <c r="W744" s="471">
        <v>0.49075231481481479</v>
      </c>
      <c r="X744" s="471">
        <v>0.68646990740740732</v>
      </c>
      <c r="Y744" s="471">
        <v>0.36388888888888887</v>
      </c>
      <c r="Z744" s="471">
        <v>0.55208333333333337</v>
      </c>
      <c r="AA744" s="471">
        <v>0.7402777777777777</v>
      </c>
      <c r="AB744" s="470" t="s">
        <v>6463</v>
      </c>
      <c r="AC744" s="473">
        <v>152</v>
      </c>
      <c r="AD744" s="470" t="s">
        <v>110</v>
      </c>
      <c r="AE744" s="470"/>
      <c r="AF744" s="473">
        <v>39.799999999999997</v>
      </c>
      <c r="AG744" s="469">
        <v>46.4</v>
      </c>
      <c r="AH744" s="470" t="s">
        <v>6303</v>
      </c>
      <c r="AI744" s="470" t="s">
        <v>6329</v>
      </c>
      <c r="AJ744" s="470" t="s">
        <v>6493</v>
      </c>
      <c r="AK744" s="470" t="s">
        <v>6493</v>
      </c>
      <c r="AL744" s="470"/>
      <c r="AM744" s="470"/>
      <c r="AN744" s="470"/>
      <c r="AO744" s="470"/>
      <c r="AP744" s="470"/>
      <c r="AQ744" s="470"/>
      <c r="AR744" s="470"/>
      <c r="AS744" s="470"/>
      <c r="AT744" s="470"/>
      <c r="AU744" s="470"/>
      <c r="AV744" s="470"/>
      <c r="AW744" s="470"/>
      <c r="AX744" s="470"/>
      <c r="AY744" s="470"/>
      <c r="AZ744" s="470"/>
      <c r="BA744" s="470"/>
      <c r="BB744" s="470"/>
      <c r="BC744" s="470"/>
      <c r="BD744" s="470"/>
      <c r="BE744" s="470"/>
      <c r="BF744" s="470"/>
      <c r="BG744" s="470"/>
      <c r="BH744" s="470"/>
      <c r="BI744" s="470"/>
      <c r="BJ744" s="470"/>
      <c r="BK744" s="470"/>
      <c r="BL744" s="474"/>
    </row>
    <row r="745" spans="1:64">
      <c r="A745" s="475">
        <v>44536</v>
      </c>
      <c r="B745" s="478">
        <v>340</v>
      </c>
      <c r="C745" s="478">
        <v>25</v>
      </c>
      <c r="D745" s="476" t="s">
        <v>640</v>
      </c>
      <c r="E745" s="477">
        <v>49</v>
      </c>
      <c r="F745" s="476" t="s">
        <v>88</v>
      </c>
      <c r="G745" s="477">
        <v>535</v>
      </c>
      <c r="H745" s="476" t="s">
        <v>967</v>
      </c>
      <c r="I745" s="476" t="s">
        <v>6257</v>
      </c>
      <c r="J745" s="477">
        <v>18</v>
      </c>
      <c r="K745" s="476" t="s">
        <v>6258</v>
      </c>
      <c r="L745" s="476" t="s">
        <v>6274</v>
      </c>
      <c r="M745" s="476" t="s">
        <v>9</v>
      </c>
      <c r="N745" s="478">
        <v>0</v>
      </c>
      <c r="O745" s="479"/>
      <c r="P745" s="479"/>
      <c r="Q745" s="479"/>
      <c r="R745" s="476"/>
      <c r="S745" s="479">
        <v>0.2290277777777778</v>
      </c>
      <c r="T745" s="479">
        <v>0.29569444444444443</v>
      </c>
      <c r="U745" s="479"/>
      <c r="V745" s="479"/>
      <c r="W745" s="479">
        <v>0.49105324074074069</v>
      </c>
      <c r="X745" s="479">
        <v>0.68641203703703713</v>
      </c>
      <c r="Y745" s="479">
        <v>0.40972222222222227</v>
      </c>
      <c r="Z745" s="479">
        <v>0.55486111111111114</v>
      </c>
      <c r="AA745" s="479">
        <v>0.78749999999999998</v>
      </c>
      <c r="AB745" s="476" t="s">
        <v>6463</v>
      </c>
      <c r="AC745" s="478">
        <v>152</v>
      </c>
      <c r="AD745" s="476" t="s">
        <v>110</v>
      </c>
      <c r="AE745" s="476"/>
      <c r="AF745" s="478">
        <v>56.8</v>
      </c>
      <c r="AG745" s="477">
        <v>59.4</v>
      </c>
      <c r="AH745" s="476" t="s">
        <v>6304</v>
      </c>
      <c r="AI745" s="476" t="s">
        <v>6330</v>
      </c>
      <c r="AJ745" s="476" t="s">
        <v>6493</v>
      </c>
      <c r="AK745" s="476" t="s">
        <v>6493</v>
      </c>
      <c r="AL745" s="476"/>
      <c r="AM745" s="476"/>
      <c r="AN745" s="476"/>
      <c r="AO745" s="476"/>
      <c r="AP745" s="476"/>
      <c r="AQ745" s="476"/>
      <c r="AR745" s="476"/>
      <c r="AS745" s="476"/>
      <c r="AT745" s="476"/>
      <c r="AU745" s="476"/>
      <c r="AV745" s="476"/>
      <c r="AW745" s="476"/>
      <c r="AX745" s="476"/>
      <c r="AY745" s="476"/>
      <c r="AZ745" s="476"/>
      <c r="BA745" s="476"/>
      <c r="BB745" s="476"/>
      <c r="BC745" s="476"/>
      <c r="BD745" s="476"/>
      <c r="BE745" s="476"/>
      <c r="BF745" s="476"/>
      <c r="BG745" s="476"/>
      <c r="BH745" s="476"/>
      <c r="BI745" s="476"/>
      <c r="BJ745" s="476"/>
      <c r="BK745" s="476"/>
      <c r="BL745" s="480"/>
    </row>
    <row r="746" spans="1:64">
      <c r="A746" s="468">
        <v>44537</v>
      </c>
      <c r="B746" s="473">
        <v>341</v>
      </c>
      <c r="C746" s="473">
        <v>24</v>
      </c>
      <c r="D746" s="470" t="s">
        <v>640</v>
      </c>
      <c r="E746" s="469">
        <v>49</v>
      </c>
      <c r="F746" s="470" t="s">
        <v>91</v>
      </c>
      <c r="G746" s="469">
        <v>535</v>
      </c>
      <c r="H746" s="470" t="s">
        <v>967</v>
      </c>
      <c r="I746" s="470" t="s">
        <v>6257</v>
      </c>
      <c r="J746" s="469">
        <v>19</v>
      </c>
      <c r="K746" s="470" t="s">
        <v>6259</v>
      </c>
      <c r="L746" s="470" t="s">
        <v>6275</v>
      </c>
      <c r="M746" s="470" t="s">
        <v>9</v>
      </c>
      <c r="N746" s="473">
        <v>0</v>
      </c>
      <c r="O746" s="471"/>
      <c r="P746" s="471"/>
      <c r="Q746" s="471"/>
      <c r="R746" s="470"/>
      <c r="S746" s="471">
        <v>0.22965277777777779</v>
      </c>
      <c r="T746" s="471">
        <v>0.29631944444444441</v>
      </c>
      <c r="U746" s="471"/>
      <c r="V746" s="471"/>
      <c r="W746" s="471">
        <v>0.4913541666666667</v>
      </c>
      <c r="X746" s="471">
        <v>0.68638888888888883</v>
      </c>
      <c r="Y746" s="471">
        <v>0.44722222222222219</v>
      </c>
      <c r="Z746" s="471">
        <v>0.59930555555555554</v>
      </c>
      <c r="AA746" s="471">
        <v>0.83888888888888891</v>
      </c>
      <c r="AB746" s="470" t="s">
        <v>6463</v>
      </c>
      <c r="AC746" s="473">
        <v>152</v>
      </c>
      <c r="AD746" s="470" t="s">
        <v>110</v>
      </c>
      <c r="AE746" s="470"/>
      <c r="AF746" s="473">
        <v>71.400000000000006</v>
      </c>
      <c r="AG746" s="469">
        <v>70.099999999999994</v>
      </c>
      <c r="AH746" s="470" t="s">
        <v>6305</v>
      </c>
      <c r="AI746" s="470" t="s">
        <v>6332</v>
      </c>
      <c r="AJ746" s="470" t="s">
        <v>6493</v>
      </c>
      <c r="AK746" s="470" t="s">
        <v>6493</v>
      </c>
      <c r="AL746" s="470"/>
      <c r="AM746" s="470"/>
      <c r="AN746" s="470"/>
      <c r="AO746" s="470"/>
      <c r="AP746" s="470"/>
      <c r="AQ746" s="470"/>
      <c r="AR746" s="470"/>
      <c r="AS746" s="470"/>
      <c r="AT746" s="470"/>
      <c r="AU746" s="470"/>
      <c r="AV746" s="470"/>
      <c r="AW746" s="470"/>
      <c r="AX746" s="470"/>
      <c r="AY746" s="470"/>
      <c r="AZ746" s="470"/>
      <c r="BA746" s="470"/>
      <c r="BB746" s="470"/>
      <c r="BC746" s="470"/>
      <c r="BD746" s="470"/>
      <c r="BE746" s="470"/>
      <c r="BF746" s="470"/>
      <c r="BG746" s="470"/>
      <c r="BH746" s="470"/>
      <c r="BI746" s="470"/>
      <c r="BJ746" s="470"/>
      <c r="BK746" s="470"/>
      <c r="BL746" s="474"/>
    </row>
    <row r="747" spans="1:64">
      <c r="A747" s="475">
        <v>44538</v>
      </c>
      <c r="B747" s="478">
        <v>342</v>
      </c>
      <c r="C747" s="478">
        <v>23</v>
      </c>
      <c r="D747" s="476" t="s">
        <v>640</v>
      </c>
      <c r="E747" s="477">
        <v>49</v>
      </c>
      <c r="F747" s="476" t="s">
        <v>94</v>
      </c>
      <c r="G747" s="477">
        <v>535</v>
      </c>
      <c r="H747" s="476" t="s">
        <v>967</v>
      </c>
      <c r="I747" s="476" t="s">
        <v>6257</v>
      </c>
      <c r="J747" s="477">
        <v>20</v>
      </c>
      <c r="K747" s="476" t="s">
        <v>6260</v>
      </c>
      <c r="L747" s="476" t="s">
        <v>6276</v>
      </c>
      <c r="M747" s="476" t="s">
        <v>9</v>
      </c>
      <c r="N747" s="478">
        <v>0</v>
      </c>
      <c r="O747" s="479"/>
      <c r="P747" s="479"/>
      <c r="Q747" s="479"/>
      <c r="R747" s="476"/>
      <c r="S747" s="479">
        <v>0.23027777777777778</v>
      </c>
      <c r="T747" s="479">
        <v>0.29694444444444446</v>
      </c>
      <c r="U747" s="479"/>
      <c r="V747" s="479"/>
      <c r="W747" s="479">
        <v>0.4916666666666667</v>
      </c>
      <c r="X747" s="479">
        <v>0.68640046296296298</v>
      </c>
      <c r="Y747" s="479">
        <v>0.47569444444444442</v>
      </c>
      <c r="Z747" s="479">
        <v>0.64097222222222217</v>
      </c>
      <c r="AA747" s="479">
        <v>0.89027777777777783</v>
      </c>
      <c r="AB747" s="476" t="s">
        <v>6463</v>
      </c>
      <c r="AC747" s="478">
        <v>152</v>
      </c>
      <c r="AD747" s="476" t="s">
        <v>110</v>
      </c>
      <c r="AE747" s="476"/>
      <c r="AF747" s="478">
        <v>82.5</v>
      </c>
      <c r="AG747" s="477">
        <v>77.8</v>
      </c>
      <c r="AH747" s="476" t="s">
        <v>6306</v>
      </c>
      <c r="AI747" s="476" t="s">
        <v>6333</v>
      </c>
      <c r="AJ747" s="476" t="s">
        <v>6493</v>
      </c>
      <c r="AK747" s="476" t="s">
        <v>6493</v>
      </c>
      <c r="AL747" s="476"/>
      <c r="AM747" s="476"/>
      <c r="AN747" s="476"/>
      <c r="AO747" s="476"/>
      <c r="AP747" s="476"/>
      <c r="AQ747" s="476"/>
      <c r="AR747" s="476"/>
      <c r="AS747" s="476"/>
      <c r="AT747" s="476"/>
      <c r="AU747" s="476"/>
      <c r="AV747" s="476"/>
      <c r="AW747" s="476"/>
      <c r="AX747" s="476"/>
      <c r="AY747" s="476"/>
      <c r="AZ747" s="476"/>
      <c r="BA747" s="476"/>
      <c r="BB747" s="476"/>
      <c r="BC747" s="476"/>
      <c r="BD747" s="476"/>
      <c r="BE747" s="476"/>
      <c r="BF747" s="476"/>
      <c r="BG747" s="476"/>
      <c r="BH747" s="476"/>
      <c r="BI747" s="476"/>
      <c r="BJ747" s="476"/>
      <c r="BK747" s="476"/>
      <c r="BL747" s="480"/>
    </row>
    <row r="748" spans="1:64">
      <c r="A748" s="468">
        <v>44539</v>
      </c>
      <c r="B748" s="473">
        <v>343</v>
      </c>
      <c r="C748" s="473">
        <v>22</v>
      </c>
      <c r="D748" s="470" t="s">
        <v>640</v>
      </c>
      <c r="E748" s="469">
        <v>49</v>
      </c>
      <c r="F748" s="470" t="s">
        <v>6714</v>
      </c>
      <c r="G748" s="469">
        <v>535</v>
      </c>
      <c r="H748" s="470" t="s">
        <v>967</v>
      </c>
      <c r="I748" s="470" t="s">
        <v>6257</v>
      </c>
      <c r="J748" s="469">
        <v>21</v>
      </c>
      <c r="K748" s="470" t="s">
        <v>6261</v>
      </c>
      <c r="L748" s="470" t="s">
        <v>6277</v>
      </c>
      <c r="M748" s="470" t="s">
        <v>9</v>
      </c>
      <c r="N748" s="473">
        <v>0</v>
      </c>
      <c r="O748" s="471"/>
      <c r="P748" s="471"/>
      <c r="Q748" s="471"/>
      <c r="R748" s="470"/>
      <c r="S748" s="471">
        <v>0.23086805555555556</v>
      </c>
      <c r="T748" s="471">
        <v>0.29753472222222221</v>
      </c>
      <c r="U748" s="471"/>
      <c r="V748" s="471"/>
      <c r="W748" s="471">
        <v>0.49197916666666663</v>
      </c>
      <c r="X748" s="471">
        <v>0.68642361111111105</v>
      </c>
      <c r="Y748" s="471">
        <v>0.4993055555555555</v>
      </c>
      <c r="Z748" s="471">
        <v>0.71944444444444444</v>
      </c>
      <c r="AA748" s="471">
        <v>0.94027777777777777</v>
      </c>
      <c r="AB748" s="470" t="s">
        <v>6463</v>
      </c>
      <c r="AC748" s="473">
        <v>152</v>
      </c>
      <c r="AD748" s="470" t="s">
        <v>110</v>
      </c>
      <c r="AE748" s="470"/>
      <c r="AF748" s="473">
        <v>89.9</v>
      </c>
      <c r="AG748" s="469">
        <v>82</v>
      </c>
      <c r="AH748" s="470" t="s">
        <v>6307</v>
      </c>
      <c r="AI748" s="470" t="s">
        <v>6334</v>
      </c>
      <c r="AJ748" s="470" t="s">
        <v>839</v>
      </c>
      <c r="AK748" s="470" t="s">
        <v>6493</v>
      </c>
      <c r="AL748" s="470" t="s">
        <v>1217</v>
      </c>
      <c r="AM748" s="470" t="s">
        <v>6344</v>
      </c>
      <c r="AN748" s="470"/>
      <c r="AO748" s="470"/>
      <c r="AP748" s="470"/>
      <c r="AQ748" s="470"/>
      <c r="AR748" s="470"/>
      <c r="AS748" s="470"/>
      <c r="AT748" s="470"/>
      <c r="AU748" s="470"/>
      <c r="AV748" s="470"/>
      <c r="AW748" s="470"/>
      <c r="AX748" s="470"/>
      <c r="AY748" s="470"/>
      <c r="AZ748" s="470"/>
      <c r="BA748" s="470"/>
      <c r="BB748" s="470"/>
      <c r="BC748" s="470"/>
      <c r="BD748" s="470"/>
      <c r="BE748" s="470"/>
      <c r="BF748" s="470"/>
      <c r="BG748" s="470"/>
      <c r="BH748" s="470"/>
      <c r="BI748" s="470"/>
      <c r="BJ748" s="470" t="s">
        <v>6354</v>
      </c>
      <c r="BK748" s="470"/>
      <c r="BL748" s="474"/>
    </row>
    <row r="749" spans="1:64">
      <c r="A749" s="475">
        <v>44540</v>
      </c>
      <c r="B749" s="478">
        <v>344</v>
      </c>
      <c r="C749" s="478">
        <v>21</v>
      </c>
      <c r="D749" s="476" t="s">
        <v>640</v>
      </c>
      <c r="E749" s="477">
        <v>49</v>
      </c>
      <c r="F749" s="476" t="s">
        <v>100</v>
      </c>
      <c r="G749" s="477">
        <v>535</v>
      </c>
      <c r="H749" s="476" t="s">
        <v>967</v>
      </c>
      <c r="I749" s="476" t="s">
        <v>6257</v>
      </c>
      <c r="J749" s="477">
        <v>22</v>
      </c>
      <c r="K749" s="476" t="s">
        <v>6262</v>
      </c>
      <c r="L749" s="476" t="s">
        <v>6278</v>
      </c>
      <c r="M749" s="476" t="s">
        <v>9</v>
      </c>
      <c r="N749" s="478">
        <v>0</v>
      </c>
      <c r="O749" s="479"/>
      <c r="P749" s="479"/>
      <c r="Q749" s="479"/>
      <c r="R749" s="476"/>
      <c r="S749" s="479">
        <v>0.23145833333333332</v>
      </c>
      <c r="T749" s="479">
        <v>0.29812500000000003</v>
      </c>
      <c r="U749" s="479"/>
      <c r="V749" s="479"/>
      <c r="W749" s="479">
        <v>0.49230324074074078</v>
      </c>
      <c r="X749" s="479">
        <v>0.68648148148148147</v>
      </c>
      <c r="Y749" s="479">
        <v>0.51874999999999993</v>
      </c>
      <c r="Z749" s="479">
        <v>0.75208333333333333</v>
      </c>
      <c r="AA749" s="479">
        <v>0.98611111111111116</v>
      </c>
      <c r="AB749" s="476" t="s">
        <v>6464</v>
      </c>
      <c r="AC749" s="478">
        <v>130</v>
      </c>
      <c r="AD749" s="476" t="s">
        <v>113</v>
      </c>
      <c r="AE749" s="476" t="s">
        <v>6643</v>
      </c>
      <c r="AF749" s="478">
        <v>93.5</v>
      </c>
      <c r="AG749" s="477">
        <v>82.9</v>
      </c>
      <c r="AH749" s="476" t="s">
        <v>6308</v>
      </c>
      <c r="AI749" s="476" t="s">
        <v>6335</v>
      </c>
      <c r="AJ749" s="476" t="s">
        <v>6493</v>
      </c>
      <c r="AK749" s="476" t="s">
        <v>6493</v>
      </c>
      <c r="AL749" s="476"/>
      <c r="AM749" s="476"/>
      <c r="AN749" s="476"/>
      <c r="AO749" s="476"/>
      <c r="AP749" s="476"/>
      <c r="AQ749" s="476"/>
      <c r="AR749" s="476"/>
      <c r="AS749" s="476"/>
      <c r="AT749" s="476"/>
      <c r="AU749" s="476"/>
      <c r="AV749" s="476"/>
      <c r="AW749" s="476"/>
      <c r="AX749" s="476"/>
      <c r="AY749" s="476"/>
      <c r="AZ749" s="476"/>
      <c r="BA749" s="476"/>
      <c r="BB749" s="476"/>
      <c r="BC749" s="476"/>
      <c r="BD749" s="476"/>
      <c r="BE749" s="476"/>
      <c r="BF749" s="476"/>
      <c r="BG749" s="476"/>
      <c r="BH749" s="476"/>
      <c r="BI749" s="476"/>
      <c r="BJ749" s="476"/>
      <c r="BK749" s="476"/>
      <c r="BL749" s="480"/>
    </row>
    <row r="750" spans="1:64">
      <c r="A750" s="468">
        <v>44541</v>
      </c>
      <c r="B750" s="473">
        <v>345</v>
      </c>
      <c r="C750" s="473">
        <v>20</v>
      </c>
      <c r="D750" s="470" t="s">
        <v>640</v>
      </c>
      <c r="E750" s="469">
        <v>49</v>
      </c>
      <c r="F750" s="470" t="s">
        <v>103</v>
      </c>
      <c r="G750" s="469">
        <v>535</v>
      </c>
      <c r="H750" s="470" t="s">
        <v>967</v>
      </c>
      <c r="I750" s="470" t="s">
        <v>6257</v>
      </c>
      <c r="J750" s="469">
        <v>23</v>
      </c>
      <c r="K750" s="470" t="s">
        <v>6263</v>
      </c>
      <c r="L750" s="470" t="s">
        <v>6279</v>
      </c>
      <c r="M750" s="470" t="s">
        <v>9</v>
      </c>
      <c r="N750" s="473">
        <v>0</v>
      </c>
      <c r="O750" s="471"/>
      <c r="P750" s="471"/>
      <c r="Q750" s="471"/>
      <c r="R750" s="470"/>
      <c r="S750" s="471">
        <v>0.23202546296296298</v>
      </c>
      <c r="T750" s="471">
        <v>0.2986921296296296</v>
      </c>
      <c r="U750" s="471"/>
      <c r="V750" s="471"/>
      <c r="W750" s="471">
        <v>0.49262731481481481</v>
      </c>
      <c r="X750" s="471">
        <v>0.68656249999999996</v>
      </c>
      <c r="Y750" s="471">
        <v>0.53541666666666665</v>
      </c>
      <c r="Z750" s="471">
        <v>0.78194444444444444</v>
      </c>
      <c r="AA750" s="471" t="s">
        <v>1107</v>
      </c>
      <c r="AB750" s="470" t="s">
        <v>6464</v>
      </c>
      <c r="AC750" s="473">
        <v>130</v>
      </c>
      <c r="AD750" s="470" t="s">
        <v>113</v>
      </c>
      <c r="AE750" s="470"/>
      <c r="AF750" s="473">
        <v>93.5</v>
      </c>
      <c r="AG750" s="469">
        <v>80.5</v>
      </c>
      <c r="AH750" s="470" t="s">
        <v>6309</v>
      </c>
      <c r="AI750" s="470" t="s">
        <v>6336</v>
      </c>
      <c r="AJ750" s="470" t="s">
        <v>6493</v>
      </c>
      <c r="AK750" s="470" t="s">
        <v>6493</v>
      </c>
      <c r="AL750" s="470"/>
      <c r="AM750" s="470"/>
      <c r="AN750" s="470"/>
      <c r="AO750" s="470"/>
      <c r="AP750" s="470"/>
      <c r="AQ750" s="470"/>
      <c r="AR750" s="470"/>
      <c r="AS750" s="470"/>
      <c r="AT750" s="470"/>
      <c r="AU750" s="470"/>
      <c r="AV750" s="470"/>
      <c r="AW750" s="470"/>
      <c r="AX750" s="470"/>
      <c r="AY750" s="470"/>
      <c r="AZ750" s="470"/>
      <c r="BA750" s="470"/>
      <c r="BB750" s="470"/>
      <c r="BC750" s="470"/>
      <c r="BD750" s="470"/>
      <c r="BE750" s="470"/>
      <c r="BF750" s="470"/>
      <c r="BG750" s="470"/>
      <c r="BH750" s="470"/>
      <c r="BI750" s="470"/>
      <c r="BJ750" s="470"/>
      <c r="BK750" s="470"/>
      <c r="BL750" s="474"/>
    </row>
    <row r="751" spans="1:64">
      <c r="A751" s="475">
        <v>44542</v>
      </c>
      <c r="B751" s="478">
        <v>346</v>
      </c>
      <c r="C751" s="478">
        <v>19</v>
      </c>
      <c r="D751" s="476" t="s">
        <v>640</v>
      </c>
      <c r="E751" s="477">
        <v>49</v>
      </c>
      <c r="F751" s="476" t="s">
        <v>106</v>
      </c>
      <c r="G751" s="477">
        <v>535</v>
      </c>
      <c r="H751" s="476" t="s">
        <v>967</v>
      </c>
      <c r="I751" s="476" t="s">
        <v>6257</v>
      </c>
      <c r="J751" s="477">
        <v>24</v>
      </c>
      <c r="K751" s="476" t="s">
        <v>6264</v>
      </c>
      <c r="L751" s="476" t="s">
        <v>6280</v>
      </c>
      <c r="M751" s="476" t="s">
        <v>9</v>
      </c>
      <c r="N751" s="478">
        <v>0</v>
      </c>
      <c r="O751" s="479"/>
      <c r="P751" s="479"/>
      <c r="Q751" s="479"/>
      <c r="R751" s="476"/>
      <c r="S751" s="479">
        <v>0.23256944444444447</v>
      </c>
      <c r="T751" s="479">
        <v>0.29923611111111109</v>
      </c>
      <c r="U751" s="479"/>
      <c r="V751" s="479"/>
      <c r="W751" s="479">
        <v>0.49295138888888884</v>
      </c>
      <c r="X751" s="479">
        <v>0.6866782407407408</v>
      </c>
      <c r="Y751" s="479">
        <v>0.55138888888888882</v>
      </c>
      <c r="Z751" s="479">
        <v>0.81111111111111101</v>
      </c>
      <c r="AA751" s="479">
        <v>3.125E-2</v>
      </c>
      <c r="AB751" s="476" t="s">
        <v>6464</v>
      </c>
      <c r="AC751" s="478">
        <v>130</v>
      </c>
      <c r="AD751" s="476" t="s">
        <v>113</v>
      </c>
      <c r="AE751" s="476"/>
      <c r="AF751" s="478">
        <v>90.4</v>
      </c>
      <c r="AG751" s="477">
        <v>75.400000000000006</v>
      </c>
      <c r="AH751" s="476" t="s">
        <v>6310</v>
      </c>
      <c r="AI751" s="476" t="s">
        <v>6337</v>
      </c>
      <c r="AJ751" s="476" t="s">
        <v>6493</v>
      </c>
      <c r="AK751" s="476" t="s">
        <v>6493</v>
      </c>
      <c r="AL751" s="476"/>
      <c r="AM751" s="476"/>
      <c r="AN751" s="476"/>
      <c r="AO751" s="476"/>
      <c r="AP751" s="476"/>
      <c r="AQ751" s="476"/>
      <c r="AR751" s="476"/>
      <c r="AS751" s="476"/>
      <c r="AT751" s="476"/>
      <c r="AU751" s="476"/>
      <c r="AV751" s="476"/>
      <c r="AW751" s="476"/>
      <c r="AX751" s="476"/>
      <c r="AY751" s="476"/>
      <c r="AZ751" s="476"/>
      <c r="BA751" s="476"/>
      <c r="BB751" s="476"/>
      <c r="BC751" s="476"/>
      <c r="BD751" s="476"/>
      <c r="BE751" s="476"/>
      <c r="BF751" s="476"/>
      <c r="BG751" s="476"/>
      <c r="BH751" s="476"/>
      <c r="BI751" s="476"/>
      <c r="BJ751" s="476"/>
      <c r="BK751" s="476"/>
      <c r="BL751" s="480"/>
    </row>
    <row r="752" spans="1:64">
      <c r="A752" s="468">
        <v>44543</v>
      </c>
      <c r="B752" s="473">
        <v>347</v>
      </c>
      <c r="C752" s="473">
        <v>18</v>
      </c>
      <c r="D752" s="470" t="s">
        <v>640</v>
      </c>
      <c r="E752" s="469">
        <v>50</v>
      </c>
      <c r="F752" s="470" t="s">
        <v>88</v>
      </c>
      <c r="G752" s="469">
        <v>535</v>
      </c>
      <c r="H752" s="470" t="s">
        <v>967</v>
      </c>
      <c r="I752" s="470" t="s">
        <v>6257</v>
      </c>
      <c r="J752" s="469">
        <v>25</v>
      </c>
      <c r="K752" s="470" t="s">
        <v>6265</v>
      </c>
      <c r="L752" s="470" t="s">
        <v>6281</v>
      </c>
      <c r="M752" s="470" t="s">
        <v>9</v>
      </c>
      <c r="N752" s="473">
        <v>0</v>
      </c>
      <c r="O752" s="471"/>
      <c r="P752" s="471"/>
      <c r="Q752" s="471"/>
      <c r="R752" s="470"/>
      <c r="S752" s="471">
        <v>0.23309027777777777</v>
      </c>
      <c r="T752" s="471">
        <v>0.29975694444444445</v>
      </c>
      <c r="U752" s="471"/>
      <c r="V752" s="471"/>
      <c r="W752" s="471">
        <v>0.49328703703703702</v>
      </c>
      <c r="X752" s="471">
        <v>0.6868171296296296</v>
      </c>
      <c r="Y752" s="471">
        <v>0.56597222222222221</v>
      </c>
      <c r="Z752" s="471">
        <v>0.83958333333333324</v>
      </c>
      <c r="AA752" s="471">
        <v>7.4305555555555555E-2</v>
      </c>
      <c r="AB752" s="470" t="s">
        <v>6464</v>
      </c>
      <c r="AC752" s="473">
        <v>130</v>
      </c>
      <c r="AD752" s="470" t="s">
        <v>113</v>
      </c>
      <c r="AE752" s="470"/>
      <c r="AF752" s="473">
        <v>84.9</v>
      </c>
      <c r="AG752" s="469">
        <v>68</v>
      </c>
      <c r="AH752" s="470" t="s">
        <v>6311</v>
      </c>
      <c r="AI752" s="470" t="s">
        <v>6338</v>
      </c>
      <c r="AJ752" s="470" t="s">
        <v>6493</v>
      </c>
      <c r="AK752" s="470" t="s">
        <v>6493</v>
      </c>
      <c r="AL752" s="470"/>
      <c r="AM752" s="470"/>
      <c r="AN752" s="470"/>
      <c r="AO752" s="470"/>
      <c r="AP752" s="470"/>
      <c r="AQ752" s="470"/>
      <c r="AR752" s="470"/>
      <c r="AS752" s="470"/>
      <c r="AT752" s="470"/>
      <c r="AU752" s="470"/>
      <c r="AV752" s="470"/>
      <c r="AW752" s="470"/>
      <c r="AX752" s="470"/>
      <c r="AY752" s="470"/>
      <c r="AZ752" s="470"/>
      <c r="BA752" s="470"/>
      <c r="BB752" s="470"/>
      <c r="BC752" s="470"/>
      <c r="BD752" s="470"/>
      <c r="BE752" s="470"/>
      <c r="BF752" s="470"/>
      <c r="BG752" s="470"/>
      <c r="BH752" s="470"/>
      <c r="BI752" s="470"/>
      <c r="BJ752" s="470"/>
      <c r="BK752" s="470"/>
      <c r="BL752" s="474"/>
    </row>
    <row r="753" spans="1:64">
      <c r="A753" s="475">
        <v>44544</v>
      </c>
      <c r="B753" s="478">
        <v>348</v>
      </c>
      <c r="C753" s="478">
        <v>17</v>
      </c>
      <c r="D753" s="476" t="s">
        <v>640</v>
      </c>
      <c r="E753" s="477">
        <v>50</v>
      </c>
      <c r="F753" s="476" t="s">
        <v>91</v>
      </c>
      <c r="G753" s="477">
        <v>535</v>
      </c>
      <c r="H753" s="476" t="s">
        <v>967</v>
      </c>
      <c r="I753" s="476" t="s">
        <v>6257</v>
      </c>
      <c r="J753" s="477">
        <v>26</v>
      </c>
      <c r="K753" s="476" t="s">
        <v>6271</v>
      </c>
      <c r="L753" s="476" t="s">
        <v>6282</v>
      </c>
      <c r="M753" s="476" t="s">
        <v>9</v>
      </c>
      <c r="N753" s="478">
        <v>0</v>
      </c>
      <c r="O753" s="479"/>
      <c r="P753" s="479"/>
      <c r="Q753" s="479"/>
      <c r="R753" s="476"/>
      <c r="S753" s="479">
        <v>0.2336111111111111</v>
      </c>
      <c r="T753" s="479">
        <v>0.30027777777777781</v>
      </c>
      <c r="U753" s="479"/>
      <c r="V753" s="479"/>
      <c r="W753" s="479">
        <v>0.49362268518518521</v>
      </c>
      <c r="X753" s="479">
        <v>0.6869791666666667</v>
      </c>
      <c r="Y753" s="479">
        <v>0.58194444444444449</v>
      </c>
      <c r="Z753" s="479">
        <v>0.86805555555555547</v>
      </c>
      <c r="AA753" s="479">
        <v>0.11666666666666665</v>
      </c>
      <c r="AB753" s="476" t="s">
        <v>6464</v>
      </c>
      <c r="AC753" s="478">
        <v>130</v>
      </c>
      <c r="AD753" s="476" t="s">
        <v>113</v>
      </c>
      <c r="AE753" s="476"/>
      <c r="AF753" s="478">
        <v>77.400000000000006</v>
      </c>
      <c r="AG753" s="477">
        <v>58.9</v>
      </c>
      <c r="AH753" s="476" t="s">
        <v>6312</v>
      </c>
      <c r="AI753" s="476" t="s">
        <v>6339</v>
      </c>
      <c r="AJ753" s="476" t="s">
        <v>838</v>
      </c>
      <c r="AK753" s="476" t="s">
        <v>13</v>
      </c>
      <c r="AL753" s="476" t="s">
        <v>6716</v>
      </c>
      <c r="AM753" s="476" t="s">
        <v>6342</v>
      </c>
      <c r="AN753" s="476" t="s">
        <v>6980</v>
      </c>
      <c r="AO753" s="476" t="s">
        <v>6351</v>
      </c>
      <c r="AP753" s="476" t="s">
        <v>7005</v>
      </c>
      <c r="AQ753" s="476" t="s">
        <v>6344</v>
      </c>
      <c r="AR753" s="476"/>
      <c r="AS753" s="476"/>
      <c r="AT753" s="476"/>
      <c r="AU753" s="476"/>
      <c r="AV753" s="476"/>
      <c r="AW753" s="476"/>
      <c r="AX753" s="476"/>
      <c r="AY753" s="476"/>
      <c r="AZ753" s="476"/>
      <c r="BA753" s="476"/>
      <c r="BB753" s="476"/>
      <c r="BC753" s="476"/>
      <c r="BD753" s="476"/>
      <c r="BE753" s="476"/>
      <c r="BF753" s="476"/>
      <c r="BG753" s="476"/>
      <c r="BH753" s="476"/>
      <c r="BI753" s="476"/>
      <c r="BJ753" s="476" t="s">
        <v>1003</v>
      </c>
      <c r="BK753" s="476"/>
      <c r="BL753" s="480"/>
    </row>
    <row r="754" spans="1:64">
      <c r="A754" s="468">
        <v>44545</v>
      </c>
      <c r="B754" s="473">
        <v>349</v>
      </c>
      <c r="C754" s="473">
        <v>16</v>
      </c>
      <c r="D754" s="470" t="s">
        <v>640</v>
      </c>
      <c r="E754" s="469">
        <v>50</v>
      </c>
      <c r="F754" s="470" t="s">
        <v>94</v>
      </c>
      <c r="G754" s="469">
        <v>535</v>
      </c>
      <c r="H754" s="470" t="s">
        <v>967</v>
      </c>
      <c r="I754" s="470" t="s">
        <v>6257</v>
      </c>
      <c r="J754" s="469">
        <v>27</v>
      </c>
      <c r="K754" s="470" t="s">
        <v>6266</v>
      </c>
      <c r="L754" s="470" t="s">
        <v>6283</v>
      </c>
      <c r="M754" s="470" t="s">
        <v>9</v>
      </c>
      <c r="N754" s="473">
        <v>0</v>
      </c>
      <c r="O754" s="471"/>
      <c r="P754" s="471"/>
      <c r="Q754" s="471"/>
      <c r="R754" s="470"/>
      <c r="S754" s="471">
        <v>0.23409722222222221</v>
      </c>
      <c r="T754" s="471">
        <v>0.30076388888888889</v>
      </c>
      <c r="U754" s="471">
        <v>0.30069444444444443</v>
      </c>
      <c r="V754" s="471">
        <v>0.4291666666666667</v>
      </c>
      <c r="W754" s="471">
        <v>0.49395833333333333</v>
      </c>
      <c r="X754" s="471">
        <v>0.68716435185185187</v>
      </c>
      <c r="Y754" s="471">
        <v>0.59930555555555554</v>
      </c>
      <c r="Z754" s="471">
        <v>0.8979166666666667</v>
      </c>
      <c r="AA754" s="471">
        <v>0.15902777777777777</v>
      </c>
      <c r="AB754" s="470" t="s">
        <v>6464</v>
      </c>
      <c r="AC754" s="473">
        <v>130</v>
      </c>
      <c r="AD754" s="470" t="s">
        <v>113</v>
      </c>
      <c r="AE754" s="470"/>
      <c r="AF754" s="473">
        <v>68.5</v>
      </c>
      <c r="AG754" s="469">
        <v>48.5</v>
      </c>
      <c r="AH754" s="470" t="s">
        <v>6313</v>
      </c>
      <c r="AI754" s="470" t="s">
        <v>6340</v>
      </c>
      <c r="AJ754" s="470" t="s">
        <v>839</v>
      </c>
      <c r="AK754" s="470" t="s">
        <v>6493</v>
      </c>
      <c r="AL754" s="470" t="s">
        <v>6889</v>
      </c>
      <c r="AM754" s="470" t="s">
        <v>6343</v>
      </c>
      <c r="AN754" s="470"/>
      <c r="AO754" s="470"/>
      <c r="AP754" s="470"/>
      <c r="AQ754" s="470"/>
      <c r="AR754" s="470"/>
      <c r="AS754" s="470"/>
      <c r="AT754" s="470"/>
      <c r="AU754" s="470"/>
      <c r="AV754" s="470"/>
      <c r="AW754" s="470"/>
      <c r="AX754" s="470"/>
      <c r="AY754" s="470"/>
      <c r="AZ754" s="470"/>
      <c r="BA754" s="470"/>
      <c r="BB754" s="470"/>
      <c r="BC754" s="470"/>
      <c r="BD754" s="470"/>
      <c r="BE754" s="470"/>
      <c r="BF754" s="470"/>
      <c r="BG754" s="470"/>
      <c r="BH754" s="470"/>
      <c r="BI754" s="470"/>
      <c r="BJ754" s="470"/>
      <c r="BK754" s="470"/>
      <c r="BL754" s="474"/>
    </row>
    <row r="755" spans="1:64">
      <c r="A755" s="475">
        <v>44546</v>
      </c>
      <c r="B755" s="478">
        <v>350</v>
      </c>
      <c r="C755" s="478">
        <v>15</v>
      </c>
      <c r="D755" s="476" t="s">
        <v>640</v>
      </c>
      <c r="E755" s="477">
        <v>50</v>
      </c>
      <c r="F755" s="476" t="s">
        <v>6714</v>
      </c>
      <c r="G755" s="477">
        <v>535</v>
      </c>
      <c r="H755" s="476" t="s">
        <v>967</v>
      </c>
      <c r="I755" s="476" t="s">
        <v>6257</v>
      </c>
      <c r="J755" s="477">
        <v>28</v>
      </c>
      <c r="K755" s="476" t="s">
        <v>6267</v>
      </c>
      <c r="L755" s="476" t="s">
        <v>6284</v>
      </c>
      <c r="M755" s="476" t="s">
        <v>9</v>
      </c>
      <c r="N755" s="478">
        <v>0</v>
      </c>
      <c r="O755" s="479"/>
      <c r="P755" s="479"/>
      <c r="Q755" s="479">
        <v>0.71072916666666675</v>
      </c>
      <c r="R755" s="476" t="s">
        <v>14</v>
      </c>
      <c r="S755" s="479">
        <v>0.23456018518518518</v>
      </c>
      <c r="T755" s="479">
        <v>0.30122685185185188</v>
      </c>
      <c r="U755" s="479"/>
      <c r="V755" s="479"/>
      <c r="W755" s="479">
        <v>0.49430555555555555</v>
      </c>
      <c r="X755" s="479">
        <v>0.68737268518518524</v>
      </c>
      <c r="Y755" s="479">
        <v>0.61805555555555558</v>
      </c>
      <c r="Z755" s="479">
        <v>0.92847222222222225</v>
      </c>
      <c r="AA755" s="479">
        <v>0.20138888888888887</v>
      </c>
      <c r="AB755" s="476" t="s">
        <v>6464</v>
      </c>
      <c r="AC755" s="478">
        <v>130</v>
      </c>
      <c r="AD755" s="476" t="s">
        <v>113</v>
      </c>
      <c r="AE755" s="476"/>
      <c r="AF755" s="478">
        <v>58.8</v>
      </c>
      <c r="AG755" s="477">
        <v>37.4</v>
      </c>
      <c r="AH755" s="476" t="s">
        <v>6314</v>
      </c>
      <c r="AI755" s="476" t="s">
        <v>974</v>
      </c>
      <c r="AJ755" s="476" t="s">
        <v>6493</v>
      </c>
      <c r="AK755" s="476" t="s">
        <v>6493</v>
      </c>
      <c r="AL755" s="476" t="s">
        <v>6890</v>
      </c>
      <c r="AM755" s="476"/>
      <c r="AN755" s="476"/>
      <c r="AO755" s="476"/>
      <c r="AP755" s="476"/>
      <c r="AQ755" s="476"/>
      <c r="AR755" s="476"/>
      <c r="AS755" s="476"/>
      <c r="AT755" s="476"/>
      <c r="AU755" s="476"/>
      <c r="AV755" s="476"/>
      <c r="AW755" s="476"/>
      <c r="AX755" s="476"/>
      <c r="AY755" s="476"/>
      <c r="AZ755" s="476"/>
      <c r="BA755" s="476"/>
      <c r="BB755" s="476"/>
      <c r="BC755" s="476"/>
      <c r="BD755" s="476"/>
      <c r="BE755" s="476"/>
      <c r="BF755" s="476"/>
      <c r="BG755" s="476"/>
      <c r="BH755" s="476"/>
      <c r="BI755" s="476"/>
      <c r="BJ755" s="476"/>
      <c r="BK755" s="476"/>
      <c r="BL755" s="480"/>
    </row>
    <row r="756" spans="1:64">
      <c r="A756" s="468">
        <v>44547</v>
      </c>
      <c r="B756" s="473">
        <v>351</v>
      </c>
      <c r="C756" s="473">
        <v>14</v>
      </c>
      <c r="D756" s="470" t="s">
        <v>640</v>
      </c>
      <c r="E756" s="469">
        <v>50</v>
      </c>
      <c r="F756" s="470" t="s">
        <v>100</v>
      </c>
      <c r="G756" s="469">
        <v>535</v>
      </c>
      <c r="H756" s="470" t="s">
        <v>967</v>
      </c>
      <c r="I756" s="470" t="s">
        <v>6257</v>
      </c>
      <c r="J756" s="469">
        <v>29</v>
      </c>
      <c r="K756" s="470" t="s">
        <v>6268</v>
      </c>
      <c r="L756" s="470" t="s">
        <v>6285</v>
      </c>
      <c r="M756" s="470" t="s">
        <v>9</v>
      </c>
      <c r="N756" s="473">
        <v>0</v>
      </c>
      <c r="O756" s="471"/>
      <c r="P756" s="471"/>
      <c r="Q756" s="471"/>
      <c r="R756" s="470"/>
      <c r="S756" s="471">
        <v>0.23501157407407405</v>
      </c>
      <c r="T756" s="471">
        <v>0.30167824074074073</v>
      </c>
      <c r="U756" s="471"/>
      <c r="V756" s="471"/>
      <c r="W756" s="471">
        <v>0.49465277777777777</v>
      </c>
      <c r="X756" s="471">
        <v>0.68761574074074072</v>
      </c>
      <c r="Y756" s="471">
        <v>0.64097222222222217</v>
      </c>
      <c r="Z756" s="471">
        <v>0.96111111111111114</v>
      </c>
      <c r="AA756" s="471">
        <v>0.24374999999999999</v>
      </c>
      <c r="AB756" s="470" t="s">
        <v>6464</v>
      </c>
      <c r="AC756" s="473">
        <v>130</v>
      </c>
      <c r="AD756" s="470" t="s">
        <v>113</v>
      </c>
      <c r="AE756" s="470"/>
      <c r="AF756" s="473">
        <v>48.7</v>
      </c>
      <c r="AG756" s="469">
        <v>26</v>
      </c>
      <c r="AH756" s="470" t="s">
        <v>973</v>
      </c>
      <c r="AI756" s="470" t="s">
        <v>6316</v>
      </c>
      <c r="AJ756" s="470" t="s">
        <v>6493</v>
      </c>
      <c r="AK756" s="470" t="s">
        <v>6493</v>
      </c>
      <c r="AL756" s="470"/>
      <c r="AM756" s="470"/>
      <c r="AN756" s="470"/>
      <c r="AO756" s="470"/>
      <c r="AP756" s="470"/>
      <c r="AQ756" s="470"/>
      <c r="AR756" s="470"/>
      <c r="AS756" s="470"/>
      <c r="AT756" s="470"/>
      <c r="AU756" s="470"/>
      <c r="AV756" s="470"/>
      <c r="AW756" s="470"/>
      <c r="AX756" s="470"/>
      <c r="AY756" s="470"/>
      <c r="AZ756" s="470"/>
      <c r="BA756" s="470"/>
      <c r="BB756" s="470"/>
      <c r="BC756" s="470"/>
      <c r="BD756" s="470"/>
      <c r="BE756" s="470"/>
      <c r="BF756" s="470"/>
      <c r="BG756" s="470"/>
      <c r="BH756" s="470"/>
      <c r="BI756" s="470"/>
      <c r="BJ756" s="470"/>
      <c r="BK756" s="470"/>
      <c r="BL756" s="474"/>
    </row>
    <row r="757" spans="1:64">
      <c r="A757" s="475">
        <v>44548</v>
      </c>
      <c r="B757" s="478">
        <v>352</v>
      </c>
      <c r="C757" s="478">
        <v>13</v>
      </c>
      <c r="D757" s="476" t="s">
        <v>640</v>
      </c>
      <c r="E757" s="477">
        <v>50</v>
      </c>
      <c r="F757" s="476" t="s">
        <v>103</v>
      </c>
      <c r="G757" s="477">
        <v>535</v>
      </c>
      <c r="H757" s="476" t="s">
        <v>967</v>
      </c>
      <c r="I757" s="476" t="s">
        <v>6257</v>
      </c>
      <c r="J757" s="477">
        <v>30</v>
      </c>
      <c r="K757" s="476" t="s">
        <v>6272</v>
      </c>
      <c r="L757" s="476" t="s">
        <v>6288</v>
      </c>
      <c r="M757" s="476" t="s">
        <v>9</v>
      </c>
      <c r="N757" s="478">
        <v>0</v>
      </c>
      <c r="O757" s="479"/>
      <c r="P757" s="479"/>
      <c r="Q757" s="479"/>
      <c r="R757" s="476"/>
      <c r="S757" s="479">
        <v>0.23543981481481482</v>
      </c>
      <c r="T757" s="479">
        <v>0.3021064814814815</v>
      </c>
      <c r="U757" s="479"/>
      <c r="V757" s="479"/>
      <c r="W757" s="479">
        <v>0.49500000000000005</v>
      </c>
      <c r="X757" s="479">
        <v>0.68788194444444439</v>
      </c>
      <c r="Y757" s="479">
        <v>0.66736111111111107</v>
      </c>
      <c r="Z757" s="479">
        <v>0.99513888888888891</v>
      </c>
      <c r="AA757" s="479">
        <v>0.28541666666666665</v>
      </c>
      <c r="AB757" s="476" t="s">
        <v>6464</v>
      </c>
      <c r="AC757" s="478">
        <v>130</v>
      </c>
      <c r="AD757" s="476" t="s">
        <v>113</v>
      </c>
      <c r="AE757" s="476"/>
      <c r="AF757" s="478">
        <v>38.5</v>
      </c>
      <c r="AG757" s="477">
        <v>14.5</v>
      </c>
      <c r="AH757" s="476" t="s">
        <v>6290</v>
      </c>
      <c r="AI757" s="476" t="s">
        <v>6317</v>
      </c>
      <c r="AJ757" s="476" t="s">
        <v>839</v>
      </c>
      <c r="AK757" s="476" t="s">
        <v>6493</v>
      </c>
      <c r="AL757" s="476" t="s">
        <v>6718</v>
      </c>
      <c r="AM757" s="476" t="s">
        <v>6344</v>
      </c>
      <c r="AN757" s="476" t="s">
        <v>6899</v>
      </c>
      <c r="AO757" s="476"/>
      <c r="AP757" s="476"/>
      <c r="AQ757" s="476"/>
      <c r="AR757" s="476"/>
      <c r="AS757" s="476"/>
      <c r="AT757" s="476"/>
      <c r="AU757" s="476"/>
      <c r="AV757" s="476"/>
      <c r="AW757" s="476"/>
      <c r="AX757" s="476"/>
      <c r="AY757" s="476"/>
      <c r="AZ757" s="476"/>
      <c r="BA757" s="476"/>
      <c r="BB757" s="476"/>
      <c r="BC757" s="476"/>
      <c r="BD757" s="476"/>
      <c r="BE757" s="476"/>
      <c r="BF757" s="476"/>
      <c r="BG757" s="476"/>
      <c r="BH757" s="476"/>
      <c r="BI757" s="476"/>
      <c r="BJ757" s="476" t="s">
        <v>6355</v>
      </c>
      <c r="BK757" s="476"/>
      <c r="BL757" s="480"/>
    </row>
    <row r="758" spans="1:64">
      <c r="A758" s="468">
        <v>44549</v>
      </c>
      <c r="B758" s="473">
        <v>353</v>
      </c>
      <c r="C758" s="473">
        <v>12</v>
      </c>
      <c r="D758" s="470" t="s">
        <v>640</v>
      </c>
      <c r="E758" s="469">
        <v>50</v>
      </c>
      <c r="F758" s="470" t="s">
        <v>106</v>
      </c>
      <c r="G758" s="469">
        <v>535</v>
      </c>
      <c r="H758" s="470" t="s">
        <v>6245</v>
      </c>
      <c r="I758" s="470" t="s">
        <v>836</v>
      </c>
      <c r="J758" s="469">
        <v>1</v>
      </c>
      <c r="K758" s="470" t="s">
        <v>6270</v>
      </c>
      <c r="L758" s="470" t="s">
        <v>6287</v>
      </c>
      <c r="M758" s="470" t="s">
        <v>9</v>
      </c>
      <c r="N758" s="473">
        <v>0</v>
      </c>
      <c r="O758" s="471"/>
      <c r="P758" s="471"/>
      <c r="Q758" s="471"/>
      <c r="R758" s="470"/>
      <c r="S758" s="471">
        <v>0.23584490740740741</v>
      </c>
      <c r="T758" s="471">
        <v>0.30251157407407409</v>
      </c>
      <c r="U758" s="471"/>
      <c r="V758" s="471"/>
      <c r="W758" s="471">
        <v>0.49534722222222222</v>
      </c>
      <c r="X758" s="471">
        <v>0.68817129629629636</v>
      </c>
      <c r="Y758" s="471">
        <v>0.69930555555555562</v>
      </c>
      <c r="Z758" s="471" t="s">
        <v>1107</v>
      </c>
      <c r="AA758" s="471">
        <v>0.32500000000000001</v>
      </c>
      <c r="AB758" s="470" t="s">
        <v>6462</v>
      </c>
      <c r="AC758" s="473">
        <v>129</v>
      </c>
      <c r="AD758" s="470" t="s">
        <v>116</v>
      </c>
      <c r="AE758" s="470" t="s">
        <v>6644</v>
      </c>
      <c r="AF758" s="473">
        <v>28.7</v>
      </c>
      <c r="AG758" s="469">
        <v>3.2</v>
      </c>
      <c r="AH758" s="470" t="s">
        <v>6315</v>
      </c>
      <c r="AI758" s="470" t="s">
        <v>6318</v>
      </c>
      <c r="AJ758" s="470" t="s">
        <v>6493</v>
      </c>
      <c r="AK758" s="470" t="s">
        <v>6493</v>
      </c>
      <c r="AL758" s="470" t="s">
        <v>6719</v>
      </c>
      <c r="AM758" s="470"/>
      <c r="AN758" s="470"/>
      <c r="AO758" s="470"/>
      <c r="AP758" s="470"/>
      <c r="AQ758" s="470"/>
      <c r="AR758" s="470"/>
      <c r="AS758" s="470"/>
      <c r="AT758" s="470"/>
      <c r="AU758" s="470"/>
      <c r="AV758" s="470"/>
      <c r="AW758" s="470"/>
      <c r="AX758" s="470"/>
      <c r="AY758" s="470"/>
      <c r="AZ758" s="470"/>
      <c r="BA758" s="470"/>
      <c r="BB758" s="470"/>
      <c r="BC758" s="470"/>
      <c r="BD758" s="470"/>
      <c r="BE758" s="470"/>
      <c r="BF758" s="470"/>
      <c r="BG758" s="470"/>
      <c r="BH758" s="470"/>
      <c r="BI758" s="470"/>
      <c r="BJ758" s="470"/>
      <c r="BK758" s="470"/>
      <c r="BL758" s="474"/>
    </row>
    <row r="759" spans="1:64">
      <c r="A759" s="475">
        <v>44550</v>
      </c>
      <c r="B759" s="478">
        <v>354</v>
      </c>
      <c r="C759" s="478">
        <v>11</v>
      </c>
      <c r="D759" s="476" t="s">
        <v>640</v>
      </c>
      <c r="E759" s="477">
        <v>51</v>
      </c>
      <c r="F759" s="476" t="s">
        <v>88</v>
      </c>
      <c r="G759" s="477">
        <v>535</v>
      </c>
      <c r="H759" s="476" t="s">
        <v>6245</v>
      </c>
      <c r="I759" s="476" t="s">
        <v>836</v>
      </c>
      <c r="J759" s="477">
        <v>2</v>
      </c>
      <c r="K759" s="476" t="s">
        <v>1034</v>
      </c>
      <c r="L759" s="476" t="s">
        <v>6273</v>
      </c>
      <c r="M759" s="476" t="s">
        <v>9</v>
      </c>
      <c r="N759" s="478">
        <v>0</v>
      </c>
      <c r="O759" s="479"/>
      <c r="P759" s="479"/>
      <c r="Q759" s="479"/>
      <c r="R759" s="476"/>
      <c r="S759" s="479">
        <v>0.23622685185185185</v>
      </c>
      <c r="T759" s="479">
        <v>0.30289351851851853</v>
      </c>
      <c r="U759" s="479"/>
      <c r="V759" s="479"/>
      <c r="W759" s="479">
        <v>0.49569444444444444</v>
      </c>
      <c r="X759" s="479">
        <v>0.6884837962962963</v>
      </c>
      <c r="Y759" s="479">
        <v>0.73541666666666661</v>
      </c>
      <c r="Z759" s="479">
        <v>2.9861111111111113E-2</v>
      </c>
      <c r="AA759" s="479">
        <v>0.3611111111111111</v>
      </c>
      <c r="AB759" s="476" t="s">
        <v>6462</v>
      </c>
      <c r="AC759" s="478">
        <v>129</v>
      </c>
      <c r="AD759" s="476" t="s">
        <v>116</v>
      </c>
      <c r="AE759" s="476"/>
      <c r="AF759" s="478">
        <v>19.399999999999999</v>
      </c>
      <c r="AG759" s="477">
        <v>92.5</v>
      </c>
      <c r="AH759" s="476" t="s">
        <v>6315</v>
      </c>
      <c r="AI759" s="476" t="s">
        <v>6319</v>
      </c>
      <c r="AJ759" s="476" t="s">
        <v>6493</v>
      </c>
      <c r="AK759" s="476" t="s">
        <v>6493</v>
      </c>
      <c r="AL759" s="476"/>
      <c r="AM759" s="476"/>
      <c r="AN759" s="476"/>
      <c r="AO759" s="476"/>
      <c r="AP759" s="476"/>
      <c r="AQ759" s="476"/>
      <c r="AR759" s="476"/>
      <c r="AS759" s="476"/>
      <c r="AT759" s="476"/>
      <c r="AU759" s="476"/>
      <c r="AV759" s="476"/>
      <c r="AW759" s="476"/>
      <c r="AX759" s="476"/>
      <c r="AY759" s="476"/>
      <c r="AZ759" s="476"/>
      <c r="BA759" s="476"/>
      <c r="BB759" s="476"/>
      <c r="BC759" s="476"/>
      <c r="BD759" s="476"/>
      <c r="BE759" s="476"/>
      <c r="BF759" s="476"/>
      <c r="BG759" s="476"/>
      <c r="BH759" s="476"/>
      <c r="BI759" s="476"/>
      <c r="BJ759" s="476"/>
      <c r="BK759" s="476"/>
      <c r="BL759" s="480"/>
    </row>
    <row r="760" spans="1:64">
      <c r="A760" s="468">
        <v>44551</v>
      </c>
      <c r="B760" s="473">
        <v>355</v>
      </c>
      <c r="C760" s="473">
        <v>10</v>
      </c>
      <c r="D760" s="470" t="s">
        <v>640</v>
      </c>
      <c r="E760" s="469">
        <v>51</v>
      </c>
      <c r="F760" s="470" t="s">
        <v>91</v>
      </c>
      <c r="G760" s="469">
        <v>535</v>
      </c>
      <c r="H760" s="470" t="s">
        <v>6245</v>
      </c>
      <c r="I760" s="470" t="s">
        <v>836</v>
      </c>
      <c r="J760" s="469">
        <v>3</v>
      </c>
      <c r="K760" s="470" t="s">
        <v>6258</v>
      </c>
      <c r="L760" s="470" t="s">
        <v>6274</v>
      </c>
      <c r="M760" s="470" t="s">
        <v>9</v>
      </c>
      <c r="N760" s="473">
        <v>0</v>
      </c>
      <c r="O760" s="471"/>
      <c r="P760" s="471"/>
      <c r="Q760" s="471"/>
      <c r="R760" s="470"/>
      <c r="S760" s="471">
        <v>0.23658564814814817</v>
      </c>
      <c r="T760" s="471">
        <v>0.30325231481481479</v>
      </c>
      <c r="U760" s="471"/>
      <c r="V760" s="471"/>
      <c r="W760" s="471">
        <v>0.49604166666666666</v>
      </c>
      <c r="X760" s="471">
        <v>0.68883101851851858</v>
      </c>
      <c r="Y760" s="471">
        <v>0.77638888888888891</v>
      </c>
      <c r="Z760" s="471">
        <v>6.5277777777777782E-2</v>
      </c>
      <c r="AA760" s="471">
        <v>0.3923611111111111</v>
      </c>
      <c r="AB760" s="470" t="s">
        <v>6462</v>
      </c>
      <c r="AC760" s="473">
        <v>129</v>
      </c>
      <c r="AD760" s="470" t="s">
        <v>116</v>
      </c>
      <c r="AE760" s="470"/>
      <c r="AF760" s="473">
        <v>10.8</v>
      </c>
      <c r="AG760" s="469">
        <v>82.4</v>
      </c>
      <c r="AH760" s="470" t="s">
        <v>6291</v>
      </c>
      <c r="AI760" s="470" t="s">
        <v>6341</v>
      </c>
      <c r="AJ760" s="470" t="s">
        <v>6493</v>
      </c>
      <c r="AK760" s="470" t="s">
        <v>6493</v>
      </c>
      <c r="AL760" s="470" t="s">
        <v>551</v>
      </c>
      <c r="AM760" s="470"/>
      <c r="AN760" s="470"/>
      <c r="AO760" s="470"/>
      <c r="AP760" s="470"/>
      <c r="AQ760" s="470"/>
      <c r="AR760" s="470"/>
      <c r="AS760" s="470"/>
      <c r="AT760" s="470"/>
      <c r="AU760" s="470"/>
      <c r="AV760" s="470"/>
      <c r="AW760" s="470"/>
      <c r="AX760" s="470"/>
      <c r="AY760" s="470"/>
      <c r="AZ760" s="470"/>
      <c r="BA760" s="470"/>
      <c r="BB760" s="470"/>
      <c r="BC760" s="470"/>
      <c r="BD760" s="470"/>
      <c r="BE760" s="470"/>
      <c r="BF760" s="470"/>
      <c r="BG760" s="470"/>
      <c r="BH760" s="470"/>
      <c r="BI760" s="470"/>
      <c r="BJ760" s="470"/>
      <c r="BK760" s="470"/>
      <c r="BL760" s="474"/>
    </row>
    <row r="761" spans="1:64">
      <c r="A761" s="475">
        <v>44552</v>
      </c>
      <c r="B761" s="478">
        <v>356</v>
      </c>
      <c r="C761" s="478">
        <v>9</v>
      </c>
      <c r="D761" s="476" t="s">
        <v>640</v>
      </c>
      <c r="E761" s="477">
        <v>51</v>
      </c>
      <c r="F761" s="476" t="s">
        <v>94</v>
      </c>
      <c r="G761" s="477">
        <v>535</v>
      </c>
      <c r="H761" s="476" t="s">
        <v>6245</v>
      </c>
      <c r="I761" s="476" t="s">
        <v>836</v>
      </c>
      <c r="J761" s="477">
        <v>4</v>
      </c>
      <c r="K761" s="476" t="s">
        <v>6259</v>
      </c>
      <c r="L761" s="476" t="s">
        <v>6274</v>
      </c>
      <c r="M761" s="476" t="s">
        <v>9</v>
      </c>
      <c r="N761" s="478">
        <v>0</v>
      </c>
      <c r="O761" s="479"/>
      <c r="P761" s="479"/>
      <c r="Q761" s="479"/>
      <c r="R761" s="476"/>
      <c r="S761" s="479">
        <v>0.2369212962962963</v>
      </c>
      <c r="T761" s="479">
        <v>0.30358796296296298</v>
      </c>
      <c r="U761" s="479"/>
      <c r="V761" s="479"/>
      <c r="W761" s="479">
        <v>0.49638888888888894</v>
      </c>
      <c r="X761" s="479">
        <v>0.68918981481481489</v>
      </c>
      <c r="Y761" s="479">
        <v>0.81944444444444453</v>
      </c>
      <c r="Z761" s="479">
        <v>9.9999999999999992E-2</v>
      </c>
      <c r="AA761" s="479">
        <v>0.41944444444444445</v>
      </c>
      <c r="AB761" s="476" t="s">
        <v>6462</v>
      </c>
      <c r="AC761" s="478">
        <v>129</v>
      </c>
      <c r="AD761" s="476" t="s">
        <v>116</v>
      </c>
      <c r="AE761" s="476"/>
      <c r="AF761" s="478">
        <v>3.4</v>
      </c>
      <c r="AG761" s="477">
        <v>73.400000000000006</v>
      </c>
      <c r="AH761" s="476" t="s">
        <v>6292</v>
      </c>
      <c r="AI761" s="476" t="s">
        <v>6320</v>
      </c>
      <c r="AJ761" s="476" t="s">
        <v>874</v>
      </c>
      <c r="AK761" s="476" t="s">
        <v>6493</v>
      </c>
      <c r="AL761" s="476" t="s">
        <v>6720</v>
      </c>
      <c r="AM761" s="476" t="s">
        <v>6345</v>
      </c>
      <c r="AN761" s="476" t="s">
        <v>6900</v>
      </c>
      <c r="AO761" s="476" t="s">
        <v>6351</v>
      </c>
      <c r="AP761" s="476"/>
      <c r="AQ761" s="476"/>
      <c r="AR761" s="476"/>
      <c r="AS761" s="476"/>
      <c r="AT761" s="476"/>
      <c r="AU761" s="476"/>
      <c r="AV761" s="476"/>
      <c r="AW761" s="476"/>
      <c r="AX761" s="476"/>
      <c r="AY761" s="476"/>
      <c r="AZ761" s="476"/>
      <c r="BA761" s="476"/>
      <c r="BB761" s="476"/>
      <c r="BC761" s="476"/>
      <c r="BD761" s="476"/>
      <c r="BE761" s="476"/>
      <c r="BF761" s="476"/>
      <c r="BG761" s="476"/>
      <c r="BH761" s="476"/>
      <c r="BI761" s="476"/>
      <c r="BJ761" s="476" t="s">
        <v>6419</v>
      </c>
      <c r="BK761" s="476"/>
      <c r="BL761" s="480"/>
    </row>
    <row r="762" spans="1:64">
      <c r="A762" s="468">
        <v>44553</v>
      </c>
      <c r="B762" s="473">
        <v>357</v>
      </c>
      <c r="C762" s="473">
        <v>8</v>
      </c>
      <c r="D762" s="470" t="s">
        <v>640</v>
      </c>
      <c r="E762" s="469">
        <v>51</v>
      </c>
      <c r="F762" s="470" t="s">
        <v>6714</v>
      </c>
      <c r="G762" s="469">
        <v>535</v>
      </c>
      <c r="H762" s="470" t="s">
        <v>6245</v>
      </c>
      <c r="I762" s="470" t="s">
        <v>836</v>
      </c>
      <c r="J762" s="469">
        <v>4</v>
      </c>
      <c r="K762" s="470" t="s">
        <v>6259</v>
      </c>
      <c r="L762" s="470" t="s">
        <v>6275</v>
      </c>
      <c r="M762" s="470" t="s">
        <v>10</v>
      </c>
      <c r="N762" s="473">
        <v>0</v>
      </c>
      <c r="O762" s="471"/>
      <c r="P762" s="471"/>
      <c r="Q762" s="471"/>
      <c r="R762" s="470"/>
      <c r="S762" s="471">
        <v>0.23723379629629629</v>
      </c>
      <c r="T762" s="471">
        <v>0.30390046296296297</v>
      </c>
      <c r="U762" s="471"/>
      <c r="V762" s="471"/>
      <c r="W762" s="471">
        <v>0.49674768518518514</v>
      </c>
      <c r="X762" s="471">
        <v>0.68958333333333333</v>
      </c>
      <c r="Y762" s="471">
        <v>0.86388888888888893</v>
      </c>
      <c r="Z762" s="471">
        <v>0.13333333333333333</v>
      </c>
      <c r="AA762" s="471">
        <v>0.44236111111111115</v>
      </c>
      <c r="AB762" s="470" t="s">
        <v>6462</v>
      </c>
      <c r="AC762" s="473">
        <v>129</v>
      </c>
      <c r="AD762" s="470" t="s">
        <v>116</v>
      </c>
      <c r="AE762" s="470"/>
      <c r="AF762" s="473">
        <v>97.2</v>
      </c>
      <c r="AG762" s="469">
        <v>65.400000000000006</v>
      </c>
      <c r="AH762" s="470" t="s">
        <v>6293</v>
      </c>
      <c r="AI762" s="470" t="s">
        <v>6321</v>
      </c>
      <c r="AJ762" s="470" t="s">
        <v>6493</v>
      </c>
      <c r="AK762" s="470" t="s">
        <v>6493</v>
      </c>
      <c r="AL762" s="470" t="s">
        <v>6727</v>
      </c>
      <c r="AM762" s="470"/>
      <c r="AN762" s="470"/>
      <c r="AO762" s="470"/>
      <c r="AP762" s="470"/>
      <c r="AQ762" s="470"/>
      <c r="AR762" s="470"/>
      <c r="AS762" s="470"/>
      <c r="AT762" s="470"/>
      <c r="AU762" s="470"/>
      <c r="AV762" s="470"/>
      <c r="AW762" s="470"/>
      <c r="AX762" s="470"/>
      <c r="AY762" s="470"/>
      <c r="AZ762" s="470"/>
      <c r="BA762" s="470"/>
      <c r="BB762" s="470"/>
      <c r="BC762" s="470"/>
      <c r="BD762" s="470"/>
      <c r="BE762" s="470"/>
      <c r="BF762" s="470"/>
      <c r="BG762" s="470"/>
      <c r="BH762" s="470"/>
      <c r="BI762" s="470"/>
      <c r="BJ762" s="470"/>
      <c r="BK762" s="470"/>
      <c r="BL762" s="474"/>
    </row>
    <row r="763" spans="1:64">
      <c r="A763" s="475">
        <v>44554</v>
      </c>
      <c r="B763" s="478">
        <v>358</v>
      </c>
      <c r="C763" s="478">
        <v>7</v>
      </c>
      <c r="D763" s="476" t="s">
        <v>640</v>
      </c>
      <c r="E763" s="477">
        <v>51</v>
      </c>
      <c r="F763" s="476" t="s">
        <v>100</v>
      </c>
      <c r="G763" s="477">
        <v>535</v>
      </c>
      <c r="H763" s="476" t="s">
        <v>6245</v>
      </c>
      <c r="I763" s="476" t="s">
        <v>836</v>
      </c>
      <c r="J763" s="477">
        <v>5</v>
      </c>
      <c r="K763" s="476" t="s">
        <v>6260</v>
      </c>
      <c r="L763" s="476" t="s">
        <v>6276</v>
      </c>
      <c r="M763" s="476" t="s">
        <v>9</v>
      </c>
      <c r="N763" s="478">
        <v>0</v>
      </c>
      <c r="O763" s="479"/>
      <c r="P763" s="479"/>
      <c r="Q763" s="479"/>
      <c r="R763" s="476"/>
      <c r="S763" s="479">
        <v>0.23753472222222224</v>
      </c>
      <c r="T763" s="479">
        <v>0.30420138888888887</v>
      </c>
      <c r="U763" s="479"/>
      <c r="V763" s="479"/>
      <c r="W763" s="479">
        <v>0.49709490740740742</v>
      </c>
      <c r="X763" s="479">
        <v>0.68998842592592602</v>
      </c>
      <c r="Y763" s="479">
        <v>0.90902777777777777</v>
      </c>
      <c r="Z763" s="479">
        <v>0.16597222222222222</v>
      </c>
      <c r="AA763" s="479">
        <v>0.46180555555555558</v>
      </c>
      <c r="AB763" s="476" t="s">
        <v>6462</v>
      </c>
      <c r="AC763" s="478">
        <v>129</v>
      </c>
      <c r="AD763" s="476" t="s">
        <v>116</v>
      </c>
      <c r="AE763" s="476"/>
      <c r="AF763" s="478">
        <v>92.7</v>
      </c>
      <c r="AG763" s="477">
        <v>59</v>
      </c>
      <c r="AH763" s="476" t="s">
        <v>6294</v>
      </c>
      <c r="AI763" s="476" t="s">
        <v>6322</v>
      </c>
      <c r="AJ763" s="476" t="s">
        <v>6493</v>
      </c>
      <c r="AK763" s="476" t="s">
        <v>6493</v>
      </c>
      <c r="AL763" s="476"/>
      <c r="AM763" s="476"/>
      <c r="AN763" s="476"/>
      <c r="AO763" s="476"/>
      <c r="AP763" s="476"/>
      <c r="AQ763" s="476"/>
      <c r="AR763" s="476"/>
      <c r="AS763" s="476"/>
      <c r="AT763" s="476"/>
      <c r="AU763" s="476"/>
      <c r="AV763" s="476"/>
      <c r="AW763" s="476"/>
      <c r="AX763" s="476"/>
      <c r="AY763" s="476"/>
      <c r="AZ763" s="476"/>
      <c r="BA763" s="476"/>
      <c r="BB763" s="476"/>
      <c r="BC763" s="476"/>
      <c r="BD763" s="476"/>
      <c r="BE763" s="476"/>
      <c r="BF763" s="476"/>
      <c r="BG763" s="476"/>
      <c r="BH763" s="476"/>
      <c r="BI763" s="476"/>
      <c r="BJ763" s="476"/>
      <c r="BK763" s="476"/>
      <c r="BL763" s="480"/>
    </row>
    <row r="764" spans="1:64">
      <c r="A764" s="468">
        <v>44555</v>
      </c>
      <c r="B764" s="473">
        <v>359</v>
      </c>
      <c r="C764" s="473">
        <v>6</v>
      </c>
      <c r="D764" s="470" t="s">
        <v>640</v>
      </c>
      <c r="E764" s="469">
        <v>51</v>
      </c>
      <c r="F764" s="470" t="s">
        <v>103</v>
      </c>
      <c r="G764" s="469">
        <v>535</v>
      </c>
      <c r="H764" s="470" t="s">
        <v>6245</v>
      </c>
      <c r="I764" s="470" t="s">
        <v>836</v>
      </c>
      <c r="J764" s="469">
        <v>6</v>
      </c>
      <c r="K764" s="470" t="s">
        <v>6261</v>
      </c>
      <c r="L764" s="470" t="s">
        <v>6277</v>
      </c>
      <c r="M764" s="470" t="s">
        <v>9</v>
      </c>
      <c r="N764" s="473">
        <v>0</v>
      </c>
      <c r="O764" s="471"/>
      <c r="P764" s="471"/>
      <c r="Q764" s="471"/>
      <c r="R764" s="470"/>
      <c r="S764" s="471">
        <v>0.23778935185185182</v>
      </c>
      <c r="T764" s="471">
        <v>0.3044560185185185</v>
      </c>
      <c r="U764" s="471"/>
      <c r="V764" s="471"/>
      <c r="W764" s="471">
        <v>0.49744212962962964</v>
      </c>
      <c r="X764" s="471">
        <v>0.69041666666666668</v>
      </c>
      <c r="Y764" s="471">
        <v>0.95416666666666661</v>
      </c>
      <c r="Z764" s="471">
        <v>0.19652777777777777</v>
      </c>
      <c r="AA764" s="471">
        <v>0.48055555555555557</v>
      </c>
      <c r="AB764" s="470" t="s">
        <v>6462</v>
      </c>
      <c r="AC764" s="473">
        <v>129</v>
      </c>
      <c r="AD764" s="470" t="s">
        <v>116</v>
      </c>
      <c r="AE764" s="470"/>
      <c r="AF764" s="473">
        <v>90.1</v>
      </c>
      <c r="AG764" s="469">
        <v>54.4</v>
      </c>
      <c r="AH764" s="470" t="s">
        <v>6295</v>
      </c>
      <c r="AI764" s="470" t="s">
        <v>6323</v>
      </c>
      <c r="AJ764" s="470" t="s">
        <v>6493</v>
      </c>
      <c r="AK764" s="470" t="s">
        <v>6493</v>
      </c>
      <c r="AL764" s="470" t="s">
        <v>569</v>
      </c>
      <c r="AM764" s="470"/>
      <c r="AN764" s="470"/>
      <c r="AO764" s="470"/>
      <c r="AP764" s="470"/>
      <c r="AQ764" s="470"/>
      <c r="AR764" s="470"/>
      <c r="AS764" s="470"/>
      <c r="AT764" s="470"/>
      <c r="AU764" s="470"/>
      <c r="AV764" s="470"/>
      <c r="AW764" s="470"/>
      <c r="AX764" s="470"/>
      <c r="AY764" s="470"/>
      <c r="AZ764" s="470"/>
      <c r="BA764" s="470"/>
      <c r="BB764" s="470"/>
      <c r="BC764" s="470"/>
      <c r="BD764" s="470"/>
      <c r="BE764" s="470"/>
      <c r="BF764" s="470"/>
      <c r="BG764" s="470"/>
      <c r="BH764" s="470"/>
      <c r="BI764" s="470"/>
      <c r="BJ764" s="470"/>
      <c r="BK764" s="470"/>
      <c r="BL764" s="474"/>
    </row>
    <row r="765" spans="1:64">
      <c r="A765" s="475">
        <v>44556</v>
      </c>
      <c r="B765" s="478">
        <v>360</v>
      </c>
      <c r="C765" s="478">
        <v>5</v>
      </c>
      <c r="D765" s="476" t="s">
        <v>640</v>
      </c>
      <c r="E765" s="477">
        <v>51</v>
      </c>
      <c r="F765" s="476" t="s">
        <v>106</v>
      </c>
      <c r="G765" s="477">
        <v>535</v>
      </c>
      <c r="H765" s="476" t="s">
        <v>6245</v>
      </c>
      <c r="I765" s="476" t="s">
        <v>836</v>
      </c>
      <c r="J765" s="477">
        <v>7</v>
      </c>
      <c r="K765" s="476" t="s">
        <v>6262</v>
      </c>
      <c r="L765" s="476" t="s">
        <v>6278</v>
      </c>
      <c r="M765" s="476" t="s">
        <v>9</v>
      </c>
      <c r="N765" s="478">
        <v>0</v>
      </c>
      <c r="O765" s="479"/>
      <c r="P765" s="479"/>
      <c r="Q765" s="479"/>
      <c r="R765" s="476"/>
      <c r="S765" s="479">
        <v>0.23803240740740739</v>
      </c>
      <c r="T765" s="479">
        <v>0.30469907407407409</v>
      </c>
      <c r="U765" s="479"/>
      <c r="V765" s="479"/>
      <c r="W765" s="479">
        <v>0.49778935185185186</v>
      </c>
      <c r="X765" s="479">
        <v>0.69087962962962957</v>
      </c>
      <c r="Y765" s="479" t="s">
        <v>1107</v>
      </c>
      <c r="Z765" s="479">
        <v>0.22708333333333333</v>
      </c>
      <c r="AA765" s="479">
        <v>0.49652777777777773</v>
      </c>
      <c r="AB765" s="476" t="s">
        <v>6289</v>
      </c>
      <c r="AC765" s="478">
        <v>131</v>
      </c>
      <c r="AD765" s="476" t="s">
        <v>119</v>
      </c>
      <c r="AE765" s="476" t="s">
        <v>6645</v>
      </c>
      <c r="AF765" s="478">
        <v>90</v>
      </c>
      <c r="AG765" s="477">
        <v>51.9</v>
      </c>
      <c r="AH765" s="476" t="s">
        <v>6296</v>
      </c>
      <c r="AI765" s="476" t="s">
        <v>6324</v>
      </c>
      <c r="AJ765" s="476" t="s">
        <v>6493</v>
      </c>
      <c r="AK765" s="476" t="s">
        <v>6493</v>
      </c>
      <c r="AL765" s="476"/>
      <c r="AM765" s="476"/>
      <c r="AN765" s="476"/>
      <c r="AO765" s="476"/>
      <c r="AP765" s="476"/>
      <c r="AQ765" s="476"/>
      <c r="AR765" s="476"/>
      <c r="AS765" s="476"/>
      <c r="AT765" s="476"/>
      <c r="AU765" s="476"/>
      <c r="AV765" s="476"/>
      <c r="AW765" s="476"/>
      <c r="AX765" s="476"/>
      <c r="AY765" s="476"/>
      <c r="AZ765" s="476"/>
      <c r="BA765" s="476"/>
      <c r="BB765" s="476"/>
      <c r="BC765" s="476"/>
      <c r="BD765" s="476"/>
      <c r="BE765" s="476"/>
      <c r="BF765" s="476"/>
      <c r="BG765" s="476"/>
      <c r="BH765" s="476"/>
      <c r="BI765" s="476"/>
      <c r="BJ765" s="476"/>
      <c r="BK765" s="476"/>
      <c r="BL765" s="480"/>
    </row>
    <row r="766" spans="1:64">
      <c r="A766" s="468">
        <v>44557</v>
      </c>
      <c r="B766" s="473">
        <v>361</v>
      </c>
      <c r="C766" s="473">
        <v>4</v>
      </c>
      <c r="D766" s="470" t="s">
        <v>640</v>
      </c>
      <c r="E766" s="469">
        <v>52</v>
      </c>
      <c r="F766" s="470" t="s">
        <v>88</v>
      </c>
      <c r="G766" s="469">
        <v>535</v>
      </c>
      <c r="H766" s="470" t="s">
        <v>6245</v>
      </c>
      <c r="I766" s="470" t="s">
        <v>836</v>
      </c>
      <c r="J766" s="469">
        <v>8</v>
      </c>
      <c r="K766" s="470" t="s">
        <v>6263</v>
      </c>
      <c r="L766" s="470" t="s">
        <v>6279</v>
      </c>
      <c r="M766" s="470" t="s">
        <v>9</v>
      </c>
      <c r="N766" s="473">
        <v>0</v>
      </c>
      <c r="O766" s="471"/>
      <c r="P766" s="471"/>
      <c r="Q766" s="471"/>
      <c r="R766" s="470"/>
      <c r="S766" s="471">
        <v>0.23825231481481482</v>
      </c>
      <c r="T766" s="471">
        <v>0.3049189814814815</v>
      </c>
      <c r="U766" s="471"/>
      <c r="V766" s="471"/>
      <c r="W766" s="471">
        <v>0.49813657407407402</v>
      </c>
      <c r="X766" s="471">
        <v>0.69135416666666671</v>
      </c>
      <c r="Y766" s="471">
        <v>6.9444444444444447E-4</v>
      </c>
      <c r="Z766" s="471">
        <v>0.25833333333333336</v>
      </c>
      <c r="AA766" s="471">
        <v>0.51388888888888895</v>
      </c>
      <c r="AB766" s="470" t="s">
        <v>6289</v>
      </c>
      <c r="AC766" s="473">
        <v>131</v>
      </c>
      <c r="AD766" s="470" t="s">
        <v>119</v>
      </c>
      <c r="AE766" s="470"/>
      <c r="AF766" s="473">
        <v>92.6</v>
      </c>
      <c r="AG766" s="469">
        <v>51.9</v>
      </c>
      <c r="AH766" s="470" t="s">
        <v>6297</v>
      </c>
      <c r="AI766" s="470" t="s">
        <v>6325</v>
      </c>
      <c r="AJ766" s="470" t="s">
        <v>6493</v>
      </c>
      <c r="AK766" s="470" t="s">
        <v>6493</v>
      </c>
      <c r="AL766" s="470"/>
      <c r="AM766" s="470"/>
      <c r="AN766" s="470"/>
      <c r="AO766" s="470"/>
      <c r="AP766" s="470"/>
      <c r="AQ766" s="470"/>
      <c r="AR766" s="470"/>
      <c r="AS766" s="470"/>
      <c r="AT766" s="470"/>
      <c r="AU766" s="470"/>
      <c r="AV766" s="470"/>
      <c r="AW766" s="470"/>
      <c r="AX766" s="470"/>
      <c r="AY766" s="470"/>
      <c r="AZ766" s="470"/>
      <c r="BA766" s="470"/>
      <c r="BB766" s="470"/>
      <c r="BC766" s="470"/>
      <c r="BD766" s="470"/>
      <c r="BE766" s="470"/>
      <c r="BF766" s="470"/>
      <c r="BG766" s="470"/>
      <c r="BH766" s="470"/>
      <c r="BI766" s="470"/>
      <c r="BJ766" s="470"/>
      <c r="BK766" s="470"/>
      <c r="BL766" s="474"/>
    </row>
    <row r="767" spans="1:64">
      <c r="A767" s="475">
        <v>44558</v>
      </c>
      <c r="B767" s="478">
        <v>362</v>
      </c>
      <c r="C767" s="478">
        <v>3</v>
      </c>
      <c r="D767" s="476" t="s">
        <v>640</v>
      </c>
      <c r="E767" s="477">
        <v>52</v>
      </c>
      <c r="F767" s="476" t="s">
        <v>91</v>
      </c>
      <c r="G767" s="477">
        <v>535</v>
      </c>
      <c r="H767" s="476" t="s">
        <v>6245</v>
      </c>
      <c r="I767" s="476" t="s">
        <v>836</v>
      </c>
      <c r="J767" s="477">
        <v>9</v>
      </c>
      <c r="K767" s="476" t="s">
        <v>6264</v>
      </c>
      <c r="L767" s="476" t="s">
        <v>6280</v>
      </c>
      <c r="M767" s="476" t="s">
        <v>9</v>
      </c>
      <c r="N767" s="478">
        <v>0</v>
      </c>
      <c r="O767" s="479"/>
      <c r="P767" s="479"/>
      <c r="Q767" s="479"/>
      <c r="R767" s="476"/>
      <c r="S767" s="479">
        <v>0.2384375</v>
      </c>
      <c r="T767" s="479">
        <v>0.30510416666666668</v>
      </c>
      <c r="U767" s="479"/>
      <c r="V767" s="479"/>
      <c r="W767" s="479">
        <v>0.4984837962962963</v>
      </c>
      <c r="X767" s="479">
        <v>0.69185185185185183</v>
      </c>
      <c r="Y767" s="479">
        <v>4.7916666666666663E-2</v>
      </c>
      <c r="Z767" s="479">
        <v>0.29097222222222224</v>
      </c>
      <c r="AA767" s="479">
        <v>0.53125</v>
      </c>
      <c r="AB767" s="476" t="s">
        <v>6289</v>
      </c>
      <c r="AC767" s="478">
        <v>131</v>
      </c>
      <c r="AD767" s="476" t="s">
        <v>119</v>
      </c>
      <c r="AE767" s="476"/>
      <c r="AF767" s="478">
        <v>98.3</v>
      </c>
      <c r="AG767" s="477">
        <v>54.6</v>
      </c>
      <c r="AH767" s="476" t="s">
        <v>6298</v>
      </c>
      <c r="AI767" s="476" t="s">
        <v>6326</v>
      </c>
      <c r="AJ767" s="476" t="s">
        <v>6493</v>
      </c>
      <c r="AK767" s="476" t="s">
        <v>6493</v>
      </c>
      <c r="AL767" s="476"/>
      <c r="AM767" s="476"/>
      <c r="AN767" s="476"/>
      <c r="AO767" s="476"/>
      <c r="AP767" s="476"/>
      <c r="AQ767" s="476"/>
      <c r="AR767" s="476"/>
      <c r="AS767" s="476"/>
      <c r="AT767" s="476"/>
      <c r="AU767" s="476"/>
      <c r="AV767" s="476"/>
      <c r="AW767" s="476"/>
      <c r="AX767" s="476"/>
      <c r="AY767" s="476"/>
      <c r="AZ767" s="476"/>
      <c r="BA767" s="476"/>
      <c r="BB767" s="476"/>
      <c r="BC767" s="476"/>
      <c r="BD767" s="476"/>
      <c r="BE767" s="476"/>
      <c r="BF767" s="476"/>
      <c r="BG767" s="476"/>
      <c r="BH767" s="476"/>
      <c r="BI767" s="476"/>
      <c r="BJ767" s="476"/>
      <c r="BK767" s="476"/>
      <c r="BL767" s="480"/>
    </row>
    <row r="768" spans="1:64">
      <c r="A768" s="468">
        <v>44559</v>
      </c>
      <c r="B768" s="473">
        <v>363</v>
      </c>
      <c r="C768" s="473">
        <v>2</v>
      </c>
      <c r="D768" s="470" t="s">
        <v>640</v>
      </c>
      <c r="E768" s="469">
        <v>52</v>
      </c>
      <c r="F768" s="470" t="s">
        <v>94</v>
      </c>
      <c r="G768" s="469">
        <v>535</v>
      </c>
      <c r="H768" s="470" t="s">
        <v>6245</v>
      </c>
      <c r="I768" s="470" t="s">
        <v>836</v>
      </c>
      <c r="J768" s="469">
        <v>11</v>
      </c>
      <c r="K768" s="470" t="s">
        <v>6271</v>
      </c>
      <c r="L768" s="470" t="s">
        <v>6281</v>
      </c>
      <c r="M768" s="470" t="s">
        <v>9</v>
      </c>
      <c r="N768" s="473">
        <v>0</v>
      </c>
      <c r="O768" s="471">
        <v>0.32083333333333336</v>
      </c>
      <c r="P768" s="471">
        <v>0.23958333333333334</v>
      </c>
      <c r="Q768" s="471"/>
      <c r="R768" s="470"/>
      <c r="S768" s="471">
        <v>0.23861111111111111</v>
      </c>
      <c r="T768" s="471">
        <v>0.30527777777777781</v>
      </c>
      <c r="U768" s="471"/>
      <c r="V768" s="471"/>
      <c r="W768" s="471">
        <v>0.49881944444444443</v>
      </c>
      <c r="X768" s="471">
        <v>0.69236111111111109</v>
      </c>
      <c r="Y768" s="471">
        <v>9.8611111111111108E-2</v>
      </c>
      <c r="Z768" s="471">
        <v>0.32500000000000001</v>
      </c>
      <c r="AA768" s="471">
        <v>0.55138888888888882</v>
      </c>
      <c r="AB768" s="470" t="s">
        <v>6289</v>
      </c>
      <c r="AC768" s="473">
        <v>131</v>
      </c>
      <c r="AD768" s="470" t="s">
        <v>119</v>
      </c>
      <c r="AE768" s="470"/>
      <c r="AF768" s="473">
        <v>7.2</v>
      </c>
      <c r="AG768" s="469">
        <v>60.3</v>
      </c>
      <c r="AH768" s="470" t="s">
        <v>6299</v>
      </c>
      <c r="AI768" s="470" t="s">
        <v>6327</v>
      </c>
      <c r="AJ768" s="470" t="s">
        <v>839</v>
      </c>
      <c r="AK768" s="470" t="s">
        <v>6493</v>
      </c>
      <c r="AL768" s="470" t="s">
        <v>6722</v>
      </c>
      <c r="AM768" s="470" t="s">
        <v>6346</v>
      </c>
      <c r="AN768" s="470" t="s">
        <v>7002</v>
      </c>
      <c r="AO768" s="470"/>
      <c r="AP768" s="470"/>
      <c r="AQ768" s="470"/>
      <c r="AR768" s="470"/>
      <c r="AS768" s="470"/>
      <c r="AT768" s="470"/>
      <c r="AU768" s="470"/>
      <c r="AV768" s="470"/>
      <c r="AW768" s="470"/>
      <c r="AX768" s="470"/>
      <c r="AY768" s="470"/>
      <c r="AZ768" s="470"/>
      <c r="BA768" s="470"/>
      <c r="BB768" s="470"/>
      <c r="BC768" s="470"/>
      <c r="BD768" s="470"/>
      <c r="BE768" s="470"/>
      <c r="BF768" s="470"/>
      <c r="BG768" s="470"/>
      <c r="BH768" s="470"/>
      <c r="BI768" s="470"/>
      <c r="BJ768" s="470" t="s">
        <v>6704</v>
      </c>
      <c r="BK768" s="470"/>
      <c r="BL768" s="474"/>
    </row>
    <row r="769" spans="1:64">
      <c r="A769" s="481">
        <v>44560</v>
      </c>
      <c r="B769" s="484">
        <v>364</v>
      </c>
      <c r="C769" s="484">
        <v>1</v>
      </c>
      <c r="D769" s="482" t="s">
        <v>640</v>
      </c>
      <c r="E769" s="483">
        <v>52</v>
      </c>
      <c r="F769" s="482" t="s">
        <v>6714</v>
      </c>
      <c r="G769" s="483">
        <v>535</v>
      </c>
      <c r="H769" s="482" t="s">
        <v>6245</v>
      </c>
      <c r="I769" s="482" t="s">
        <v>836</v>
      </c>
      <c r="J769" s="483">
        <v>12</v>
      </c>
      <c r="K769" s="482" t="s">
        <v>6266</v>
      </c>
      <c r="L769" s="482" t="s">
        <v>6283</v>
      </c>
      <c r="M769" s="482" t="s">
        <v>9</v>
      </c>
      <c r="N769" s="484">
        <v>0</v>
      </c>
      <c r="O769" s="485"/>
      <c r="P769" s="485"/>
      <c r="Q769" s="485"/>
      <c r="R769" s="482"/>
      <c r="S769" s="485">
        <v>0.23875000000000002</v>
      </c>
      <c r="T769" s="485">
        <v>0.30541666666666667</v>
      </c>
      <c r="U769" s="485"/>
      <c r="V769" s="485"/>
      <c r="W769" s="485">
        <v>0.49915509259259255</v>
      </c>
      <c r="X769" s="485">
        <v>0.6929050925925927</v>
      </c>
      <c r="Y769" s="485">
        <v>0.15138888888888888</v>
      </c>
      <c r="Z769" s="485">
        <v>0.36249999999999999</v>
      </c>
      <c r="AA769" s="485">
        <v>0.57430555555555551</v>
      </c>
      <c r="AB769" s="482" t="s">
        <v>6289</v>
      </c>
      <c r="AC769" s="484">
        <v>131</v>
      </c>
      <c r="AD769" s="482" t="s">
        <v>119</v>
      </c>
      <c r="AE769" s="482"/>
      <c r="AF769" s="484">
        <v>19.399999999999999</v>
      </c>
      <c r="AG769" s="483">
        <v>68.900000000000006</v>
      </c>
      <c r="AH769" s="482" t="s">
        <v>6300</v>
      </c>
      <c r="AI769" s="482" t="s">
        <v>6328</v>
      </c>
      <c r="AJ769" s="482" t="s">
        <v>838</v>
      </c>
      <c r="AK769" s="482" t="s">
        <v>13</v>
      </c>
      <c r="AL769" s="482" t="s">
        <v>6723</v>
      </c>
      <c r="AM769" s="482" t="s">
        <v>6342</v>
      </c>
      <c r="AN769" s="482" t="s">
        <v>7003</v>
      </c>
      <c r="AO769" s="482" t="s">
        <v>6351</v>
      </c>
      <c r="AP769" s="482"/>
      <c r="AQ769" s="482"/>
      <c r="AR769" s="482"/>
      <c r="AS769" s="482"/>
      <c r="AT769" s="482"/>
      <c r="AU769" s="482"/>
      <c r="AV769" s="482"/>
      <c r="AW769" s="482"/>
      <c r="AX769" s="482"/>
      <c r="AY769" s="482"/>
      <c r="AZ769" s="482"/>
      <c r="BA769" s="482"/>
      <c r="BB769" s="482"/>
      <c r="BC769" s="482"/>
      <c r="BD769" s="482"/>
      <c r="BE769" s="482"/>
      <c r="BF769" s="482"/>
      <c r="BG769" s="482"/>
      <c r="BH769" s="482"/>
      <c r="BI769" s="482"/>
      <c r="BJ769" s="482"/>
      <c r="BK769" s="482"/>
      <c r="BL769" s="486"/>
    </row>
    <row r="770" spans="1:64">
      <c r="A770" s="468">
        <v>44561</v>
      </c>
      <c r="B770" s="473">
        <v>365</v>
      </c>
      <c r="C770" s="473">
        <v>0</v>
      </c>
      <c r="D770" s="470" t="s">
        <v>640</v>
      </c>
      <c r="E770" s="469">
        <v>52</v>
      </c>
      <c r="F770" s="470" t="s">
        <v>100</v>
      </c>
      <c r="G770" s="469">
        <v>535</v>
      </c>
      <c r="H770" s="470" t="s">
        <v>6245</v>
      </c>
      <c r="I770" s="470" t="s">
        <v>836</v>
      </c>
      <c r="J770" s="469">
        <v>13</v>
      </c>
      <c r="K770" s="470" t="s">
        <v>6267</v>
      </c>
      <c r="L770" s="470" t="s">
        <v>6284</v>
      </c>
      <c r="M770" s="470" t="s">
        <v>9</v>
      </c>
      <c r="N770" s="473">
        <v>0</v>
      </c>
      <c r="O770" s="471"/>
      <c r="P770" s="471"/>
      <c r="Q770" s="471"/>
      <c r="R770" s="470"/>
      <c r="S770" s="471">
        <v>0.23886574074074074</v>
      </c>
      <c r="T770" s="471">
        <v>0.30553240740740739</v>
      </c>
      <c r="U770" s="471">
        <v>0.30486111111111108</v>
      </c>
      <c r="V770" s="471">
        <v>0.43472222222222223</v>
      </c>
      <c r="W770" s="471">
        <v>0.49949074074074074</v>
      </c>
      <c r="X770" s="471">
        <v>0.69346064814814812</v>
      </c>
      <c r="Y770" s="471">
        <v>0.20555555555555557</v>
      </c>
      <c r="Z770" s="471">
        <v>0.40486111111111112</v>
      </c>
      <c r="AA770" s="471">
        <v>0.60416666666666663</v>
      </c>
      <c r="AB770" s="470" t="s">
        <v>6289</v>
      </c>
      <c r="AC770" s="473">
        <v>131</v>
      </c>
      <c r="AD770" s="470" t="s">
        <v>119</v>
      </c>
      <c r="AE770" s="470"/>
      <c r="AF770" s="473">
        <v>34.4</v>
      </c>
      <c r="AG770" s="469">
        <v>80.099999999999994</v>
      </c>
      <c r="AH770" s="470" t="s">
        <v>6301</v>
      </c>
      <c r="AI770" s="470" t="s">
        <v>6329</v>
      </c>
      <c r="AJ770" s="470" t="s">
        <v>839</v>
      </c>
      <c r="AK770" s="470" t="s">
        <v>6493</v>
      </c>
      <c r="AL770" s="470" t="s">
        <v>6891</v>
      </c>
      <c r="AM770" s="470" t="s">
        <v>6343</v>
      </c>
      <c r="AN770" s="470" t="s">
        <v>6903</v>
      </c>
      <c r="AO770" s="470" t="s">
        <v>6346</v>
      </c>
      <c r="AP770" s="470" t="s">
        <v>7006</v>
      </c>
      <c r="AQ770" s="470" t="s">
        <v>6346</v>
      </c>
      <c r="AR770" s="470"/>
      <c r="AS770" s="470"/>
      <c r="AT770" s="470"/>
      <c r="AU770" s="470"/>
      <c r="AV770" s="470"/>
      <c r="AW770" s="470"/>
      <c r="AX770" s="470"/>
      <c r="AY770" s="470"/>
      <c r="AZ770" s="470"/>
      <c r="BA770" s="470"/>
      <c r="BB770" s="470"/>
      <c r="BC770" s="470"/>
      <c r="BD770" s="470"/>
      <c r="BE770" s="470"/>
      <c r="BF770" s="470"/>
      <c r="BG770" s="470"/>
      <c r="BH770" s="470"/>
      <c r="BI770" s="470"/>
      <c r="BJ770" s="470" t="s">
        <v>6356</v>
      </c>
      <c r="BK770" s="470"/>
      <c r="BL770" s="474"/>
    </row>
    <row r="771" spans="1:64">
      <c r="A771" s="475">
        <v>44562</v>
      </c>
      <c r="B771" s="478">
        <v>1</v>
      </c>
      <c r="C771" s="478">
        <v>364</v>
      </c>
      <c r="D771" s="476" t="s">
        <v>609</v>
      </c>
      <c r="E771" s="477">
        <v>52</v>
      </c>
      <c r="F771" s="476" t="s">
        <v>103</v>
      </c>
      <c r="G771" s="477">
        <v>535</v>
      </c>
      <c r="H771" s="476" t="s">
        <v>6245</v>
      </c>
      <c r="I771" s="476" t="s">
        <v>836</v>
      </c>
      <c r="J771" s="477">
        <v>14</v>
      </c>
      <c r="K771" s="476" t="s">
        <v>6268</v>
      </c>
      <c r="L771" s="476" t="s">
        <v>6285</v>
      </c>
      <c r="M771" s="476" t="s">
        <v>9</v>
      </c>
      <c r="N771" s="478">
        <v>0</v>
      </c>
      <c r="O771" s="479"/>
      <c r="P771" s="479"/>
      <c r="Q771" s="479"/>
      <c r="R771" s="476"/>
      <c r="S771" s="479">
        <v>0.23894675925925926</v>
      </c>
      <c r="T771" s="479">
        <v>0.30561342592592594</v>
      </c>
      <c r="U771" s="479"/>
      <c r="V771" s="479"/>
      <c r="W771" s="479">
        <v>0.49982638888888892</v>
      </c>
      <c r="X771" s="479">
        <v>0.69403935185185184</v>
      </c>
      <c r="Y771" s="479">
        <v>0.25972222222222224</v>
      </c>
      <c r="Z771" s="479">
        <v>0.45069444444444445</v>
      </c>
      <c r="AA771" s="479">
        <v>0.64097222222222217</v>
      </c>
      <c r="AB771" s="476" t="s">
        <v>6289</v>
      </c>
      <c r="AC771" s="478">
        <v>131</v>
      </c>
      <c r="AD771" s="476" t="s">
        <v>119</v>
      </c>
      <c r="AE771" s="476"/>
      <c r="AF771" s="478">
        <v>51.4</v>
      </c>
      <c r="AG771" s="477">
        <v>93</v>
      </c>
      <c r="AH771" s="476" t="s">
        <v>6302</v>
      </c>
      <c r="AI771" s="476" t="s">
        <v>6331</v>
      </c>
      <c r="AJ771" s="476" t="s">
        <v>6493</v>
      </c>
      <c r="AK771" s="476" t="s">
        <v>6493</v>
      </c>
      <c r="AL771" s="476" t="s">
        <v>732</v>
      </c>
      <c r="AM771" s="476"/>
      <c r="AN771" s="476"/>
      <c r="AO771" s="476"/>
      <c r="AP771" s="476"/>
      <c r="AQ771" s="476"/>
      <c r="AR771" s="476"/>
      <c r="AS771" s="476"/>
      <c r="AT771" s="476"/>
      <c r="AU771" s="476"/>
      <c r="AV771" s="476"/>
      <c r="AW771" s="476"/>
      <c r="AX771" s="476"/>
      <c r="AY771" s="476"/>
      <c r="AZ771" s="476"/>
      <c r="BA771" s="476"/>
      <c r="BB771" s="476"/>
      <c r="BC771" s="476"/>
      <c r="BD771" s="476"/>
      <c r="BE771" s="476"/>
      <c r="BF771" s="476"/>
      <c r="BG771" s="476"/>
      <c r="BH771" s="476"/>
      <c r="BI771" s="476"/>
      <c r="BJ771" s="476"/>
      <c r="BK771" s="476"/>
      <c r="BL771" s="480"/>
    </row>
    <row r="772" spans="1:64">
      <c r="A772" s="468">
        <v>44563</v>
      </c>
      <c r="B772" s="473">
        <v>2</v>
      </c>
      <c r="C772" s="473">
        <v>363</v>
      </c>
      <c r="D772" s="470" t="s">
        <v>609</v>
      </c>
      <c r="E772" s="469">
        <v>52</v>
      </c>
      <c r="F772" s="470" t="s">
        <v>106</v>
      </c>
      <c r="G772" s="469">
        <v>535</v>
      </c>
      <c r="H772" s="470" t="s">
        <v>6245</v>
      </c>
      <c r="I772" s="470" t="s">
        <v>836</v>
      </c>
      <c r="J772" s="469">
        <v>15</v>
      </c>
      <c r="K772" s="470" t="s">
        <v>6269</v>
      </c>
      <c r="L772" s="470" t="s">
        <v>6286</v>
      </c>
      <c r="M772" s="470" t="s">
        <v>9</v>
      </c>
      <c r="N772" s="473">
        <v>0</v>
      </c>
      <c r="O772" s="471"/>
      <c r="P772" s="471"/>
      <c r="Q772" s="471"/>
      <c r="R772" s="470"/>
      <c r="S772" s="471">
        <v>0.23901620370370369</v>
      </c>
      <c r="T772" s="471">
        <v>0.3056828703703704</v>
      </c>
      <c r="U772" s="471"/>
      <c r="V772" s="471"/>
      <c r="W772" s="471">
        <v>0.50015046296296295</v>
      </c>
      <c r="X772" s="471">
        <v>0.6946296296296296</v>
      </c>
      <c r="Y772" s="471">
        <v>0.31041666666666667</v>
      </c>
      <c r="Z772" s="471">
        <v>0.49791666666666662</v>
      </c>
      <c r="AA772" s="471">
        <v>0.68611111111111101</v>
      </c>
      <c r="AB772" s="470" t="s">
        <v>6463</v>
      </c>
      <c r="AC772" s="473">
        <v>152</v>
      </c>
      <c r="AD772" s="470" t="s">
        <v>110</v>
      </c>
      <c r="AE772" s="470" t="s">
        <v>6646</v>
      </c>
      <c r="AF772" s="473">
        <v>69.3</v>
      </c>
      <c r="AG772" s="469">
        <v>6.8</v>
      </c>
      <c r="AH772" s="470" t="s">
        <v>6304</v>
      </c>
      <c r="AI772" s="470" t="s">
        <v>6332</v>
      </c>
      <c r="AJ772" s="470" t="s">
        <v>6493</v>
      </c>
      <c r="AK772" s="470" t="s">
        <v>6493</v>
      </c>
      <c r="AL772" s="470"/>
      <c r="AM772" s="470"/>
      <c r="AN772" s="470"/>
      <c r="AO772" s="470"/>
      <c r="AP772" s="470"/>
      <c r="AQ772" s="470"/>
      <c r="AR772" s="470"/>
      <c r="AS772" s="470"/>
      <c r="AT772" s="470"/>
      <c r="AU772" s="470"/>
      <c r="AV772" s="470"/>
      <c r="AW772" s="470"/>
      <c r="AX772" s="470"/>
      <c r="AY772" s="470"/>
      <c r="AZ772" s="470"/>
      <c r="BA772" s="470"/>
      <c r="BB772" s="470"/>
      <c r="BC772" s="470"/>
      <c r="BD772" s="470"/>
      <c r="BE772" s="470"/>
      <c r="BF772" s="470"/>
      <c r="BG772" s="470"/>
      <c r="BH772" s="470"/>
      <c r="BI772" s="470"/>
      <c r="BJ772" s="470"/>
      <c r="BK772" s="470"/>
      <c r="BL772" s="474"/>
    </row>
    <row r="773" spans="1:64">
      <c r="A773" s="475">
        <v>44564</v>
      </c>
      <c r="B773" s="478">
        <v>3</v>
      </c>
      <c r="C773" s="478">
        <v>362</v>
      </c>
      <c r="D773" s="476" t="s">
        <v>609</v>
      </c>
      <c r="E773" s="477">
        <v>1</v>
      </c>
      <c r="F773" s="476" t="s">
        <v>88</v>
      </c>
      <c r="G773" s="477">
        <v>535</v>
      </c>
      <c r="H773" s="476" t="s">
        <v>6245</v>
      </c>
      <c r="I773" s="476" t="s">
        <v>6257</v>
      </c>
      <c r="J773" s="477">
        <v>16</v>
      </c>
      <c r="K773" s="476" t="s">
        <v>6270</v>
      </c>
      <c r="L773" s="476" t="s">
        <v>6287</v>
      </c>
      <c r="M773" s="476" t="s">
        <v>9</v>
      </c>
      <c r="N773" s="478">
        <v>0</v>
      </c>
      <c r="O773" s="479"/>
      <c r="P773" s="479"/>
      <c r="Q773" s="479"/>
      <c r="R773" s="476"/>
      <c r="S773" s="479">
        <v>0.23905092592592592</v>
      </c>
      <c r="T773" s="479">
        <v>0.30571759259259262</v>
      </c>
      <c r="U773" s="479"/>
      <c r="V773" s="479"/>
      <c r="W773" s="479">
        <v>0.50048611111111108</v>
      </c>
      <c r="X773" s="479">
        <v>0.69524305555555566</v>
      </c>
      <c r="Y773" s="479">
        <v>0.3527777777777778</v>
      </c>
      <c r="Z773" s="479">
        <v>0.50347222222222221</v>
      </c>
      <c r="AA773" s="479">
        <v>0.7368055555555556</v>
      </c>
      <c r="AB773" s="476" t="s">
        <v>6463</v>
      </c>
      <c r="AC773" s="478">
        <v>152</v>
      </c>
      <c r="AD773" s="476" t="s">
        <v>110</v>
      </c>
      <c r="AE773" s="476"/>
      <c r="AF773" s="478">
        <v>86.7</v>
      </c>
      <c r="AG773" s="477">
        <v>20.100000000000001</v>
      </c>
      <c r="AH773" s="476" t="s">
        <v>6305</v>
      </c>
      <c r="AI773" s="476" t="s">
        <v>6333</v>
      </c>
      <c r="AJ773" s="476" t="s">
        <v>839</v>
      </c>
      <c r="AK773" s="476" t="s">
        <v>6493</v>
      </c>
      <c r="AL773" s="476" t="s">
        <v>6725</v>
      </c>
      <c r="AM773" s="476" t="s">
        <v>6346</v>
      </c>
      <c r="AN773" s="476"/>
      <c r="AO773" s="476"/>
      <c r="AP773" s="476"/>
      <c r="AQ773" s="476"/>
      <c r="AR773" s="476"/>
      <c r="AS773" s="476"/>
      <c r="AT773" s="476"/>
      <c r="AU773" s="476"/>
      <c r="AV773" s="476"/>
      <c r="AW773" s="476"/>
      <c r="AX773" s="476"/>
      <c r="AY773" s="476"/>
      <c r="AZ773" s="476"/>
      <c r="BA773" s="476"/>
      <c r="BB773" s="476"/>
      <c r="BC773" s="476"/>
      <c r="BD773" s="476"/>
      <c r="BE773" s="476"/>
      <c r="BF773" s="476"/>
      <c r="BG773" s="476"/>
      <c r="BH773" s="476"/>
      <c r="BI773" s="476"/>
      <c r="BJ773" s="476" t="s">
        <v>6357</v>
      </c>
      <c r="BK773" s="476"/>
      <c r="BL773" s="480"/>
    </row>
    <row r="774" spans="1:64">
      <c r="A774" s="468">
        <v>44565</v>
      </c>
      <c r="B774" s="473">
        <v>4</v>
      </c>
      <c r="C774" s="473">
        <v>361</v>
      </c>
      <c r="D774" s="470" t="s">
        <v>609</v>
      </c>
      <c r="E774" s="469">
        <v>1</v>
      </c>
      <c r="F774" s="470" t="s">
        <v>91</v>
      </c>
      <c r="G774" s="469">
        <v>535</v>
      </c>
      <c r="H774" s="470" t="s">
        <v>6245</v>
      </c>
      <c r="I774" s="470" t="s">
        <v>6257</v>
      </c>
      <c r="J774" s="469">
        <v>18</v>
      </c>
      <c r="K774" s="470" t="s">
        <v>6258</v>
      </c>
      <c r="L774" s="470" t="s">
        <v>6273</v>
      </c>
      <c r="M774" s="470" t="s">
        <v>9</v>
      </c>
      <c r="N774" s="473">
        <v>0</v>
      </c>
      <c r="O774" s="471">
        <v>0.41944444444444445</v>
      </c>
      <c r="P774" s="471">
        <v>0.28541666666666665</v>
      </c>
      <c r="Q774" s="471"/>
      <c r="R774" s="470"/>
      <c r="S774" s="471">
        <v>0.23906249999999998</v>
      </c>
      <c r="T774" s="471">
        <v>0.30572916666666666</v>
      </c>
      <c r="U774" s="471"/>
      <c r="V774" s="471"/>
      <c r="W774" s="471">
        <v>0.50079861111111112</v>
      </c>
      <c r="X774" s="471">
        <v>0.69587962962962957</v>
      </c>
      <c r="Y774" s="471">
        <v>0.38611111111111113</v>
      </c>
      <c r="Z774" s="471">
        <v>0.54652777777777783</v>
      </c>
      <c r="AA774" s="471">
        <v>0.79375000000000007</v>
      </c>
      <c r="AB774" s="470" t="s">
        <v>6463</v>
      </c>
      <c r="AC774" s="473">
        <v>152</v>
      </c>
      <c r="AD774" s="470" t="s">
        <v>110</v>
      </c>
      <c r="AE774" s="470"/>
      <c r="AF774" s="473">
        <v>2.2999999999999998</v>
      </c>
      <c r="AG774" s="469">
        <v>31.7</v>
      </c>
      <c r="AH774" s="470" t="s">
        <v>6306</v>
      </c>
      <c r="AI774" s="470" t="s">
        <v>6334</v>
      </c>
      <c r="AJ774" s="470" t="s">
        <v>839</v>
      </c>
      <c r="AK774" s="470" t="s">
        <v>6493</v>
      </c>
      <c r="AL774" s="470" t="s">
        <v>6726</v>
      </c>
      <c r="AM774" s="470" t="s">
        <v>6346</v>
      </c>
      <c r="AN774" s="470" t="s">
        <v>6904</v>
      </c>
      <c r="AO774" s="470" t="s">
        <v>6346</v>
      </c>
      <c r="AP774" s="470" t="s">
        <v>7051</v>
      </c>
      <c r="AQ774" s="470"/>
      <c r="AR774" s="470"/>
      <c r="AS774" s="470"/>
      <c r="AT774" s="470"/>
      <c r="AU774" s="470"/>
      <c r="AV774" s="470"/>
      <c r="AW774" s="470"/>
      <c r="AX774" s="470"/>
      <c r="AY774" s="470"/>
      <c r="AZ774" s="470"/>
      <c r="BA774" s="470"/>
      <c r="BB774" s="470"/>
      <c r="BC774" s="470"/>
      <c r="BD774" s="470"/>
      <c r="BE774" s="470"/>
      <c r="BF774" s="470"/>
      <c r="BG774" s="470"/>
      <c r="BH774" s="470"/>
      <c r="BI774" s="470"/>
      <c r="BJ774" s="470" t="s">
        <v>7102</v>
      </c>
      <c r="BK774" s="470"/>
      <c r="BL774" s="474"/>
    </row>
    <row r="775" spans="1:64">
      <c r="A775" s="475">
        <v>44566</v>
      </c>
      <c r="B775" s="478">
        <v>5</v>
      </c>
      <c r="C775" s="478">
        <v>360</v>
      </c>
      <c r="D775" s="476" t="s">
        <v>609</v>
      </c>
      <c r="E775" s="477">
        <v>1</v>
      </c>
      <c r="F775" s="476" t="s">
        <v>94</v>
      </c>
      <c r="G775" s="477">
        <v>535</v>
      </c>
      <c r="H775" s="476" t="s">
        <v>6245</v>
      </c>
      <c r="I775" s="476" t="s">
        <v>6257</v>
      </c>
      <c r="J775" s="477">
        <v>19</v>
      </c>
      <c r="K775" s="476" t="s">
        <v>6259</v>
      </c>
      <c r="L775" s="476" t="s">
        <v>6275</v>
      </c>
      <c r="M775" s="476" t="s">
        <v>9</v>
      </c>
      <c r="N775" s="478">
        <v>0</v>
      </c>
      <c r="O775" s="479"/>
      <c r="P775" s="479"/>
      <c r="Q775" s="479"/>
      <c r="R775" s="476"/>
      <c r="S775" s="479">
        <v>0.23903935185185185</v>
      </c>
      <c r="T775" s="479">
        <v>0.30570601851851853</v>
      </c>
      <c r="U775" s="479"/>
      <c r="V775" s="479"/>
      <c r="W775" s="479">
        <v>0.50111111111111117</v>
      </c>
      <c r="X775" s="479">
        <v>0.69652777777777775</v>
      </c>
      <c r="Y775" s="479">
        <v>0.41319444444444442</v>
      </c>
      <c r="Z775" s="479">
        <v>0.62777777777777777</v>
      </c>
      <c r="AA775" s="479">
        <v>0.84305555555555556</v>
      </c>
      <c r="AB775" s="476" t="s">
        <v>6463</v>
      </c>
      <c r="AC775" s="478">
        <v>152</v>
      </c>
      <c r="AD775" s="476" t="s">
        <v>110</v>
      </c>
      <c r="AE775" s="476"/>
      <c r="AF775" s="478">
        <v>14.9</v>
      </c>
      <c r="AG775" s="477">
        <v>40.700000000000003</v>
      </c>
      <c r="AH775" s="476" t="s">
        <v>6307</v>
      </c>
      <c r="AI775" s="476" t="s">
        <v>6335</v>
      </c>
      <c r="AJ775" s="476" t="s">
        <v>6493</v>
      </c>
      <c r="AK775" s="476" t="s">
        <v>6493</v>
      </c>
      <c r="AL775" s="476"/>
      <c r="AM775" s="476"/>
      <c r="AN775" s="476"/>
      <c r="AO775" s="476"/>
      <c r="AP775" s="476"/>
      <c r="AQ775" s="476"/>
      <c r="AR775" s="476"/>
      <c r="AS775" s="476"/>
      <c r="AT775" s="476"/>
      <c r="AU775" s="476"/>
      <c r="AV775" s="476"/>
      <c r="AW775" s="476"/>
      <c r="AX775" s="476"/>
      <c r="AY775" s="476"/>
      <c r="AZ775" s="476"/>
      <c r="BA775" s="476"/>
      <c r="BB775" s="476"/>
      <c r="BC775" s="476"/>
      <c r="BD775" s="476"/>
      <c r="BE775" s="476"/>
      <c r="BF775" s="476"/>
      <c r="BG775" s="476"/>
      <c r="BH775" s="476"/>
      <c r="BI775" s="476"/>
      <c r="BJ775" s="476"/>
      <c r="BK775" s="476"/>
      <c r="BL775" s="480"/>
    </row>
    <row r="776" spans="1:64">
      <c r="A776" s="468">
        <v>44567</v>
      </c>
      <c r="B776" s="473">
        <v>6</v>
      </c>
      <c r="C776" s="473">
        <v>359</v>
      </c>
      <c r="D776" s="470" t="s">
        <v>609</v>
      </c>
      <c r="E776" s="469">
        <v>1</v>
      </c>
      <c r="F776" s="470" t="s">
        <v>6714</v>
      </c>
      <c r="G776" s="469">
        <v>535</v>
      </c>
      <c r="H776" s="470" t="s">
        <v>6245</v>
      </c>
      <c r="I776" s="470" t="s">
        <v>6257</v>
      </c>
      <c r="J776" s="469">
        <v>20</v>
      </c>
      <c r="K776" s="470" t="s">
        <v>6260</v>
      </c>
      <c r="L776" s="470" t="s">
        <v>6276</v>
      </c>
      <c r="M776" s="470" t="s">
        <v>9</v>
      </c>
      <c r="N776" s="473">
        <v>0</v>
      </c>
      <c r="O776" s="471"/>
      <c r="P776" s="471"/>
      <c r="Q776" s="471"/>
      <c r="R776" s="470"/>
      <c r="S776" s="471">
        <v>0.23899305555555558</v>
      </c>
      <c r="T776" s="471">
        <v>0.30565972222222221</v>
      </c>
      <c r="U776" s="471"/>
      <c r="V776" s="471"/>
      <c r="W776" s="471">
        <v>0.50142361111111111</v>
      </c>
      <c r="X776" s="471">
        <v>0.69718750000000007</v>
      </c>
      <c r="Y776" s="471">
        <v>0.43541666666666662</v>
      </c>
      <c r="Z776" s="471">
        <v>0.66319444444444442</v>
      </c>
      <c r="AA776" s="471">
        <v>0.89166666666666661</v>
      </c>
      <c r="AB776" s="470" t="s">
        <v>6463</v>
      </c>
      <c r="AC776" s="473">
        <v>152</v>
      </c>
      <c r="AD776" s="470" t="s">
        <v>110</v>
      </c>
      <c r="AE776" s="470"/>
      <c r="AF776" s="473">
        <v>23.7</v>
      </c>
      <c r="AG776" s="469">
        <v>46.3</v>
      </c>
      <c r="AH776" s="470" t="s">
        <v>6308</v>
      </c>
      <c r="AI776" s="470" t="s">
        <v>6337</v>
      </c>
      <c r="AJ776" s="470" t="s">
        <v>6493</v>
      </c>
      <c r="AK776" s="470" t="s">
        <v>6493</v>
      </c>
      <c r="AL776" s="470"/>
      <c r="AM776" s="470"/>
      <c r="AN776" s="470"/>
      <c r="AO776" s="470"/>
      <c r="AP776" s="470"/>
      <c r="AQ776" s="470"/>
      <c r="AR776" s="470"/>
      <c r="AS776" s="470"/>
      <c r="AT776" s="470"/>
      <c r="AU776" s="470"/>
      <c r="AV776" s="470"/>
      <c r="AW776" s="470"/>
      <c r="AX776" s="470"/>
      <c r="AY776" s="470"/>
      <c r="AZ776" s="470"/>
      <c r="BA776" s="470"/>
      <c r="BB776" s="470"/>
      <c r="BC776" s="470"/>
      <c r="BD776" s="470"/>
      <c r="BE776" s="470"/>
      <c r="BF776" s="470"/>
      <c r="BG776" s="470"/>
      <c r="BH776" s="470"/>
      <c r="BI776" s="470"/>
      <c r="BJ776" s="470"/>
      <c r="BK776" s="470"/>
      <c r="BL776" s="474"/>
    </row>
    <row r="777" spans="1:64">
      <c r="A777" s="475">
        <v>44568</v>
      </c>
      <c r="B777" s="478">
        <v>7</v>
      </c>
      <c r="C777" s="478">
        <v>358</v>
      </c>
      <c r="D777" s="476" t="s">
        <v>609</v>
      </c>
      <c r="E777" s="477">
        <v>1</v>
      </c>
      <c r="F777" s="476" t="s">
        <v>100</v>
      </c>
      <c r="G777" s="477">
        <v>535</v>
      </c>
      <c r="H777" s="476" t="s">
        <v>6245</v>
      </c>
      <c r="I777" s="476" t="s">
        <v>6257</v>
      </c>
      <c r="J777" s="477">
        <v>21</v>
      </c>
      <c r="K777" s="476" t="s">
        <v>6261</v>
      </c>
      <c r="L777" s="476" t="s">
        <v>6277</v>
      </c>
      <c r="M777" s="476" t="s">
        <v>9</v>
      </c>
      <c r="N777" s="478">
        <v>0</v>
      </c>
      <c r="O777" s="479"/>
      <c r="P777" s="479"/>
      <c r="Q777" s="479"/>
      <c r="R777" s="476"/>
      <c r="S777" s="479">
        <v>0.23892361111111113</v>
      </c>
      <c r="T777" s="479">
        <v>0.30559027777777775</v>
      </c>
      <c r="U777" s="479"/>
      <c r="V777" s="479"/>
      <c r="W777" s="479">
        <v>0.50172453703703701</v>
      </c>
      <c r="X777" s="479">
        <v>0.69785879629629621</v>
      </c>
      <c r="Y777" s="479">
        <v>0.45347222222222222</v>
      </c>
      <c r="Z777" s="479">
        <v>0.6958333333333333</v>
      </c>
      <c r="AA777" s="479">
        <v>0.93888888888888899</v>
      </c>
      <c r="AB777" s="476" t="s">
        <v>6463</v>
      </c>
      <c r="AC777" s="478">
        <v>152</v>
      </c>
      <c r="AD777" s="476" t="s">
        <v>110</v>
      </c>
      <c r="AE777" s="476"/>
      <c r="AF777" s="478">
        <v>28.5</v>
      </c>
      <c r="AG777" s="477">
        <v>48.3</v>
      </c>
      <c r="AH777" s="476" t="s">
        <v>6309</v>
      </c>
      <c r="AI777" s="476" t="s">
        <v>6338</v>
      </c>
      <c r="AJ777" s="476" t="s">
        <v>6493</v>
      </c>
      <c r="AK777" s="476" t="s">
        <v>6493</v>
      </c>
      <c r="AL777" s="476"/>
      <c r="AM777" s="476"/>
      <c r="AN777" s="476"/>
      <c r="AO777" s="476"/>
      <c r="AP777" s="476"/>
      <c r="AQ777" s="476"/>
      <c r="AR777" s="476"/>
      <c r="AS777" s="476"/>
      <c r="AT777" s="476"/>
      <c r="AU777" s="476"/>
      <c r="AV777" s="476"/>
      <c r="AW777" s="476"/>
      <c r="AX777" s="476"/>
      <c r="AY777" s="476"/>
      <c r="AZ777" s="476"/>
      <c r="BA777" s="476"/>
      <c r="BB777" s="476"/>
      <c r="BC777" s="476"/>
      <c r="BD777" s="476"/>
      <c r="BE777" s="476"/>
      <c r="BF777" s="476"/>
      <c r="BG777" s="476"/>
      <c r="BH777" s="476"/>
      <c r="BI777" s="476"/>
      <c r="BJ777" s="476"/>
      <c r="BK777" s="476"/>
      <c r="BL777" s="480"/>
    </row>
    <row r="778" spans="1:64">
      <c r="A778" s="468">
        <v>44569</v>
      </c>
      <c r="B778" s="473">
        <v>8</v>
      </c>
      <c r="C778" s="473">
        <v>357</v>
      </c>
      <c r="D778" s="470" t="s">
        <v>609</v>
      </c>
      <c r="E778" s="469">
        <v>1</v>
      </c>
      <c r="F778" s="470" t="s">
        <v>103</v>
      </c>
      <c r="G778" s="469">
        <v>535</v>
      </c>
      <c r="H778" s="470" t="s">
        <v>6245</v>
      </c>
      <c r="I778" s="470" t="s">
        <v>6257</v>
      </c>
      <c r="J778" s="469">
        <v>22</v>
      </c>
      <c r="K778" s="470" t="s">
        <v>6262</v>
      </c>
      <c r="L778" s="470" t="s">
        <v>6278</v>
      </c>
      <c r="M778" s="470" t="s">
        <v>9</v>
      </c>
      <c r="N778" s="473">
        <v>0</v>
      </c>
      <c r="O778" s="471"/>
      <c r="P778" s="471"/>
      <c r="Q778" s="471"/>
      <c r="R778" s="470"/>
      <c r="S778" s="471">
        <v>0.23883101851851851</v>
      </c>
      <c r="T778" s="471">
        <v>0.30549768518518522</v>
      </c>
      <c r="U778" s="471"/>
      <c r="V778" s="471"/>
      <c r="W778" s="471">
        <v>0.50202546296296291</v>
      </c>
      <c r="X778" s="471">
        <v>0.69855324074074077</v>
      </c>
      <c r="Y778" s="471">
        <v>0.47013888888888888</v>
      </c>
      <c r="Z778" s="471">
        <v>0.72499999999999998</v>
      </c>
      <c r="AA778" s="471">
        <v>0.98333333333333339</v>
      </c>
      <c r="AB778" s="470" t="s">
        <v>6463</v>
      </c>
      <c r="AC778" s="473">
        <v>152</v>
      </c>
      <c r="AD778" s="470" t="s">
        <v>110</v>
      </c>
      <c r="AE778" s="470"/>
      <c r="AF778" s="473">
        <v>29.3</v>
      </c>
      <c r="AG778" s="469">
        <v>46.7</v>
      </c>
      <c r="AH778" s="470" t="s">
        <v>6310</v>
      </c>
      <c r="AI778" s="470" t="s">
        <v>6339</v>
      </c>
      <c r="AJ778" s="470" t="s">
        <v>6493</v>
      </c>
      <c r="AK778" s="470" t="s">
        <v>6493</v>
      </c>
      <c r="AL778" s="470"/>
      <c r="AM778" s="470"/>
      <c r="AN778" s="470"/>
      <c r="AO778" s="470"/>
      <c r="AP778" s="470"/>
      <c r="AQ778" s="470"/>
      <c r="AR778" s="470"/>
      <c r="AS778" s="470"/>
      <c r="AT778" s="470"/>
      <c r="AU778" s="470"/>
      <c r="AV778" s="470"/>
      <c r="AW778" s="470"/>
      <c r="AX778" s="470"/>
      <c r="AY778" s="470"/>
      <c r="AZ778" s="470"/>
      <c r="BA778" s="470"/>
      <c r="BB778" s="470"/>
      <c r="BC778" s="470"/>
      <c r="BD778" s="470"/>
      <c r="BE778" s="470"/>
      <c r="BF778" s="470"/>
      <c r="BG778" s="470"/>
      <c r="BH778" s="470"/>
      <c r="BI778" s="470"/>
      <c r="BJ778" s="470"/>
      <c r="BK778" s="470"/>
      <c r="BL778" s="474"/>
    </row>
    <row r="779" spans="1:64">
      <c r="A779" s="475">
        <v>44570</v>
      </c>
      <c r="B779" s="478">
        <v>9</v>
      </c>
      <c r="C779" s="478">
        <v>356</v>
      </c>
      <c r="D779" s="476" t="s">
        <v>609</v>
      </c>
      <c r="E779" s="477">
        <v>1</v>
      </c>
      <c r="F779" s="476" t="s">
        <v>106</v>
      </c>
      <c r="G779" s="477">
        <v>535</v>
      </c>
      <c r="H779" s="476" t="s">
        <v>6245</v>
      </c>
      <c r="I779" s="476" t="s">
        <v>6257</v>
      </c>
      <c r="J779" s="477">
        <v>23</v>
      </c>
      <c r="K779" s="476" t="s">
        <v>6263</v>
      </c>
      <c r="L779" s="476" t="s">
        <v>6279</v>
      </c>
      <c r="M779" s="476" t="s">
        <v>9</v>
      </c>
      <c r="N779" s="478">
        <v>0</v>
      </c>
      <c r="O779" s="479"/>
      <c r="P779" s="479"/>
      <c r="Q779" s="479"/>
      <c r="R779" s="476"/>
      <c r="S779" s="479">
        <v>0.23871527777777779</v>
      </c>
      <c r="T779" s="479">
        <v>0.30538194444444444</v>
      </c>
      <c r="U779" s="479"/>
      <c r="V779" s="479"/>
      <c r="W779" s="479">
        <v>0.50231481481481477</v>
      </c>
      <c r="X779" s="479">
        <v>0.69925925925925936</v>
      </c>
      <c r="Y779" s="479">
        <v>0.48541666666666666</v>
      </c>
      <c r="Z779" s="479">
        <v>0.75486111111111109</v>
      </c>
      <c r="AA779" s="479" t="s">
        <v>1107</v>
      </c>
      <c r="AB779" s="476" t="s">
        <v>6464</v>
      </c>
      <c r="AC779" s="478">
        <v>130</v>
      </c>
      <c r="AD779" s="476" t="s">
        <v>113</v>
      </c>
      <c r="AE779" s="476" t="s">
        <v>6647</v>
      </c>
      <c r="AF779" s="478">
        <v>26.6</v>
      </c>
      <c r="AG779" s="477">
        <v>41.8</v>
      </c>
      <c r="AH779" s="476" t="s">
        <v>6311</v>
      </c>
      <c r="AI779" s="476" t="s">
        <v>6340</v>
      </c>
      <c r="AJ779" s="476" t="s">
        <v>6493</v>
      </c>
      <c r="AK779" s="476" t="s">
        <v>6493</v>
      </c>
      <c r="AL779" s="476"/>
      <c r="AM779" s="476"/>
      <c r="AN779" s="476"/>
      <c r="AO779" s="476"/>
      <c r="AP779" s="476"/>
      <c r="AQ779" s="476"/>
      <c r="AR779" s="476"/>
      <c r="AS779" s="476"/>
      <c r="AT779" s="476"/>
      <c r="AU779" s="476"/>
      <c r="AV779" s="476"/>
      <c r="AW779" s="476"/>
      <c r="AX779" s="476"/>
      <c r="AY779" s="476"/>
      <c r="AZ779" s="476"/>
      <c r="BA779" s="476"/>
      <c r="BB779" s="476"/>
      <c r="BC779" s="476"/>
      <c r="BD779" s="476"/>
      <c r="BE779" s="476"/>
      <c r="BF779" s="476"/>
      <c r="BG779" s="476"/>
      <c r="BH779" s="476"/>
      <c r="BI779" s="476"/>
      <c r="BJ779" s="476"/>
      <c r="BK779" s="476"/>
      <c r="BL779" s="480"/>
    </row>
    <row r="780" spans="1:64">
      <c r="A780" s="468">
        <v>44571</v>
      </c>
      <c r="B780" s="473">
        <v>10</v>
      </c>
      <c r="C780" s="473">
        <v>355</v>
      </c>
      <c r="D780" s="470" t="s">
        <v>609</v>
      </c>
      <c r="E780" s="469">
        <v>2</v>
      </c>
      <c r="F780" s="470" t="s">
        <v>88</v>
      </c>
      <c r="G780" s="469">
        <v>535</v>
      </c>
      <c r="H780" s="470" t="s">
        <v>6245</v>
      </c>
      <c r="I780" s="470" t="s">
        <v>6257</v>
      </c>
      <c r="J780" s="469">
        <v>24</v>
      </c>
      <c r="K780" s="470" t="s">
        <v>6264</v>
      </c>
      <c r="L780" s="470" t="s">
        <v>6280</v>
      </c>
      <c r="M780" s="470" t="s">
        <v>9</v>
      </c>
      <c r="N780" s="473">
        <v>0</v>
      </c>
      <c r="O780" s="471"/>
      <c r="P780" s="471"/>
      <c r="Q780" s="471"/>
      <c r="R780" s="470"/>
      <c r="S780" s="471">
        <v>0.23856481481481481</v>
      </c>
      <c r="T780" s="471">
        <v>0.30523148148148149</v>
      </c>
      <c r="U780" s="471"/>
      <c r="V780" s="471"/>
      <c r="W780" s="471">
        <v>0.50260416666666663</v>
      </c>
      <c r="X780" s="471">
        <v>0.69997685185185177</v>
      </c>
      <c r="Y780" s="471">
        <v>0.50138888888888888</v>
      </c>
      <c r="Z780" s="471">
        <v>0.78333333333333333</v>
      </c>
      <c r="AA780" s="471">
        <v>2.7083333333333334E-2</v>
      </c>
      <c r="AB780" s="470" t="s">
        <v>6464</v>
      </c>
      <c r="AC780" s="473">
        <v>130</v>
      </c>
      <c r="AD780" s="470" t="s">
        <v>113</v>
      </c>
      <c r="AE780" s="470"/>
      <c r="AF780" s="473">
        <v>20.9</v>
      </c>
      <c r="AG780" s="469">
        <v>34.4</v>
      </c>
      <c r="AH780" s="470" t="s">
        <v>6312</v>
      </c>
      <c r="AI780" s="470" t="s">
        <v>974</v>
      </c>
      <c r="AJ780" s="470" t="s">
        <v>6493</v>
      </c>
      <c r="AK780" s="470" t="s">
        <v>6493</v>
      </c>
      <c r="AL780" s="470"/>
      <c r="AM780" s="470"/>
      <c r="AN780" s="470"/>
      <c r="AO780" s="470"/>
      <c r="AP780" s="470"/>
      <c r="AQ780" s="470"/>
      <c r="AR780" s="470"/>
      <c r="AS780" s="470"/>
      <c r="AT780" s="470"/>
      <c r="AU780" s="470"/>
      <c r="AV780" s="470"/>
      <c r="AW780" s="470"/>
      <c r="AX780" s="470"/>
      <c r="AY780" s="470"/>
      <c r="AZ780" s="470"/>
      <c r="BA780" s="470"/>
      <c r="BB780" s="470"/>
      <c r="BC780" s="470"/>
      <c r="BD780" s="470"/>
      <c r="BE780" s="470"/>
      <c r="BF780" s="470"/>
      <c r="BG780" s="470"/>
      <c r="BH780" s="470"/>
      <c r="BI780" s="470"/>
      <c r="BJ780" s="470"/>
      <c r="BK780" s="470"/>
      <c r="BL780" s="474"/>
    </row>
    <row r="781" spans="1:64">
      <c r="A781" s="475">
        <v>44572</v>
      </c>
      <c r="B781" s="478">
        <v>11</v>
      </c>
      <c r="C781" s="478">
        <v>354</v>
      </c>
      <c r="D781" s="476" t="s">
        <v>609</v>
      </c>
      <c r="E781" s="477">
        <v>2</v>
      </c>
      <c r="F781" s="476" t="s">
        <v>91</v>
      </c>
      <c r="G781" s="477">
        <v>535</v>
      </c>
      <c r="H781" s="476" t="s">
        <v>6245</v>
      </c>
      <c r="I781" s="476" t="s">
        <v>6257</v>
      </c>
      <c r="J781" s="477">
        <v>25</v>
      </c>
      <c r="K781" s="476" t="s">
        <v>6265</v>
      </c>
      <c r="L781" s="476" t="s">
        <v>6281</v>
      </c>
      <c r="M781" s="476" t="s">
        <v>9</v>
      </c>
      <c r="N781" s="478">
        <v>0</v>
      </c>
      <c r="O781" s="479"/>
      <c r="P781" s="479"/>
      <c r="Q781" s="479"/>
      <c r="R781" s="476"/>
      <c r="S781" s="479">
        <v>0.2383912037037037</v>
      </c>
      <c r="T781" s="479">
        <v>0.30505787037037035</v>
      </c>
      <c r="U781" s="479"/>
      <c r="V781" s="479"/>
      <c r="W781" s="479">
        <v>0.50288194444444445</v>
      </c>
      <c r="X781" s="479">
        <v>0.70070601851851855</v>
      </c>
      <c r="Y781" s="479">
        <v>0.5180555555555556</v>
      </c>
      <c r="Z781" s="479">
        <v>0.8125</v>
      </c>
      <c r="AA781" s="479">
        <v>7.013888888888889E-2</v>
      </c>
      <c r="AB781" s="476" t="s">
        <v>6464</v>
      </c>
      <c r="AC781" s="478">
        <v>130</v>
      </c>
      <c r="AD781" s="476" t="s">
        <v>113</v>
      </c>
      <c r="AE781" s="476"/>
      <c r="AF781" s="478">
        <v>13</v>
      </c>
      <c r="AG781" s="477">
        <v>24.9</v>
      </c>
      <c r="AH781" s="476" t="s">
        <v>6313</v>
      </c>
      <c r="AI781" s="476" t="s">
        <v>6316</v>
      </c>
      <c r="AJ781" s="476" t="s">
        <v>6493</v>
      </c>
      <c r="AK781" s="476" t="s">
        <v>6493</v>
      </c>
      <c r="AL781" s="476"/>
      <c r="AM781" s="476"/>
      <c r="AN781" s="476"/>
      <c r="AO781" s="476"/>
      <c r="AP781" s="476"/>
      <c r="AQ781" s="476"/>
      <c r="AR781" s="476"/>
      <c r="AS781" s="476"/>
      <c r="AT781" s="476"/>
      <c r="AU781" s="476"/>
      <c r="AV781" s="476"/>
      <c r="AW781" s="476"/>
      <c r="AX781" s="476"/>
      <c r="AY781" s="476"/>
      <c r="AZ781" s="476"/>
      <c r="BA781" s="476"/>
      <c r="BB781" s="476"/>
      <c r="BC781" s="476"/>
      <c r="BD781" s="476"/>
      <c r="BE781" s="476"/>
      <c r="BF781" s="476"/>
      <c r="BG781" s="476"/>
      <c r="BH781" s="476"/>
      <c r="BI781" s="476"/>
      <c r="BJ781" s="476"/>
      <c r="BK781" s="476"/>
      <c r="BL781" s="480"/>
    </row>
    <row r="782" spans="1:64">
      <c r="A782" s="468">
        <v>44573</v>
      </c>
      <c r="B782" s="473">
        <v>12</v>
      </c>
      <c r="C782" s="473">
        <v>353</v>
      </c>
      <c r="D782" s="470" t="s">
        <v>609</v>
      </c>
      <c r="E782" s="469">
        <v>2</v>
      </c>
      <c r="F782" s="470" t="s">
        <v>94</v>
      </c>
      <c r="G782" s="469">
        <v>535</v>
      </c>
      <c r="H782" s="470" t="s">
        <v>6245</v>
      </c>
      <c r="I782" s="470" t="s">
        <v>6257</v>
      </c>
      <c r="J782" s="469">
        <v>26</v>
      </c>
      <c r="K782" s="470" t="s">
        <v>6271</v>
      </c>
      <c r="L782" s="470" t="s">
        <v>6281</v>
      </c>
      <c r="M782" s="470" t="s">
        <v>9</v>
      </c>
      <c r="N782" s="473">
        <v>0</v>
      </c>
      <c r="O782" s="471"/>
      <c r="P782" s="471"/>
      <c r="Q782" s="471"/>
      <c r="R782" s="470"/>
      <c r="S782" s="471">
        <v>0.23819444444444446</v>
      </c>
      <c r="T782" s="471">
        <v>0.30486111111111108</v>
      </c>
      <c r="U782" s="471"/>
      <c r="V782" s="471"/>
      <c r="W782" s="471">
        <v>0.50315972222222227</v>
      </c>
      <c r="X782" s="471">
        <v>0.70145833333333341</v>
      </c>
      <c r="Y782" s="471">
        <v>0.53611111111111109</v>
      </c>
      <c r="Z782" s="471">
        <v>0.84305555555555556</v>
      </c>
      <c r="AA782" s="471">
        <v>0.1125</v>
      </c>
      <c r="AB782" s="470" t="s">
        <v>6464</v>
      </c>
      <c r="AC782" s="473">
        <v>130</v>
      </c>
      <c r="AD782" s="470" t="s">
        <v>113</v>
      </c>
      <c r="AE782" s="470"/>
      <c r="AF782" s="473">
        <v>3.6</v>
      </c>
      <c r="AG782" s="469">
        <v>14.1</v>
      </c>
      <c r="AH782" s="470" t="s">
        <v>6314</v>
      </c>
      <c r="AI782" s="470" t="s">
        <v>6317</v>
      </c>
      <c r="AJ782" s="470" t="s">
        <v>6493</v>
      </c>
      <c r="AK782" s="470" t="s">
        <v>6493</v>
      </c>
      <c r="AL782" s="470"/>
      <c r="AM782" s="470"/>
      <c r="AN782" s="470"/>
      <c r="AO782" s="470"/>
      <c r="AP782" s="470"/>
      <c r="AQ782" s="470"/>
      <c r="AR782" s="470"/>
      <c r="AS782" s="470"/>
      <c r="AT782" s="470"/>
      <c r="AU782" s="470"/>
      <c r="AV782" s="470"/>
      <c r="AW782" s="470"/>
      <c r="AX782" s="470"/>
      <c r="AY782" s="470"/>
      <c r="AZ782" s="470"/>
      <c r="BA782" s="470"/>
      <c r="BB782" s="470"/>
      <c r="BC782" s="470"/>
      <c r="BD782" s="470"/>
      <c r="BE782" s="470"/>
      <c r="BF782" s="470"/>
      <c r="BG782" s="470"/>
      <c r="BH782" s="470"/>
      <c r="BI782" s="470"/>
      <c r="BJ782" s="470"/>
      <c r="BK782" s="470"/>
      <c r="BL782" s="474"/>
    </row>
    <row r="783" spans="1:64">
      <c r="A783" s="475">
        <v>44574</v>
      </c>
      <c r="B783" s="478">
        <v>13</v>
      </c>
      <c r="C783" s="478">
        <v>352</v>
      </c>
      <c r="D783" s="476" t="s">
        <v>609</v>
      </c>
      <c r="E783" s="477">
        <v>2</v>
      </c>
      <c r="F783" s="476" t="s">
        <v>6714</v>
      </c>
      <c r="G783" s="477">
        <v>535</v>
      </c>
      <c r="H783" s="476" t="s">
        <v>6245</v>
      </c>
      <c r="I783" s="476" t="s">
        <v>6257</v>
      </c>
      <c r="J783" s="477">
        <v>26</v>
      </c>
      <c r="K783" s="476" t="s">
        <v>6271</v>
      </c>
      <c r="L783" s="476" t="s">
        <v>6282</v>
      </c>
      <c r="M783" s="476" t="s">
        <v>10</v>
      </c>
      <c r="N783" s="478">
        <v>0</v>
      </c>
      <c r="O783" s="479"/>
      <c r="P783" s="479"/>
      <c r="Q783" s="479"/>
      <c r="R783" s="476"/>
      <c r="S783" s="479">
        <v>0.23796296296296296</v>
      </c>
      <c r="T783" s="479">
        <v>0.30462962962962964</v>
      </c>
      <c r="U783" s="479"/>
      <c r="V783" s="479"/>
      <c r="W783" s="479">
        <v>0.50341435185185179</v>
      </c>
      <c r="X783" s="479">
        <v>0.70221064814814815</v>
      </c>
      <c r="Y783" s="479">
        <v>0.55763888888888891</v>
      </c>
      <c r="Z783" s="479">
        <v>0.875</v>
      </c>
      <c r="AA783" s="479">
        <v>0.15486111111111112</v>
      </c>
      <c r="AB783" s="476" t="s">
        <v>6464</v>
      </c>
      <c r="AC783" s="478">
        <v>130</v>
      </c>
      <c r="AD783" s="476" t="s">
        <v>113</v>
      </c>
      <c r="AE783" s="476"/>
      <c r="AF783" s="478">
        <v>93.4</v>
      </c>
      <c r="AG783" s="477">
        <v>2.5</v>
      </c>
      <c r="AH783" s="476" t="s">
        <v>973</v>
      </c>
      <c r="AI783" s="476" t="s">
        <v>6318</v>
      </c>
      <c r="AJ783" s="476" t="s">
        <v>838</v>
      </c>
      <c r="AK783" s="476" t="s">
        <v>13</v>
      </c>
      <c r="AL783" s="476" t="s">
        <v>6728</v>
      </c>
      <c r="AM783" s="476" t="s">
        <v>6342</v>
      </c>
      <c r="AN783" s="476" t="s">
        <v>6978</v>
      </c>
      <c r="AO783" s="476" t="s">
        <v>6351</v>
      </c>
      <c r="AP783" s="476" t="s">
        <v>6727</v>
      </c>
      <c r="AQ783" s="476"/>
      <c r="AR783" s="476"/>
      <c r="AS783" s="476"/>
      <c r="AT783" s="476"/>
      <c r="AU783" s="476"/>
      <c r="AV783" s="476"/>
      <c r="AW783" s="476"/>
      <c r="AX783" s="476"/>
      <c r="AY783" s="476"/>
      <c r="AZ783" s="476"/>
      <c r="BA783" s="476"/>
      <c r="BB783" s="476"/>
      <c r="BC783" s="476"/>
      <c r="BD783" s="476"/>
      <c r="BE783" s="476"/>
      <c r="BF783" s="476"/>
      <c r="BG783" s="476"/>
      <c r="BH783" s="476"/>
      <c r="BI783" s="476"/>
      <c r="BJ783" s="476"/>
      <c r="BK783" s="476"/>
      <c r="BL783" s="480"/>
    </row>
    <row r="784" spans="1:64">
      <c r="A784" s="468">
        <v>44575</v>
      </c>
      <c r="B784" s="473">
        <v>14</v>
      </c>
      <c r="C784" s="473">
        <v>351</v>
      </c>
      <c r="D784" s="470" t="s">
        <v>609</v>
      </c>
      <c r="E784" s="469">
        <v>2</v>
      </c>
      <c r="F784" s="470" t="s">
        <v>100</v>
      </c>
      <c r="G784" s="469">
        <v>535</v>
      </c>
      <c r="H784" s="470" t="s">
        <v>6245</v>
      </c>
      <c r="I784" s="470" t="s">
        <v>6257</v>
      </c>
      <c r="J784" s="469">
        <v>27</v>
      </c>
      <c r="K784" s="470" t="s">
        <v>6266</v>
      </c>
      <c r="L784" s="470" t="s">
        <v>6283</v>
      </c>
      <c r="M784" s="470" t="s">
        <v>9</v>
      </c>
      <c r="N784" s="473">
        <v>0</v>
      </c>
      <c r="O784" s="471"/>
      <c r="P784" s="471"/>
      <c r="Q784" s="471">
        <v>0.15730324074074073</v>
      </c>
      <c r="R784" s="470" t="s">
        <v>15</v>
      </c>
      <c r="S784" s="471">
        <v>0.23771990740740742</v>
      </c>
      <c r="T784" s="471">
        <v>0.30438657407407405</v>
      </c>
      <c r="U784" s="471">
        <v>0.30416666666666664</v>
      </c>
      <c r="V784" s="471">
        <v>0.4368055555555555</v>
      </c>
      <c r="W784" s="471">
        <v>0.50368055555555558</v>
      </c>
      <c r="X784" s="471">
        <v>0.70297453703703694</v>
      </c>
      <c r="Y784" s="471">
        <v>0.58263888888888882</v>
      </c>
      <c r="Z784" s="471">
        <v>0.90833333333333333</v>
      </c>
      <c r="AA784" s="471">
        <v>0.19652777777777777</v>
      </c>
      <c r="AB784" s="470" t="s">
        <v>6464</v>
      </c>
      <c r="AC784" s="473">
        <v>130</v>
      </c>
      <c r="AD784" s="470" t="s">
        <v>113</v>
      </c>
      <c r="AE784" s="470"/>
      <c r="AF784" s="473">
        <v>82.9</v>
      </c>
      <c r="AG784" s="469">
        <v>90.8</v>
      </c>
      <c r="AH784" s="470" t="s">
        <v>973</v>
      </c>
      <c r="AI784" s="470" t="s">
        <v>6319</v>
      </c>
      <c r="AJ784" s="470" t="s">
        <v>839</v>
      </c>
      <c r="AK784" s="470" t="s">
        <v>6493</v>
      </c>
      <c r="AL784" s="470" t="s">
        <v>6892</v>
      </c>
      <c r="AM784" s="470" t="s">
        <v>6343</v>
      </c>
      <c r="AN784" s="470" t="s">
        <v>1218</v>
      </c>
      <c r="AO784" s="470" t="s">
        <v>6162</v>
      </c>
      <c r="AP784" s="470" t="s">
        <v>6906</v>
      </c>
      <c r="AQ784" s="470" t="s">
        <v>6346</v>
      </c>
      <c r="AR784" s="470" t="s">
        <v>7074</v>
      </c>
      <c r="AS784" s="470"/>
      <c r="AT784" s="470"/>
      <c r="AU784" s="470"/>
      <c r="AV784" s="470"/>
      <c r="AW784" s="470"/>
      <c r="AX784" s="470"/>
      <c r="AY784" s="470"/>
      <c r="AZ784" s="470"/>
      <c r="BA784" s="470"/>
      <c r="BB784" s="470"/>
      <c r="BC784" s="470"/>
      <c r="BD784" s="470"/>
      <c r="BE784" s="470"/>
      <c r="BF784" s="470"/>
      <c r="BG784" s="470"/>
      <c r="BH784" s="470"/>
      <c r="BI784" s="470"/>
      <c r="BJ784" s="470" t="s">
        <v>6664</v>
      </c>
      <c r="BK784" s="470"/>
      <c r="BL784" s="474"/>
    </row>
    <row r="785" spans="1:64">
      <c r="A785" s="475">
        <v>44576</v>
      </c>
      <c r="B785" s="478">
        <v>15</v>
      </c>
      <c r="C785" s="478">
        <v>350</v>
      </c>
      <c r="D785" s="476" t="s">
        <v>609</v>
      </c>
      <c r="E785" s="477">
        <v>2</v>
      </c>
      <c r="F785" s="476" t="s">
        <v>103</v>
      </c>
      <c r="G785" s="477">
        <v>535</v>
      </c>
      <c r="H785" s="476" t="s">
        <v>6245</v>
      </c>
      <c r="I785" s="476" t="s">
        <v>6257</v>
      </c>
      <c r="J785" s="477">
        <v>28</v>
      </c>
      <c r="K785" s="476" t="s">
        <v>6267</v>
      </c>
      <c r="L785" s="476" t="s">
        <v>6284</v>
      </c>
      <c r="M785" s="476" t="s">
        <v>9</v>
      </c>
      <c r="N785" s="478">
        <v>0</v>
      </c>
      <c r="O785" s="479"/>
      <c r="P785" s="479"/>
      <c r="Q785" s="479"/>
      <c r="R785" s="476"/>
      <c r="S785" s="479">
        <v>0.23744212962962963</v>
      </c>
      <c r="T785" s="479">
        <v>0.30410879629629628</v>
      </c>
      <c r="U785" s="479"/>
      <c r="V785" s="479"/>
      <c r="W785" s="479">
        <v>0.50392361111111106</v>
      </c>
      <c r="X785" s="479">
        <v>0.70374999999999999</v>
      </c>
      <c r="Y785" s="479">
        <v>0.61319444444444449</v>
      </c>
      <c r="Z785" s="479">
        <v>0.94374999999999998</v>
      </c>
      <c r="AA785" s="479">
        <v>0.23750000000000002</v>
      </c>
      <c r="AB785" s="476" t="s">
        <v>6464</v>
      </c>
      <c r="AC785" s="478">
        <v>130</v>
      </c>
      <c r="AD785" s="476" t="s">
        <v>113</v>
      </c>
      <c r="AE785" s="476"/>
      <c r="AF785" s="478">
        <v>72.900000000000006</v>
      </c>
      <c r="AG785" s="477">
        <v>79.3</v>
      </c>
      <c r="AH785" s="476" t="s">
        <v>6290</v>
      </c>
      <c r="AI785" s="476" t="s">
        <v>6341</v>
      </c>
      <c r="AJ785" s="476" t="s">
        <v>6493</v>
      </c>
      <c r="AK785" s="476" t="s">
        <v>6493</v>
      </c>
      <c r="AL785" s="476"/>
      <c r="AM785" s="476"/>
      <c r="AN785" s="476"/>
      <c r="AO785" s="476"/>
      <c r="AP785" s="476"/>
      <c r="AQ785" s="476"/>
      <c r="AR785" s="476"/>
      <c r="AS785" s="476"/>
      <c r="AT785" s="476"/>
      <c r="AU785" s="476"/>
      <c r="AV785" s="476"/>
      <c r="AW785" s="476"/>
      <c r="AX785" s="476"/>
      <c r="AY785" s="476"/>
      <c r="AZ785" s="476"/>
      <c r="BA785" s="476"/>
      <c r="BB785" s="476"/>
      <c r="BC785" s="476"/>
      <c r="BD785" s="476"/>
      <c r="BE785" s="476"/>
      <c r="BF785" s="476"/>
      <c r="BG785" s="476"/>
      <c r="BH785" s="476"/>
      <c r="BI785" s="476"/>
      <c r="BJ785" s="476"/>
      <c r="BK785" s="476"/>
      <c r="BL785" s="480"/>
    </row>
    <row r="786" spans="1:64">
      <c r="A786" s="468">
        <v>44577</v>
      </c>
      <c r="B786" s="473">
        <v>16</v>
      </c>
      <c r="C786" s="473">
        <v>349</v>
      </c>
      <c r="D786" s="470" t="s">
        <v>609</v>
      </c>
      <c r="E786" s="469">
        <v>2</v>
      </c>
      <c r="F786" s="470" t="s">
        <v>106</v>
      </c>
      <c r="G786" s="469">
        <v>535</v>
      </c>
      <c r="H786" s="470" t="s">
        <v>6245</v>
      </c>
      <c r="I786" s="470" t="s">
        <v>6257</v>
      </c>
      <c r="J786" s="469">
        <v>29</v>
      </c>
      <c r="K786" s="470" t="s">
        <v>6268</v>
      </c>
      <c r="L786" s="470" t="s">
        <v>6285</v>
      </c>
      <c r="M786" s="470" t="s">
        <v>9</v>
      </c>
      <c r="N786" s="473">
        <v>0</v>
      </c>
      <c r="O786" s="471"/>
      <c r="P786" s="471"/>
      <c r="Q786" s="471"/>
      <c r="R786" s="470"/>
      <c r="S786" s="471">
        <v>0.2371412037037037</v>
      </c>
      <c r="T786" s="471">
        <v>0.30380787037037038</v>
      </c>
      <c r="U786" s="471"/>
      <c r="V786" s="471"/>
      <c r="W786" s="471">
        <v>0.50416666666666665</v>
      </c>
      <c r="X786" s="471">
        <v>0.70453703703703707</v>
      </c>
      <c r="Y786" s="471">
        <v>0.6479166666666667</v>
      </c>
      <c r="Z786" s="471">
        <v>0.9784722222222223</v>
      </c>
      <c r="AA786" s="471">
        <v>0.27430555555555552</v>
      </c>
      <c r="AB786" s="470" t="s">
        <v>6464</v>
      </c>
      <c r="AC786" s="473">
        <v>130</v>
      </c>
      <c r="AD786" s="470" t="s">
        <v>113</v>
      </c>
      <c r="AE786" s="470"/>
      <c r="AF786" s="473">
        <v>63.6</v>
      </c>
      <c r="AG786" s="469">
        <v>68.599999999999994</v>
      </c>
      <c r="AH786" s="470" t="s">
        <v>6315</v>
      </c>
      <c r="AI786" s="470" t="s">
        <v>6320</v>
      </c>
      <c r="AJ786" s="470" t="s">
        <v>6493</v>
      </c>
      <c r="AK786" s="470" t="s">
        <v>6493</v>
      </c>
      <c r="AL786" s="470"/>
      <c r="AM786" s="470"/>
      <c r="AN786" s="470"/>
      <c r="AO786" s="470"/>
      <c r="AP786" s="470"/>
      <c r="AQ786" s="470"/>
      <c r="AR786" s="470"/>
      <c r="AS786" s="470"/>
      <c r="AT786" s="470"/>
      <c r="AU786" s="470"/>
      <c r="AV786" s="470"/>
      <c r="AW786" s="470"/>
      <c r="AX786" s="470"/>
      <c r="AY786" s="470"/>
      <c r="AZ786" s="470"/>
      <c r="BA786" s="470"/>
      <c r="BB786" s="470"/>
      <c r="BC786" s="470"/>
      <c r="BD786" s="470"/>
      <c r="BE786" s="470"/>
      <c r="BF786" s="470"/>
      <c r="BG786" s="470"/>
      <c r="BH786" s="470"/>
      <c r="BI786" s="470"/>
      <c r="BJ786" s="470"/>
      <c r="BK786" s="470"/>
      <c r="BL786" s="474"/>
    </row>
    <row r="787" spans="1:64">
      <c r="A787" s="475">
        <v>44578</v>
      </c>
      <c r="B787" s="478">
        <v>17</v>
      </c>
      <c r="C787" s="478">
        <v>348</v>
      </c>
      <c r="D787" s="476" t="s">
        <v>609</v>
      </c>
      <c r="E787" s="477">
        <v>3</v>
      </c>
      <c r="F787" s="476" t="s">
        <v>88</v>
      </c>
      <c r="G787" s="477">
        <v>535</v>
      </c>
      <c r="H787" s="476" t="s">
        <v>6245</v>
      </c>
      <c r="I787" s="476" t="s">
        <v>6257</v>
      </c>
      <c r="J787" s="477">
        <v>30</v>
      </c>
      <c r="K787" s="476" t="s">
        <v>6272</v>
      </c>
      <c r="L787" s="476" t="s">
        <v>6288</v>
      </c>
      <c r="M787" s="476" t="s">
        <v>9</v>
      </c>
      <c r="N787" s="478">
        <v>0</v>
      </c>
      <c r="O787" s="479"/>
      <c r="P787" s="479"/>
      <c r="Q787" s="479"/>
      <c r="R787" s="476"/>
      <c r="S787" s="479">
        <v>0.23680555555555557</v>
      </c>
      <c r="T787" s="479">
        <v>0.3034722222222222</v>
      </c>
      <c r="U787" s="479"/>
      <c r="V787" s="479"/>
      <c r="W787" s="479">
        <v>0.50439814814814821</v>
      </c>
      <c r="X787" s="479">
        <v>0.70532407407407405</v>
      </c>
      <c r="Y787" s="479">
        <v>0.6875</v>
      </c>
      <c r="Z787" s="479" t="s">
        <v>1107</v>
      </c>
      <c r="AA787" s="479">
        <v>0.30763888888888891</v>
      </c>
      <c r="AB787" s="476" t="s">
        <v>6462</v>
      </c>
      <c r="AC787" s="478">
        <v>129</v>
      </c>
      <c r="AD787" s="476" t="s">
        <v>116</v>
      </c>
      <c r="AE787" s="476" t="s">
        <v>6648</v>
      </c>
      <c r="AF787" s="478">
        <v>55.3</v>
      </c>
      <c r="AG787" s="477">
        <v>58.8</v>
      </c>
      <c r="AH787" s="476" t="s">
        <v>6291</v>
      </c>
      <c r="AI787" s="476" t="s">
        <v>6321</v>
      </c>
      <c r="AJ787" s="476" t="s">
        <v>839</v>
      </c>
      <c r="AK787" s="476" t="s">
        <v>6493</v>
      </c>
      <c r="AL787" s="476" t="s">
        <v>809</v>
      </c>
      <c r="AM787" s="476" t="s">
        <v>6344</v>
      </c>
      <c r="AN787" s="476" t="s">
        <v>6907</v>
      </c>
      <c r="AO787" s="476"/>
      <c r="AP787" s="476"/>
      <c r="AQ787" s="476"/>
      <c r="AR787" s="476"/>
      <c r="AS787" s="476"/>
      <c r="AT787" s="476"/>
      <c r="AU787" s="476"/>
      <c r="AV787" s="476"/>
      <c r="AW787" s="476"/>
      <c r="AX787" s="476"/>
      <c r="AY787" s="476"/>
      <c r="AZ787" s="476"/>
      <c r="BA787" s="476"/>
      <c r="BB787" s="476"/>
      <c r="BC787" s="476"/>
      <c r="BD787" s="476"/>
      <c r="BE787" s="476"/>
      <c r="BF787" s="476"/>
      <c r="BG787" s="476"/>
      <c r="BH787" s="476"/>
      <c r="BI787" s="476"/>
      <c r="BJ787" s="476" t="s">
        <v>6361</v>
      </c>
      <c r="BK787" s="476"/>
      <c r="BL787" s="480"/>
    </row>
    <row r="788" spans="1:64">
      <c r="A788" s="468">
        <v>44579</v>
      </c>
      <c r="B788" s="473">
        <v>18</v>
      </c>
      <c r="C788" s="473">
        <v>347</v>
      </c>
      <c r="D788" s="470" t="s">
        <v>609</v>
      </c>
      <c r="E788" s="469">
        <v>3</v>
      </c>
      <c r="F788" s="470" t="s">
        <v>91</v>
      </c>
      <c r="G788" s="469">
        <v>535</v>
      </c>
      <c r="H788" s="470" t="s">
        <v>6246</v>
      </c>
      <c r="I788" s="470" t="s">
        <v>836</v>
      </c>
      <c r="J788" s="469">
        <v>1</v>
      </c>
      <c r="K788" s="470" t="s">
        <v>6270</v>
      </c>
      <c r="L788" s="470" t="s">
        <v>6287</v>
      </c>
      <c r="M788" s="470" t="s">
        <v>9</v>
      </c>
      <c r="N788" s="473">
        <v>0</v>
      </c>
      <c r="O788" s="471"/>
      <c r="P788" s="471"/>
      <c r="Q788" s="471"/>
      <c r="R788" s="470"/>
      <c r="S788" s="471">
        <v>0.23645833333333333</v>
      </c>
      <c r="T788" s="471">
        <v>0.30312500000000003</v>
      </c>
      <c r="U788" s="471"/>
      <c r="V788" s="471"/>
      <c r="W788" s="471">
        <v>0.50462962962962965</v>
      </c>
      <c r="X788" s="471">
        <v>0.70612268518518517</v>
      </c>
      <c r="Y788" s="471">
        <v>0.73055555555555562</v>
      </c>
      <c r="Z788" s="471">
        <v>1.3888888888888888E-2</v>
      </c>
      <c r="AA788" s="471">
        <v>0.33611111111111108</v>
      </c>
      <c r="AB788" s="470" t="s">
        <v>6462</v>
      </c>
      <c r="AC788" s="473">
        <v>129</v>
      </c>
      <c r="AD788" s="470" t="s">
        <v>116</v>
      </c>
      <c r="AE788" s="470"/>
      <c r="AF788" s="473">
        <v>48.4</v>
      </c>
      <c r="AG788" s="469">
        <v>50.2</v>
      </c>
      <c r="AH788" s="470" t="s">
        <v>6292</v>
      </c>
      <c r="AI788" s="470" t="s">
        <v>6322</v>
      </c>
      <c r="AJ788" s="470" t="s">
        <v>6493</v>
      </c>
      <c r="AK788" s="470" t="s">
        <v>6493</v>
      </c>
      <c r="AL788" s="470" t="s">
        <v>6730</v>
      </c>
      <c r="AM788" s="470"/>
      <c r="AN788" s="470" t="s">
        <v>6908</v>
      </c>
      <c r="AO788" s="470"/>
      <c r="AP788" s="470"/>
      <c r="AQ788" s="470"/>
      <c r="AR788" s="470"/>
      <c r="AS788" s="470"/>
      <c r="AT788" s="470"/>
      <c r="AU788" s="470"/>
      <c r="AV788" s="470"/>
      <c r="AW788" s="470"/>
      <c r="AX788" s="470"/>
      <c r="AY788" s="470"/>
      <c r="AZ788" s="470"/>
      <c r="BA788" s="470"/>
      <c r="BB788" s="470"/>
      <c r="BC788" s="470"/>
      <c r="BD788" s="470"/>
      <c r="BE788" s="470"/>
      <c r="BF788" s="470"/>
      <c r="BG788" s="470"/>
      <c r="BH788" s="470"/>
      <c r="BI788" s="470"/>
      <c r="BJ788" s="470"/>
      <c r="BK788" s="470"/>
      <c r="BL788" s="474"/>
    </row>
    <row r="789" spans="1:64">
      <c r="A789" s="475">
        <v>44580</v>
      </c>
      <c r="B789" s="478">
        <v>19</v>
      </c>
      <c r="C789" s="478">
        <v>346</v>
      </c>
      <c r="D789" s="476" t="s">
        <v>609</v>
      </c>
      <c r="E789" s="477">
        <v>3</v>
      </c>
      <c r="F789" s="476" t="s">
        <v>94</v>
      </c>
      <c r="G789" s="477">
        <v>535</v>
      </c>
      <c r="H789" s="476" t="s">
        <v>6246</v>
      </c>
      <c r="I789" s="476" t="s">
        <v>836</v>
      </c>
      <c r="J789" s="477">
        <v>2</v>
      </c>
      <c r="K789" s="476" t="s">
        <v>1034</v>
      </c>
      <c r="L789" s="476" t="s">
        <v>6273</v>
      </c>
      <c r="M789" s="476" t="s">
        <v>9</v>
      </c>
      <c r="N789" s="478">
        <v>0</v>
      </c>
      <c r="O789" s="479"/>
      <c r="P789" s="479"/>
      <c r="Q789" s="479"/>
      <c r="R789" s="476"/>
      <c r="S789" s="479">
        <v>0.23608796296296297</v>
      </c>
      <c r="T789" s="479">
        <v>0.30275462962962962</v>
      </c>
      <c r="U789" s="479"/>
      <c r="V789" s="479"/>
      <c r="W789" s="479">
        <v>0.50483796296296302</v>
      </c>
      <c r="X789" s="479">
        <v>0.70693287037037045</v>
      </c>
      <c r="Y789" s="479">
        <v>0.77500000000000002</v>
      </c>
      <c r="Z789" s="479">
        <v>4.8611111111111112E-2</v>
      </c>
      <c r="AA789" s="479">
        <v>0.36041666666666666</v>
      </c>
      <c r="AB789" s="476" t="s">
        <v>6462</v>
      </c>
      <c r="AC789" s="478">
        <v>129</v>
      </c>
      <c r="AD789" s="476" t="s">
        <v>116</v>
      </c>
      <c r="AE789" s="476"/>
      <c r="AF789" s="478">
        <v>42.8</v>
      </c>
      <c r="AG789" s="477">
        <v>42.8</v>
      </c>
      <c r="AH789" s="476" t="s">
        <v>6293</v>
      </c>
      <c r="AI789" s="476" t="s">
        <v>6323</v>
      </c>
      <c r="AJ789" s="476" t="s">
        <v>6493</v>
      </c>
      <c r="AK789" s="476" t="s">
        <v>6493</v>
      </c>
      <c r="AL789" s="476"/>
      <c r="AM789" s="476"/>
      <c r="AN789" s="476"/>
      <c r="AO789" s="476"/>
      <c r="AP789" s="476"/>
      <c r="AQ789" s="476"/>
      <c r="AR789" s="476"/>
      <c r="AS789" s="476"/>
      <c r="AT789" s="476"/>
      <c r="AU789" s="476"/>
      <c r="AV789" s="476"/>
      <c r="AW789" s="476"/>
      <c r="AX789" s="476"/>
      <c r="AY789" s="476"/>
      <c r="AZ789" s="476"/>
      <c r="BA789" s="476"/>
      <c r="BB789" s="476"/>
      <c r="BC789" s="476"/>
      <c r="BD789" s="476"/>
      <c r="BE789" s="476"/>
      <c r="BF789" s="476"/>
      <c r="BG789" s="476"/>
      <c r="BH789" s="476"/>
      <c r="BI789" s="476"/>
      <c r="BJ789" s="476"/>
      <c r="BK789" s="476"/>
      <c r="BL789" s="480"/>
    </row>
    <row r="790" spans="1:64">
      <c r="A790" s="468">
        <v>44581</v>
      </c>
      <c r="B790" s="473">
        <v>20</v>
      </c>
      <c r="C790" s="473">
        <v>345</v>
      </c>
      <c r="D790" s="470" t="s">
        <v>609</v>
      </c>
      <c r="E790" s="469">
        <v>3</v>
      </c>
      <c r="F790" s="470" t="s">
        <v>6714</v>
      </c>
      <c r="G790" s="469">
        <v>535</v>
      </c>
      <c r="H790" s="470" t="s">
        <v>6246</v>
      </c>
      <c r="I790" s="470" t="s">
        <v>836</v>
      </c>
      <c r="J790" s="469">
        <v>3</v>
      </c>
      <c r="K790" s="470" t="s">
        <v>6258</v>
      </c>
      <c r="L790" s="470" t="s">
        <v>6274</v>
      </c>
      <c r="M790" s="470" t="s">
        <v>9</v>
      </c>
      <c r="N790" s="473">
        <v>0</v>
      </c>
      <c r="O790" s="471"/>
      <c r="P790" s="471"/>
      <c r="Q790" s="471"/>
      <c r="R790" s="470"/>
      <c r="S790" s="471">
        <v>0.23568287037037039</v>
      </c>
      <c r="T790" s="471">
        <v>0.30234953703703704</v>
      </c>
      <c r="U790" s="471"/>
      <c r="V790" s="471"/>
      <c r="W790" s="471">
        <v>0.50504629629629627</v>
      </c>
      <c r="X790" s="471">
        <v>0.70775462962962965</v>
      </c>
      <c r="Y790" s="471">
        <v>0.82013888888888886</v>
      </c>
      <c r="Z790" s="471">
        <v>8.0555555555555561E-2</v>
      </c>
      <c r="AA790" s="471">
        <v>0.38194444444444442</v>
      </c>
      <c r="AB790" s="470" t="s">
        <v>6462</v>
      </c>
      <c r="AC790" s="473">
        <v>129</v>
      </c>
      <c r="AD790" s="470" t="s">
        <v>116</v>
      </c>
      <c r="AE790" s="470"/>
      <c r="AF790" s="473">
        <v>38.6</v>
      </c>
      <c r="AG790" s="469">
        <v>36.700000000000003</v>
      </c>
      <c r="AH790" s="470" t="s">
        <v>6294</v>
      </c>
      <c r="AI790" s="470" t="s">
        <v>6324</v>
      </c>
      <c r="AJ790" s="470" t="s">
        <v>6493</v>
      </c>
      <c r="AK790" s="470" t="s">
        <v>6493</v>
      </c>
      <c r="AL790" s="470"/>
      <c r="AM790" s="470"/>
      <c r="AN790" s="470"/>
      <c r="AO790" s="470"/>
      <c r="AP790" s="470"/>
      <c r="AQ790" s="470"/>
      <c r="AR790" s="470"/>
      <c r="AS790" s="470"/>
      <c r="AT790" s="470"/>
      <c r="AU790" s="470"/>
      <c r="AV790" s="470"/>
      <c r="AW790" s="470"/>
      <c r="AX790" s="470"/>
      <c r="AY790" s="470"/>
      <c r="AZ790" s="470"/>
      <c r="BA790" s="470"/>
      <c r="BB790" s="470"/>
      <c r="BC790" s="470"/>
      <c r="BD790" s="470"/>
      <c r="BE790" s="470"/>
      <c r="BF790" s="470"/>
      <c r="BG790" s="470"/>
      <c r="BH790" s="470"/>
      <c r="BI790" s="470"/>
      <c r="BJ790" s="470"/>
      <c r="BK790" s="470"/>
      <c r="BL790" s="474"/>
    </row>
    <row r="791" spans="1:64">
      <c r="A791" s="475">
        <v>44582</v>
      </c>
      <c r="B791" s="478">
        <v>21</v>
      </c>
      <c r="C791" s="478">
        <v>344</v>
      </c>
      <c r="D791" s="476" t="s">
        <v>609</v>
      </c>
      <c r="E791" s="477">
        <v>3</v>
      </c>
      <c r="F791" s="476" t="s">
        <v>100</v>
      </c>
      <c r="G791" s="477">
        <v>535</v>
      </c>
      <c r="H791" s="476" t="s">
        <v>6246</v>
      </c>
      <c r="I791" s="476" t="s">
        <v>836</v>
      </c>
      <c r="J791" s="477">
        <v>4</v>
      </c>
      <c r="K791" s="476" t="s">
        <v>6259</v>
      </c>
      <c r="L791" s="476" t="s">
        <v>6275</v>
      </c>
      <c r="M791" s="476" t="s">
        <v>9</v>
      </c>
      <c r="N791" s="478">
        <v>0</v>
      </c>
      <c r="O791" s="479"/>
      <c r="P791" s="479"/>
      <c r="Q791" s="479"/>
      <c r="R791" s="476"/>
      <c r="S791" s="479">
        <v>0.23526620370370369</v>
      </c>
      <c r="T791" s="479">
        <v>0.30193287037037037</v>
      </c>
      <c r="U791" s="479"/>
      <c r="V791" s="479"/>
      <c r="W791" s="479">
        <v>0.50525462962962964</v>
      </c>
      <c r="X791" s="479">
        <v>0.70857638888888885</v>
      </c>
      <c r="Y791" s="479">
        <v>0.8666666666666667</v>
      </c>
      <c r="Z791" s="479">
        <v>0.11319444444444444</v>
      </c>
      <c r="AA791" s="479">
        <v>0.39999999999999997</v>
      </c>
      <c r="AB791" s="476" t="s">
        <v>6462</v>
      </c>
      <c r="AC791" s="478">
        <v>129</v>
      </c>
      <c r="AD791" s="476" t="s">
        <v>116</v>
      </c>
      <c r="AE791" s="476"/>
      <c r="AF791" s="478">
        <v>36</v>
      </c>
      <c r="AG791" s="477">
        <v>32</v>
      </c>
      <c r="AH791" s="476" t="s">
        <v>6295</v>
      </c>
      <c r="AI791" s="476" t="s">
        <v>6325</v>
      </c>
      <c r="AJ791" s="476" t="s">
        <v>6493</v>
      </c>
      <c r="AK791" s="476" t="s">
        <v>6493</v>
      </c>
      <c r="AL791" s="476"/>
      <c r="AM791" s="476"/>
      <c r="AN791" s="476"/>
      <c r="AO791" s="476"/>
      <c r="AP791" s="476"/>
      <c r="AQ791" s="476"/>
      <c r="AR791" s="476"/>
      <c r="AS791" s="476"/>
      <c r="AT791" s="476"/>
      <c r="AU791" s="476"/>
      <c r="AV791" s="476"/>
      <c r="AW791" s="476"/>
      <c r="AX791" s="476"/>
      <c r="AY791" s="476"/>
      <c r="AZ791" s="476"/>
      <c r="BA791" s="476"/>
      <c r="BB791" s="476"/>
      <c r="BC791" s="476"/>
      <c r="BD791" s="476"/>
      <c r="BE791" s="476"/>
      <c r="BF791" s="476"/>
      <c r="BG791" s="476"/>
      <c r="BH791" s="476"/>
      <c r="BI791" s="476"/>
      <c r="BJ791" s="476"/>
      <c r="BK791" s="476"/>
      <c r="BL791" s="480"/>
    </row>
    <row r="792" spans="1:64">
      <c r="A792" s="468">
        <v>44583</v>
      </c>
      <c r="B792" s="473">
        <v>22</v>
      </c>
      <c r="C792" s="473">
        <v>343</v>
      </c>
      <c r="D792" s="470" t="s">
        <v>609</v>
      </c>
      <c r="E792" s="469">
        <v>3</v>
      </c>
      <c r="F792" s="470" t="s">
        <v>103</v>
      </c>
      <c r="G792" s="469">
        <v>535</v>
      </c>
      <c r="H792" s="470" t="s">
        <v>6246</v>
      </c>
      <c r="I792" s="470" t="s">
        <v>836</v>
      </c>
      <c r="J792" s="469">
        <v>5</v>
      </c>
      <c r="K792" s="470" t="s">
        <v>6260</v>
      </c>
      <c r="L792" s="470" t="s">
        <v>6276</v>
      </c>
      <c r="M792" s="470" t="s">
        <v>9</v>
      </c>
      <c r="N792" s="473">
        <v>0</v>
      </c>
      <c r="O792" s="471"/>
      <c r="P792" s="471"/>
      <c r="Q792" s="471"/>
      <c r="R792" s="470"/>
      <c r="S792" s="471">
        <v>0.23481481481481481</v>
      </c>
      <c r="T792" s="471">
        <v>0.30148148148148152</v>
      </c>
      <c r="U792" s="471"/>
      <c r="V792" s="471"/>
      <c r="W792" s="471">
        <v>0.50543981481481481</v>
      </c>
      <c r="X792" s="471">
        <v>0.70939814814814817</v>
      </c>
      <c r="Y792" s="471">
        <v>0.91180555555555554</v>
      </c>
      <c r="Z792" s="471">
        <v>0.14305555555555557</v>
      </c>
      <c r="AA792" s="471">
        <v>0.41666666666666669</v>
      </c>
      <c r="AB792" s="470" t="s">
        <v>6462</v>
      </c>
      <c r="AC792" s="473">
        <v>129</v>
      </c>
      <c r="AD792" s="470" t="s">
        <v>116</v>
      </c>
      <c r="AE792" s="470"/>
      <c r="AF792" s="473">
        <v>35</v>
      </c>
      <c r="AG792" s="469">
        <v>28.7</v>
      </c>
      <c r="AH792" s="470" t="s">
        <v>6296</v>
      </c>
      <c r="AI792" s="470" t="s">
        <v>6326</v>
      </c>
      <c r="AJ792" s="470" t="s">
        <v>839</v>
      </c>
      <c r="AK792" s="470" t="s">
        <v>6493</v>
      </c>
      <c r="AL792" s="470" t="s">
        <v>6732</v>
      </c>
      <c r="AM792" s="470" t="s">
        <v>6346</v>
      </c>
      <c r="AN792" s="470" t="s">
        <v>6909</v>
      </c>
      <c r="AO792" s="470" t="s">
        <v>6346</v>
      </c>
      <c r="AP792" s="470"/>
      <c r="AQ792" s="470"/>
      <c r="AR792" s="470"/>
      <c r="AS792" s="470"/>
      <c r="AT792" s="470"/>
      <c r="AU792" s="470"/>
      <c r="AV792" s="470"/>
      <c r="AW792" s="470"/>
      <c r="AX792" s="470"/>
      <c r="AY792" s="470"/>
      <c r="AZ792" s="470"/>
      <c r="BA792" s="470"/>
      <c r="BB792" s="470"/>
      <c r="BC792" s="470"/>
      <c r="BD792" s="470"/>
      <c r="BE792" s="470"/>
      <c r="BF792" s="470"/>
      <c r="BG792" s="470"/>
      <c r="BH792" s="470"/>
      <c r="BI792" s="470"/>
      <c r="BJ792" s="470" t="s">
        <v>6362</v>
      </c>
      <c r="BK792" s="470"/>
      <c r="BL792" s="474"/>
    </row>
    <row r="793" spans="1:64">
      <c r="A793" s="475">
        <v>44584</v>
      </c>
      <c r="B793" s="478">
        <v>23</v>
      </c>
      <c r="C793" s="478">
        <v>342</v>
      </c>
      <c r="D793" s="476" t="s">
        <v>609</v>
      </c>
      <c r="E793" s="477">
        <v>3</v>
      </c>
      <c r="F793" s="476" t="s">
        <v>106</v>
      </c>
      <c r="G793" s="477">
        <v>535</v>
      </c>
      <c r="H793" s="476" t="s">
        <v>6246</v>
      </c>
      <c r="I793" s="476" t="s">
        <v>836</v>
      </c>
      <c r="J793" s="477">
        <v>6</v>
      </c>
      <c r="K793" s="476" t="s">
        <v>6261</v>
      </c>
      <c r="L793" s="476" t="s">
        <v>6277</v>
      </c>
      <c r="M793" s="476" t="s">
        <v>9</v>
      </c>
      <c r="N793" s="478">
        <v>0</v>
      </c>
      <c r="O793" s="479"/>
      <c r="P793" s="479"/>
      <c r="Q793" s="479"/>
      <c r="R793" s="476"/>
      <c r="S793" s="479">
        <v>0.23434027777777777</v>
      </c>
      <c r="T793" s="479">
        <v>0.30100694444444448</v>
      </c>
      <c r="U793" s="479"/>
      <c r="V793" s="479"/>
      <c r="W793" s="479">
        <v>0.50562499999999999</v>
      </c>
      <c r="X793" s="479">
        <v>0.71023148148148152</v>
      </c>
      <c r="Y793" s="479">
        <v>0.95833333333333337</v>
      </c>
      <c r="Z793" s="479">
        <v>0.17361111111111113</v>
      </c>
      <c r="AA793" s="479">
        <v>0.43333333333333335</v>
      </c>
      <c r="AB793" s="476" t="s">
        <v>6462</v>
      </c>
      <c r="AC793" s="478">
        <v>129</v>
      </c>
      <c r="AD793" s="476" t="s">
        <v>116</v>
      </c>
      <c r="AE793" s="476"/>
      <c r="AF793" s="478">
        <v>35.799999999999997</v>
      </c>
      <c r="AG793" s="477">
        <v>27</v>
      </c>
      <c r="AH793" s="476" t="s">
        <v>6297</v>
      </c>
      <c r="AI793" s="476" t="s">
        <v>6327</v>
      </c>
      <c r="AJ793" s="476" t="s">
        <v>839</v>
      </c>
      <c r="AK793" s="476" t="s">
        <v>6493</v>
      </c>
      <c r="AL793" s="476" t="s">
        <v>6893</v>
      </c>
      <c r="AM793" s="476" t="s">
        <v>6346</v>
      </c>
      <c r="AN793" s="476"/>
      <c r="AO793" s="476"/>
      <c r="AP793" s="476"/>
      <c r="AQ793" s="476"/>
      <c r="AR793" s="476"/>
      <c r="AS793" s="476"/>
      <c r="AT793" s="476"/>
      <c r="AU793" s="476"/>
      <c r="AV793" s="476"/>
      <c r="AW793" s="476"/>
      <c r="AX793" s="476"/>
      <c r="AY793" s="476"/>
      <c r="AZ793" s="476"/>
      <c r="BA793" s="476"/>
      <c r="BB793" s="476"/>
      <c r="BC793" s="476"/>
      <c r="BD793" s="476"/>
      <c r="BE793" s="476"/>
      <c r="BF793" s="476"/>
      <c r="BG793" s="476"/>
      <c r="BH793" s="476"/>
      <c r="BI793" s="476"/>
      <c r="BJ793" s="476" t="s">
        <v>6363</v>
      </c>
      <c r="BK793" s="476"/>
      <c r="BL793" s="480"/>
    </row>
    <row r="794" spans="1:64">
      <c r="A794" s="468">
        <v>44585</v>
      </c>
      <c r="B794" s="473">
        <v>24</v>
      </c>
      <c r="C794" s="473">
        <v>341</v>
      </c>
      <c r="D794" s="470" t="s">
        <v>609</v>
      </c>
      <c r="E794" s="469">
        <v>4</v>
      </c>
      <c r="F794" s="470" t="s">
        <v>88</v>
      </c>
      <c r="G794" s="469">
        <v>535</v>
      </c>
      <c r="H794" s="470" t="s">
        <v>6246</v>
      </c>
      <c r="I794" s="470" t="s">
        <v>836</v>
      </c>
      <c r="J794" s="469">
        <v>7</v>
      </c>
      <c r="K794" s="470" t="s">
        <v>6262</v>
      </c>
      <c r="L794" s="470" t="s">
        <v>6278</v>
      </c>
      <c r="M794" s="470" t="s">
        <v>9</v>
      </c>
      <c r="N794" s="473">
        <v>0</v>
      </c>
      <c r="O794" s="471"/>
      <c r="P794" s="471"/>
      <c r="Q794" s="471"/>
      <c r="R794" s="470"/>
      <c r="S794" s="471">
        <v>0.23385416666666667</v>
      </c>
      <c r="T794" s="471">
        <v>0.30052083333333335</v>
      </c>
      <c r="U794" s="471"/>
      <c r="V794" s="471"/>
      <c r="W794" s="471">
        <v>0.50579861111111113</v>
      </c>
      <c r="X794" s="471">
        <v>0.71107638888888891</v>
      </c>
      <c r="Y794" s="471" t="s">
        <v>1107</v>
      </c>
      <c r="Z794" s="471">
        <v>0.20486111111111113</v>
      </c>
      <c r="AA794" s="471">
        <v>0.45</v>
      </c>
      <c r="AB794" s="470" t="s">
        <v>6462</v>
      </c>
      <c r="AC794" s="473">
        <v>129</v>
      </c>
      <c r="AD794" s="470" t="s">
        <v>116</v>
      </c>
      <c r="AE794" s="470"/>
      <c r="AF794" s="473">
        <v>38.5</v>
      </c>
      <c r="AG794" s="469">
        <v>27</v>
      </c>
      <c r="AH794" s="470" t="s">
        <v>6298</v>
      </c>
      <c r="AI794" s="470" t="s">
        <v>6328</v>
      </c>
      <c r="AJ794" s="470" t="s">
        <v>839</v>
      </c>
      <c r="AK794" s="470" t="s">
        <v>6493</v>
      </c>
      <c r="AL794" s="470" t="s">
        <v>6733</v>
      </c>
      <c r="AM794" s="470" t="s">
        <v>6346</v>
      </c>
      <c r="AN794" s="470"/>
      <c r="AO794" s="470"/>
      <c r="AP794" s="470"/>
      <c r="AQ794" s="470"/>
      <c r="AR794" s="470"/>
      <c r="AS794" s="470"/>
      <c r="AT794" s="470"/>
      <c r="AU794" s="470"/>
      <c r="AV794" s="470"/>
      <c r="AW794" s="470"/>
      <c r="AX794" s="470"/>
      <c r="AY794" s="470"/>
      <c r="AZ794" s="470"/>
      <c r="BA794" s="470"/>
      <c r="BB794" s="470"/>
      <c r="BC794" s="470"/>
      <c r="BD794" s="470"/>
      <c r="BE794" s="470"/>
      <c r="BF794" s="470"/>
      <c r="BG794" s="470"/>
      <c r="BH794" s="470"/>
      <c r="BI794" s="470"/>
      <c r="BJ794" s="470" t="s">
        <v>6364</v>
      </c>
      <c r="BK794" s="470"/>
      <c r="BL794" s="474"/>
    </row>
    <row r="795" spans="1:64">
      <c r="A795" s="475">
        <v>44586</v>
      </c>
      <c r="B795" s="478">
        <v>25</v>
      </c>
      <c r="C795" s="478">
        <v>340</v>
      </c>
      <c r="D795" s="476" t="s">
        <v>609</v>
      </c>
      <c r="E795" s="477">
        <v>4</v>
      </c>
      <c r="F795" s="476" t="s">
        <v>91</v>
      </c>
      <c r="G795" s="477">
        <v>535</v>
      </c>
      <c r="H795" s="476" t="s">
        <v>6246</v>
      </c>
      <c r="I795" s="476" t="s">
        <v>836</v>
      </c>
      <c r="J795" s="477">
        <v>8</v>
      </c>
      <c r="K795" s="476" t="s">
        <v>6263</v>
      </c>
      <c r="L795" s="476" t="s">
        <v>6279</v>
      </c>
      <c r="M795" s="476" t="s">
        <v>9</v>
      </c>
      <c r="N795" s="478">
        <v>0</v>
      </c>
      <c r="O795" s="479"/>
      <c r="P795" s="479"/>
      <c r="Q795" s="479"/>
      <c r="R795" s="476"/>
      <c r="S795" s="479">
        <v>0.23333333333333331</v>
      </c>
      <c r="T795" s="479">
        <v>0.3</v>
      </c>
      <c r="U795" s="479"/>
      <c r="V795" s="479"/>
      <c r="W795" s="479">
        <v>0.50596064814814812</v>
      </c>
      <c r="X795" s="479">
        <v>0.71190972222222226</v>
      </c>
      <c r="Y795" s="479">
        <v>5.5555555555555558E-3</v>
      </c>
      <c r="Z795" s="479">
        <v>0.23750000000000002</v>
      </c>
      <c r="AA795" s="479">
        <v>0.4680555555555555</v>
      </c>
      <c r="AB795" s="476" t="s">
        <v>6289</v>
      </c>
      <c r="AC795" s="478">
        <v>131</v>
      </c>
      <c r="AD795" s="476" t="s">
        <v>119</v>
      </c>
      <c r="AE795" s="476" t="s">
        <v>6649</v>
      </c>
      <c r="AF795" s="478">
        <v>43.3</v>
      </c>
      <c r="AG795" s="477">
        <v>29</v>
      </c>
      <c r="AH795" s="476" t="s">
        <v>6299</v>
      </c>
      <c r="AI795" s="476" t="s">
        <v>6329</v>
      </c>
      <c r="AJ795" s="476" t="s">
        <v>6493</v>
      </c>
      <c r="AK795" s="476" t="s">
        <v>6493</v>
      </c>
      <c r="AL795" s="476"/>
      <c r="AM795" s="476"/>
      <c r="AN795" s="476"/>
      <c r="AO795" s="476"/>
      <c r="AP795" s="476"/>
      <c r="AQ795" s="476"/>
      <c r="AR795" s="476"/>
      <c r="AS795" s="476"/>
      <c r="AT795" s="476"/>
      <c r="AU795" s="476"/>
      <c r="AV795" s="476"/>
      <c r="AW795" s="476"/>
      <c r="AX795" s="476"/>
      <c r="AY795" s="476"/>
      <c r="AZ795" s="476"/>
      <c r="BA795" s="476"/>
      <c r="BB795" s="476"/>
      <c r="BC795" s="476"/>
      <c r="BD795" s="476"/>
      <c r="BE795" s="476"/>
      <c r="BF795" s="476"/>
      <c r="BG795" s="476"/>
      <c r="BH795" s="476"/>
      <c r="BI795" s="476"/>
      <c r="BJ795" s="476"/>
      <c r="BK795" s="476"/>
      <c r="BL795" s="480"/>
    </row>
    <row r="796" spans="1:64">
      <c r="A796" s="468">
        <v>44587</v>
      </c>
      <c r="B796" s="473">
        <v>26</v>
      </c>
      <c r="C796" s="473">
        <v>339</v>
      </c>
      <c r="D796" s="470" t="s">
        <v>609</v>
      </c>
      <c r="E796" s="469">
        <v>4</v>
      </c>
      <c r="F796" s="470" t="s">
        <v>94</v>
      </c>
      <c r="G796" s="469">
        <v>535</v>
      </c>
      <c r="H796" s="470" t="s">
        <v>6246</v>
      </c>
      <c r="I796" s="470" t="s">
        <v>836</v>
      </c>
      <c r="J796" s="469">
        <v>9</v>
      </c>
      <c r="K796" s="470" t="s">
        <v>6264</v>
      </c>
      <c r="L796" s="470" t="s">
        <v>6280</v>
      </c>
      <c r="M796" s="470" t="s">
        <v>9</v>
      </c>
      <c r="N796" s="473">
        <v>0</v>
      </c>
      <c r="O796" s="471"/>
      <c r="P796" s="471"/>
      <c r="Q796" s="471"/>
      <c r="R796" s="470"/>
      <c r="S796" s="471">
        <v>0.23280092592592594</v>
      </c>
      <c r="T796" s="471">
        <v>0.29946759259259259</v>
      </c>
      <c r="U796" s="471"/>
      <c r="V796" s="471"/>
      <c r="W796" s="471">
        <v>0.50611111111111107</v>
      </c>
      <c r="X796" s="471">
        <v>0.71275462962962965</v>
      </c>
      <c r="Y796" s="471">
        <v>5.5555555555555552E-2</v>
      </c>
      <c r="Z796" s="471">
        <v>0.2722222222222222</v>
      </c>
      <c r="AA796" s="471">
        <v>0.48888888888888887</v>
      </c>
      <c r="AB796" s="470" t="s">
        <v>6289</v>
      </c>
      <c r="AC796" s="473">
        <v>131</v>
      </c>
      <c r="AD796" s="470" t="s">
        <v>119</v>
      </c>
      <c r="AE796" s="470"/>
      <c r="AF796" s="473">
        <v>50.4</v>
      </c>
      <c r="AG796" s="469">
        <v>33</v>
      </c>
      <c r="AH796" s="470" t="s">
        <v>6300</v>
      </c>
      <c r="AI796" s="470" t="s">
        <v>6330</v>
      </c>
      <c r="AJ796" s="470" t="s">
        <v>6493</v>
      </c>
      <c r="AK796" s="470" t="s">
        <v>6493</v>
      </c>
      <c r="AL796" s="470"/>
      <c r="AM796" s="470"/>
      <c r="AN796" s="470"/>
      <c r="AO796" s="470"/>
      <c r="AP796" s="470"/>
      <c r="AQ796" s="470"/>
      <c r="AR796" s="470"/>
      <c r="AS796" s="470"/>
      <c r="AT796" s="470"/>
      <c r="AU796" s="470"/>
      <c r="AV796" s="470"/>
      <c r="AW796" s="470"/>
      <c r="AX796" s="470"/>
      <c r="AY796" s="470"/>
      <c r="AZ796" s="470"/>
      <c r="BA796" s="470"/>
      <c r="BB796" s="470"/>
      <c r="BC796" s="470"/>
      <c r="BD796" s="470"/>
      <c r="BE796" s="470"/>
      <c r="BF796" s="470"/>
      <c r="BG796" s="470"/>
      <c r="BH796" s="470"/>
      <c r="BI796" s="470"/>
      <c r="BJ796" s="470"/>
      <c r="BK796" s="470"/>
      <c r="BL796" s="474"/>
    </row>
    <row r="797" spans="1:64">
      <c r="A797" s="475">
        <v>44588</v>
      </c>
      <c r="B797" s="478">
        <v>27</v>
      </c>
      <c r="C797" s="478">
        <v>338</v>
      </c>
      <c r="D797" s="476" t="s">
        <v>609</v>
      </c>
      <c r="E797" s="477">
        <v>4</v>
      </c>
      <c r="F797" s="476" t="s">
        <v>6714</v>
      </c>
      <c r="G797" s="477">
        <v>535</v>
      </c>
      <c r="H797" s="476" t="s">
        <v>6246</v>
      </c>
      <c r="I797" s="476" t="s">
        <v>836</v>
      </c>
      <c r="J797" s="477">
        <v>10</v>
      </c>
      <c r="K797" s="476" t="s">
        <v>6265</v>
      </c>
      <c r="L797" s="476" t="s">
        <v>6281</v>
      </c>
      <c r="M797" s="476" t="s">
        <v>9</v>
      </c>
      <c r="N797" s="478">
        <v>0</v>
      </c>
      <c r="O797" s="479"/>
      <c r="P797" s="479"/>
      <c r="Q797" s="479"/>
      <c r="R797" s="476"/>
      <c r="S797" s="479">
        <v>0.23223379629629629</v>
      </c>
      <c r="T797" s="479">
        <v>0.29890046296296297</v>
      </c>
      <c r="U797" s="479"/>
      <c r="V797" s="479"/>
      <c r="W797" s="479">
        <v>0.50624999999999998</v>
      </c>
      <c r="X797" s="479">
        <v>0.71361111111111108</v>
      </c>
      <c r="Y797" s="479">
        <v>0.1076388888888889</v>
      </c>
      <c r="Z797" s="479">
        <v>0.31111111111111112</v>
      </c>
      <c r="AA797" s="479">
        <v>0.51458333333333328</v>
      </c>
      <c r="AB797" s="476" t="s">
        <v>6289</v>
      </c>
      <c r="AC797" s="478">
        <v>131</v>
      </c>
      <c r="AD797" s="476" t="s">
        <v>119</v>
      </c>
      <c r="AE797" s="476"/>
      <c r="AF797" s="478">
        <v>59.9</v>
      </c>
      <c r="AG797" s="477">
        <v>39.200000000000003</v>
      </c>
      <c r="AH797" s="476" t="s">
        <v>6301</v>
      </c>
      <c r="AI797" s="476" t="s">
        <v>6331</v>
      </c>
      <c r="AJ797" s="476" t="s">
        <v>6493</v>
      </c>
      <c r="AK797" s="476" t="s">
        <v>6493</v>
      </c>
      <c r="AL797" s="476"/>
      <c r="AM797" s="476"/>
      <c r="AN797" s="476"/>
      <c r="AO797" s="476"/>
      <c r="AP797" s="476"/>
      <c r="AQ797" s="476"/>
      <c r="AR797" s="476"/>
      <c r="AS797" s="476"/>
      <c r="AT797" s="476"/>
      <c r="AU797" s="476"/>
      <c r="AV797" s="476"/>
      <c r="AW797" s="476"/>
      <c r="AX797" s="476"/>
      <c r="AY797" s="476"/>
      <c r="AZ797" s="476"/>
      <c r="BA797" s="476"/>
      <c r="BB797" s="476"/>
      <c r="BC797" s="476"/>
      <c r="BD797" s="476"/>
      <c r="BE797" s="476"/>
      <c r="BF797" s="476"/>
      <c r="BG797" s="476"/>
      <c r="BH797" s="476"/>
      <c r="BI797" s="476"/>
      <c r="BJ797" s="476"/>
      <c r="BK797" s="476"/>
      <c r="BL797" s="480"/>
    </row>
    <row r="798" spans="1:64">
      <c r="A798" s="468">
        <v>44589</v>
      </c>
      <c r="B798" s="473">
        <v>28</v>
      </c>
      <c r="C798" s="473">
        <v>337</v>
      </c>
      <c r="D798" s="470" t="s">
        <v>609</v>
      </c>
      <c r="E798" s="469">
        <v>4</v>
      </c>
      <c r="F798" s="470" t="s">
        <v>100</v>
      </c>
      <c r="G798" s="469">
        <v>535</v>
      </c>
      <c r="H798" s="470" t="s">
        <v>6246</v>
      </c>
      <c r="I798" s="470" t="s">
        <v>836</v>
      </c>
      <c r="J798" s="469">
        <v>11</v>
      </c>
      <c r="K798" s="470" t="s">
        <v>6271</v>
      </c>
      <c r="L798" s="470" t="s">
        <v>6282</v>
      </c>
      <c r="M798" s="470" t="s">
        <v>9</v>
      </c>
      <c r="N798" s="473">
        <v>0</v>
      </c>
      <c r="O798" s="471"/>
      <c r="P798" s="471"/>
      <c r="Q798" s="471"/>
      <c r="R798" s="470"/>
      <c r="S798" s="471">
        <v>0.23165509259259257</v>
      </c>
      <c r="T798" s="471">
        <v>0.29832175925925924</v>
      </c>
      <c r="U798" s="471"/>
      <c r="V798" s="471"/>
      <c r="W798" s="471">
        <v>0.50638888888888889</v>
      </c>
      <c r="X798" s="471">
        <v>0.71445601851851848</v>
      </c>
      <c r="Y798" s="471">
        <v>0.16041666666666668</v>
      </c>
      <c r="Z798" s="471">
        <v>0.35347222222222219</v>
      </c>
      <c r="AA798" s="471">
        <v>0.54652777777777783</v>
      </c>
      <c r="AB798" s="470" t="s">
        <v>6289</v>
      </c>
      <c r="AC798" s="473">
        <v>131</v>
      </c>
      <c r="AD798" s="470" t="s">
        <v>119</v>
      </c>
      <c r="AE798" s="470"/>
      <c r="AF798" s="473">
        <v>71.8</v>
      </c>
      <c r="AG798" s="469">
        <v>47.5</v>
      </c>
      <c r="AH798" s="470" t="s">
        <v>6302</v>
      </c>
      <c r="AI798" s="470" t="s">
        <v>6332</v>
      </c>
      <c r="AJ798" s="470" t="s">
        <v>838</v>
      </c>
      <c r="AK798" s="470" t="s">
        <v>13</v>
      </c>
      <c r="AL798" s="470" t="s">
        <v>6734</v>
      </c>
      <c r="AM798" s="470" t="s">
        <v>6342</v>
      </c>
      <c r="AN798" s="470" t="s">
        <v>6976</v>
      </c>
      <c r="AO798" s="470" t="s">
        <v>6351</v>
      </c>
      <c r="AP798" s="470"/>
      <c r="AQ798" s="470"/>
      <c r="AR798" s="470"/>
      <c r="AS798" s="470"/>
      <c r="AT798" s="470"/>
      <c r="AU798" s="470"/>
      <c r="AV798" s="470"/>
      <c r="AW798" s="470"/>
      <c r="AX798" s="470"/>
      <c r="AY798" s="470"/>
      <c r="AZ798" s="470"/>
      <c r="BA798" s="470"/>
      <c r="BB798" s="470"/>
      <c r="BC798" s="470"/>
      <c r="BD798" s="470"/>
      <c r="BE798" s="470"/>
      <c r="BF798" s="470"/>
      <c r="BG798" s="470"/>
      <c r="BH798" s="470"/>
      <c r="BI798" s="470"/>
      <c r="BJ798" s="470"/>
      <c r="BK798" s="470"/>
      <c r="BL798" s="474"/>
    </row>
    <row r="799" spans="1:64">
      <c r="A799" s="475">
        <v>44590</v>
      </c>
      <c r="B799" s="478">
        <v>29</v>
      </c>
      <c r="C799" s="478">
        <v>336</v>
      </c>
      <c r="D799" s="476" t="s">
        <v>609</v>
      </c>
      <c r="E799" s="477">
        <v>4</v>
      </c>
      <c r="F799" s="476" t="s">
        <v>103</v>
      </c>
      <c r="G799" s="477">
        <v>535</v>
      </c>
      <c r="H799" s="476" t="s">
        <v>6246</v>
      </c>
      <c r="I799" s="476" t="s">
        <v>836</v>
      </c>
      <c r="J799" s="477">
        <v>12</v>
      </c>
      <c r="K799" s="476" t="s">
        <v>6266</v>
      </c>
      <c r="L799" s="476" t="s">
        <v>6283</v>
      </c>
      <c r="M799" s="476" t="s">
        <v>9</v>
      </c>
      <c r="N799" s="478">
        <v>0</v>
      </c>
      <c r="O799" s="479"/>
      <c r="P799" s="479"/>
      <c r="Q799" s="479"/>
      <c r="R799" s="476"/>
      <c r="S799" s="479">
        <v>0.23105324074074074</v>
      </c>
      <c r="T799" s="479">
        <v>0.29771990740740739</v>
      </c>
      <c r="U799" s="479">
        <v>0.29722222222222222</v>
      </c>
      <c r="V799" s="479">
        <v>0.4236111111111111</v>
      </c>
      <c r="W799" s="479">
        <v>0.50651620370370376</v>
      </c>
      <c r="X799" s="479">
        <v>0.71531250000000002</v>
      </c>
      <c r="Y799" s="479">
        <v>0.21180555555555555</v>
      </c>
      <c r="Z799" s="479">
        <v>0.39930555555555558</v>
      </c>
      <c r="AA799" s="479">
        <v>0.58680555555555558</v>
      </c>
      <c r="AB799" s="476" t="s">
        <v>6289</v>
      </c>
      <c r="AC799" s="478">
        <v>131</v>
      </c>
      <c r="AD799" s="476" t="s">
        <v>119</v>
      </c>
      <c r="AE799" s="476"/>
      <c r="AF799" s="478">
        <v>85.5</v>
      </c>
      <c r="AG799" s="477">
        <v>57.5</v>
      </c>
      <c r="AH799" s="476" t="s">
        <v>6303</v>
      </c>
      <c r="AI799" s="476" t="s">
        <v>6333</v>
      </c>
      <c r="AJ799" s="476" t="s">
        <v>839</v>
      </c>
      <c r="AK799" s="476" t="s">
        <v>6493</v>
      </c>
      <c r="AL799" s="476" t="s">
        <v>6894</v>
      </c>
      <c r="AM799" s="476" t="s">
        <v>6343</v>
      </c>
      <c r="AN799" s="476"/>
      <c r="AO799" s="476"/>
      <c r="AP799" s="476"/>
      <c r="AQ799" s="476"/>
      <c r="AR799" s="476"/>
      <c r="AS799" s="476"/>
      <c r="AT799" s="476"/>
      <c r="AU799" s="476"/>
      <c r="AV799" s="476"/>
      <c r="AW799" s="476"/>
      <c r="AX799" s="476"/>
      <c r="AY799" s="476"/>
      <c r="AZ799" s="476"/>
      <c r="BA799" s="476"/>
      <c r="BB799" s="476"/>
      <c r="BC799" s="476"/>
      <c r="BD799" s="476"/>
      <c r="BE799" s="476"/>
      <c r="BF799" s="476"/>
      <c r="BG799" s="476"/>
      <c r="BH799" s="476"/>
      <c r="BI799" s="476"/>
      <c r="BJ799" s="476"/>
      <c r="BK799" s="476"/>
      <c r="BL799" s="480"/>
    </row>
    <row r="800" spans="1:64">
      <c r="A800" s="468">
        <v>44591</v>
      </c>
      <c r="B800" s="473">
        <v>30</v>
      </c>
      <c r="C800" s="473">
        <v>335</v>
      </c>
      <c r="D800" s="470" t="s">
        <v>609</v>
      </c>
      <c r="E800" s="469">
        <v>4</v>
      </c>
      <c r="F800" s="470" t="s">
        <v>106</v>
      </c>
      <c r="G800" s="469">
        <v>535</v>
      </c>
      <c r="H800" s="470" t="s">
        <v>6246</v>
      </c>
      <c r="I800" s="470" t="s">
        <v>836</v>
      </c>
      <c r="J800" s="469">
        <v>14</v>
      </c>
      <c r="K800" s="470" t="s">
        <v>6268</v>
      </c>
      <c r="L800" s="470" t="s">
        <v>6284</v>
      </c>
      <c r="M800" s="470" t="s">
        <v>9</v>
      </c>
      <c r="N800" s="473">
        <v>0</v>
      </c>
      <c r="O800" s="471">
        <v>0.4236111111111111</v>
      </c>
      <c r="P800" s="471">
        <v>0.29236111111111113</v>
      </c>
      <c r="Q800" s="471"/>
      <c r="R800" s="470"/>
      <c r="S800" s="471">
        <v>0.23042824074074075</v>
      </c>
      <c r="T800" s="471">
        <v>0.2970949074074074</v>
      </c>
      <c r="U800" s="471"/>
      <c r="V800" s="471"/>
      <c r="W800" s="471">
        <v>0.50663194444444448</v>
      </c>
      <c r="X800" s="471">
        <v>0.71616898148148145</v>
      </c>
      <c r="Y800" s="471">
        <v>0.25694444444444448</v>
      </c>
      <c r="Z800" s="471">
        <v>0.44513888888888892</v>
      </c>
      <c r="AA800" s="471">
        <v>0.63402777777777775</v>
      </c>
      <c r="AB800" s="470" t="s">
        <v>6289</v>
      </c>
      <c r="AC800" s="473">
        <v>131</v>
      </c>
      <c r="AD800" s="470" t="s">
        <v>119</v>
      </c>
      <c r="AE800" s="470"/>
      <c r="AF800" s="473">
        <v>0.5</v>
      </c>
      <c r="AG800" s="469">
        <v>68.599999999999994</v>
      </c>
      <c r="AH800" s="470" t="s">
        <v>6304</v>
      </c>
      <c r="AI800" s="470" t="s">
        <v>6335</v>
      </c>
      <c r="AJ800" s="470" t="s">
        <v>6493</v>
      </c>
      <c r="AK800" s="470" t="s">
        <v>6493</v>
      </c>
      <c r="AL800" s="470" t="s">
        <v>6895</v>
      </c>
      <c r="AM800" s="470"/>
      <c r="AN800" s="470"/>
      <c r="AO800" s="470"/>
      <c r="AP800" s="470"/>
      <c r="AQ800" s="470"/>
      <c r="AR800" s="470"/>
      <c r="AS800" s="470"/>
      <c r="AT800" s="470"/>
      <c r="AU800" s="470"/>
      <c r="AV800" s="470"/>
      <c r="AW800" s="470"/>
      <c r="AX800" s="470"/>
      <c r="AY800" s="470"/>
      <c r="AZ800" s="470"/>
      <c r="BA800" s="470"/>
      <c r="BB800" s="470"/>
      <c r="BC800" s="470"/>
      <c r="BD800" s="470"/>
      <c r="BE800" s="470"/>
      <c r="BF800" s="470"/>
      <c r="BG800" s="470"/>
      <c r="BH800" s="470"/>
      <c r="BI800" s="470"/>
      <c r="BJ800" s="470"/>
      <c r="BK800" s="470"/>
      <c r="BL800" s="474"/>
    </row>
    <row r="801" spans="1:64">
      <c r="A801" s="475">
        <v>44592</v>
      </c>
      <c r="B801" s="478">
        <v>31</v>
      </c>
      <c r="C801" s="478">
        <v>334</v>
      </c>
      <c r="D801" s="476" t="s">
        <v>609</v>
      </c>
      <c r="E801" s="477">
        <v>5</v>
      </c>
      <c r="F801" s="476" t="s">
        <v>88</v>
      </c>
      <c r="G801" s="477">
        <v>535</v>
      </c>
      <c r="H801" s="476" t="s">
        <v>6246</v>
      </c>
      <c r="I801" s="476" t="s">
        <v>836</v>
      </c>
      <c r="J801" s="477">
        <v>15</v>
      </c>
      <c r="K801" s="476" t="s">
        <v>6269</v>
      </c>
      <c r="L801" s="476" t="s">
        <v>6286</v>
      </c>
      <c r="M801" s="476" t="s">
        <v>9</v>
      </c>
      <c r="N801" s="478">
        <v>0</v>
      </c>
      <c r="O801" s="479"/>
      <c r="P801" s="479"/>
      <c r="Q801" s="479"/>
      <c r="R801" s="476"/>
      <c r="S801" s="479">
        <v>0.22978009259259258</v>
      </c>
      <c r="T801" s="479">
        <v>0.29644675925925928</v>
      </c>
      <c r="U801" s="479"/>
      <c r="V801" s="479"/>
      <c r="W801" s="479">
        <v>0.50673611111111116</v>
      </c>
      <c r="X801" s="479">
        <v>0.71702546296296299</v>
      </c>
      <c r="Y801" s="479">
        <v>0.29444444444444445</v>
      </c>
      <c r="Z801" s="479">
        <v>0.49027777777777781</v>
      </c>
      <c r="AA801" s="479">
        <v>0.68680555555555556</v>
      </c>
      <c r="AB801" s="476" t="s">
        <v>6289</v>
      </c>
      <c r="AC801" s="478">
        <v>131</v>
      </c>
      <c r="AD801" s="476" t="s">
        <v>119</v>
      </c>
      <c r="AE801" s="476"/>
      <c r="AF801" s="478">
        <v>15.6</v>
      </c>
      <c r="AG801" s="477">
        <v>79.8</v>
      </c>
      <c r="AH801" s="476" t="s">
        <v>6305</v>
      </c>
      <c r="AI801" s="476" t="s">
        <v>6336</v>
      </c>
      <c r="AJ801" s="476" t="s">
        <v>6493</v>
      </c>
      <c r="AK801" s="476" t="s">
        <v>6493</v>
      </c>
      <c r="AL801" s="476"/>
      <c r="AM801" s="476"/>
      <c r="AN801" s="476"/>
      <c r="AO801" s="476"/>
      <c r="AP801" s="476"/>
      <c r="AQ801" s="476"/>
      <c r="AR801" s="476"/>
      <c r="AS801" s="476"/>
      <c r="AT801" s="476"/>
      <c r="AU801" s="476"/>
      <c r="AV801" s="476"/>
      <c r="AW801" s="476"/>
      <c r="AX801" s="476"/>
      <c r="AY801" s="476"/>
      <c r="AZ801" s="476"/>
      <c r="BA801" s="476"/>
      <c r="BB801" s="476"/>
      <c r="BC801" s="476"/>
      <c r="BD801" s="476"/>
      <c r="BE801" s="476"/>
      <c r="BF801" s="476"/>
      <c r="BG801" s="476"/>
      <c r="BH801" s="476"/>
      <c r="BI801" s="476"/>
      <c r="BJ801" s="476"/>
      <c r="BK801" s="476"/>
      <c r="BL801" s="480"/>
    </row>
    <row r="802" spans="1:64">
      <c r="A802" s="468">
        <v>44593</v>
      </c>
      <c r="B802" s="470">
        <v>32</v>
      </c>
      <c r="C802" s="470">
        <v>333</v>
      </c>
      <c r="D802" s="470" t="s">
        <v>612</v>
      </c>
      <c r="E802" s="469">
        <v>5</v>
      </c>
      <c r="F802" s="470" t="s">
        <v>91</v>
      </c>
      <c r="G802" s="469">
        <v>535</v>
      </c>
      <c r="H802" s="470" t="s">
        <v>6246</v>
      </c>
      <c r="I802" s="470" t="s">
        <v>6257</v>
      </c>
      <c r="J802" s="469">
        <v>16</v>
      </c>
      <c r="K802" s="470" t="s">
        <v>6270</v>
      </c>
      <c r="L802" s="470" t="s">
        <v>6287</v>
      </c>
      <c r="M802" s="470" t="s">
        <v>9</v>
      </c>
      <c r="N802" s="473">
        <v>0</v>
      </c>
      <c r="O802" s="471"/>
      <c r="P802" s="471"/>
      <c r="Q802" s="471"/>
      <c r="R802" s="470"/>
      <c r="S802" s="471">
        <v>0.22912037037037036</v>
      </c>
      <c r="T802" s="471">
        <v>0.29578703703703707</v>
      </c>
      <c r="U802" s="471"/>
      <c r="V802" s="471"/>
      <c r="W802" s="471">
        <v>0.50684027777777774</v>
      </c>
      <c r="X802" s="471">
        <v>0.71788194444444453</v>
      </c>
      <c r="Y802" s="471">
        <v>0.32430555555555557</v>
      </c>
      <c r="Z802" s="471">
        <v>0.53263888888888888</v>
      </c>
      <c r="AA802" s="471">
        <v>0.73958333333333337</v>
      </c>
      <c r="AB802" s="470" t="s">
        <v>6463</v>
      </c>
      <c r="AC802" s="473">
        <v>152</v>
      </c>
      <c r="AD802" s="470" t="s">
        <v>110</v>
      </c>
      <c r="AE802" s="470" t="s">
        <v>6650</v>
      </c>
      <c r="AF802" s="473">
        <v>29.8</v>
      </c>
      <c r="AG802" s="469">
        <v>90.2</v>
      </c>
      <c r="AH802" s="470" t="s">
        <v>6306</v>
      </c>
      <c r="AI802" s="470" t="s">
        <v>6337</v>
      </c>
      <c r="AJ802" s="470" t="s">
        <v>6493</v>
      </c>
      <c r="AK802" s="470" t="s">
        <v>6493</v>
      </c>
      <c r="AL802" s="470" t="s">
        <v>6896</v>
      </c>
      <c r="AM802" s="470"/>
      <c r="AN802" s="470"/>
      <c r="AO802" s="470"/>
      <c r="AP802" s="470"/>
      <c r="AQ802" s="470"/>
      <c r="AR802" s="470"/>
      <c r="AS802" s="470"/>
      <c r="AT802" s="470"/>
      <c r="AU802" s="470"/>
      <c r="AV802" s="470"/>
      <c r="AW802" s="470"/>
      <c r="AX802" s="470"/>
      <c r="AY802" s="470"/>
      <c r="AZ802" s="470"/>
      <c r="BA802" s="470"/>
      <c r="BB802" s="470"/>
      <c r="BC802" s="470"/>
      <c r="BD802" s="470"/>
      <c r="BE802" s="470"/>
      <c r="BF802" s="470"/>
      <c r="BG802" s="470"/>
      <c r="BH802" s="470"/>
      <c r="BI802" s="470"/>
      <c r="BJ802" s="470"/>
      <c r="BK802" s="470"/>
      <c r="BL802" s="474"/>
    </row>
  </sheetData>
  <pageMargins left="0.511811024" right="0.511811024" top="0.78740157499999996" bottom="0.78740157499999996" header="0.31496062000000002" footer="0.31496062000000002"/>
  <pageSetup paperSize="9" orientation="portrait" horizontalDpi="0" verticalDpi="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ksGPlanlTranslations"/>
  <dimension ref="A1:F361"/>
  <sheetViews>
    <sheetView workbookViewId="0">
      <pane xSplit="3" ySplit="2" topLeftCell="D3" activePane="bottomRight" state="frozen"/>
      <selection pane="topRight"/>
      <selection pane="bottomLeft"/>
      <selection pane="bottomRight"/>
    </sheetView>
  </sheetViews>
  <sheetFormatPr defaultRowHeight="12.75"/>
  <cols>
    <col min="1" max="1" width="9.140625" style="7"/>
    <col min="2" max="2" width="19.5703125" style="7" customWidth="1"/>
    <col min="3" max="3" width="19.140625" style="7" customWidth="1"/>
    <col min="4" max="6" width="20" style="7" customWidth="1"/>
    <col min="7" max="16384" width="9.140625" style="7"/>
  </cols>
  <sheetData>
    <row r="1" spans="1:6">
      <c r="B1" s="11" t="s">
        <v>84</v>
      </c>
      <c r="C1" s="614">
        <f ca="1">Options!S2</f>
        <v>1</v>
      </c>
      <c r="D1" s="13" t="str">
        <f ca="1">OFFSET(C2,0,$C$1)</f>
        <v>English</v>
      </c>
      <c r="E1" s="11" t="s">
        <v>971</v>
      </c>
      <c r="F1" s="7" t="str">
        <f ca="1">OFFSET('GPlan-Translations'!D2,0,0,1,COUNTA('GPlan-Translations'!2:2)-3)</f>
        <v>Português</v>
      </c>
    </row>
    <row r="2" spans="1:6">
      <c r="A2" s="7" t="s">
        <v>129</v>
      </c>
      <c r="B2" s="7" t="s">
        <v>130</v>
      </c>
      <c r="C2" s="7" t="s">
        <v>131</v>
      </c>
      <c r="D2" s="14" t="s">
        <v>85</v>
      </c>
      <c r="E2" s="14" t="s">
        <v>86</v>
      </c>
      <c r="F2" s="14" t="s">
        <v>47</v>
      </c>
    </row>
    <row r="3" spans="1:6">
      <c r="A3" s="12">
        <v>90</v>
      </c>
      <c r="B3" s="7" t="s">
        <v>1164</v>
      </c>
      <c r="D3" s="7">
        <v>1</v>
      </c>
      <c r="E3" s="7">
        <v>2</v>
      </c>
      <c r="F3" s="7">
        <v>3</v>
      </c>
    </row>
    <row r="4" spans="1:6">
      <c r="A4" s="7">
        <f t="shared" ref="A4:A75" si="0">IF(RIGHT(B4,8)="_section",(INT(A3/100)+1)*100,A3+1)</f>
        <v>91</v>
      </c>
      <c r="B4" s="7" t="s">
        <v>1161</v>
      </c>
      <c r="C4" s="386" t="str">
        <f ca="1">OFFSET(C4,0,$C$1)</f>
        <v>str-en-us-translation.xml</v>
      </c>
      <c r="D4" s="7" t="s">
        <v>1162</v>
      </c>
      <c r="E4" s="7" t="s">
        <v>1162</v>
      </c>
      <c r="F4" s="7" t="s">
        <v>1163</v>
      </c>
    </row>
    <row r="5" spans="1:6">
      <c r="A5" s="7">
        <f t="shared" si="0"/>
        <v>100</v>
      </c>
      <c r="B5" s="446" t="s">
        <v>132</v>
      </c>
      <c r="C5" s="446" t="str">
        <f ca="1">OFFSET(C5,0,$C$1)</f>
        <v>Cover</v>
      </c>
      <c r="D5" s="446" t="s">
        <v>133</v>
      </c>
      <c r="E5" s="446" t="s">
        <v>134</v>
      </c>
      <c r="F5" s="446" t="s">
        <v>43</v>
      </c>
    </row>
    <row r="6" spans="1:6">
      <c r="A6" s="608">
        <f t="shared" si="0"/>
        <v>101</v>
      </c>
      <c r="B6" s="448" t="s">
        <v>135</v>
      </c>
      <c r="C6" s="448" t="str">
        <f t="shared" ref="C6:C54" ca="1" si="1">OFFSET(C6,0,$C$1)</f>
        <v>Cover</v>
      </c>
      <c r="D6" s="448" t="s">
        <v>133</v>
      </c>
      <c r="E6" s="448" t="s">
        <v>134</v>
      </c>
      <c r="F6" s="448" t="s">
        <v>43</v>
      </c>
    </row>
    <row r="7" spans="1:6">
      <c r="A7" s="608">
        <f t="shared" si="0"/>
        <v>102</v>
      </c>
      <c r="B7" s="7" t="s">
        <v>136</v>
      </c>
      <c r="C7" s="7" t="str">
        <f t="shared" ca="1" si="1"/>
        <v>VAISHNAVA PLANNER GPLAN</v>
      </c>
      <c r="D7" s="7" t="s">
        <v>137</v>
      </c>
      <c r="E7" s="7" t="s">
        <v>138</v>
      </c>
      <c r="F7" s="7" t="s">
        <v>138</v>
      </c>
    </row>
    <row r="8" spans="1:6">
      <c r="A8" s="608">
        <f t="shared" si="0"/>
        <v>103</v>
      </c>
      <c r="B8" s="7" t="s">
        <v>139</v>
      </c>
      <c r="C8" s="7" t="str">
        <f t="shared" ca="1" si="1"/>
        <v>A transcendental planner for you don't lose sight of what's really important</v>
      </c>
      <c r="D8" s="7" t="s">
        <v>140</v>
      </c>
      <c r="E8" s="7" t="s">
        <v>141</v>
      </c>
      <c r="F8" s="7" t="s">
        <v>142</v>
      </c>
    </row>
    <row r="9" spans="1:6">
      <c r="A9" s="608">
        <f t="shared" si="0"/>
        <v>104</v>
      </c>
      <c r="B9" s="7" t="s">
        <v>143</v>
      </c>
      <c r="C9" s="7" t="str">
        <f t="shared" ca="1" si="1"/>
        <v>Version</v>
      </c>
      <c r="D9" s="7" t="s">
        <v>35</v>
      </c>
      <c r="E9" s="7" t="s">
        <v>144</v>
      </c>
      <c r="F9" s="7" t="s">
        <v>145</v>
      </c>
    </row>
    <row r="10" spans="1:6">
      <c r="A10" s="608">
        <f t="shared" si="0"/>
        <v>200</v>
      </c>
      <c r="B10" s="446" t="s">
        <v>146</v>
      </c>
      <c r="C10" s="446" t="str">
        <f t="shared" ca="1" si="1"/>
        <v>Title</v>
      </c>
      <c r="D10" s="446" t="s">
        <v>147</v>
      </c>
      <c r="E10" s="446" t="s">
        <v>148</v>
      </c>
      <c r="F10" s="446" t="s">
        <v>148</v>
      </c>
    </row>
    <row r="11" spans="1:6">
      <c r="A11" s="608">
        <f t="shared" si="0"/>
        <v>201</v>
      </c>
      <c r="B11" s="448" t="s">
        <v>149</v>
      </c>
      <c r="C11" s="448" t="str">
        <f t="shared" ca="1" si="1"/>
        <v>Title</v>
      </c>
      <c r="D11" s="448" t="s">
        <v>147</v>
      </c>
      <c r="E11" s="448" t="s">
        <v>150</v>
      </c>
      <c r="F11" s="448" t="s">
        <v>150</v>
      </c>
    </row>
    <row r="12" spans="1:6">
      <c r="A12" s="608">
        <f t="shared" si="0"/>
        <v>202</v>
      </c>
      <c r="B12" s="7" t="s">
        <v>151</v>
      </c>
      <c r="C12" s="7" t="str">
        <f t="shared" ca="1" si="1"/>
        <v>VAISHNAVA PLANNER GPLAN</v>
      </c>
      <c r="D12" s="7" t="s">
        <v>137</v>
      </c>
      <c r="E12" s="7" t="s">
        <v>138</v>
      </c>
      <c r="F12" s="7" t="s">
        <v>138</v>
      </c>
    </row>
    <row r="13" spans="1:6">
      <c r="A13" s="608">
        <f t="shared" si="0"/>
        <v>203</v>
      </c>
      <c r="B13" s="7" t="s">
        <v>152</v>
      </c>
      <c r="C13" s="7" t="str">
        <f t="shared" ca="1" si="1"/>
        <v>A transcendental planner for you don't lose sight of what's really important</v>
      </c>
      <c r="D13" s="7" t="s">
        <v>140</v>
      </c>
      <c r="E13" s="7" t="s">
        <v>141</v>
      </c>
      <c r="F13" s="7" t="s">
        <v>142</v>
      </c>
    </row>
    <row r="14" spans="1:6">
      <c r="A14" s="608">
        <f t="shared" si="0"/>
        <v>204</v>
      </c>
      <c r="B14" s="7" t="s">
        <v>153</v>
      </c>
      <c r="C14" s="7" t="str">
        <f t="shared" ca="1" si="1"/>
        <v>Copyright (c) 2005-2020 PAULO SERGIO DE ARAUJO.</v>
      </c>
      <c r="D14" s="7" t="s">
        <v>6593</v>
      </c>
      <c r="E14" s="7" t="str">
        <f>D14</f>
        <v>Copyright (c) 2005-2020 PAULO SERGIO DE ARAUJO.</v>
      </c>
      <c r="F14" s="7" t="str">
        <f>D14</f>
        <v>Copyright (c) 2005-2020 PAULO SERGIO DE ARAUJO.</v>
      </c>
    </row>
    <row r="15" spans="1:6">
      <c r="A15" s="608">
        <f t="shared" si="0"/>
        <v>205</v>
      </c>
      <c r="B15" s="7" t="s">
        <v>154</v>
      </c>
      <c r="C15" s="7" t="str">
        <f t="shared" ca="1" si="1"/>
        <v>Permission is granted to copy, distribute and/or modify this document under the terms of the GNU Free Documentation License, Version 1.3 or any later version published by the Free Software Foundation; with the Invariant Sections being "Dedicatória", "Agradecimentos", "Apresentação" and "Apresentação - Notas e Links", with the Front-Cover Texts being "AGENDA VAISHNAVA", and with the Back-Cover Texts being "Uma agenda transcendental, para você não perder de vista o que realmente importa". A copy of the license is included in the section entitled "GNU Free Documentation License".</v>
      </c>
      <c r="D15" s="7" t="s">
        <v>155</v>
      </c>
      <c r="E15" s="7" t="s">
        <v>156</v>
      </c>
      <c r="F15" s="7" t="s">
        <v>157</v>
      </c>
    </row>
    <row r="16" spans="1:6">
      <c r="A16" s="608">
        <f t="shared" si="0"/>
        <v>206</v>
      </c>
      <c r="B16" s="7" t="s">
        <v>158</v>
      </c>
      <c r="C16" s="7" t="str">
        <f t="shared" ca="1" si="1"/>
        <v xml:space="preserve"> </v>
      </c>
      <c r="D16" s="7" t="s">
        <v>48</v>
      </c>
      <c r="E16" s="7" t="str">
        <f>E14</f>
        <v>Copyright (c) 2005-2020 PAULO SERGIO DE ARAUJO.</v>
      </c>
      <c r="F16" s="7" t="str">
        <f>F14</f>
        <v>Copyright (c) 2005-2020 PAULO SERGIO DE ARAUJO.</v>
      </c>
    </row>
    <row r="17" spans="1:6">
      <c r="A17" s="608">
        <f t="shared" si="0"/>
        <v>207</v>
      </c>
      <c r="B17" s="7" t="s">
        <v>159</v>
      </c>
      <c r="C17" s="7" t="str">
        <f t="shared" ca="1" si="1"/>
        <v xml:space="preserve"> </v>
      </c>
      <c r="D17" s="7" t="s">
        <v>48</v>
      </c>
      <c r="E17" s="7" t="s">
        <v>160</v>
      </c>
      <c r="F17" s="7" t="s">
        <v>161</v>
      </c>
    </row>
    <row r="18" spans="1:6">
      <c r="A18" s="608">
        <f t="shared" si="0"/>
        <v>208</v>
      </c>
      <c r="B18" s="7" t="s">
        <v>162</v>
      </c>
      <c r="C18" s="7" t="str">
        <f t="shared" ca="1" si="1"/>
        <v>NO WARRANTY</v>
      </c>
      <c r="D18" s="7" t="s">
        <v>163</v>
      </c>
      <c r="E18" s="7" t="s">
        <v>163</v>
      </c>
      <c r="F18" s="7" t="s">
        <v>163</v>
      </c>
    </row>
    <row r="19" spans="1:6">
      <c r="A19" s="608">
        <f t="shared" si="0"/>
        <v>209</v>
      </c>
      <c r="B19" s="7" t="s">
        <v>164</v>
      </c>
      <c r="C19" s="7" t="str">
        <f t="shared" ca="1" si="1"/>
        <v>This document could include technical or other mistakes, inaccuracies, or typographical errors. This document is distributed in the hope that it will be useful, but it is provided "as is" WITHOUT WARRANTY OF ANY KIND, either express or implied, including, but not limited to, the implied warranties of express or implied, including, but not limited to, the implied warranties of merchantability or fitness for a particular purpose, or the warranty of non-infringement. See the GNU General Public License for more details.</v>
      </c>
      <c r="D19" s="7" t="s">
        <v>165</v>
      </c>
      <c r="E19" s="7" t="s">
        <v>165</v>
      </c>
      <c r="F19" s="7" t="s">
        <v>165</v>
      </c>
    </row>
    <row r="20" spans="1:6">
      <c r="A20" s="608">
        <f t="shared" si="0"/>
        <v>210</v>
      </c>
      <c r="B20" s="7" t="s">
        <v>166</v>
      </c>
      <c r="C20" s="7" t="str">
        <f t="shared" ca="1" si="1"/>
        <v>In case that you or any reader of this document sends a reply with information,  feedback, data, questions, commentaries, suggestions, etc. with relation to the content of this document, this reply the author will be considered NOT confidential and he reserves the right to reproduce, to use, to divulge and to distribute the reply for third, without restrictions. You agree to allowing that the author uses any idea, technique or concept contained in its reply with any end, including, but not limited to, the perfectioning of this document.</v>
      </c>
      <c r="D20" s="7" t="s">
        <v>167</v>
      </c>
      <c r="E20" s="7" t="s">
        <v>167</v>
      </c>
      <c r="F20" s="7" t="s">
        <v>167</v>
      </c>
    </row>
    <row r="21" spans="1:6">
      <c r="A21" s="608">
        <f t="shared" si="0"/>
        <v>211</v>
      </c>
      <c r="B21" s="7" t="s">
        <v>168</v>
      </c>
      <c r="C21" s="7" t="str">
        <f t="shared" ca="1" si="1"/>
        <v xml:space="preserve"> </v>
      </c>
      <c r="D21" s="7" t="s">
        <v>48</v>
      </c>
      <c r="E21" s="7" t="s">
        <v>169</v>
      </c>
      <c r="F21" s="7" t="s">
        <v>170</v>
      </c>
    </row>
    <row r="22" spans="1:6">
      <c r="A22" s="608">
        <f t="shared" si="0"/>
        <v>212</v>
      </c>
      <c r="B22" s="7" t="s">
        <v>171</v>
      </c>
      <c r="C22" s="7" t="str">
        <f t="shared" ca="1" si="1"/>
        <v xml:space="preserve"> </v>
      </c>
      <c r="D22" s="7" t="s">
        <v>48</v>
      </c>
      <c r="E22" s="7" t="s">
        <v>172</v>
      </c>
      <c r="F22" s="7" t="s">
        <v>173</v>
      </c>
    </row>
    <row r="23" spans="1:6">
      <c r="A23" s="608">
        <f t="shared" si="0"/>
        <v>213</v>
      </c>
      <c r="B23" s="7" t="s">
        <v>174</v>
      </c>
      <c r="C23" s="7" t="str">
        <f t="shared" ca="1" si="1"/>
        <v xml:space="preserve"> </v>
      </c>
      <c r="D23" s="7" t="s">
        <v>48</v>
      </c>
      <c r="E23" s="7" t="s">
        <v>175</v>
      </c>
      <c r="F23" s="7" t="s">
        <v>176</v>
      </c>
    </row>
    <row r="24" spans="1:6">
      <c r="A24" s="608">
        <f t="shared" si="0"/>
        <v>300</v>
      </c>
      <c r="B24" s="446" t="s">
        <v>6138</v>
      </c>
      <c r="C24" s="446" t="str">
        <f t="shared" ca="1" si="1"/>
        <v>Index</v>
      </c>
      <c r="D24" s="446" t="s">
        <v>177</v>
      </c>
      <c r="E24" s="446" t="s">
        <v>178</v>
      </c>
      <c r="F24" s="446" t="s">
        <v>178</v>
      </c>
    </row>
    <row r="25" spans="1:6">
      <c r="A25" s="608">
        <f t="shared" si="0"/>
        <v>301</v>
      </c>
      <c r="B25" s="446" t="s">
        <v>6139</v>
      </c>
      <c r="C25" s="446" t="str">
        <f t="shared" ca="1" si="1"/>
        <v>Index</v>
      </c>
      <c r="D25" s="446" t="s">
        <v>177</v>
      </c>
      <c r="E25" s="446" t="s">
        <v>179</v>
      </c>
      <c r="F25" s="446" t="s">
        <v>179</v>
      </c>
    </row>
    <row r="26" spans="1:6">
      <c r="A26" s="608">
        <f t="shared" si="0"/>
        <v>302</v>
      </c>
      <c r="B26" s="445" t="s">
        <v>6140</v>
      </c>
      <c r="C26" s="7" t="str">
        <f t="shared" ca="1" si="1"/>
        <v>Vaishnava Planner Gplan</v>
      </c>
      <c r="D26" s="7" t="s">
        <v>180</v>
      </c>
      <c r="E26" s="7" t="s">
        <v>181</v>
      </c>
      <c r="F26" s="7" t="s">
        <v>181</v>
      </c>
    </row>
    <row r="27" spans="1:6">
      <c r="A27" s="608">
        <f t="shared" si="0"/>
        <v>303</v>
      </c>
      <c r="B27" s="445" t="s">
        <v>6141</v>
      </c>
      <c r="C27" s="7" t="str">
        <f ca="1">OFFSET(C27,0,$C$1)</f>
        <v>Automatically generate</v>
      </c>
      <c r="D27" s="7" t="s">
        <v>223</v>
      </c>
      <c r="E27" s="7" t="s">
        <v>224</v>
      </c>
      <c r="F27" s="7" t="s">
        <v>225</v>
      </c>
    </row>
    <row r="28" spans="1:6">
      <c r="A28" s="608">
        <f t="shared" si="0"/>
        <v>304</v>
      </c>
      <c r="B28" s="445" t="s">
        <v>6142</v>
      </c>
      <c r="C28" s="7" t="str">
        <f t="shared" ca="1" si="1"/>
        <v>Language</v>
      </c>
      <c r="D28" s="7" t="s">
        <v>64</v>
      </c>
      <c r="E28" s="7" t="s">
        <v>182</v>
      </c>
      <c r="F28" s="7" t="s">
        <v>46</v>
      </c>
    </row>
    <row r="29" spans="1:6">
      <c r="A29" s="608">
        <f t="shared" si="0"/>
        <v>305</v>
      </c>
      <c r="B29" s="445" t="s">
        <v>6143</v>
      </c>
      <c r="C29" s="7" t="str">
        <f t="shared" ca="1" si="1"/>
        <v>Location</v>
      </c>
      <c r="D29" s="7" t="s">
        <v>66</v>
      </c>
      <c r="E29" s="7" t="s">
        <v>183</v>
      </c>
      <c r="F29" s="7" t="s">
        <v>184</v>
      </c>
    </row>
    <row r="30" spans="1:6">
      <c r="A30" s="608">
        <f t="shared" si="0"/>
        <v>306</v>
      </c>
      <c r="B30" s="445" t="s">
        <v>6144</v>
      </c>
      <c r="C30" s="7" t="str">
        <f t="shared" ca="1" si="1"/>
        <v>Year</v>
      </c>
      <c r="D30" s="7" t="s">
        <v>72</v>
      </c>
      <c r="E30" s="7" t="s">
        <v>185</v>
      </c>
      <c r="F30" s="7" t="s">
        <v>186</v>
      </c>
    </row>
    <row r="31" spans="1:6">
      <c r="A31" s="608">
        <f t="shared" si="0"/>
        <v>307</v>
      </c>
      <c r="B31" s="445" t="s">
        <v>6145</v>
      </c>
      <c r="C31" s="7" t="str">
        <f t="shared" ca="1" si="1"/>
        <v>Name of the location on the Cover</v>
      </c>
      <c r="D31" s="7" t="s">
        <v>187</v>
      </c>
      <c r="E31" s="7" t="s">
        <v>188</v>
      </c>
      <c r="F31" s="7" t="s">
        <v>189</v>
      </c>
    </row>
    <row r="32" spans="1:6">
      <c r="A32" s="608">
        <f t="shared" si="0"/>
        <v>308</v>
      </c>
      <c r="B32" s="445" t="s">
        <v>6146</v>
      </c>
      <c r="C32" s="7" t="str">
        <f ca="1">OFFSET(C32,0,$C$1)</f>
        <v>Start hour</v>
      </c>
      <c r="D32" s="7" t="s">
        <v>1175</v>
      </c>
      <c r="E32" s="7" t="s">
        <v>6584</v>
      </c>
      <c r="F32" s="7" t="s">
        <v>1173</v>
      </c>
    </row>
    <row r="33" spans="1:6">
      <c r="A33" s="608">
        <f t="shared" si="0"/>
        <v>309</v>
      </c>
      <c r="B33" s="445" t="s">
        <v>6147</v>
      </c>
      <c r="C33" s="7" t="str">
        <f ca="1">OFFSET(C33,0,$C$1)</f>
        <v>(on week planner)</v>
      </c>
      <c r="D33" s="7" t="s">
        <v>1176</v>
      </c>
      <c r="E33" s="7" t="s">
        <v>1174</v>
      </c>
      <c r="F33" s="7" t="s">
        <v>1174</v>
      </c>
    </row>
    <row r="34" spans="1:6">
      <c r="A34" s="608">
        <f t="shared" si="0"/>
        <v>310</v>
      </c>
      <c r="B34" s="445" t="s">
        <v>6148</v>
      </c>
      <c r="C34" s="7" t="str">
        <f t="shared" ca="1" si="1"/>
        <v>Edit</v>
      </c>
      <c r="D34" s="7" t="s">
        <v>190</v>
      </c>
      <c r="E34" s="7" t="s">
        <v>191</v>
      </c>
      <c r="F34" s="7" t="s">
        <v>191</v>
      </c>
    </row>
    <row r="35" spans="1:6">
      <c r="A35" s="608">
        <f t="shared" si="0"/>
        <v>311</v>
      </c>
      <c r="B35" s="445" t="s">
        <v>6149</v>
      </c>
      <c r="C35" s="7" t="str">
        <f t="shared" ref="C35:C47" ca="1" si="2">OFFSET(C35,0,$C$1)</f>
        <v>Add:</v>
      </c>
      <c r="D35" s="7" t="s">
        <v>907</v>
      </c>
      <c r="E35" s="7" t="s">
        <v>910</v>
      </c>
      <c r="F35" s="7" t="s">
        <v>904</v>
      </c>
    </row>
    <row r="36" spans="1:6">
      <c r="A36" s="608">
        <f t="shared" si="0"/>
        <v>312</v>
      </c>
      <c r="B36" s="445" t="s">
        <v>6150</v>
      </c>
      <c r="C36" s="7" t="str">
        <f t="shared" ca="1" si="2"/>
        <v>Holydays</v>
      </c>
      <c r="D36" s="7" t="s">
        <v>61</v>
      </c>
      <c r="E36" s="7" t="s">
        <v>195</v>
      </c>
      <c r="F36" s="7" t="s">
        <v>196</v>
      </c>
    </row>
    <row r="37" spans="1:6">
      <c r="A37" s="608">
        <f t="shared" si="0"/>
        <v>313</v>
      </c>
      <c r="B37" s="445" t="s">
        <v>6151</v>
      </c>
      <c r="C37" s="7" t="str">
        <f t="shared" ca="1" si="2"/>
        <v>Personal Data</v>
      </c>
      <c r="D37" s="7" t="s">
        <v>62</v>
      </c>
      <c r="E37" s="7" t="s">
        <v>193</v>
      </c>
      <c r="F37" s="7" t="s">
        <v>194</v>
      </c>
    </row>
    <row r="38" spans="1:6">
      <c r="A38" s="608">
        <f t="shared" si="0"/>
        <v>314</v>
      </c>
      <c r="B38" s="445" t="s">
        <v>6152</v>
      </c>
      <c r="C38" s="7" t="str">
        <f ca="1">OFFSET(C38,0,$C$1)</f>
        <v>Previous Checklist</v>
      </c>
      <c r="D38" s="7" t="s">
        <v>1190</v>
      </c>
      <c r="E38" s="7" t="s">
        <v>1190</v>
      </c>
      <c r="F38" s="7" t="s">
        <v>1189</v>
      </c>
    </row>
    <row r="39" spans="1:6">
      <c r="A39" s="655">
        <f t="shared" si="0"/>
        <v>315</v>
      </c>
      <c r="B39" s="445" t="s">
        <v>6153</v>
      </c>
      <c r="C39" s="7" t="str">
        <f ca="1">OFFSET(C39,0,$C$1)</f>
        <v>Update</v>
      </c>
      <c r="D39" s="444" t="s">
        <v>192</v>
      </c>
      <c r="E39" s="444" t="s">
        <v>210</v>
      </c>
      <c r="F39" s="444" t="s">
        <v>210</v>
      </c>
    </row>
    <row r="40" spans="1:6">
      <c r="A40" s="655">
        <f t="shared" si="0"/>
        <v>316</v>
      </c>
      <c r="B40" s="452" t="s">
        <v>6685</v>
      </c>
      <c r="C40" s="452" t="str">
        <f t="shared" ca="1" si="2"/>
        <v>Personalities and Events</v>
      </c>
      <c r="D40" s="452" t="s">
        <v>908</v>
      </c>
      <c r="E40" s="452" t="s">
        <v>911</v>
      </c>
      <c r="F40" s="452" t="s">
        <v>905</v>
      </c>
    </row>
    <row r="41" spans="1:6">
      <c r="A41" s="655">
        <f t="shared" si="0"/>
        <v>317</v>
      </c>
      <c r="B41" s="452" t="s">
        <v>6686</v>
      </c>
      <c r="C41" s="452" t="str">
        <f t="shared" ca="1" si="2"/>
        <v>Monthly Planning</v>
      </c>
      <c r="D41" s="452" t="s">
        <v>6675</v>
      </c>
      <c r="E41" s="452" t="s">
        <v>6676</v>
      </c>
      <c r="F41" s="452" t="s">
        <v>6677</v>
      </c>
    </row>
    <row r="42" spans="1:6" s="655" customFormat="1">
      <c r="A42" s="655">
        <f t="shared" si="0"/>
        <v>318</v>
      </c>
      <c r="B42" s="452" t="s">
        <v>6687</v>
      </c>
      <c r="C42" s="452" t="str">
        <f t="shared" ca="1" si="2"/>
        <v>Purpose and Dreams</v>
      </c>
      <c r="D42" s="452" t="s">
        <v>6678</v>
      </c>
      <c r="E42" s="452" t="s">
        <v>6679</v>
      </c>
      <c r="F42" s="452" t="s">
        <v>6680</v>
      </c>
    </row>
    <row r="43" spans="1:6" s="655" customFormat="1">
      <c r="A43" s="655">
        <f t="shared" si="0"/>
        <v>319</v>
      </c>
      <c r="B43" s="452" t="s">
        <v>6688</v>
      </c>
      <c r="C43" s="452" t="str">
        <f t="shared" ca="1" si="2"/>
        <v>Projects</v>
      </c>
      <c r="D43" s="452" t="s">
        <v>6681</v>
      </c>
      <c r="E43" s="452" t="s">
        <v>6682</v>
      </c>
      <c r="F43" s="452" t="s">
        <v>6683</v>
      </c>
    </row>
    <row r="44" spans="1:6" s="655" customFormat="1">
      <c r="A44" s="655">
        <f t="shared" si="0"/>
        <v>320</v>
      </c>
      <c r="B44" s="452" t="s">
        <v>6689</v>
      </c>
      <c r="C44" s="452" t="str">
        <f t="shared" ca="1" si="2"/>
        <v>Reunions</v>
      </c>
      <c r="D44" s="452" t="s">
        <v>909</v>
      </c>
      <c r="E44" s="452" t="s">
        <v>912</v>
      </c>
      <c r="F44" s="452" t="s">
        <v>906</v>
      </c>
    </row>
    <row r="45" spans="1:6">
      <c r="A45" s="655">
        <f t="shared" si="0"/>
        <v>321</v>
      </c>
      <c r="B45" s="452" t="s">
        <v>6690</v>
      </c>
      <c r="C45" s="452" t="str">
        <f t="shared" ca="1" si="2"/>
        <v>Squared</v>
      </c>
      <c r="D45" s="452" t="s">
        <v>6673</v>
      </c>
      <c r="E45" s="452" t="s">
        <v>6691</v>
      </c>
      <c r="F45" s="452" t="s">
        <v>6684</v>
      </c>
    </row>
    <row r="46" spans="1:6">
      <c r="A46" s="655">
        <f t="shared" si="0"/>
        <v>322</v>
      </c>
      <c r="B46" s="452" t="s">
        <v>6154</v>
      </c>
      <c r="C46" s="452" t="str">
        <f t="shared" ca="1" si="2"/>
        <v>Generate</v>
      </c>
      <c r="D46" s="452" t="s">
        <v>211</v>
      </c>
      <c r="E46" s="452" t="s">
        <v>212</v>
      </c>
      <c r="F46" s="452" t="s">
        <v>213</v>
      </c>
    </row>
    <row r="47" spans="1:6">
      <c r="A47" s="655">
        <f t="shared" si="0"/>
        <v>323</v>
      </c>
      <c r="B47" s="452" t="s">
        <v>6155</v>
      </c>
      <c r="C47" s="452" t="str">
        <f t="shared" ca="1" si="2"/>
        <v>Change</v>
      </c>
      <c r="D47" s="452" t="s">
        <v>1177</v>
      </c>
      <c r="E47" s="452" t="s">
        <v>1172</v>
      </c>
      <c r="F47" s="452" t="s">
        <v>1172</v>
      </c>
    </row>
    <row r="48" spans="1:6">
      <c r="A48" s="655">
        <f t="shared" si="0"/>
        <v>324</v>
      </c>
      <c r="B48" s="455" t="s">
        <v>6156</v>
      </c>
      <c r="C48" s="455" t="str">
        <f ca="1">OFFSET(C48,0,$C$1)</f>
        <v>Calendar Data Automatic Updating</v>
      </c>
      <c r="D48" s="455" t="s">
        <v>6210</v>
      </c>
      <c r="E48" s="455" t="s">
        <v>6211</v>
      </c>
      <c r="F48" s="455" t="s">
        <v>49</v>
      </c>
    </row>
    <row r="49" spans="1:6">
      <c r="A49" s="655">
        <f t="shared" si="0"/>
        <v>325</v>
      </c>
      <c r="B49" s="455" t="s">
        <v>6157</v>
      </c>
      <c r="C49" s="455" t="str">
        <f ca="1">OFFSET(C49,0,$C$1)</f>
        <v>Calculate the calendar data to the following location and year?</v>
      </c>
      <c r="D49" s="455" t="s">
        <v>221</v>
      </c>
      <c r="E49" s="455" t="s">
        <v>222</v>
      </c>
      <c r="F49" s="455" t="s">
        <v>50</v>
      </c>
    </row>
    <row r="50" spans="1:6" s="464" customFormat="1">
      <c r="A50" s="655">
        <f t="shared" si="0"/>
        <v>326</v>
      </c>
      <c r="B50" s="455" t="s">
        <v>6244</v>
      </c>
      <c r="C50" s="455" t="str">
        <f ca="1">OFFSET(C50,0,$C$1)</f>
        <v>Calendar calculation canceled.</v>
      </c>
      <c r="D50" s="465" t="s">
        <v>6242</v>
      </c>
      <c r="E50" s="455" t="s">
        <v>6243</v>
      </c>
      <c r="F50" s="455" t="s">
        <v>6241</v>
      </c>
    </row>
    <row r="51" spans="1:6">
      <c r="A51" s="655">
        <f t="shared" si="0"/>
        <v>327</v>
      </c>
      <c r="B51" s="448" t="s">
        <v>6158</v>
      </c>
      <c r="C51" s="448" t="str">
        <f ca="1">OFFSET(C51,0,$C$1)</f>
        <v>Automatic Generation of Planner</v>
      </c>
      <c r="D51" s="448" t="s">
        <v>219</v>
      </c>
      <c r="E51" s="448" t="s">
        <v>220</v>
      </c>
      <c r="F51" s="448" t="s">
        <v>51</v>
      </c>
    </row>
    <row r="52" spans="1:6">
      <c r="A52" s="655">
        <f t="shared" si="0"/>
        <v>328</v>
      </c>
      <c r="B52" s="448" t="s">
        <v>6159</v>
      </c>
      <c r="C52" s="448" t="str">
        <f t="shared" ca="1" si="1"/>
        <v>Generate the GPlan planner in pdf format?</v>
      </c>
      <c r="D52" s="448" t="s">
        <v>214</v>
      </c>
      <c r="E52" s="448" t="s">
        <v>215</v>
      </c>
      <c r="F52" s="448" t="s">
        <v>52</v>
      </c>
    </row>
    <row r="53" spans="1:6">
      <c r="A53" s="655">
        <f t="shared" si="0"/>
        <v>329</v>
      </c>
      <c r="B53" s="448" t="s">
        <v>6160</v>
      </c>
      <c r="C53" s="448" t="str">
        <f t="shared" ca="1" si="1"/>
        <v>Canceled GPlan planner generation in pdf format!</v>
      </c>
      <c r="D53" s="448" t="s">
        <v>216</v>
      </c>
      <c r="E53" s="448" t="s">
        <v>217</v>
      </c>
      <c r="F53" s="448" t="s">
        <v>218</v>
      </c>
    </row>
    <row r="54" spans="1:6">
      <c r="A54" s="655">
        <f t="shared" si="0"/>
        <v>330</v>
      </c>
      <c r="B54" s="448" t="s">
        <v>6161</v>
      </c>
      <c r="C54" s="448" t="str">
        <f t="shared" ca="1" si="1"/>
        <v>Automatic generation of Planner may take several minutes.</v>
      </c>
      <c r="D54" s="448" t="s">
        <v>6583</v>
      </c>
      <c r="E54" s="448" t="s">
        <v>6582</v>
      </c>
      <c r="F54" s="448" t="s">
        <v>6581</v>
      </c>
    </row>
    <row r="55" spans="1:6">
      <c r="A55" s="655">
        <f t="shared" si="0"/>
        <v>400</v>
      </c>
      <c r="B55" s="449" t="s">
        <v>715</v>
      </c>
      <c r="C55" s="449" t="str">
        <f t="shared" ref="C55:C81" ca="1" si="3">OFFSET(C55,0,$C$1)</f>
        <v>System (Macros)</v>
      </c>
      <c r="D55" s="449" t="s">
        <v>6188</v>
      </c>
      <c r="E55" s="449" t="s">
        <v>6187</v>
      </c>
      <c r="F55" s="449" t="s">
        <v>6187</v>
      </c>
    </row>
    <row r="56" spans="1:6" s="458" customFormat="1">
      <c r="A56" s="655">
        <f t="shared" si="0"/>
        <v>401</v>
      </c>
      <c r="B56" s="454" t="s">
        <v>6180</v>
      </c>
      <c r="C56" s="454" t="str">
        <f t="shared" ca="1" si="3"/>
        <v>Personalities Events</v>
      </c>
      <c r="D56" s="454" t="s">
        <v>6209</v>
      </c>
      <c r="E56" s="454" t="s">
        <v>6208</v>
      </c>
      <c r="F56" s="454" t="s">
        <v>6208</v>
      </c>
    </row>
    <row r="57" spans="1:6" s="458" customFormat="1">
      <c r="A57" s="655">
        <f t="shared" si="0"/>
        <v>402</v>
      </c>
      <c r="B57" s="454" t="s">
        <v>6186</v>
      </c>
      <c r="C57" s="454" t="str">
        <f t="shared" ca="1" si="3"/>
        <v>Events</v>
      </c>
      <c r="D57" s="454" t="s">
        <v>6184</v>
      </c>
      <c r="E57" s="454" t="s">
        <v>6185</v>
      </c>
      <c r="F57" s="454" t="s">
        <v>6185</v>
      </c>
    </row>
    <row r="58" spans="1:6" s="458" customFormat="1">
      <c r="A58" s="655">
        <f t="shared" si="0"/>
        <v>403</v>
      </c>
      <c r="B58" s="452" t="s">
        <v>6181</v>
      </c>
      <c r="C58" s="452" t="str">
        <f t="shared" ca="1" si="3"/>
        <v>Reunions</v>
      </c>
      <c r="D58" s="452" t="s">
        <v>909</v>
      </c>
      <c r="E58" s="452" t="s">
        <v>912</v>
      </c>
      <c r="F58" s="452" t="s">
        <v>6183</v>
      </c>
    </row>
    <row r="59" spans="1:6" s="458" customFormat="1">
      <c r="A59" s="655">
        <f t="shared" si="0"/>
        <v>404</v>
      </c>
      <c r="B59" s="452" t="s">
        <v>6182</v>
      </c>
      <c r="C59" s="452" t="str">
        <f t="shared" ca="1" si="3"/>
        <v>Units Conversion</v>
      </c>
      <c r="D59" s="452" t="s">
        <v>952</v>
      </c>
      <c r="E59" s="452" t="s">
        <v>6207</v>
      </c>
      <c r="F59" s="452" t="s">
        <v>6206</v>
      </c>
    </row>
    <row r="60" spans="1:6">
      <c r="A60" s="655">
        <f t="shared" si="0"/>
        <v>405</v>
      </c>
      <c r="B60" s="455" t="s">
        <v>1188</v>
      </c>
      <c r="C60" s="455" t="str">
        <f t="shared" ca="1" si="3"/>
        <v>Calendar Settings</v>
      </c>
      <c r="D60" s="455" t="s">
        <v>1186</v>
      </c>
      <c r="E60" s="455" t="s">
        <v>1187</v>
      </c>
      <c r="F60" s="455" t="s">
        <v>1187</v>
      </c>
    </row>
    <row r="61" spans="1:6">
      <c r="A61" s="655">
        <f t="shared" si="0"/>
        <v>406</v>
      </c>
      <c r="B61" s="455" t="s">
        <v>1182</v>
      </c>
      <c r="C61" s="455" t="str">
        <f t="shared" ca="1" si="3"/>
        <v>Language:</v>
      </c>
      <c r="D61" s="455" t="s">
        <v>1178</v>
      </c>
      <c r="E61" s="455" t="s">
        <v>1179</v>
      </c>
      <c r="F61" s="455" t="s">
        <v>1179</v>
      </c>
    </row>
    <row r="62" spans="1:6">
      <c r="A62" s="655">
        <f t="shared" si="0"/>
        <v>407</v>
      </c>
      <c r="B62" s="455" t="s">
        <v>1183</v>
      </c>
      <c r="C62" s="455" t="str">
        <f t="shared" ca="1" si="3"/>
        <v>Location:   (Type for search)</v>
      </c>
      <c r="D62" s="455" t="s">
        <v>1180</v>
      </c>
      <c r="E62" s="455" t="s">
        <v>1181</v>
      </c>
      <c r="F62" s="455" t="s">
        <v>1181</v>
      </c>
    </row>
    <row r="63" spans="1:6">
      <c r="A63" s="655">
        <f t="shared" si="0"/>
        <v>408</v>
      </c>
      <c r="B63" s="455" t="s">
        <v>1184</v>
      </c>
      <c r="C63" s="455" t="str">
        <f t="shared" ca="1" si="3"/>
        <v>Year:</v>
      </c>
      <c r="D63" s="455" t="s">
        <v>1185</v>
      </c>
      <c r="E63" s="455" t="s">
        <v>893</v>
      </c>
      <c r="F63" s="455" t="s">
        <v>893</v>
      </c>
    </row>
    <row r="64" spans="1:6">
      <c r="A64" s="655">
        <f t="shared" si="0"/>
        <v>409</v>
      </c>
      <c r="B64" s="455" t="s">
        <v>1247</v>
      </c>
      <c r="C64" s="455" t="str">
        <f t="shared" ca="1" si="3"/>
        <v>Click here to view location in Google Maps</v>
      </c>
      <c r="D64" s="455" t="s">
        <v>1244</v>
      </c>
      <c r="E64" s="455" t="s">
        <v>1246</v>
      </c>
      <c r="F64" s="455" t="s">
        <v>1245</v>
      </c>
    </row>
    <row r="65" spans="1:6">
      <c r="A65" s="655">
        <f t="shared" si="0"/>
        <v>410</v>
      </c>
      <c r="B65" s="455" t="s">
        <v>1167</v>
      </c>
      <c r="C65" s="455" t="str">
        <f t="shared" ca="1" si="3"/>
        <v>OK</v>
      </c>
      <c r="D65" s="455" t="s">
        <v>1169</v>
      </c>
      <c r="E65" s="455" t="s">
        <v>1169</v>
      </c>
      <c r="F65" s="455" t="s">
        <v>1169</v>
      </c>
    </row>
    <row r="66" spans="1:6">
      <c r="A66" s="655">
        <f t="shared" si="0"/>
        <v>411</v>
      </c>
      <c r="B66" s="455" t="s">
        <v>1168</v>
      </c>
      <c r="C66" s="455" t="str">
        <f t="shared" ca="1" si="3"/>
        <v>Cancel</v>
      </c>
      <c r="D66" s="455" t="s">
        <v>1170</v>
      </c>
      <c r="E66" s="455" t="s">
        <v>1171</v>
      </c>
      <c r="F66" s="455" t="s">
        <v>1171</v>
      </c>
    </row>
    <row r="67" spans="1:6">
      <c r="A67" s="655">
        <f t="shared" si="0"/>
        <v>412</v>
      </c>
      <c r="B67" s="452" t="s">
        <v>1165</v>
      </c>
      <c r="C67" s="452" t="str">
        <f t="shared" ca="1" si="3"/>
        <v xml:space="preserve">Wait: </v>
      </c>
      <c r="D67" s="452" t="s">
        <v>6021</v>
      </c>
      <c r="E67" s="452" t="s">
        <v>6022</v>
      </c>
      <c r="F67" s="452" t="s">
        <v>6022</v>
      </c>
    </row>
    <row r="68" spans="1:6">
      <c r="A68" s="655">
        <f t="shared" si="0"/>
        <v>413</v>
      </c>
      <c r="B68" s="452" t="s">
        <v>1192</v>
      </c>
      <c r="C68" s="452" t="str">
        <f t="shared" ca="1" si="3"/>
        <v>Calculating calendar...</v>
      </c>
      <c r="D68" s="452" t="s">
        <v>1195</v>
      </c>
      <c r="E68" s="452" t="s">
        <v>1194</v>
      </c>
      <c r="F68" s="452" t="s">
        <v>1193</v>
      </c>
    </row>
    <row r="69" spans="1:6">
      <c r="A69" s="655">
        <f t="shared" si="0"/>
        <v>414</v>
      </c>
      <c r="B69" s="454" t="s">
        <v>1199</v>
      </c>
      <c r="C69" s="454" t="str">
        <f t="shared" ca="1" si="3"/>
        <v>Calculating lunar calendar...</v>
      </c>
      <c r="D69" s="454" t="s">
        <v>1196</v>
      </c>
      <c r="E69" s="454" t="s">
        <v>1198</v>
      </c>
      <c r="F69" s="454" t="s">
        <v>1197</v>
      </c>
    </row>
    <row r="70" spans="1:6">
      <c r="A70" s="655">
        <f t="shared" si="0"/>
        <v>415</v>
      </c>
      <c r="B70" s="452" t="s">
        <v>1211</v>
      </c>
      <c r="C70" s="452" t="str">
        <f t="shared" ca="1" si="3"/>
        <v>Complete</v>
      </c>
      <c r="D70" s="452" t="s">
        <v>229</v>
      </c>
      <c r="E70" s="452" t="s">
        <v>1212</v>
      </c>
      <c r="F70" s="452" t="s">
        <v>42</v>
      </c>
    </row>
    <row r="71" spans="1:6">
      <c r="A71" s="655">
        <f t="shared" si="0"/>
        <v>416</v>
      </c>
      <c r="B71" s="452" t="s">
        <v>1166</v>
      </c>
      <c r="C71" s="452" t="str">
        <f t="shared" ca="1" si="3"/>
        <v xml:space="preserve">Ready in </v>
      </c>
      <c r="D71" s="452" t="s">
        <v>6023</v>
      </c>
      <c r="E71" s="452" t="s">
        <v>6024</v>
      </c>
      <c r="F71" s="452" t="s">
        <v>6024</v>
      </c>
    </row>
    <row r="72" spans="1:6">
      <c r="A72" s="655">
        <f t="shared" si="0"/>
        <v>417</v>
      </c>
      <c r="B72" s="451" t="s">
        <v>1202</v>
      </c>
      <c r="C72" s="451" t="str">
        <f t="shared" ca="1" si="3"/>
        <v>Action #a# of #t#</v>
      </c>
      <c r="D72" s="451" t="s">
        <v>1201</v>
      </c>
      <c r="E72" s="456" t="s">
        <v>1200</v>
      </c>
      <c r="F72" s="451" t="s">
        <v>1200</v>
      </c>
    </row>
    <row r="73" spans="1:6">
      <c r="A73" s="655">
        <f t="shared" si="0"/>
        <v>418</v>
      </c>
      <c r="B73" s="453" t="s">
        <v>1209</v>
      </c>
      <c r="C73" s="453" t="str">
        <f t="shared" ca="1" si="3"/>
        <v>This Window will close in #s# seconds</v>
      </c>
      <c r="D73" s="453" t="s">
        <v>1203</v>
      </c>
      <c r="E73" s="453" t="s">
        <v>1204</v>
      </c>
      <c r="F73" s="453" t="s">
        <v>1205</v>
      </c>
    </row>
    <row r="74" spans="1:6">
      <c r="A74" s="655">
        <f t="shared" si="0"/>
        <v>419</v>
      </c>
      <c r="B74" s="453" t="s">
        <v>1210</v>
      </c>
      <c r="C74" s="453" t="str">
        <f t="shared" ca="1" si="3"/>
        <v>This Window will close in #s# second</v>
      </c>
      <c r="D74" s="453" t="s">
        <v>1206</v>
      </c>
      <c r="E74" s="453" t="s">
        <v>1207</v>
      </c>
      <c r="F74" s="453" t="s">
        <v>1208</v>
      </c>
    </row>
    <row r="75" spans="1:6">
      <c r="A75" s="655">
        <f t="shared" si="0"/>
        <v>420</v>
      </c>
      <c r="B75" s="453" t="s">
        <v>969</v>
      </c>
      <c r="C75" s="453" t="str">
        <f t="shared" ca="1" si="3"/>
        <v>OK!</v>
      </c>
      <c r="D75" s="453" t="s">
        <v>970</v>
      </c>
      <c r="E75" s="453" t="s">
        <v>970</v>
      </c>
      <c r="F75" s="453" t="s">
        <v>970</v>
      </c>
    </row>
    <row r="76" spans="1:6">
      <c r="A76" s="655">
        <f t="shared" ref="A76:A139" si="4">IF(RIGHT(B76,8)="_section",(INT(A75/100)+1)*100,A75+1)</f>
        <v>421</v>
      </c>
      <c r="B76" s="448" t="s">
        <v>1216</v>
      </c>
      <c r="C76" s="448" t="str">
        <f t="shared" ca="1" si="3"/>
        <v>Generating the Vaishnava Planner...</v>
      </c>
      <c r="D76" s="448" t="s">
        <v>1213</v>
      </c>
      <c r="E76" s="448" t="s">
        <v>1215</v>
      </c>
      <c r="F76" s="448" t="s">
        <v>1214</v>
      </c>
    </row>
    <row r="77" spans="1:6">
      <c r="A77" s="655">
        <f t="shared" si="4"/>
        <v>422</v>
      </c>
      <c r="B77" s="448" t="s">
        <v>717</v>
      </c>
      <c r="C77" s="448" t="str">
        <f t="shared" ca="1" si="3"/>
        <v>Wait:  #|#  P: #p#  T: #t#  R: #r#  N:</v>
      </c>
      <c r="D77" s="448" t="s">
        <v>6574</v>
      </c>
      <c r="E77" s="448" t="s">
        <v>6702</v>
      </c>
      <c r="F77" s="448" t="s">
        <v>6573</v>
      </c>
    </row>
    <row r="78" spans="1:6">
      <c r="A78" s="655">
        <f t="shared" si="4"/>
        <v>423</v>
      </c>
      <c r="B78" s="448" t="s">
        <v>948</v>
      </c>
      <c r="C78" s="448" t="str">
        <f t="shared" ca="1" si="3"/>
        <v>Wait: #p# pages created in #t#. Publishing in PDF format...</v>
      </c>
      <c r="D78" s="448" t="s">
        <v>6703</v>
      </c>
      <c r="E78" s="448" t="s">
        <v>6700</v>
      </c>
      <c r="F78" s="448" t="s">
        <v>6701</v>
      </c>
    </row>
    <row r="79" spans="1:6" s="611" customFormat="1">
      <c r="A79" s="655">
        <f t="shared" si="4"/>
        <v>424</v>
      </c>
      <c r="B79" s="448" t="s">
        <v>6575</v>
      </c>
      <c r="C79" s="448" t="str">
        <f t="shared" ca="1" si="3"/>
        <v>Ready! Number of pages: #p#. Total time: #t#.</v>
      </c>
      <c r="D79" s="661" t="s">
        <v>6693</v>
      </c>
      <c r="E79" s="448" t="s">
        <v>6694</v>
      </c>
      <c r="F79" s="448" t="s">
        <v>6692</v>
      </c>
    </row>
    <row r="80" spans="1:6" s="445" customFormat="1">
      <c r="A80" s="655">
        <f t="shared" si="4"/>
        <v>425</v>
      </c>
      <c r="B80" s="447" t="s">
        <v>6177</v>
      </c>
      <c r="C80" s="447" t="str">
        <f t="shared" ca="1" si="3"/>
        <v>Calendar Data Automatic Updating</v>
      </c>
      <c r="D80" s="447" t="s">
        <v>6210</v>
      </c>
      <c r="E80" s="447" t="s">
        <v>6211</v>
      </c>
      <c r="F80" s="447" t="s">
        <v>49</v>
      </c>
    </row>
    <row r="81" spans="1:6">
      <c r="A81" s="655">
        <f t="shared" si="4"/>
        <v>426</v>
      </c>
      <c r="B81" s="447" t="s">
        <v>6172</v>
      </c>
      <c r="C81" s="447" t="str">
        <f t="shared" ca="1" si="3"/>
        <v xml:space="preserve">An error has occurred: </v>
      </c>
      <c r="D81" s="447" t="s">
        <v>716</v>
      </c>
      <c r="E81" s="447" t="s">
        <v>6169</v>
      </c>
      <c r="F81" s="447" t="s">
        <v>6163</v>
      </c>
    </row>
    <row r="82" spans="1:6">
      <c r="A82" s="655">
        <f t="shared" si="4"/>
        <v>427</v>
      </c>
      <c r="B82" s="447" t="s">
        <v>6173</v>
      </c>
      <c r="C82" s="447" t="str">
        <f ca="1">OFFSET(C82,0,$C$1)</f>
        <v>During the previous check, it was not possible to find all the required files in the current folder.</v>
      </c>
      <c r="D82" s="447" t="s">
        <v>6178</v>
      </c>
      <c r="E82" s="447" t="s">
        <v>6179</v>
      </c>
      <c r="F82" s="447" t="s">
        <v>6212</v>
      </c>
    </row>
    <row r="83" spans="1:6" s="445" customFormat="1">
      <c r="A83" s="655">
        <f t="shared" si="4"/>
        <v>428</v>
      </c>
      <c r="B83" s="447" t="s">
        <v>6174</v>
      </c>
      <c r="C83" s="447" t="str">
        <f ca="1">OFFSET(C83,0,$C$1)</f>
        <v>It was not possible to generate all the files needed to create the Planner.</v>
      </c>
      <c r="D83" s="447" t="s">
        <v>6167</v>
      </c>
      <c r="E83" s="447" t="s">
        <v>6170</v>
      </c>
      <c r="F83" s="447" t="s">
        <v>6166</v>
      </c>
    </row>
    <row r="84" spans="1:6">
      <c r="A84" s="655">
        <f t="shared" si="4"/>
        <v>429</v>
      </c>
      <c r="B84" s="447" t="s">
        <v>6176</v>
      </c>
      <c r="C84" s="447" t="str">
        <f ca="1">OFFSET(C84,0,$C$1)</f>
        <v xml:space="preserve">Download the latest version of the Vaishnava Gplan Agenda in
</v>
      </c>
      <c r="D84" s="457" t="s">
        <v>6168</v>
      </c>
      <c r="E84" s="457" t="s">
        <v>6171</v>
      </c>
      <c r="F84" s="457" t="s">
        <v>6164</v>
      </c>
    </row>
    <row r="85" spans="1:6">
      <c r="A85" s="655">
        <f t="shared" si="4"/>
        <v>430</v>
      </c>
      <c r="B85" s="447" t="s">
        <v>6175</v>
      </c>
      <c r="C85" s="447" t="str">
        <f ca="1">OFFSET(C85,0,$C$1)</f>
        <v>https://github.com/gopaladasa/GPlan/releases</v>
      </c>
      <c r="D85" s="447" t="s">
        <v>6165</v>
      </c>
      <c r="E85" s="447" t="s">
        <v>6165</v>
      </c>
      <c r="F85" s="447" t="s">
        <v>6165</v>
      </c>
    </row>
    <row r="86" spans="1:6">
      <c r="A86" s="655">
        <f t="shared" si="4"/>
        <v>500</v>
      </c>
      <c r="B86" s="446" t="s">
        <v>282</v>
      </c>
      <c r="C86" s="446" t="str">
        <f t="shared" ref="C86:C137" ca="1" si="5">OFFSET(C86,0,$C$1)</f>
        <v>Personal Data</v>
      </c>
      <c r="D86" s="446" t="s">
        <v>62</v>
      </c>
      <c r="E86" s="446" t="s">
        <v>193</v>
      </c>
      <c r="F86" s="446" t="s">
        <v>194</v>
      </c>
    </row>
    <row r="87" spans="1:6">
      <c r="A87" s="655">
        <f t="shared" si="4"/>
        <v>501</v>
      </c>
      <c r="B87" s="448" t="s">
        <v>283</v>
      </c>
      <c r="C87" s="448" t="str">
        <f t="shared" ca="1" si="5"/>
        <v>Personal Data</v>
      </c>
      <c r="D87" s="448" t="s">
        <v>62</v>
      </c>
      <c r="E87" s="448" t="s">
        <v>193</v>
      </c>
      <c r="F87" s="448" t="s">
        <v>194</v>
      </c>
    </row>
    <row r="88" spans="1:6">
      <c r="A88" s="655">
        <f t="shared" si="4"/>
        <v>502</v>
      </c>
      <c r="B88" s="7" t="s">
        <v>284</v>
      </c>
      <c r="C88" s="7" t="str">
        <f t="shared" ca="1" si="5"/>
        <v>PERSONAL DATA</v>
      </c>
      <c r="D88" s="7" t="s">
        <v>285</v>
      </c>
      <c r="E88" s="7" t="s">
        <v>286</v>
      </c>
      <c r="F88" s="7" t="s">
        <v>287</v>
      </c>
    </row>
    <row r="89" spans="1:6">
      <c r="A89" s="655">
        <f t="shared" si="4"/>
        <v>503</v>
      </c>
      <c r="B89" s="7" t="s">
        <v>288</v>
      </c>
      <c r="C89" s="7" t="str">
        <f t="shared" ca="1" si="5"/>
        <v>COMMERCIAL DATA</v>
      </c>
      <c r="D89" s="7" t="s">
        <v>289</v>
      </c>
      <c r="E89" s="7" t="s">
        <v>290</v>
      </c>
      <c r="F89" s="7" t="s">
        <v>291</v>
      </c>
    </row>
    <row r="90" spans="1:6">
      <c r="A90" s="655">
        <f t="shared" si="4"/>
        <v>504</v>
      </c>
      <c r="B90" s="7" t="s">
        <v>292</v>
      </c>
      <c r="C90" s="7" t="str">
        <f t="shared" ca="1" si="5"/>
        <v>EMERGENCY</v>
      </c>
      <c r="D90" s="7" t="s">
        <v>293</v>
      </c>
      <c r="E90" s="7" t="s">
        <v>294</v>
      </c>
      <c r="F90" s="7" t="s">
        <v>295</v>
      </c>
    </row>
    <row r="91" spans="1:6">
      <c r="A91" s="655">
        <f t="shared" si="4"/>
        <v>505</v>
      </c>
      <c r="B91" s="7" t="s">
        <v>296</v>
      </c>
      <c r="C91" s="7" t="str">
        <f t="shared" ca="1" si="5"/>
        <v>Name</v>
      </c>
      <c r="D91" s="7" t="s">
        <v>297</v>
      </c>
      <c r="E91" s="7" t="s">
        <v>298</v>
      </c>
      <c r="F91" s="7" t="s">
        <v>299</v>
      </c>
    </row>
    <row r="92" spans="1:6">
      <c r="A92" s="655">
        <f t="shared" si="4"/>
        <v>506</v>
      </c>
      <c r="B92" s="7" t="s">
        <v>300</v>
      </c>
      <c r="C92" s="7" t="str">
        <f t="shared" ca="1" si="5"/>
        <v>Address</v>
      </c>
      <c r="D92" s="7" t="s">
        <v>301</v>
      </c>
      <c r="E92" s="7" t="s">
        <v>302</v>
      </c>
      <c r="F92" s="7" t="s">
        <v>303</v>
      </c>
    </row>
    <row r="93" spans="1:6">
      <c r="A93" s="655">
        <f t="shared" si="4"/>
        <v>507</v>
      </c>
      <c r="B93" s="7" t="s">
        <v>304</v>
      </c>
      <c r="C93" s="7" t="str">
        <f t="shared" ca="1" si="5"/>
        <v>City</v>
      </c>
      <c r="D93" s="7" t="s">
        <v>67</v>
      </c>
      <c r="E93" s="7" t="s">
        <v>305</v>
      </c>
      <c r="F93" s="7" t="s">
        <v>38</v>
      </c>
    </row>
    <row r="94" spans="1:6">
      <c r="A94" s="655">
        <f t="shared" si="4"/>
        <v>508</v>
      </c>
      <c r="B94" s="7" t="s">
        <v>306</v>
      </c>
      <c r="C94" s="7" t="str">
        <f t="shared" ca="1" si="5"/>
        <v>Zip code</v>
      </c>
      <c r="D94" s="7" t="s">
        <v>307</v>
      </c>
      <c r="E94" s="7" t="s">
        <v>308</v>
      </c>
      <c r="F94" s="7" t="s">
        <v>309</v>
      </c>
    </row>
    <row r="95" spans="1:6">
      <c r="A95" s="655">
        <f t="shared" si="4"/>
        <v>509</v>
      </c>
      <c r="B95" s="7" t="s">
        <v>310</v>
      </c>
      <c r="C95" s="7" t="str">
        <f t="shared" ca="1" si="5"/>
        <v>State</v>
      </c>
      <c r="D95" s="7" t="s">
        <v>311</v>
      </c>
      <c r="E95" s="7" t="s">
        <v>312</v>
      </c>
      <c r="F95" s="7" t="s">
        <v>313</v>
      </c>
    </row>
    <row r="96" spans="1:6">
      <c r="A96" s="655">
        <f t="shared" si="4"/>
        <v>510</v>
      </c>
      <c r="B96" s="7" t="s">
        <v>314</v>
      </c>
      <c r="C96" s="7" t="str">
        <f t="shared" ca="1" si="5"/>
        <v>Phone</v>
      </c>
      <c r="D96" s="7" t="s">
        <v>315</v>
      </c>
      <c r="E96" s="7" t="s">
        <v>316</v>
      </c>
      <c r="F96" s="7" t="s">
        <v>317</v>
      </c>
    </row>
    <row r="97" spans="1:6">
      <c r="A97" s="655">
        <f t="shared" si="4"/>
        <v>511</v>
      </c>
      <c r="B97" s="7" t="s">
        <v>318</v>
      </c>
      <c r="C97" s="7" t="str">
        <f t="shared" ca="1" si="5"/>
        <v>Mobile</v>
      </c>
      <c r="D97" s="7" t="s">
        <v>319</v>
      </c>
      <c r="E97" s="7" t="s">
        <v>320</v>
      </c>
      <c r="F97" s="7" t="s">
        <v>320</v>
      </c>
    </row>
    <row r="98" spans="1:6">
      <c r="A98" s="655">
        <f t="shared" si="4"/>
        <v>512</v>
      </c>
      <c r="B98" s="7" t="s">
        <v>322</v>
      </c>
      <c r="C98" s="7" t="str">
        <f t="shared" ca="1" si="5"/>
        <v>E-mail</v>
      </c>
      <c r="D98" s="7" t="s">
        <v>323</v>
      </c>
      <c r="E98" s="7" t="s">
        <v>323</v>
      </c>
      <c r="F98" s="7" t="s">
        <v>323</v>
      </c>
    </row>
    <row r="99" spans="1:6">
      <c r="A99" s="655">
        <f t="shared" si="4"/>
        <v>513</v>
      </c>
      <c r="B99" s="7" t="s">
        <v>324</v>
      </c>
      <c r="C99" s="7" t="str">
        <f t="shared" ca="1" si="5"/>
        <v>ID</v>
      </c>
      <c r="D99" s="7" t="s">
        <v>325</v>
      </c>
      <c r="E99" s="7" t="s">
        <v>325</v>
      </c>
      <c r="F99" s="7" t="s">
        <v>326</v>
      </c>
    </row>
    <row r="100" spans="1:6">
      <c r="A100" s="655">
        <f t="shared" si="4"/>
        <v>514</v>
      </c>
      <c r="B100" s="449" t="s">
        <v>327</v>
      </c>
      <c r="C100" s="449" t="str">
        <f t="shared" ca="1" si="5"/>
        <v>CPF</v>
      </c>
      <c r="D100" s="449" t="s">
        <v>328</v>
      </c>
      <c r="E100" s="449" t="s">
        <v>328</v>
      </c>
      <c r="F100" s="449" t="s">
        <v>328</v>
      </c>
    </row>
    <row r="101" spans="1:6">
      <c r="A101" s="655">
        <f t="shared" si="4"/>
        <v>515</v>
      </c>
      <c r="B101" s="7" t="s">
        <v>329</v>
      </c>
      <c r="C101" s="7" t="str">
        <f t="shared" ca="1" si="5"/>
        <v>T. Elector</v>
      </c>
      <c r="D101" s="7" t="s">
        <v>330</v>
      </c>
      <c r="E101" s="7" t="s">
        <v>331</v>
      </c>
      <c r="F101" s="7" t="s">
        <v>332</v>
      </c>
    </row>
    <row r="102" spans="1:6">
      <c r="A102" s="655">
        <f t="shared" si="4"/>
        <v>516</v>
      </c>
      <c r="B102" s="7" t="s">
        <v>333</v>
      </c>
      <c r="C102" s="7" t="str">
        <f t="shared" ca="1" si="5"/>
        <v>Zone</v>
      </c>
      <c r="D102" s="7" t="s">
        <v>334</v>
      </c>
      <c r="E102" s="7" t="s">
        <v>335</v>
      </c>
      <c r="F102" s="7" t="s">
        <v>336</v>
      </c>
    </row>
    <row r="103" spans="1:6">
      <c r="A103" s="655">
        <f t="shared" si="4"/>
        <v>517</v>
      </c>
      <c r="B103" s="7" t="s">
        <v>337</v>
      </c>
      <c r="C103" s="7" t="str">
        <f t="shared" ca="1" si="5"/>
        <v>Section</v>
      </c>
      <c r="D103" s="7" t="s">
        <v>338</v>
      </c>
      <c r="E103" s="7" t="s">
        <v>339</v>
      </c>
      <c r="F103" s="7" t="s">
        <v>340</v>
      </c>
    </row>
    <row r="104" spans="1:6">
      <c r="A104" s="655">
        <f t="shared" si="4"/>
        <v>518</v>
      </c>
      <c r="B104" s="7" t="s">
        <v>341</v>
      </c>
      <c r="C104" s="7" t="str">
        <f t="shared" ca="1" si="5"/>
        <v>Passport</v>
      </c>
      <c r="D104" s="7" t="s">
        <v>342</v>
      </c>
      <c r="E104" s="7" t="s">
        <v>343</v>
      </c>
      <c r="F104" s="7" t="s">
        <v>344</v>
      </c>
    </row>
    <row r="105" spans="1:6">
      <c r="A105" s="655">
        <f t="shared" si="4"/>
        <v>519</v>
      </c>
      <c r="B105" s="7" t="s">
        <v>345</v>
      </c>
      <c r="C105" s="7" t="str">
        <f t="shared" ca="1" si="5"/>
        <v>Validity</v>
      </c>
      <c r="D105" s="7" t="s">
        <v>346</v>
      </c>
      <c r="E105" s="7" t="s">
        <v>347</v>
      </c>
      <c r="F105" s="7" t="s">
        <v>348</v>
      </c>
    </row>
    <row r="106" spans="1:6">
      <c r="A106" s="655">
        <f t="shared" si="4"/>
        <v>520</v>
      </c>
      <c r="B106" s="7" t="s">
        <v>349</v>
      </c>
      <c r="C106" s="7" t="str">
        <f t="shared" ca="1" si="5"/>
        <v>Cart. Military</v>
      </c>
      <c r="D106" s="7" t="s">
        <v>350</v>
      </c>
      <c r="E106" s="7" t="s">
        <v>351</v>
      </c>
      <c r="F106" s="7" t="s">
        <v>352</v>
      </c>
    </row>
    <row r="107" spans="1:6">
      <c r="A107" s="655">
        <f t="shared" si="4"/>
        <v>521</v>
      </c>
      <c r="B107" s="7" t="s">
        <v>353</v>
      </c>
      <c r="C107" s="7" t="str">
        <f t="shared" ca="1" si="5"/>
        <v>Certif. Reservist</v>
      </c>
      <c r="D107" s="7" t="s">
        <v>354</v>
      </c>
      <c r="E107" s="7" t="s">
        <v>355</v>
      </c>
      <c r="F107" s="7" t="s">
        <v>356</v>
      </c>
    </row>
    <row r="108" spans="1:6">
      <c r="A108" s="655">
        <f t="shared" si="4"/>
        <v>522</v>
      </c>
      <c r="B108" s="7" t="s">
        <v>357</v>
      </c>
      <c r="C108" s="7" t="str">
        <f t="shared" ca="1" si="5"/>
        <v>License</v>
      </c>
      <c r="D108" s="7" t="s">
        <v>358</v>
      </c>
      <c r="E108" s="7" t="s">
        <v>359</v>
      </c>
      <c r="F108" s="7" t="s">
        <v>360</v>
      </c>
    </row>
    <row r="109" spans="1:6">
      <c r="A109" s="655">
        <f t="shared" si="4"/>
        <v>523</v>
      </c>
      <c r="B109" s="7" t="s">
        <v>361</v>
      </c>
      <c r="C109" s="7" t="str">
        <f t="shared" ca="1" si="5"/>
        <v>Vcto. Ex Health</v>
      </c>
      <c r="D109" s="7" t="s">
        <v>362</v>
      </c>
      <c r="E109" s="7" t="s">
        <v>347</v>
      </c>
      <c r="F109" s="7" t="s">
        <v>363</v>
      </c>
    </row>
    <row r="110" spans="1:6">
      <c r="A110" s="655">
        <f t="shared" si="4"/>
        <v>524</v>
      </c>
      <c r="B110" s="7" t="s">
        <v>364</v>
      </c>
      <c r="C110" s="7" t="str">
        <f t="shared" ca="1" si="5"/>
        <v>Vehicle</v>
      </c>
      <c r="D110" s="7" t="s">
        <v>365</v>
      </c>
      <c r="E110" s="7" t="s">
        <v>366</v>
      </c>
      <c r="F110" s="7" t="s">
        <v>367</v>
      </c>
    </row>
    <row r="111" spans="1:6">
      <c r="A111" s="655">
        <f t="shared" si="4"/>
        <v>525</v>
      </c>
      <c r="B111" s="7" t="s">
        <v>368</v>
      </c>
      <c r="C111" s="7" t="str">
        <f t="shared" ca="1" si="5"/>
        <v>Board</v>
      </c>
      <c r="D111" s="7" t="s">
        <v>369</v>
      </c>
      <c r="E111" s="7" t="s">
        <v>370</v>
      </c>
      <c r="F111" s="7" t="s">
        <v>370</v>
      </c>
    </row>
    <row r="112" spans="1:6">
      <c r="A112" s="655">
        <f t="shared" si="4"/>
        <v>526</v>
      </c>
      <c r="B112" s="7" t="s">
        <v>371</v>
      </c>
      <c r="C112" s="7" t="str">
        <f t="shared" ca="1" si="5"/>
        <v>Chassis No.</v>
      </c>
      <c r="D112" s="7" t="s">
        <v>372</v>
      </c>
      <c r="E112" s="7" t="s">
        <v>373</v>
      </c>
      <c r="F112" s="7" t="s">
        <v>374</v>
      </c>
    </row>
    <row r="113" spans="1:6">
      <c r="A113" s="655">
        <f t="shared" si="4"/>
        <v>527</v>
      </c>
      <c r="B113" s="7" t="s">
        <v>375</v>
      </c>
      <c r="C113" s="7" t="str">
        <f t="shared" ca="1" si="5"/>
        <v>Code Renavam</v>
      </c>
      <c r="D113" s="7" t="s">
        <v>376</v>
      </c>
      <c r="E113" s="7" t="s">
        <v>377</v>
      </c>
      <c r="F113" s="7" t="s">
        <v>378</v>
      </c>
    </row>
    <row r="114" spans="1:6">
      <c r="A114" s="655">
        <f t="shared" si="4"/>
        <v>528</v>
      </c>
      <c r="B114" s="7" t="s">
        <v>379</v>
      </c>
      <c r="C114" s="7" t="str">
        <f t="shared" ca="1" si="5"/>
        <v>Insurance Co.</v>
      </c>
      <c r="D114" s="7" t="s">
        <v>380</v>
      </c>
      <c r="E114" s="7" t="s">
        <v>381</v>
      </c>
      <c r="F114" s="7" t="s">
        <v>382</v>
      </c>
    </row>
    <row r="115" spans="1:6">
      <c r="A115" s="655">
        <f t="shared" si="4"/>
        <v>529</v>
      </c>
      <c r="B115" s="7" t="s">
        <v>383</v>
      </c>
      <c r="C115" s="7" t="str">
        <f t="shared" ca="1" si="5"/>
        <v>Vcto. Insurance Obr.</v>
      </c>
      <c r="D115" s="7" t="s">
        <v>384</v>
      </c>
      <c r="E115" s="7" t="s">
        <v>347</v>
      </c>
      <c r="F115" s="7" t="s">
        <v>385</v>
      </c>
    </row>
    <row r="116" spans="1:6">
      <c r="A116" s="655">
        <f t="shared" si="4"/>
        <v>530</v>
      </c>
      <c r="B116" s="7" t="s">
        <v>386</v>
      </c>
      <c r="C116" s="7" t="str">
        <f t="shared" ca="1" si="5"/>
        <v>Name</v>
      </c>
      <c r="D116" s="7" t="s">
        <v>297</v>
      </c>
      <c r="E116" s="7" t="s">
        <v>298</v>
      </c>
      <c r="F116" s="7" t="s">
        <v>299</v>
      </c>
    </row>
    <row r="117" spans="1:6">
      <c r="A117" s="655">
        <f t="shared" si="4"/>
        <v>531</v>
      </c>
      <c r="B117" s="7" t="s">
        <v>387</v>
      </c>
      <c r="C117" s="7" t="str">
        <f t="shared" ca="1" si="5"/>
        <v>Address</v>
      </c>
      <c r="D117" s="7" t="s">
        <v>301</v>
      </c>
      <c r="E117" s="7" t="s">
        <v>388</v>
      </c>
      <c r="F117" s="7" t="s">
        <v>303</v>
      </c>
    </row>
    <row r="118" spans="1:6">
      <c r="A118" s="655">
        <f t="shared" si="4"/>
        <v>532</v>
      </c>
      <c r="B118" s="449" t="s">
        <v>389</v>
      </c>
      <c r="C118" s="449" t="str">
        <f t="shared" ca="1" si="5"/>
        <v>City</v>
      </c>
      <c r="D118" s="449" t="s">
        <v>67</v>
      </c>
      <c r="E118" s="449" t="s">
        <v>305</v>
      </c>
      <c r="F118" s="449" t="s">
        <v>38</v>
      </c>
    </row>
    <row r="119" spans="1:6">
      <c r="A119" s="655">
        <f t="shared" si="4"/>
        <v>533</v>
      </c>
      <c r="B119" s="7" t="s">
        <v>390</v>
      </c>
      <c r="C119" s="7" t="str">
        <f t="shared" ca="1" si="5"/>
        <v>Zip code</v>
      </c>
      <c r="D119" s="7" t="s">
        <v>307</v>
      </c>
      <c r="E119" s="7" t="s">
        <v>308</v>
      </c>
      <c r="F119" s="7" t="s">
        <v>309</v>
      </c>
    </row>
    <row r="120" spans="1:6">
      <c r="A120" s="655">
        <f t="shared" si="4"/>
        <v>534</v>
      </c>
      <c r="B120" s="7" t="s">
        <v>391</v>
      </c>
      <c r="C120" s="7" t="str">
        <f t="shared" ca="1" si="5"/>
        <v>State</v>
      </c>
      <c r="D120" s="7" t="s">
        <v>311</v>
      </c>
      <c r="E120" s="7" t="s">
        <v>313</v>
      </c>
      <c r="F120" s="7" t="s">
        <v>313</v>
      </c>
    </row>
    <row r="121" spans="1:6">
      <c r="A121" s="655">
        <f t="shared" si="4"/>
        <v>535</v>
      </c>
      <c r="B121" s="449" t="s">
        <v>6054</v>
      </c>
      <c r="C121" s="449" t="str">
        <f t="shared" ca="1" si="5"/>
        <v>Phone</v>
      </c>
      <c r="D121" s="449" t="s">
        <v>315</v>
      </c>
      <c r="E121" s="449" t="s">
        <v>316</v>
      </c>
      <c r="F121" s="449" t="s">
        <v>317</v>
      </c>
    </row>
    <row r="122" spans="1:6">
      <c r="A122" s="655">
        <f t="shared" si="4"/>
        <v>536</v>
      </c>
      <c r="B122" s="7" t="s">
        <v>392</v>
      </c>
      <c r="C122" s="7" t="str">
        <f t="shared" ca="1" si="5"/>
        <v>Fax</v>
      </c>
      <c r="D122" s="7" t="s">
        <v>321</v>
      </c>
      <c r="E122" s="7" t="s">
        <v>321</v>
      </c>
      <c r="F122" s="7" t="s">
        <v>321</v>
      </c>
    </row>
    <row r="123" spans="1:6">
      <c r="A123" s="655">
        <f t="shared" si="4"/>
        <v>537</v>
      </c>
      <c r="B123" s="7" t="s">
        <v>393</v>
      </c>
      <c r="C123" s="7" t="str">
        <f t="shared" ca="1" si="5"/>
        <v>E-mail 1</v>
      </c>
      <c r="D123" s="7" t="s">
        <v>394</v>
      </c>
      <c r="E123" s="7" t="s">
        <v>394</v>
      </c>
      <c r="F123" s="7" t="s">
        <v>394</v>
      </c>
    </row>
    <row r="124" spans="1:6">
      <c r="A124" s="655">
        <f t="shared" si="4"/>
        <v>538</v>
      </c>
      <c r="B124" s="7" t="s">
        <v>395</v>
      </c>
      <c r="C124" s="7" t="str">
        <f t="shared" ca="1" si="5"/>
        <v>E-mail 2</v>
      </c>
      <c r="D124" s="7" t="s">
        <v>396</v>
      </c>
      <c r="E124" s="7" t="s">
        <v>396</v>
      </c>
      <c r="F124" s="7" t="s">
        <v>396</v>
      </c>
    </row>
    <row r="125" spans="1:6">
      <c r="A125" s="655">
        <f t="shared" si="4"/>
        <v>539</v>
      </c>
      <c r="B125" s="7" t="s">
        <v>397</v>
      </c>
      <c r="C125" s="7" t="str">
        <f t="shared" ca="1" si="5"/>
        <v>WebSite</v>
      </c>
      <c r="D125" s="7" t="s">
        <v>398</v>
      </c>
      <c r="E125" s="7" t="s">
        <v>398</v>
      </c>
      <c r="F125" s="7" t="s">
        <v>398</v>
      </c>
    </row>
    <row r="126" spans="1:6">
      <c r="A126" s="655">
        <f t="shared" si="4"/>
        <v>540</v>
      </c>
      <c r="B126" s="7" t="s">
        <v>399</v>
      </c>
      <c r="C126" s="7" t="str">
        <f t="shared" ca="1" si="5"/>
        <v>N.I.</v>
      </c>
      <c r="D126" s="7" t="s">
        <v>400</v>
      </c>
      <c r="E126" s="7" t="s">
        <v>401</v>
      </c>
      <c r="F126" s="7" t="s">
        <v>402</v>
      </c>
    </row>
    <row r="127" spans="1:6">
      <c r="A127" s="655">
        <f t="shared" si="4"/>
        <v>541</v>
      </c>
      <c r="B127" s="7" t="s">
        <v>403</v>
      </c>
      <c r="C127" s="7" t="str">
        <f t="shared" ca="1" si="5"/>
        <v>E.I.</v>
      </c>
      <c r="D127" s="7" t="s">
        <v>404</v>
      </c>
      <c r="E127" s="7" t="s">
        <v>405</v>
      </c>
      <c r="F127" s="7" t="s">
        <v>405</v>
      </c>
    </row>
    <row r="128" spans="1:6">
      <c r="A128" s="655">
        <f t="shared" si="4"/>
        <v>542</v>
      </c>
      <c r="B128" s="7" t="s">
        <v>406</v>
      </c>
      <c r="C128" s="7" t="str">
        <f t="shared" ca="1" si="5"/>
        <v>C.I</v>
      </c>
      <c r="D128" s="7" t="s">
        <v>407</v>
      </c>
      <c r="E128" s="7" t="s">
        <v>408</v>
      </c>
      <c r="F128" s="7" t="s">
        <v>409</v>
      </c>
    </row>
    <row r="129" spans="1:6">
      <c r="A129" s="655">
        <f t="shared" si="4"/>
        <v>543</v>
      </c>
      <c r="B129" s="7" t="s">
        <v>410</v>
      </c>
      <c r="C129" s="7" t="str">
        <f t="shared" ca="1" si="5"/>
        <v>Blood Group</v>
      </c>
      <c r="D129" s="7" t="s">
        <v>411</v>
      </c>
      <c r="E129" s="7" t="s">
        <v>412</v>
      </c>
      <c r="F129" s="7" t="s">
        <v>413</v>
      </c>
    </row>
    <row r="130" spans="1:6">
      <c r="A130" s="655">
        <f t="shared" si="4"/>
        <v>544</v>
      </c>
      <c r="B130" s="7" t="s">
        <v>414</v>
      </c>
      <c r="C130" s="7" t="str">
        <f t="shared" ca="1" si="5"/>
        <v>RH Type</v>
      </c>
      <c r="D130" s="7" t="s">
        <v>415</v>
      </c>
      <c r="E130" s="7" t="s">
        <v>416</v>
      </c>
      <c r="F130" s="7" t="s">
        <v>417</v>
      </c>
    </row>
    <row r="131" spans="1:6">
      <c r="A131" s="655">
        <f t="shared" si="4"/>
        <v>545</v>
      </c>
      <c r="B131" s="7" t="s">
        <v>418</v>
      </c>
      <c r="C131" s="7" t="str">
        <f t="shared" ca="1" si="5"/>
        <v>Doctor</v>
      </c>
      <c r="D131" s="7" t="s">
        <v>419</v>
      </c>
      <c r="E131" s="7" t="s">
        <v>420</v>
      </c>
      <c r="F131" s="7" t="s">
        <v>421</v>
      </c>
    </row>
    <row r="132" spans="1:6">
      <c r="A132" s="655">
        <f t="shared" si="4"/>
        <v>546</v>
      </c>
      <c r="B132" s="7" t="s">
        <v>422</v>
      </c>
      <c r="C132" s="7" t="str">
        <f t="shared" ca="1" si="5"/>
        <v>Mobile</v>
      </c>
      <c r="D132" s="7" t="s">
        <v>319</v>
      </c>
      <c r="E132" s="7" t="s">
        <v>320</v>
      </c>
      <c r="F132" s="7" t="s">
        <v>320</v>
      </c>
    </row>
    <row r="133" spans="1:6">
      <c r="A133" s="655">
        <f t="shared" si="4"/>
        <v>547</v>
      </c>
      <c r="B133" s="7" t="s">
        <v>423</v>
      </c>
      <c r="C133" s="7" t="str">
        <f t="shared" ca="1" si="5"/>
        <v>Phone Office</v>
      </c>
      <c r="D133" s="7" t="s">
        <v>424</v>
      </c>
      <c r="E133" s="7" t="s">
        <v>425</v>
      </c>
      <c r="F133" s="7" t="s">
        <v>426</v>
      </c>
    </row>
    <row r="134" spans="1:6">
      <c r="A134" s="655">
        <f t="shared" si="4"/>
        <v>548</v>
      </c>
      <c r="B134" s="7" t="s">
        <v>427</v>
      </c>
      <c r="C134" s="7" t="str">
        <f t="shared" ca="1" si="5"/>
        <v>Phone Residence</v>
      </c>
      <c r="D134" s="7" t="s">
        <v>428</v>
      </c>
      <c r="E134" s="7" t="s">
        <v>429</v>
      </c>
      <c r="F134" s="7" t="s">
        <v>430</v>
      </c>
    </row>
    <row r="135" spans="1:6">
      <c r="A135" s="655">
        <f t="shared" si="4"/>
        <v>549</v>
      </c>
      <c r="B135" s="7" t="s">
        <v>431</v>
      </c>
      <c r="C135" s="7" t="str">
        <f t="shared" ca="1" si="5"/>
        <v>Health Security</v>
      </c>
      <c r="D135" s="7" t="s">
        <v>432</v>
      </c>
      <c r="E135" s="7" t="s">
        <v>433</v>
      </c>
      <c r="F135" s="7" t="s">
        <v>434</v>
      </c>
    </row>
    <row r="136" spans="1:6">
      <c r="A136" s="655">
        <f t="shared" si="4"/>
        <v>550</v>
      </c>
      <c r="B136" s="7" t="s">
        <v>435</v>
      </c>
      <c r="C136" s="7" t="str">
        <f t="shared" ca="1" si="5"/>
        <v>Phone</v>
      </c>
      <c r="D136" s="7" t="s">
        <v>315</v>
      </c>
      <c r="E136" s="7" t="s">
        <v>316</v>
      </c>
      <c r="F136" s="7" t="s">
        <v>317</v>
      </c>
    </row>
    <row r="137" spans="1:6">
      <c r="A137" s="655">
        <f t="shared" si="4"/>
        <v>551</v>
      </c>
      <c r="B137" s="7" t="s">
        <v>436</v>
      </c>
      <c r="C137" s="7" t="str">
        <f t="shared" ca="1" si="5"/>
        <v>Hospital</v>
      </c>
      <c r="D137" s="7" t="s">
        <v>437</v>
      </c>
      <c r="E137" s="7" t="s">
        <v>437</v>
      </c>
      <c r="F137" s="7" t="s">
        <v>437</v>
      </c>
    </row>
    <row r="138" spans="1:6">
      <c r="A138" s="655">
        <f t="shared" si="4"/>
        <v>552</v>
      </c>
      <c r="B138" s="7" t="s">
        <v>438</v>
      </c>
      <c r="C138" s="7" t="str">
        <f t="shared" ref="C138:C148" ca="1" si="6">OFFSET(C138,0,$C$1)</f>
        <v>I'm allergic to</v>
      </c>
      <c r="D138" s="7" t="s">
        <v>439</v>
      </c>
      <c r="E138" s="7" t="s">
        <v>440</v>
      </c>
      <c r="F138" s="7" t="s">
        <v>441</v>
      </c>
    </row>
    <row r="139" spans="1:6">
      <c r="A139" s="655">
        <f t="shared" si="4"/>
        <v>553</v>
      </c>
      <c r="B139" s="7" t="s">
        <v>442</v>
      </c>
      <c r="C139" s="7" t="str">
        <f t="shared" ca="1" si="6"/>
        <v>Vaccination against tetanus:</v>
      </c>
      <c r="D139" s="7" t="s">
        <v>443</v>
      </c>
      <c r="E139" s="7" t="s">
        <v>444</v>
      </c>
      <c r="F139" s="7" t="s">
        <v>445</v>
      </c>
    </row>
    <row r="140" spans="1:6">
      <c r="A140" s="655">
        <f t="shared" ref="A140:A203" si="7">IF(RIGHT(B140,8)="_section",(INT(A139/100)+1)*100,A139+1)</f>
        <v>554</v>
      </c>
      <c r="B140" s="7" t="s">
        <v>446</v>
      </c>
      <c r="C140" s="7" t="str">
        <f t="shared" ca="1" si="6"/>
        <v>yes</v>
      </c>
      <c r="D140" s="7" t="s">
        <v>10</v>
      </c>
      <c r="E140" s="7" t="s">
        <v>447</v>
      </c>
      <c r="F140" s="7" t="s">
        <v>108</v>
      </c>
    </row>
    <row r="141" spans="1:6">
      <c r="A141" s="655">
        <f t="shared" si="7"/>
        <v>555</v>
      </c>
      <c r="B141" s="7" t="s">
        <v>448</v>
      </c>
      <c r="C141" s="7" t="str">
        <f t="shared" ca="1" si="6"/>
        <v>not</v>
      </c>
      <c r="D141" s="7" t="s">
        <v>449</v>
      </c>
      <c r="E141" s="7" t="s">
        <v>9</v>
      </c>
      <c r="F141" s="7" t="s">
        <v>109</v>
      </c>
    </row>
    <row r="142" spans="1:6">
      <c r="A142" s="655">
        <f t="shared" si="7"/>
        <v>556</v>
      </c>
      <c r="B142" s="7" t="s">
        <v>450</v>
      </c>
      <c r="C142" s="7" t="str">
        <f t="shared" ca="1" si="6"/>
        <v>I suffer from:</v>
      </c>
      <c r="D142" s="7" t="s">
        <v>451</v>
      </c>
      <c r="E142" s="7" t="s">
        <v>452</v>
      </c>
      <c r="F142" s="7" t="s">
        <v>453</v>
      </c>
    </row>
    <row r="143" spans="1:6">
      <c r="A143" s="655">
        <f t="shared" si="7"/>
        <v>557</v>
      </c>
      <c r="B143" s="7" t="s">
        <v>454</v>
      </c>
      <c r="C143" s="7" t="str">
        <f t="shared" ca="1" si="6"/>
        <v>Heart</v>
      </c>
      <c r="D143" s="7" t="s">
        <v>455</v>
      </c>
      <c r="E143" s="7" t="s">
        <v>456</v>
      </c>
      <c r="F143" s="7" t="s">
        <v>457</v>
      </c>
    </row>
    <row r="144" spans="1:6">
      <c r="A144" s="655">
        <f t="shared" si="7"/>
        <v>558</v>
      </c>
      <c r="B144" s="7" t="s">
        <v>458</v>
      </c>
      <c r="C144" s="7" t="str">
        <f t="shared" ca="1" si="6"/>
        <v>Hemophilia</v>
      </c>
      <c r="D144" s="7" t="s">
        <v>459</v>
      </c>
      <c r="E144" s="7" t="s">
        <v>460</v>
      </c>
      <c r="F144" s="7" t="s">
        <v>460</v>
      </c>
    </row>
    <row r="145" spans="1:6">
      <c r="A145" s="655">
        <f t="shared" si="7"/>
        <v>559</v>
      </c>
      <c r="B145" s="7" t="s">
        <v>461</v>
      </c>
      <c r="C145" s="7" t="str">
        <f t="shared" ca="1" si="6"/>
        <v>Epilepsy report</v>
      </c>
      <c r="D145" s="7" t="s">
        <v>462</v>
      </c>
      <c r="E145" s="7" t="s">
        <v>463</v>
      </c>
      <c r="F145" s="7" t="s">
        <v>464</v>
      </c>
    </row>
    <row r="146" spans="1:6">
      <c r="A146" s="655">
        <f t="shared" si="7"/>
        <v>560</v>
      </c>
      <c r="B146" s="7" t="s">
        <v>465</v>
      </c>
      <c r="C146" s="7" t="str">
        <f t="shared" ca="1" si="6"/>
        <v>Diabetes</v>
      </c>
      <c r="D146" s="7" t="s">
        <v>466</v>
      </c>
      <c r="E146" s="7" t="s">
        <v>466</v>
      </c>
      <c r="F146" s="7" t="s">
        <v>466</v>
      </c>
    </row>
    <row r="147" spans="1:6">
      <c r="A147" s="655">
        <f t="shared" si="7"/>
        <v>561</v>
      </c>
      <c r="B147" s="7" t="s">
        <v>467</v>
      </c>
      <c r="C147" s="7" t="str">
        <f t="shared" ca="1" si="6"/>
        <v>In case of emergency notify:</v>
      </c>
      <c r="D147" s="7" t="s">
        <v>468</v>
      </c>
      <c r="E147" s="7" t="s">
        <v>469</v>
      </c>
      <c r="F147" s="7" t="s">
        <v>470</v>
      </c>
    </row>
    <row r="148" spans="1:6">
      <c r="A148" s="655">
        <f t="shared" si="7"/>
        <v>562</v>
      </c>
      <c r="B148" s="7" t="s">
        <v>471</v>
      </c>
      <c r="C148" s="7" t="str">
        <f t="shared" ca="1" si="6"/>
        <v>Name:</v>
      </c>
      <c r="D148" s="7" t="s">
        <v>472</v>
      </c>
      <c r="E148" s="7" t="s">
        <v>473</v>
      </c>
      <c r="F148" s="7" t="s">
        <v>474</v>
      </c>
    </row>
    <row r="149" spans="1:6">
      <c r="A149" s="655">
        <f t="shared" si="7"/>
        <v>563</v>
      </c>
      <c r="B149" s="7" t="s">
        <v>475</v>
      </c>
      <c r="C149" s="7" t="str">
        <f ca="1">OFFSET(C149,0,$C$1)</f>
        <v>Phone:</v>
      </c>
      <c r="D149" s="7" t="s">
        <v>476</v>
      </c>
      <c r="E149" s="7" t="s">
        <v>477</v>
      </c>
      <c r="F149" s="7" t="s">
        <v>478</v>
      </c>
    </row>
    <row r="150" spans="1:6">
      <c r="A150" s="655">
        <f t="shared" si="7"/>
        <v>564</v>
      </c>
      <c r="B150" s="7" t="s">
        <v>479</v>
      </c>
      <c r="C150" s="7" t="str">
        <f ca="1">OFFSET(C150,0,$C$1)</f>
        <v>Name:</v>
      </c>
      <c r="D150" s="7" t="s">
        <v>472</v>
      </c>
      <c r="E150" s="7" t="s">
        <v>473</v>
      </c>
      <c r="F150" s="7" t="s">
        <v>474</v>
      </c>
    </row>
    <row r="151" spans="1:6">
      <c r="A151" s="655">
        <f t="shared" si="7"/>
        <v>565</v>
      </c>
      <c r="B151" s="7" t="s">
        <v>480</v>
      </c>
      <c r="C151" s="7" t="str">
        <f ca="1">OFFSET(C151,0,$C$1)</f>
        <v>Phone:</v>
      </c>
      <c r="D151" s="7" t="s">
        <v>476</v>
      </c>
      <c r="E151" s="7" t="s">
        <v>477</v>
      </c>
      <c r="F151" s="7" t="s">
        <v>478</v>
      </c>
    </row>
    <row r="152" spans="1:6">
      <c r="A152" s="655">
        <f t="shared" si="7"/>
        <v>600</v>
      </c>
      <c r="B152" s="446" t="s">
        <v>481</v>
      </c>
      <c r="C152" s="446" t="str">
        <f t="shared" ref="C152:C214" ca="1" si="8">OFFSET(C152,0,$C$1)</f>
        <v>Holidays</v>
      </c>
      <c r="D152" s="446" t="s">
        <v>482</v>
      </c>
      <c r="E152" s="446" t="s">
        <v>195</v>
      </c>
      <c r="F152" s="446" t="s">
        <v>196</v>
      </c>
    </row>
    <row r="153" spans="1:6">
      <c r="A153" s="655">
        <f t="shared" si="7"/>
        <v>601</v>
      </c>
      <c r="B153" s="448" t="s">
        <v>483</v>
      </c>
      <c r="C153" s="448" t="str">
        <f t="shared" ca="1" si="8"/>
        <v>Holidays</v>
      </c>
      <c r="D153" s="448" t="s">
        <v>482</v>
      </c>
      <c r="E153" s="448" t="s">
        <v>484</v>
      </c>
      <c r="F153" s="448" t="s">
        <v>196</v>
      </c>
    </row>
    <row r="154" spans="1:6">
      <c r="A154" s="655">
        <f t="shared" si="7"/>
        <v>602</v>
      </c>
      <c r="B154" s="7" t="s">
        <v>485</v>
      </c>
      <c r="C154" s="7" t="str">
        <f t="shared" ca="1" si="8"/>
        <v>HOLYDAYS, CELEBRATIONS AND BIRTHDAYS</v>
      </c>
      <c r="D154" s="7" t="s">
        <v>486</v>
      </c>
      <c r="E154" s="7" t="s">
        <v>487</v>
      </c>
      <c r="F154" s="7" t="s">
        <v>488</v>
      </c>
    </row>
    <row r="155" spans="1:6">
      <c r="A155" s="655">
        <f t="shared" si="7"/>
        <v>603</v>
      </c>
      <c r="B155" s="7" t="s">
        <v>489</v>
      </c>
      <c r="C155" s="7" t="str">
        <f t="shared" ca="1" si="8"/>
        <v>AUXILIARY EASTER</v>
      </c>
      <c r="D155" s="7" t="s">
        <v>490</v>
      </c>
      <c r="E155" s="7" t="s">
        <v>491</v>
      </c>
      <c r="F155" s="7" t="s">
        <v>492</v>
      </c>
    </row>
    <row r="156" spans="1:6">
      <c r="A156" s="655">
        <f t="shared" si="7"/>
        <v>604</v>
      </c>
      <c r="B156" s="7" t="s">
        <v>493</v>
      </c>
      <c r="C156" s="7" t="str">
        <f t="shared" ca="1" si="8"/>
        <v>FIXED</v>
      </c>
      <c r="D156" s="7" t="s">
        <v>494</v>
      </c>
      <c r="E156" s="7" t="s">
        <v>495</v>
      </c>
      <c r="F156" s="7" t="s">
        <v>496</v>
      </c>
    </row>
    <row r="157" spans="1:6">
      <c r="A157" s="655">
        <f t="shared" si="7"/>
        <v>605</v>
      </c>
      <c r="B157" s="7" t="s">
        <v>497</v>
      </c>
      <c r="C157" s="7" t="str">
        <f t="shared" ca="1" si="8"/>
        <v>MOBILE WITH EASTER</v>
      </c>
      <c r="D157" s="7" t="s">
        <v>498</v>
      </c>
      <c r="E157" s="7" t="s">
        <v>499</v>
      </c>
      <c r="F157" s="7" t="s">
        <v>500</v>
      </c>
    </row>
    <row r="158" spans="1:6">
      <c r="A158" s="655">
        <f t="shared" si="7"/>
        <v>606</v>
      </c>
      <c r="B158" s="7" t="s">
        <v>501</v>
      </c>
      <c r="C158" s="7" t="str">
        <f t="shared" ca="1" si="8"/>
        <v>MOBILE - A PARTICULAR DAY WEEK FOR A PARTICULAR MONTH</v>
      </c>
      <c r="D158" s="7" t="s">
        <v>502</v>
      </c>
      <c r="E158" s="7" t="s">
        <v>503</v>
      </c>
      <c r="F158" s="7" t="s">
        <v>504</v>
      </c>
    </row>
    <row r="159" spans="1:6">
      <c r="A159" s="655">
        <f t="shared" si="7"/>
        <v>607</v>
      </c>
      <c r="B159" s="7" t="s">
        <v>505</v>
      </c>
      <c r="C159" s="7" t="str">
        <f t="shared" ca="1" si="8"/>
        <v>SEASONS OF THE YEAR</v>
      </c>
      <c r="D159" s="7" t="s">
        <v>506</v>
      </c>
      <c r="E159" s="7" t="s">
        <v>507</v>
      </c>
      <c r="F159" s="7" t="s">
        <v>508</v>
      </c>
    </row>
    <row r="160" spans="1:6">
      <c r="A160" s="655">
        <f t="shared" si="7"/>
        <v>608</v>
      </c>
      <c r="B160" s="7" t="s">
        <v>509</v>
      </c>
      <c r="C160" s="7" t="str">
        <f t="shared" ca="1" si="8"/>
        <v>AUXILIAR WEEKDAY</v>
      </c>
      <c r="D160" s="7" t="s">
        <v>510</v>
      </c>
      <c r="E160" s="7" t="s">
        <v>511</v>
      </c>
      <c r="F160" s="7" t="s">
        <v>512</v>
      </c>
    </row>
    <row r="161" spans="1:6">
      <c r="A161" s="655">
        <f t="shared" si="7"/>
        <v>609</v>
      </c>
      <c r="B161" s="7" t="s">
        <v>513</v>
      </c>
      <c r="C161" s="7" t="str">
        <f t="shared" ca="1" si="8"/>
        <v>Day</v>
      </c>
      <c r="D161" s="7" t="s">
        <v>514</v>
      </c>
      <c r="E161" s="7" t="s">
        <v>515</v>
      </c>
      <c r="F161" s="7" t="s">
        <v>516</v>
      </c>
    </row>
    <row r="162" spans="1:6">
      <c r="A162" s="655">
        <f t="shared" si="7"/>
        <v>610</v>
      </c>
      <c r="B162" s="7" t="s">
        <v>517</v>
      </c>
      <c r="C162" s="7" t="str">
        <f t="shared" ca="1" si="8"/>
        <v>Month</v>
      </c>
      <c r="D162" s="7" t="s">
        <v>518</v>
      </c>
      <c r="E162" s="7" t="s">
        <v>519</v>
      </c>
      <c r="F162" s="7" t="s">
        <v>520</v>
      </c>
    </row>
    <row r="163" spans="1:6">
      <c r="A163" s="655">
        <f t="shared" si="7"/>
        <v>611</v>
      </c>
      <c r="B163" s="7" t="s">
        <v>521</v>
      </c>
      <c r="C163" s="7" t="str">
        <f t="shared" ca="1" si="8"/>
        <v>Date</v>
      </c>
      <c r="D163" s="7" t="s">
        <v>522</v>
      </c>
      <c r="E163" s="7" t="s">
        <v>523</v>
      </c>
      <c r="F163" s="7" t="s">
        <v>524</v>
      </c>
    </row>
    <row r="164" spans="1:6">
      <c r="A164" s="655">
        <f t="shared" si="7"/>
        <v>612</v>
      </c>
      <c r="B164" s="7" t="s">
        <v>525</v>
      </c>
      <c r="C164" s="7" t="str">
        <f t="shared" ca="1" si="8"/>
        <v>Name</v>
      </c>
      <c r="D164" s="7" t="s">
        <v>297</v>
      </c>
      <c r="E164" s="7" t="s">
        <v>298</v>
      </c>
      <c r="F164" s="7" t="s">
        <v>299</v>
      </c>
    </row>
    <row r="165" spans="1:6">
      <c r="A165" s="655">
        <f t="shared" si="7"/>
        <v>613</v>
      </c>
      <c r="B165" s="7" t="s">
        <v>526</v>
      </c>
      <c r="C165" s="7" t="str">
        <f t="shared" ca="1" si="8"/>
        <v>Week Day</v>
      </c>
      <c r="D165" s="7" t="s">
        <v>527</v>
      </c>
      <c r="E165" s="7" t="s">
        <v>528</v>
      </c>
      <c r="F165" s="7" t="s">
        <v>529</v>
      </c>
    </row>
    <row r="166" spans="1:6">
      <c r="A166" s="655">
        <f t="shared" si="7"/>
        <v>614</v>
      </c>
      <c r="B166" s="7" t="s">
        <v>530</v>
      </c>
      <c r="C166" s="7" t="str">
        <f t="shared" ca="1" si="8"/>
        <v>Type</v>
      </c>
      <c r="D166" s="7" t="s">
        <v>531</v>
      </c>
      <c r="E166" s="7" t="s">
        <v>532</v>
      </c>
      <c r="F166" s="7" t="s">
        <v>532</v>
      </c>
    </row>
    <row r="167" spans="1:6">
      <c r="A167" s="655">
        <f t="shared" si="7"/>
        <v>615</v>
      </c>
      <c r="B167" s="7" t="s">
        <v>533</v>
      </c>
      <c r="C167" s="7" t="str">
        <f t="shared" ca="1" si="8"/>
        <v>Holyday</v>
      </c>
      <c r="D167" s="7" t="s">
        <v>534</v>
      </c>
      <c r="E167" s="7" t="s">
        <v>535</v>
      </c>
      <c r="F167" s="7" t="s">
        <v>535</v>
      </c>
    </row>
    <row r="168" spans="1:6">
      <c r="A168" s="655">
        <f t="shared" si="7"/>
        <v>616</v>
      </c>
      <c r="B168" s="7" t="s">
        <v>536</v>
      </c>
      <c r="C168" s="7" t="str">
        <f t="shared" ca="1" si="8"/>
        <v>Event</v>
      </c>
      <c r="D168" s="7" t="s">
        <v>537</v>
      </c>
      <c r="E168" s="7" t="s">
        <v>538</v>
      </c>
      <c r="F168" s="7" t="s">
        <v>538</v>
      </c>
    </row>
    <row r="169" spans="1:6">
      <c r="A169" s="655">
        <f t="shared" si="7"/>
        <v>617</v>
      </c>
      <c r="B169" s="7" t="s">
        <v>539</v>
      </c>
      <c r="C169" s="7" t="str">
        <f t="shared" ca="1" si="8"/>
        <v>Sunday</v>
      </c>
      <c r="D169" s="7" t="s">
        <v>106</v>
      </c>
      <c r="E169" s="7" t="s">
        <v>107</v>
      </c>
      <c r="F169" s="7" t="s">
        <v>107</v>
      </c>
    </row>
    <row r="170" spans="1:6">
      <c r="A170" s="655">
        <f t="shared" si="7"/>
        <v>618</v>
      </c>
      <c r="B170" s="7" t="s">
        <v>540</v>
      </c>
      <c r="C170" s="7" t="str">
        <f t="shared" ca="1" si="8"/>
        <v>Monday</v>
      </c>
      <c r="D170" s="7" t="s">
        <v>88</v>
      </c>
      <c r="E170" s="7" t="s">
        <v>89</v>
      </c>
      <c r="F170" s="7" t="s">
        <v>90</v>
      </c>
    </row>
    <row r="171" spans="1:6">
      <c r="A171" s="655">
        <f t="shared" si="7"/>
        <v>619</v>
      </c>
      <c r="B171" s="7" t="s">
        <v>541</v>
      </c>
      <c r="C171" s="7" t="str">
        <f t="shared" ca="1" si="8"/>
        <v>Tuesday</v>
      </c>
      <c r="D171" s="7" t="s">
        <v>91</v>
      </c>
      <c r="E171" s="7" t="s">
        <v>92</v>
      </c>
      <c r="F171" s="7" t="s">
        <v>93</v>
      </c>
    </row>
    <row r="172" spans="1:6">
      <c r="A172" s="655">
        <f t="shared" si="7"/>
        <v>620</v>
      </c>
      <c r="B172" s="7" t="s">
        <v>542</v>
      </c>
      <c r="C172" s="7" t="str">
        <f t="shared" ca="1" si="8"/>
        <v>Wednesday</v>
      </c>
      <c r="D172" s="7" t="s">
        <v>94</v>
      </c>
      <c r="E172" s="7" t="s">
        <v>95</v>
      </c>
      <c r="F172" s="7" t="s">
        <v>96</v>
      </c>
    </row>
    <row r="173" spans="1:6">
      <c r="A173" s="655">
        <f t="shared" si="7"/>
        <v>621</v>
      </c>
      <c r="B173" s="7" t="s">
        <v>543</v>
      </c>
      <c r="C173" s="7" t="str">
        <f t="shared" ca="1" si="8"/>
        <v>Tursday</v>
      </c>
      <c r="D173" s="7" t="s">
        <v>97</v>
      </c>
      <c r="E173" s="7" t="s">
        <v>98</v>
      </c>
      <c r="F173" s="7" t="s">
        <v>99</v>
      </c>
    </row>
    <row r="174" spans="1:6">
      <c r="A174" s="655">
        <f t="shared" si="7"/>
        <v>622</v>
      </c>
      <c r="B174" s="7" t="s">
        <v>544</v>
      </c>
      <c r="C174" s="7" t="str">
        <f t="shared" ca="1" si="8"/>
        <v>Friday</v>
      </c>
      <c r="D174" s="7" t="s">
        <v>100</v>
      </c>
      <c r="E174" s="7" t="s">
        <v>101</v>
      </c>
      <c r="F174" s="7" t="s">
        <v>102</v>
      </c>
    </row>
    <row r="175" spans="1:6">
      <c r="A175" s="655">
        <f t="shared" si="7"/>
        <v>623</v>
      </c>
      <c r="B175" s="7" t="s">
        <v>545</v>
      </c>
      <c r="C175" s="7" t="str">
        <f t="shared" ca="1" si="8"/>
        <v>Saturday</v>
      </c>
      <c r="D175" s="7" t="s">
        <v>103</v>
      </c>
      <c r="E175" s="7" t="s">
        <v>104</v>
      </c>
      <c r="F175" s="7" t="s">
        <v>105</v>
      </c>
    </row>
    <row r="176" spans="1:6">
      <c r="A176" s="655">
        <f t="shared" si="7"/>
        <v>624</v>
      </c>
      <c r="B176" s="7" t="s">
        <v>546</v>
      </c>
      <c r="C176" s="7" t="str">
        <f t="shared" ca="1" si="8"/>
        <v>Autumn</v>
      </c>
      <c r="D176" s="7" t="s">
        <v>547</v>
      </c>
      <c r="E176" s="7" t="s">
        <v>548</v>
      </c>
      <c r="F176" s="7" t="s">
        <v>549</v>
      </c>
    </row>
    <row r="177" spans="1:6">
      <c r="A177" s="655">
        <f t="shared" si="7"/>
        <v>625</v>
      </c>
      <c r="B177" s="7" t="s">
        <v>550</v>
      </c>
      <c r="C177" s="7" t="str">
        <f t="shared" ca="1" si="8"/>
        <v>Winter</v>
      </c>
      <c r="D177" s="7" t="s">
        <v>551</v>
      </c>
      <c r="E177" s="7" t="s">
        <v>552</v>
      </c>
      <c r="F177" s="7" t="s">
        <v>553</v>
      </c>
    </row>
    <row r="178" spans="1:6">
      <c r="A178" s="655">
        <f t="shared" si="7"/>
        <v>626</v>
      </c>
      <c r="B178" s="7" t="s">
        <v>554</v>
      </c>
      <c r="C178" s="7" t="str">
        <f t="shared" ca="1" si="8"/>
        <v>Spring</v>
      </c>
      <c r="D178" s="7" t="s">
        <v>555</v>
      </c>
      <c r="E178" s="7" t="s">
        <v>556</v>
      </c>
      <c r="F178" s="7" t="s">
        <v>556</v>
      </c>
    </row>
    <row r="179" spans="1:6">
      <c r="A179" s="655">
        <f t="shared" si="7"/>
        <v>627</v>
      </c>
      <c r="B179" s="7" t="s">
        <v>557</v>
      </c>
      <c r="C179" s="7" t="str">
        <f t="shared" ca="1" si="8"/>
        <v>Summer</v>
      </c>
      <c r="D179" s="7" t="s">
        <v>558</v>
      </c>
      <c r="E179" s="7" t="s">
        <v>559</v>
      </c>
      <c r="F179" s="7" t="s">
        <v>560</v>
      </c>
    </row>
    <row r="180" spans="1:6">
      <c r="A180" s="655">
        <f t="shared" si="7"/>
        <v>628</v>
      </c>
      <c r="B180" s="7" t="s">
        <v>6119</v>
      </c>
      <c r="C180" s="7" t="str">
        <f t="shared" ca="1" si="8"/>
        <v>Halloween</v>
      </c>
      <c r="D180" s="7" t="s">
        <v>561</v>
      </c>
      <c r="E180" s="7" t="s">
        <v>561</v>
      </c>
      <c r="F180" s="7" t="s">
        <v>561</v>
      </c>
    </row>
    <row r="181" spans="1:6">
      <c r="A181" s="655">
        <f t="shared" si="7"/>
        <v>629</v>
      </c>
      <c r="B181" s="445" t="s">
        <v>6578</v>
      </c>
      <c r="C181" s="7" t="str">
        <f t="shared" ca="1" si="8"/>
        <v>All Saints' Day</v>
      </c>
      <c r="D181" s="7" t="s">
        <v>562</v>
      </c>
      <c r="E181" s="7" t="s">
        <v>562</v>
      </c>
      <c r="F181" s="7" t="s">
        <v>563</v>
      </c>
    </row>
    <row r="182" spans="1:6">
      <c r="A182" s="655">
        <f t="shared" si="7"/>
        <v>630</v>
      </c>
      <c r="B182" s="445" t="s">
        <v>6579</v>
      </c>
      <c r="C182" s="7" t="str">
        <f t="shared" ca="1" si="8"/>
        <v>All Souls' Day</v>
      </c>
      <c r="D182" s="7" t="s">
        <v>564</v>
      </c>
      <c r="E182" s="7" t="s">
        <v>564</v>
      </c>
      <c r="F182" s="7" t="s">
        <v>565</v>
      </c>
    </row>
    <row r="183" spans="1:6">
      <c r="A183" s="655">
        <f t="shared" si="7"/>
        <v>631</v>
      </c>
      <c r="B183" s="7" t="s">
        <v>6120</v>
      </c>
      <c r="C183" s="7" t="str">
        <f t="shared" ca="1" si="8"/>
        <v>Advent</v>
      </c>
      <c r="D183" s="7" t="s">
        <v>566</v>
      </c>
      <c r="E183" s="7" t="s">
        <v>566</v>
      </c>
      <c r="F183" s="7" t="s">
        <v>567</v>
      </c>
    </row>
    <row r="184" spans="1:6">
      <c r="A184" s="655">
        <f t="shared" si="7"/>
        <v>632</v>
      </c>
      <c r="B184" s="7" t="s">
        <v>6121</v>
      </c>
      <c r="C184" s="7" t="str">
        <f t="shared" ca="1" si="8"/>
        <v>Christmas</v>
      </c>
      <c r="D184" s="7" t="s">
        <v>568</v>
      </c>
      <c r="E184" s="7" t="s">
        <v>568</v>
      </c>
      <c r="F184" s="7" t="s">
        <v>569</v>
      </c>
    </row>
    <row r="185" spans="1:6">
      <c r="A185" s="655">
        <f t="shared" si="7"/>
        <v>633</v>
      </c>
      <c r="B185" s="7" t="s">
        <v>6122</v>
      </c>
      <c r="C185" s="7" t="str">
        <f t="shared" ca="1" si="8"/>
        <v>Childermas</v>
      </c>
      <c r="D185" s="7" t="s">
        <v>570</v>
      </c>
      <c r="E185" s="7" t="s">
        <v>570</v>
      </c>
      <c r="F185" s="7" t="s">
        <v>571</v>
      </c>
    </row>
    <row r="186" spans="1:6">
      <c r="A186" s="655">
        <f t="shared" si="7"/>
        <v>634</v>
      </c>
      <c r="B186" s="7" t="s">
        <v>6123</v>
      </c>
      <c r="C186" s="7" t="str">
        <f t="shared" ca="1" si="8"/>
        <v>Epiphany</v>
      </c>
      <c r="D186" s="7" t="s">
        <v>572</v>
      </c>
      <c r="E186" s="7" t="s">
        <v>572</v>
      </c>
      <c r="F186" s="7" t="s">
        <v>573</v>
      </c>
    </row>
    <row r="187" spans="1:6">
      <c r="A187" s="655">
        <f t="shared" si="7"/>
        <v>635</v>
      </c>
      <c r="B187" s="7" t="s">
        <v>6124</v>
      </c>
      <c r="C187" s="7" t="str">
        <f t="shared" ca="1" si="8"/>
        <v>Candlemas</v>
      </c>
      <c r="D187" s="7" t="s">
        <v>574</v>
      </c>
      <c r="E187" s="7" t="s">
        <v>574</v>
      </c>
      <c r="F187" s="7" t="s">
        <v>575</v>
      </c>
    </row>
    <row r="188" spans="1:6">
      <c r="A188" s="655">
        <f t="shared" si="7"/>
        <v>636</v>
      </c>
      <c r="B188" s="445" t="s">
        <v>6127</v>
      </c>
      <c r="C188" s="7" t="str">
        <f t="shared" ca="1" si="8"/>
        <v>Palm Sunday</v>
      </c>
      <c r="D188" s="7" t="s">
        <v>576</v>
      </c>
      <c r="E188" s="7" t="s">
        <v>577</v>
      </c>
      <c r="F188" s="7" t="s">
        <v>578</v>
      </c>
    </row>
    <row r="189" spans="1:6">
      <c r="A189" s="655">
        <f t="shared" si="7"/>
        <v>637</v>
      </c>
      <c r="B189" s="7" t="s">
        <v>6125</v>
      </c>
      <c r="C189" s="7" t="str">
        <f t="shared" ca="1" si="8"/>
        <v>Carnival</v>
      </c>
      <c r="D189" s="7" t="s">
        <v>579</v>
      </c>
      <c r="E189" s="7" t="s">
        <v>579</v>
      </c>
      <c r="F189" s="7" t="s">
        <v>580</v>
      </c>
    </row>
    <row r="190" spans="1:6">
      <c r="A190" s="655">
        <f t="shared" si="7"/>
        <v>638</v>
      </c>
      <c r="B190" s="445" t="s">
        <v>6128</v>
      </c>
      <c r="C190" s="7" t="str">
        <f t="shared" ca="1" si="8"/>
        <v>Ash Wednesday</v>
      </c>
      <c r="D190" s="7" t="s">
        <v>581</v>
      </c>
      <c r="E190" s="7" t="s">
        <v>581</v>
      </c>
      <c r="F190" s="7" t="s">
        <v>582</v>
      </c>
    </row>
    <row r="191" spans="1:6">
      <c r="A191" s="655">
        <f t="shared" si="7"/>
        <v>639</v>
      </c>
      <c r="B191" s="445" t="s">
        <v>6129</v>
      </c>
      <c r="C191" s="7" t="str">
        <f t="shared" ca="1" si="8"/>
        <v>Holy Thursday</v>
      </c>
      <c r="D191" s="7" t="s">
        <v>583</v>
      </c>
      <c r="E191" s="7" t="s">
        <v>583</v>
      </c>
      <c r="F191" s="7" t="s">
        <v>584</v>
      </c>
    </row>
    <row r="192" spans="1:6">
      <c r="A192" s="655">
        <f t="shared" si="7"/>
        <v>640</v>
      </c>
      <c r="B192" s="445" t="s">
        <v>6130</v>
      </c>
      <c r="C192" s="7" t="str">
        <f t="shared" ca="1" si="8"/>
        <v>Good Friday</v>
      </c>
      <c r="D192" s="7" t="s">
        <v>585</v>
      </c>
      <c r="E192" s="7" t="s">
        <v>585</v>
      </c>
      <c r="F192" s="7" t="s">
        <v>586</v>
      </c>
    </row>
    <row r="193" spans="1:6">
      <c r="A193" s="655">
        <f t="shared" si="7"/>
        <v>641</v>
      </c>
      <c r="B193" s="445" t="s">
        <v>6131</v>
      </c>
      <c r="C193" s="7" t="str">
        <f t="shared" ca="1" si="8"/>
        <v>Holy Saturday</v>
      </c>
      <c r="D193" s="7" t="s">
        <v>587</v>
      </c>
      <c r="E193" s="7" t="s">
        <v>587</v>
      </c>
      <c r="F193" s="7" t="s">
        <v>588</v>
      </c>
    </row>
    <row r="194" spans="1:6">
      <c r="A194" s="655">
        <f t="shared" si="7"/>
        <v>642</v>
      </c>
      <c r="B194" s="7" t="s">
        <v>6126</v>
      </c>
      <c r="C194" s="7" t="str">
        <f t="shared" ca="1" si="8"/>
        <v>Easter</v>
      </c>
      <c r="D194" s="7" t="s">
        <v>589</v>
      </c>
      <c r="E194" s="7" t="s">
        <v>589</v>
      </c>
      <c r="F194" s="7" t="s">
        <v>590</v>
      </c>
    </row>
    <row r="195" spans="1:6">
      <c r="A195" s="655">
        <f t="shared" si="7"/>
        <v>643</v>
      </c>
      <c r="B195" s="445" t="s">
        <v>6132</v>
      </c>
      <c r="C195" s="7" t="str">
        <f t="shared" ca="1" si="8"/>
        <v>Easter Monday</v>
      </c>
      <c r="D195" s="7" t="s">
        <v>591</v>
      </c>
      <c r="E195" s="7" t="s">
        <v>591</v>
      </c>
      <c r="F195" s="7" t="s">
        <v>592</v>
      </c>
    </row>
    <row r="196" spans="1:6">
      <c r="A196" s="655">
        <f t="shared" si="7"/>
        <v>644</v>
      </c>
      <c r="B196" s="445" t="s">
        <v>6133</v>
      </c>
      <c r="C196" s="7" t="str">
        <f t="shared" ca="1" si="8"/>
        <v>Ascension Thursday</v>
      </c>
      <c r="D196" s="7" t="s">
        <v>593</v>
      </c>
      <c r="E196" s="7" t="s">
        <v>593</v>
      </c>
      <c r="F196" s="7" t="s">
        <v>594</v>
      </c>
    </row>
    <row r="197" spans="1:6">
      <c r="A197" s="655">
        <f t="shared" si="7"/>
        <v>645</v>
      </c>
      <c r="B197" s="445" t="s">
        <v>6580</v>
      </c>
      <c r="C197" s="7" t="str">
        <f t="shared" ca="1" si="8"/>
        <v>Pentecost or Whitsun</v>
      </c>
      <c r="D197" s="7" t="s">
        <v>595</v>
      </c>
      <c r="E197" s="7" t="s">
        <v>595</v>
      </c>
      <c r="F197" s="7" t="s">
        <v>596</v>
      </c>
    </row>
    <row r="198" spans="1:6">
      <c r="A198" s="655">
        <f t="shared" si="7"/>
        <v>646</v>
      </c>
      <c r="B198" s="445" t="s">
        <v>6134</v>
      </c>
      <c r="C198" s="7" t="str">
        <f t="shared" ca="1" si="8"/>
        <v>Trinity Sunday</v>
      </c>
      <c r="D198" s="7" t="s">
        <v>597</v>
      </c>
      <c r="E198" s="7" t="s">
        <v>597</v>
      </c>
      <c r="F198" s="7" t="s">
        <v>598</v>
      </c>
    </row>
    <row r="199" spans="1:6">
      <c r="A199" s="655">
        <f t="shared" si="7"/>
        <v>647</v>
      </c>
      <c r="B199" s="445" t="s">
        <v>6135</v>
      </c>
      <c r="C199" s="7" t="str">
        <f t="shared" ca="1" si="8"/>
        <v>Corpus Christi</v>
      </c>
      <c r="D199" s="7" t="s">
        <v>599</v>
      </c>
      <c r="E199" s="7" t="s">
        <v>599</v>
      </c>
      <c r="F199" s="7" t="s">
        <v>599</v>
      </c>
    </row>
    <row r="200" spans="1:6">
      <c r="A200" s="655">
        <f t="shared" si="7"/>
        <v>648</v>
      </c>
      <c r="B200" s="445" t="s">
        <v>6136</v>
      </c>
      <c r="C200" s="7" t="str">
        <f t="shared" ca="1" si="8"/>
        <v>Assumption of Mary</v>
      </c>
      <c r="D200" s="7" t="s">
        <v>600</v>
      </c>
      <c r="E200" s="7" t="s">
        <v>600</v>
      </c>
      <c r="F200" s="7" t="s">
        <v>601</v>
      </c>
    </row>
    <row r="201" spans="1:6">
      <c r="A201" s="655">
        <f t="shared" si="7"/>
        <v>649</v>
      </c>
      <c r="B201" s="445" t="s">
        <v>6137</v>
      </c>
      <c r="C201" s="7" t="str">
        <f t="shared" ca="1" si="8"/>
        <v>Watch Night</v>
      </c>
      <c r="D201" s="7" t="s">
        <v>602</v>
      </c>
      <c r="E201" s="7" t="s">
        <v>602</v>
      </c>
      <c r="F201" s="7" t="s">
        <v>603</v>
      </c>
    </row>
    <row r="202" spans="1:6">
      <c r="A202" s="655">
        <f t="shared" si="7"/>
        <v>700</v>
      </c>
      <c r="B202" s="446" t="s">
        <v>604</v>
      </c>
      <c r="C202" s="446" t="str">
        <f t="shared" ca="1" si="8"/>
        <v>Calendar</v>
      </c>
      <c r="D202" s="446" t="s">
        <v>26</v>
      </c>
      <c r="E202" s="446" t="s">
        <v>605</v>
      </c>
      <c r="F202" s="446" t="s">
        <v>606</v>
      </c>
    </row>
    <row r="203" spans="1:6">
      <c r="A203" s="655">
        <f t="shared" si="7"/>
        <v>701</v>
      </c>
      <c r="B203" s="448" t="s">
        <v>607</v>
      </c>
      <c r="C203" s="448" t="str">
        <f t="shared" ca="1" si="8"/>
        <v>Calendar</v>
      </c>
      <c r="D203" s="448" t="s">
        <v>26</v>
      </c>
      <c r="E203" s="448" t="s">
        <v>605</v>
      </c>
      <c r="F203" s="448" t="s">
        <v>605</v>
      </c>
    </row>
    <row r="204" spans="1:6">
      <c r="A204" s="655">
        <f t="shared" ref="A204:A267" si="9">IF(RIGHT(B204,8)="_section",(INT(A203/100)+1)*100,A203+1)</f>
        <v>702</v>
      </c>
      <c r="B204" s="7" t="s">
        <v>608</v>
      </c>
      <c r="C204" s="7" t="str">
        <f t="shared" ca="1" si="8"/>
        <v>Calendar</v>
      </c>
      <c r="D204" s="7" t="s">
        <v>26</v>
      </c>
      <c r="E204" s="7" t="s">
        <v>605</v>
      </c>
      <c r="F204" s="7" t="s">
        <v>606</v>
      </c>
    </row>
    <row r="205" spans="1:6">
      <c r="A205" s="655">
        <f t="shared" si="9"/>
        <v>703</v>
      </c>
      <c r="B205" s="7" t="s">
        <v>6055</v>
      </c>
      <c r="C205" s="7" t="str">
        <f t="shared" ca="1" si="8"/>
        <v>January</v>
      </c>
      <c r="D205" s="7" t="s">
        <v>609</v>
      </c>
      <c r="E205" s="7" t="s">
        <v>610</v>
      </c>
      <c r="F205" s="7" t="s">
        <v>611</v>
      </c>
    </row>
    <row r="206" spans="1:6">
      <c r="A206" s="655">
        <f t="shared" si="9"/>
        <v>704</v>
      </c>
      <c r="B206" s="445" t="s">
        <v>6056</v>
      </c>
      <c r="C206" s="7" t="str">
        <f t="shared" ca="1" si="8"/>
        <v>February</v>
      </c>
      <c r="D206" s="7" t="s">
        <v>612</v>
      </c>
      <c r="E206" s="7" t="s">
        <v>613</v>
      </c>
      <c r="F206" s="7" t="s">
        <v>614</v>
      </c>
    </row>
    <row r="207" spans="1:6">
      <c r="A207" s="655">
        <f t="shared" si="9"/>
        <v>705</v>
      </c>
      <c r="B207" s="445" t="s">
        <v>6057</v>
      </c>
      <c r="C207" s="7" t="str">
        <f t="shared" ca="1" si="8"/>
        <v>March</v>
      </c>
      <c r="D207" s="7" t="s">
        <v>615</v>
      </c>
      <c r="E207" s="7" t="s">
        <v>616</v>
      </c>
      <c r="F207" s="7" t="s">
        <v>617</v>
      </c>
    </row>
    <row r="208" spans="1:6">
      <c r="A208" s="655">
        <f t="shared" si="9"/>
        <v>706</v>
      </c>
      <c r="B208" s="445" t="s">
        <v>6058</v>
      </c>
      <c r="C208" s="7" t="str">
        <f t="shared" ca="1" si="8"/>
        <v>April</v>
      </c>
      <c r="D208" s="7" t="s">
        <v>618</v>
      </c>
      <c r="E208" s="7" t="s">
        <v>619</v>
      </c>
      <c r="F208" s="7" t="s">
        <v>619</v>
      </c>
    </row>
    <row r="209" spans="1:6">
      <c r="A209" s="655">
        <f t="shared" si="9"/>
        <v>707</v>
      </c>
      <c r="B209" s="445" t="s">
        <v>6059</v>
      </c>
      <c r="C209" s="7" t="str">
        <f t="shared" ca="1" si="8"/>
        <v>May</v>
      </c>
      <c r="D209" s="7" t="s">
        <v>620</v>
      </c>
      <c r="E209" s="7" t="s">
        <v>621</v>
      </c>
      <c r="F209" s="7" t="s">
        <v>622</v>
      </c>
    </row>
    <row r="210" spans="1:6">
      <c r="A210" s="655">
        <f t="shared" si="9"/>
        <v>708</v>
      </c>
      <c r="B210" s="445" t="s">
        <v>6060</v>
      </c>
      <c r="C210" s="7" t="str">
        <f t="shared" ca="1" si="8"/>
        <v>June</v>
      </c>
      <c r="D210" s="7" t="s">
        <v>623</v>
      </c>
      <c r="E210" s="7" t="s">
        <v>624</v>
      </c>
      <c r="F210" s="7" t="s">
        <v>625</v>
      </c>
    </row>
    <row r="211" spans="1:6">
      <c r="A211" s="655">
        <f t="shared" si="9"/>
        <v>709</v>
      </c>
      <c r="B211" s="445" t="s">
        <v>6061</v>
      </c>
      <c r="C211" s="7" t="str">
        <f t="shared" ca="1" si="8"/>
        <v>July</v>
      </c>
      <c r="D211" s="7" t="s">
        <v>626</v>
      </c>
      <c r="E211" s="7" t="s">
        <v>627</v>
      </c>
      <c r="F211" s="7" t="s">
        <v>628</v>
      </c>
    </row>
    <row r="212" spans="1:6">
      <c r="A212" s="655">
        <f t="shared" si="9"/>
        <v>710</v>
      </c>
      <c r="B212" s="445" t="s">
        <v>6062</v>
      </c>
      <c r="C212" s="7" t="str">
        <f t="shared" ca="1" si="8"/>
        <v>August</v>
      </c>
      <c r="D212" s="7" t="s">
        <v>629</v>
      </c>
      <c r="E212" s="7" t="s">
        <v>630</v>
      </c>
      <c r="F212" s="7" t="s">
        <v>630</v>
      </c>
    </row>
    <row r="213" spans="1:6">
      <c r="A213" s="655">
        <f t="shared" si="9"/>
        <v>711</v>
      </c>
      <c r="B213" s="445" t="s">
        <v>6063</v>
      </c>
      <c r="C213" s="7" t="str">
        <f t="shared" ca="1" si="8"/>
        <v>September</v>
      </c>
      <c r="D213" s="7" t="s">
        <v>631</v>
      </c>
      <c r="E213" s="7" t="s">
        <v>632</v>
      </c>
      <c r="F213" s="7" t="s">
        <v>633</v>
      </c>
    </row>
    <row r="214" spans="1:6">
      <c r="A214" s="655">
        <f t="shared" si="9"/>
        <v>712</v>
      </c>
      <c r="B214" s="445" t="s">
        <v>6064</v>
      </c>
      <c r="C214" s="7" t="str">
        <f t="shared" ca="1" si="8"/>
        <v>October</v>
      </c>
      <c r="D214" s="7" t="s">
        <v>634</v>
      </c>
      <c r="E214" s="7" t="s">
        <v>635</v>
      </c>
      <c r="F214" s="7" t="s">
        <v>636</v>
      </c>
    </row>
    <row r="215" spans="1:6">
      <c r="A215" s="655">
        <f t="shared" si="9"/>
        <v>713</v>
      </c>
      <c r="B215" s="445" t="s">
        <v>6065</v>
      </c>
      <c r="C215" s="7" t="str">
        <f t="shared" ref="C215:C283" ca="1" si="10">OFFSET(C215,0,$C$1)</f>
        <v>November</v>
      </c>
      <c r="D215" s="7" t="s">
        <v>637</v>
      </c>
      <c r="E215" s="7" t="s">
        <v>638</v>
      </c>
      <c r="F215" s="7" t="s">
        <v>639</v>
      </c>
    </row>
    <row r="216" spans="1:6">
      <c r="A216" s="655">
        <f t="shared" si="9"/>
        <v>714</v>
      </c>
      <c r="B216" s="445" t="s">
        <v>6066</v>
      </c>
      <c r="C216" s="7" t="str">
        <f t="shared" ca="1" si="10"/>
        <v>December</v>
      </c>
      <c r="D216" s="7" t="s">
        <v>640</v>
      </c>
      <c r="E216" s="7" t="s">
        <v>641</v>
      </c>
      <c r="F216" s="7" t="s">
        <v>642</v>
      </c>
    </row>
    <row r="217" spans="1:6">
      <c r="A217" s="655">
        <f t="shared" si="9"/>
        <v>715</v>
      </c>
      <c r="B217" s="449" t="s">
        <v>6067</v>
      </c>
      <c r="C217" s="7" t="str">
        <f t="shared" ref="C217:C223" ca="1" si="11">OFFSET(C217,0,$C$1)</f>
        <v>Su</v>
      </c>
      <c r="D217" s="7" t="s">
        <v>3</v>
      </c>
      <c r="E217" s="7" t="s">
        <v>671</v>
      </c>
      <c r="F217" s="7" t="s">
        <v>672</v>
      </c>
    </row>
    <row r="218" spans="1:6">
      <c r="A218" s="655">
        <f t="shared" si="9"/>
        <v>716</v>
      </c>
      <c r="B218" s="449" t="s">
        <v>6068</v>
      </c>
      <c r="C218" s="7" t="str">
        <f t="shared" ca="1" si="11"/>
        <v>Mo</v>
      </c>
      <c r="D218" s="7" t="s">
        <v>4</v>
      </c>
      <c r="E218" s="7" t="s">
        <v>673</v>
      </c>
      <c r="F218" s="7" t="s">
        <v>674</v>
      </c>
    </row>
    <row r="219" spans="1:6">
      <c r="A219" s="655">
        <f t="shared" si="9"/>
        <v>717</v>
      </c>
      <c r="B219" s="449" t="s">
        <v>6069</v>
      </c>
      <c r="C219" s="7" t="str">
        <f t="shared" ca="1" si="11"/>
        <v>Tu</v>
      </c>
      <c r="D219" s="7" t="s">
        <v>5</v>
      </c>
      <c r="E219" s="7" t="s">
        <v>675</v>
      </c>
      <c r="F219" s="7" t="s">
        <v>676</v>
      </c>
    </row>
    <row r="220" spans="1:6">
      <c r="A220" s="655">
        <f t="shared" si="9"/>
        <v>718</v>
      </c>
      <c r="B220" s="449" t="s">
        <v>6070</v>
      </c>
      <c r="C220" s="7" t="str">
        <f t="shared" ca="1" si="11"/>
        <v>We</v>
      </c>
      <c r="D220" s="7" t="s">
        <v>6</v>
      </c>
      <c r="E220" s="7" t="s">
        <v>677</v>
      </c>
      <c r="F220" s="7" t="s">
        <v>678</v>
      </c>
    </row>
    <row r="221" spans="1:6">
      <c r="A221" s="655">
        <f t="shared" si="9"/>
        <v>719</v>
      </c>
      <c r="B221" s="449" t="s">
        <v>6071</v>
      </c>
      <c r="C221" s="7" t="str">
        <f t="shared" ca="1" si="11"/>
        <v>Th</v>
      </c>
      <c r="D221" s="7" t="s">
        <v>7</v>
      </c>
      <c r="E221" s="7" t="s">
        <v>679</v>
      </c>
      <c r="F221" s="7" t="s">
        <v>678</v>
      </c>
    </row>
    <row r="222" spans="1:6">
      <c r="A222" s="655">
        <f t="shared" si="9"/>
        <v>720</v>
      </c>
      <c r="B222" s="449" t="s">
        <v>6072</v>
      </c>
      <c r="C222" s="7" t="str">
        <f t="shared" ca="1" si="11"/>
        <v>Fr</v>
      </c>
      <c r="D222" s="7" t="s">
        <v>1</v>
      </c>
      <c r="E222" s="7" t="s">
        <v>680</v>
      </c>
      <c r="F222" s="7" t="s">
        <v>674</v>
      </c>
    </row>
    <row r="223" spans="1:6">
      <c r="A223" s="655">
        <f t="shared" si="9"/>
        <v>721</v>
      </c>
      <c r="B223" s="449" t="s">
        <v>6073</v>
      </c>
      <c r="C223" s="7" t="str">
        <f t="shared" ca="1" si="11"/>
        <v>Sa</v>
      </c>
      <c r="D223" s="7" t="s">
        <v>2</v>
      </c>
      <c r="E223" s="7" t="s">
        <v>2</v>
      </c>
      <c r="F223" s="7" t="s">
        <v>674</v>
      </c>
    </row>
    <row r="224" spans="1:6">
      <c r="A224" s="655">
        <f t="shared" si="9"/>
        <v>722</v>
      </c>
      <c r="B224" s="7" t="s">
        <v>6074</v>
      </c>
      <c r="C224" s="7" t="str">
        <f t="shared" ca="1" si="10"/>
        <v>Sri Advaita Acarya - App.</v>
      </c>
      <c r="D224" s="7" t="s">
        <v>1082</v>
      </c>
      <c r="E224" s="7" t="s">
        <v>1069</v>
      </c>
      <c r="F224" s="7" t="s">
        <v>1069</v>
      </c>
    </row>
    <row r="225" spans="1:6">
      <c r="A225" s="655">
        <f t="shared" si="9"/>
        <v>723</v>
      </c>
      <c r="B225" s="7" t="s">
        <v>6075</v>
      </c>
      <c r="C225" s="7" t="str">
        <f t="shared" ca="1" si="10"/>
        <v>Lord Balarama - App.</v>
      </c>
      <c r="D225" s="7" t="s">
        <v>1083</v>
      </c>
      <c r="E225" s="7" t="s">
        <v>1074</v>
      </c>
      <c r="F225" s="7" t="s">
        <v>1074</v>
      </c>
    </row>
    <row r="226" spans="1:6">
      <c r="A226" s="655">
        <f t="shared" si="9"/>
        <v>724</v>
      </c>
      <c r="B226" s="7" t="s">
        <v>6076</v>
      </c>
      <c r="C226" s="7" t="str">
        <f t="shared" ca="1" si="10"/>
        <v>Bhagavad-gita - Advent</v>
      </c>
      <c r="D226" s="7" t="s">
        <v>127</v>
      </c>
      <c r="E226" s="7" t="s">
        <v>128</v>
      </c>
      <c r="F226" s="7" t="s">
        <v>128</v>
      </c>
    </row>
    <row r="227" spans="1:6">
      <c r="A227" s="655">
        <f t="shared" si="9"/>
        <v>725</v>
      </c>
      <c r="B227" s="7" t="s">
        <v>6077</v>
      </c>
      <c r="C227" s="7" t="str">
        <f t="shared" ca="1" si="10"/>
        <v>Srila Bhaktisiddhanta - App.</v>
      </c>
      <c r="D227" s="7" t="s">
        <v>1084</v>
      </c>
      <c r="E227" s="7" t="s">
        <v>1072</v>
      </c>
      <c r="F227" s="7" t="s">
        <v>1072</v>
      </c>
    </row>
    <row r="228" spans="1:6">
      <c r="A228" s="655">
        <f t="shared" si="9"/>
        <v>726</v>
      </c>
      <c r="B228" s="7" t="s">
        <v>6078</v>
      </c>
      <c r="C228" s="7" t="str">
        <f t="shared" ca="1" si="10"/>
        <v>Bhaktivinoda Thakura - App.</v>
      </c>
      <c r="D228" s="7" t="s">
        <v>1085</v>
      </c>
      <c r="E228" s="7" t="s">
        <v>1067</v>
      </c>
      <c r="F228" s="7" t="s">
        <v>1067</v>
      </c>
    </row>
    <row r="229" spans="1:6">
      <c r="A229" s="655">
        <f t="shared" si="9"/>
        <v>727</v>
      </c>
      <c r="B229" s="7" t="s">
        <v>6079</v>
      </c>
      <c r="C229" s="7" t="str">
        <f t="shared" ca="1" si="10"/>
        <v>Gaura Purnima</v>
      </c>
      <c r="D229" s="7" t="s">
        <v>818</v>
      </c>
      <c r="E229" s="7" t="s">
        <v>818</v>
      </c>
      <c r="F229" s="7" t="s">
        <v>818</v>
      </c>
    </row>
    <row r="230" spans="1:6">
      <c r="A230" s="655">
        <f t="shared" si="9"/>
        <v>728</v>
      </c>
      <c r="B230" s="7" t="s">
        <v>6080</v>
      </c>
      <c r="C230" s="7" t="str">
        <f t="shared" ca="1" si="10"/>
        <v>Dipa dana, Dipavali</v>
      </c>
      <c r="D230" s="7" t="s">
        <v>819</v>
      </c>
      <c r="E230" s="7" t="s">
        <v>819</v>
      </c>
      <c r="F230" s="7" t="s">
        <v>819</v>
      </c>
    </row>
    <row r="231" spans="1:6">
      <c r="A231" s="655">
        <f t="shared" si="9"/>
        <v>729</v>
      </c>
      <c r="B231" s="7" t="s">
        <v>6081</v>
      </c>
      <c r="C231" s="7" t="str">
        <f t="shared" ca="1" si="10"/>
        <v>Gadadhara Pandita -App.</v>
      </c>
      <c r="D231" s="7" t="s">
        <v>1086</v>
      </c>
      <c r="E231" s="7" t="s">
        <v>1079</v>
      </c>
      <c r="F231" s="7" t="s">
        <v>1079</v>
      </c>
    </row>
    <row r="232" spans="1:6">
      <c r="A232" s="655">
        <f t="shared" si="9"/>
        <v>730</v>
      </c>
      <c r="B232" s="7" t="s">
        <v>6082</v>
      </c>
      <c r="C232" s="7" t="str">
        <f t="shared" ca="1" si="10"/>
        <v>Srila Gaura Kisora - Dis.</v>
      </c>
      <c r="D232" s="7" t="s">
        <v>1087</v>
      </c>
      <c r="E232" s="7" t="s">
        <v>1078</v>
      </c>
      <c r="F232" s="7" t="s">
        <v>1078</v>
      </c>
    </row>
    <row r="233" spans="1:6">
      <c r="A233" s="655">
        <f t="shared" si="9"/>
        <v>731</v>
      </c>
      <c r="B233" s="7" t="s">
        <v>6083</v>
      </c>
      <c r="C233" s="7" t="str">
        <f t="shared" ca="1" si="10"/>
        <v>Gopala Bhatta G. - App.</v>
      </c>
      <c r="D233" s="7" t="s">
        <v>1088</v>
      </c>
      <c r="E233" s="7" t="s">
        <v>1066</v>
      </c>
      <c r="F233" s="7" t="s">
        <v>1066</v>
      </c>
    </row>
    <row r="234" spans="1:6">
      <c r="A234" s="655">
        <f t="shared" si="9"/>
        <v>732</v>
      </c>
      <c r="B234" s="7" t="s">
        <v>6084</v>
      </c>
      <c r="C234" s="7" t="str">
        <f t="shared" ca="1" si="10"/>
        <v>Govardhana Puja</v>
      </c>
      <c r="D234" s="7" t="s">
        <v>820</v>
      </c>
      <c r="E234" s="7" t="s">
        <v>820</v>
      </c>
      <c r="F234" s="7" t="s">
        <v>820</v>
      </c>
    </row>
    <row r="235" spans="1:6">
      <c r="A235" s="655">
        <f t="shared" si="9"/>
        <v>733</v>
      </c>
      <c r="B235" s="7" t="s">
        <v>6085</v>
      </c>
      <c r="C235" s="7" t="str">
        <f t="shared" ca="1" si="10"/>
        <v>Gundica Marjana</v>
      </c>
      <c r="D235" s="7" t="s">
        <v>11</v>
      </c>
      <c r="E235" s="7" t="s">
        <v>11</v>
      </c>
      <c r="F235" s="7" t="s">
        <v>11</v>
      </c>
    </row>
    <row r="236" spans="1:6">
      <c r="A236" s="655">
        <f t="shared" si="9"/>
        <v>734</v>
      </c>
      <c r="B236" s="7" t="s">
        <v>6086</v>
      </c>
      <c r="C236" s="7" t="str">
        <f t="shared" ca="1" si="10"/>
        <v>ISKCON - Incorporation</v>
      </c>
      <c r="D236" s="7" t="s">
        <v>1089</v>
      </c>
      <c r="E236" s="7" t="s">
        <v>123</v>
      </c>
      <c r="F236" s="7" t="s">
        <v>123</v>
      </c>
    </row>
    <row r="237" spans="1:6">
      <c r="A237" s="655">
        <f t="shared" si="9"/>
        <v>735</v>
      </c>
      <c r="B237" s="7" t="s">
        <v>6087</v>
      </c>
      <c r="C237" s="7" t="str">
        <f t="shared" ca="1" si="10"/>
        <v>Jhulana Yatra begins</v>
      </c>
      <c r="D237" s="7" t="s">
        <v>1090</v>
      </c>
      <c r="E237" s="7" t="s">
        <v>816</v>
      </c>
      <c r="F237" s="7" t="s">
        <v>816</v>
      </c>
    </row>
    <row r="238" spans="1:6">
      <c r="A238" s="655">
        <f t="shared" si="9"/>
        <v>736</v>
      </c>
      <c r="B238" s="7" t="s">
        <v>6088</v>
      </c>
      <c r="C238" s="7" t="str">
        <f t="shared" ca="1" si="10"/>
        <v>Jiva Gosvami - App.</v>
      </c>
      <c r="D238" s="7" t="s">
        <v>1091</v>
      </c>
      <c r="E238" s="7" t="s">
        <v>1065</v>
      </c>
      <c r="F238" s="7" t="s">
        <v>1065</v>
      </c>
    </row>
    <row r="239" spans="1:6">
      <c r="A239" s="655">
        <f t="shared" si="9"/>
        <v>737</v>
      </c>
      <c r="B239" s="7" t="s">
        <v>6089</v>
      </c>
      <c r="C239" s="7" t="str">
        <f t="shared" ca="1" si="10"/>
        <v>Sri Krsna Janmastami</v>
      </c>
      <c r="D239" s="7" t="s">
        <v>822</v>
      </c>
      <c r="E239" s="7" t="s">
        <v>822</v>
      </c>
      <c r="F239" s="7" t="s">
        <v>822</v>
      </c>
    </row>
    <row r="240" spans="1:6">
      <c r="A240" s="655">
        <f t="shared" si="9"/>
        <v>738</v>
      </c>
      <c r="B240" s="7" t="s">
        <v>6090</v>
      </c>
      <c r="C240" s="7" t="str">
        <f t="shared" ca="1" si="10"/>
        <v>Nityananda Trayodasi</v>
      </c>
      <c r="D240" s="7" t="s">
        <v>814</v>
      </c>
      <c r="E240" s="7" t="s">
        <v>814</v>
      </c>
      <c r="F240" s="7" t="s">
        <v>814</v>
      </c>
    </row>
    <row r="241" spans="1:6">
      <c r="A241" s="655">
        <f t="shared" si="9"/>
        <v>739</v>
      </c>
      <c r="B241" s="7" t="s">
        <v>6091</v>
      </c>
      <c r="C241" s="7" t="str">
        <f t="shared" ca="1" si="10"/>
        <v>Nrsimha Caturdasi</v>
      </c>
      <c r="D241" s="7" t="s">
        <v>827</v>
      </c>
      <c r="E241" s="7" t="s">
        <v>827</v>
      </c>
      <c r="F241" s="7" t="s">
        <v>827</v>
      </c>
    </row>
    <row r="242" spans="1:6">
      <c r="A242" s="655">
        <f t="shared" si="9"/>
        <v>740</v>
      </c>
      <c r="B242" s="7" t="s">
        <v>6092</v>
      </c>
      <c r="C242" s="7" t="str">
        <f t="shared" ca="1" si="10"/>
        <v>Srila Prabhupada - App.</v>
      </c>
      <c r="D242" s="7" t="s">
        <v>1092</v>
      </c>
      <c r="E242" s="7" t="s">
        <v>1077</v>
      </c>
      <c r="F242" s="7" t="s">
        <v>1077</v>
      </c>
    </row>
    <row r="243" spans="1:6">
      <c r="A243" s="655">
        <f t="shared" si="9"/>
        <v>741</v>
      </c>
      <c r="B243" s="7" t="s">
        <v>6093</v>
      </c>
      <c r="C243" s="7" t="str">
        <f t="shared" ca="1" si="10"/>
        <v>Srila Prabhupada - Dis.</v>
      </c>
      <c r="D243" s="7" t="s">
        <v>1093</v>
      </c>
      <c r="E243" s="7" t="s">
        <v>1076</v>
      </c>
      <c r="F243" s="7" t="s">
        <v>1076</v>
      </c>
    </row>
    <row r="244" spans="1:6">
      <c r="A244" s="655">
        <f t="shared" si="9"/>
        <v>742</v>
      </c>
      <c r="B244" s="7" t="s">
        <v>6094</v>
      </c>
      <c r="C244" s="7" t="str">
        <f t="shared" ca="1" si="10"/>
        <v>Prabhupada - Sannyasa Accep.</v>
      </c>
      <c r="D244" s="7" t="s">
        <v>1094</v>
      </c>
      <c r="E244" s="7" t="s">
        <v>124</v>
      </c>
      <c r="F244" s="7" t="s">
        <v>124</v>
      </c>
    </row>
    <row r="245" spans="1:6">
      <c r="A245" s="655">
        <f t="shared" si="9"/>
        <v>743</v>
      </c>
      <c r="B245" s="7" t="s">
        <v>6095</v>
      </c>
      <c r="C245" s="7" t="str">
        <f t="shared" ca="1" si="10"/>
        <v>Prabhupada in the USA</v>
      </c>
      <c r="D245" s="7" t="s">
        <v>1095</v>
      </c>
      <c r="E245" s="7" t="s">
        <v>125</v>
      </c>
      <c r="F245" s="7" t="s">
        <v>125</v>
      </c>
    </row>
    <row r="246" spans="1:6">
      <c r="A246" s="655">
        <f t="shared" si="9"/>
        <v>744</v>
      </c>
      <c r="B246" s="7" t="s">
        <v>6096</v>
      </c>
      <c r="C246" s="7" t="str">
        <f t="shared" ca="1" si="10"/>
        <v>Prabhupada - for the USA</v>
      </c>
      <c r="D246" s="7" t="s">
        <v>1096</v>
      </c>
      <c r="E246" s="7" t="s">
        <v>975</v>
      </c>
      <c r="F246" s="7" t="s">
        <v>1105</v>
      </c>
    </row>
    <row r="247" spans="1:6">
      <c r="A247" s="655">
        <f t="shared" si="9"/>
        <v>745</v>
      </c>
      <c r="B247" s="7" t="s">
        <v>6097</v>
      </c>
      <c r="C247" s="7" t="str">
        <f t="shared" ca="1" si="10"/>
        <v>Radha Kunda app.</v>
      </c>
      <c r="D247" s="7" t="s">
        <v>1097</v>
      </c>
      <c r="E247" s="7" t="s">
        <v>126</v>
      </c>
      <c r="F247" s="7" t="s">
        <v>126</v>
      </c>
    </row>
    <row r="248" spans="1:6">
      <c r="A248" s="655">
        <f t="shared" si="9"/>
        <v>746</v>
      </c>
      <c r="B248" s="7" t="s">
        <v>6098</v>
      </c>
      <c r="C248" s="7" t="str">
        <f t="shared" ca="1" si="10"/>
        <v>Radhastami</v>
      </c>
      <c r="D248" s="7" t="s">
        <v>825</v>
      </c>
      <c r="E248" s="7" t="s">
        <v>825</v>
      </c>
      <c r="F248" s="7" t="s">
        <v>825</v>
      </c>
    </row>
    <row r="249" spans="1:6">
      <c r="A249" s="655">
        <f t="shared" si="9"/>
        <v>747</v>
      </c>
      <c r="B249" s="7" t="s">
        <v>6099</v>
      </c>
      <c r="C249" s="7" t="str">
        <f t="shared" ca="1" si="10"/>
        <v>Raghunatha Bhatta G. - Dis.</v>
      </c>
      <c r="D249" s="7" t="s">
        <v>1098</v>
      </c>
      <c r="E249" s="7" t="s">
        <v>1071</v>
      </c>
      <c r="F249" s="7" t="s">
        <v>1071</v>
      </c>
    </row>
    <row r="250" spans="1:6">
      <c r="A250" s="655">
        <f t="shared" si="9"/>
        <v>748</v>
      </c>
      <c r="B250" s="7" t="s">
        <v>6100</v>
      </c>
      <c r="C250" s="7" t="str">
        <f t="shared" ca="1" si="10"/>
        <v>Srila Raghunatha Dasa Gosvami - Appearance</v>
      </c>
      <c r="D250" s="7" t="s">
        <v>87</v>
      </c>
      <c r="E250" s="7" t="s">
        <v>1068</v>
      </c>
      <c r="F250" s="7" t="s">
        <v>1068</v>
      </c>
    </row>
    <row r="251" spans="1:6">
      <c r="A251" s="655">
        <f t="shared" si="9"/>
        <v>749</v>
      </c>
      <c r="B251" s="7" t="s">
        <v>6101</v>
      </c>
      <c r="C251" s="7" t="str">
        <f t="shared" ca="1" si="10"/>
        <v>Rama Navami</v>
      </c>
      <c r="D251" s="7" t="s">
        <v>821</v>
      </c>
      <c r="E251" s="7" t="s">
        <v>821</v>
      </c>
      <c r="F251" s="7" t="s">
        <v>821</v>
      </c>
    </row>
    <row r="252" spans="1:6">
      <c r="A252" s="655">
        <f t="shared" si="9"/>
        <v>750</v>
      </c>
      <c r="B252" s="7" t="s">
        <v>6102</v>
      </c>
      <c r="C252" s="7" t="str">
        <f t="shared" ca="1" si="10"/>
        <v>Ramacandra Vijayotsava</v>
      </c>
      <c r="D252" s="7" t="s">
        <v>813</v>
      </c>
      <c r="E252" s="7" t="s">
        <v>813</v>
      </c>
      <c r="F252" s="7" t="s">
        <v>813</v>
      </c>
    </row>
    <row r="253" spans="1:6">
      <c r="A253" s="655">
        <f t="shared" si="9"/>
        <v>751</v>
      </c>
      <c r="B253" s="7" t="s">
        <v>6103</v>
      </c>
      <c r="C253" s="7" t="str">
        <f t="shared" ca="1" si="10"/>
        <v>Ratha Yatra</v>
      </c>
      <c r="D253" s="7" t="s">
        <v>12</v>
      </c>
      <c r="E253" s="7" t="s">
        <v>12</v>
      </c>
      <c r="F253" s="7" t="s">
        <v>12</v>
      </c>
    </row>
    <row r="254" spans="1:6">
      <c r="A254" s="655">
        <f t="shared" si="9"/>
        <v>752</v>
      </c>
      <c r="B254" s="7" t="s">
        <v>6104</v>
      </c>
      <c r="C254" s="7" t="str">
        <f t="shared" ca="1" si="10"/>
        <v>Rupa Gosvami - Dis.</v>
      </c>
      <c r="D254" s="7" t="s">
        <v>1099</v>
      </c>
      <c r="E254" s="7" t="s">
        <v>1073</v>
      </c>
      <c r="F254" s="7" t="s">
        <v>1073</v>
      </c>
    </row>
    <row r="255" spans="1:6">
      <c r="A255" s="655">
        <f t="shared" si="9"/>
        <v>753</v>
      </c>
      <c r="B255" s="7" t="s">
        <v>6105</v>
      </c>
      <c r="C255" s="7" t="str">
        <f t="shared" ca="1" si="10"/>
        <v>Sanatana Gosvami - Dis.</v>
      </c>
      <c r="D255" s="7" t="s">
        <v>1100</v>
      </c>
      <c r="E255" s="7" t="s">
        <v>1070</v>
      </c>
      <c r="F255" s="7" t="s">
        <v>1070</v>
      </c>
    </row>
    <row r="256" spans="1:6">
      <c r="A256" s="655">
        <f t="shared" si="9"/>
        <v>754</v>
      </c>
      <c r="B256" s="7" t="s">
        <v>6106</v>
      </c>
      <c r="C256" s="7" t="str">
        <f t="shared" ca="1" si="10"/>
        <v>Sita Devi (Sri Rama) - App.</v>
      </c>
      <c r="D256" s="7" t="s">
        <v>1101</v>
      </c>
      <c r="E256" s="7" t="s">
        <v>1081</v>
      </c>
      <c r="F256" s="7" t="s">
        <v>1102</v>
      </c>
    </row>
    <row r="257" spans="1:6">
      <c r="A257" s="655">
        <f t="shared" si="9"/>
        <v>755</v>
      </c>
      <c r="B257" s="7" t="s">
        <v>6107</v>
      </c>
      <c r="C257" s="7" t="str">
        <f t="shared" ca="1" si="10"/>
        <v>Sita Thakurani (Sri Advaita) - Ap.</v>
      </c>
      <c r="D257" s="7" t="s">
        <v>1103</v>
      </c>
      <c r="E257" s="7" t="s">
        <v>1080</v>
      </c>
      <c r="F257" s="7" t="s">
        <v>1106</v>
      </c>
    </row>
    <row r="258" spans="1:6">
      <c r="A258" s="655">
        <f t="shared" si="9"/>
        <v>756</v>
      </c>
      <c r="B258" s="7" t="s">
        <v>6108</v>
      </c>
      <c r="C258" s="7" t="str">
        <f t="shared" ca="1" si="10"/>
        <v>Snana Yatra</v>
      </c>
      <c r="D258" s="7" t="s">
        <v>811</v>
      </c>
      <c r="E258" s="7" t="s">
        <v>811</v>
      </c>
      <c r="F258" s="7" t="s">
        <v>811</v>
      </c>
    </row>
    <row r="259" spans="1:6">
      <c r="A259" s="655">
        <f t="shared" si="9"/>
        <v>757</v>
      </c>
      <c r="B259" s="7" t="s">
        <v>6109</v>
      </c>
      <c r="C259" s="7" t="str">
        <f t="shared" ca="1" si="10"/>
        <v>Sri Balarama Rasayatra</v>
      </c>
      <c r="D259" s="7" t="s">
        <v>823</v>
      </c>
      <c r="E259" s="7" t="s">
        <v>823</v>
      </c>
      <c r="F259" s="7" t="s">
        <v>823</v>
      </c>
    </row>
    <row r="260" spans="1:6">
      <c r="A260" s="655">
        <f t="shared" si="9"/>
        <v>758</v>
      </c>
      <c r="B260" s="7" t="s">
        <v>6110</v>
      </c>
      <c r="C260" s="7" t="str">
        <f t="shared" ca="1" si="10"/>
        <v>Sri Krsna Madhura Utsava</v>
      </c>
      <c r="D260" s="7" t="s">
        <v>815</v>
      </c>
      <c r="E260" s="7" t="s">
        <v>815</v>
      </c>
      <c r="F260" s="7" t="s">
        <v>815</v>
      </c>
    </row>
    <row r="261" spans="1:6">
      <c r="A261" s="655">
        <f t="shared" si="9"/>
        <v>759</v>
      </c>
      <c r="B261" s="7" t="s">
        <v>6111</v>
      </c>
      <c r="C261" s="7" t="str">
        <f t="shared" ca="1" si="10"/>
        <v>Sri Krsna Pusya Abhiseka</v>
      </c>
      <c r="D261" s="7" t="s">
        <v>809</v>
      </c>
      <c r="E261" s="7" t="s">
        <v>809</v>
      </c>
      <c r="F261" s="7" t="s">
        <v>809</v>
      </c>
    </row>
    <row r="262" spans="1:6">
      <c r="A262" s="655">
        <f t="shared" si="9"/>
        <v>760</v>
      </c>
      <c r="B262" s="7" t="s">
        <v>6112</v>
      </c>
      <c r="C262" s="7" t="str">
        <f t="shared" ca="1" si="10"/>
        <v>Sri Krsna Rasayatra</v>
      </c>
      <c r="D262" s="7" t="s">
        <v>824</v>
      </c>
      <c r="E262" s="7" t="s">
        <v>824</v>
      </c>
      <c r="F262" s="7" t="s">
        <v>824</v>
      </c>
    </row>
    <row r="263" spans="1:6">
      <c r="A263" s="655">
        <f t="shared" si="9"/>
        <v>761</v>
      </c>
      <c r="B263" s="7" t="s">
        <v>6113</v>
      </c>
      <c r="C263" s="7" t="str">
        <f t="shared" ca="1" si="10"/>
        <v>Sri Krsna Saradiya Rasayatra</v>
      </c>
      <c r="D263" s="7" t="s">
        <v>817</v>
      </c>
      <c r="E263" s="7" t="s">
        <v>817</v>
      </c>
      <c r="F263" s="7" t="s">
        <v>817</v>
      </c>
    </row>
    <row r="264" spans="1:6">
      <c r="A264" s="655">
        <f t="shared" si="9"/>
        <v>762</v>
      </c>
      <c r="B264" s="7" t="s">
        <v>6114</v>
      </c>
      <c r="C264" s="7" t="str">
        <f t="shared" ca="1" si="10"/>
        <v>Sri Srivasa Pandita - App.</v>
      </c>
      <c r="D264" s="7" t="s">
        <v>1104</v>
      </c>
      <c r="E264" s="7" t="s">
        <v>1075</v>
      </c>
      <c r="F264" s="7" t="s">
        <v>1075</v>
      </c>
    </row>
    <row r="265" spans="1:6">
      <c r="A265" s="655">
        <f t="shared" si="9"/>
        <v>763</v>
      </c>
      <c r="B265" s="7" t="s">
        <v>6115</v>
      </c>
      <c r="C265" s="7" t="str">
        <f t="shared" ca="1" si="10"/>
        <v>Pandava Nirjala Ekadasi</v>
      </c>
      <c r="D265" s="7" t="s">
        <v>810</v>
      </c>
      <c r="E265" s="7" t="s">
        <v>810</v>
      </c>
      <c r="F265" s="7" t="s">
        <v>810</v>
      </c>
    </row>
    <row r="266" spans="1:6">
      <c r="A266" s="655">
        <f t="shared" si="9"/>
        <v>764</v>
      </c>
      <c r="B266" s="7" t="s">
        <v>6116</v>
      </c>
      <c r="C266" s="7" t="str">
        <f t="shared" ca="1" si="10"/>
        <v>Tulasi-Saligrama Vivaha</v>
      </c>
      <c r="D266" s="7" t="s">
        <v>826</v>
      </c>
      <c r="E266" s="7" t="s">
        <v>826</v>
      </c>
      <c r="F266" s="7" t="s">
        <v>826</v>
      </c>
    </row>
    <row r="267" spans="1:6">
      <c r="A267" s="655">
        <f t="shared" si="9"/>
        <v>765</v>
      </c>
      <c r="B267" s="7" t="s">
        <v>6117</v>
      </c>
      <c r="C267" s="7" t="str">
        <f t="shared" ca="1" si="10"/>
        <v>Sri Vamana Dvadasi</v>
      </c>
      <c r="D267" s="7" t="s">
        <v>828</v>
      </c>
      <c r="E267" s="7" t="s">
        <v>828</v>
      </c>
      <c r="F267" s="7" t="s">
        <v>828</v>
      </c>
    </row>
    <row r="268" spans="1:6">
      <c r="A268" s="655">
        <f t="shared" ref="A268:A331" si="12">IF(RIGHT(B268,8)="_section",(INT(A267/100)+1)*100,A267+1)</f>
        <v>766</v>
      </c>
      <c r="B268" s="7" t="s">
        <v>6118</v>
      </c>
      <c r="C268" s="7" t="str">
        <f t="shared" ca="1" si="10"/>
        <v>Varaha Dvadasi</v>
      </c>
      <c r="D268" s="7" t="s">
        <v>812</v>
      </c>
      <c r="E268" s="7" t="s">
        <v>812</v>
      </c>
      <c r="F268" s="7" t="s">
        <v>812</v>
      </c>
    </row>
    <row r="269" spans="1:6">
      <c r="A269" s="655">
        <f t="shared" si="12"/>
        <v>800</v>
      </c>
      <c r="B269" s="446" t="s">
        <v>643</v>
      </c>
      <c r="C269" s="446" t="str">
        <f t="shared" ca="1" si="10"/>
        <v>Monthly</v>
      </c>
      <c r="D269" s="446" t="s">
        <v>226</v>
      </c>
      <c r="E269" s="446" t="s">
        <v>227</v>
      </c>
      <c r="F269" s="446" t="s">
        <v>228</v>
      </c>
    </row>
    <row r="270" spans="1:6">
      <c r="A270" s="655">
        <f t="shared" si="12"/>
        <v>801</v>
      </c>
      <c r="B270" s="446" t="s">
        <v>644</v>
      </c>
      <c r="C270" s="446" t="str">
        <f t="shared" ca="1" si="10"/>
        <v>Monthly</v>
      </c>
      <c r="D270" s="446" t="s">
        <v>226</v>
      </c>
      <c r="E270" s="446" t="s">
        <v>227</v>
      </c>
      <c r="F270" s="446" t="s">
        <v>228</v>
      </c>
    </row>
    <row r="271" spans="1:6">
      <c r="A271" s="655">
        <f t="shared" si="12"/>
        <v>802</v>
      </c>
      <c r="B271" s="7" t="s">
        <v>645</v>
      </c>
      <c r="C271" s="7" t="str">
        <f t="shared" ca="1" si="10"/>
        <v>MONTHLY PLANNING</v>
      </c>
      <c r="D271" s="7" t="s">
        <v>646</v>
      </c>
      <c r="E271" s="7" t="s">
        <v>647</v>
      </c>
      <c r="F271" s="7" t="s">
        <v>648</v>
      </c>
    </row>
    <row r="272" spans="1:6">
      <c r="A272" s="655">
        <f t="shared" si="12"/>
        <v>803</v>
      </c>
      <c r="B272" s="7" t="s">
        <v>649</v>
      </c>
      <c r="C272" s="7" t="str">
        <f t="shared" ca="1" si="10"/>
        <v>PRIORITIES</v>
      </c>
      <c r="D272" s="7" t="s">
        <v>650</v>
      </c>
      <c r="E272" s="7" t="s">
        <v>651</v>
      </c>
      <c r="F272" s="7" t="s">
        <v>651</v>
      </c>
    </row>
    <row r="273" spans="1:6" s="458" customFormat="1">
      <c r="A273" s="655">
        <f t="shared" si="12"/>
        <v>900</v>
      </c>
      <c r="B273" s="446" t="s">
        <v>6190</v>
      </c>
      <c r="C273" s="446" t="str">
        <f t="shared" ca="1" si="10"/>
        <v>Weekly</v>
      </c>
      <c r="D273" s="446" t="s">
        <v>6189</v>
      </c>
      <c r="E273" s="446" t="s">
        <v>653</v>
      </c>
      <c r="F273" s="446" t="s">
        <v>653</v>
      </c>
    </row>
    <row r="274" spans="1:6" s="458" customFormat="1">
      <c r="A274" s="655">
        <f t="shared" si="12"/>
        <v>901</v>
      </c>
      <c r="B274" s="448" t="s">
        <v>6191</v>
      </c>
      <c r="C274" s="448" t="str">
        <f t="shared" ca="1" si="10"/>
        <v>W</v>
      </c>
      <c r="D274" s="448" t="s">
        <v>6201</v>
      </c>
      <c r="E274" s="448" t="s">
        <v>674</v>
      </c>
      <c r="F274" s="448" t="s">
        <v>674</v>
      </c>
    </row>
    <row r="275" spans="1:6">
      <c r="A275" s="655">
        <f t="shared" si="12"/>
        <v>902</v>
      </c>
      <c r="B275" s="458" t="s">
        <v>6192</v>
      </c>
      <c r="C275" s="7" t="str">
        <f t="shared" ca="1" si="10"/>
        <v>Week</v>
      </c>
      <c r="D275" s="7" t="s">
        <v>652</v>
      </c>
      <c r="E275" s="7" t="s">
        <v>653</v>
      </c>
      <c r="F275" s="7" t="s">
        <v>653</v>
      </c>
    </row>
    <row r="276" spans="1:6">
      <c r="A276" s="655">
        <f t="shared" si="12"/>
        <v>903</v>
      </c>
      <c r="B276" s="458" t="s">
        <v>6193</v>
      </c>
      <c r="C276" s="7" t="str">
        <f t="shared" ca="1" si="10"/>
        <v>Self Improvement</v>
      </c>
      <c r="D276" s="7" t="s">
        <v>654</v>
      </c>
      <c r="E276" s="7" t="s">
        <v>655</v>
      </c>
      <c r="F276" s="7" t="s">
        <v>656</v>
      </c>
    </row>
    <row r="277" spans="1:6">
      <c r="A277" s="655">
        <f t="shared" si="12"/>
        <v>904</v>
      </c>
      <c r="B277" s="458" t="s">
        <v>6194</v>
      </c>
      <c r="C277" s="7" t="str">
        <f t="shared" ca="1" si="10"/>
        <v>Espiritual</v>
      </c>
      <c r="D277" s="7" t="s">
        <v>657</v>
      </c>
      <c r="E277" s="7" t="s">
        <v>657</v>
      </c>
      <c r="F277" s="7" t="s">
        <v>657</v>
      </c>
    </row>
    <row r="278" spans="1:6">
      <c r="A278" s="655">
        <f t="shared" si="12"/>
        <v>905</v>
      </c>
      <c r="B278" s="458" t="s">
        <v>6195</v>
      </c>
      <c r="C278" s="7" t="str">
        <f t="shared" ca="1" si="10"/>
        <v>Emotional</v>
      </c>
      <c r="D278" s="7" t="s">
        <v>658</v>
      </c>
      <c r="E278" s="7" t="s">
        <v>659</v>
      </c>
      <c r="F278" s="7" t="s">
        <v>659</v>
      </c>
    </row>
    <row r="279" spans="1:6">
      <c r="A279" s="655">
        <f t="shared" si="12"/>
        <v>906</v>
      </c>
      <c r="B279" s="458" t="s">
        <v>6196</v>
      </c>
      <c r="C279" s="7" t="str">
        <f t="shared" ca="1" si="10"/>
        <v>Intelectual</v>
      </c>
      <c r="D279" s="7" t="s">
        <v>660</v>
      </c>
      <c r="E279" s="7" t="s">
        <v>660</v>
      </c>
      <c r="F279" s="7" t="s">
        <v>660</v>
      </c>
    </row>
    <row r="280" spans="1:6">
      <c r="A280" s="655">
        <f t="shared" si="12"/>
        <v>907</v>
      </c>
      <c r="B280" s="458" t="s">
        <v>6197</v>
      </c>
      <c r="C280" s="7" t="str">
        <f t="shared" ca="1" si="10"/>
        <v>Fisical</v>
      </c>
      <c r="D280" s="7" t="s">
        <v>661</v>
      </c>
      <c r="E280" s="7" t="s">
        <v>662</v>
      </c>
      <c r="F280" s="7" t="s">
        <v>662</v>
      </c>
    </row>
    <row r="281" spans="1:6">
      <c r="A281" s="655">
        <f t="shared" si="12"/>
        <v>908</v>
      </c>
      <c r="B281" s="458" t="s">
        <v>6198</v>
      </c>
      <c r="C281" s="7" t="str">
        <f t="shared" ca="1" si="10"/>
        <v>Important</v>
      </c>
      <c r="D281" s="7" t="s">
        <v>663</v>
      </c>
      <c r="E281" s="7" t="s">
        <v>664</v>
      </c>
      <c r="F281" s="7" t="s">
        <v>664</v>
      </c>
    </row>
    <row r="282" spans="1:6">
      <c r="A282" s="655">
        <f t="shared" si="12"/>
        <v>909</v>
      </c>
      <c r="B282" s="458" t="s">
        <v>6199</v>
      </c>
      <c r="C282" s="7" t="str">
        <f t="shared" ca="1" si="10"/>
        <v>Areas</v>
      </c>
      <c r="D282" s="7" t="s">
        <v>665</v>
      </c>
      <c r="E282" s="7" t="s">
        <v>666</v>
      </c>
      <c r="F282" s="7" t="s">
        <v>666</v>
      </c>
    </row>
    <row r="283" spans="1:6">
      <c r="A283" s="655">
        <f t="shared" si="12"/>
        <v>910</v>
      </c>
      <c r="B283" s="458" t="s">
        <v>6200</v>
      </c>
      <c r="C283" s="7" t="str">
        <f t="shared" ca="1" si="10"/>
        <v>Goals</v>
      </c>
      <c r="D283" s="7" t="s">
        <v>667</v>
      </c>
      <c r="E283" s="7" t="s">
        <v>668</v>
      </c>
      <c r="F283" s="7" t="s">
        <v>668</v>
      </c>
    </row>
    <row r="284" spans="1:6">
      <c r="A284" s="655">
        <f t="shared" si="12"/>
        <v>1000</v>
      </c>
      <c r="B284" s="446" t="s">
        <v>681</v>
      </c>
      <c r="C284" s="446" t="str">
        <f t="shared" ref="C284:C318" ca="1" si="13">OFFSET(C284,0,$C$1)</f>
        <v>Notes-Left</v>
      </c>
      <c r="D284" s="446" t="s">
        <v>197</v>
      </c>
      <c r="E284" s="446" t="s">
        <v>198</v>
      </c>
      <c r="F284" s="446" t="s">
        <v>199</v>
      </c>
    </row>
    <row r="285" spans="1:6">
      <c r="A285" s="655">
        <f t="shared" si="12"/>
        <v>1001</v>
      </c>
      <c r="B285" s="448" t="s">
        <v>682</v>
      </c>
      <c r="C285" s="448" t="str">
        <f t="shared" ca="1" si="13"/>
        <v>Notes</v>
      </c>
      <c r="D285" s="448" t="s">
        <v>684</v>
      </c>
      <c r="E285" s="448" t="s">
        <v>685</v>
      </c>
      <c r="F285" s="448" t="s">
        <v>6202</v>
      </c>
    </row>
    <row r="286" spans="1:6">
      <c r="A286" s="655">
        <f t="shared" si="12"/>
        <v>1002</v>
      </c>
      <c r="B286" s="7" t="s">
        <v>683</v>
      </c>
      <c r="C286" s="7" t="str">
        <f t="shared" ca="1" si="13"/>
        <v>Notes</v>
      </c>
      <c r="D286" s="7" t="s">
        <v>684</v>
      </c>
      <c r="E286" s="7" t="s">
        <v>685</v>
      </c>
      <c r="F286" s="7" t="s">
        <v>686</v>
      </c>
    </row>
    <row r="287" spans="1:6">
      <c r="A287" s="655">
        <f t="shared" si="12"/>
        <v>1100</v>
      </c>
      <c r="B287" s="446" t="s">
        <v>687</v>
      </c>
      <c r="C287" s="446" t="str">
        <f t="shared" ca="1" si="13"/>
        <v>Notes-Right</v>
      </c>
      <c r="D287" s="446" t="s">
        <v>200</v>
      </c>
      <c r="E287" s="446" t="s">
        <v>201</v>
      </c>
      <c r="F287" s="446" t="s">
        <v>202</v>
      </c>
    </row>
    <row r="288" spans="1:6">
      <c r="A288" s="655">
        <f t="shared" si="12"/>
        <v>1101</v>
      </c>
      <c r="B288" s="446" t="s">
        <v>688</v>
      </c>
      <c r="C288" s="446" t="str">
        <f t="shared" ca="1" si="13"/>
        <v>Notes</v>
      </c>
      <c r="D288" s="446" t="s">
        <v>684</v>
      </c>
      <c r="E288" s="446" t="s">
        <v>685</v>
      </c>
      <c r="F288" s="446" t="s">
        <v>6202</v>
      </c>
    </row>
    <row r="289" spans="1:6">
      <c r="A289" s="655">
        <f t="shared" si="12"/>
        <v>1102</v>
      </c>
      <c r="B289" s="7" t="s">
        <v>689</v>
      </c>
      <c r="C289" s="7" t="str">
        <f t="shared" ca="1" si="13"/>
        <v>Notes</v>
      </c>
      <c r="D289" s="7" t="s">
        <v>684</v>
      </c>
      <c r="E289" s="7" t="s">
        <v>685</v>
      </c>
      <c r="F289" s="7" t="s">
        <v>686</v>
      </c>
    </row>
    <row r="290" spans="1:6">
      <c r="A290" s="655">
        <f t="shared" si="12"/>
        <v>1200</v>
      </c>
      <c r="B290" s="446" t="s">
        <v>690</v>
      </c>
      <c r="C290" s="446" t="str">
        <f t="shared" ca="1" si="13"/>
        <v>Contact-Left</v>
      </c>
      <c r="D290" s="446" t="s">
        <v>53</v>
      </c>
      <c r="E290" s="446" t="s">
        <v>203</v>
      </c>
      <c r="F290" s="446" t="s">
        <v>204</v>
      </c>
    </row>
    <row r="291" spans="1:6">
      <c r="A291" s="655">
        <f t="shared" si="12"/>
        <v>1201</v>
      </c>
      <c r="B291" s="446" t="s">
        <v>691</v>
      </c>
      <c r="C291" s="446" t="str">
        <f t="shared" ca="1" si="13"/>
        <v>Contacts</v>
      </c>
      <c r="D291" s="446" t="s">
        <v>6203</v>
      </c>
      <c r="E291" s="446" t="s">
        <v>6204</v>
      </c>
      <c r="F291" s="446" t="s">
        <v>6205</v>
      </c>
    </row>
    <row r="292" spans="1:6">
      <c r="A292" s="655">
        <f t="shared" si="12"/>
        <v>1202</v>
      </c>
      <c r="B292" s="7" t="s">
        <v>692</v>
      </c>
      <c r="C292" s="7" t="str">
        <f t="shared" ca="1" si="13"/>
        <v>CONTACT</v>
      </c>
      <c r="D292" s="7" t="s">
        <v>693</v>
      </c>
      <c r="E292" s="7" t="s">
        <v>694</v>
      </c>
      <c r="F292" s="7" t="s">
        <v>695</v>
      </c>
    </row>
    <row r="293" spans="1:6">
      <c r="A293" s="655">
        <f t="shared" si="12"/>
        <v>1203</v>
      </c>
      <c r="B293" s="7" t="s">
        <v>696</v>
      </c>
      <c r="C293" s="7" t="str">
        <f t="shared" ca="1" si="13"/>
        <v>Name</v>
      </c>
      <c r="D293" s="7" t="s">
        <v>297</v>
      </c>
      <c r="E293" s="7" t="s">
        <v>298</v>
      </c>
      <c r="F293" s="7" t="s">
        <v>299</v>
      </c>
    </row>
    <row r="294" spans="1:6">
      <c r="A294" s="655">
        <f t="shared" si="12"/>
        <v>1204</v>
      </c>
      <c r="B294" s="7" t="s">
        <v>697</v>
      </c>
      <c r="C294" s="7" t="str">
        <f t="shared" ca="1" si="13"/>
        <v>Address</v>
      </c>
      <c r="D294" s="7" t="s">
        <v>301</v>
      </c>
      <c r="E294" s="7" t="s">
        <v>302</v>
      </c>
      <c r="F294" s="7" t="s">
        <v>303</v>
      </c>
    </row>
    <row r="295" spans="1:6">
      <c r="A295" s="655">
        <f t="shared" si="12"/>
        <v>1205</v>
      </c>
      <c r="B295" s="7" t="s">
        <v>698</v>
      </c>
      <c r="C295" s="7" t="str">
        <f t="shared" ca="1" si="13"/>
        <v>Phone</v>
      </c>
      <c r="D295" s="7" t="s">
        <v>315</v>
      </c>
      <c r="E295" s="7" t="s">
        <v>316</v>
      </c>
      <c r="F295" s="7" t="s">
        <v>699</v>
      </c>
    </row>
    <row r="296" spans="1:6">
      <c r="A296" s="655">
        <f t="shared" si="12"/>
        <v>1206</v>
      </c>
      <c r="B296" s="449" t="s">
        <v>700</v>
      </c>
      <c r="C296" s="449" t="str">
        <f t="shared" ca="1" si="13"/>
        <v>Mobile</v>
      </c>
      <c r="D296" s="449" t="s">
        <v>319</v>
      </c>
      <c r="E296" s="449" t="s">
        <v>320</v>
      </c>
      <c r="F296" s="449" t="s">
        <v>320</v>
      </c>
    </row>
    <row r="297" spans="1:6" s="608" customFormat="1">
      <c r="A297" s="655">
        <f t="shared" si="12"/>
        <v>1207</v>
      </c>
      <c r="B297" s="608" t="s">
        <v>6567</v>
      </c>
      <c r="C297" s="449" t="str">
        <f t="shared" ca="1" si="13"/>
        <v>A B C D</v>
      </c>
      <c r="D297" s="608" t="s">
        <v>55</v>
      </c>
      <c r="E297" s="608" t="s">
        <v>55</v>
      </c>
      <c r="F297" s="608" t="s">
        <v>55</v>
      </c>
    </row>
    <row r="298" spans="1:6" s="608" customFormat="1">
      <c r="A298" s="655">
        <f t="shared" si="12"/>
        <v>1208</v>
      </c>
      <c r="B298" s="608" t="s">
        <v>6568</v>
      </c>
      <c r="C298" s="449" t="str">
        <f t="shared" ca="1" si="13"/>
        <v>I J K L</v>
      </c>
      <c r="D298" s="608" t="s">
        <v>57</v>
      </c>
      <c r="E298" s="608" t="s">
        <v>57</v>
      </c>
      <c r="F298" s="608" t="s">
        <v>57</v>
      </c>
    </row>
    <row r="299" spans="1:6" s="608" customFormat="1">
      <c r="A299" s="655">
        <f t="shared" si="12"/>
        <v>1209</v>
      </c>
      <c r="B299" s="608" t="s">
        <v>6569</v>
      </c>
      <c r="C299" s="449" t="str">
        <f t="shared" ca="1" si="13"/>
        <v>Q R S T U</v>
      </c>
      <c r="D299" s="608" t="s">
        <v>59</v>
      </c>
      <c r="E299" s="608" t="s">
        <v>59</v>
      </c>
      <c r="F299" s="608" t="s">
        <v>59</v>
      </c>
    </row>
    <row r="300" spans="1:6">
      <c r="A300" s="655">
        <f t="shared" si="12"/>
        <v>1300</v>
      </c>
      <c r="B300" s="446" t="s">
        <v>701</v>
      </c>
      <c r="C300" s="446" t="str">
        <f t="shared" ca="1" si="13"/>
        <v>Contact-Right</v>
      </c>
      <c r="D300" s="446" t="s">
        <v>54</v>
      </c>
      <c r="E300" s="446" t="s">
        <v>205</v>
      </c>
      <c r="F300" s="446" t="s">
        <v>206</v>
      </c>
    </row>
    <row r="301" spans="1:6">
      <c r="A301" s="655">
        <f t="shared" si="12"/>
        <v>1301</v>
      </c>
      <c r="B301" s="446" t="s">
        <v>702</v>
      </c>
      <c r="C301" s="446" t="str">
        <f t="shared" ca="1" si="13"/>
        <v>Contacts</v>
      </c>
      <c r="D301" s="446" t="s">
        <v>6203</v>
      </c>
      <c r="E301" s="446" t="s">
        <v>6204</v>
      </c>
      <c r="F301" s="446" t="s">
        <v>6205</v>
      </c>
    </row>
    <row r="302" spans="1:6">
      <c r="A302" s="655">
        <f t="shared" si="12"/>
        <v>1302</v>
      </c>
      <c r="B302" s="7" t="s">
        <v>703</v>
      </c>
      <c r="C302" s="7" t="str">
        <f t="shared" ca="1" si="13"/>
        <v>CONTACT</v>
      </c>
      <c r="D302" s="7" t="s">
        <v>693</v>
      </c>
      <c r="E302" s="7" t="s">
        <v>694</v>
      </c>
      <c r="F302" s="7" t="s">
        <v>695</v>
      </c>
    </row>
    <row r="303" spans="1:6">
      <c r="A303" s="655">
        <f t="shared" si="12"/>
        <v>1303</v>
      </c>
      <c r="B303" s="7" t="s">
        <v>704</v>
      </c>
      <c r="C303" s="7" t="str">
        <f t="shared" ca="1" si="13"/>
        <v>Name</v>
      </c>
      <c r="D303" s="7" t="s">
        <v>297</v>
      </c>
      <c r="E303" s="7" t="s">
        <v>298</v>
      </c>
      <c r="F303" s="7" t="s">
        <v>299</v>
      </c>
    </row>
    <row r="304" spans="1:6">
      <c r="A304" s="655">
        <f t="shared" si="12"/>
        <v>1304</v>
      </c>
      <c r="B304" s="449" t="s">
        <v>705</v>
      </c>
      <c r="C304" s="449" t="str">
        <f t="shared" ca="1" si="13"/>
        <v>Address</v>
      </c>
      <c r="D304" s="449" t="s">
        <v>301</v>
      </c>
      <c r="E304" s="449" t="s">
        <v>388</v>
      </c>
      <c r="F304" s="449" t="s">
        <v>303</v>
      </c>
    </row>
    <row r="305" spans="1:6">
      <c r="A305" s="655">
        <f t="shared" si="12"/>
        <v>1305</v>
      </c>
      <c r="B305" s="7" t="s">
        <v>706</v>
      </c>
      <c r="C305" s="7" t="str">
        <f t="shared" ca="1" si="13"/>
        <v>Phone</v>
      </c>
      <c r="D305" s="7" t="s">
        <v>315</v>
      </c>
      <c r="E305" s="7" t="s">
        <v>316</v>
      </c>
      <c r="F305" s="7" t="s">
        <v>699</v>
      </c>
    </row>
    <row r="306" spans="1:6">
      <c r="A306" s="655">
        <f t="shared" si="12"/>
        <v>1306</v>
      </c>
      <c r="B306" s="7" t="s">
        <v>707</v>
      </c>
      <c r="C306" s="7" t="str">
        <f t="shared" ca="1" si="13"/>
        <v>Mobile</v>
      </c>
      <c r="D306" s="7" t="s">
        <v>319</v>
      </c>
      <c r="E306" s="7" t="s">
        <v>320</v>
      </c>
      <c r="F306" s="7" t="s">
        <v>320</v>
      </c>
    </row>
    <row r="307" spans="1:6" s="608" customFormat="1">
      <c r="A307" s="655">
        <f t="shared" si="12"/>
        <v>1307</v>
      </c>
      <c r="B307" s="608" t="s">
        <v>6570</v>
      </c>
      <c r="C307" s="608" t="str">
        <f t="shared" ca="1" si="13"/>
        <v>E F G H</v>
      </c>
      <c r="D307" s="608" t="s">
        <v>56</v>
      </c>
      <c r="E307" s="608" t="s">
        <v>56</v>
      </c>
      <c r="F307" s="608" t="s">
        <v>56</v>
      </c>
    </row>
    <row r="308" spans="1:6" s="608" customFormat="1">
      <c r="A308" s="655">
        <f t="shared" si="12"/>
        <v>1308</v>
      </c>
      <c r="B308" s="608" t="s">
        <v>6571</v>
      </c>
      <c r="C308" s="608" t="str">
        <f t="shared" ca="1" si="13"/>
        <v>M N O P</v>
      </c>
      <c r="D308" s="608" t="s">
        <v>58</v>
      </c>
      <c r="E308" s="608" t="s">
        <v>58</v>
      </c>
      <c r="F308" s="608" t="s">
        <v>58</v>
      </c>
    </row>
    <row r="309" spans="1:6" s="608" customFormat="1">
      <c r="A309" s="655">
        <f t="shared" si="12"/>
        <v>1309</v>
      </c>
      <c r="B309" s="608" t="s">
        <v>6572</v>
      </c>
      <c r="C309" s="608" t="str">
        <f t="shared" ca="1" si="13"/>
        <v>V W X Y Z</v>
      </c>
      <c r="D309" s="608" t="s">
        <v>60</v>
      </c>
      <c r="E309" s="608" t="s">
        <v>60</v>
      </c>
      <c r="F309" s="608" t="s">
        <v>60</v>
      </c>
    </row>
    <row r="310" spans="1:6">
      <c r="A310" s="655">
        <f t="shared" si="12"/>
        <v>1400</v>
      </c>
      <c r="B310" s="446" t="s">
        <v>708</v>
      </c>
      <c r="C310" s="446" t="str">
        <f t="shared" ca="1" si="13"/>
        <v>Quotes</v>
      </c>
      <c r="D310" s="446" t="s">
        <v>207</v>
      </c>
      <c r="E310" s="446" t="s">
        <v>208</v>
      </c>
      <c r="F310" s="446" t="s">
        <v>209</v>
      </c>
    </row>
    <row r="311" spans="1:6">
      <c r="A311" s="655">
        <f t="shared" si="12"/>
        <v>1401</v>
      </c>
      <c r="B311" s="446" t="s">
        <v>709</v>
      </c>
      <c r="C311" s="446" t="str">
        <f t="shared" ca="1" si="13"/>
        <v>Quotes</v>
      </c>
      <c r="D311" s="446" t="s">
        <v>207</v>
      </c>
      <c r="E311" s="446" t="s">
        <v>208</v>
      </c>
      <c r="F311" s="446" t="s">
        <v>710</v>
      </c>
    </row>
    <row r="312" spans="1:6">
      <c r="A312" s="655">
        <f t="shared" si="12"/>
        <v>1402</v>
      </c>
      <c r="B312" s="7" t="s">
        <v>711</v>
      </c>
      <c r="C312" s="7" t="str">
        <f t="shared" ca="1" si="13"/>
        <v>Quo-tes</v>
      </c>
      <c r="D312" s="7" t="s">
        <v>712</v>
      </c>
      <c r="E312" s="7" t="s">
        <v>713</v>
      </c>
      <c r="F312" s="7" t="s">
        <v>714</v>
      </c>
    </row>
    <row r="313" spans="1:6">
      <c r="A313" s="655">
        <f t="shared" si="12"/>
        <v>1403</v>
      </c>
      <c r="B313" s="446" t="s">
        <v>6051</v>
      </c>
      <c r="C313" s="446" t="str">
        <f t="shared" ca="1" si="13"/>
        <v>Translation</v>
      </c>
      <c r="D313" s="446" t="s">
        <v>6052</v>
      </c>
      <c r="E313" s="446" t="s">
        <v>6053</v>
      </c>
      <c r="F313" s="446" t="s">
        <v>6053</v>
      </c>
    </row>
    <row r="314" spans="1:6">
      <c r="A314" s="655">
        <f t="shared" si="12"/>
        <v>1500</v>
      </c>
      <c r="B314" s="446" t="s">
        <v>913</v>
      </c>
      <c r="C314" s="446" t="str">
        <f t="shared" ca="1" si="13"/>
        <v>Meeting</v>
      </c>
      <c r="D314" s="446" t="s">
        <v>914</v>
      </c>
      <c r="E314" s="446" t="s">
        <v>912</v>
      </c>
      <c r="F314" s="446" t="s">
        <v>906</v>
      </c>
    </row>
    <row r="315" spans="1:6">
      <c r="A315" s="655">
        <f t="shared" si="12"/>
        <v>1501</v>
      </c>
      <c r="B315" s="446" t="s">
        <v>915</v>
      </c>
      <c r="C315" s="446" t="str">
        <f t="shared" ca="1" si="13"/>
        <v>Meeting</v>
      </c>
      <c r="D315" s="446" t="s">
        <v>914</v>
      </c>
      <c r="E315" s="446" t="s">
        <v>720</v>
      </c>
      <c r="F315" s="446" t="s">
        <v>917</v>
      </c>
    </row>
    <row r="316" spans="1:6">
      <c r="A316" s="655">
        <f t="shared" si="12"/>
        <v>1502</v>
      </c>
      <c r="B316" s="7" t="s">
        <v>916</v>
      </c>
      <c r="C316" s="7" t="str">
        <f t="shared" ca="1" si="13"/>
        <v>Meeting</v>
      </c>
      <c r="D316" s="7" t="s">
        <v>914</v>
      </c>
      <c r="E316" s="7" t="s">
        <v>918</v>
      </c>
      <c r="F316" s="7" t="s">
        <v>898</v>
      </c>
    </row>
    <row r="317" spans="1:6">
      <c r="A317" s="655">
        <f t="shared" si="12"/>
        <v>1503</v>
      </c>
      <c r="B317" s="7" t="s">
        <v>920</v>
      </c>
      <c r="C317" s="7" t="str">
        <f t="shared" ca="1" si="13"/>
        <v>Meeting Name:</v>
      </c>
      <c r="D317" s="7" t="s">
        <v>921</v>
      </c>
      <c r="E317" s="7" t="s">
        <v>929</v>
      </c>
      <c r="F317" s="7" t="s">
        <v>919</v>
      </c>
    </row>
    <row r="318" spans="1:6">
      <c r="A318" s="655">
        <f t="shared" si="12"/>
        <v>1504</v>
      </c>
      <c r="B318" s="7" t="s">
        <v>938</v>
      </c>
      <c r="C318" s="7" t="str">
        <f t="shared" ca="1" si="13"/>
        <v>Local:</v>
      </c>
      <c r="D318" s="7" t="s">
        <v>897</v>
      </c>
      <c r="E318" s="7" t="s">
        <v>930</v>
      </c>
      <c r="F318" s="7" t="s">
        <v>897</v>
      </c>
    </row>
    <row r="319" spans="1:6">
      <c r="A319" s="655">
        <f t="shared" si="12"/>
        <v>1505</v>
      </c>
      <c r="B319" s="7" t="s">
        <v>939</v>
      </c>
      <c r="C319" s="7" t="str">
        <f t="shared" ref="C319:C341" ca="1" si="14">OFFSET(C319,0,$C$1)</f>
        <v>Date:</v>
      </c>
      <c r="D319" s="7" t="s">
        <v>922</v>
      </c>
      <c r="E319" s="7" t="s">
        <v>931</v>
      </c>
      <c r="F319" s="7" t="s">
        <v>896</v>
      </c>
    </row>
    <row r="320" spans="1:6">
      <c r="A320" s="655">
        <f t="shared" si="12"/>
        <v>1506</v>
      </c>
      <c r="B320" s="7" t="s">
        <v>940</v>
      </c>
      <c r="C320" s="7" t="str">
        <f t="shared" ca="1" si="14"/>
        <v>Hour:</v>
      </c>
      <c r="D320" s="7" t="s">
        <v>923</v>
      </c>
      <c r="E320" s="7" t="s">
        <v>932</v>
      </c>
      <c r="F320" s="7" t="s">
        <v>902</v>
      </c>
    </row>
    <row r="321" spans="1:6">
      <c r="A321" s="655">
        <f t="shared" si="12"/>
        <v>1507</v>
      </c>
      <c r="B321" s="7" t="s">
        <v>941</v>
      </c>
      <c r="C321" s="7" t="str">
        <f t="shared" ca="1" si="14"/>
        <v>Participants:</v>
      </c>
      <c r="D321" s="7" t="s">
        <v>924</v>
      </c>
      <c r="E321" s="7" t="s">
        <v>895</v>
      </c>
      <c r="F321" s="7" t="s">
        <v>895</v>
      </c>
    </row>
    <row r="322" spans="1:6">
      <c r="A322" s="655">
        <f t="shared" si="12"/>
        <v>1508</v>
      </c>
      <c r="B322" s="7" t="s">
        <v>942</v>
      </c>
      <c r="C322" s="7" t="str">
        <f t="shared" ca="1" si="14"/>
        <v>Calendar items</v>
      </c>
      <c r="D322" s="7" t="s">
        <v>925</v>
      </c>
      <c r="E322" s="7" t="s">
        <v>933</v>
      </c>
      <c r="F322" s="7" t="s">
        <v>894</v>
      </c>
    </row>
    <row r="323" spans="1:6">
      <c r="A323" s="655">
        <f t="shared" si="12"/>
        <v>1509</v>
      </c>
      <c r="B323" s="7" t="s">
        <v>943</v>
      </c>
      <c r="C323" s="7" t="str">
        <f t="shared" ca="1" si="14"/>
        <v>Action Items</v>
      </c>
      <c r="D323" s="7" t="s">
        <v>926</v>
      </c>
      <c r="E323" s="7" t="s">
        <v>934</v>
      </c>
      <c r="F323" s="7" t="s">
        <v>899</v>
      </c>
    </row>
    <row r="324" spans="1:6">
      <c r="A324" s="655">
        <f t="shared" si="12"/>
        <v>1510</v>
      </c>
      <c r="B324" s="7" t="s">
        <v>944</v>
      </c>
      <c r="C324" s="7" t="str">
        <f t="shared" ca="1" si="14"/>
        <v>Owner (s)</v>
      </c>
      <c r="D324" s="7" t="s">
        <v>927</v>
      </c>
      <c r="E324" s="7" t="s">
        <v>935</v>
      </c>
      <c r="F324" s="7" t="s">
        <v>900</v>
      </c>
    </row>
    <row r="325" spans="1:6">
      <c r="A325" s="655">
        <f t="shared" si="12"/>
        <v>1511</v>
      </c>
      <c r="B325" s="7" t="s">
        <v>945</v>
      </c>
      <c r="C325" s="7" t="str">
        <f t="shared" ca="1" si="14"/>
        <v>Deadline</v>
      </c>
      <c r="D325" s="7" t="s">
        <v>928</v>
      </c>
      <c r="E325" s="7" t="s">
        <v>936</v>
      </c>
      <c r="F325" s="7" t="s">
        <v>903</v>
      </c>
    </row>
    <row r="326" spans="1:6">
      <c r="A326" s="655">
        <f t="shared" si="12"/>
        <v>1512</v>
      </c>
      <c r="B326" s="7" t="s">
        <v>946</v>
      </c>
      <c r="C326" s="7" t="str">
        <f t="shared" ca="1" si="14"/>
        <v>Status</v>
      </c>
      <c r="D326" s="7" t="s">
        <v>901</v>
      </c>
      <c r="E326" s="7" t="s">
        <v>937</v>
      </c>
      <c r="F326" s="7" t="s">
        <v>901</v>
      </c>
    </row>
    <row r="327" spans="1:6">
      <c r="A327" s="655">
        <f t="shared" si="12"/>
        <v>1600</v>
      </c>
      <c r="B327" s="446" t="s">
        <v>1035</v>
      </c>
      <c r="C327" s="446">
        <f t="shared" ca="1" si="14"/>
        <v>0</v>
      </c>
      <c r="D327" s="446"/>
      <c r="E327" s="446"/>
      <c r="F327" s="446"/>
    </row>
    <row r="328" spans="1:6">
      <c r="A328" s="655">
        <f t="shared" si="12"/>
        <v>1601</v>
      </c>
      <c r="B328" s="7" t="s">
        <v>1036</v>
      </c>
      <c r="C328" s="7" t="str">
        <f t="shared" ca="1" si="14"/>
        <v>New M.</v>
      </c>
      <c r="D328" s="7" t="s">
        <v>110</v>
      </c>
      <c r="E328" s="7" t="s">
        <v>111</v>
      </c>
      <c r="F328" s="7" t="s">
        <v>112</v>
      </c>
    </row>
    <row r="329" spans="1:6">
      <c r="A329" s="655">
        <f t="shared" si="12"/>
        <v>1602</v>
      </c>
      <c r="B329" s="7" t="s">
        <v>1037</v>
      </c>
      <c r="C329" s="7" t="str">
        <f t="shared" ca="1" si="14"/>
        <v>First Q.</v>
      </c>
      <c r="D329" s="7" t="s">
        <v>113</v>
      </c>
      <c r="E329" s="7" t="s">
        <v>114</v>
      </c>
      <c r="F329" s="7" t="s">
        <v>115</v>
      </c>
    </row>
    <row r="330" spans="1:6">
      <c r="A330" s="655">
        <f t="shared" si="12"/>
        <v>1603</v>
      </c>
      <c r="B330" s="7" t="s">
        <v>1038</v>
      </c>
      <c r="C330" s="7" t="str">
        <f t="shared" ca="1" si="14"/>
        <v>Full M.</v>
      </c>
      <c r="D330" s="7" t="s">
        <v>116</v>
      </c>
      <c r="E330" s="7" t="s">
        <v>117</v>
      </c>
      <c r="F330" s="7" t="s">
        <v>118</v>
      </c>
    </row>
    <row r="331" spans="1:6">
      <c r="A331" s="655">
        <f t="shared" si="12"/>
        <v>1604</v>
      </c>
      <c r="B331" s="7" t="s">
        <v>1039</v>
      </c>
      <c r="C331" s="7" t="str">
        <f t="shared" ca="1" si="14"/>
        <v>Last Q.</v>
      </c>
      <c r="D331" s="7" t="s">
        <v>119</v>
      </c>
      <c r="E331" s="7" t="s">
        <v>120</v>
      </c>
      <c r="F331" s="7" t="s">
        <v>121</v>
      </c>
    </row>
    <row r="332" spans="1:6">
      <c r="A332" s="655">
        <f t="shared" ref="A332:A361" si="15">IF(RIGHT(B332,8)="_section",(INT(A331/100)+1)*100,A331+1)</f>
        <v>1700</v>
      </c>
      <c r="B332" s="446" t="s">
        <v>1040</v>
      </c>
      <c r="C332" s="446">
        <f t="shared" ca="1" si="14"/>
        <v>0</v>
      </c>
      <c r="D332" s="446"/>
      <c r="E332" s="446"/>
      <c r="F332" s="446"/>
    </row>
    <row r="333" spans="1:6">
      <c r="A333" s="655">
        <f t="shared" si="15"/>
        <v>1701</v>
      </c>
      <c r="B333" s="7" t="s">
        <v>1041</v>
      </c>
      <c r="C333" s="7" t="str">
        <f t="shared" ca="1" si="14"/>
        <v>: :</v>
      </c>
      <c r="D333" s="371" t="s">
        <v>122</v>
      </c>
      <c r="E333" s="371" t="s">
        <v>122</v>
      </c>
      <c r="F333" s="371" t="s">
        <v>122</v>
      </c>
    </row>
    <row r="334" spans="1:6">
      <c r="A334" s="655">
        <f t="shared" si="15"/>
        <v>1702</v>
      </c>
      <c r="B334" s="7" t="s">
        <v>1042</v>
      </c>
      <c r="C334" s="7" t="str">
        <f t="shared" ca="1" si="14"/>
        <v>(</v>
      </c>
      <c r="D334" s="371" t="str">
        <f>IF(Options!$W$21&lt;0,")","(")</f>
        <v>(</v>
      </c>
      <c r="E334" s="371" t="str">
        <f>IF(Options!$W$21&lt;0,")","(")</f>
        <v>(</v>
      </c>
      <c r="F334" s="371" t="str">
        <f>IF(Options!$W$21&lt;0,")","(")</f>
        <v>(</v>
      </c>
    </row>
    <row r="335" spans="1:6">
      <c r="A335" s="655">
        <f t="shared" si="15"/>
        <v>1703</v>
      </c>
      <c r="B335" s="7" t="s">
        <v>1043</v>
      </c>
      <c r="C335" s="7" t="str">
        <f t="shared" ca="1" si="14"/>
        <v>O</v>
      </c>
      <c r="D335" s="371" t="s">
        <v>83</v>
      </c>
      <c r="E335" s="371" t="s">
        <v>83</v>
      </c>
      <c r="F335" s="371" t="s">
        <v>83</v>
      </c>
    </row>
    <row r="336" spans="1:6">
      <c r="A336" s="655">
        <f t="shared" si="15"/>
        <v>1704</v>
      </c>
      <c r="B336" s="7" t="s">
        <v>1044</v>
      </c>
      <c r="C336" s="7" t="str">
        <f t="shared" ca="1" si="14"/>
        <v>)</v>
      </c>
      <c r="D336" s="371" t="str">
        <f>IF(Options!$W$21&lt;0,"(",")")</f>
        <v>)</v>
      </c>
      <c r="E336" s="371" t="str">
        <f>IF(Options!$W$21&lt;0,"(",")")</f>
        <v>)</v>
      </c>
      <c r="F336" s="371" t="str">
        <f>IF(Options!$W$21&lt;0,"(",")")</f>
        <v>)</v>
      </c>
    </row>
    <row r="337" spans="1:6">
      <c r="A337" s="655">
        <f t="shared" si="15"/>
        <v>1800</v>
      </c>
      <c r="B337" s="446" t="s">
        <v>1045</v>
      </c>
      <c r="C337" s="446">
        <f t="shared" ca="1" si="14"/>
        <v>0</v>
      </c>
      <c r="D337" s="446"/>
      <c r="E337" s="446"/>
      <c r="F337" s="446"/>
    </row>
    <row r="338" spans="1:6">
      <c r="A338" s="655">
        <f t="shared" si="15"/>
        <v>1801</v>
      </c>
      <c r="B338" s="453" t="s">
        <v>1046</v>
      </c>
      <c r="C338" s="370" t="str">
        <f t="shared" ca="1" si="14"/>
        <v></v>
      </c>
      <c r="D338" s="370" t="s">
        <v>887</v>
      </c>
      <c r="E338" s="370" t="s">
        <v>887</v>
      </c>
      <c r="F338" s="370" t="s">
        <v>887</v>
      </c>
    </row>
    <row r="339" spans="1:6">
      <c r="A339" s="655">
        <f t="shared" si="15"/>
        <v>1802</v>
      </c>
      <c r="B339" s="453" t="s">
        <v>1047</v>
      </c>
      <c r="C339" s="370" t="str">
        <f t="shared" ca="1" si="14"/>
        <v></v>
      </c>
      <c r="D339" s="370" t="s">
        <v>886</v>
      </c>
      <c r="E339" s="370" t="s">
        <v>886</v>
      </c>
      <c r="F339" s="370" t="s">
        <v>886</v>
      </c>
    </row>
    <row r="340" spans="1:6">
      <c r="A340" s="655">
        <f t="shared" si="15"/>
        <v>1803</v>
      </c>
      <c r="B340" s="453" t="s">
        <v>1048</v>
      </c>
      <c r="C340" s="370" t="str">
        <f t="shared" ca="1" si="14"/>
        <v></v>
      </c>
      <c r="D340" s="370" t="s">
        <v>884</v>
      </c>
      <c r="E340" s="370" t="s">
        <v>884</v>
      </c>
      <c r="F340" s="370" t="s">
        <v>884</v>
      </c>
    </row>
    <row r="341" spans="1:6">
      <c r="A341" s="655">
        <f t="shared" si="15"/>
        <v>1804</v>
      </c>
      <c r="B341" s="453" t="s">
        <v>1049</v>
      </c>
      <c r="C341" s="370" t="str">
        <f t="shared" ca="1" si="14"/>
        <v></v>
      </c>
      <c r="D341" s="370" t="s">
        <v>885</v>
      </c>
      <c r="E341" s="370" t="s">
        <v>885</v>
      </c>
      <c r="F341" s="370" t="s">
        <v>885</v>
      </c>
    </row>
    <row r="342" spans="1:6">
      <c r="A342" s="655">
        <f t="shared" si="15"/>
        <v>1900</v>
      </c>
      <c r="B342" s="447" t="s">
        <v>231</v>
      </c>
      <c r="C342" s="447" t="str">
        <f ca="1">OFFSET(C342,0,$C$1)</f>
        <v>Dedication</v>
      </c>
      <c r="D342" s="447" t="s">
        <v>232</v>
      </c>
      <c r="E342" s="447" t="s">
        <v>233</v>
      </c>
      <c r="F342" s="447" t="s">
        <v>234</v>
      </c>
    </row>
    <row r="343" spans="1:6">
      <c r="A343" s="655">
        <f t="shared" si="15"/>
        <v>1901</v>
      </c>
      <c r="B343" s="447" t="s">
        <v>235</v>
      </c>
      <c r="C343" s="447" t="str">
        <f t="shared" ref="C343:C361" ca="1" si="16">OFFSET(C343,0,$C$1)</f>
        <v>Dedication</v>
      </c>
      <c r="D343" s="447" t="s">
        <v>232</v>
      </c>
      <c r="E343" s="447" t="s">
        <v>236</v>
      </c>
      <c r="F343" s="447" t="s">
        <v>237</v>
      </c>
    </row>
    <row r="344" spans="1:6">
      <c r="A344" s="655">
        <f t="shared" si="15"/>
        <v>1902</v>
      </c>
      <c r="B344" s="447" t="s">
        <v>238</v>
      </c>
      <c r="C344" s="447" t="str">
        <f t="shared" ca="1" si="16"/>
        <v>VAISHNAVA PLANNER GPLAN</v>
      </c>
      <c r="D344" s="447" t="s">
        <v>137</v>
      </c>
      <c r="E344" s="447" t="s">
        <v>138</v>
      </c>
      <c r="F344" s="447" t="s">
        <v>138</v>
      </c>
    </row>
    <row r="345" spans="1:6">
      <c r="A345" s="655">
        <f t="shared" si="15"/>
        <v>1903</v>
      </c>
      <c r="B345" s="447" t="s">
        <v>239</v>
      </c>
      <c r="C345" s="447" t="str">
        <f t="shared" ca="1" si="16"/>
        <v>Dedication</v>
      </c>
      <c r="D345" s="447" t="s">
        <v>232</v>
      </c>
      <c r="E345" s="447" t="s">
        <v>233</v>
      </c>
      <c r="F345" s="447" t="s">
        <v>234</v>
      </c>
    </row>
    <row r="346" spans="1:6">
      <c r="A346" s="655">
        <f t="shared" si="15"/>
        <v>1904</v>
      </c>
      <c r="B346" s="447" t="s">
        <v>240</v>
      </c>
      <c r="C346" s="447" t="str">
        <f t="shared" ca="1" si="16"/>
        <v>I dedicate this work to all the servants of the Lord, especially the Vaishnava devotees, of which the most dear is  to my initiating spiritual master, His Holiness Hridayananda Dasa Goswami Maharaj (1), one afternoon in May 1991 kindly accepted me as his disciple, and without the aid of which remain shrouded in the darkness of material consciousness, in search of false hopes brought about by selfish philosophies and practices.</v>
      </c>
      <c r="D346" s="447" t="s">
        <v>241</v>
      </c>
      <c r="E346" s="447" t="s">
        <v>242</v>
      </c>
      <c r="F346" s="447" t="s">
        <v>243</v>
      </c>
    </row>
    <row r="347" spans="1:6">
      <c r="A347" s="655">
        <f t="shared" si="15"/>
        <v>1905</v>
      </c>
      <c r="B347" s="447" t="s">
        <v>244</v>
      </c>
      <c r="C347" s="447" t="str">
        <f t="shared" ca="1" si="16"/>
        <v>Gopala Dasa Adhikari</v>
      </c>
      <c r="D347" s="447" t="s">
        <v>245</v>
      </c>
      <c r="E347" s="447" t="s">
        <v>245</v>
      </c>
      <c r="F347" s="447" t="s">
        <v>245</v>
      </c>
    </row>
    <row r="348" spans="1:6">
      <c r="A348" s="655">
        <f t="shared" si="15"/>
        <v>1906</v>
      </c>
      <c r="B348" s="447" t="s">
        <v>246</v>
      </c>
      <c r="C348" s="447" t="str">
        <f t="shared" ca="1" si="16"/>
        <v>(Paulo Sergio de Araujo)</v>
      </c>
      <c r="D348" s="447" t="s">
        <v>247</v>
      </c>
      <c r="E348" s="447" t="s">
        <v>247</v>
      </c>
      <c r="F348" s="447" t="s">
        <v>247</v>
      </c>
    </row>
    <row r="349" spans="1:6">
      <c r="A349" s="655">
        <f t="shared" si="15"/>
        <v>1907</v>
      </c>
      <c r="B349" s="447" t="s">
        <v>248</v>
      </c>
      <c r="C349" s="447" t="str">
        <f t="shared" ca="1" si="16"/>
        <v>Note 1:</v>
      </c>
      <c r="D349" s="447" t="s">
        <v>249</v>
      </c>
      <c r="E349" s="447" t="s">
        <v>250</v>
      </c>
      <c r="F349" s="447" t="s">
        <v>250</v>
      </c>
    </row>
    <row r="350" spans="1:6">
      <c r="A350" s="655">
        <f t="shared" si="15"/>
        <v>1908</v>
      </c>
      <c r="B350" s="447" t="s">
        <v>251</v>
      </c>
      <c r="C350" s="447" t="str">
        <f t="shared" ca="1" si="16"/>
        <v>SS Hridayananda dasa Goswami Maharaj (Dr. Howard J. Resnick), is one of the most prominent spiritual leaders of the International Society of Krishna Consciousness - ISKCON.</v>
      </c>
      <c r="D350" s="447" t="s">
        <v>252</v>
      </c>
      <c r="E350" s="447" t="s">
        <v>253</v>
      </c>
      <c r="F350" s="447" t="s">
        <v>254</v>
      </c>
    </row>
    <row r="351" spans="1:6">
      <c r="A351" s="655">
        <f t="shared" si="15"/>
        <v>2000</v>
      </c>
      <c r="B351" s="450" t="s">
        <v>255</v>
      </c>
      <c r="C351" s="450" t="str">
        <f t="shared" ca="1" si="16"/>
        <v>Acknowledgements</v>
      </c>
      <c r="D351" s="450" t="s">
        <v>256</v>
      </c>
      <c r="E351" s="450" t="s">
        <v>257</v>
      </c>
      <c r="F351" s="450" t="s">
        <v>258</v>
      </c>
    </row>
    <row r="352" spans="1:6">
      <c r="A352" s="655">
        <f t="shared" si="15"/>
        <v>2001</v>
      </c>
      <c r="B352" s="450" t="s">
        <v>259</v>
      </c>
      <c r="C352" s="450" t="str">
        <f t="shared" ca="1" si="16"/>
        <v>Acknowledgements</v>
      </c>
      <c r="D352" s="450" t="s">
        <v>256</v>
      </c>
      <c r="E352" s="450" t="s">
        <v>257</v>
      </c>
      <c r="F352" s="450" t="s">
        <v>258</v>
      </c>
    </row>
    <row r="353" spans="1:6">
      <c r="A353" s="655">
        <f t="shared" si="15"/>
        <v>2002</v>
      </c>
      <c r="B353" s="450" t="s">
        <v>260</v>
      </c>
      <c r="C353" s="450" t="str">
        <f t="shared" ca="1" si="16"/>
        <v>Acknowledgements</v>
      </c>
      <c r="D353" s="450" t="s">
        <v>256</v>
      </c>
      <c r="E353" s="450" t="s">
        <v>257</v>
      </c>
      <c r="F353" s="450" t="s">
        <v>258</v>
      </c>
    </row>
    <row r="354" spans="1:6">
      <c r="A354" s="655">
        <f t="shared" si="15"/>
        <v>2100</v>
      </c>
      <c r="B354" s="446" t="s">
        <v>261</v>
      </c>
      <c r="C354" s="446" t="str">
        <f t="shared" ca="1" si="16"/>
        <v>Apresentation</v>
      </c>
      <c r="D354" s="446" t="s">
        <v>262</v>
      </c>
      <c r="E354" s="446" t="s">
        <v>263</v>
      </c>
      <c r="F354" s="446" t="s">
        <v>264</v>
      </c>
    </row>
    <row r="355" spans="1:6">
      <c r="A355" s="655">
        <f t="shared" si="15"/>
        <v>2101</v>
      </c>
      <c r="B355" s="449" t="s">
        <v>265</v>
      </c>
      <c r="C355" s="449" t="str">
        <f t="shared" ca="1" si="16"/>
        <v>Apresentation</v>
      </c>
      <c r="D355" s="449" t="s">
        <v>262</v>
      </c>
      <c r="E355" s="449" t="s">
        <v>263</v>
      </c>
      <c r="F355" s="449" t="s">
        <v>266</v>
      </c>
    </row>
    <row r="356" spans="1:6">
      <c r="A356" s="655">
        <f t="shared" si="15"/>
        <v>2102</v>
      </c>
      <c r="B356" s="449" t="s">
        <v>267</v>
      </c>
      <c r="C356" s="449" t="str">
        <f t="shared" ca="1" si="16"/>
        <v>Apresentation</v>
      </c>
      <c r="D356" s="449" t="s">
        <v>262</v>
      </c>
      <c r="E356" s="449" t="s">
        <v>263</v>
      </c>
      <c r="F356" s="449" t="s">
        <v>264</v>
      </c>
    </row>
    <row r="357" spans="1:6">
      <c r="A357" s="655">
        <f t="shared" si="15"/>
        <v>2103</v>
      </c>
      <c r="B357" s="448" t="s">
        <v>268</v>
      </c>
      <c r="C357" s="448" t="str">
        <f t="shared" ca="1" si="16"/>
        <v>Apresentation 1</v>
      </c>
      <c r="D357" s="448" t="s">
        <v>269</v>
      </c>
      <c r="E357" s="448" t="s">
        <v>270</v>
      </c>
      <c r="F357" s="448" t="s">
        <v>271</v>
      </c>
    </row>
    <row r="358" spans="1:6">
      <c r="A358" s="655">
        <f t="shared" si="15"/>
        <v>2104</v>
      </c>
      <c r="B358" s="448" t="s">
        <v>272</v>
      </c>
      <c r="C358" s="448" t="str">
        <f t="shared" ca="1" si="16"/>
        <v>Apresentation 2</v>
      </c>
      <c r="D358" s="448" t="s">
        <v>273</v>
      </c>
      <c r="E358" s="448" t="s">
        <v>274</v>
      </c>
      <c r="F358" s="448" t="s">
        <v>275</v>
      </c>
    </row>
    <row r="359" spans="1:6">
      <c r="A359" s="655">
        <f t="shared" si="15"/>
        <v>2200</v>
      </c>
      <c r="B359" s="447" t="s">
        <v>276</v>
      </c>
      <c r="C359" s="447" t="str">
        <f t="shared" ca="1" si="16"/>
        <v>What Using</v>
      </c>
      <c r="D359" s="447" t="s">
        <v>277</v>
      </c>
      <c r="E359" s="447" t="s">
        <v>278</v>
      </c>
      <c r="F359" s="447" t="s">
        <v>279</v>
      </c>
    </row>
    <row r="360" spans="1:6">
      <c r="A360" s="655">
        <f t="shared" si="15"/>
        <v>2201</v>
      </c>
      <c r="B360" s="447" t="s">
        <v>280</v>
      </c>
      <c r="C360" s="447" t="str">
        <f t="shared" ca="1" si="16"/>
        <v>What Using</v>
      </c>
      <c r="D360" s="447" t="s">
        <v>277</v>
      </c>
      <c r="E360" s="447" t="s">
        <v>278</v>
      </c>
      <c r="F360" s="447" t="s">
        <v>279</v>
      </c>
    </row>
    <row r="361" spans="1:6">
      <c r="A361" s="655">
        <f t="shared" si="15"/>
        <v>2202</v>
      </c>
      <c r="B361" s="447" t="s">
        <v>281</v>
      </c>
      <c r="C361" s="447" t="str">
        <f t="shared" ca="1" si="16"/>
        <v>What Using</v>
      </c>
      <c r="D361" s="447" t="s">
        <v>277</v>
      </c>
      <c r="E361" s="447" t="s">
        <v>278</v>
      </c>
      <c r="F361" s="447" t="s">
        <v>279</v>
      </c>
    </row>
  </sheetData>
  <sortState ref="B244:F288">
    <sortCondition ref="B244"/>
  </sortState>
  <pageMargins left="0.511811024" right="0.511811024" top="0.78740157499999996" bottom="0.78740157499999996" header="0.31496062000000002" footer="0.31496062000000002"/>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ksCities"/>
  <dimension ref="A1:B2388"/>
  <sheetViews>
    <sheetView workbookViewId="0">
      <pane ySplit="1" topLeftCell="A2" activePane="bottomLeft" state="frozen"/>
      <selection pane="bottomLeft"/>
    </sheetView>
  </sheetViews>
  <sheetFormatPr defaultRowHeight="12.75"/>
  <cols>
    <col min="1" max="1" width="7.5703125" style="7" bestFit="1" customWidth="1"/>
    <col min="2" max="2" width="90.140625" style="7" bestFit="1" customWidth="1"/>
    <col min="3" max="16384" width="9.140625" style="7"/>
  </cols>
  <sheetData>
    <row r="1" spans="1:2">
      <c r="A1" s="15" t="s">
        <v>718</v>
      </c>
      <c r="B1" s="15" t="s">
        <v>719</v>
      </c>
    </row>
    <row r="2" spans="1:2">
      <c r="A2" s="7" t="s">
        <v>3635</v>
      </c>
      <c r="B2" s="7" t="s">
        <v>1248</v>
      </c>
    </row>
    <row r="3" spans="1:2">
      <c r="A3" s="7" t="s">
        <v>3636</v>
      </c>
      <c r="B3" s="7" t="s">
        <v>1249</v>
      </c>
    </row>
    <row r="4" spans="1:2">
      <c r="A4" s="7" t="s">
        <v>3637</v>
      </c>
      <c r="B4" s="7" t="s">
        <v>1250</v>
      </c>
    </row>
    <row r="5" spans="1:2">
      <c r="A5" s="7" t="s">
        <v>3638</v>
      </c>
      <c r="B5" s="7" t="s">
        <v>1251</v>
      </c>
    </row>
    <row r="6" spans="1:2">
      <c r="A6" s="7" t="s">
        <v>3639</v>
      </c>
      <c r="B6" s="7" t="s">
        <v>1252</v>
      </c>
    </row>
    <row r="7" spans="1:2">
      <c r="A7" s="7" t="s">
        <v>3640</v>
      </c>
      <c r="B7" s="7" t="s">
        <v>1253</v>
      </c>
    </row>
    <row r="8" spans="1:2">
      <c r="A8" s="7" t="s">
        <v>3641</v>
      </c>
      <c r="B8" s="7" t="s">
        <v>1254</v>
      </c>
    </row>
    <row r="9" spans="1:2">
      <c r="A9" s="7" t="s">
        <v>3642</v>
      </c>
      <c r="B9" s="7" t="s">
        <v>1255</v>
      </c>
    </row>
    <row r="10" spans="1:2">
      <c r="A10" s="7" t="s">
        <v>3643</v>
      </c>
      <c r="B10" s="7" t="s">
        <v>1256</v>
      </c>
    </row>
    <row r="11" spans="1:2">
      <c r="A11" s="7" t="s">
        <v>3644</v>
      </c>
      <c r="B11" s="7" t="s">
        <v>1257</v>
      </c>
    </row>
    <row r="12" spans="1:2">
      <c r="A12" s="7" t="s">
        <v>3645</v>
      </c>
      <c r="B12" s="7" t="s">
        <v>1258</v>
      </c>
    </row>
    <row r="13" spans="1:2">
      <c r="A13" s="7" t="s">
        <v>3646</v>
      </c>
      <c r="B13" s="7" t="s">
        <v>1259</v>
      </c>
    </row>
    <row r="14" spans="1:2">
      <c r="A14" s="7" t="s">
        <v>3647</v>
      </c>
      <c r="B14" s="7" t="s">
        <v>1260</v>
      </c>
    </row>
    <row r="15" spans="1:2">
      <c r="A15" s="7" t="s">
        <v>3648</v>
      </c>
      <c r="B15" s="7" t="s">
        <v>1261</v>
      </c>
    </row>
    <row r="16" spans="1:2">
      <c r="A16" s="7" t="s">
        <v>3649</v>
      </c>
      <c r="B16" s="7" t="s">
        <v>1262</v>
      </c>
    </row>
    <row r="17" spans="1:2">
      <c r="A17" s="7" t="s">
        <v>3650</v>
      </c>
      <c r="B17" s="7" t="s">
        <v>1263</v>
      </c>
    </row>
    <row r="18" spans="1:2">
      <c r="A18" s="7" t="s">
        <v>3651</v>
      </c>
      <c r="B18" s="7" t="s">
        <v>1264</v>
      </c>
    </row>
    <row r="19" spans="1:2">
      <c r="A19" s="7" t="s">
        <v>3652</v>
      </c>
      <c r="B19" s="7" t="s">
        <v>1265</v>
      </c>
    </row>
    <row r="20" spans="1:2">
      <c r="A20" s="7" t="s">
        <v>3653</v>
      </c>
      <c r="B20" s="7" t="s">
        <v>1266</v>
      </c>
    </row>
    <row r="21" spans="1:2">
      <c r="A21" s="7" t="s">
        <v>3654</v>
      </c>
      <c r="B21" s="7" t="s">
        <v>1267</v>
      </c>
    </row>
    <row r="22" spans="1:2">
      <c r="A22" s="7" t="s">
        <v>3655</v>
      </c>
      <c r="B22" s="7" t="s">
        <v>1268</v>
      </c>
    </row>
    <row r="23" spans="1:2">
      <c r="A23" s="7" t="s">
        <v>3656</v>
      </c>
      <c r="B23" s="7" t="s">
        <v>1269</v>
      </c>
    </row>
    <row r="24" spans="1:2">
      <c r="A24" s="7" t="s">
        <v>3657</v>
      </c>
      <c r="B24" s="7" t="s">
        <v>1270</v>
      </c>
    </row>
    <row r="25" spans="1:2">
      <c r="A25" s="7" t="s">
        <v>3658</v>
      </c>
      <c r="B25" s="7" t="s">
        <v>1271</v>
      </c>
    </row>
    <row r="26" spans="1:2">
      <c r="A26" s="7" t="s">
        <v>3659</v>
      </c>
      <c r="B26" s="7" t="s">
        <v>1272</v>
      </c>
    </row>
    <row r="27" spans="1:2">
      <c r="A27" s="7" t="s">
        <v>3660</v>
      </c>
      <c r="B27" s="7" t="s">
        <v>1273</v>
      </c>
    </row>
    <row r="28" spans="1:2">
      <c r="A28" s="7" t="s">
        <v>3661</v>
      </c>
      <c r="B28" s="7" t="s">
        <v>1274</v>
      </c>
    </row>
    <row r="29" spans="1:2">
      <c r="A29" s="7" t="s">
        <v>3662</v>
      </c>
      <c r="B29" s="7" t="s">
        <v>1275</v>
      </c>
    </row>
    <row r="30" spans="1:2">
      <c r="A30" s="7" t="s">
        <v>3663</v>
      </c>
      <c r="B30" s="7" t="s">
        <v>1276</v>
      </c>
    </row>
    <row r="31" spans="1:2">
      <c r="A31" s="7" t="s">
        <v>3664</v>
      </c>
      <c r="B31" s="7" t="s">
        <v>1277</v>
      </c>
    </row>
    <row r="32" spans="1:2">
      <c r="A32" s="7" t="s">
        <v>3665</v>
      </c>
      <c r="B32" s="7" t="s">
        <v>1278</v>
      </c>
    </row>
    <row r="33" spans="1:2">
      <c r="A33" s="7" t="s">
        <v>3666</v>
      </c>
      <c r="B33" s="7" t="s">
        <v>1279</v>
      </c>
    </row>
    <row r="34" spans="1:2">
      <c r="A34" s="7" t="s">
        <v>3667</v>
      </c>
      <c r="B34" s="7" t="s">
        <v>1280</v>
      </c>
    </row>
    <row r="35" spans="1:2">
      <c r="A35" s="7" t="s">
        <v>3668</v>
      </c>
      <c r="B35" s="7" t="s">
        <v>1281</v>
      </c>
    </row>
    <row r="36" spans="1:2">
      <c r="A36" s="7" t="s">
        <v>3669</v>
      </c>
      <c r="B36" s="7" t="s">
        <v>1282</v>
      </c>
    </row>
    <row r="37" spans="1:2">
      <c r="A37" s="7" t="s">
        <v>3670</v>
      </c>
      <c r="B37" s="7" t="s">
        <v>1283</v>
      </c>
    </row>
    <row r="38" spans="1:2">
      <c r="A38" s="7" t="s">
        <v>3671</v>
      </c>
      <c r="B38" s="7" t="s">
        <v>1284</v>
      </c>
    </row>
    <row r="39" spans="1:2">
      <c r="A39" s="7" t="s">
        <v>3672</v>
      </c>
      <c r="B39" s="7" t="s">
        <v>1285</v>
      </c>
    </row>
    <row r="40" spans="1:2">
      <c r="A40" s="7" t="s">
        <v>3673</v>
      </c>
      <c r="B40" s="7" t="s">
        <v>1286</v>
      </c>
    </row>
    <row r="41" spans="1:2">
      <c r="A41" s="7" t="s">
        <v>3674</v>
      </c>
      <c r="B41" s="7" t="s">
        <v>1287</v>
      </c>
    </row>
    <row r="42" spans="1:2">
      <c r="A42" s="7" t="s">
        <v>3675</v>
      </c>
      <c r="B42" s="7" t="s">
        <v>1288</v>
      </c>
    </row>
    <row r="43" spans="1:2">
      <c r="A43" s="7" t="s">
        <v>3676</v>
      </c>
      <c r="B43" s="7" t="s">
        <v>1289</v>
      </c>
    </row>
    <row r="44" spans="1:2">
      <c r="A44" s="7" t="s">
        <v>3677</v>
      </c>
      <c r="B44" s="7" t="s">
        <v>1290</v>
      </c>
    </row>
    <row r="45" spans="1:2">
      <c r="A45" s="7" t="s">
        <v>3678</v>
      </c>
      <c r="B45" s="7" t="s">
        <v>1291</v>
      </c>
    </row>
    <row r="46" spans="1:2">
      <c r="A46" s="7" t="s">
        <v>3679</v>
      </c>
      <c r="B46" s="7" t="s">
        <v>1292</v>
      </c>
    </row>
    <row r="47" spans="1:2">
      <c r="A47" s="7" t="s">
        <v>3680</v>
      </c>
      <c r="B47" s="7" t="s">
        <v>1293</v>
      </c>
    </row>
    <row r="48" spans="1:2">
      <c r="A48" s="7" t="s">
        <v>3681</v>
      </c>
      <c r="B48" s="7" t="s">
        <v>1294</v>
      </c>
    </row>
    <row r="49" spans="1:2">
      <c r="A49" s="7" t="s">
        <v>3682</v>
      </c>
      <c r="B49" s="7" t="s">
        <v>1295</v>
      </c>
    </row>
    <row r="50" spans="1:2">
      <c r="A50" s="7" t="s">
        <v>3683</v>
      </c>
      <c r="B50" s="7" t="s">
        <v>1296</v>
      </c>
    </row>
    <row r="51" spans="1:2">
      <c r="A51" s="7" t="s">
        <v>3684</v>
      </c>
      <c r="B51" s="7" t="s">
        <v>1297</v>
      </c>
    </row>
    <row r="52" spans="1:2">
      <c r="A52" s="7" t="s">
        <v>3685</v>
      </c>
      <c r="B52" s="7" t="s">
        <v>1298</v>
      </c>
    </row>
    <row r="53" spans="1:2">
      <c r="A53" s="7" t="s">
        <v>3686</v>
      </c>
      <c r="B53" s="7" t="s">
        <v>1299</v>
      </c>
    </row>
    <row r="54" spans="1:2">
      <c r="A54" s="7" t="s">
        <v>3687</v>
      </c>
      <c r="B54" s="7" t="s">
        <v>1300</v>
      </c>
    </row>
    <row r="55" spans="1:2">
      <c r="A55" s="7" t="s">
        <v>3688</v>
      </c>
      <c r="B55" s="7" t="s">
        <v>1301</v>
      </c>
    </row>
    <row r="56" spans="1:2">
      <c r="A56" s="7" t="s">
        <v>3689</v>
      </c>
      <c r="B56" s="7" t="s">
        <v>1302</v>
      </c>
    </row>
    <row r="57" spans="1:2">
      <c r="A57" s="7" t="s">
        <v>3690</v>
      </c>
      <c r="B57" s="7" t="s">
        <v>1303</v>
      </c>
    </row>
    <row r="58" spans="1:2">
      <c r="A58" s="7" t="s">
        <v>3691</v>
      </c>
      <c r="B58" s="7" t="s">
        <v>1304</v>
      </c>
    </row>
    <row r="59" spans="1:2">
      <c r="A59" s="7" t="s">
        <v>3692</v>
      </c>
      <c r="B59" s="7" t="s">
        <v>1305</v>
      </c>
    </row>
    <row r="60" spans="1:2">
      <c r="A60" s="7" t="s">
        <v>3693</v>
      </c>
      <c r="B60" s="7" t="s">
        <v>1306</v>
      </c>
    </row>
    <row r="61" spans="1:2">
      <c r="A61" s="7" t="s">
        <v>3694</v>
      </c>
      <c r="B61" s="7" t="s">
        <v>1307</v>
      </c>
    </row>
    <row r="62" spans="1:2">
      <c r="A62" s="7" t="s">
        <v>3695</v>
      </c>
      <c r="B62" s="7" t="s">
        <v>1308</v>
      </c>
    </row>
    <row r="63" spans="1:2">
      <c r="A63" s="7" t="s">
        <v>3696</v>
      </c>
      <c r="B63" s="7" t="s">
        <v>1309</v>
      </c>
    </row>
    <row r="64" spans="1:2">
      <c r="A64" s="7" t="s">
        <v>3697</v>
      </c>
      <c r="B64" s="7" t="s">
        <v>1310</v>
      </c>
    </row>
    <row r="65" spans="1:2">
      <c r="A65" s="7" t="s">
        <v>3698</v>
      </c>
      <c r="B65" s="7" t="s">
        <v>1311</v>
      </c>
    </row>
    <row r="66" spans="1:2">
      <c r="A66" s="7" t="s">
        <v>3699</v>
      </c>
      <c r="B66" s="7" t="s">
        <v>1312</v>
      </c>
    </row>
    <row r="67" spans="1:2">
      <c r="A67" s="7" t="s">
        <v>3700</v>
      </c>
      <c r="B67" s="7" t="s">
        <v>1313</v>
      </c>
    </row>
    <row r="68" spans="1:2">
      <c r="A68" s="7" t="s">
        <v>3701</v>
      </c>
      <c r="B68" s="7" t="s">
        <v>1314</v>
      </c>
    </row>
    <row r="69" spans="1:2">
      <c r="A69" s="7" t="s">
        <v>3702</v>
      </c>
      <c r="B69" s="7" t="s">
        <v>1315</v>
      </c>
    </row>
    <row r="70" spans="1:2">
      <c r="A70" s="7" t="s">
        <v>3703</v>
      </c>
      <c r="B70" s="7" t="s">
        <v>1316</v>
      </c>
    </row>
    <row r="71" spans="1:2">
      <c r="A71" s="7" t="s">
        <v>3704</v>
      </c>
      <c r="B71" s="7" t="s">
        <v>1317</v>
      </c>
    </row>
    <row r="72" spans="1:2">
      <c r="A72" s="7" t="s">
        <v>3705</v>
      </c>
      <c r="B72" s="7" t="s">
        <v>1318</v>
      </c>
    </row>
    <row r="73" spans="1:2">
      <c r="A73" s="7" t="s">
        <v>3706</v>
      </c>
      <c r="B73" s="7" t="s">
        <v>1319</v>
      </c>
    </row>
    <row r="74" spans="1:2">
      <c r="A74" s="7" t="s">
        <v>3707</v>
      </c>
      <c r="B74" s="7" t="s">
        <v>1320</v>
      </c>
    </row>
    <row r="75" spans="1:2">
      <c r="A75" s="7" t="s">
        <v>3708</v>
      </c>
      <c r="B75" s="7" t="s">
        <v>1321</v>
      </c>
    </row>
    <row r="76" spans="1:2">
      <c r="A76" s="7" t="s">
        <v>3709</v>
      </c>
      <c r="B76" s="7" t="s">
        <v>1322</v>
      </c>
    </row>
    <row r="77" spans="1:2">
      <c r="A77" s="7" t="s">
        <v>3710</v>
      </c>
      <c r="B77" s="7" t="s">
        <v>1323</v>
      </c>
    </row>
    <row r="78" spans="1:2">
      <c r="A78" s="7" t="s">
        <v>3711</v>
      </c>
      <c r="B78" s="7" t="s">
        <v>1324</v>
      </c>
    </row>
    <row r="79" spans="1:2">
      <c r="A79" s="7" t="s">
        <v>3712</v>
      </c>
      <c r="B79" s="7" t="s">
        <v>1325</v>
      </c>
    </row>
    <row r="80" spans="1:2">
      <c r="A80" s="7" t="s">
        <v>3713</v>
      </c>
      <c r="B80" s="7" t="s">
        <v>1326</v>
      </c>
    </row>
    <row r="81" spans="1:2">
      <c r="A81" s="7" t="s">
        <v>3714</v>
      </c>
      <c r="B81" s="7" t="s">
        <v>1327</v>
      </c>
    </row>
    <row r="82" spans="1:2">
      <c r="A82" s="7" t="s">
        <v>3715</v>
      </c>
      <c r="B82" s="7" t="s">
        <v>1328</v>
      </c>
    </row>
    <row r="83" spans="1:2">
      <c r="A83" s="7" t="s">
        <v>3716</v>
      </c>
      <c r="B83" s="7" t="s">
        <v>1329</v>
      </c>
    </row>
    <row r="84" spans="1:2">
      <c r="A84" s="7" t="s">
        <v>3717</v>
      </c>
      <c r="B84" s="7" t="s">
        <v>1330</v>
      </c>
    </row>
    <row r="85" spans="1:2">
      <c r="A85" s="7" t="s">
        <v>3718</v>
      </c>
      <c r="B85" s="7" t="s">
        <v>1331</v>
      </c>
    </row>
    <row r="86" spans="1:2">
      <c r="A86" s="7" t="s">
        <v>3719</v>
      </c>
      <c r="B86" s="7" t="s">
        <v>1332</v>
      </c>
    </row>
    <row r="87" spans="1:2">
      <c r="A87" s="7" t="s">
        <v>3720</v>
      </c>
      <c r="B87" s="7" t="s">
        <v>1333</v>
      </c>
    </row>
    <row r="88" spans="1:2">
      <c r="A88" s="7" t="s">
        <v>3721</v>
      </c>
      <c r="B88" s="7" t="s">
        <v>1334</v>
      </c>
    </row>
    <row r="89" spans="1:2">
      <c r="A89" s="7" t="s">
        <v>3722</v>
      </c>
      <c r="B89" s="7" t="s">
        <v>1335</v>
      </c>
    </row>
    <row r="90" spans="1:2">
      <c r="A90" s="7" t="s">
        <v>3723</v>
      </c>
      <c r="B90" s="7" t="s">
        <v>1336</v>
      </c>
    </row>
    <row r="91" spans="1:2">
      <c r="A91" s="7" t="s">
        <v>3724</v>
      </c>
      <c r="B91" s="7" t="s">
        <v>1337</v>
      </c>
    </row>
    <row r="92" spans="1:2">
      <c r="A92" s="7" t="s">
        <v>3725</v>
      </c>
      <c r="B92" s="7" t="s">
        <v>1338</v>
      </c>
    </row>
    <row r="93" spans="1:2">
      <c r="A93" s="7" t="s">
        <v>3726</v>
      </c>
      <c r="B93" s="7" t="s">
        <v>1339</v>
      </c>
    </row>
    <row r="94" spans="1:2">
      <c r="A94" s="7" t="s">
        <v>3727</v>
      </c>
      <c r="B94" s="7" t="s">
        <v>1340</v>
      </c>
    </row>
    <row r="95" spans="1:2">
      <c r="A95" s="7" t="s">
        <v>3728</v>
      </c>
      <c r="B95" s="7" t="s">
        <v>1341</v>
      </c>
    </row>
    <row r="96" spans="1:2">
      <c r="A96" s="7" t="s">
        <v>3729</v>
      </c>
      <c r="B96" s="7" t="s">
        <v>1342</v>
      </c>
    </row>
    <row r="97" spans="1:2">
      <c r="A97" s="7" t="s">
        <v>3730</v>
      </c>
      <c r="B97" s="7" t="s">
        <v>1343</v>
      </c>
    </row>
    <row r="98" spans="1:2">
      <c r="A98" s="7" t="s">
        <v>3731</v>
      </c>
      <c r="B98" s="7" t="s">
        <v>1344</v>
      </c>
    </row>
    <row r="99" spans="1:2">
      <c r="A99" s="7" t="s">
        <v>3732</v>
      </c>
      <c r="B99" s="7" t="s">
        <v>1345</v>
      </c>
    </row>
    <row r="100" spans="1:2">
      <c r="A100" s="7" t="s">
        <v>3733</v>
      </c>
      <c r="B100" s="7" t="s">
        <v>1346</v>
      </c>
    </row>
    <row r="101" spans="1:2">
      <c r="A101" s="7" t="s">
        <v>3734</v>
      </c>
      <c r="B101" s="7" t="s">
        <v>1347</v>
      </c>
    </row>
    <row r="102" spans="1:2">
      <c r="A102" s="7" t="s">
        <v>3735</v>
      </c>
      <c r="B102" s="7" t="s">
        <v>1348</v>
      </c>
    </row>
    <row r="103" spans="1:2">
      <c r="A103" s="7" t="s">
        <v>3736</v>
      </c>
      <c r="B103" s="7" t="s">
        <v>1349</v>
      </c>
    </row>
    <row r="104" spans="1:2">
      <c r="A104" s="7" t="s">
        <v>3737</v>
      </c>
      <c r="B104" s="7" t="s">
        <v>1350</v>
      </c>
    </row>
    <row r="105" spans="1:2">
      <c r="A105" s="7" t="s">
        <v>3738</v>
      </c>
      <c r="B105" s="7" t="s">
        <v>1351</v>
      </c>
    </row>
    <row r="106" spans="1:2">
      <c r="A106" s="7" t="s">
        <v>3739</v>
      </c>
      <c r="B106" s="7" t="s">
        <v>1352</v>
      </c>
    </row>
    <row r="107" spans="1:2">
      <c r="A107" s="7" t="s">
        <v>3740</v>
      </c>
      <c r="B107" s="7" t="s">
        <v>1353</v>
      </c>
    </row>
    <row r="108" spans="1:2">
      <c r="A108" s="7" t="s">
        <v>3741</v>
      </c>
      <c r="B108" s="7" t="s">
        <v>1354</v>
      </c>
    </row>
    <row r="109" spans="1:2">
      <c r="A109" s="7" t="s">
        <v>3742</v>
      </c>
      <c r="B109" s="7" t="s">
        <v>1355</v>
      </c>
    </row>
    <row r="110" spans="1:2">
      <c r="A110" s="7" t="s">
        <v>3743</v>
      </c>
      <c r="B110" s="7" t="s">
        <v>1356</v>
      </c>
    </row>
    <row r="111" spans="1:2">
      <c r="A111" s="7" t="s">
        <v>3744</v>
      </c>
      <c r="B111" s="7" t="s">
        <v>1357</v>
      </c>
    </row>
    <row r="112" spans="1:2">
      <c r="A112" s="7" t="s">
        <v>3745</v>
      </c>
      <c r="B112" s="7" t="s">
        <v>1358</v>
      </c>
    </row>
    <row r="113" spans="1:2">
      <c r="A113" s="7" t="s">
        <v>3746</v>
      </c>
      <c r="B113" s="7" t="s">
        <v>1359</v>
      </c>
    </row>
    <row r="114" spans="1:2">
      <c r="A114" s="7" t="s">
        <v>3747</v>
      </c>
      <c r="B114" s="7" t="s">
        <v>1360</v>
      </c>
    </row>
    <row r="115" spans="1:2">
      <c r="A115" s="7" t="s">
        <v>3748</v>
      </c>
      <c r="B115" s="7" t="s">
        <v>1361</v>
      </c>
    </row>
    <row r="116" spans="1:2">
      <c r="A116" s="7" t="s">
        <v>3749</v>
      </c>
      <c r="B116" s="7" t="s">
        <v>1362</v>
      </c>
    </row>
    <row r="117" spans="1:2">
      <c r="A117" s="7" t="s">
        <v>3750</v>
      </c>
      <c r="B117" s="7" t="s">
        <v>1363</v>
      </c>
    </row>
    <row r="118" spans="1:2">
      <c r="A118" s="7" t="s">
        <v>3751</v>
      </c>
      <c r="B118" s="7" t="s">
        <v>1364</v>
      </c>
    </row>
    <row r="119" spans="1:2">
      <c r="A119" s="7" t="s">
        <v>1191</v>
      </c>
      <c r="B119" s="7" t="s">
        <v>1365</v>
      </c>
    </row>
    <row r="120" spans="1:2">
      <c r="A120" s="7" t="s">
        <v>3752</v>
      </c>
      <c r="B120" s="7" t="s">
        <v>1366</v>
      </c>
    </row>
    <row r="121" spans="1:2">
      <c r="A121" s="7" t="s">
        <v>3753</v>
      </c>
      <c r="B121" s="7" t="s">
        <v>1367</v>
      </c>
    </row>
    <row r="122" spans="1:2">
      <c r="A122" s="7" t="s">
        <v>3754</v>
      </c>
      <c r="B122" s="7" t="s">
        <v>1368</v>
      </c>
    </row>
    <row r="123" spans="1:2">
      <c r="A123" s="7" t="s">
        <v>3755</v>
      </c>
      <c r="B123" s="7" t="s">
        <v>1369</v>
      </c>
    </row>
    <row r="124" spans="1:2">
      <c r="A124" s="7" t="s">
        <v>3756</v>
      </c>
      <c r="B124" s="7" t="s">
        <v>1370</v>
      </c>
    </row>
    <row r="125" spans="1:2">
      <c r="A125" s="7" t="s">
        <v>3757</v>
      </c>
      <c r="B125" s="7" t="s">
        <v>1371</v>
      </c>
    </row>
    <row r="126" spans="1:2">
      <c r="A126" s="7" t="s">
        <v>3758</v>
      </c>
      <c r="B126" s="7" t="s">
        <v>1372</v>
      </c>
    </row>
    <row r="127" spans="1:2">
      <c r="A127" s="7" t="s">
        <v>3759</v>
      </c>
      <c r="B127" s="7" t="s">
        <v>1373</v>
      </c>
    </row>
    <row r="128" spans="1:2">
      <c r="A128" s="7" t="s">
        <v>3760</v>
      </c>
      <c r="B128" s="7" t="s">
        <v>1374</v>
      </c>
    </row>
    <row r="129" spans="1:2">
      <c r="A129" s="7" t="s">
        <v>3761</v>
      </c>
      <c r="B129" s="7" t="s">
        <v>1375</v>
      </c>
    </row>
    <row r="130" spans="1:2">
      <c r="A130" s="7" t="s">
        <v>3762</v>
      </c>
      <c r="B130" s="7" t="s">
        <v>1376</v>
      </c>
    </row>
    <row r="131" spans="1:2">
      <c r="A131" s="7" t="s">
        <v>3763</v>
      </c>
      <c r="B131" s="7" t="s">
        <v>1377</v>
      </c>
    </row>
    <row r="132" spans="1:2">
      <c r="A132" s="7" t="s">
        <v>3764</v>
      </c>
      <c r="B132" s="7" t="s">
        <v>1378</v>
      </c>
    </row>
    <row r="133" spans="1:2">
      <c r="A133" s="7" t="s">
        <v>3765</v>
      </c>
      <c r="B133" s="7" t="s">
        <v>1379</v>
      </c>
    </row>
    <row r="134" spans="1:2">
      <c r="A134" s="7" t="s">
        <v>3766</v>
      </c>
      <c r="B134" s="7" t="s">
        <v>1380</v>
      </c>
    </row>
    <row r="135" spans="1:2">
      <c r="A135" s="7" t="s">
        <v>3767</v>
      </c>
      <c r="B135" s="7" t="s">
        <v>1381</v>
      </c>
    </row>
    <row r="136" spans="1:2">
      <c r="A136" s="7" t="s">
        <v>3768</v>
      </c>
      <c r="B136" s="7" t="s">
        <v>1382</v>
      </c>
    </row>
    <row r="137" spans="1:2">
      <c r="A137" s="7" t="s">
        <v>3769</v>
      </c>
      <c r="B137" s="7" t="s">
        <v>1383</v>
      </c>
    </row>
    <row r="138" spans="1:2">
      <c r="A138" s="7" t="s">
        <v>3770</v>
      </c>
      <c r="B138" s="7" t="s">
        <v>1384</v>
      </c>
    </row>
    <row r="139" spans="1:2">
      <c r="A139" s="7" t="s">
        <v>3771</v>
      </c>
      <c r="B139" s="7" t="s">
        <v>1385</v>
      </c>
    </row>
    <row r="140" spans="1:2">
      <c r="A140" s="7" t="s">
        <v>3772</v>
      </c>
      <c r="B140" s="7" t="s">
        <v>1386</v>
      </c>
    </row>
    <row r="141" spans="1:2">
      <c r="A141" s="7" t="s">
        <v>3773</v>
      </c>
      <c r="B141" s="7" t="s">
        <v>1387</v>
      </c>
    </row>
    <row r="142" spans="1:2">
      <c r="A142" s="7" t="s">
        <v>3774</v>
      </c>
      <c r="B142" s="7" t="s">
        <v>1388</v>
      </c>
    </row>
    <row r="143" spans="1:2">
      <c r="A143" s="7" t="s">
        <v>3775</v>
      </c>
      <c r="B143" s="7" t="s">
        <v>1389</v>
      </c>
    </row>
    <row r="144" spans="1:2">
      <c r="A144" s="7" t="s">
        <v>3776</v>
      </c>
      <c r="B144" s="7" t="s">
        <v>1390</v>
      </c>
    </row>
    <row r="145" spans="1:2">
      <c r="A145" s="7" t="s">
        <v>3777</v>
      </c>
      <c r="B145" s="7" t="s">
        <v>1391</v>
      </c>
    </row>
    <row r="146" spans="1:2">
      <c r="A146" s="7" t="s">
        <v>3778</v>
      </c>
      <c r="B146" s="7" t="s">
        <v>1392</v>
      </c>
    </row>
    <row r="147" spans="1:2">
      <c r="A147" s="7" t="s">
        <v>3779</v>
      </c>
      <c r="B147" s="7" t="s">
        <v>1393</v>
      </c>
    </row>
    <row r="148" spans="1:2">
      <c r="A148" s="7" t="s">
        <v>3780</v>
      </c>
      <c r="B148" s="7" t="s">
        <v>1394</v>
      </c>
    </row>
    <row r="149" spans="1:2">
      <c r="A149" s="7" t="s">
        <v>3781</v>
      </c>
      <c r="B149" s="7" t="s">
        <v>1395</v>
      </c>
    </row>
    <row r="150" spans="1:2">
      <c r="A150" s="7" t="s">
        <v>3782</v>
      </c>
      <c r="B150" s="7" t="s">
        <v>1396</v>
      </c>
    </row>
    <row r="151" spans="1:2">
      <c r="A151" s="7" t="s">
        <v>3783</v>
      </c>
      <c r="B151" s="7" t="s">
        <v>1397</v>
      </c>
    </row>
    <row r="152" spans="1:2">
      <c r="A152" s="7" t="s">
        <v>3784</v>
      </c>
      <c r="B152" s="7" t="s">
        <v>1398</v>
      </c>
    </row>
    <row r="153" spans="1:2">
      <c r="A153" s="7" t="s">
        <v>3785</v>
      </c>
      <c r="B153" s="7" t="s">
        <v>1399</v>
      </c>
    </row>
    <row r="154" spans="1:2">
      <c r="A154" s="7" t="s">
        <v>3786</v>
      </c>
      <c r="B154" s="7" t="s">
        <v>1400</v>
      </c>
    </row>
    <row r="155" spans="1:2">
      <c r="A155" s="7" t="s">
        <v>3787</v>
      </c>
      <c r="B155" s="7" t="s">
        <v>1401</v>
      </c>
    </row>
    <row r="156" spans="1:2">
      <c r="A156" s="7" t="s">
        <v>3788</v>
      </c>
      <c r="B156" s="7" t="s">
        <v>1402</v>
      </c>
    </row>
    <row r="157" spans="1:2">
      <c r="A157" s="7" t="s">
        <v>3789</v>
      </c>
      <c r="B157" s="7" t="s">
        <v>1403</v>
      </c>
    </row>
    <row r="158" spans="1:2">
      <c r="A158" s="7" t="s">
        <v>3790</v>
      </c>
      <c r="B158" s="7" t="s">
        <v>1404</v>
      </c>
    </row>
    <row r="159" spans="1:2">
      <c r="A159" s="7" t="s">
        <v>3791</v>
      </c>
      <c r="B159" s="7" t="s">
        <v>1405</v>
      </c>
    </row>
    <row r="160" spans="1:2">
      <c r="A160" s="7" t="s">
        <v>3792</v>
      </c>
      <c r="B160" s="7" t="s">
        <v>1406</v>
      </c>
    </row>
    <row r="161" spans="1:2">
      <c r="A161" s="7" t="s">
        <v>3793</v>
      </c>
      <c r="B161" s="7" t="s">
        <v>1407</v>
      </c>
    </row>
    <row r="162" spans="1:2">
      <c r="A162" s="7" t="s">
        <v>3794</v>
      </c>
      <c r="B162" s="7" t="s">
        <v>1408</v>
      </c>
    </row>
    <row r="163" spans="1:2">
      <c r="A163" s="7" t="s">
        <v>3795</v>
      </c>
      <c r="B163" s="7" t="s">
        <v>1409</v>
      </c>
    </row>
    <row r="164" spans="1:2">
      <c r="A164" s="7" t="s">
        <v>3796</v>
      </c>
      <c r="B164" s="7" t="s">
        <v>1410</v>
      </c>
    </row>
    <row r="165" spans="1:2">
      <c r="A165" s="7" t="s">
        <v>3797</v>
      </c>
      <c r="B165" s="7" t="s">
        <v>1411</v>
      </c>
    </row>
    <row r="166" spans="1:2">
      <c r="A166" s="7" t="s">
        <v>3798</v>
      </c>
      <c r="B166" s="7" t="s">
        <v>1412</v>
      </c>
    </row>
    <row r="167" spans="1:2">
      <c r="A167" s="7" t="s">
        <v>3799</v>
      </c>
      <c r="B167" s="7" t="s">
        <v>1413</v>
      </c>
    </row>
    <row r="168" spans="1:2">
      <c r="A168" s="7" t="s">
        <v>3800</v>
      </c>
      <c r="B168" s="7" t="s">
        <v>1414</v>
      </c>
    </row>
    <row r="169" spans="1:2">
      <c r="A169" s="7" t="s">
        <v>3801</v>
      </c>
      <c r="B169" s="7" t="s">
        <v>1415</v>
      </c>
    </row>
    <row r="170" spans="1:2">
      <c r="A170" s="7" t="s">
        <v>3802</v>
      </c>
      <c r="B170" s="7" t="s">
        <v>1416</v>
      </c>
    </row>
    <row r="171" spans="1:2">
      <c r="A171" s="7" t="s">
        <v>3803</v>
      </c>
      <c r="B171" s="7" t="s">
        <v>1417</v>
      </c>
    </row>
    <row r="172" spans="1:2">
      <c r="A172" s="7" t="s">
        <v>3804</v>
      </c>
      <c r="B172" s="7" t="s">
        <v>1418</v>
      </c>
    </row>
    <row r="173" spans="1:2">
      <c r="A173" s="7" t="s">
        <v>3805</v>
      </c>
      <c r="B173" s="7" t="s">
        <v>1419</v>
      </c>
    </row>
    <row r="174" spans="1:2">
      <c r="A174" s="7" t="s">
        <v>3806</v>
      </c>
      <c r="B174" s="7" t="s">
        <v>1420</v>
      </c>
    </row>
    <row r="175" spans="1:2">
      <c r="A175" s="7" t="s">
        <v>3807</v>
      </c>
      <c r="B175" s="7" t="s">
        <v>1421</v>
      </c>
    </row>
    <row r="176" spans="1:2">
      <c r="A176" s="7" t="s">
        <v>3808</v>
      </c>
      <c r="B176" s="7" t="s">
        <v>1422</v>
      </c>
    </row>
    <row r="177" spans="1:2">
      <c r="A177" s="7" t="s">
        <v>3809</v>
      </c>
      <c r="B177" s="7" t="s">
        <v>1423</v>
      </c>
    </row>
    <row r="178" spans="1:2">
      <c r="A178" s="7" t="s">
        <v>3810</v>
      </c>
      <c r="B178" s="7" t="s">
        <v>1424</v>
      </c>
    </row>
    <row r="179" spans="1:2">
      <c r="A179" s="7" t="s">
        <v>3811</v>
      </c>
      <c r="B179" s="7" t="s">
        <v>1425</v>
      </c>
    </row>
    <row r="180" spans="1:2">
      <c r="A180" s="7" t="s">
        <v>3812</v>
      </c>
      <c r="B180" s="7" t="s">
        <v>1426</v>
      </c>
    </row>
    <row r="181" spans="1:2">
      <c r="A181" s="7" t="s">
        <v>3813</v>
      </c>
      <c r="B181" s="7" t="s">
        <v>1427</v>
      </c>
    </row>
    <row r="182" spans="1:2">
      <c r="A182" s="7" t="s">
        <v>3814</v>
      </c>
      <c r="B182" s="7" t="s">
        <v>1428</v>
      </c>
    </row>
    <row r="183" spans="1:2">
      <c r="A183" s="7" t="s">
        <v>3815</v>
      </c>
      <c r="B183" s="7" t="s">
        <v>1429</v>
      </c>
    </row>
    <row r="184" spans="1:2">
      <c r="A184" s="7" t="s">
        <v>3816</v>
      </c>
      <c r="B184" s="7" t="s">
        <v>1430</v>
      </c>
    </row>
    <row r="185" spans="1:2">
      <c r="A185" s="7" t="s">
        <v>3817</v>
      </c>
      <c r="B185" s="7" t="s">
        <v>1431</v>
      </c>
    </row>
    <row r="186" spans="1:2">
      <c r="A186" s="7" t="s">
        <v>3818</v>
      </c>
      <c r="B186" s="7" t="s">
        <v>1432</v>
      </c>
    </row>
    <row r="187" spans="1:2">
      <c r="A187" s="7" t="s">
        <v>3819</v>
      </c>
      <c r="B187" s="7" t="s">
        <v>1433</v>
      </c>
    </row>
    <row r="188" spans="1:2">
      <c r="A188" s="7" t="s">
        <v>3820</v>
      </c>
      <c r="B188" s="7" t="s">
        <v>1434</v>
      </c>
    </row>
    <row r="189" spans="1:2">
      <c r="A189" s="7" t="s">
        <v>3821</v>
      </c>
      <c r="B189" s="7" t="s">
        <v>1435</v>
      </c>
    </row>
    <row r="190" spans="1:2">
      <c r="A190" s="7" t="s">
        <v>3822</v>
      </c>
      <c r="B190" s="7" t="s">
        <v>1436</v>
      </c>
    </row>
    <row r="191" spans="1:2">
      <c r="A191" s="7" t="s">
        <v>3823</v>
      </c>
      <c r="B191" s="7" t="s">
        <v>1437</v>
      </c>
    </row>
    <row r="192" spans="1:2">
      <c r="A192" s="7" t="s">
        <v>3824</v>
      </c>
      <c r="B192" s="7" t="s">
        <v>1438</v>
      </c>
    </row>
    <row r="193" spans="1:2">
      <c r="A193" s="7" t="s">
        <v>3825</v>
      </c>
      <c r="B193" s="7" t="s">
        <v>1439</v>
      </c>
    </row>
    <row r="194" spans="1:2">
      <c r="A194" s="7" t="s">
        <v>3826</v>
      </c>
      <c r="B194" s="7" t="s">
        <v>1440</v>
      </c>
    </row>
    <row r="195" spans="1:2">
      <c r="A195" s="7" t="s">
        <v>3827</v>
      </c>
      <c r="B195" s="7" t="s">
        <v>1441</v>
      </c>
    </row>
    <row r="196" spans="1:2">
      <c r="A196" s="7" t="s">
        <v>3828</v>
      </c>
      <c r="B196" s="7" t="s">
        <v>1442</v>
      </c>
    </row>
    <row r="197" spans="1:2">
      <c r="A197" s="7" t="s">
        <v>3829</v>
      </c>
      <c r="B197" s="7" t="s">
        <v>1443</v>
      </c>
    </row>
    <row r="198" spans="1:2">
      <c r="A198" s="7" t="s">
        <v>3830</v>
      </c>
      <c r="B198" s="7" t="s">
        <v>1444</v>
      </c>
    </row>
    <row r="199" spans="1:2">
      <c r="A199" s="7" t="s">
        <v>3831</v>
      </c>
      <c r="B199" s="7" t="s">
        <v>1445</v>
      </c>
    </row>
    <row r="200" spans="1:2">
      <c r="A200" s="7" t="s">
        <v>3832</v>
      </c>
      <c r="B200" s="7" t="s">
        <v>1446</v>
      </c>
    </row>
    <row r="201" spans="1:2">
      <c r="A201" s="7" t="s">
        <v>3833</v>
      </c>
      <c r="B201" s="7" t="s">
        <v>1447</v>
      </c>
    </row>
    <row r="202" spans="1:2">
      <c r="A202" s="7" t="s">
        <v>3834</v>
      </c>
      <c r="B202" s="7" t="s">
        <v>1448</v>
      </c>
    </row>
    <row r="203" spans="1:2">
      <c r="A203" s="7" t="s">
        <v>3835</v>
      </c>
      <c r="B203" s="7" t="s">
        <v>1449</v>
      </c>
    </row>
    <row r="204" spans="1:2">
      <c r="A204" s="7" t="s">
        <v>3836</v>
      </c>
      <c r="B204" s="7" t="s">
        <v>1450</v>
      </c>
    </row>
    <row r="205" spans="1:2">
      <c r="A205" s="7" t="s">
        <v>3837</v>
      </c>
      <c r="B205" s="7" t="s">
        <v>1451</v>
      </c>
    </row>
    <row r="206" spans="1:2">
      <c r="A206" s="7" t="s">
        <v>3838</v>
      </c>
      <c r="B206" s="7" t="s">
        <v>1452</v>
      </c>
    </row>
    <row r="207" spans="1:2">
      <c r="A207" s="7" t="s">
        <v>3839</v>
      </c>
      <c r="B207" s="7" t="s">
        <v>1453</v>
      </c>
    </row>
    <row r="208" spans="1:2">
      <c r="A208" s="7" t="s">
        <v>3840</v>
      </c>
      <c r="B208" s="7" t="s">
        <v>1454</v>
      </c>
    </row>
    <row r="209" spans="1:2">
      <c r="A209" s="7" t="s">
        <v>3841</v>
      </c>
      <c r="B209" s="7" t="s">
        <v>1455</v>
      </c>
    </row>
    <row r="210" spans="1:2">
      <c r="A210" s="7" t="s">
        <v>3842</v>
      </c>
      <c r="B210" s="7" t="s">
        <v>1456</v>
      </c>
    </row>
    <row r="211" spans="1:2">
      <c r="A211" s="7" t="s">
        <v>3843</v>
      </c>
      <c r="B211" s="7" t="s">
        <v>1457</v>
      </c>
    </row>
    <row r="212" spans="1:2">
      <c r="A212" s="7" t="s">
        <v>3844</v>
      </c>
      <c r="B212" s="7" t="s">
        <v>1458</v>
      </c>
    </row>
    <row r="213" spans="1:2">
      <c r="A213" s="7" t="s">
        <v>3845</v>
      </c>
      <c r="B213" s="7" t="s">
        <v>1459</v>
      </c>
    </row>
    <row r="214" spans="1:2">
      <c r="A214" s="7" t="s">
        <v>3846</v>
      </c>
      <c r="B214" s="7" t="s">
        <v>1460</v>
      </c>
    </row>
    <row r="215" spans="1:2">
      <c r="A215" s="7" t="s">
        <v>3847</v>
      </c>
      <c r="B215" s="7" t="s">
        <v>1461</v>
      </c>
    </row>
    <row r="216" spans="1:2">
      <c r="A216" s="7" t="s">
        <v>3848</v>
      </c>
      <c r="B216" s="7" t="s">
        <v>1462</v>
      </c>
    </row>
    <row r="217" spans="1:2">
      <c r="A217" s="7" t="s">
        <v>3849</v>
      </c>
      <c r="B217" s="7" t="s">
        <v>1463</v>
      </c>
    </row>
    <row r="218" spans="1:2">
      <c r="A218" s="7" t="s">
        <v>3850</v>
      </c>
      <c r="B218" s="7" t="s">
        <v>1464</v>
      </c>
    </row>
    <row r="219" spans="1:2">
      <c r="A219" s="7" t="s">
        <v>3851</v>
      </c>
      <c r="B219" s="7" t="s">
        <v>1465</v>
      </c>
    </row>
    <row r="220" spans="1:2">
      <c r="A220" s="7" t="s">
        <v>3852</v>
      </c>
      <c r="B220" s="7" t="s">
        <v>1466</v>
      </c>
    </row>
    <row r="221" spans="1:2">
      <c r="A221" s="7" t="s">
        <v>3853</v>
      </c>
      <c r="B221" s="7" t="s">
        <v>1467</v>
      </c>
    </row>
    <row r="222" spans="1:2">
      <c r="A222" s="7" t="s">
        <v>3854</v>
      </c>
      <c r="B222" s="7" t="s">
        <v>1468</v>
      </c>
    </row>
    <row r="223" spans="1:2">
      <c r="A223" s="7" t="s">
        <v>3855</v>
      </c>
      <c r="B223" s="7" t="s">
        <v>1469</v>
      </c>
    </row>
    <row r="224" spans="1:2">
      <c r="A224" s="7" t="s">
        <v>3856</v>
      </c>
      <c r="B224" s="7" t="s">
        <v>1470</v>
      </c>
    </row>
    <row r="225" spans="1:2">
      <c r="A225" s="7" t="s">
        <v>3857</v>
      </c>
      <c r="B225" s="7" t="s">
        <v>1471</v>
      </c>
    </row>
    <row r="226" spans="1:2">
      <c r="A226" s="7" t="s">
        <v>3858</v>
      </c>
      <c r="B226" s="7" t="s">
        <v>1472</v>
      </c>
    </row>
    <row r="227" spans="1:2">
      <c r="A227" s="7" t="s">
        <v>3859</v>
      </c>
      <c r="B227" s="7" t="s">
        <v>1473</v>
      </c>
    </row>
    <row r="228" spans="1:2">
      <c r="A228" s="7" t="s">
        <v>3860</v>
      </c>
      <c r="B228" s="7" t="s">
        <v>1474</v>
      </c>
    </row>
    <row r="229" spans="1:2">
      <c r="A229" s="7" t="s">
        <v>3861</v>
      </c>
      <c r="B229" s="7" t="s">
        <v>1475</v>
      </c>
    </row>
    <row r="230" spans="1:2">
      <c r="A230" s="7" t="s">
        <v>3862</v>
      </c>
      <c r="B230" s="7" t="s">
        <v>1476</v>
      </c>
    </row>
    <row r="231" spans="1:2">
      <c r="A231" s="7" t="s">
        <v>3863</v>
      </c>
      <c r="B231" s="7" t="s">
        <v>1477</v>
      </c>
    </row>
    <row r="232" spans="1:2">
      <c r="A232" s="7" t="s">
        <v>3864</v>
      </c>
      <c r="B232" s="7" t="s">
        <v>1478</v>
      </c>
    </row>
    <row r="233" spans="1:2">
      <c r="A233" s="7" t="s">
        <v>3865</v>
      </c>
      <c r="B233" s="7" t="s">
        <v>1479</v>
      </c>
    </row>
    <row r="234" spans="1:2">
      <c r="A234" s="7" t="s">
        <v>3866</v>
      </c>
      <c r="B234" s="7" t="s">
        <v>1480</v>
      </c>
    </row>
    <row r="235" spans="1:2">
      <c r="A235" s="7" t="s">
        <v>3867</v>
      </c>
      <c r="B235" s="7" t="s">
        <v>1481</v>
      </c>
    </row>
    <row r="236" spans="1:2">
      <c r="A236" s="7" t="s">
        <v>3868</v>
      </c>
      <c r="B236" s="7" t="s">
        <v>1482</v>
      </c>
    </row>
    <row r="237" spans="1:2">
      <c r="A237" s="7" t="s">
        <v>3869</v>
      </c>
      <c r="B237" s="7" t="s">
        <v>1483</v>
      </c>
    </row>
    <row r="238" spans="1:2">
      <c r="A238" s="7" t="s">
        <v>3870</v>
      </c>
      <c r="B238" s="7" t="s">
        <v>1484</v>
      </c>
    </row>
    <row r="239" spans="1:2">
      <c r="A239" s="7" t="s">
        <v>3871</v>
      </c>
      <c r="B239" s="7" t="s">
        <v>1485</v>
      </c>
    </row>
    <row r="240" spans="1:2">
      <c r="A240" s="7" t="s">
        <v>3872</v>
      </c>
      <c r="B240" s="7" t="s">
        <v>1486</v>
      </c>
    </row>
    <row r="241" spans="1:2">
      <c r="A241" s="7" t="s">
        <v>3873</v>
      </c>
      <c r="B241" s="7" t="s">
        <v>1487</v>
      </c>
    </row>
    <row r="242" spans="1:2">
      <c r="A242" s="7" t="s">
        <v>3874</v>
      </c>
      <c r="B242" s="7" t="s">
        <v>1488</v>
      </c>
    </row>
    <row r="243" spans="1:2">
      <c r="A243" s="7" t="s">
        <v>3875</v>
      </c>
      <c r="B243" s="7" t="s">
        <v>1489</v>
      </c>
    </row>
    <row r="244" spans="1:2">
      <c r="A244" s="7" t="s">
        <v>3876</v>
      </c>
      <c r="B244" s="7" t="s">
        <v>1490</v>
      </c>
    </row>
    <row r="245" spans="1:2">
      <c r="A245" s="7" t="s">
        <v>3877</v>
      </c>
      <c r="B245" s="7" t="s">
        <v>1491</v>
      </c>
    </row>
    <row r="246" spans="1:2">
      <c r="A246" s="7" t="s">
        <v>3878</v>
      </c>
      <c r="B246" s="7" t="s">
        <v>1492</v>
      </c>
    </row>
    <row r="247" spans="1:2">
      <c r="A247" s="7" t="s">
        <v>3879</v>
      </c>
      <c r="B247" s="7" t="s">
        <v>1493</v>
      </c>
    </row>
    <row r="248" spans="1:2">
      <c r="A248" s="7" t="s">
        <v>3880</v>
      </c>
      <c r="B248" s="7" t="s">
        <v>1494</v>
      </c>
    </row>
    <row r="249" spans="1:2">
      <c r="A249" s="7" t="s">
        <v>3881</v>
      </c>
      <c r="B249" s="7" t="s">
        <v>1495</v>
      </c>
    </row>
    <row r="250" spans="1:2">
      <c r="A250" s="7" t="s">
        <v>3882</v>
      </c>
      <c r="B250" s="7" t="s">
        <v>1496</v>
      </c>
    </row>
    <row r="251" spans="1:2">
      <c r="A251" s="7" t="s">
        <v>3883</v>
      </c>
      <c r="B251" s="7" t="s">
        <v>1497</v>
      </c>
    </row>
    <row r="252" spans="1:2">
      <c r="A252" s="7" t="s">
        <v>3884</v>
      </c>
      <c r="B252" s="7" t="s">
        <v>1498</v>
      </c>
    </row>
    <row r="253" spans="1:2">
      <c r="A253" s="7" t="s">
        <v>3885</v>
      </c>
      <c r="B253" s="7" t="s">
        <v>1499</v>
      </c>
    </row>
    <row r="254" spans="1:2">
      <c r="A254" s="7" t="s">
        <v>3886</v>
      </c>
      <c r="B254" s="7" t="s">
        <v>1500</v>
      </c>
    </row>
    <row r="255" spans="1:2">
      <c r="A255" s="7" t="s">
        <v>3887</v>
      </c>
      <c r="B255" s="7" t="s">
        <v>1501</v>
      </c>
    </row>
    <row r="256" spans="1:2">
      <c r="A256" s="7" t="s">
        <v>3888</v>
      </c>
      <c r="B256" s="7" t="s">
        <v>1502</v>
      </c>
    </row>
    <row r="257" spans="1:2">
      <c r="A257" s="7" t="s">
        <v>3889</v>
      </c>
      <c r="B257" s="7" t="s">
        <v>1503</v>
      </c>
    </row>
    <row r="258" spans="1:2">
      <c r="A258" s="7" t="s">
        <v>3890</v>
      </c>
      <c r="B258" s="7" t="s">
        <v>1504</v>
      </c>
    </row>
    <row r="259" spans="1:2">
      <c r="A259" s="7" t="s">
        <v>3891</v>
      </c>
      <c r="B259" s="7" t="s">
        <v>1505</v>
      </c>
    </row>
    <row r="260" spans="1:2">
      <c r="A260" s="7" t="s">
        <v>3892</v>
      </c>
      <c r="B260" s="7" t="s">
        <v>1506</v>
      </c>
    </row>
    <row r="261" spans="1:2">
      <c r="A261" s="7" t="s">
        <v>3893</v>
      </c>
      <c r="B261" s="7" t="s">
        <v>1507</v>
      </c>
    </row>
    <row r="262" spans="1:2">
      <c r="A262" s="7" t="s">
        <v>3894</v>
      </c>
      <c r="B262" s="7" t="s">
        <v>1508</v>
      </c>
    </row>
    <row r="263" spans="1:2">
      <c r="A263" s="7" t="s">
        <v>3895</v>
      </c>
      <c r="B263" s="7" t="s">
        <v>1509</v>
      </c>
    </row>
    <row r="264" spans="1:2">
      <c r="A264" s="7" t="s">
        <v>3896</v>
      </c>
      <c r="B264" s="7" t="s">
        <v>1510</v>
      </c>
    </row>
    <row r="265" spans="1:2">
      <c r="A265" s="7" t="s">
        <v>3897</v>
      </c>
      <c r="B265" s="7" t="s">
        <v>1511</v>
      </c>
    </row>
    <row r="266" spans="1:2">
      <c r="A266" s="7" t="s">
        <v>3898</v>
      </c>
      <c r="B266" s="7" t="s">
        <v>1512</v>
      </c>
    </row>
    <row r="267" spans="1:2">
      <c r="A267" s="7" t="s">
        <v>3899</v>
      </c>
      <c r="B267" s="7" t="s">
        <v>1513</v>
      </c>
    </row>
    <row r="268" spans="1:2">
      <c r="A268" s="7" t="s">
        <v>3900</v>
      </c>
      <c r="B268" s="7" t="s">
        <v>1514</v>
      </c>
    </row>
    <row r="269" spans="1:2">
      <c r="A269" s="7" t="s">
        <v>3901</v>
      </c>
      <c r="B269" s="7" t="s">
        <v>1515</v>
      </c>
    </row>
    <row r="270" spans="1:2">
      <c r="A270" s="7" t="s">
        <v>3902</v>
      </c>
      <c r="B270" s="7" t="s">
        <v>1516</v>
      </c>
    </row>
    <row r="271" spans="1:2">
      <c r="A271" s="7" t="s">
        <v>3903</v>
      </c>
      <c r="B271" s="7" t="s">
        <v>1517</v>
      </c>
    </row>
    <row r="272" spans="1:2">
      <c r="A272" s="7" t="s">
        <v>3904</v>
      </c>
      <c r="B272" s="7" t="s">
        <v>1518</v>
      </c>
    </row>
    <row r="273" spans="1:2">
      <c r="A273" s="7" t="s">
        <v>3905</v>
      </c>
      <c r="B273" s="7" t="s">
        <v>1519</v>
      </c>
    </row>
    <row r="274" spans="1:2">
      <c r="A274" s="7" t="s">
        <v>3906</v>
      </c>
      <c r="B274" s="7" t="s">
        <v>1520</v>
      </c>
    </row>
    <row r="275" spans="1:2">
      <c r="A275" s="7" t="s">
        <v>3907</v>
      </c>
      <c r="B275" s="7" t="s">
        <v>1521</v>
      </c>
    </row>
    <row r="276" spans="1:2">
      <c r="A276" s="7" t="s">
        <v>3908</v>
      </c>
      <c r="B276" s="7" t="s">
        <v>1522</v>
      </c>
    </row>
    <row r="277" spans="1:2">
      <c r="A277" s="7" t="s">
        <v>3909</v>
      </c>
      <c r="B277" s="7" t="s">
        <v>1523</v>
      </c>
    </row>
    <row r="278" spans="1:2">
      <c r="A278" s="7" t="s">
        <v>3910</v>
      </c>
      <c r="B278" s="7" t="s">
        <v>1524</v>
      </c>
    </row>
    <row r="279" spans="1:2">
      <c r="A279" s="7" t="s">
        <v>3911</v>
      </c>
      <c r="B279" s="7" t="s">
        <v>1525</v>
      </c>
    </row>
    <row r="280" spans="1:2">
      <c r="A280" s="7" t="s">
        <v>3912</v>
      </c>
      <c r="B280" s="7" t="s">
        <v>1526</v>
      </c>
    </row>
    <row r="281" spans="1:2">
      <c r="A281" s="7" t="s">
        <v>3913</v>
      </c>
      <c r="B281" s="7" t="s">
        <v>1527</v>
      </c>
    </row>
    <row r="282" spans="1:2">
      <c r="A282" s="7" t="s">
        <v>3914</v>
      </c>
      <c r="B282" s="7" t="s">
        <v>1528</v>
      </c>
    </row>
    <row r="283" spans="1:2">
      <c r="A283" s="7" t="s">
        <v>3915</v>
      </c>
      <c r="B283" s="7" t="s">
        <v>1529</v>
      </c>
    </row>
    <row r="284" spans="1:2">
      <c r="A284" s="7" t="s">
        <v>3916</v>
      </c>
      <c r="B284" s="7" t="s">
        <v>1530</v>
      </c>
    </row>
    <row r="285" spans="1:2">
      <c r="A285" s="7" t="s">
        <v>3917</v>
      </c>
      <c r="B285" s="7" t="s">
        <v>1531</v>
      </c>
    </row>
    <row r="286" spans="1:2">
      <c r="A286" s="7" t="s">
        <v>3918</v>
      </c>
      <c r="B286" s="7" t="s">
        <v>1532</v>
      </c>
    </row>
    <row r="287" spans="1:2">
      <c r="A287" s="7" t="s">
        <v>3919</v>
      </c>
      <c r="B287" s="7" t="s">
        <v>1533</v>
      </c>
    </row>
    <row r="288" spans="1:2">
      <c r="A288" s="7" t="s">
        <v>3920</v>
      </c>
      <c r="B288" s="7" t="s">
        <v>1534</v>
      </c>
    </row>
    <row r="289" spans="1:2">
      <c r="A289" s="7" t="s">
        <v>3921</v>
      </c>
      <c r="B289" s="7" t="s">
        <v>1535</v>
      </c>
    </row>
    <row r="290" spans="1:2">
      <c r="A290" s="7" t="s">
        <v>3922</v>
      </c>
      <c r="B290" s="7" t="s">
        <v>1536</v>
      </c>
    </row>
    <row r="291" spans="1:2">
      <c r="A291" s="7" t="s">
        <v>3923</v>
      </c>
      <c r="B291" s="7" t="s">
        <v>1537</v>
      </c>
    </row>
    <row r="292" spans="1:2">
      <c r="A292" s="7" t="s">
        <v>3924</v>
      </c>
      <c r="B292" s="7" t="s">
        <v>1538</v>
      </c>
    </row>
    <row r="293" spans="1:2">
      <c r="A293" s="7" t="s">
        <v>3925</v>
      </c>
      <c r="B293" s="7" t="s">
        <v>1539</v>
      </c>
    </row>
    <row r="294" spans="1:2">
      <c r="A294" s="7" t="s">
        <v>3926</v>
      </c>
      <c r="B294" s="7" t="s">
        <v>1540</v>
      </c>
    </row>
    <row r="295" spans="1:2">
      <c r="A295" s="7" t="s">
        <v>3927</v>
      </c>
      <c r="B295" s="7" t="s">
        <v>1541</v>
      </c>
    </row>
    <row r="296" spans="1:2">
      <c r="A296" s="7" t="s">
        <v>3928</v>
      </c>
      <c r="B296" s="7" t="s">
        <v>1542</v>
      </c>
    </row>
    <row r="297" spans="1:2">
      <c r="A297" s="7" t="s">
        <v>3929</v>
      </c>
      <c r="B297" s="7" t="s">
        <v>1543</v>
      </c>
    </row>
    <row r="298" spans="1:2">
      <c r="A298" s="7" t="s">
        <v>3930</v>
      </c>
      <c r="B298" s="7" t="s">
        <v>1544</v>
      </c>
    </row>
    <row r="299" spans="1:2">
      <c r="A299" s="7" t="s">
        <v>3931</v>
      </c>
      <c r="B299" s="7" t="s">
        <v>1545</v>
      </c>
    </row>
    <row r="300" spans="1:2">
      <c r="A300" s="7" t="s">
        <v>3932</v>
      </c>
      <c r="B300" s="7" t="s">
        <v>1546</v>
      </c>
    </row>
    <row r="301" spans="1:2">
      <c r="A301" s="7" t="s">
        <v>3933</v>
      </c>
      <c r="B301" s="7" t="s">
        <v>1547</v>
      </c>
    </row>
    <row r="302" spans="1:2">
      <c r="A302" s="7" t="s">
        <v>3934</v>
      </c>
      <c r="B302" s="7" t="s">
        <v>1548</v>
      </c>
    </row>
    <row r="303" spans="1:2">
      <c r="A303" s="7" t="s">
        <v>3935</v>
      </c>
      <c r="B303" s="7" t="s">
        <v>1549</v>
      </c>
    </row>
    <row r="304" spans="1:2">
      <c r="A304" s="7" t="s">
        <v>3936</v>
      </c>
      <c r="B304" s="7" t="s">
        <v>1550</v>
      </c>
    </row>
    <row r="305" spans="1:2">
      <c r="A305" s="7" t="s">
        <v>3937</v>
      </c>
      <c r="B305" s="7" t="s">
        <v>1551</v>
      </c>
    </row>
    <row r="306" spans="1:2">
      <c r="A306" s="7" t="s">
        <v>3938</v>
      </c>
      <c r="B306" s="7" t="s">
        <v>1552</v>
      </c>
    </row>
    <row r="307" spans="1:2">
      <c r="A307" s="7" t="s">
        <v>3939</v>
      </c>
      <c r="B307" s="7" t="s">
        <v>1553</v>
      </c>
    </row>
    <row r="308" spans="1:2">
      <c r="A308" s="7" t="s">
        <v>3940</v>
      </c>
      <c r="B308" s="7" t="s">
        <v>1554</v>
      </c>
    </row>
    <row r="309" spans="1:2">
      <c r="A309" s="7" t="s">
        <v>3941</v>
      </c>
      <c r="B309" s="7" t="s">
        <v>1555</v>
      </c>
    </row>
    <row r="310" spans="1:2">
      <c r="A310" s="7" t="s">
        <v>3942</v>
      </c>
      <c r="B310" s="7" t="s">
        <v>1556</v>
      </c>
    </row>
    <row r="311" spans="1:2">
      <c r="A311" s="7" t="s">
        <v>3943</v>
      </c>
      <c r="B311" s="7" t="s">
        <v>1557</v>
      </c>
    </row>
    <row r="312" spans="1:2">
      <c r="A312" s="7" t="s">
        <v>3944</v>
      </c>
      <c r="B312" s="7" t="s">
        <v>1558</v>
      </c>
    </row>
    <row r="313" spans="1:2">
      <c r="A313" s="7" t="s">
        <v>3945</v>
      </c>
      <c r="B313" s="7" t="s">
        <v>1559</v>
      </c>
    </row>
    <row r="314" spans="1:2">
      <c r="A314" s="7" t="s">
        <v>3946</v>
      </c>
      <c r="B314" s="7" t="s">
        <v>1560</v>
      </c>
    </row>
    <row r="315" spans="1:2">
      <c r="A315" s="7" t="s">
        <v>3947</v>
      </c>
      <c r="B315" s="7" t="s">
        <v>1561</v>
      </c>
    </row>
    <row r="316" spans="1:2">
      <c r="A316" s="7" t="s">
        <v>3948</v>
      </c>
      <c r="B316" s="7" t="s">
        <v>1562</v>
      </c>
    </row>
    <row r="317" spans="1:2">
      <c r="A317" s="7" t="s">
        <v>3949</v>
      </c>
      <c r="B317" s="7" t="s">
        <v>1563</v>
      </c>
    </row>
    <row r="318" spans="1:2">
      <c r="A318" s="7" t="s">
        <v>3950</v>
      </c>
      <c r="B318" s="7" t="s">
        <v>1564</v>
      </c>
    </row>
    <row r="319" spans="1:2">
      <c r="A319" s="7" t="s">
        <v>3951</v>
      </c>
      <c r="B319" s="7" t="s">
        <v>1565</v>
      </c>
    </row>
    <row r="320" spans="1:2">
      <c r="A320" s="7" t="s">
        <v>3952</v>
      </c>
      <c r="B320" s="7" t="s">
        <v>1566</v>
      </c>
    </row>
    <row r="321" spans="1:2">
      <c r="A321" s="7" t="s">
        <v>3953</v>
      </c>
      <c r="B321" s="7" t="s">
        <v>1567</v>
      </c>
    </row>
    <row r="322" spans="1:2">
      <c r="A322" s="7" t="s">
        <v>3954</v>
      </c>
      <c r="B322" s="7" t="s">
        <v>1568</v>
      </c>
    </row>
    <row r="323" spans="1:2">
      <c r="A323" s="7" t="s">
        <v>3955</v>
      </c>
      <c r="B323" s="7" t="s">
        <v>1569</v>
      </c>
    </row>
    <row r="324" spans="1:2">
      <c r="A324" s="7" t="s">
        <v>3956</v>
      </c>
      <c r="B324" s="7" t="s">
        <v>1570</v>
      </c>
    </row>
    <row r="325" spans="1:2">
      <c r="A325" s="7" t="s">
        <v>3957</v>
      </c>
      <c r="B325" s="7" t="s">
        <v>1571</v>
      </c>
    </row>
    <row r="326" spans="1:2">
      <c r="A326" s="7" t="s">
        <v>3958</v>
      </c>
      <c r="B326" s="7" t="s">
        <v>1572</v>
      </c>
    </row>
    <row r="327" spans="1:2">
      <c r="A327" s="7" t="s">
        <v>3959</v>
      </c>
      <c r="B327" s="7" t="s">
        <v>1573</v>
      </c>
    </row>
    <row r="328" spans="1:2">
      <c r="A328" s="7" t="s">
        <v>3960</v>
      </c>
      <c r="B328" s="7" t="s">
        <v>1574</v>
      </c>
    </row>
    <row r="329" spans="1:2">
      <c r="A329" s="7" t="s">
        <v>3961</v>
      </c>
      <c r="B329" s="7" t="s">
        <v>1575</v>
      </c>
    </row>
    <row r="330" spans="1:2">
      <c r="A330" s="7" t="s">
        <v>3962</v>
      </c>
      <c r="B330" s="7" t="s">
        <v>1576</v>
      </c>
    </row>
    <row r="331" spans="1:2">
      <c r="A331" s="7" t="s">
        <v>3963</v>
      </c>
      <c r="B331" s="7" t="s">
        <v>1577</v>
      </c>
    </row>
    <row r="332" spans="1:2">
      <c r="A332" s="7" t="s">
        <v>3964</v>
      </c>
      <c r="B332" s="7" t="s">
        <v>1578</v>
      </c>
    </row>
    <row r="333" spans="1:2">
      <c r="A333" s="7" t="s">
        <v>3965</v>
      </c>
      <c r="B333" s="7" t="s">
        <v>1579</v>
      </c>
    </row>
    <row r="334" spans="1:2">
      <c r="A334" s="7" t="s">
        <v>3966</v>
      </c>
      <c r="B334" s="7" t="s">
        <v>1580</v>
      </c>
    </row>
    <row r="335" spans="1:2">
      <c r="A335" s="7" t="s">
        <v>3967</v>
      </c>
      <c r="B335" s="7" t="s">
        <v>1581</v>
      </c>
    </row>
    <row r="336" spans="1:2">
      <c r="A336" s="7" t="s">
        <v>3968</v>
      </c>
      <c r="B336" s="7" t="s">
        <v>1582</v>
      </c>
    </row>
    <row r="337" spans="1:2">
      <c r="A337" s="7" t="s">
        <v>3969</v>
      </c>
      <c r="B337" s="7" t="s">
        <v>1583</v>
      </c>
    </row>
    <row r="338" spans="1:2">
      <c r="A338" s="7" t="s">
        <v>3970</v>
      </c>
      <c r="B338" s="7" t="s">
        <v>1584</v>
      </c>
    </row>
    <row r="339" spans="1:2">
      <c r="A339" s="7" t="s">
        <v>3971</v>
      </c>
      <c r="B339" s="7" t="s">
        <v>1585</v>
      </c>
    </row>
    <row r="340" spans="1:2">
      <c r="A340" s="7" t="s">
        <v>3972</v>
      </c>
      <c r="B340" s="7" t="s">
        <v>1586</v>
      </c>
    </row>
    <row r="341" spans="1:2">
      <c r="A341" s="7" t="s">
        <v>3973</v>
      </c>
      <c r="B341" s="7" t="s">
        <v>1587</v>
      </c>
    </row>
    <row r="342" spans="1:2">
      <c r="A342" s="7" t="s">
        <v>3974</v>
      </c>
      <c r="B342" s="7" t="s">
        <v>1588</v>
      </c>
    </row>
    <row r="343" spans="1:2">
      <c r="A343" s="7" t="s">
        <v>3975</v>
      </c>
      <c r="B343" s="7" t="s">
        <v>1589</v>
      </c>
    </row>
    <row r="344" spans="1:2">
      <c r="A344" s="7" t="s">
        <v>3976</v>
      </c>
      <c r="B344" s="7" t="s">
        <v>1590</v>
      </c>
    </row>
    <row r="345" spans="1:2">
      <c r="A345" s="7" t="s">
        <v>3977</v>
      </c>
      <c r="B345" s="7" t="s">
        <v>1591</v>
      </c>
    </row>
    <row r="346" spans="1:2">
      <c r="A346" s="7" t="s">
        <v>3978</v>
      </c>
      <c r="B346" s="7" t="s">
        <v>1592</v>
      </c>
    </row>
    <row r="347" spans="1:2">
      <c r="A347" s="7" t="s">
        <v>3979</v>
      </c>
      <c r="B347" s="7" t="s">
        <v>1593</v>
      </c>
    </row>
    <row r="348" spans="1:2">
      <c r="A348" s="7" t="s">
        <v>3980</v>
      </c>
      <c r="B348" s="7" t="s">
        <v>1594</v>
      </c>
    </row>
    <row r="349" spans="1:2">
      <c r="A349" s="7" t="s">
        <v>3981</v>
      </c>
      <c r="B349" s="7" t="s">
        <v>1595</v>
      </c>
    </row>
    <row r="350" spans="1:2">
      <c r="A350" s="7" t="s">
        <v>3982</v>
      </c>
      <c r="B350" s="7" t="s">
        <v>1596</v>
      </c>
    </row>
    <row r="351" spans="1:2">
      <c r="A351" s="7" t="s">
        <v>3983</v>
      </c>
      <c r="B351" s="7" t="s">
        <v>1597</v>
      </c>
    </row>
    <row r="352" spans="1:2">
      <c r="A352" s="7" t="s">
        <v>3984</v>
      </c>
      <c r="B352" s="7" t="s">
        <v>1598</v>
      </c>
    </row>
    <row r="353" spans="1:2">
      <c r="A353" s="7" t="s">
        <v>3985</v>
      </c>
      <c r="B353" s="7" t="s">
        <v>1599</v>
      </c>
    </row>
    <row r="354" spans="1:2">
      <c r="A354" s="7" t="s">
        <v>3986</v>
      </c>
      <c r="B354" s="7" t="s">
        <v>1600</v>
      </c>
    </row>
    <row r="355" spans="1:2">
      <c r="A355" s="7" t="s">
        <v>3987</v>
      </c>
      <c r="B355" s="7" t="s">
        <v>1601</v>
      </c>
    </row>
    <row r="356" spans="1:2">
      <c r="A356" s="7" t="s">
        <v>3988</v>
      </c>
      <c r="B356" s="7" t="s">
        <v>1602</v>
      </c>
    </row>
    <row r="357" spans="1:2">
      <c r="A357" s="7" t="s">
        <v>3989</v>
      </c>
      <c r="B357" s="7" t="s">
        <v>1603</v>
      </c>
    </row>
    <row r="358" spans="1:2">
      <c r="A358" s="7" t="s">
        <v>3990</v>
      </c>
      <c r="B358" s="7" t="s">
        <v>1604</v>
      </c>
    </row>
    <row r="359" spans="1:2">
      <c r="A359" s="7" t="s">
        <v>3991</v>
      </c>
      <c r="B359" s="7" t="s">
        <v>1605</v>
      </c>
    </row>
    <row r="360" spans="1:2">
      <c r="A360" s="7" t="s">
        <v>3992</v>
      </c>
      <c r="B360" s="7" t="s">
        <v>1606</v>
      </c>
    </row>
    <row r="361" spans="1:2">
      <c r="A361" s="7" t="s">
        <v>3993</v>
      </c>
      <c r="B361" s="7" t="s">
        <v>1607</v>
      </c>
    </row>
    <row r="362" spans="1:2">
      <c r="A362" s="7" t="s">
        <v>3994</v>
      </c>
      <c r="B362" s="7" t="s">
        <v>1608</v>
      </c>
    </row>
    <row r="363" spans="1:2">
      <c r="A363" s="7" t="s">
        <v>3995</v>
      </c>
      <c r="B363" s="7" t="s">
        <v>1609</v>
      </c>
    </row>
    <row r="364" spans="1:2">
      <c r="A364" s="7" t="s">
        <v>3996</v>
      </c>
      <c r="B364" s="7" t="s">
        <v>1610</v>
      </c>
    </row>
    <row r="365" spans="1:2">
      <c r="A365" s="7" t="s">
        <v>3997</v>
      </c>
      <c r="B365" s="7" t="s">
        <v>1611</v>
      </c>
    </row>
    <row r="366" spans="1:2">
      <c r="A366" s="7" t="s">
        <v>3998</v>
      </c>
      <c r="B366" s="7" t="s">
        <v>1612</v>
      </c>
    </row>
    <row r="367" spans="1:2">
      <c r="A367" s="7" t="s">
        <v>3999</v>
      </c>
      <c r="B367" s="7" t="s">
        <v>1613</v>
      </c>
    </row>
    <row r="368" spans="1:2">
      <c r="A368" s="7" t="s">
        <v>4000</v>
      </c>
      <c r="B368" s="7" t="s">
        <v>1614</v>
      </c>
    </row>
    <row r="369" spans="1:2">
      <c r="A369" s="7" t="s">
        <v>4001</v>
      </c>
      <c r="B369" s="7" t="s">
        <v>1615</v>
      </c>
    </row>
    <row r="370" spans="1:2">
      <c r="A370" s="7" t="s">
        <v>4002</v>
      </c>
      <c r="B370" s="7" t="s">
        <v>1616</v>
      </c>
    </row>
    <row r="371" spans="1:2">
      <c r="A371" s="7" t="s">
        <v>4003</v>
      </c>
      <c r="B371" s="7" t="s">
        <v>1617</v>
      </c>
    </row>
    <row r="372" spans="1:2">
      <c r="A372" s="7" t="s">
        <v>4004</v>
      </c>
      <c r="B372" s="7" t="s">
        <v>1618</v>
      </c>
    </row>
    <row r="373" spans="1:2">
      <c r="A373" s="7" t="s">
        <v>4005</v>
      </c>
      <c r="B373" s="7" t="s">
        <v>1619</v>
      </c>
    </row>
    <row r="374" spans="1:2">
      <c r="A374" s="7" t="s">
        <v>4006</v>
      </c>
      <c r="B374" s="7" t="s">
        <v>1620</v>
      </c>
    </row>
    <row r="375" spans="1:2">
      <c r="A375" s="7" t="s">
        <v>4007</v>
      </c>
      <c r="B375" s="7" t="s">
        <v>1621</v>
      </c>
    </row>
    <row r="376" spans="1:2">
      <c r="A376" s="7" t="s">
        <v>4008</v>
      </c>
      <c r="B376" s="7" t="s">
        <v>1622</v>
      </c>
    </row>
    <row r="377" spans="1:2">
      <c r="A377" s="7" t="s">
        <v>4009</v>
      </c>
      <c r="B377" s="7" t="s">
        <v>1623</v>
      </c>
    </row>
    <row r="378" spans="1:2">
      <c r="A378" s="7" t="s">
        <v>4010</v>
      </c>
      <c r="B378" s="7" t="s">
        <v>1624</v>
      </c>
    </row>
    <row r="379" spans="1:2">
      <c r="A379" s="7" t="s">
        <v>4011</v>
      </c>
      <c r="B379" s="7" t="s">
        <v>1625</v>
      </c>
    </row>
    <row r="380" spans="1:2">
      <c r="A380" s="7" t="s">
        <v>4012</v>
      </c>
      <c r="B380" s="7" t="s">
        <v>1626</v>
      </c>
    </row>
    <row r="381" spans="1:2">
      <c r="A381" s="7" t="s">
        <v>4013</v>
      </c>
      <c r="B381" s="7" t="s">
        <v>1627</v>
      </c>
    </row>
    <row r="382" spans="1:2">
      <c r="A382" s="7" t="s">
        <v>4014</v>
      </c>
      <c r="B382" s="7" t="s">
        <v>1628</v>
      </c>
    </row>
    <row r="383" spans="1:2">
      <c r="A383" s="7" t="s">
        <v>4015</v>
      </c>
      <c r="B383" s="7" t="s">
        <v>1629</v>
      </c>
    </row>
    <row r="384" spans="1:2">
      <c r="A384" s="7" t="s">
        <v>4016</v>
      </c>
      <c r="B384" s="7" t="s">
        <v>1630</v>
      </c>
    </row>
    <row r="385" spans="1:2">
      <c r="A385" s="7" t="s">
        <v>4017</v>
      </c>
      <c r="B385" s="7" t="s">
        <v>1631</v>
      </c>
    </row>
    <row r="386" spans="1:2">
      <c r="A386" s="7" t="s">
        <v>4018</v>
      </c>
      <c r="B386" s="7" t="s">
        <v>1632</v>
      </c>
    </row>
    <row r="387" spans="1:2">
      <c r="A387" s="7" t="s">
        <v>4019</v>
      </c>
      <c r="B387" s="7" t="s">
        <v>1633</v>
      </c>
    </row>
    <row r="388" spans="1:2">
      <c r="A388" s="7" t="s">
        <v>4020</v>
      </c>
      <c r="B388" s="7" t="s">
        <v>1634</v>
      </c>
    </row>
    <row r="389" spans="1:2">
      <c r="A389" s="7" t="s">
        <v>4021</v>
      </c>
      <c r="B389" s="7" t="s">
        <v>1635</v>
      </c>
    </row>
    <row r="390" spans="1:2">
      <c r="A390" s="7" t="s">
        <v>4022</v>
      </c>
      <c r="B390" s="7" t="s">
        <v>1636</v>
      </c>
    </row>
    <row r="391" spans="1:2">
      <c r="A391" s="7" t="s">
        <v>4023</v>
      </c>
      <c r="B391" s="7" t="s">
        <v>1637</v>
      </c>
    </row>
    <row r="392" spans="1:2">
      <c r="A392" s="7" t="s">
        <v>4024</v>
      </c>
      <c r="B392" s="7" t="s">
        <v>1638</v>
      </c>
    </row>
    <row r="393" spans="1:2">
      <c r="A393" s="7" t="s">
        <v>4025</v>
      </c>
      <c r="B393" s="7" t="s">
        <v>1639</v>
      </c>
    </row>
    <row r="394" spans="1:2">
      <c r="A394" s="7" t="s">
        <v>4026</v>
      </c>
      <c r="B394" s="7" t="s">
        <v>1640</v>
      </c>
    </row>
    <row r="395" spans="1:2">
      <c r="A395" s="7" t="s">
        <v>4027</v>
      </c>
      <c r="B395" s="7" t="s">
        <v>1641</v>
      </c>
    </row>
    <row r="396" spans="1:2">
      <c r="A396" s="7" t="s">
        <v>4028</v>
      </c>
      <c r="B396" s="7" t="s">
        <v>1642</v>
      </c>
    </row>
    <row r="397" spans="1:2">
      <c r="A397" s="7" t="s">
        <v>4029</v>
      </c>
      <c r="B397" s="7" t="s">
        <v>1643</v>
      </c>
    </row>
    <row r="398" spans="1:2">
      <c r="A398" s="7" t="s">
        <v>4030</v>
      </c>
      <c r="B398" s="7" t="s">
        <v>1644</v>
      </c>
    </row>
    <row r="399" spans="1:2">
      <c r="A399" s="7" t="s">
        <v>4031</v>
      </c>
      <c r="B399" s="7" t="s">
        <v>1645</v>
      </c>
    </row>
    <row r="400" spans="1:2">
      <c r="A400" s="7" t="s">
        <v>4032</v>
      </c>
      <c r="B400" s="7" t="s">
        <v>1646</v>
      </c>
    </row>
    <row r="401" spans="1:2">
      <c r="A401" s="7" t="s">
        <v>4033</v>
      </c>
      <c r="B401" s="7" t="s">
        <v>1647</v>
      </c>
    </row>
    <row r="402" spans="1:2">
      <c r="A402" s="7" t="s">
        <v>4034</v>
      </c>
      <c r="B402" s="7" t="s">
        <v>1648</v>
      </c>
    </row>
    <row r="403" spans="1:2">
      <c r="A403" s="7" t="s">
        <v>4035</v>
      </c>
      <c r="B403" s="7" t="s">
        <v>1649</v>
      </c>
    </row>
    <row r="404" spans="1:2">
      <c r="A404" s="7" t="s">
        <v>4036</v>
      </c>
      <c r="B404" s="7" t="s">
        <v>1650</v>
      </c>
    </row>
    <row r="405" spans="1:2">
      <c r="A405" s="7" t="s">
        <v>4037</v>
      </c>
      <c r="B405" s="7" t="s">
        <v>1651</v>
      </c>
    </row>
    <row r="406" spans="1:2">
      <c r="A406" s="7" t="s">
        <v>4038</v>
      </c>
      <c r="B406" s="7" t="s">
        <v>1652</v>
      </c>
    </row>
    <row r="407" spans="1:2">
      <c r="A407" s="7" t="s">
        <v>4039</v>
      </c>
      <c r="B407" s="7" t="s">
        <v>1653</v>
      </c>
    </row>
    <row r="408" spans="1:2">
      <c r="A408" s="7" t="s">
        <v>4040</v>
      </c>
      <c r="B408" s="7" t="s">
        <v>1654</v>
      </c>
    </row>
    <row r="409" spans="1:2">
      <c r="A409" s="7" t="s">
        <v>4041</v>
      </c>
      <c r="B409" s="7" t="s">
        <v>1655</v>
      </c>
    </row>
    <row r="410" spans="1:2">
      <c r="A410" s="7" t="s">
        <v>4042</v>
      </c>
      <c r="B410" s="7" t="s">
        <v>1656</v>
      </c>
    </row>
    <row r="411" spans="1:2">
      <c r="A411" s="7" t="s">
        <v>4043</v>
      </c>
      <c r="B411" s="7" t="s">
        <v>1657</v>
      </c>
    </row>
    <row r="412" spans="1:2">
      <c r="A412" s="7" t="s">
        <v>4044</v>
      </c>
      <c r="B412" s="7" t="s">
        <v>1658</v>
      </c>
    </row>
    <row r="413" spans="1:2">
      <c r="A413" s="7" t="s">
        <v>4045</v>
      </c>
      <c r="B413" s="7" t="s">
        <v>1659</v>
      </c>
    </row>
    <row r="414" spans="1:2">
      <c r="A414" s="7" t="s">
        <v>4046</v>
      </c>
      <c r="B414" s="7" t="s">
        <v>1660</v>
      </c>
    </row>
    <row r="415" spans="1:2">
      <c r="A415" s="7" t="s">
        <v>4047</v>
      </c>
      <c r="B415" s="7" t="s">
        <v>1661</v>
      </c>
    </row>
    <row r="416" spans="1:2">
      <c r="A416" s="7" t="s">
        <v>4048</v>
      </c>
      <c r="B416" s="7" t="s">
        <v>1662</v>
      </c>
    </row>
    <row r="417" spans="1:2">
      <c r="A417" s="7" t="s">
        <v>4049</v>
      </c>
      <c r="B417" s="7" t="s">
        <v>1663</v>
      </c>
    </row>
    <row r="418" spans="1:2">
      <c r="A418" s="7" t="s">
        <v>4050</v>
      </c>
      <c r="B418" s="7" t="s">
        <v>1664</v>
      </c>
    </row>
    <row r="419" spans="1:2">
      <c r="A419" s="7" t="s">
        <v>4051</v>
      </c>
      <c r="B419" s="7" t="s">
        <v>1665</v>
      </c>
    </row>
    <row r="420" spans="1:2">
      <c r="A420" s="7" t="s">
        <v>4052</v>
      </c>
      <c r="B420" s="7" t="s">
        <v>1666</v>
      </c>
    </row>
    <row r="421" spans="1:2">
      <c r="A421" s="7" t="s">
        <v>4053</v>
      </c>
      <c r="B421" s="7" t="s">
        <v>1667</v>
      </c>
    </row>
    <row r="422" spans="1:2">
      <c r="A422" s="7" t="s">
        <v>4054</v>
      </c>
      <c r="B422" s="7" t="s">
        <v>1668</v>
      </c>
    </row>
    <row r="423" spans="1:2">
      <c r="A423" s="7" t="s">
        <v>4055</v>
      </c>
      <c r="B423" s="7" t="s">
        <v>1669</v>
      </c>
    </row>
    <row r="424" spans="1:2">
      <c r="A424" s="7" t="s">
        <v>4056</v>
      </c>
      <c r="B424" s="7" t="s">
        <v>1670</v>
      </c>
    </row>
    <row r="425" spans="1:2">
      <c r="A425" s="7" t="s">
        <v>4057</v>
      </c>
      <c r="B425" s="7" t="s">
        <v>1671</v>
      </c>
    </row>
    <row r="426" spans="1:2">
      <c r="A426" s="7" t="s">
        <v>4058</v>
      </c>
      <c r="B426" s="7" t="s">
        <v>1672</v>
      </c>
    </row>
    <row r="427" spans="1:2">
      <c r="A427" s="7" t="s">
        <v>4059</v>
      </c>
      <c r="B427" s="7" t="s">
        <v>1673</v>
      </c>
    </row>
    <row r="428" spans="1:2">
      <c r="A428" s="7" t="s">
        <v>4060</v>
      </c>
      <c r="B428" s="7" t="s">
        <v>1674</v>
      </c>
    </row>
    <row r="429" spans="1:2">
      <c r="A429" s="7" t="s">
        <v>4061</v>
      </c>
      <c r="B429" s="7" t="s">
        <v>1675</v>
      </c>
    </row>
    <row r="430" spans="1:2">
      <c r="A430" s="7" t="s">
        <v>4062</v>
      </c>
      <c r="B430" s="7" t="s">
        <v>1676</v>
      </c>
    </row>
    <row r="431" spans="1:2">
      <c r="A431" s="7" t="s">
        <v>4063</v>
      </c>
      <c r="B431" s="7" t="s">
        <v>1677</v>
      </c>
    </row>
    <row r="432" spans="1:2">
      <c r="A432" s="7" t="s">
        <v>4064</v>
      </c>
      <c r="B432" s="7" t="s">
        <v>1678</v>
      </c>
    </row>
    <row r="433" spans="1:2">
      <c r="A433" s="7" t="s">
        <v>4065</v>
      </c>
      <c r="B433" s="7" t="s">
        <v>1679</v>
      </c>
    </row>
    <row r="434" spans="1:2">
      <c r="A434" s="7" t="s">
        <v>4066</v>
      </c>
      <c r="B434" s="7" t="s">
        <v>1680</v>
      </c>
    </row>
    <row r="435" spans="1:2">
      <c r="A435" s="7" t="s">
        <v>4067</v>
      </c>
      <c r="B435" s="7" t="s">
        <v>1681</v>
      </c>
    </row>
    <row r="436" spans="1:2">
      <c r="A436" s="7" t="s">
        <v>4068</v>
      </c>
      <c r="B436" s="7" t="s">
        <v>1682</v>
      </c>
    </row>
    <row r="437" spans="1:2">
      <c r="A437" s="7" t="s">
        <v>4069</v>
      </c>
      <c r="B437" s="7" t="s">
        <v>1683</v>
      </c>
    </row>
    <row r="438" spans="1:2">
      <c r="A438" s="7" t="s">
        <v>4070</v>
      </c>
      <c r="B438" s="7" t="s">
        <v>1684</v>
      </c>
    </row>
    <row r="439" spans="1:2">
      <c r="A439" s="7" t="s">
        <v>4071</v>
      </c>
      <c r="B439" s="7" t="s">
        <v>1685</v>
      </c>
    </row>
    <row r="440" spans="1:2">
      <c r="A440" s="7" t="s">
        <v>4072</v>
      </c>
      <c r="B440" s="7" t="s">
        <v>1686</v>
      </c>
    </row>
    <row r="441" spans="1:2">
      <c r="A441" s="7" t="s">
        <v>4073</v>
      </c>
      <c r="B441" s="7" t="s">
        <v>1687</v>
      </c>
    </row>
    <row r="442" spans="1:2">
      <c r="A442" s="7" t="s">
        <v>4074</v>
      </c>
      <c r="B442" s="7" t="s">
        <v>1688</v>
      </c>
    </row>
    <row r="443" spans="1:2">
      <c r="A443" s="7" t="s">
        <v>4075</v>
      </c>
      <c r="B443" s="7" t="s">
        <v>1689</v>
      </c>
    </row>
    <row r="444" spans="1:2">
      <c r="A444" s="7" t="s">
        <v>4076</v>
      </c>
      <c r="B444" s="7" t="s">
        <v>1690</v>
      </c>
    </row>
    <row r="445" spans="1:2">
      <c r="A445" s="7" t="s">
        <v>4077</v>
      </c>
      <c r="B445" s="7" t="s">
        <v>1691</v>
      </c>
    </row>
    <row r="446" spans="1:2">
      <c r="A446" s="7" t="s">
        <v>4078</v>
      </c>
      <c r="B446" s="7" t="s">
        <v>1692</v>
      </c>
    </row>
    <row r="447" spans="1:2">
      <c r="A447" s="7" t="s">
        <v>4079</v>
      </c>
      <c r="B447" s="7" t="s">
        <v>1693</v>
      </c>
    </row>
    <row r="448" spans="1:2">
      <c r="A448" s="7" t="s">
        <v>4080</v>
      </c>
      <c r="B448" s="7" t="s">
        <v>1694</v>
      </c>
    </row>
    <row r="449" spans="1:2">
      <c r="A449" s="7" t="s">
        <v>4081</v>
      </c>
      <c r="B449" s="7" t="s">
        <v>1695</v>
      </c>
    </row>
    <row r="450" spans="1:2">
      <c r="A450" s="7" t="s">
        <v>4082</v>
      </c>
      <c r="B450" s="7" t="s">
        <v>1696</v>
      </c>
    </row>
    <row r="451" spans="1:2">
      <c r="A451" s="7" t="s">
        <v>4083</v>
      </c>
      <c r="B451" s="7" t="s">
        <v>1697</v>
      </c>
    </row>
    <row r="452" spans="1:2">
      <c r="A452" s="7" t="s">
        <v>4084</v>
      </c>
      <c r="B452" s="7" t="s">
        <v>1698</v>
      </c>
    </row>
    <row r="453" spans="1:2">
      <c r="A453" s="7" t="s">
        <v>4085</v>
      </c>
      <c r="B453" s="7" t="s">
        <v>1699</v>
      </c>
    </row>
    <row r="454" spans="1:2">
      <c r="A454" s="7" t="s">
        <v>4086</v>
      </c>
      <c r="B454" s="7" t="s">
        <v>1700</v>
      </c>
    </row>
    <row r="455" spans="1:2">
      <c r="A455" s="7" t="s">
        <v>4087</v>
      </c>
      <c r="B455" s="7" t="s">
        <v>1701</v>
      </c>
    </row>
    <row r="456" spans="1:2">
      <c r="A456" s="7" t="s">
        <v>4088</v>
      </c>
      <c r="B456" s="7" t="s">
        <v>1702</v>
      </c>
    </row>
    <row r="457" spans="1:2">
      <c r="A457" s="7" t="s">
        <v>4089</v>
      </c>
      <c r="B457" s="7" t="s">
        <v>1703</v>
      </c>
    </row>
    <row r="458" spans="1:2">
      <c r="A458" s="7" t="s">
        <v>4090</v>
      </c>
      <c r="B458" s="7" t="s">
        <v>1704</v>
      </c>
    </row>
    <row r="459" spans="1:2">
      <c r="A459" s="7" t="s">
        <v>4091</v>
      </c>
      <c r="B459" s="7" t="s">
        <v>1705</v>
      </c>
    </row>
    <row r="460" spans="1:2">
      <c r="A460" s="7" t="s">
        <v>4092</v>
      </c>
      <c r="B460" s="7" t="s">
        <v>1706</v>
      </c>
    </row>
    <row r="461" spans="1:2">
      <c r="A461" s="7" t="s">
        <v>4093</v>
      </c>
      <c r="B461" s="7" t="s">
        <v>1707</v>
      </c>
    </row>
    <row r="462" spans="1:2">
      <c r="A462" s="7" t="s">
        <v>4094</v>
      </c>
      <c r="B462" s="7" t="s">
        <v>1708</v>
      </c>
    </row>
    <row r="463" spans="1:2">
      <c r="A463" s="7" t="s">
        <v>4095</v>
      </c>
      <c r="B463" s="7" t="s">
        <v>1709</v>
      </c>
    </row>
    <row r="464" spans="1:2">
      <c r="A464" s="7" t="s">
        <v>4096</v>
      </c>
      <c r="B464" s="7" t="s">
        <v>1710</v>
      </c>
    </row>
    <row r="465" spans="1:2">
      <c r="A465" s="7" t="s">
        <v>4097</v>
      </c>
      <c r="B465" s="7" t="s">
        <v>1711</v>
      </c>
    </row>
    <row r="466" spans="1:2">
      <c r="A466" s="7" t="s">
        <v>4098</v>
      </c>
      <c r="B466" s="7" t="s">
        <v>1712</v>
      </c>
    </row>
    <row r="467" spans="1:2">
      <c r="A467" s="7" t="s">
        <v>4099</v>
      </c>
      <c r="B467" s="7" t="s">
        <v>1713</v>
      </c>
    </row>
    <row r="468" spans="1:2">
      <c r="A468" s="7" t="s">
        <v>4100</v>
      </c>
      <c r="B468" s="7" t="s">
        <v>1714</v>
      </c>
    </row>
    <row r="469" spans="1:2">
      <c r="A469" s="7" t="s">
        <v>4101</v>
      </c>
      <c r="B469" s="7" t="s">
        <v>1715</v>
      </c>
    </row>
    <row r="470" spans="1:2">
      <c r="A470" s="7" t="s">
        <v>4102</v>
      </c>
      <c r="B470" s="7" t="s">
        <v>1716</v>
      </c>
    </row>
    <row r="471" spans="1:2">
      <c r="A471" s="7" t="s">
        <v>4103</v>
      </c>
      <c r="B471" s="7" t="s">
        <v>1717</v>
      </c>
    </row>
    <row r="472" spans="1:2">
      <c r="A472" s="7" t="s">
        <v>4104</v>
      </c>
      <c r="B472" s="7" t="s">
        <v>1718</v>
      </c>
    </row>
    <row r="473" spans="1:2">
      <c r="A473" s="7" t="s">
        <v>4105</v>
      </c>
      <c r="B473" s="7" t="s">
        <v>1719</v>
      </c>
    </row>
    <row r="474" spans="1:2">
      <c r="A474" s="7" t="s">
        <v>4106</v>
      </c>
      <c r="B474" s="7" t="s">
        <v>1720</v>
      </c>
    </row>
    <row r="475" spans="1:2">
      <c r="A475" s="7" t="s">
        <v>4107</v>
      </c>
      <c r="B475" s="7" t="s">
        <v>1721</v>
      </c>
    </row>
    <row r="476" spans="1:2">
      <c r="A476" s="7" t="s">
        <v>4108</v>
      </c>
      <c r="B476" s="7" t="s">
        <v>1722</v>
      </c>
    </row>
    <row r="477" spans="1:2">
      <c r="A477" s="7" t="s">
        <v>4109</v>
      </c>
      <c r="B477" s="7" t="s">
        <v>1723</v>
      </c>
    </row>
    <row r="478" spans="1:2">
      <c r="A478" s="7" t="s">
        <v>4110</v>
      </c>
      <c r="B478" s="7" t="s">
        <v>1724</v>
      </c>
    </row>
    <row r="479" spans="1:2">
      <c r="A479" s="7" t="s">
        <v>4111</v>
      </c>
      <c r="B479" s="7" t="s">
        <v>1725</v>
      </c>
    </row>
    <row r="480" spans="1:2">
      <c r="A480" s="7" t="s">
        <v>4112</v>
      </c>
      <c r="B480" s="7" t="s">
        <v>1726</v>
      </c>
    </row>
    <row r="481" spans="1:2">
      <c r="A481" s="7" t="s">
        <v>4113</v>
      </c>
      <c r="B481" s="7" t="s">
        <v>1727</v>
      </c>
    </row>
    <row r="482" spans="1:2">
      <c r="A482" s="7" t="s">
        <v>4114</v>
      </c>
      <c r="B482" s="7" t="s">
        <v>1728</v>
      </c>
    </row>
    <row r="483" spans="1:2">
      <c r="A483" s="7" t="s">
        <v>4115</v>
      </c>
      <c r="B483" s="7" t="s">
        <v>1729</v>
      </c>
    </row>
    <row r="484" spans="1:2">
      <c r="A484" s="7" t="s">
        <v>4116</v>
      </c>
      <c r="B484" s="7" t="s">
        <v>1730</v>
      </c>
    </row>
    <row r="485" spans="1:2">
      <c r="A485" s="7" t="s">
        <v>4117</v>
      </c>
      <c r="B485" s="7" t="s">
        <v>1731</v>
      </c>
    </row>
    <row r="486" spans="1:2">
      <c r="A486" s="7" t="s">
        <v>4118</v>
      </c>
      <c r="B486" s="7" t="s">
        <v>1732</v>
      </c>
    </row>
    <row r="487" spans="1:2">
      <c r="A487" s="7" t="s">
        <v>4119</v>
      </c>
      <c r="B487" s="7" t="s">
        <v>1733</v>
      </c>
    </row>
    <row r="488" spans="1:2">
      <c r="A488" s="7" t="s">
        <v>4120</v>
      </c>
      <c r="B488" s="7" t="s">
        <v>1734</v>
      </c>
    </row>
    <row r="489" spans="1:2">
      <c r="A489" s="7" t="s">
        <v>4121</v>
      </c>
      <c r="B489" s="7" t="s">
        <v>1735</v>
      </c>
    </row>
    <row r="490" spans="1:2">
      <c r="A490" s="7" t="s">
        <v>4122</v>
      </c>
      <c r="B490" s="7" t="s">
        <v>1736</v>
      </c>
    </row>
    <row r="491" spans="1:2">
      <c r="A491" s="7" t="s">
        <v>4123</v>
      </c>
      <c r="B491" s="7" t="s">
        <v>1737</v>
      </c>
    </row>
    <row r="492" spans="1:2">
      <c r="A492" s="7" t="s">
        <v>4124</v>
      </c>
      <c r="B492" s="7" t="s">
        <v>1738</v>
      </c>
    </row>
    <row r="493" spans="1:2">
      <c r="A493" s="7" t="s">
        <v>4125</v>
      </c>
      <c r="B493" s="7" t="s">
        <v>1739</v>
      </c>
    </row>
    <row r="494" spans="1:2">
      <c r="A494" s="7" t="s">
        <v>4126</v>
      </c>
      <c r="B494" s="7" t="s">
        <v>1740</v>
      </c>
    </row>
    <row r="495" spans="1:2">
      <c r="A495" s="7" t="s">
        <v>4127</v>
      </c>
      <c r="B495" s="7" t="s">
        <v>1741</v>
      </c>
    </row>
    <row r="496" spans="1:2">
      <c r="A496" s="7" t="s">
        <v>4128</v>
      </c>
      <c r="B496" s="7" t="s">
        <v>1742</v>
      </c>
    </row>
    <row r="497" spans="1:2">
      <c r="A497" s="7" t="s">
        <v>4129</v>
      </c>
      <c r="B497" s="7" t="s">
        <v>1743</v>
      </c>
    </row>
    <row r="498" spans="1:2">
      <c r="A498" s="7" t="s">
        <v>4130</v>
      </c>
      <c r="B498" s="7" t="s">
        <v>1744</v>
      </c>
    </row>
    <row r="499" spans="1:2">
      <c r="A499" s="7" t="s">
        <v>4131</v>
      </c>
      <c r="B499" s="7" t="s">
        <v>1745</v>
      </c>
    </row>
    <row r="500" spans="1:2">
      <c r="A500" s="7" t="s">
        <v>4132</v>
      </c>
      <c r="B500" s="7" t="s">
        <v>1746</v>
      </c>
    </row>
    <row r="501" spans="1:2">
      <c r="A501" s="7" t="s">
        <v>4133</v>
      </c>
      <c r="B501" s="7" t="s">
        <v>1747</v>
      </c>
    </row>
    <row r="502" spans="1:2">
      <c r="A502" s="7" t="s">
        <v>4134</v>
      </c>
      <c r="B502" s="7" t="s">
        <v>1748</v>
      </c>
    </row>
    <row r="503" spans="1:2">
      <c r="A503" s="7" t="s">
        <v>4135</v>
      </c>
      <c r="B503" s="7" t="s">
        <v>1749</v>
      </c>
    </row>
    <row r="504" spans="1:2">
      <c r="A504" s="7" t="s">
        <v>4136</v>
      </c>
      <c r="B504" s="7" t="s">
        <v>1750</v>
      </c>
    </row>
    <row r="505" spans="1:2">
      <c r="A505" s="7" t="s">
        <v>4137</v>
      </c>
      <c r="B505" s="7" t="s">
        <v>1751</v>
      </c>
    </row>
    <row r="506" spans="1:2">
      <c r="A506" s="7" t="s">
        <v>4138</v>
      </c>
      <c r="B506" s="7" t="s">
        <v>1752</v>
      </c>
    </row>
    <row r="507" spans="1:2">
      <c r="A507" s="7" t="s">
        <v>4139</v>
      </c>
      <c r="B507" s="7" t="s">
        <v>1753</v>
      </c>
    </row>
    <row r="508" spans="1:2">
      <c r="A508" s="7" t="s">
        <v>4140</v>
      </c>
      <c r="B508" s="7" t="s">
        <v>1754</v>
      </c>
    </row>
    <row r="509" spans="1:2">
      <c r="A509" s="7" t="s">
        <v>4141</v>
      </c>
      <c r="B509" s="7" t="s">
        <v>1755</v>
      </c>
    </row>
    <row r="510" spans="1:2">
      <c r="A510" s="7" t="s">
        <v>4142</v>
      </c>
      <c r="B510" s="7" t="s">
        <v>1756</v>
      </c>
    </row>
    <row r="511" spans="1:2">
      <c r="A511" s="7" t="s">
        <v>4143</v>
      </c>
      <c r="B511" s="7" t="s">
        <v>1757</v>
      </c>
    </row>
    <row r="512" spans="1:2">
      <c r="A512" s="7" t="s">
        <v>4144</v>
      </c>
      <c r="B512" s="7" t="s">
        <v>1758</v>
      </c>
    </row>
    <row r="513" spans="1:2">
      <c r="A513" s="7" t="s">
        <v>4145</v>
      </c>
      <c r="B513" s="7" t="s">
        <v>1759</v>
      </c>
    </row>
    <row r="514" spans="1:2">
      <c r="A514" s="7" t="s">
        <v>4146</v>
      </c>
      <c r="B514" s="7" t="s">
        <v>1760</v>
      </c>
    </row>
    <row r="515" spans="1:2">
      <c r="A515" s="7" t="s">
        <v>4147</v>
      </c>
      <c r="B515" s="7" t="s">
        <v>1761</v>
      </c>
    </row>
    <row r="516" spans="1:2">
      <c r="A516" s="7" t="s">
        <v>4148</v>
      </c>
      <c r="B516" s="7" t="s">
        <v>1762</v>
      </c>
    </row>
    <row r="517" spans="1:2">
      <c r="A517" s="7" t="s">
        <v>4149</v>
      </c>
      <c r="B517" s="7" t="s">
        <v>1763</v>
      </c>
    </row>
    <row r="518" spans="1:2">
      <c r="A518" s="7" t="s">
        <v>4150</v>
      </c>
      <c r="B518" s="7" t="s">
        <v>1764</v>
      </c>
    </row>
    <row r="519" spans="1:2">
      <c r="A519" s="7" t="s">
        <v>4151</v>
      </c>
      <c r="B519" s="7" t="s">
        <v>1765</v>
      </c>
    </row>
    <row r="520" spans="1:2">
      <c r="A520" s="7" t="s">
        <v>4152</v>
      </c>
      <c r="B520" s="7" t="s">
        <v>1766</v>
      </c>
    </row>
    <row r="521" spans="1:2">
      <c r="A521" s="7" t="s">
        <v>4153</v>
      </c>
      <c r="B521" s="7" t="s">
        <v>1767</v>
      </c>
    </row>
    <row r="522" spans="1:2">
      <c r="A522" s="7" t="s">
        <v>4154</v>
      </c>
      <c r="B522" s="7" t="s">
        <v>1768</v>
      </c>
    </row>
    <row r="523" spans="1:2">
      <c r="A523" s="7" t="s">
        <v>4155</v>
      </c>
      <c r="B523" s="7" t="s">
        <v>1769</v>
      </c>
    </row>
    <row r="524" spans="1:2">
      <c r="A524" s="7" t="s">
        <v>4156</v>
      </c>
      <c r="B524" s="7" t="s">
        <v>1770</v>
      </c>
    </row>
    <row r="525" spans="1:2">
      <c r="A525" s="7" t="s">
        <v>4157</v>
      </c>
      <c r="B525" s="7" t="s">
        <v>1771</v>
      </c>
    </row>
    <row r="526" spans="1:2">
      <c r="A526" s="7" t="s">
        <v>4158</v>
      </c>
      <c r="B526" s="7" t="s">
        <v>1772</v>
      </c>
    </row>
    <row r="527" spans="1:2">
      <c r="A527" s="7" t="s">
        <v>4159</v>
      </c>
      <c r="B527" s="7" t="s">
        <v>1773</v>
      </c>
    </row>
    <row r="528" spans="1:2">
      <c r="A528" s="7" t="s">
        <v>4160</v>
      </c>
      <c r="B528" s="7" t="s">
        <v>1774</v>
      </c>
    </row>
    <row r="529" spans="1:2">
      <c r="A529" s="7" t="s">
        <v>4161</v>
      </c>
      <c r="B529" s="7" t="s">
        <v>1775</v>
      </c>
    </row>
    <row r="530" spans="1:2">
      <c r="A530" s="7" t="s">
        <v>4162</v>
      </c>
      <c r="B530" s="7" t="s">
        <v>1776</v>
      </c>
    </row>
    <row r="531" spans="1:2">
      <c r="A531" s="7" t="s">
        <v>4163</v>
      </c>
      <c r="B531" s="7" t="s">
        <v>1777</v>
      </c>
    </row>
    <row r="532" spans="1:2">
      <c r="A532" s="7" t="s">
        <v>4164</v>
      </c>
      <c r="B532" s="7" t="s">
        <v>1778</v>
      </c>
    </row>
    <row r="533" spans="1:2">
      <c r="A533" s="7" t="s">
        <v>4165</v>
      </c>
      <c r="B533" s="7" t="s">
        <v>1779</v>
      </c>
    </row>
    <row r="534" spans="1:2">
      <c r="A534" s="7" t="s">
        <v>4166</v>
      </c>
      <c r="B534" s="7" t="s">
        <v>1780</v>
      </c>
    </row>
    <row r="535" spans="1:2">
      <c r="A535" s="7" t="s">
        <v>4167</v>
      </c>
      <c r="B535" s="7" t="s">
        <v>1781</v>
      </c>
    </row>
    <row r="536" spans="1:2">
      <c r="A536" s="7" t="s">
        <v>4168</v>
      </c>
      <c r="B536" s="7" t="s">
        <v>1782</v>
      </c>
    </row>
    <row r="537" spans="1:2">
      <c r="A537" s="7" t="s">
        <v>4169</v>
      </c>
      <c r="B537" s="7" t="s">
        <v>1783</v>
      </c>
    </row>
    <row r="538" spans="1:2">
      <c r="A538" s="7" t="s">
        <v>4170</v>
      </c>
      <c r="B538" s="7" t="s">
        <v>1784</v>
      </c>
    </row>
    <row r="539" spans="1:2">
      <c r="A539" s="7" t="s">
        <v>4171</v>
      </c>
      <c r="B539" s="7" t="s">
        <v>1785</v>
      </c>
    </row>
    <row r="540" spans="1:2">
      <c r="A540" s="7" t="s">
        <v>4172</v>
      </c>
      <c r="B540" s="7" t="s">
        <v>1786</v>
      </c>
    </row>
    <row r="541" spans="1:2">
      <c r="A541" s="7" t="s">
        <v>4173</v>
      </c>
      <c r="B541" s="7" t="s">
        <v>1787</v>
      </c>
    </row>
    <row r="542" spans="1:2">
      <c r="A542" s="7" t="s">
        <v>4174</v>
      </c>
      <c r="B542" s="7" t="s">
        <v>1788</v>
      </c>
    </row>
    <row r="543" spans="1:2">
      <c r="A543" s="7" t="s">
        <v>4175</v>
      </c>
      <c r="B543" s="7" t="s">
        <v>1789</v>
      </c>
    </row>
    <row r="544" spans="1:2">
      <c r="A544" s="7" t="s">
        <v>4176</v>
      </c>
      <c r="B544" s="7" t="s">
        <v>1790</v>
      </c>
    </row>
    <row r="545" spans="1:2">
      <c r="A545" s="7" t="s">
        <v>4177</v>
      </c>
      <c r="B545" s="7" t="s">
        <v>1791</v>
      </c>
    </row>
    <row r="546" spans="1:2">
      <c r="A546" s="7" t="s">
        <v>4178</v>
      </c>
      <c r="B546" s="7" t="s">
        <v>1792</v>
      </c>
    </row>
    <row r="547" spans="1:2">
      <c r="A547" s="7" t="s">
        <v>4179</v>
      </c>
      <c r="B547" s="7" t="s">
        <v>1793</v>
      </c>
    </row>
    <row r="548" spans="1:2">
      <c r="A548" s="7" t="s">
        <v>4180</v>
      </c>
      <c r="B548" s="7" t="s">
        <v>1794</v>
      </c>
    </row>
    <row r="549" spans="1:2">
      <c r="A549" s="7" t="s">
        <v>4181</v>
      </c>
      <c r="B549" s="7" t="s">
        <v>1795</v>
      </c>
    </row>
    <row r="550" spans="1:2">
      <c r="A550" s="7" t="s">
        <v>4182</v>
      </c>
      <c r="B550" s="7" t="s">
        <v>1796</v>
      </c>
    </row>
    <row r="551" spans="1:2">
      <c r="A551" s="7" t="s">
        <v>4183</v>
      </c>
      <c r="B551" s="7" t="s">
        <v>1797</v>
      </c>
    </row>
    <row r="552" spans="1:2">
      <c r="A552" s="7" t="s">
        <v>4184</v>
      </c>
      <c r="B552" s="7" t="s">
        <v>1798</v>
      </c>
    </row>
    <row r="553" spans="1:2">
      <c r="A553" s="7" t="s">
        <v>4185</v>
      </c>
      <c r="B553" s="7" t="s">
        <v>1799</v>
      </c>
    </row>
    <row r="554" spans="1:2">
      <c r="A554" s="7" t="s">
        <v>4186</v>
      </c>
      <c r="B554" s="7" t="s">
        <v>1800</v>
      </c>
    </row>
    <row r="555" spans="1:2">
      <c r="A555" s="7" t="s">
        <v>4187</v>
      </c>
      <c r="B555" s="7" t="s">
        <v>1801</v>
      </c>
    </row>
    <row r="556" spans="1:2">
      <c r="A556" s="7" t="s">
        <v>4188</v>
      </c>
      <c r="B556" s="7" t="s">
        <v>1802</v>
      </c>
    </row>
    <row r="557" spans="1:2">
      <c r="A557" s="7" t="s">
        <v>4189</v>
      </c>
      <c r="B557" s="7" t="s">
        <v>1803</v>
      </c>
    </row>
    <row r="558" spans="1:2">
      <c r="A558" s="7" t="s">
        <v>4190</v>
      </c>
      <c r="B558" s="7" t="s">
        <v>1804</v>
      </c>
    </row>
    <row r="559" spans="1:2">
      <c r="A559" s="7" t="s">
        <v>4191</v>
      </c>
      <c r="B559" s="7" t="s">
        <v>1805</v>
      </c>
    </row>
    <row r="560" spans="1:2">
      <c r="A560" s="7" t="s">
        <v>4192</v>
      </c>
      <c r="B560" s="7" t="s">
        <v>1806</v>
      </c>
    </row>
    <row r="561" spans="1:2">
      <c r="A561" s="7" t="s">
        <v>4193</v>
      </c>
      <c r="B561" s="7" t="s">
        <v>1807</v>
      </c>
    </row>
    <row r="562" spans="1:2">
      <c r="A562" s="7" t="s">
        <v>4194</v>
      </c>
      <c r="B562" s="7" t="s">
        <v>1808</v>
      </c>
    </row>
    <row r="563" spans="1:2">
      <c r="A563" s="7" t="s">
        <v>4195</v>
      </c>
      <c r="B563" s="7" t="s">
        <v>1809</v>
      </c>
    </row>
    <row r="564" spans="1:2">
      <c r="A564" s="7" t="s">
        <v>4196</v>
      </c>
      <c r="B564" s="7" t="s">
        <v>1810</v>
      </c>
    </row>
    <row r="565" spans="1:2">
      <c r="A565" s="7" t="s">
        <v>4197</v>
      </c>
      <c r="B565" s="7" t="s">
        <v>1811</v>
      </c>
    </row>
    <row r="566" spans="1:2">
      <c r="A566" s="7" t="s">
        <v>4198</v>
      </c>
      <c r="B566" s="7" t="s">
        <v>1812</v>
      </c>
    </row>
    <row r="567" spans="1:2">
      <c r="A567" s="7" t="s">
        <v>4199</v>
      </c>
      <c r="B567" s="7" t="s">
        <v>1813</v>
      </c>
    </row>
    <row r="568" spans="1:2">
      <c r="A568" s="7" t="s">
        <v>4200</v>
      </c>
      <c r="B568" s="7" t="s">
        <v>1814</v>
      </c>
    </row>
    <row r="569" spans="1:2">
      <c r="A569" s="7" t="s">
        <v>4201</v>
      </c>
      <c r="B569" s="7" t="s">
        <v>1815</v>
      </c>
    </row>
    <row r="570" spans="1:2">
      <c r="A570" s="7" t="s">
        <v>4202</v>
      </c>
      <c r="B570" s="7" t="s">
        <v>1816</v>
      </c>
    </row>
    <row r="571" spans="1:2">
      <c r="A571" s="7" t="s">
        <v>4203</v>
      </c>
      <c r="B571" s="7" t="s">
        <v>1817</v>
      </c>
    </row>
    <row r="572" spans="1:2">
      <c r="A572" s="7" t="s">
        <v>4204</v>
      </c>
      <c r="B572" s="7" t="s">
        <v>1818</v>
      </c>
    </row>
    <row r="573" spans="1:2">
      <c r="A573" s="7" t="s">
        <v>4205</v>
      </c>
      <c r="B573" s="7" t="s">
        <v>1819</v>
      </c>
    </row>
    <row r="574" spans="1:2">
      <c r="A574" s="7" t="s">
        <v>4206</v>
      </c>
      <c r="B574" s="7" t="s">
        <v>1820</v>
      </c>
    </row>
    <row r="575" spans="1:2">
      <c r="A575" s="7" t="s">
        <v>4207</v>
      </c>
      <c r="B575" s="7" t="s">
        <v>1821</v>
      </c>
    </row>
    <row r="576" spans="1:2">
      <c r="A576" s="7" t="s">
        <v>4208</v>
      </c>
      <c r="B576" s="7" t="s">
        <v>1822</v>
      </c>
    </row>
    <row r="577" spans="1:2">
      <c r="A577" s="7" t="s">
        <v>4209</v>
      </c>
      <c r="B577" s="7" t="s">
        <v>1823</v>
      </c>
    </row>
    <row r="578" spans="1:2">
      <c r="A578" s="7" t="s">
        <v>4210</v>
      </c>
      <c r="B578" s="7" t="s">
        <v>1824</v>
      </c>
    </row>
    <row r="579" spans="1:2">
      <c r="A579" s="7" t="s">
        <v>4211</v>
      </c>
      <c r="B579" s="7" t="s">
        <v>1825</v>
      </c>
    </row>
    <row r="580" spans="1:2">
      <c r="A580" s="7" t="s">
        <v>4212</v>
      </c>
      <c r="B580" s="7" t="s">
        <v>1826</v>
      </c>
    </row>
    <row r="581" spans="1:2">
      <c r="A581" s="7" t="s">
        <v>4213</v>
      </c>
      <c r="B581" s="7" t="s">
        <v>1827</v>
      </c>
    </row>
    <row r="582" spans="1:2">
      <c r="A582" s="7" t="s">
        <v>4214</v>
      </c>
      <c r="B582" s="7" t="s">
        <v>1828</v>
      </c>
    </row>
    <row r="583" spans="1:2">
      <c r="A583" s="7" t="s">
        <v>4215</v>
      </c>
      <c r="B583" s="7" t="s">
        <v>1829</v>
      </c>
    </row>
    <row r="584" spans="1:2">
      <c r="A584" s="7" t="s">
        <v>4216</v>
      </c>
      <c r="B584" s="7" t="s">
        <v>1830</v>
      </c>
    </row>
    <row r="585" spans="1:2">
      <c r="A585" s="7" t="s">
        <v>4217</v>
      </c>
      <c r="B585" s="7" t="s">
        <v>1831</v>
      </c>
    </row>
    <row r="586" spans="1:2">
      <c r="A586" s="7" t="s">
        <v>4218</v>
      </c>
      <c r="B586" s="7" t="s">
        <v>1832</v>
      </c>
    </row>
    <row r="587" spans="1:2">
      <c r="A587" s="7" t="s">
        <v>4219</v>
      </c>
      <c r="B587" s="7" t="s">
        <v>1833</v>
      </c>
    </row>
    <row r="588" spans="1:2">
      <c r="A588" s="7" t="s">
        <v>4220</v>
      </c>
      <c r="B588" s="7" t="s">
        <v>1834</v>
      </c>
    </row>
    <row r="589" spans="1:2">
      <c r="A589" s="7" t="s">
        <v>4221</v>
      </c>
      <c r="B589" s="7" t="s">
        <v>1835</v>
      </c>
    </row>
    <row r="590" spans="1:2">
      <c r="A590" s="7" t="s">
        <v>4222</v>
      </c>
      <c r="B590" s="7" t="s">
        <v>1836</v>
      </c>
    </row>
    <row r="591" spans="1:2">
      <c r="A591" s="7" t="s">
        <v>4223</v>
      </c>
      <c r="B591" s="7" t="s">
        <v>1837</v>
      </c>
    </row>
    <row r="592" spans="1:2">
      <c r="A592" s="7" t="s">
        <v>4224</v>
      </c>
      <c r="B592" s="7" t="s">
        <v>1838</v>
      </c>
    </row>
    <row r="593" spans="1:2">
      <c r="A593" s="7" t="s">
        <v>4225</v>
      </c>
      <c r="B593" s="7" t="s">
        <v>1839</v>
      </c>
    </row>
    <row r="594" spans="1:2">
      <c r="A594" s="7" t="s">
        <v>4226</v>
      </c>
      <c r="B594" s="7" t="s">
        <v>1840</v>
      </c>
    </row>
    <row r="595" spans="1:2">
      <c r="A595" s="7" t="s">
        <v>4227</v>
      </c>
      <c r="B595" s="7" t="s">
        <v>1841</v>
      </c>
    </row>
    <row r="596" spans="1:2">
      <c r="A596" s="7" t="s">
        <v>4228</v>
      </c>
      <c r="B596" s="7" t="s">
        <v>1842</v>
      </c>
    </row>
    <row r="597" spans="1:2">
      <c r="A597" s="7" t="s">
        <v>4229</v>
      </c>
      <c r="B597" s="7" t="s">
        <v>1843</v>
      </c>
    </row>
    <row r="598" spans="1:2">
      <c r="A598" s="7" t="s">
        <v>4230</v>
      </c>
      <c r="B598" s="7" t="s">
        <v>1844</v>
      </c>
    </row>
    <row r="599" spans="1:2">
      <c r="A599" s="7" t="s">
        <v>4231</v>
      </c>
      <c r="B599" s="7" t="s">
        <v>1845</v>
      </c>
    </row>
    <row r="600" spans="1:2">
      <c r="A600" s="7" t="s">
        <v>4232</v>
      </c>
      <c r="B600" s="7" t="s">
        <v>1846</v>
      </c>
    </row>
    <row r="601" spans="1:2">
      <c r="A601" s="7" t="s">
        <v>4233</v>
      </c>
      <c r="B601" s="7" t="s">
        <v>1847</v>
      </c>
    </row>
    <row r="602" spans="1:2">
      <c r="A602" s="7" t="s">
        <v>4234</v>
      </c>
      <c r="B602" s="7" t="s">
        <v>1848</v>
      </c>
    </row>
    <row r="603" spans="1:2">
      <c r="A603" s="7" t="s">
        <v>4235</v>
      </c>
      <c r="B603" s="7" t="s">
        <v>1849</v>
      </c>
    </row>
    <row r="604" spans="1:2">
      <c r="A604" s="7" t="s">
        <v>4236</v>
      </c>
      <c r="B604" s="7" t="s">
        <v>1850</v>
      </c>
    </row>
    <row r="605" spans="1:2">
      <c r="A605" s="7" t="s">
        <v>4237</v>
      </c>
      <c r="B605" s="7" t="s">
        <v>1851</v>
      </c>
    </row>
    <row r="606" spans="1:2">
      <c r="A606" s="7" t="s">
        <v>4238</v>
      </c>
      <c r="B606" s="7" t="s">
        <v>1852</v>
      </c>
    </row>
    <row r="607" spans="1:2">
      <c r="A607" s="7" t="s">
        <v>4239</v>
      </c>
      <c r="B607" s="7" t="s">
        <v>1853</v>
      </c>
    </row>
    <row r="608" spans="1:2">
      <c r="A608" s="7" t="s">
        <v>4240</v>
      </c>
      <c r="B608" s="7" t="s">
        <v>1854</v>
      </c>
    </row>
    <row r="609" spans="1:2">
      <c r="A609" s="7" t="s">
        <v>4241</v>
      </c>
      <c r="B609" s="7" t="s">
        <v>1855</v>
      </c>
    </row>
    <row r="610" spans="1:2">
      <c r="A610" s="7" t="s">
        <v>4242</v>
      </c>
      <c r="B610" s="7" t="s">
        <v>1856</v>
      </c>
    </row>
    <row r="611" spans="1:2">
      <c r="A611" s="7" t="s">
        <v>4243</v>
      </c>
      <c r="B611" s="7" t="s">
        <v>1857</v>
      </c>
    </row>
    <row r="612" spans="1:2">
      <c r="A612" s="7" t="s">
        <v>4244</v>
      </c>
      <c r="B612" s="7" t="s">
        <v>1858</v>
      </c>
    </row>
    <row r="613" spans="1:2">
      <c r="A613" s="7" t="s">
        <v>4245</v>
      </c>
      <c r="B613" s="7" t="s">
        <v>1859</v>
      </c>
    </row>
    <row r="614" spans="1:2">
      <c r="A614" s="7" t="s">
        <v>4246</v>
      </c>
      <c r="B614" s="7" t="s">
        <v>1860</v>
      </c>
    </row>
    <row r="615" spans="1:2">
      <c r="A615" s="7" t="s">
        <v>4247</v>
      </c>
      <c r="B615" s="7" t="s">
        <v>1861</v>
      </c>
    </row>
    <row r="616" spans="1:2">
      <c r="A616" s="7" t="s">
        <v>4248</v>
      </c>
      <c r="B616" s="7" t="s">
        <v>1862</v>
      </c>
    </row>
    <row r="617" spans="1:2">
      <c r="A617" s="7" t="s">
        <v>4249</v>
      </c>
      <c r="B617" s="7" t="s">
        <v>1863</v>
      </c>
    </row>
    <row r="618" spans="1:2">
      <c r="A618" s="7" t="s">
        <v>4250</v>
      </c>
      <c r="B618" s="7" t="s">
        <v>1864</v>
      </c>
    </row>
    <row r="619" spans="1:2">
      <c r="A619" s="7" t="s">
        <v>4251</v>
      </c>
      <c r="B619" s="7" t="s">
        <v>1865</v>
      </c>
    </row>
    <row r="620" spans="1:2">
      <c r="A620" s="7" t="s">
        <v>4252</v>
      </c>
      <c r="B620" s="7" t="s">
        <v>1866</v>
      </c>
    </row>
    <row r="621" spans="1:2">
      <c r="A621" s="7" t="s">
        <v>4253</v>
      </c>
      <c r="B621" s="7" t="s">
        <v>1867</v>
      </c>
    </row>
    <row r="622" spans="1:2">
      <c r="A622" s="7" t="s">
        <v>4254</v>
      </c>
      <c r="B622" s="7" t="s">
        <v>1868</v>
      </c>
    </row>
    <row r="623" spans="1:2">
      <c r="A623" s="7" t="s">
        <v>4255</v>
      </c>
      <c r="B623" s="7" t="s">
        <v>1869</v>
      </c>
    </row>
    <row r="624" spans="1:2">
      <c r="A624" s="7" t="s">
        <v>4256</v>
      </c>
      <c r="B624" s="7" t="s">
        <v>1870</v>
      </c>
    </row>
    <row r="625" spans="1:2">
      <c r="A625" s="7" t="s">
        <v>4257</v>
      </c>
      <c r="B625" s="7" t="s">
        <v>1871</v>
      </c>
    </row>
    <row r="626" spans="1:2">
      <c r="A626" s="7" t="s">
        <v>4258</v>
      </c>
      <c r="B626" s="7" t="s">
        <v>1872</v>
      </c>
    </row>
    <row r="627" spans="1:2">
      <c r="A627" s="7" t="s">
        <v>4259</v>
      </c>
      <c r="B627" s="7" t="s">
        <v>1873</v>
      </c>
    </row>
    <row r="628" spans="1:2">
      <c r="A628" s="7" t="s">
        <v>4260</v>
      </c>
      <c r="B628" s="7" t="s">
        <v>1874</v>
      </c>
    </row>
    <row r="629" spans="1:2">
      <c r="A629" s="7" t="s">
        <v>4261</v>
      </c>
      <c r="B629" s="7" t="s">
        <v>1875</v>
      </c>
    </row>
    <row r="630" spans="1:2">
      <c r="A630" s="7" t="s">
        <v>4262</v>
      </c>
      <c r="B630" s="7" t="s">
        <v>1876</v>
      </c>
    </row>
    <row r="631" spans="1:2">
      <c r="A631" s="7" t="s">
        <v>4263</v>
      </c>
      <c r="B631" s="7" t="s">
        <v>1877</v>
      </c>
    </row>
    <row r="632" spans="1:2">
      <c r="A632" s="7" t="s">
        <v>4264</v>
      </c>
      <c r="B632" s="7" t="s">
        <v>1878</v>
      </c>
    </row>
    <row r="633" spans="1:2">
      <c r="A633" s="7" t="s">
        <v>4265</v>
      </c>
      <c r="B633" s="7" t="s">
        <v>1879</v>
      </c>
    </row>
    <row r="634" spans="1:2">
      <c r="A634" s="7" t="s">
        <v>4266</v>
      </c>
      <c r="B634" s="7" t="s">
        <v>1880</v>
      </c>
    </row>
    <row r="635" spans="1:2">
      <c r="A635" s="7" t="s">
        <v>4267</v>
      </c>
      <c r="B635" s="7" t="s">
        <v>1881</v>
      </c>
    </row>
    <row r="636" spans="1:2">
      <c r="A636" s="7" t="s">
        <v>4268</v>
      </c>
      <c r="B636" s="7" t="s">
        <v>1882</v>
      </c>
    </row>
    <row r="637" spans="1:2">
      <c r="A637" s="7" t="s">
        <v>4269</v>
      </c>
      <c r="B637" s="7" t="s">
        <v>1883</v>
      </c>
    </row>
    <row r="638" spans="1:2">
      <c r="A638" s="7" t="s">
        <v>4270</v>
      </c>
      <c r="B638" s="7" t="s">
        <v>1884</v>
      </c>
    </row>
    <row r="639" spans="1:2">
      <c r="A639" s="7" t="s">
        <v>4271</v>
      </c>
      <c r="B639" s="7" t="s">
        <v>1885</v>
      </c>
    </row>
    <row r="640" spans="1:2">
      <c r="A640" s="7" t="s">
        <v>4272</v>
      </c>
      <c r="B640" s="7" t="s">
        <v>1886</v>
      </c>
    </row>
    <row r="641" spans="1:2">
      <c r="A641" s="7" t="s">
        <v>4273</v>
      </c>
      <c r="B641" s="7" t="s">
        <v>1887</v>
      </c>
    </row>
    <row r="642" spans="1:2">
      <c r="A642" s="7" t="s">
        <v>4274</v>
      </c>
      <c r="B642" s="7" t="s">
        <v>1888</v>
      </c>
    </row>
    <row r="643" spans="1:2">
      <c r="A643" s="7" t="s">
        <v>4275</v>
      </c>
      <c r="B643" s="7" t="s">
        <v>1889</v>
      </c>
    </row>
    <row r="644" spans="1:2">
      <c r="A644" s="7" t="s">
        <v>4276</v>
      </c>
      <c r="B644" s="7" t="s">
        <v>1890</v>
      </c>
    </row>
    <row r="645" spans="1:2">
      <c r="A645" s="7" t="s">
        <v>4277</v>
      </c>
      <c r="B645" s="7" t="s">
        <v>1891</v>
      </c>
    </row>
    <row r="646" spans="1:2">
      <c r="A646" s="7" t="s">
        <v>4278</v>
      </c>
      <c r="B646" s="7" t="s">
        <v>1892</v>
      </c>
    </row>
    <row r="647" spans="1:2">
      <c r="A647" s="7" t="s">
        <v>4279</v>
      </c>
      <c r="B647" s="7" t="s">
        <v>1893</v>
      </c>
    </row>
    <row r="648" spans="1:2">
      <c r="A648" s="7" t="s">
        <v>4280</v>
      </c>
      <c r="B648" s="7" t="s">
        <v>1894</v>
      </c>
    </row>
    <row r="649" spans="1:2">
      <c r="A649" s="7" t="s">
        <v>4281</v>
      </c>
      <c r="B649" s="7" t="s">
        <v>1895</v>
      </c>
    </row>
    <row r="650" spans="1:2">
      <c r="A650" s="7" t="s">
        <v>4282</v>
      </c>
      <c r="B650" s="7" t="s">
        <v>1896</v>
      </c>
    </row>
    <row r="651" spans="1:2">
      <c r="A651" s="7" t="s">
        <v>4283</v>
      </c>
      <c r="B651" s="7" t="s">
        <v>1897</v>
      </c>
    </row>
    <row r="652" spans="1:2">
      <c r="A652" s="7" t="s">
        <v>4284</v>
      </c>
      <c r="B652" s="7" t="s">
        <v>1898</v>
      </c>
    </row>
    <row r="653" spans="1:2">
      <c r="A653" s="7" t="s">
        <v>4285</v>
      </c>
      <c r="B653" s="7" t="s">
        <v>1899</v>
      </c>
    </row>
    <row r="654" spans="1:2">
      <c r="A654" s="7" t="s">
        <v>4286</v>
      </c>
      <c r="B654" s="7" t="s">
        <v>1900</v>
      </c>
    </row>
    <row r="655" spans="1:2">
      <c r="A655" s="7" t="s">
        <v>4287</v>
      </c>
      <c r="B655" s="7" t="s">
        <v>1901</v>
      </c>
    </row>
    <row r="656" spans="1:2">
      <c r="A656" s="7" t="s">
        <v>4288</v>
      </c>
      <c r="B656" s="7" t="s">
        <v>1902</v>
      </c>
    </row>
    <row r="657" spans="1:2">
      <c r="A657" s="7" t="s">
        <v>4289</v>
      </c>
      <c r="B657" s="7" t="s">
        <v>1903</v>
      </c>
    </row>
    <row r="658" spans="1:2">
      <c r="A658" s="7" t="s">
        <v>4290</v>
      </c>
      <c r="B658" s="7" t="s">
        <v>1904</v>
      </c>
    </row>
    <row r="659" spans="1:2">
      <c r="A659" s="7" t="s">
        <v>4291</v>
      </c>
      <c r="B659" s="7" t="s">
        <v>1905</v>
      </c>
    </row>
    <row r="660" spans="1:2">
      <c r="A660" s="7" t="s">
        <v>4292</v>
      </c>
      <c r="B660" s="7" t="s">
        <v>1906</v>
      </c>
    </row>
    <row r="661" spans="1:2">
      <c r="A661" s="7" t="s">
        <v>4293</v>
      </c>
      <c r="B661" s="7" t="s">
        <v>1907</v>
      </c>
    </row>
    <row r="662" spans="1:2">
      <c r="A662" s="7" t="s">
        <v>4294</v>
      </c>
      <c r="B662" s="7" t="s">
        <v>1908</v>
      </c>
    </row>
    <row r="663" spans="1:2">
      <c r="A663" s="7" t="s">
        <v>4295</v>
      </c>
      <c r="B663" s="7" t="s">
        <v>1909</v>
      </c>
    </row>
    <row r="664" spans="1:2">
      <c r="A664" s="7" t="s">
        <v>4296</v>
      </c>
      <c r="B664" s="7" t="s">
        <v>1910</v>
      </c>
    </row>
    <row r="665" spans="1:2">
      <c r="A665" s="7" t="s">
        <v>4297</v>
      </c>
      <c r="B665" s="7" t="s">
        <v>1911</v>
      </c>
    </row>
    <row r="666" spans="1:2">
      <c r="A666" s="7" t="s">
        <v>4298</v>
      </c>
      <c r="B666" s="7" t="s">
        <v>1912</v>
      </c>
    </row>
    <row r="667" spans="1:2">
      <c r="A667" s="7" t="s">
        <v>4299</v>
      </c>
      <c r="B667" s="7" t="s">
        <v>1913</v>
      </c>
    </row>
    <row r="668" spans="1:2">
      <c r="A668" s="7" t="s">
        <v>4300</v>
      </c>
      <c r="B668" s="7" t="s">
        <v>1914</v>
      </c>
    </row>
    <row r="669" spans="1:2">
      <c r="A669" s="7" t="s">
        <v>4301</v>
      </c>
      <c r="B669" s="7" t="s">
        <v>1915</v>
      </c>
    </row>
    <row r="670" spans="1:2">
      <c r="A670" s="7" t="s">
        <v>4302</v>
      </c>
      <c r="B670" s="7" t="s">
        <v>1916</v>
      </c>
    </row>
    <row r="671" spans="1:2">
      <c r="A671" s="7" t="s">
        <v>4303</v>
      </c>
      <c r="B671" s="7" t="s">
        <v>1917</v>
      </c>
    </row>
    <row r="672" spans="1:2">
      <c r="A672" s="7" t="s">
        <v>4304</v>
      </c>
      <c r="B672" s="7" t="s">
        <v>1918</v>
      </c>
    </row>
    <row r="673" spans="1:2">
      <c r="A673" s="7" t="s">
        <v>4305</v>
      </c>
      <c r="B673" s="7" t="s">
        <v>1919</v>
      </c>
    </row>
    <row r="674" spans="1:2">
      <c r="A674" s="7" t="s">
        <v>4306</v>
      </c>
      <c r="B674" s="7" t="s">
        <v>1920</v>
      </c>
    </row>
    <row r="675" spans="1:2">
      <c r="A675" s="7" t="s">
        <v>4307</v>
      </c>
      <c r="B675" s="7" t="s">
        <v>1921</v>
      </c>
    </row>
    <row r="676" spans="1:2">
      <c r="A676" s="7" t="s">
        <v>4308</v>
      </c>
      <c r="B676" s="7" t="s">
        <v>1922</v>
      </c>
    </row>
    <row r="677" spans="1:2">
      <c r="A677" s="7" t="s">
        <v>4309</v>
      </c>
      <c r="B677" s="7" t="s">
        <v>1923</v>
      </c>
    </row>
    <row r="678" spans="1:2">
      <c r="A678" s="7" t="s">
        <v>4310</v>
      </c>
      <c r="B678" s="7" t="s">
        <v>1924</v>
      </c>
    </row>
    <row r="679" spans="1:2">
      <c r="A679" s="7" t="s">
        <v>4311</v>
      </c>
      <c r="B679" s="7" t="s">
        <v>1925</v>
      </c>
    </row>
    <row r="680" spans="1:2">
      <c r="A680" s="7" t="s">
        <v>4312</v>
      </c>
      <c r="B680" s="7" t="s">
        <v>1926</v>
      </c>
    </row>
    <row r="681" spans="1:2">
      <c r="A681" s="7" t="s">
        <v>4313</v>
      </c>
      <c r="B681" s="7" t="s">
        <v>1927</v>
      </c>
    </row>
    <row r="682" spans="1:2">
      <c r="A682" s="7" t="s">
        <v>4314</v>
      </c>
      <c r="B682" s="7" t="s">
        <v>1928</v>
      </c>
    </row>
    <row r="683" spans="1:2">
      <c r="A683" s="7" t="s">
        <v>4315</v>
      </c>
      <c r="B683" s="7" t="s">
        <v>1929</v>
      </c>
    </row>
    <row r="684" spans="1:2">
      <c r="A684" s="7" t="s">
        <v>4316</v>
      </c>
      <c r="B684" s="7" t="s">
        <v>1930</v>
      </c>
    </row>
    <row r="685" spans="1:2">
      <c r="A685" s="7" t="s">
        <v>4317</v>
      </c>
      <c r="B685" s="7" t="s">
        <v>1931</v>
      </c>
    </row>
    <row r="686" spans="1:2">
      <c r="A686" s="7" t="s">
        <v>4318</v>
      </c>
      <c r="B686" s="7" t="s">
        <v>1932</v>
      </c>
    </row>
    <row r="687" spans="1:2">
      <c r="A687" s="7" t="s">
        <v>4319</v>
      </c>
      <c r="B687" s="7" t="s">
        <v>1933</v>
      </c>
    </row>
    <row r="688" spans="1:2">
      <c r="A688" s="7" t="s">
        <v>4320</v>
      </c>
      <c r="B688" s="7" t="s">
        <v>1934</v>
      </c>
    </row>
    <row r="689" spans="1:2">
      <c r="A689" s="7" t="s">
        <v>4321</v>
      </c>
      <c r="B689" s="7" t="s">
        <v>1935</v>
      </c>
    </row>
    <row r="690" spans="1:2">
      <c r="A690" s="7" t="s">
        <v>4322</v>
      </c>
      <c r="B690" s="7" t="s">
        <v>1936</v>
      </c>
    </row>
    <row r="691" spans="1:2">
      <c r="A691" s="7" t="s">
        <v>4323</v>
      </c>
      <c r="B691" s="7" t="s">
        <v>1937</v>
      </c>
    </row>
    <row r="692" spans="1:2">
      <c r="A692" s="7" t="s">
        <v>4324</v>
      </c>
      <c r="B692" s="7" t="s">
        <v>1938</v>
      </c>
    </row>
    <row r="693" spans="1:2">
      <c r="A693" s="7" t="s">
        <v>4325</v>
      </c>
      <c r="B693" s="7" t="s">
        <v>1939</v>
      </c>
    </row>
    <row r="694" spans="1:2">
      <c r="A694" s="7" t="s">
        <v>4326</v>
      </c>
      <c r="B694" s="7" t="s">
        <v>1940</v>
      </c>
    </row>
    <row r="695" spans="1:2">
      <c r="A695" s="7" t="s">
        <v>4327</v>
      </c>
      <c r="B695" s="7" t="s">
        <v>1941</v>
      </c>
    </row>
    <row r="696" spans="1:2">
      <c r="A696" s="7" t="s">
        <v>4328</v>
      </c>
      <c r="B696" s="7" t="s">
        <v>1942</v>
      </c>
    </row>
    <row r="697" spans="1:2">
      <c r="A697" s="7" t="s">
        <v>4329</v>
      </c>
      <c r="B697" s="7" t="s">
        <v>1943</v>
      </c>
    </row>
    <row r="698" spans="1:2">
      <c r="A698" s="7" t="s">
        <v>4330</v>
      </c>
      <c r="B698" s="7" t="s">
        <v>1944</v>
      </c>
    </row>
    <row r="699" spans="1:2">
      <c r="A699" s="7" t="s">
        <v>4331</v>
      </c>
      <c r="B699" s="7" t="s">
        <v>1945</v>
      </c>
    </row>
    <row r="700" spans="1:2">
      <c r="A700" s="7" t="s">
        <v>4332</v>
      </c>
      <c r="B700" s="7" t="s">
        <v>1946</v>
      </c>
    </row>
    <row r="701" spans="1:2">
      <c r="A701" s="7" t="s">
        <v>4333</v>
      </c>
      <c r="B701" s="7" t="s">
        <v>1947</v>
      </c>
    </row>
    <row r="702" spans="1:2">
      <c r="A702" s="7" t="s">
        <v>4334</v>
      </c>
      <c r="B702" s="7" t="s">
        <v>1948</v>
      </c>
    </row>
    <row r="703" spans="1:2">
      <c r="A703" s="7" t="s">
        <v>4335</v>
      </c>
      <c r="B703" s="7" t="s">
        <v>1949</v>
      </c>
    </row>
    <row r="704" spans="1:2">
      <c r="A704" s="7" t="s">
        <v>4336</v>
      </c>
      <c r="B704" s="7" t="s">
        <v>1950</v>
      </c>
    </row>
    <row r="705" spans="1:2">
      <c r="A705" s="7" t="s">
        <v>4337</v>
      </c>
      <c r="B705" s="7" t="s">
        <v>1951</v>
      </c>
    </row>
    <row r="706" spans="1:2">
      <c r="A706" s="7" t="s">
        <v>4338</v>
      </c>
      <c r="B706" s="7" t="s">
        <v>1952</v>
      </c>
    </row>
    <row r="707" spans="1:2">
      <c r="A707" s="7" t="s">
        <v>4339</v>
      </c>
      <c r="B707" s="7" t="s">
        <v>1953</v>
      </c>
    </row>
    <row r="708" spans="1:2">
      <c r="A708" s="7" t="s">
        <v>4340</v>
      </c>
      <c r="B708" s="7" t="s">
        <v>1954</v>
      </c>
    </row>
    <row r="709" spans="1:2">
      <c r="A709" s="7" t="s">
        <v>4341</v>
      </c>
      <c r="B709" s="7" t="s">
        <v>1955</v>
      </c>
    </row>
    <row r="710" spans="1:2">
      <c r="A710" s="7" t="s">
        <v>4342</v>
      </c>
      <c r="B710" s="7" t="s">
        <v>1956</v>
      </c>
    </row>
    <row r="711" spans="1:2">
      <c r="A711" s="7" t="s">
        <v>4343</v>
      </c>
      <c r="B711" s="7" t="s">
        <v>1957</v>
      </c>
    </row>
    <row r="712" spans="1:2">
      <c r="A712" s="7" t="s">
        <v>4344</v>
      </c>
      <c r="B712" s="7" t="s">
        <v>1958</v>
      </c>
    </row>
    <row r="713" spans="1:2">
      <c r="A713" s="7" t="s">
        <v>4345</v>
      </c>
      <c r="B713" s="7" t="s">
        <v>1959</v>
      </c>
    </row>
    <row r="714" spans="1:2">
      <c r="A714" s="7" t="s">
        <v>4346</v>
      </c>
      <c r="B714" s="7" t="s">
        <v>1960</v>
      </c>
    </row>
    <row r="715" spans="1:2">
      <c r="A715" s="7" t="s">
        <v>4347</v>
      </c>
      <c r="B715" s="7" t="s">
        <v>1961</v>
      </c>
    </row>
    <row r="716" spans="1:2">
      <c r="A716" s="7" t="s">
        <v>4348</v>
      </c>
      <c r="B716" s="7" t="s">
        <v>1962</v>
      </c>
    </row>
    <row r="717" spans="1:2">
      <c r="A717" s="7" t="s">
        <v>4349</v>
      </c>
      <c r="B717" s="7" t="s">
        <v>1963</v>
      </c>
    </row>
    <row r="718" spans="1:2">
      <c r="A718" s="7" t="s">
        <v>4350</v>
      </c>
      <c r="B718" s="7" t="s">
        <v>1964</v>
      </c>
    </row>
    <row r="719" spans="1:2">
      <c r="A719" s="7" t="s">
        <v>4351</v>
      </c>
      <c r="B719" s="7" t="s">
        <v>1965</v>
      </c>
    </row>
    <row r="720" spans="1:2">
      <c r="A720" s="7" t="s">
        <v>4352</v>
      </c>
      <c r="B720" s="7" t="s">
        <v>1966</v>
      </c>
    </row>
    <row r="721" spans="1:2">
      <c r="A721" s="7" t="s">
        <v>4353</v>
      </c>
      <c r="B721" s="7" t="s">
        <v>1967</v>
      </c>
    </row>
    <row r="722" spans="1:2">
      <c r="A722" s="7" t="s">
        <v>4354</v>
      </c>
      <c r="B722" s="7" t="s">
        <v>1968</v>
      </c>
    </row>
    <row r="723" spans="1:2">
      <c r="A723" s="7" t="s">
        <v>4355</v>
      </c>
      <c r="B723" s="7" t="s">
        <v>1969</v>
      </c>
    </row>
    <row r="724" spans="1:2">
      <c r="A724" s="7" t="s">
        <v>4356</v>
      </c>
      <c r="B724" s="7" t="s">
        <v>1970</v>
      </c>
    </row>
    <row r="725" spans="1:2">
      <c r="A725" s="7" t="s">
        <v>4357</v>
      </c>
      <c r="B725" s="7" t="s">
        <v>1971</v>
      </c>
    </row>
    <row r="726" spans="1:2">
      <c r="A726" s="7" t="s">
        <v>4358</v>
      </c>
      <c r="B726" s="7" t="s">
        <v>1972</v>
      </c>
    </row>
    <row r="727" spans="1:2">
      <c r="A727" s="7" t="s">
        <v>4359</v>
      </c>
      <c r="B727" s="7" t="s">
        <v>1973</v>
      </c>
    </row>
    <row r="728" spans="1:2">
      <c r="A728" s="7" t="s">
        <v>4360</v>
      </c>
      <c r="B728" s="7" t="s">
        <v>1974</v>
      </c>
    </row>
    <row r="729" spans="1:2">
      <c r="A729" s="7" t="s">
        <v>4361</v>
      </c>
      <c r="B729" s="7" t="s">
        <v>1975</v>
      </c>
    </row>
    <row r="730" spans="1:2">
      <c r="A730" s="7" t="s">
        <v>4362</v>
      </c>
      <c r="B730" s="7" t="s">
        <v>1976</v>
      </c>
    </row>
    <row r="731" spans="1:2">
      <c r="A731" s="7" t="s">
        <v>4363</v>
      </c>
      <c r="B731" s="7" t="s">
        <v>1977</v>
      </c>
    </row>
    <row r="732" spans="1:2">
      <c r="A732" s="7" t="s">
        <v>4364</v>
      </c>
      <c r="B732" s="7" t="s">
        <v>1978</v>
      </c>
    </row>
    <row r="733" spans="1:2">
      <c r="A733" s="7" t="s">
        <v>4365</v>
      </c>
      <c r="B733" s="7" t="s">
        <v>1979</v>
      </c>
    </row>
    <row r="734" spans="1:2">
      <c r="A734" s="7" t="s">
        <v>4366</v>
      </c>
      <c r="B734" s="7" t="s">
        <v>1980</v>
      </c>
    </row>
    <row r="735" spans="1:2">
      <c r="A735" s="7" t="s">
        <v>4367</v>
      </c>
      <c r="B735" s="7" t="s">
        <v>1981</v>
      </c>
    </row>
    <row r="736" spans="1:2">
      <c r="A736" s="7" t="s">
        <v>4368</v>
      </c>
      <c r="B736" s="7" t="s">
        <v>1982</v>
      </c>
    </row>
    <row r="737" spans="1:2">
      <c r="A737" s="7" t="s">
        <v>4369</v>
      </c>
      <c r="B737" s="7" t="s">
        <v>1983</v>
      </c>
    </row>
    <row r="738" spans="1:2">
      <c r="A738" s="7" t="s">
        <v>4370</v>
      </c>
      <c r="B738" s="7" t="s">
        <v>1984</v>
      </c>
    </row>
    <row r="739" spans="1:2">
      <c r="A739" s="7" t="s">
        <v>4371</v>
      </c>
      <c r="B739" s="7" t="s">
        <v>1985</v>
      </c>
    </row>
    <row r="740" spans="1:2">
      <c r="A740" s="7" t="s">
        <v>4372</v>
      </c>
      <c r="B740" s="7" t="s">
        <v>1986</v>
      </c>
    </row>
    <row r="741" spans="1:2">
      <c r="A741" s="7" t="s">
        <v>4373</v>
      </c>
      <c r="B741" s="7" t="s">
        <v>1987</v>
      </c>
    </row>
    <row r="742" spans="1:2">
      <c r="A742" s="7" t="s">
        <v>4374</v>
      </c>
      <c r="B742" s="7" t="s">
        <v>1988</v>
      </c>
    </row>
    <row r="743" spans="1:2">
      <c r="A743" s="7" t="s">
        <v>4375</v>
      </c>
      <c r="B743" s="7" t="s">
        <v>1989</v>
      </c>
    </row>
    <row r="744" spans="1:2">
      <c r="A744" s="7" t="s">
        <v>4376</v>
      </c>
      <c r="B744" s="7" t="s">
        <v>1990</v>
      </c>
    </row>
    <row r="745" spans="1:2">
      <c r="A745" s="7" t="s">
        <v>4377</v>
      </c>
      <c r="B745" s="7" t="s">
        <v>1991</v>
      </c>
    </row>
    <row r="746" spans="1:2">
      <c r="A746" s="7" t="s">
        <v>4378</v>
      </c>
      <c r="B746" s="7" t="s">
        <v>1992</v>
      </c>
    </row>
    <row r="747" spans="1:2">
      <c r="A747" s="7" t="s">
        <v>4379</v>
      </c>
      <c r="B747" s="7" t="s">
        <v>1993</v>
      </c>
    </row>
    <row r="748" spans="1:2">
      <c r="A748" s="7" t="s">
        <v>4380</v>
      </c>
      <c r="B748" s="7" t="s">
        <v>1994</v>
      </c>
    </row>
    <row r="749" spans="1:2">
      <c r="A749" s="7" t="s">
        <v>4381</v>
      </c>
      <c r="B749" s="7" t="s">
        <v>1995</v>
      </c>
    </row>
    <row r="750" spans="1:2">
      <c r="A750" s="7" t="s">
        <v>4382</v>
      </c>
      <c r="B750" s="7" t="s">
        <v>1996</v>
      </c>
    </row>
    <row r="751" spans="1:2">
      <c r="A751" s="7" t="s">
        <v>4383</v>
      </c>
      <c r="B751" s="7" t="s">
        <v>1997</v>
      </c>
    </row>
    <row r="752" spans="1:2">
      <c r="A752" s="7" t="s">
        <v>4384</v>
      </c>
      <c r="B752" s="7" t="s">
        <v>1998</v>
      </c>
    </row>
    <row r="753" spans="1:2">
      <c r="A753" s="7" t="s">
        <v>4385</v>
      </c>
      <c r="B753" s="7" t="s">
        <v>1999</v>
      </c>
    </row>
    <row r="754" spans="1:2">
      <c r="A754" s="7" t="s">
        <v>4386</v>
      </c>
      <c r="B754" s="7" t="s">
        <v>2000</v>
      </c>
    </row>
    <row r="755" spans="1:2">
      <c r="A755" s="7" t="s">
        <v>4387</v>
      </c>
      <c r="B755" s="7" t="s">
        <v>2001</v>
      </c>
    </row>
    <row r="756" spans="1:2">
      <c r="A756" s="7" t="s">
        <v>4388</v>
      </c>
      <c r="B756" s="7" t="s">
        <v>2002</v>
      </c>
    </row>
    <row r="757" spans="1:2">
      <c r="A757" s="7" t="s">
        <v>4389</v>
      </c>
      <c r="B757" s="7" t="s">
        <v>2003</v>
      </c>
    </row>
    <row r="758" spans="1:2">
      <c r="A758" s="7" t="s">
        <v>4390</v>
      </c>
      <c r="B758" s="7" t="s">
        <v>2004</v>
      </c>
    </row>
    <row r="759" spans="1:2">
      <c r="A759" s="7" t="s">
        <v>4391</v>
      </c>
      <c r="B759" s="7" t="s">
        <v>2005</v>
      </c>
    </row>
    <row r="760" spans="1:2">
      <c r="A760" s="7" t="s">
        <v>4392</v>
      </c>
      <c r="B760" s="7" t="s">
        <v>2006</v>
      </c>
    </row>
    <row r="761" spans="1:2">
      <c r="A761" s="7" t="s">
        <v>4393</v>
      </c>
      <c r="B761" s="7" t="s">
        <v>2007</v>
      </c>
    </row>
    <row r="762" spans="1:2">
      <c r="A762" s="7" t="s">
        <v>4394</v>
      </c>
      <c r="B762" s="7" t="s">
        <v>2008</v>
      </c>
    </row>
    <row r="763" spans="1:2">
      <c r="A763" s="7" t="s">
        <v>4395</v>
      </c>
      <c r="B763" s="7" t="s">
        <v>2009</v>
      </c>
    </row>
    <row r="764" spans="1:2">
      <c r="A764" s="7" t="s">
        <v>4396</v>
      </c>
      <c r="B764" s="7" t="s">
        <v>2010</v>
      </c>
    </row>
    <row r="765" spans="1:2">
      <c r="A765" s="7" t="s">
        <v>4397</v>
      </c>
      <c r="B765" s="7" t="s">
        <v>2011</v>
      </c>
    </row>
    <row r="766" spans="1:2">
      <c r="A766" s="7" t="s">
        <v>4398</v>
      </c>
      <c r="B766" s="7" t="s">
        <v>2012</v>
      </c>
    </row>
    <row r="767" spans="1:2">
      <c r="A767" s="7" t="s">
        <v>4399</v>
      </c>
      <c r="B767" s="7" t="s">
        <v>2013</v>
      </c>
    </row>
    <row r="768" spans="1:2">
      <c r="A768" s="7" t="s">
        <v>4400</v>
      </c>
      <c r="B768" s="7" t="s">
        <v>2014</v>
      </c>
    </row>
    <row r="769" spans="1:2">
      <c r="A769" s="7" t="s">
        <v>4401</v>
      </c>
      <c r="B769" s="7" t="s">
        <v>2015</v>
      </c>
    </row>
    <row r="770" spans="1:2">
      <c r="A770" s="7" t="s">
        <v>4402</v>
      </c>
      <c r="B770" s="7" t="s">
        <v>2016</v>
      </c>
    </row>
    <row r="771" spans="1:2">
      <c r="A771" s="7" t="s">
        <v>4403</v>
      </c>
      <c r="B771" s="7" t="s">
        <v>2017</v>
      </c>
    </row>
    <row r="772" spans="1:2">
      <c r="A772" s="7" t="s">
        <v>4404</v>
      </c>
      <c r="B772" s="7" t="s">
        <v>2018</v>
      </c>
    </row>
    <row r="773" spans="1:2">
      <c r="A773" s="7" t="s">
        <v>4405</v>
      </c>
      <c r="B773" s="7" t="s">
        <v>2019</v>
      </c>
    </row>
    <row r="774" spans="1:2">
      <c r="A774" s="7" t="s">
        <v>4406</v>
      </c>
      <c r="B774" s="7" t="s">
        <v>2020</v>
      </c>
    </row>
    <row r="775" spans="1:2">
      <c r="A775" s="7" t="s">
        <v>4407</v>
      </c>
      <c r="B775" s="7" t="s">
        <v>2021</v>
      </c>
    </row>
    <row r="776" spans="1:2">
      <c r="A776" s="7" t="s">
        <v>4408</v>
      </c>
      <c r="B776" s="7" t="s">
        <v>2022</v>
      </c>
    </row>
    <row r="777" spans="1:2">
      <c r="A777" s="7" t="s">
        <v>4409</v>
      </c>
      <c r="B777" s="7" t="s">
        <v>2023</v>
      </c>
    </row>
    <row r="778" spans="1:2">
      <c r="A778" s="7" t="s">
        <v>4410</v>
      </c>
      <c r="B778" s="7" t="s">
        <v>2024</v>
      </c>
    </row>
    <row r="779" spans="1:2">
      <c r="A779" s="7" t="s">
        <v>4411</v>
      </c>
      <c r="B779" s="7" t="s">
        <v>2025</v>
      </c>
    </row>
    <row r="780" spans="1:2">
      <c r="A780" s="7" t="s">
        <v>4412</v>
      </c>
      <c r="B780" s="7" t="s">
        <v>2026</v>
      </c>
    </row>
    <row r="781" spans="1:2">
      <c r="A781" s="7" t="s">
        <v>4413</v>
      </c>
      <c r="B781" s="7" t="s">
        <v>2027</v>
      </c>
    </row>
    <row r="782" spans="1:2">
      <c r="A782" s="7" t="s">
        <v>4414</v>
      </c>
      <c r="B782" s="7" t="s">
        <v>2028</v>
      </c>
    </row>
    <row r="783" spans="1:2">
      <c r="A783" s="7" t="s">
        <v>4415</v>
      </c>
      <c r="B783" s="7" t="s">
        <v>2029</v>
      </c>
    </row>
    <row r="784" spans="1:2">
      <c r="A784" s="7" t="s">
        <v>4416</v>
      </c>
      <c r="B784" s="7" t="s">
        <v>2030</v>
      </c>
    </row>
    <row r="785" spans="1:2">
      <c r="A785" s="7" t="s">
        <v>4417</v>
      </c>
      <c r="B785" s="7" t="s">
        <v>2031</v>
      </c>
    </row>
    <row r="786" spans="1:2">
      <c r="A786" s="7" t="s">
        <v>4418</v>
      </c>
      <c r="B786" s="7" t="s">
        <v>2032</v>
      </c>
    </row>
    <row r="787" spans="1:2">
      <c r="A787" s="7" t="s">
        <v>4419</v>
      </c>
      <c r="B787" s="7" t="s">
        <v>2033</v>
      </c>
    </row>
    <row r="788" spans="1:2">
      <c r="A788" s="7" t="s">
        <v>4420</v>
      </c>
      <c r="B788" s="7" t="s">
        <v>2034</v>
      </c>
    </row>
    <row r="789" spans="1:2">
      <c r="A789" s="7" t="s">
        <v>4421</v>
      </c>
      <c r="B789" s="7" t="s">
        <v>2035</v>
      </c>
    </row>
    <row r="790" spans="1:2">
      <c r="A790" s="7" t="s">
        <v>4422</v>
      </c>
      <c r="B790" s="7" t="s">
        <v>2036</v>
      </c>
    </row>
    <row r="791" spans="1:2">
      <c r="A791" s="7" t="s">
        <v>4423</v>
      </c>
      <c r="B791" s="7" t="s">
        <v>2037</v>
      </c>
    </row>
    <row r="792" spans="1:2">
      <c r="A792" s="7" t="s">
        <v>4424</v>
      </c>
      <c r="B792" s="7" t="s">
        <v>2038</v>
      </c>
    </row>
    <row r="793" spans="1:2">
      <c r="A793" s="7" t="s">
        <v>4425</v>
      </c>
      <c r="B793" s="7" t="s">
        <v>2039</v>
      </c>
    </row>
    <row r="794" spans="1:2">
      <c r="A794" s="7" t="s">
        <v>4426</v>
      </c>
      <c r="B794" s="7" t="s">
        <v>2040</v>
      </c>
    </row>
    <row r="795" spans="1:2">
      <c r="A795" s="7" t="s">
        <v>4427</v>
      </c>
      <c r="B795" s="7" t="s">
        <v>2041</v>
      </c>
    </row>
    <row r="796" spans="1:2">
      <c r="A796" s="7" t="s">
        <v>4428</v>
      </c>
      <c r="B796" s="7" t="s">
        <v>2042</v>
      </c>
    </row>
    <row r="797" spans="1:2">
      <c r="A797" s="7" t="s">
        <v>4429</v>
      </c>
      <c r="B797" s="7" t="s">
        <v>2043</v>
      </c>
    </row>
    <row r="798" spans="1:2">
      <c r="A798" s="7" t="s">
        <v>4430</v>
      </c>
      <c r="B798" s="7" t="s">
        <v>2044</v>
      </c>
    </row>
    <row r="799" spans="1:2">
      <c r="A799" s="7" t="s">
        <v>4431</v>
      </c>
      <c r="B799" s="7" t="s">
        <v>2045</v>
      </c>
    </row>
    <row r="800" spans="1:2">
      <c r="A800" s="7" t="s">
        <v>4432</v>
      </c>
      <c r="B800" s="7" t="s">
        <v>2046</v>
      </c>
    </row>
    <row r="801" spans="1:2">
      <c r="A801" s="7" t="s">
        <v>4433</v>
      </c>
      <c r="B801" s="7" t="s">
        <v>2047</v>
      </c>
    </row>
    <row r="802" spans="1:2">
      <c r="A802" s="7" t="s">
        <v>4434</v>
      </c>
      <c r="B802" s="7" t="s">
        <v>2048</v>
      </c>
    </row>
    <row r="803" spans="1:2">
      <c r="A803" s="7" t="s">
        <v>4435</v>
      </c>
      <c r="B803" s="7" t="s">
        <v>2049</v>
      </c>
    </row>
    <row r="804" spans="1:2">
      <c r="A804" s="7" t="s">
        <v>4436</v>
      </c>
      <c r="B804" s="7" t="s">
        <v>2050</v>
      </c>
    </row>
    <row r="805" spans="1:2">
      <c r="A805" s="7" t="s">
        <v>4437</v>
      </c>
      <c r="B805" s="7" t="s">
        <v>2051</v>
      </c>
    </row>
    <row r="806" spans="1:2">
      <c r="A806" s="7" t="s">
        <v>4438</v>
      </c>
      <c r="B806" s="7" t="s">
        <v>2052</v>
      </c>
    </row>
    <row r="807" spans="1:2">
      <c r="A807" s="7" t="s">
        <v>4439</v>
      </c>
      <c r="B807" s="7" t="s">
        <v>2053</v>
      </c>
    </row>
    <row r="808" spans="1:2">
      <c r="A808" s="7" t="s">
        <v>4440</v>
      </c>
      <c r="B808" s="7" t="s">
        <v>2054</v>
      </c>
    </row>
    <row r="809" spans="1:2">
      <c r="A809" s="7" t="s">
        <v>4441</v>
      </c>
      <c r="B809" s="7" t="s">
        <v>2055</v>
      </c>
    </row>
    <row r="810" spans="1:2">
      <c r="A810" s="7" t="s">
        <v>4442</v>
      </c>
      <c r="B810" s="7" t="s">
        <v>2056</v>
      </c>
    </row>
    <row r="811" spans="1:2">
      <c r="A811" s="7" t="s">
        <v>4443</v>
      </c>
      <c r="B811" s="7" t="s">
        <v>2057</v>
      </c>
    </row>
    <row r="812" spans="1:2">
      <c r="A812" s="7" t="s">
        <v>4444</v>
      </c>
      <c r="B812" s="7" t="s">
        <v>2058</v>
      </c>
    </row>
    <row r="813" spans="1:2">
      <c r="A813" s="7" t="s">
        <v>4445</v>
      </c>
      <c r="B813" s="7" t="s">
        <v>2059</v>
      </c>
    </row>
    <row r="814" spans="1:2">
      <c r="A814" s="7" t="s">
        <v>4446</v>
      </c>
      <c r="B814" s="7" t="s">
        <v>2060</v>
      </c>
    </row>
    <row r="815" spans="1:2">
      <c r="A815" s="7" t="s">
        <v>4447</v>
      </c>
      <c r="B815" s="7" t="s">
        <v>2061</v>
      </c>
    </row>
    <row r="816" spans="1:2">
      <c r="A816" s="7" t="s">
        <v>4448</v>
      </c>
      <c r="B816" s="7" t="s">
        <v>2062</v>
      </c>
    </row>
    <row r="817" spans="1:2">
      <c r="A817" s="7" t="s">
        <v>4449</v>
      </c>
      <c r="B817" s="7" t="s">
        <v>2063</v>
      </c>
    </row>
    <row r="818" spans="1:2">
      <c r="A818" s="7" t="s">
        <v>4450</v>
      </c>
      <c r="B818" s="7" t="s">
        <v>2064</v>
      </c>
    </row>
    <row r="819" spans="1:2">
      <c r="A819" s="7" t="s">
        <v>4451</v>
      </c>
      <c r="B819" s="7" t="s">
        <v>2065</v>
      </c>
    </row>
    <row r="820" spans="1:2">
      <c r="A820" s="7" t="s">
        <v>4452</v>
      </c>
      <c r="B820" s="7" t="s">
        <v>2066</v>
      </c>
    </row>
    <row r="821" spans="1:2">
      <c r="A821" s="7" t="s">
        <v>4453</v>
      </c>
      <c r="B821" s="7" t="s">
        <v>2067</v>
      </c>
    </row>
    <row r="822" spans="1:2">
      <c r="A822" s="7" t="s">
        <v>4454</v>
      </c>
      <c r="B822" s="7" t="s">
        <v>2068</v>
      </c>
    </row>
    <row r="823" spans="1:2">
      <c r="A823" s="7" t="s">
        <v>4455</v>
      </c>
      <c r="B823" s="7" t="s">
        <v>2069</v>
      </c>
    </row>
    <row r="824" spans="1:2">
      <c r="A824" s="7" t="s">
        <v>4456</v>
      </c>
      <c r="B824" s="7" t="s">
        <v>2070</v>
      </c>
    </row>
    <row r="825" spans="1:2">
      <c r="A825" s="7" t="s">
        <v>4457</v>
      </c>
      <c r="B825" s="7" t="s">
        <v>2071</v>
      </c>
    </row>
    <row r="826" spans="1:2">
      <c r="A826" s="7" t="s">
        <v>4458</v>
      </c>
      <c r="B826" s="7" t="s">
        <v>2072</v>
      </c>
    </row>
    <row r="827" spans="1:2">
      <c r="A827" s="7" t="s">
        <v>4459</v>
      </c>
      <c r="B827" s="7" t="s">
        <v>2073</v>
      </c>
    </row>
    <row r="828" spans="1:2">
      <c r="A828" s="7" t="s">
        <v>4460</v>
      </c>
      <c r="B828" s="7" t="s">
        <v>2074</v>
      </c>
    </row>
    <row r="829" spans="1:2">
      <c r="A829" s="7" t="s">
        <v>4461</v>
      </c>
      <c r="B829" s="7" t="s">
        <v>2075</v>
      </c>
    </row>
    <row r="830" spans="1:2">
      <c r="A830" s="7" t="s">
        <v>4462</v>
      </c>
      <c r="B830" s="7" t="s">
        <v>2076</v>
      </c>
    </row>
    <row r="831" spans="1:2">
      <c r="A831" s="7" t="s">
        <v>4463</v>
      </c>
      <c r="B831" s="7" t="s">
        <v>2077</v>
      </c>
    </row>
    <row r="832" spans="1:2">
      <c r="A832" s="7" t="s">
        <v>4464</v>
      </c>
      <c r="B832" s="7" t="s">
        <v>2078</v>
      </c>
    </row>
    <row r="833" spans="1:2">
      <c r="A833" s="7" t="s">
        <v>4465</v>
      </c>
      <c r="B833" s="7" t="s">
        <v>2079</v>
      </c>
    </row>
    <row r="834" spans="1:2">
      <c r="A834" s="7" t="s">
        <v>4466</v>
      </c>
      <c r="B834" s="7" t="s">
        <v>2080</v>
      </c>
    </row>
    <row r="835" spans="1:2">
      <c r="A835" s="7" t="s">
        <v>4467</v>
      </c>
      <c r="B835" s="7" t="s">
        <v>2081</v>
      </c>
    </row>
    <row r="836" spans="1:2">
      <c r="A836" s="7" t="s">
        <v>4468</v>
      </c>
      <c r="B836" s="7" t="s">
        <v>2082</v>
      </c>
    </row>
    <row r="837" spans="1:2">
      <c r="A837" s="7" t="s">
        <v>4469</v>
      </c>
      <c r="B837" s="7" t="s">
        <v>2083</v>
      </c>
    </row>
    <row r="838" spans="1:2">
      <c r="A838" s="7" t="s">
        <v>4470</v>
      </c>
      <c r="B838" s="7" t="s">
        <v>2084</v>
      </c>
    </row>
    <row r="839" spans="1:2">
      <c r="A839" s="7" t="s">
        <v>4471</v>
      </c>
      <c r="B839" s="7" t="s">
        <v>2085</v>
      </c>
    </row>
    <row r="840" spans="1:2">
      <c r="A840" s="7" t="s">
        <v>4472</v>
      </c>
      <c r="B840" s="7" t="s">
        <v>2086</v>
      </c>
    </row>
    <row r="841" spans="1:2">
      <c r="A841" s="7" t="s">
        <v>4473</v>
      </c>
      <c r="B841" s="7" t="s">
        <v>2087</v>
      </c>
    </row>
    <row r="842" spans="1:2">
      <c r="A842" s="7" t="s">
        <v>4474</v>
      </c>
      <c r="B842" s="7" t="s">
        <v>2088</v>
      </c>
    </row>
    <row r="843" spans="1:2">
      <c r="A843" s="7" t="s">
        <v>4475</v>
      </c>
      <c r="B843" s="7" t="s">
        <v>2089</v>
      </c>
    </row>
    <row r="844" spans="1:2">
      <c r="A844" s="7" t="s">
        <v>4476</v>
      </c>
      <c r="B844" s="7" t="s">
        <v>2090</v>
      </c>
    </row>
    <row r="845" spans="1:2">
      <c r="A845" s="7" t="s">
        <v>4477</v>
      </c>
      <c r="B845" s="7" t="s">
        <v>2091</v>
      </c>
    </row>
    <row r="846" spans="1:2">
      <c r="A846" s="7" t="s">
        <v>4478</v>
      </c>
      <c r="B846" s="7" t="s">
        <v>2092</v>
      </c>
    </row>
    <row r="847" spans="1:2">
      <c r="A847" s="7" t="s">
        <v>4479</v>
      </c>
      <c r="B847" s="7" t="s">
        <v>2093</v>
      </c>
    </row>
    <row r="848" spans="1:2">
      <c r="A848" s="7" t="s">
        <v>4480</v>
      </c>
      <c r="B848" s="7" t="s">
        <v>2094</v>
      </c>
    </row>
    <row r="849" spans="1:2">
      <c r="A849" s="7" t="s">
        <v>4481</v>
      </c>
      <c r="B849" s="7" t="s">
        <v>2095</v>
      </c>
    </row>
    <row r="850" spans="1:2">
      <c r="A850" s="7" t="s">
        <v>4482</v>
      </c>
      <c r="B850" s="7" t="s">
        <v>2096</v>
      </c>
    </row>
    <row r="851" spans="1:2">
      <c r="A851" s="7" t="s">
        <v>4483</v>
      </c>
      <c r="B851" s="7" t="s">
        <v>2097</v>
      </c>
    </row>
    <row r="852" spans="1:2">
      <c r="A852" s="7" t="s">
        <v>4484</v>
      </c>
      <c r="B852" s="7" t="s">
        <v>2098</v>
      </c>
    </row>
    <row r="853" spans="1:2">
      <c r="A853" s="7" t="s">
        <v>4485</v>
      </c>
      <c r="B853" s="7" t="s">
        <v>2099</v>
      </c>
    </row>
    <row r="854" spans="1:2">
      <c r="A854" s="7" t="s">
        <v>4486</v>
      </c>
      <c r="B854" s="7" t="s">
        <v>2100</v>
      </c>
    </row>
    <row r="855" spans="1:2">
      <c r="A855" s="7" t="s">
        <v>4487</v>
      </c>
      <c r="B855" s="7" t="s">
        <v>2101</v>
      </c>
    </row>
    <row r="856" spans="1:2">
      <c r="A856" s="7" t="s">
        <v>4488</v>
      </c>
      <c r="B856" s="7" t="s">
        <v>2102</v>
      </c>
    </row>
    <row r="857" spans="1:2">
      <c r="A857" s="7" t="s">
        <v>4489</v>
      </c>
      <c r="B857" s="7" t="s">
        <v>2103</v>
      </c>
    </row>
    <row r="858" spans="1:2">
      <c r="A858" s="7" t="s">
        <v>4490</v>
      </c>
      <c r="B858" s="7" t="s">
        <v>2104</v>
      </c>
    </row>
    <row r="859" spans="1:2">
      <c r="A859" s="7" t="s">
        <v>4491</v>
      </c>
      <c r="B859" s="7" t="s">
        <v>2105</v>
      </c>
    </row>
    <row r="860" spans="1:2">
      <c r="A860" s="7" t="s">
        <v>4492</v>
      </c>
      <c r="B860" s="7" t="s">
        <v>2106</v>
      </c>
    </row>
    <row r="861" spans="1:2">
      <c r="A861" s="7" t="s">
        <v>4493</v>
      </c>
      <c r="B861" s="7" t="s">
        <v>2107</v>
      </c>
    </row>
    <row r="862" spans="1:2">
      <c r="A862" s="7" t="s">
        <v>4494</v>
      </c>
      <c r="B862" s="7" t="s">
        <v>2108</v>
      </c>
    </row>
    <row r="863" spans="1:2">
      <c r="A863" s="7" t="s">
        <v>4495</v>
      </c>
      <c r="B863" s="7" t="s">
        <v>2109</v>
      </c>
    </row>
    <row r="864" spans="1:2">
      <c r="A864" s="7" t="s">
        <v>4496</v>
      </c>
      <c r="B864" s="7" t="s">
        <v>2110</v>
      </c>
    </row>
    <row r="865" spans="1:2">
      <c r="A865" s="7" t="s">
        <v>4497</v>
      </c>
      <c r="B865" s="7" t="s">
        <v>2111</v>
      </c>
    </row>
    <row r="866" spans="1:2">
      <c r="A866" s="7" t="s">
        <v>4498</v>
      </c>
      <c r="B866" s="7" t="s">
        <v>2112</v>
      </c>
    </row>
    <row r="867" spans="1:2">
      <c r="A867" s="7" t="s">
        <v>4499</v>
      </c>
      <c r="B867" s="7" t="s">
        <v>2113</v>
      </c>
    </row>
    <row r="868" spans="1:2">
      <c r="A868" s="7" t="s">
        <v>4500</v>
      </c>
      <c r="B868" s="7" t="s">
        <v>2114</v>
      </c>
    </row>
    <row r="869" spans="1:2">
      <c r="A869" s="7" t="s">
        <v>4501</v>
      </c>
      <c r="B869" s="7" t="s">
        <v>2115</v>
      </c>
    </row>
    <row r="870" spans="1:2">
      <c r="A870" s="7" t="s">
        <v>4502</v>
      </c>
      <c r="B870" s="7" t="s">
        <v>2116</v>
      </c>
    </row>
    <row r="871" spans="1:2">
      <c r="A871" s="7" t="s">
        <v>4503</v>
      </c>
      <c r="B871" s="7" t="s">
        <v>2117</v>
      </c>
    </row>
    <row r="872" spans="1:2">
      <c r="A872" s="7" t="s">
        <v>4504</v>
      </c>
      <c r="B872" s="7" t="s">
        <v>2118</v>
      </c>
    </row>
    <row r="873" spans="1:2">
      <c r="A873" s="7" t="s">
        <v>4505</v>
      </c>
      <c r="B873" s="7" t="s">
        <v>2119</v>
      </c>
    </row>
    <row r="874" spans="1:2">
      <c r="A874" s="7" t="s">
        <v>4506</v>
      </c>
      <c r="B874" s="7" t="s">
        <v>2120</v>
      </c>
    </row>
    <row r="875" spans="1:2">
      <c r="A875" s="7" t="s">
        <v>4507</v>
      </c>
      <c r="B875" s="7" t="s">
        <v>2121</v>
      </c>
    </row>
    <row r="876" spans="1:2">
      <c r="A876" s="7" t="s">
        <v>4508</v>
      </c>
      <c r="B876" s="7" t="s">
        <v>2122</v>
      </c>
    </row>
    <row r="877" spans="1:2">
      <c r="A877" s="7" t="s">
        <v>4509</v>
      </c>
      <c r="B877" s="7" t="s">
        <v>2123</v>
      </c>
    </row>
    <row r="878" spans="1:2">
      <c r="A878" s="7" t="s">
        <v>4510</v>
      </c>
      <c r="B878" s="7" t="s">
        <v>2124</v>
      </c>
    </row>
    <row r="879" spans="1:2">
      <c r="A879" s="7" t="s">
        <v>4511</v>
      </c>
      <c r="B879" s="7" t="s">
        <v>2125</v>
      </c>
    </row>
    <row r="880" spans="1:2">
      <c r="A880" s="7" t="s">
        <v>4512</v>
      </c>
      <c r="B880" s="7" t="s">
        <v>2126</v>
      </c>
    </row>
    <row r="881" spans="1:2">
      <c r="A881" s="7" t="s">
        <v>4513</v>
      </c>
      <c r="B881" s="7" t="s">
        <v>2127</v>
      </c>
    </row>
    <row r="882" spans="1:2">
      <c r="A882" s="7" t="s">
        <v>4514</v>
      </c>
      <c r="B882" s="7" t="s">
        <v>2128</v>
      </c>
    </row>
    <row r="883" spans="1:2">
      <c r="A883" s="7" t="s">
        <v>4515</v>
      </c>
      <c r="B883" s="7" t="s">
        <v>2129</v>
      </c>
    </row>
    <row r="884" spans="1:2">
      <c r="A884" s="7" t="s">
        <v>4516</v>
      </c>
      <c r="B884" s="7" t="s">
        <v>2130</v>
      </c>
    </row>
    <row r="885" spans="1:2">
      <c r="A885" s="7" t="s">
        <v>4517</v>
      </c>
      <c r="B885" s="7" t="s">
        <v>2131</v>
      </c>
    </row>
    <row r="886" spans="1:2">
      <c r="A886" s="7" t="s">
        <v>4518</v>
      </c>
      <c r="B886" s="7" t="s">
        <v>2132</v>
      </c>
    </row>
    <row r="887" spans="1:2">
      <c r="A887" s="7" t="s">
        <v>4519</v>
      </c>
      <c r="B887" s="7" t="s">
        <v>2133</v>
      </c>
    </row>
    <row r="888" spans="1:2">
      <c r="A888" s="7" t="s">
        <v>4520</v>
      </c>
      <c r="B888" s="7" t="s">
        <v>2134</v>
      </c>
    </row>
    <row r="889" spans="1:2">
      <c r="A889" s="7" t="s">
        <v>4521</v>
      </c>
      <c r="B889" s="7" t="s">
        <v>2135</v>
      </c>
    </row>
    <row r="890" spans="1:2">
      <c r="A890" s="7" t="s">
        <v>4522</v>
      </c>
      <c r="B890" s="7" t="s">
        <v>2136</v>
      </c>
    </row>
    <row r="891" spans="1:2">
      <c r="A891" s="7" t="s">
        <v>4523</v>
      </c>
      <c r="B891" s="7" t="s">
        <v>2137</v>
      </c>
    </row>
    <row r="892" spans="1:2">
      <c r="A892" s="7" t="s">
        <v>4524</v>
      </c>
      <c r="B892" s="7" t="s">
        <v>2138</v>
      </c>
    </row>
    <row r="893" spans="1:2">
      <c r="A893" s="7" t="s">
        <v>4525</v>
      </c>
      <c r="B893" s="7" t="s">
        <v>2139</v>
      </c>
    </row>
    <row r="894" spans="1:2">
      <c r="A894" s="7" t="s">
        <v>4526</v>
      </c>
      <c r="B894" s="7" t="s">
        <v>2140</v>
      </c>
    </row>
    <row r="895" spans="1:2">
      <c r="A895" s="7" t="s">
        <v>4527</v>
      </c>
      <c r="B895" s="7" t="s">
        <v>2141</v>
      </c>
    </row>
    <row r="896" spans="1:2">
      <c r="A896" s="7" t="s">
        <v>4528</v>
      </c>
      <c r="B896" s="7" t="s">
        <v>2142</v>
      </c>
    </row>
    <row r="897" spans="1:2">
      <c r="A897" s="7" t="s">
        <v>4529</v>
      </c>
      <c r="B897" s="7" t="s">
        <v>2143</v>
      </c>
    </row>
    <row r="898" spans="1:2">
      <c r="A898" s="7" t="s">
        <v>4530</v>
      </c>
      <c r="B898" s="7" t="s">
        <v>2144</v>
      </c>
    </row>
    <row r="899" spans="1:2">
      <c r="A899" s="7" t="s">
        <v>4531</v>
      </c>
      <c r="B899" s="7" t="s">
        <v>2145</v>
      </c>
    </row>
    <row r="900" spans="1:2">
      <c r="A900" s="7" t="s">
        <v>4532</v>
      </c>
      <c r="B900" s="7" t="s">
        <v>2146</v>
      </c>
    </row>
    <row r="901" spans="1:2">
      <c r="A901" s="7" t="s">
        <v>4533</v>
      </c>
      <c r="B901" s="7" t="s">
        <v>2147</v>
      </c>
    </row>
    <row r="902" spans="1:2">
      <c r="A902" s="7" t="s">
        <v>4534</v>
      </c>
      <c r="B902" s="7" t="s">
        <v>2148</v>
      </c>
    </row>
    <row r="903" spans="1:2">
      <c r="A903" s="7" t="s">
        <v>4535</v>
      </c>
      <c r="B903" s="7" t="s">
        <v>2149</v>
      </c>
    </row>
    <row r="904" spans="1:2">
      <c r="A904" s="7" t="s">
        <v>4536</v>
      </c>
      <c r="B904" s="7" t="s">
        <v>2150</v>
      </c>
    </row>
    <row r="905" spans="1:2">
      <c r="A905" s="7" t="s">
        <v>4537</v>
      </c>
      <c r="B905" s="7" t="s">
        <v>2151</v>
      </c>
    </row>
    <row r="906" spans="1:2">
      <c r="A906" s="7" t="s">
        <v>4538</v>
      </c>
      <c r="B906" s="7" t="s">
        <v>2152</v>
      </c>
    </row>
    <row r="907" spans="1:2">
      <c r="A907" s="7" t="s">
        <v>4539</v>
      </c>
      <c r="B907" s="7" t="s">
        <v>2153</v>
      </c>
    </row>
    <row r="908" spans="1:2">
      <c r="A908" s="7" t="s">
        <v>4540</v>
      </c>
      <c r="B908" s="7" t="s">
        <v>2154</v>
      </c>
    </row>
    <row r="909" spans="1:2">
      <c r="A909" s="7" t="s">
        <v>4541</v>
      </c>
      <c r="B909" s="7" t="s">
        <v>2155</v>
      </c>
    </row>
    <row r="910" spans="1:2">
      <c r="A910" s="7" t="s">
        <v>4542</v>
      </c>
      <c r="B910" s="7" t="s">
        <v>2156</v>
      </c>
    </row>
    <row r="911" spans="1:2">
      <c r="A911" s="7" t="s">
        <v>4543</v>
      </c>
      <c r="B911" s="7" t="s">
        <v>2157</v>
      </c>
    </row>
    <row r="912" spans="1:2">
      <c r="A912" s="7" t="s">
        <v>4544</v>
      </c>
      <c r="B912" s="7" t="s">
        <v>2158</v>
      </c>
    </row>
    <row r="913" spans="1:2">
      <c r="A913" s="7" t="s">
        <v>4545</v>
      </c>
      <c r="B913" s="7" t="s">
        <v>2159</v>
      </c>
    </row>
    <row r="914" spans="1:2">
      <c r="A914" s="7" t="s">
        <v>4546</v>
      </c>
      <c r="B914" s="7" t="s">
        <v>2160</v>
      </c>
    </row>
    <row r="915" spans="1:2">
      <c r="A915" s="7" t="s">
        <v>4547</v>
      </c>
      <c r="B915" s="7" t="s">
        <v>2161</v>
      </c>
    </row>
    <row r="916" spans="1:2">
      <c r="A916" s="7" t="s">
        <v>4548</v>
      </c>
      <c r="B916" s="7" t="s">
        <v>2162</v>
      </c>
    </row>
    <row r="917" spans="1:2">
      <c r="A917" s="7" t="s">
        <v>4549</v>
      </c>
      <c r="B917" s="7" t="s">
        <v>2163</v>
      </c>
    </row>
    <row r="918" spans="1:2">
      <c r="A918" s="7" t="s">
        <v>4550</v>
      </c>
      <c r="B918" s="7" t="s">
        <v>2164</v>
      </c>
    </row>
    <row r="919" spans="1:2">
      <c r="A919" s="7" t="s">
        <v>4551</v>
      </c>
      <c r="B919" s="7" t="s">
        <v>2165</v>
      </c>
    </row>
    <row r="920" spans="1:2">
      <c r="A920" s="7" t="s">
        <v>4552</v>
      </c>
      <c r="B920" s="7" t="s">
        <v>2166</v>
      </c>
    </row>
    <row r="921" spans="1:2">
      <c r="A921" s="7" t="s">
        <v>4553</v>
      </c>
      <c r="B921" s="7" t="s">
        <v>2167</v>
      </c>
    </row>
    <row r="922" spans="1:2">
      <c r="A922" s="7" t="s">
        <v>4554</v>
      </c>
      <c r="B922" s="7" t="s">
        <v>2168</v>
      </c>
    </row>
    <row r="923" spans="1:2">
      <c r="A923" s="7" t="s">
        <v>4555</v>
      </c>
      <c r="B923" s="7" t="s">
        <v>2169</v>
      </c>
    </row>
    <row r="924" spans="1:2">
      <c r="A924" s="7" t="s">
        <v>4556</v>
      </c>
      <c r="B924" s="7" t="s">
        <v>2170</v>
      </c>
    </row>
    <row r="925" spans="1:2">
      <c r="A925" s="7" t="s">
        <v>4557</v>
      </c>
      <c r="B925" s="7" t="s">
        <v>2171</v>
      </c>
    </row>
    <row r="926" spans="1:2">
      <c r="A926" s="7" t="s">
        <v>4558</v>
      </c>
      <c r="B926" s="7" t="s">
        <v>2172</v>
      </c>
    </row>
    <row r="927" spans="1:2">
      <c r="A927" s="7" t="s">
        <v>4559</v>
      </c>
      <c r="B927" s="7" t="s">
        <v>2173</v>
      </c>
    </row>
    <row r="928" spans="1:2">
      <c r="A928" s="7" t="s">
        <v>4560</v>
      </c>
      <c r="B928" s="7" t="s">
        <v>2174</v>
      </c>
    </row>
    <row r="929" spans="1:2">
      <c r="A929" s="7" t="s">
        <v>4561</v>
      </c>
      <c r="B929" s="7" t="s">
        <v>2175</v>
      </c>
    </row>
    <row r="930" spans="1:2">
      <c r="A930" s="7" t="s">
        <v>4562</v>
      </c>
      <c r="B930" s="7" t="s">
        <v>2176</v>
      </c>
    </row>
    <row r="931" spans="1:2">
      <c r="A931" s="7" t="s">
        <v>4563</v>
      </c>
      <c r="B931" s="7" t="s">
        <v>2177</v>
      </c>
    </row>
    <row r="932" spans="1:2">
      <c r="A932" s="7" t="s">
        <v>4564</v>
      </c>
      <c r="B932" s="7" t="s">
        <v>2178</v>
      </c>
    </row>
    <row r="933" spans="1:2">
      <c r="A933" s="7" t="s">
        <v>4565</v>
      </c>
      <c r="B933" s="7" t="s">
        <v>2179</v>
      </c>
    </row>
    <row r="934" spans="1:2">
      <c r="A934" s="7" t="s">
        <v>4566</v>
      </c>
      <c r="B934" s="7" t="s">
        <v>2180</v>
      </c>
    </row>
    <row r="935" spans="1:2">
      <c r="A935" s="7" t="s">
        <v>4567</v>
      </c>
      <c r="B935" s="7" t="s">
        <v>2181</v>
      </c>
    </row>
    <row r="936" spans="1:2">
      <c r="A936" s="7" t="s">
        <v>4568</v>
      </c>
      <c r="B936" s="7" t="s">
        <v>2182</v>
      </c>
    </row>
    <row r="937" spans="1:2">
      <c r="A937" s="7" t="s">
        <v>4569</v>
      </c>
      <c r="B937" s="7" t="s">
        <v>2183</v>
      </c>
    </row>
    <row r="938" spans="1:2">
      <c r="A938" s="7" t="s">
        <v>4570</v>
      </c>
      <c r="B938" s="7" t="s">
        <v>2184</v>
      </c>
    </row>
    <row r="939" spans="1:2">
      <c r="A939" s="7" t="s">
        <v>4571</v>
      </c>
      <c r="B939" s="7" t="s">
        <v>2185</v>
      </c>
    </row>
    <row r="940" spans="1:2">
      <c r="A940" s="7" t="s">
        <v>4572</v>
      </c>
      <c r="B940" s="7" t="s">
        <v>2186</v>
      </c>
    </row>
    <row r="941" spans="1:2">
      <c r="A941" s="7" t="s">
        <v>4573</v>
      </c>
      <c r="B941" s="7" t="s">
        <v>2187</v>
      </c>
    </row>
    <row r="942" spans="1:2">
      <c r="A942" s="7" t="s">
        <v>4574</v>
      </c>
      <c r="B942" s="7" t="s">
        <v>2188</v>
      </c>
    </row>
    <row r="943" spans="1:2">
      <c r="A943" s="7" t="s">
        <v>4575</v>
      </c>
      <c r="B943" s="7" t="s">
        <v>2189</v>
      </c>
    </row>
    <row r="944" spans="1:2">
      <c r="A944" s="7" t="s">
        <v>4576</v>
      </c>
      <c r="B944" s="7" t="s">
        <v>2190</v>
      </c>
    </row>
    <row r="945" spans="1:2">
      <c r="A945" s="7" t="s">
        <v>4577</v>
      </c>
      <c r="B945" s="7" t="s">
        <v>2191</v>
      </c>
    </row>
    <row r="946" spans="1:2">
      <c r="A946" s="7" t="s">
        <v>4578</v>
      </c>
      <c r="B946" s="7" t="s">
        <v>2192</v>
      </c>
    </row>
    <row r="947" spans="1:2">
      <c r="A947" s="7" t="s">
        <v>4579</v>
      </c>
      <c r="B947" s="7" t="s">
        <v>2193</v>
      </c>
    </row>
    <row r="948" spans="1:2">
      <c r="A948" s="7" t="s">
        <v>4580</v>
      </c>
      <c r="B948" s="7" t="s">
        <v>2194</v>
      </c>
    </row>
    <row r="949" spans="1:2">
      <c r="A949" s="7" t="s">
        <v>4581</v>
      </c>
      <c r="B949" s="7" t="s">
        <v>2195</v>
      </c>
    </row>
    <row r="950" spans="1:2">
      <c r="A950" s="7" t="s">
        <v>4582</v>
      </c>
      <c r="B950" s="7" t="s">
        <v>2196</v>
      </c>
    </row>
    <row r="951" spans="1:2">
      <c r="A951" s="7" t="s">
        <v>4583</v>
      </c>
      <c r="B951" s="7" t="s">
        <v>2197</v>
      </c>
    </row>
    <row r="952" spans="1:2">
      <c r="A952" s="7" t="s">
        <v>4584</v>
      </c>
      <c r="B952" s="7" t="s">
        <v>2198</v>
      </c>
    </row>
    <row r="953" spans="1:2">
      <c r="A953" s="7" t="s">
        <v>4585</v>
      </c>
      <c r="B953" s="7" t="s">
        <v>2199</v>
      </c>
    </row>
    <row r="954" spans="1:2">
      <c r="A954" s="7" t="s">
        <v>4586</v>
      </c>
      <c r="B954" s="7" t="s">
        <v>2200</v>
      </c>
    </row>
    <row r="955" spans="1:2">
      <c r="A955" s="7" t="s">
        <v>4587</v>
      </c>
      <c r="B955" s="7" t="s">
        <v>2201</v>
      </c>
    </row>
    <row r="956" spans="1:2">
      <c r="A956" s="7" t="s">
        <v>4588</v>
      </c>
      <c r="B956" s="7" t="s">
        <v>2202</v>
      </c>
    </row>
    <row r="957" spans="1:2">
      <c r="A957" s="7" t="s">
        <v>4589</v>
      </c>
      <c r="B957" s="7" t="s">
        <v>2203</v>
      </c>
    </row>
    <row r="958" spans="1:2">
      <c r="A958" s="7" t="s">
        <v>4590</v>
      </c>
      <c r="B958" s="7" t="s">
        <v>2204</v>
      </c>
    </row>
    <row r="959" spans="1:2">
      <c r="A959" s="7" t="s">
        <v>4591</v>
      </c>
      <c r="B959" s="7" t="s">
        <v>2205</v>
      </c>
    </row>
    <row r="960" spans="1:2">
      <c r="A960" s="7" t="s">
        <v>4592</v>
      </c>
      <c r="B960" s="7" t="s">
        <v>2206</v>
      </c>
    </row>
    <row r="961" spans="1:2">
      <c r="A961" s="7" t="s">
        <v>4593</v>
      </c>
      <c r="B961" s="7" t="s">
        <v>2207</v>
      </c>
    </row>
    <row r="962" spans="1:2">
      <c r="A962" s="7" t="s">
        <v>4594</v>
      </c>
      <c r="B962" s="7" t="s">
        <v>2208</v>
      </c>
    </row>
    <row r="963" spans="1:2">
      <c r="A963" s="7" t="s">
        <v>4595</v>
      </c>
      <c r="B963" s="7" t="s">
        <v>2209</v>
      </c>
    </row>
    <row r="964" spans="1:2">
      <c r="A964" s="7" t="s">
        <v>4596</v>
      </c>
      <c r="B964" s="7" t="s">
        <v>2210</v>
      </c>
    </row>
    <row r="965" spans="1:2">
      <c r="A965" s="7" t="s">
        <v>4597</v>
      </c>
      <c r="B965" s="7" t="s">
        <v>2211</v>
      </c>
    </row>
    <row r="966" spans="1:2">
      <c r="A966" s="7" t="s">
        <v>4598</v>
      </c>
      <c r="B966" s="7" t="s">
        <v>2212</v>
      </c>
    </row>
    <row r="967" spans="1:2">
      <c r="A967" s="7" t="s">
        <v>4599</v>
      </c>
      <c r="B967" s="7" t="s">
        <v>2213</v>
      </c>
    </row>
    <row r="968" spans="1:2">
      <c r="A968" s="7" t="s">
        <v>4600</v>
      </c>
      <c r="B968" s="7" t="s">
        <v>2214</v>
      </c>
    </row>
    <row r="969" spans="1:2">
      <c r="A969" s="7" t="s">
        <v>4601</v>
      </c>
      <c r="B969" s="7" t="s">
        <v>2215</v>
      </c>
    </row>
    <row r="970" spans="1:2">
      <c r="A970" s="7" t="s">
        <v>4602</v>
      </c>
      <c r="B970" s="7" t="s">
        <v>2216</v>
      </c>
    </row>
    <row r="971" spans="1:2">
      <c r="A971" s="7" t="s">
        <v>4603</v>
      </c>
      <c r="B971" s="7" t="s">
        <v>2217</v>
      </c>
    </row>
    <row r="972" spans="1:2">
      <c r="A972" s="7" t="s">
        <v>4604</v>
      </c>
      <c r="B972" s="7" t="s">
        <v>2218</v>
      </c>
    </row>
    <row r="973" spans="1:2">
      <c r="A973" s="7" t="s">
        <v>4605</v>
      </c>
      <c r="B973" s="7" t="s">
        <v>2219</v>
      </c>
    </row>
    <row r="974" spans="1:2">
      <c r="A974" s="7" t="s">
        <v>4606</v>
      </c>
      <c r="B974" s="7" t="s">
        <v>2220</v>
      </c>
    </row>
    <row r="975" spans="1:2">
      <c r="A975" s="7" t="s">
        <v>4607</v>
      </c>
      <c r="B975" s="7" t="s">
        <v>2221</v>
      </c>
    </row>
    <row r="976" spans="1:2">
      <c r="A976" s="7" t="s">
        <v>4608</v>
      </c>
      <c r="B976" s="7" t="s">
        <v>2222</v>
      </c>
    </row>
    <row r="977" spans="1:2">
      <c r="A977" s="7" t="s">
        <v>4609</v>
      </c>
      <c r="B977" s="7" t="s">
        <v>2223</v>
      </c>
    </row>
    <row r="978" spans="1:2">
      <c r="A978" s="7" t="s">
        <v>4610</v>
      </c>
      <c r="B978" s="7" t="s">
        <v>2224</v>
      </c>
    </row>
    <row r="979" spans="1:2">
      <c r="A979" s="7" t="s">
        <v>4611</v>
      </c>
      <c r="B979" s="7" t="s">
        <v>2225</v>
      </c>
    </row>
    <row r="980" spans="1:2">
      <c r="A980" s="7" t="s">
        <v>4612</v>
      </c>
      <c r="B980" s="7" t="s">
        <v>2226</v>
      </c>
    </row>
    <row r="981" spans="1:2">
      <c r="A981" s="7" t="s">
        <v>4613</v>
      </c>
      <c r="B981" s="7" t="s">
        <v>2227</v>
      </c>
    </row>
    <row r="982" spans="1:2">
      <c r="A982" s="7" t="s">
        <v>4614</v>
      </c>
      <c r="B982" s="7" t="s">
        <v>2228</v>
      </c>
    </row>
    <row r="983" spans="1:2">
      <c r="A983" s="7" t="s">
        <v>4615</v>
      </c>
      <c r="B983" s="7" t="s">
        <v>2229</v>
      </c>
    </row>
    <row r="984" spans="1:2">
      <c r="A984" s="7" t="s">
        <v>4616</v>
      </c>
      <c r="B984" s="7" t="s">
        <v>2230</v>
      </c>
    </row>
    <row r="985" spans="1:2">
      <c r="A985" s="7" t="s">
        <v>4617</v>
      </c>
      <c r="B985" s="7" t="s">
        <v>2231</v>
      </c>
    </row>
    <row r="986" spans="1:2">
      <c r="A986" s="7" t="s">
        <v>4618</v>
      </c>
      <c r="B986" s="7" t="s">
        <v>2232</v>
      </c>
    </row>
    <row r="987" spans="1:2">
      <c r="A987" s="7" t="s">
        <v>4619</v>
      </c>
      <c r="B987" s="7" t="s">
        <v>2233</v>
      </c>
    </row>
    <row r="988" spans="1:2">
      <c r="A988" s="7" t="s">
        <v>4620</v>
      </c>
      <c r="B988" s="7" t="s">
        <v>2234</v>
      </c>
    </row>
    <row r="989" spans="1:2">
      <c r="A989" s="7" t="s">
        <v>4621</v>
      </c>
      <c r="B989" s="7" t="s">
        <v>2235</v>
      </c>
    </row>
    <row r="990" spans="1:2">
      <c r="A990" s="7" t="s">
        <v>4622</v>
      </c>
      <c r="B990" s="7" t="s">
        <v>2236</v>
      </c>
    </row>
    <row r="991" spans="1:2">
      <c r="A991" s="7" t="s">
        <v>4623</v>
      </c>
      <c r="B991" s="7" t="s">
        <v>2237</v>
      </c>
    </row>
    <row r="992" spans="1:2">
      <c r="A992" s="7" t="s">
        <v>4624</v>
      </c>
      <c r="B992" s="7" t="s">
        <v>2238</v>
      </c>
    </row>
    <row r="993" spans="1:2">
      <c r="A993" s="7" t="s">
        <v>4625</v>
      </c>
      <c r="B993" s="7" t="s">
        <v>2239</v>
      </c>
    </row>
    <row r="994" spans="1:2">
      <c r="A994" s="7" t="s">
        <v>4626</v>
      </c>
      <c r="B994" s="7" t="s">
        <v>2240</v>
      </c>
    </row>
    <row r="995" spans="1:2">
      <c r="A995" s="7" t="s">
        <v>4627</v>
      </c>
      <c r="B995" s="7" t="s">
        <v>2241</v>
      </c>
    </row>
    <row r="996" spans="1:2">
      <c r="A996" s="7" t="s">
        <v>4628</v>
      </c>
      <c r="B996" s="7" t="s">
        <v>2242</v>
      </c>
    </row>
    <row r="997" spans="1:2">
      <c r="A997" s="7" t="s">
        <v>4629</v>
      </c>
      <c r="B997" s="7" t="s">
        <v>2243</v>
      </c>
    </row>
    <row r="998" spans="1:2">
      <c r="A998" s="7" t="s">
        <v>4630</v>
      </c>
      <c r="B998" s="7" t="s">
        <v>2244</v>
      </c>
    </row>
    <row r="999" spans="1:2">
      <c r="A999" s="7" t="s">
        <v>4631</v>
      </c>
      <c r="B999" s="7" t="s">
        <v>2245</v>
      </c>
    </row>
    <row r="1000" spans="1:2">
      <c r="A1000" s="7" t="s">
        <v>4632</v>
      </c>
      <c r="B1000" s="7" t="s">
        <v>2246</v>
      </c>
    </row>
    <row r="1001" spans="1:2">
      <c r="A1001" s="7" t="s">
        <v>4633</v>
      </c>
      <c r="B1001" s="7" t="s">
        <v>2247</v>
      </c>
    </row>
    <row r="1002" spans="1:2">
      <c r="A1002" s="7" t="s">
        <v>4634</v>
      </c>
      <c r="B1002" s="7" t="s">
        <v>2248</v>
      </c>
    </row>
    <row r="1003" spans="1:2">
      <c r="A1003" s="7" t="s">
        <v>4635</v>
      </c>
      <c r="B1003" s="7" t="s">
        <v>2249</v>
      </c>
    </row>
    <row r="1004" spans="1:2">
      <c r="A1004" s="7" t="s">
        <v>4636</v>
      </c>
      <c r="B1004" s="7" t="s">
        <v>2250</v>
      </c>
    </row>
    <row r="1005" spans="1:2">
      <c r="A1005" s="7" t="s">
        <v>4637</v>
      </c>
      <c r="B1005" s="7" t="s">
        <v>2251</v>
      </c>
    </row>
    <row r="1006" spans="1:2">
      <c r="A1006" s="7" t="s">
        <v>4638</v>
      </c>
      <c r="B1006" s="7" t="s">
        <v>2252</v>
      </c>
    </row>
    <row r="1007" spans="1:2">
      <c r="A1007" s="7" t="s">
        <v>4639</v>
      </c>
      <c r="B1007" s="7" t="s">
        <v>2253</v>
      </c>
    </row>
    <row r="1008" spans="1:2">
      <c r="A1008" s="7" t="s">
        <v>4640</v>
      </c>
      <c r="B1008" s="7" t="s">
        <v>2254</v>
      </c>
    </row>
    <row r="1009" spans="1:2">
      <c r="A1009" s="7" t="s">
        <v>4641</v>
      </c>
      <c r="B1009" s="7" t="s">
        <v>2255</v>
      </c>
    </row>
    <row r="1010" spans="1:2">
      <c r="A1010" s="7" t="s">
        <v>4642</v>
      </c>
      <c r="B1010" s="7" t="s">
        <v>2256</v>
      </c>
    </row>
    <row r="1011" spans="1:2">
      <c r="A1011" s="7" t="s">
        <v>4643</v>
      </c>
      <c r="B1011" s="7" t="s">
        <v>2257</v>
      </c>
    </row>
    <row r="1012" spans="1:2">
      <c r="A1012" s="7" t="s">
        <v>4644</v>
      </c>
      <c r="B1012" s="7" t="s">
        <v>2258</v>
      </c>
    </row>
    <row r="1013" spans="1:2">
      <c r="A1013" s="7" t="s">
        <v>4645</v>
      </c>
      <c r="B1013" s="7" t="s">
        <v>2259</v>
      </c>
    </row>
    <row r="1014" spans="1:2">
      <c r="A1014" s="7" t="s">
        <v>4646</v>
      </c>
      <c r="B1014" s="7" t="s">
        <v>2260</v>
      </c>
    </row>
    <row r="1015" spans="1:2">
      <c r="A1015" s="7" t="s">
        <v>4647</v>
      </c>
      <c r="B1015" s="7" t="s">
        <v>2261</v>
      </c>
    </row>
    <row r="1016" spans="1:2">
      <c r="A1016" s="7" t="s">
        <v>4648</v>
      </c>
      <c r="B1016" s="7" t="s">
        <v>2262</v>
      </c>
    </row>
    <row r="1017" spans="1:2">
      <c r="A1017" s="7" t="s">
        <v>4649</v>
      </c>
      <c r="B1017" s="7" t="s">
        <v>2263</v>
      </c>
    </row>
    <row r="1018" spans="1:2">
      <c r="A1018" s="7" t="s">
        <v>4650</v>
      </c>
      <c r="B1018" s="7" t="s">
        <v>2264</v>
      </c>
    </row>
    <row r="1019" spans="1:2">
      <c r="A1019" s="7" t="s">
        <v>4651</v>
      </c>
      <c r="B1019" s="7" t="s">
        <v>2265</v>
      </c>
    </row>
    <row r="1020" spans="1:2">
      <c r="A1020" s="7" t="s">
        <v>4652</v>
      </c>
      <c r="B1020" s="7" t="s">
        <v>2266</v>
      </c>
    </row>
    <row r="1021" spans="1:2">
      <c r="A1021" s="7" t="s">
        <v>4653</v>
      </c>
      <c r="B1021" s="7" t="s">
        <v>2267</v>
      </c>
    </row>
    <row r="1022" spans="1:2">
      <c r="A1022" s="7" t="s">
        <v>4654</v>
      </c>
      <c r="B1022" s="7" t="s">
        <v>2268</v>
      </c>
    </row>
    <row r="1023" spans="1:2">
      <c r="A1023" s="7" t="s">
        <v>4655</v>
      </c>
      <c r="B1023" s="7" t="s">
        <v>2269</v>
      </c>
    </row>
    <row r="1024" spans="1:2">
      <c r="A1024" s="7" t="s">
        <v>4656</v>
      </c>
      <c r="B1024" s="7" t="s">
        <v>2270</v>
      </c>
    </row>
    <row r="1025" spans="1:2">
      <c r="A1025" s="7" t="s">
        <v>4657</v>
      </c>
      <c r="B1025" s="7" t="s">
        <v>2271</v>
      </c>
    </row>
    <row r="1026" spans="1:2">
      <c r="A1026" s="7" t="s">
        <v>4658</v>
      </c>
      <c r="B1026" s="7" t="s">
        <v>2272</v>
      </c>
    </row>
    <row r="1027" spans="1:2">
      <c r="A1027" s="7" t="s">
        <v>4659</v>
      </c>
      <c r="B1027" s="7" t="s">
        <v>2273</v>
      </c>
    </row>
    <row r="1028" spans="1:2">
      <c r="A1028" s="7" t="s">
        <v>4660</v>
      </c>
      <c r="B1028" s="7" t="s">
        <v>2274</v>
      </c>
    </row>
    <row r="1029" spans="1:2">
      <c r="A1029" s="7" t="s">
        <v>4661</v>
      </c>
      <c r="B1029" s="7" t="s">
        <v>2275</v>
      </c>
    </row>
    <row r="1030" spans="1:2">
      <c r="A1030" s="7" t="s">
        <v>4662</v>
      </c>
      <c r="B1030" s="7" t="s">
        <v>2276</v>
      </c>
    </row>
    <row r="1031" spans="1:2">
      <c r="A1031" s="7" t="s">
        <v>4663</v>
      </c>
      <c r="B1031" s="7" t="s">
        <v>2277</v>
      </c>
    </row>
    <row r="1032" spans="1:2">
      <c r="A1032" s="7" t="s">
        <v>4664</v>
      </c>
      <c r="B1032" s="7" t="s">
        <v>2278</v>
      </c>
    </row>
    <row r="1033" spans="1:2">
      <c r="A1033" s="7" t="s">
        <v>4665</v>
      </c>
      <c r="B1033" s="7" t="s">
        <v>2279</v>
      </c>
    </row>
    <row r="1034" spans="1:2">
      <c r="A1034" s="7" t="s">
        <v>4666</v>
      </c>
      <c r="B1034" s="7" t="s">
        <v>2280</v>
      </c>
    </row>
    <row r="1035" spans="1:2">
      <c r="A1035" s="7" t="s">
        <v>4667</v>
      </c>
      <c r="B1035" s="7" t="s">
        <v>2281</v>
      </c>
    </row>
    <row r="1036" spans="1:2">
      <c r="A1036" s="7" t="s">
        <v>4668</v>
      </c>
      <c r="B1036" s="7" t="s">
        <v>2282</v>
      </c>
    </row>
    <row r="1037" spans="1:2">
      <c r="A1037" s="7" t="s">
        <v>4669</v>
      </c>
      <c r="B1037" s="7" t="s">
        <v>2283</v>
      </c>
    </row>
    <row r="1038" spans="1:2">
      <c r="A1038" s="7" t="s">
        <v>4670</v>
      </c>
      <c r="B1038" s="7" t="s">
        <v>2284</v>
      </c>
    </row>
    <row r="1039" spans="1:2">
      <c r="A1039" s="7" t="s">
        <v>4671</v>
      </c>
      <c r="B1039" s="7" t="s">
        <v>2285</v>
      </c>
    </row>
    <row r="1040" spans="1:2">
      <c r="A1040" s="7" t="s">
        <v>4672</v>
      </c>
      <c r="B1040" s="7" t="s">
        <v>2286</v>
      </c>
    </row>
    <row r="1041" spans="1:2">
      <c r="A1041" s="7" t="s">
        <v>4673</v>
      </c>
      <c r="B1041" s="7" t="s">
        <v>2287</v>
      </c>
    </row>
    <row r="1042" spans="1:2">
      <c r="A1042" s="7" t="s">
        <v>4674</v>
      </c>
      <c r="B1042" s="7" t="s">
        <v>2288</v>
      </c>
    </row>
    <row r="1043" spans="1:2">
      <c r="A1043" s="7" t="s">
        <v>4675</v>
      </c>
      <c r="B1043" s="7" t="s">
        <v>2289</v>
      </c>
    </row>
    <row r="1044" spans="1:2">
      <c r="A1044" s="7" t="s">
        <v>4676</v>
      </c>
      <c r="B1044" s="7" t="s">
        <v>2290</v>
      </c>
    </row>
    <row r="1045" spans="1:2">
      <c r="A1045" s="7" t="s">
        <v>4677</v>
      </c>
      <c r="B1045" s="7" t="s">
        <v>2291</v>
      </c>
    </row>
    <row r="1046" spans="1:2">
      <c r="A1046" s="7" t="s">
        <v>4678</v>
      </c>
      <c r="B1046" s="7" t="s">
        <v>2292</v>
      </c>
    </row>
    <row r="1047" spans="1:2">
      <c r="A1047" s="7" t="s">
        <v>4679</v>
      </c>
      <c r="B1047" s="7" t="s">
        <v>2293</v>
      </c>
    </row>
    <row r="1048" spans="1:2">
      <c r="A1048" s="7" t="s">
        <v>4680</v>
      </c>
      <c r="B1048" s="7" t="s">
        <v>2294</v>
      </c>
    </row>
    <row r="1049" spans="1:2">
      <c r="A1049" s="7" t="s">
        <v>4681</v>
      </c>
      <c r="B1049" s="7" t="s">
        <v>2295</v>
      </c>
    </row>
    <row r="1050" spans="1:2">
      <c r="A1050" s="7" t="s">
        <v>4682</v>
      </c>
      <c r="B1050" s="7" t="s">
        <v>2296</v>
      </c>
    </row>
    <row r="1051" spans="1:2">
      <c r="A1051" s="7" t="s">
        <v>4683</v>
      </c>
      <c r="B1051" s="7" t="s">
        <v>2297</v>
      </c>
    </row>
    <row r="1052" spans="1:2">
      <c r="A1052" s="7" t="s">
        <v>4684</v>
      </c>
      <c r="B1052" s="7" t="s">
        <v>2298</v>
      </c>
    </row>
    <row r="1053" spans="1:2">
      <c r="A1053" s="7" t="s">
        <v>4685</v>
      </c>
      <c r="B1053" s="7" t="s">
        <v>2299</v>
      </c>
    </row>
    <row r="1054" spans="1:2">
      <c r="A1054" s="7" t="s">
        <v>4686</v>
      </c>
      <c r="B1054" s="7" t="s">
        <v>2300</v>
      </c>
    </row>
    <row r="1055" spans="1:2">
      <c r="A1055" s="7" t="s">
        <v>4687</v>
      </c>
      <c r="B1055" s="7" t="s">
        <v>2301</v>
      </c>
    </row>
    <row r="1056" spans="1:2">
      <c r="A1056" s="7" t="s">
        <v>4688</v>
      </c>
      <c r="B1056" s="7" t="s">
        <v>2302</v>
      </c>
    </row>
    <row r="1057" spans="1:2">
      <c r="A1057" s="7" t="s">
        <v>4689</v>
      </c>
      <c r="B1057" s="7" t="s">
        <v>2303</v>
      </c>
    </row>
    <row r="1058" spans="1:2">
      <c r="A1058" s="7" t="s">
        <v>4690</v>
      </c>
      <c r="B1058" s="7" t="s">
        <v>2304</v>
      </c>
    </row>
    <row r="1059" spans="1:2">
      <c r="A1059" s="7" t="s">
        <v>4691</v>
      </c>
      <c r="B1059" s="7" t="s">
        <v>2305</v>
      </c>
    </row>
    <row r="1060" spans="1:2">
      <c r="A1060" s="7" t="s">
        <v>4692</v>
      </c>
      <c r="B1060" s="7" t="s">
        <v>2306</v>
      </c>
    </row>
    <row r="1061" spans="1:2">
      <c r="A1061" s="7" t="s">
        <v>4693</v>
      </c>
      <c r="B1061" s="7" t="s">
        <v>2307</v>
      </c>
    </row>
    <row r="1062" spans="1:2">
      <c r="A1062" s="7" t="s">
        <v>4694</v>
      </c>
      <c r="B1062" s="7" t="s">
        <v>2308</v>
      </c>
    </row>
    <row r="1063" spans="1:2">
      <c r="A1063" s="7" t="s">
        <v>4695</v>
      </c>
      <c r="B1063" s="7" t="s">
        <v>2309</v>
      </c>
    </row>
    <row r="1064" spans="1:2">
      <c r="A1064" s="7" t="s">
        <v>4696</v>
      </c>
      <c r="B1064" s="7" t="s">
        <v>2310</v>
      </c>
    </row>
    <row r="1065" spans="1:2">
      <c r="A1065" s="7" t="s">
        <v>4697</v>
      </c>
      <c r="B1065" s="7" t="s">
        <v>2311</v>
      </c>
    </row>
    <row r="1066" spans="1:2">
      <c r="A1066" s="7" t="s">
        <v>4698</v>
      </c>
      <c r="B1066" s="7" t="s">
        <v>2312</v>
      </c>
    </row>
    <row r="1067" spans="1:2">
      <c r="A1067" s="7" t="s">
        <v>4699</v>
      </c>
      <c r="B1067" s="7" t="s">
        <v>2313</v>
      </c>
    </row>
    <row r="1068" spans="1:2">
      <c r="A1068" s="7" t="s">
        <v>4700</v>
      </c>
      <c r="B1068" s="7" t="s">
        <v>2314</v>
      </c>
    </row>
    <row r="1069" spans="1:2">
      <c r="A1069" s="7" t="s">
        <v>4701</v>
      </c>
      <c r="B1069" s="7" t="s">
        <v>2315</v>
      </c>
    </row>
    <row r="1070" spans="1:2">
      <c r="A1070" s="7" t="s">
        <v>4702</v>
      </c>
      <c r="B1070" s="7" t="s">
        <v>2316</v>
      </c>
    </row>
    <row r="1071" spans="1:2">
      <c r="A1071" s="7" t="s">
        <v>4703</v>
      </c>
      <c r="B1071" s="7" t="s">
        <v>2317</v>
      </c>
    </row>
    <row r="1072" spans="1:2">
      <c r="A1072" s="7" t="s">
        <v>4704</v>
      </c>
      <c r="B1072" s="7" t="s">
        <v>2318</v>
      </c>
    </row>
    <row r="1073" spans="1:2">
      <c r="A1073" s="7" t="s">
        <v>4705</v>
      </c>
      <c r="B1073" s="7" t="s">
        <v>2319</v>
      </c>
    </row>
    <row r="1074" spans="1:2">
      <c r="A1074" s="7" t="s">
        <v>4706</v>
      </c>
      <c r="B1074" s="7" t="s">
        <v>2320</v>
      </c>
    </row>
    <row r="1075" spans="1:2">
      <c r="A1075" s="7" t="s">
        <v>4707</v>
      </c>
      <c r="B1075" s="7" t="s">
        <v>2321</v>
      </c>
    </row>
    <row r="1076" spans="1:2">
      <c r="A1076" s="7" t="s">
        <v>4708</v>
      </c>
      <c r="B1076" s="7" t="s">
        <v>2322</v>
      </c>
    </row>
    <row r="1077" spans="1:2">
      <c r="A1077" s="7" t="s">
        <v>4709</v>
      </c>
      <c r="B1077" s="7" t="s">
        <v>2323</v>
      </c>
    </row>
    <row r="1078" spans="1:2">
      <c r="A1078" s="7" t="s">
        <v>4710</v>
      </c>
      <c r="B1078" s="7" t="s">
        <v>2324</v>
      </c>
    </row>
    <row r="1079" spans="1:2">
      <c r="A1079" s="7" t="s">
        <v>4711</v>
      </c>
      <c r="B1079" s="7" t="s">
        <v>2325</v>
      </c>
    </row>
    <row r="1080" spans="1:2">
      <c r="A1080" s="7" t="s">
        <v>4712</v>
      </c>
      <c r="B1080" s="7" t="s">
        <v>2326</v>
      </c>
    </row>
    <row r="1081" spans="1:2">
      <c r="A1081" s="7" t="s">
        <v>4713</v>
      </c>
      <c r="B1081" s="7" t="s">
        <v>2327</v>
      </c>
    </row>
    <row r="1082" spans="1:2">
      <c r="A1082" s="7" t="s">
        <v>4714</v>
      </c>
      <c r="B1082" s="7" t="s">
        <v>2328</v>
      </c>
    </row>
    <row r="1083" spans="1:2">
      <c r="A1083" s="7" t="s">
        <v>4715</v>
      </c>
      <c r="B1083" s="7" t="s">
        <v>2329</v>
      </c>
    </row>
    <row r="1084" spans="1:2">
      <c r="A1084" s="7" t="s">
        <v>4716</v>
      </c>
      <c r="B1084" s="7" t="s">
        <v>2330</v>
      </c>
    </row>
    <row r="1085" spans="1:2">
      <c r="A1085" s="7" t="s">
        <v>4717</v>
      </c>
      <c r="B1085" s="7" t="s">
        <v>2331</v>
      </c>
    </row>
    <row r="1086" spans="1:2">
      <c r="A1086" s="7" t="s">
        <v>4718</v>
      </c>
      <c r="B1086" s="7" t="s">
        <v>2332</v>
      </c>
    </row>
    <row r="1087" spans="1:2">
      <c r="A1087" s="7" t="s">
        <v>4719</v>
      </c>
      <c r="B1087" s="7" t="s">
        <v>2333</v>
      </c>
    </row>
    <row r="1088" spans="1:2">
      <c r="A1088" s="7" t="s">
        <v>4720</v>
      </c>
      <c r="B1088" s="7" t="s">
        <v>2334</v>
      </c>
    </row>
    <row r="1089" spans="1:2">
      <c r="A1089" s="7" t="s">
        <v>4721</v>
      </c>
      <c r="B1089" s="7" t="s">
        <v>2335</v>
      </c>
    </row>
    <row r="1090" spans="1:2">
      <c r="A1090" s="7" t="s">
        <v>4722</v>
      </c>
      <c r="B1090" s="7" t="s">
        <v>2336</v>
      </c>
    </row>
    <row r="1091" spans="1:2">
      <c r="A1091" s="7" t="s">
        <v>4723</v>
      </c>
      <c r="B1091" s="7" t="s">
        <v>2337</v>
      </c>
    </row>
    <row r="1092" spans="1:2">
      <c r="A1092" s="7" t="s">
        <v>4724</v>
      </c>
      <c r="B1092" s="7" t="s">
        <v>2338</v>
      </c>
    </row>
    <row r="1093" spans="1:2">
      <c r="A1093" s="7" t="s">
        <v>4725</v>
      </c>
      <c r="B1093" s="7" t="s">
        <v>2339</v>
      </c>
    </row>
    <row r="1094" spans="1:2">
      <c r="A1094" s="7" t="s">
        <v>4726</v>
      </c>
      <c r="B1094" s="7" t="s">
        <v>2340</v>
      </c>
    </row>
    <row r="1095" spans="1:2">
      <c r="A1095" s="7" t="s">
        <v>4727</v>
      </c>
      <c r="B1095" s="7" t="s">
        <v>2341</v>
      </c>
    </row>
    <row r="1096" spans="1:2">
      <c r="A1096" s="7" t="s">
        <v>4728</v>
      </c>
      <c r="B1096" s="7" t="s">
        <v>2342</v>
      </c>
    </row>
    <row r="1097" spans="1:2">
      <c r="A1097" s="7" t="s">
        <v>4729</v>
      </c>
      <c r="B1097" s="7" t="s">
        <v>2343</v>
      </c>
    </row>
    <row r="1098" spans="1:2">
      <c r="A1098" s="7" t="s">
        <v>4730</v>
      </c>
      <c r="B1098" s="7" t="s">
        <v>2344</v>
      </c>
    </row>
    <row r="1099" spans="1:2">
      <c r="A1099" s="7" t="s">
        <v>4731</v>
      </c>
      <c r="B1099" s="7" t="s">
        <v>2345</v>
      </c>
    </row>
    <row r="1100" spans="1:2">
      <c r="A1100" s="7" t="s">
        <v>4732</v>
      </c>
      <c r="B1100" s="7" t="s">
        <v>2346</v>
      </c>
    </row>
    <row r="1101" spans="1:2">
      <c r="A1101" s="7" t="s">
        <v>4733</v>
      </c>
      <c r="B1101" s="7" t="s">
        <v>2347</v>
      </c>
    </row>
    <row r="1102" spans="1:2">
      <c r="A1102" s="7" t="s">
        <v>4734</v>
      </c>
      <c r="B1102" s="7" t="s">
        <v>2348</v>
      </c>
    </row>
    <row r="1103" spans="1:2">
      <c r="A1103" s="7" t="s">
        <v>4735</v>
      </c>
      <c r="B1103" s="7" t="s">
        <v>2349</v>
      </c>
    </row>
    <row r="1104" spans="1:2">
      <c r="A1104" s="7" t="s">
        <v>4736</v>
      </c>
      <c r="B1104" s="7" t="s">
        <v>2350</v>
      </c>
    </row>
    <row r="1105" spans="1:2">
      <c r="A1105" s="7" t="s">
        <v>4737</v>
      </c>
      <c r="B1105" s="7" t="s">
        <v>2351</v>
      </c>
    </row>
    <row r="1106" spans="1:2">
      <c r="A1106" s="7" t="s">
        <v>4738</v>
      </c>
      <c r="B1106" s="7" t="s">
        <v>2352</v>
      </c>
    </row>
    <row r="1107" spans="1:2">
      <c r="A1107" s="7" t="s">
        <v>4739</v>
      </c>
      <c r="B1107" s="7" t="s">
        <v>2353</v>
      </c>
    </row>
    <row r="1108" spans="1:2">
      <c r="A1108" s="7" t="s">
        <v>4740</v>
      </c>
      <c r="B1108" s="7" t="s">
        <v>2354</v>
      </c>
    </row>
    <row r="1109" spans="1:2">
      <c r="A1109" s="7" t="s">
        <v>4741</v>
      </c>
      <c r="B1109" s="7" t="s">
        <v>2355</v>
      </c>
    </row>
    <row r="1110" spans="1:2">
      <c r="A1110" s="7" t="s">
        <v>4742</v>
      </c>
      <c r="B1110" s="7" t="s">
        <v>2356</v>
      </c>
    </row>
    <row r="1111" spans="1:2">
      <c r="A1111" s="7" t="s">
        <v>4743</v>
      </c>
      <c r="B1111" s="7" t="s">
        <v>2357</v>
      </c>
    </row>
    <row r="1112" spans="1:2">
      <c r="A1112" s="7" t="s">
        <v>4744</v>
      </c>
      <c r="B1112" s="7" t="s">
        <v>2358</v>
      </c>
    </row>
    <row r="1113" spans="1:2">
      <c r="A1113" s="7" t="s">
        <v>4745</v>
      </c>
      <c r="B1113" s="7" t="s">
        <v>2359</v>
      </c>
    </row>
    <row r="1114" spans="1:2">
      <c r="A1114" s="7" t="s">
        <v>4746</v>
      </c>
      <c r="B1114" s="7" t="s">
        <v>2360</v>
      </c>
    </row>
    <row r="1115" spans="1:2">
      <c r="A1115" s="7" t="s">
        <v>4747</v>
      </c>
      <c r="B1115" s="7" t="s">
        <v>2361</v>
      </c>
    </row>
    <row r="1116" spans="1:2">
      <c r="A1116" s="7" t="s">
        <v>4748</v>
      </c>
      <c r="B1116" s="7" t="s">
        <v>2362</v>
      </c>
    </row>
    <row r="1117" spans="1:2">
      <c r="A1117" s="7" t="s">
        <v>4749</v>
      </c>
      <c r="B1117" s="7" t="s">
        <v>2363</v>
      </c>
    </row>
    <row r="1118" spans="1:2">
      <c r="A1118" s="7" t="s">
        <v>4750</v>
      </c>
      <c r="B1118" s="7" t="s">
        <v>2364</v>
      </c>
    </row>
    <row r="1119" spans="1:2">
      <c r="A1119" s="7" t="s">
        <v>4751</v>
      </c>
      <c r="B1119" s="7" t="s">
        <v>2365</v>
      </c>
    </row>
    <row r="1120" spans="1:2">
      <c r="A1120" s="7" t="s">
        <v>4752</v>
      </c>
      <c r="B1120" s="7" t="s">
        <v>2366</v>
      </c>
    </row>
    <row r="1121" spans="1:2">
      <c r="A1121" s="7" t="s">
        <v>4753</v>
      </c>
      <c r="B1121" s="7" t="s">
        <v>2367</v>
      </c>
    </row>
    <row r="1122" spans="1:2">
      <c r="A1122" s="7" t="s">
        <v>4754</v>
      </c>
      <c r="B1122" s="7" t="s">
        <v>2368</v>
      </c>
    </row>
    <row r="1123" spans="1:2">
      <c r="A1123" s="7" t="s">
        <v>4755</v>
      </c>
      <c r="B1123" s="7" t="s">
        <v>2369</v>
      </c>
    </row>
    <row r="1124" spans="1:2">
      <c r="A1124" s="7" t="s">
        <v>4756</v>
      </c>
      <c r="B1124" s="7" t="s">
        <v>2370</v>
      </c>
    </row>
    <row r="1125" spans="1:2">
      <c r="A1125" s="7" t="s">
        <v>4757</v>
      </c>
      <c r="B1125" s="7" t="s">
        <v>2371</v>
      </c>
    </row>
    <row r="1126" spans="1:2">
      <c r="A1126" s="7" t="s">
        <v>4758</v>
      </c>
      <c r="B1126" s="7" t="s">
        <v>2372</v>
      </c>
    </row>
    <row r="1127" spans="1:2">
      <c r="A1127" s="7" t="s">
        <v>4759</v>
      </c>
      <c r="B1127" s="7" t="s">
        <v>2373</v>
      </c>
    </row>
    <row r="1128" spans="1:2">
      <c r="A1128" s="7" t="s">
        <v>4760</v>
      </c>
      <c r="B1128" s="7" t="s">
        <v>2374</v>
      </c>
    </row>
    <row r="1129" spans="1:2">
      <c r="A1129" s="7" t="s">
        <v>4761</v>
      </c>
      <c r="B1129" s="7" t="s">
        <v>2375</v>
      </c>
    </row>
    <row r="1130" spans="1:2">
      <c r="A1130" s="7" t="s">
        <v>4762</v>
      </c>
      <c r="B1130" s="7" t="s">
        <v>2376</v>
      </c>
    </row>
    <row r="1131" spans="1:2">
      <c r="A1131" s="7" t="s">
        <v>4763</v>
      </c>
      <c r="B1131" s="7" t="s">
        <v>2377</v>
      </c>
    </row>
    <row r="1132" spans="1:2">
      <c r="A1132" s="7" t="s">
        <v>4764</v>
      </c>
      <c r="B1132" s="7" t="s">
        <v>2378</v>
      </c>
    </row>
    <row r="1133" spans="1:2">
      <c r="A1133" s="7" t="s">
        <v>4765</v>
      </c>
      <c r="B1133" s="7" t="s">
        <v>2379</v>
      </c>
    </row>
    <row r="1134" spans="1:2">
      <c r="A1134" s="7" t="s">
        <v>4766</v>
      </c>
      <c r="B1134" s="7" t="s">
        <v>2380</v>
      </c>
    </row>
    <row r="1135" spans="1:2">
      <c r="A1135" s="7" t="s">
        <v>4767</v>
      </c>
      <c r="B1135" s="7" t="s">
        <v>2381</v>
      </c>
    </row>
    <row r="1136" spans="1:2">
      <c r="A1136" s="7" t="s">
        <v>4768</v>
      </c>
      <c r="B1136" s="7" t="s">
        <v>2382</v>
      </c>
    </row>
    <row r="1137" spans="1:2">
      <c r="A1137" s="7" t="s">
        <v>4769</v>
      </c>
      <c r="B1137" s="7" t="s">
        <v>2383</v>
      </c>
    </row>
    <row r="1138" spans="1:2">
      <c r="A1138" s="7" t="s">
        <v>4770</v>
      </c>
      <c r="B1138" s="7" t="s">
        <v>2384</v>
      </c>
    </row>
    <row r="1139" spans="1:2">
      <c r="A1139" s="7" t="s">
        <v>4771</v>
      </c>
      <c r="B1139" s="7" t="s">
        <v>2385</v>
      </c>
    </row>
    <row r="1140" spans="1:2">
      <c r="A1140" s="7" t="s">
        <v>4772</v>
      </c>
      <c r="B1140" s="7" t="s">
        <v>2386</v>
      </c>
    </row>
    <row r="1141" spans="1:2">
      <c r="A1141" s="7" t="s">
        <v>4773</v>
      </c>
      <c r="B1141" s="7" t="s">
        <v>2387</v>
      </c>
    </row>
    <row r="1142" spans="1:2">
      <c r="A1142" s="7" t="s">
        <v>4774</v>
      </c>
      <c r="B1142" s="7" t="s">
        <v>2388</v>
      </c>
    </row>
    <row r="1143" spans="1:2">
      <c r="A1143" s="7" t="s">
        <v>4775</v>
      </c>
      <c r="B1143" s="7" t="s">
        <v>2389</v>
      </c>
    </row>
    <row r="1144" spans="1:2">
      <c r="A1144" s="7" t="s">
        <v>4776</v>
      </c>
      <c r="B1144" s="7" t="s">
        <v>2390</v>
      </c>
    </row>
    <row r="1145" spans="1:2">
      <c r="A1145" s="7" t="s">
        <v>4777</v>
      </c>
      <c r="B1145" s="7" t="s">
        <v>2391</v>
      </c>
    </row>
    <row r="1146" spans="1:2">
      <c r="A1146" s="7" t="s">
        <v>4778</v>
      </c>
      <c r="B1146" s="7" t="s">
        <v>2392</v>
      </c>
    </row>
    <row r="1147" spans="1:2">
      <c r="A1147" s="7" t="s">
        <v>4779</v>
      </c>
      <c r="B1147" s="7" t="s">
        <v>2393</v>
      </c>
    </row>
    <row r="1148" spans="1:2">
      <c r="A1148" s="7" t="s">
        <v>4780</v>
      </c>
      <c r="B1148" s="7" t="s">
        <v>2394</v>
      </c>
    </row>
    <row r="1149" spans="1:2">
      <c r="A1149" s="7" t="s">
        <v>4781</v>
      </c>
      <c r="B1149" s="7" t="s">
        <v>2395</v>
      </c>
    </row>
    <row r="1150" spans="1:2">
      <c r="A1150" s="7" t="s">
        <v>4782</v>
      </c>
      <c r="B1150" s="7" t="s">
        <v>2396</v>
      </c>
    </row>
    <row r="1151" spans="1:2">
      <c r="A1151" s="7" t="s">
        <v>4783</v>
      </c>
      <c r="B1151" s="7" t="s">
        <v>2397</v>
      </c>
    </row>
    <row r="1152" spans="1:2">
      <c r="A1152" s="7" t="s">
        <v>4784</v>
      </c>
      <c r="B1152" s="7" t="s">
        <v>2398</v>
      </c>
    </row>
    <row r="1153" spans="1:2">
      <c r="A1153" s="7" t="s">
        <v>4785</v>
      </c>
      <c r="B1153" s="7" t="s">
        <v>2399</v>
      </c>
    </row>
    <row r="1154" spans="1:2">
      <c r="A1154" s="7" t="s">
        <v>4786</v>
      </c>
      <c r="B1154" s="7" t="s">
        <v>2400</v>
      </c>
    </row>
    <row r="1155" spans="1:2">
      <c r="A1155" s="7" t="s">
        <v>4787</v>
      </c>
      <c r="B1155" s="7" t="s">
        <v>2401</v>
      </c>
    </row>
    <row r="1156" spans="1:2">
      <c r="A1156" s="7" t="s">
        <v>4788</v>
      </c>
      <c r="B1156" s="7" t="s">
        <v>2402</v>
      </c>
    </row>
    <row r="1157" spans="1:2">
      <c r="A1157" s="7" t="s">
        <v>4789</v>
      </c>
      <c r="B1157" s="7" t="s">
        <v>2403</v>
      </c>
    </row>
    <row r="1158" spans="1:2">
      <c r="A1158" s="7" t="s">
        <v>4790</v>
      </c>
      <c r="B1158" s="7" t="s">
        <v>2404</v>
      </c>
    </row>
    <row r="1159" spans="1:2">
      <c r="A1159" s="7" t="s">
        <v>4791</v>
      </c>
      <c r="B1159" s="7" t="s">
        <v>2405</v>
      </c>
    </row>
    <row r="1160" spans="1:2">
      <c r="A1160" s="7" t="s">
        <v>4792</v>
      </c>
      <c r="B1160" s="7" t="s">
        <v>2406</v>
      </c>
    </row>
    <row r="1161" spans="1:2">
      <c r="A1161" s="7" t="s">
        <v>4793</v>
      </c>
      <c r="B1161" s="7" t="s">
        <v>2407</v>
      </c>
    </row>
    <row r="1162" spans="1:2">
      <c r="A1162" s="7" t="s">
        <v>4794</v>
      </c>
      <c r="B1162" s="7" t="s">
        <v>2408</v>
      </c>
    </row>
    <row r="1163" spans="1:2">
      <c r="A1163" s="7" t="s">
        <v>4795</v>
      </c>
      <c r="B1163" s="7" t="s">
        <v>2409</v>
      </c>
    </row>
    <row r="1164" spans="1:2">
      <c r="A1164" s="7" t="s">
        <v>4796</v>
      </c>
      <c r="B1164" s="7" t="s">
        <v>2410</v>
      </c>
    </row>
    <row r="1165" spans="1:2">
      <c r="A1165" s="7" t="s">
        <v>4797</v>
      </c>
      <c r="B1165" s="7" t="s">
        <v>2411</v>
      </c>
    </row>
    <row r="1166" spans="1:2">
      <c r="A1166" s="7" t="s">
        <v>4798</v>
      </c>
      <c r="B1166" s="7" t="s">
        <v>2412</v>
      </c>
    </row>
    <row r="1167" spans="1:2">
      <c r="A1167" s="7" t="s">
        <v>4799</v>
      </c>
      <c r="B1167" s="7" t="s">
        <v>2413</v>
      </c>
    </row>
    <row r="1168" spans="1:2">
      <c r="A1168" s="7" t="s">
        <v>4800</v>
      </c>
      <c r="B1168" s="7" t="s">
        <v>2414</v>
      </c>
    </row>
    <row r="1169" spans="1:2">
      <c r="A1169" s="7" t="s">
        <v>4801</v>
      </c>
      <c r="B1169" s="7" t="s">
        <v>2415</v>
      </c>
    </row>
    <row r="1170" spans="1:2">
      <c r="A1170" s="7" t="s">
        <v>4802</v>
      </c>
      <c r="B1170" s="7" t="s">
        <v>2416</v>
      </c>
    </row>
    <row r="1171" spans="1:2">
      <c r="A1171" s="7" t="s">
        <v>4803</v>
      </c>
      <c r="B1171" s="7" t="s">
        <v>2417</v>
      </c>
    </row>
    <row r="1172" spans="1:2">
      <c r="A1172" s="7" t="s">
        <v>4804</v>
      </c>
      <c r="B1172" s="7" t="s">
        <v>2418</v>
      </c>
    </row>
    <row r="1173" spans="1:2">
      <c r="A1173" s="7" t="s">
        <v>4805</v>
      </c>
      <c r="B1173" s="7" t="s">
        <v>2419</v>
      </c>
    </row>
    <row r="1174" spans="1:2">
      <c r="A1174" s="7" t="s">
        <v>4806</v>
      </c>
      <c r="B1174" s="7" t="s">
        <v>2420</v>
      </c>
    </row>
    <row r="1175" spans="1:2">
      <c r="A1175" s="7" t="s">
        <v>4807</v>
      </c>
      <c r="B1175" s="7" t="s">
        <v>2421</v>
      </c>
    </row>
    <row r="1176" spans="1:2">
      <c r="A1176" s="7" t="s">
        <v>4808</v>
      </c>
      <c r="B1176" s="7" t="s">
        <v>2422</v>
      </c>
    </row>
    <row r="1177" spans="1:2">
      <c r="A1177" s="7" t="s">
        <v>4809</v>
      </c>
      <c r="B1177" s="7" t="s">
        <v>2423</v>
      </c>
    </row>
    <row r="1178" spans="1:2">
      <c r="A1178" s="7" t="s">
        <v>4810</v>
      </c>
      <c r="B1178" s="7" t="s">
        <v>2424</v>
      </c>
    </row>
    <row r="1179" spans="1:2">
      <c r="A1179" s="7" t="s">
        <v>4811</v>
      </c>
      <c r="B1179" s="7" t="s">
        <v>2425</v>
      </c>
    </row>
    <row r="1180" spans="1:2">
      <c r="A1180" s="7" t="s">
        <v>4812</v>
      </c>
      <c r="B1180" s="7" t="s">
        <v>2426</v>
      </c>
    </row>
    <row r="1181" spans="1:2">
      <c r="A1181" s="7" t="s">
        <v>4813</v>
      </c>
      <c r="B1181" s="7" t="s">
        <v>2427</v>
      </c>
    </row>
    <row r="1182" spans="1:2">
      <c r="A1182" s="7" t="s">
        <v>4814</v>
      </c>
      <c r="B1182" s="7" t="s">
        <v>2428</v>
      </c>
    </row>
    <row r="1183" spans="1:2">
      <c r="A1183" s="7" t="s">
        <v>4815</v>
      </c>
      <c r="B1183" s="7" t="s">
        <v>2429</v>
      </c>
    </row>
    <row r="1184" spans="1:2">
      <c r="A1184" s="7" t="s">
        <v>4816</v>
      </c>
      <c r="B1184" s="7" t="s">
        <v>2430</v>
      </c>
    </row>
    <row r="1185" spans="1:2">
      <c r="A1185" s="7" t="s">
        <v>4817</v>
      </c>
      <c r="B1185" s="7" t="s">
        <v>2431</v>
      </c>
    </row>
    <row r="1186" spans="1:2">
      <c r="A1186" s="7" t="s">
        <v>4818</v>
      </c>
      <c r="B1186" s="7" t="s">
        <v>2432</v>
      </c>
    </row>
    <row r="1187" spans="1:2">
      <c r="A1187" s="7" t="s">
        <v>4819</v>
      </c>
      <c r="B1187" s="7" t="s">
        <v>2433</v>
      </c>
    </row>
    <row r="1188" spans="1:2">
      <c r="A1188" s="7" t="s">
        <v>4820</v>
      </c>
      <c r="B1188" s="7" t="s">
        <v>2434</v>
      </c>
    </row>
    <row r="1189" spans="1:2">
      <c r="A1189" s="7" t="s">
        <v>4821</v>
      </c>
      <c r="B1189" s="7" t="s">
        <v>2435</v>
      </c>
    </row>
    <row r="1190" spans="1:2">
      <c r="A1190" s="7" t="s">
        <v>4822</v>
      </c>
      <c r="B1190" s="7" t="s">
        <v>2436</v>
      </c>
    </row>
    <row r="1191" spans="1:2">
      <c r="A1191" s="7" t="s">
        <v>4823</v>
      </c>
      <c r="B1191" s="7" t="s">
        <v>2437</v>
      </c>
    </row>
    <row r="1192" spans="1:2">
      <c r="A1192" s="7" t="s">
        <v>4824</v>
      </c>
      <c r="B1192" s="7" t="s">
        <v>2438</v>
      </c>
    </row>
    <row r="1193" spans="1:2">
      <c r="A1193" s="7" t="s">
        <v>4825</v>
      </c>
      <c r="B1193" s="7" t="s">
        <v>2439</v>
      </c>
    </row>
    <row r="1194" spans="1:2">
      <c r="A1194" s="7" t="s">
        <v>4826</v>
      </c>
      <c r="B1194" s="7" t="s">
        <v>2440</v>
      </c>
    </row>
    <row r="1195" spans="1:2">
      <c r="A1195" s="7" t="s">
        <v>4827</v>
      </c>
      <c r="B1195" s="7" t="s">
        <v>2441</v>
      </c>
    </row>
    <row r="1196" spans="1:2">
      <c r="A1196" s="7" t="s">
        <v>4828</v>
      </c>
      <c r="B1196" s="7" t="s">
        <v>2442</v>
      </c>
    </row>
    <row r="1197" spans="1:2">
      <c r="A1197" s="7" t="s">
        <v>4829</v>
      </c>
      <c r="B1197" s="7" t="s">
        <v>2443</v>
      </c>
    </row>
    <row r="1198" spans="1:2">
      <c r="A1198" s="7" t="s">
        <v>4830</v>
      </c>
      <c r="B1198" s="7" t="s">
        <v>2444</v>
      </c>
    </row>
    <row r="1199" spans="1:2">
      <c r="A1199" s="7" t="s">
        <v>4831</v>
      </c>
      <c r="B1199" s="7" t="s">
        <v>2445</v>
      </c>
    </row>
    <row r="1200" spans="1:2">
      <c r="A1200" s="7" t="s">
        <v>4832</v>
      </c>
      <c r="B1200" s="7" t="s">
        <v>2446</v>
      </c>
    </row>
    <row r="1201" spans="1:2">
      <c r="A1201" s="7" t="s">
        <v>4833</v>
      </c>
      <c r="B1201" s="7" t="s">
        <v>2447</v>
      </c>
    </row>
    <row r="1202" spans="1:2">
      <c r="A1202" s="7" t="s">
        <v>4834</v>
      </c>
      <c r="B1202" s="7" t="s">
        <v>2448</v>
      </c>
    </row>
    <row r="1203" spans="1:2">
      <c r="A1203" s="7" t="s">
        <v>4835</v>
      </c>
      <c r="B1203" s="7" t="s">
        <v>2449</v>
      </c>
    </row>
    <row r="1204" spans="1:2">
      <c r="A1204" s="7" t="s">
        <v>4836</v>
      </c>
      <c r="B1204" s="7" t="s">
        <v>2450</v>
      </c>
    </row>
    <row r="1205" spans="1:2">
      <c r="A1205" s="7" t="s">
        <v>4837</v>
      </c>
      <c r="B1205" s="7" t="s">
        <v>2451</v>
      </c>
    </row>
    <row r="1206" spans="1:2">
      <c r="A1206" s="7" t="s">
        <v>4838</v>
      </c>
      <c r="B1206" s="7" t="s">
        <v>2452</v>
      </c>
    </row>
    <row r="1207" spans="1:2">
      <c r="A1207" s="7" t="s">
        <v>4839</v>
      </c>
      <c r="B1207" s="7" t="s">
        <v>2453</v>
      </c>
    </row>
    <row r="1208" spans="1:2">
      <c r="A1208" s="7" t="s">
        <v>4840</v>
      </c>
      <c r="B1208" s="7" t="s">
        <v>2454</v>
      </c>
    </row>
    <row r="1209" spans="1:2">
      <c r="A1209" s="7" t="s">
        <v>4841</v>
      </c>
      <c r="B1209" s="7" t="s">
        <v>2455</v>
      </c>
    </row>
    <row r="1210" spans="1:2">
      <c r="A1210" s="7" t="s">
        <v>4842</v>
      </c>
      <c r="B1210" s="7" t="s">
        <v>2456</v>
      </c>
    </row>
    <row r="1211" spans="1:2">
      <c r="A1211" s="7" t="s">
        <v>4843</v>
      </c>
      <c r="B1211" s="7" t="s">
        <v>2457</v>
      </c>
    </row>
    <row r="1212" spans="1:2">
      <c r="A1212" s="7" t="s">
        <v>4844</v>
      </c>
      <c r="B1212" s="7" t="s">
        <v>2458</v>
      </c>
    </row>
    <row r="1213" spans="1:2">
      <c r="A1213" s="7" t="s">
        <v>4845</v>
      </c>
      <c r="B1213" s="7" t="s">
        <v>2459</v>
      </c>
    </row>
    <row r="1214" spans="1:2">
      <c r="A1214" s="7" t="s">
        <v>4846</v>
      </c>
      <c r="B1214" s="7" t="s">
        <v>2460</v>
      </c>
    </row>
    <row r="1215" spans="1:2">
      <c r="A1215" s="7" t="s">
        <v>4847</v>
      </c>
      <c r="B1215" s="7" t="s">
        <v>2461</v>
      </c>
    </row>
    <row r="1216" spans="1:2">
      <c r="A1216" s="7" t="s">
        <v>4848</v>
      </c>
      <c r="B1216" s="7" t="s">
        <v>2462</v>
      </c>
    </row>
    <row r="1217" spans="1:2">
      <c r="A1217" s="7" t="s">
        <v>4849</v>
      </c>
      <c r="B1217" s="7" t="s">
        <v>2463</v>
      </c>
    </row>
    <row r="1218" spans="1:2">
      <c r="A1218" s="7" t="s">
        <v>4850</v>
      </c>
      <c r="B1218" s="7" t="s">
        <v>2464</v>
      </c>
    </row>
    <row r="1219" spans="1:2">
      <c r="A1219" s="7" t="s">
        <v>4851</v>
      </c>
      <c r="B1219" s="7" t="s">
        <v>2465</v>
      </c>
    </row>
    <row r="1220" spans="1:2">
      <c r="A1220" s="7" t="s">
        <v>4852</v>
      </c>
      <c r="B1220" s="7" t="s">
        <v>2466</v>
      </c>
    </row>
    <row r="1221" spans="1:2">
      <c r="A1221" s="7" t="s">
        <v>4853</v>
      </c>
      <c r="B1221" s="7" t="s">
        <v>2467</v>
      </c>
    </row>
    <row r="1222" spans="1:2">
      <c r="A1222" s="7" t="s">
        <v>4854</v>
      </c>
      <c r="B1222" s="7" t="s">
        <v>2468</v>
      </c>
    </row>
    <row r="1223" spans="1:2">
      <c r="A1223" s="7" t="s">
        <v>4855</v>
      </c>
      <c r="B1223" s="7" t="s">
        <v>2469</v>
      </c>
    </row>
    <row r="1224" spans="1:2">
      <c r="A1224" s="7" t="s">
        <v>4856</v>
      </c>
      <c r="B1224" s="7" t="s">
        <v>2470</v>
      </c>
    </row>
    <row r="1225" spans="1:2">
      <c r="A1225" s="7" t="s">
        <v>4857</v>
      </c>
      <c r="B1225" s="7" t="s">
        <v>2471</v>
      </c>
    </row>
    <row r="1226" spans="1:2">
      <c r="A1226" s="7" t="s">
        <v>4858</v>
      </c>
      <c r="B1226" s="7" t="s">
        <v>2472</v>
      </c>
    </row>
    <row r="1227" spans="1:2">
      <c r="A1227" s="7" t="s">
        <v>4859</v>
      </c>
      <c r="B1227" s="7" t="s">
        <v>2473</v>
      </c>
    </row>
    <row r="1228" spans="1:2">
      <c r="A1228" s="7" t="s">
        <v>4860</v>
      </c>
      <c r="B1228" s="7" t="s">
        <v>2474</v>
      </c>
    </row>
    <row r="1229" spans="1:2">
      <c r="A1229" s="7" t="s">
        <v>4861</v>
      </c>
      <c r="B1229" s="7" t="s">
        <v>2475</v>
      </c>
    </row>
    <row r="1230" spans="1:2">
      <c r="A1230" s="7" t="s">
        <v>4862</v>
      </c>
      <c r="B1230" s="7" t="s">
        <v>2476</v>
      </c>
    </row>
    <row r="1231" spans="1:2">
      <c r="A1231" s="7" t="s">
        <v>4863</v>
      </c>
      <c r="B1231" s="7" t="s">
        <v>2477</v>
      </c>
    </row>
    <row r="1232" spans="1:2">
      <c r="A1232" s="7" t="s">
        <v>4864</v>
      </c>
      <c r="B1232" s="7" t="s">
        <v>2478</v>
      </c>
    </row>
    <row r="1233" spans="1:2">
      <c r="A1233" s="7" t="s">
        <v>4865</v>
      </c>
      <c r="B1233" s="7" t="s">
        <v>2479</v>
      </c>
    </row>
    <row r="1234" spans="1:2">
      <c r="A1234" s="7" t="s">
        <v>4866</v>
      </c>
      <c r="B1234" s="7" t="s">
        <v>2480</v>
      </c>
    </row>
    <row r="1235" spans="1:2">
      <c r="A1235" s="7" t="s">
        <v>4867</v>
      </c>
      <c r="B1235" s="7" t="s">
        <v>2481</v>
      </c>
    </row>
    <row r="1236" spans="1:2">
      <c r="A1236" s="7" t="s">
        <v>4868</v>
      </c>
      <c r="B1236" s="7" t="s">
        <v>2482</v>
      </c>
    </row>
    <row r="1237" spans="1:2">
      <c r="A1237" s="7" t="s">
        <v>4869</v>
      </c>
      <c r="B1237" s="7" t="s">
        <v>2483</v>
      </c>
    </row>
    <row r="1238" spans="1:2">
      <c r="A1238" s="7" t="s">
        <v>4870</v>
      </c>
      <c r="B1238" s="7" t="s">
        <v>2484</v>
      </c>
    </row>
    <row r="1239" spans="1:2">
      <c r="A1239" s="7" t="s">
        <v>4871</v>
      </c>
      <c r="B1239" s="7" t="s">
        <v>2485</v>
      </c>
    </row>
    <row r="1240" spans="1:2">
      <c r="A1240" s="7" t="s">
        <v>4872</v>
      </c>
      <c r="B1240" s="7" t="s">
        <v>2486</v>
      </c>
    </row>
    <row r="1241" spans="1:2">
      <c r="A1241" s="7" t="s">
        <v>4873</v>
      </c>
      <c r="B1241" s="7" t="s">
        <v>2487</v>
      </c>
    </row>
    <row r="1242" spans="1:2">
      <c r="A1242" s="7" t="s">
        <v>4874</v>
      </c>
      <c r="B1242" s="7" t="s">
        <v>2488</v>
      </c>
    </row>
    <row r="1243" spans="1:2">
      <c r="A1243" s="7" t="s">
        <v>4875</v>
      </c>
      <c r="B1243" s="7" t="s">
        <v>2489</v>
      </c>
    </row>
    <row r="1244" spans="1:2">
      <c r="A1244" s="7" t="s">
        <v>4876</v>
      </c>
      <c r="B1244" s="7" t="s">
        <v>2490</v>
      </c>
    </row>
    <row r="1245" spans="1:2">
      <c r="A1245" s="7" t="s">
        <v>4877</v>
      </c>
      <c r="B1245" s="7" t="s">
        <v>2491</v>
      </c>
    </row>
    <row r="1246" spans="1:2">
      <c r="A1246" s="7" t="s">
        <v>4878</v>
      </c>
      <c r="B1246" s="7" t="s">
        <v>2492</v>
      </c>
    </row>
    <row r="1247" spans="1:2">
      <c r="A1247" s="7" t="s">
        <v>4879</v>
      </c>
      <c r="B1247" s="7" t="s">
        <v>2493</v>
      </c>
    </row>
    <row r="1248" spans="1:2">
      <c r="A1248" s="7" t="s">
        <v>4880</v>
      </c>
      <c r="B1248" s="7" t="s">
        <v>2494</v>
      </c>
    </row>
    <row r="1249" spans="1:2">
      <c r="A1249" s="7" t="s">
        <v>4881</v>
      </c>
      <c r="B1249" s="7" t="s">
        <v>2495</v>
      </c>
    </row>
    <row r="1250" spans="1:2">
      <c r="A1250" s="7" t="s">
        <v>4882</v>
      </c>
      <c r="B1250" s="7" t="s">
        <v>2496</v>
      </c>
    </row>
    <row r="1251" spans="1:2">
      <c r="A1251" s="7" t="s">
        <v>4883</v>
      </c>
      <c r="B1251" s="7" t="s">
        <v>2497</v>
      </c>
    </row>
    <row r="1252" spans="1:2">
      <c r="A1252" s="7" t="s">
        <v>4884</v>
      </c>
      <c r="B1252" s="7" t="s">
        <v>2498</v>
      </c>
    </row>
    <row r="1253" spans="1:2">
      <c r="A1253" s="7" t="s">
        <v>4885</v>
      </c>
      <c r="B1253" s="7" t="s">
        <v>2499</v>
      </c>
    </row>
    <row r="1254" spans="1:2">
      <c r="A1254" s="7" t="s">
        <v>4886</v>
      </c>
      <c r="B1254" s="7" t="s">
        <v>2500</v>
      </c>
    </row>
    <row r="1255" spans="1:2">
      <c r="A1255" s="7" t="s">
        <v>4887</v>
      </c>
      <c r="B1255" s="7" t="s">
        <v>2501</v>
      </c>
    </row>
    <row r="1256" spans="1:2">
      <c r="A1256" s="7" t="s">
        <v>4888</v>
      </c>
      <c r="B1256" s="7" t="s">
        <v>2502</v>
      </c>
    </row>
    <row r="1257" spans="1:2">
      <c r="A1257" s="7" t="s">
        <v>4889</v>
      </c>
      <c r="B1257" s="7" t="s">
        <v>2503</v>
      </c>
    </row>
    <row r="1258" spans="1:2">
      <c r="A1258" s="7" t="s">
        <v>4890</v>
      </c>
      <c r="B1258" s="7" t="s">
        <v>2504</v>
      </c>
    </row>
    <row r="1259" spans="1:2">
      <c r="A1259" s="7" t="s">
        <v>4891</v>
      </c>
      <c r="B1259" s="7" t="s">
        <v>2505</v>
      </c>
    </row>
    <row r="1260" spans="1:2">
      <c r="A1260" s="7" t="s">
        <v>4892</v>
      </c>
      <c r="B1260" s="7" t="s">
        <v>2506</v>
      </c>
    </row>
    <row r="1261" spans="1:2">
      <c r="A1261" s="7" t="s">
        <v>4893</v>
      </c>
      <c r="B1261" s="7" t="s">
        <v>2507</v>
      </c>
    </row>
    <row r="1262" spans="1:2">
      <c r="A1262" s="7" t="s">
        <v>4894</v>
      </c>
      <c r="B1262" s="7" t="s">
        <v>2508</v>
      </c>
    </row>
    <row r="1263" spans="1:2">
      <c r="A1263" s="7" t="s">
        <v>4895</v>
      </c>
      <c r="B1263" s="7" t="s">
        <v>2509</v>
      </c>
    </row>
    <row r="1264" spans="1:2">
      <c r="A1264" s="7" t="s">
        <v>4896</v>
      </c>
      <c r="B1264" s="7" t="s">
        <v>2510</v>
      </c>
    </row>
    <row r="1265" spans="1:2">
      <c r="A1265" s="7" t="s">
        <v>4897</v>
      </c>
      <c r="B1265" s="7" t="s">
        <v>2511</v>
      </c>
    </row>
    <row r="1266" spans="1:2">
      <c r="A1266" s="7" t="s">
        <v>4898</v>
      </c>
      <c r="B1266" s="7" t="s">
        <v>2512</v>
      </c>
    </row>
    <row r="1267" spans="1:2">
      <c r="A1267" s="7" t="s">
        <v>4899</v>
      </c>
      <c r="B1267" s="7" t="s">
        <v>2513</v>
      </c>
    </row>
    <row r="1268" spans="1:2">
      <c r="A1268" s="7" t="s">
        <v>4900</v>
      </c>
      <c r="B1268" s="7" t="s">
        <v>2514</v>
      </c>
    </row>
    <row r="1269" spans="1:2">
      <c r="A1269" s="7" t="s">
        <v>4901</v>
      </c>
      <c r="B1269" s="7" t="s">
        <v>2515</v>
      </c>
    </row>
    <row r="1270" spans="1:2">
      <c r="A1270" s="7" t="s">
        <v>4902</v>
      </c>
      <c r="B1270" s="7" t="s">
        <v>2516</v>
      </c>
    </row>
    <row r="1271" spans="1:2">
      <c r="A1271" s="7" t="s">
        <v>4903</v>
      </c>
      <c r="B1271" s="7" t="s">
        <v>2517</v>
      </c>
    </row>
    <row r="1272" spans="1:2">
      <c r="A1272" s="7" t="s">
        <v>4904</v>
      </c>
      <c r="B1272" s="7" t="s">
        <v>2518</v>
      </c>
    </row>
    <row r="1273" spans="1:2">
      <c r="A1273" s="7" t="s">
        <v>4905</v>
      </c>
      <c r="B1273" s="7" t="s">
        <v>2519</v>
      </c>
    </row>
    <row r="1274" spans="1:2">
      <c r="A1274" s="7" t="s">
        <v>4906</v>
      </c>
      <c r="B1274" s="7" t="s">
        <v>2520</v>
      </c>
    </row>
    <row r="1275" spans="1:2">
      <c r="A1275" s="7" t="s">
        <v>4907</v>
      </c>
      <c r="B1275" s="7" t="s">
        <v>2521</v>
      </c>
    </row>
    <row r="1276" spans="1:2">
      <c r="A1276" s="7" t="s">
        <v>4908</v>
      </c>
      <c r="B1276" s="7" t="s">
        <v>2522</v>
      </c>
    </row>
    <row r="1277" spans="1:2">
      <c r="A1277" s="7" t="s">
        <v>4909</v>
      </c>
      <c r="B1277" s="7" t="s">
        <v>2523</v>
      </c>
    </row>
    <row r="1278" spans="1:2">
      <c r="A1278" s="7" t="s">
        <v>4910</v>
      </c>
      <c r="B1278" s="7" t="s">
        <v>2524</v>
      </c>
    </row>
    <row r="1279" spans="1:2">
      <c r="A1279" s="7" t="s">
        <v>4911</v>
      </c>
      <c r="B1279" s="7" t="s">
        <v>2525</v>
      </c>
    </row>
    <row r="1280" spans="1:2">
      <c r="A1280" s="7" t="s">
        <v>4912</v>
      </c>
      <c r="B1280" s="7" t="s">
        <v>2526</v>
      </c>
    </row>
    <row r="1281" spans="1:2">
      <c r="A1281" s="7" t="s">
        <v>4913</v>
      </c>
      <c r="B1281" s="7" t="s">
        <v>2527</v>
      </c>
    </row>
    <row r="1282" spans="1:2">
      <c r="A1282" s="7" t="s">
        <v>4914</v>
      </c>
      <c r="B1282" s="7" t="s">
        <v>2528</v>
      </c>
    </row>
    <row r="1283" spans="1:2">
      <c r="A1283" s="7" t="s">
        <v>4915</v>
      </c>
      <c r="B1283" s="7" t="s">
        <v>2529</v>
      </c>
    </row>
    <row r="1284" spans="1:2">
      <c r="A1284" s="7" t="s">
        <v>4916</v>
      </c>
      <c r="B1284" s="7" t="s">
        <v>2530</v>
      </c>
    </row>
    <row r="1285" spans="1:2">
      <c r="A1285" s="7" t="s">
        <v>4917</v>
      </c>
      <c r="B1285" s="7" t="s">
        <v>2531</v>
      </c>
    </row>
    <row r="1286" spans="1:2">
      <c r="A1286" s="7" t="s">
        <v>4918</v>
      </c>
      <c r="B1286" s="7" t="s">
        <v>2532</v>
      </c>
    </row>
    <row r="1287" spans="1:2">
      <c r="A1287" s="7" t="s">
        <v>4919</v>
      </c>
      <c r="B1287" s="7" t="s">
        <v>2533</v>
      </c>
    </row>
    <row r="1288" spans="1:2">
      <c r="A1288" s="7" t="s">
        <v>4920</v>
      </c>
      <c r="B1288" s="7" t="s">
        <v>2534</v>
      </c>
    </row>
    <row r="1289" spans="1:2">
      <c r="A1289" s="7" t="s">
        <v>4921</v>
      </c>
      <c r="B1289" s="7" t="s">
        <v>2535</v>
      </c>
    </row>
    <row r="1290" spans="1:2">
      <c r="A1290" s="7" t="s">
        <v>4922</v>
      </c>
      <c r="B1290" s="7" t="s">
        <v>2536</v>
      </c>
    </row>
    <row r="1291" spans="1:2">
      <c r="A1291" s="7" t="s">
        <v>4923</v>
      </c>
      <c r="B1291" s="7" t="s">
        <v>2537</v>
      </c>
    </row>
    <row r="1292" spans="1:2">
      <c r="A1292" s="7" t="s">
        <v>4924</v>
      </c>
      <c r="B1292" s="7" t="s">
        <v>2538</v>
      </c>
    </row>
    <row r="1293" spans="1:2">
      <c r="A1293" s="7" t="s">
        <v>4925</v>
      </c>
      <c r="B1293" s="7" t="s">
        <v>2539</v>
      </c>
    </row>
    <row r="1294" spans="1:2">
      <c r="A1294" s="7" t="s">
        <v>4926</v>
      </c>
      <c r="B1294" s="7" t="s">
        <v>2540</v>
      </c>
    </row>
    <row r="1295" spans="1:2">
      <c r="A1295" s="7" t="s">
        <v>4927</v>
      </c>
      <c r="B1295" s="7" t="s">
        <v>2541</v>
      </c>
    </row>
    <row r="1296" spans="1:2">
      <c r="A1296" s="7" t="s">
        <v>4928</v>
      </c>
      <c r="B1296" s="7" t="s">
        <v>2542</v>
      </c>
    </row>
    <row r="1297" spans="1:2">
      <c r="A1297" s="7" t="s">
        <v>4929</v>
      </c>
      <c r="B1297" s="7" t="s">
        <v>2543</v>
      </c>
    </row>
    <row r="1298" spans="1:2">
      <c r="A1298" s="7" t="s">
        <v>4930</v>
      </c>
      <c r="B1298" s="7" t="s">
        <v>2544</v>
      </c>
    </row>
    <row r="1299" spans="1:2">
      <c r="A1299" s="7" t="s">
        <v>4931</v>
      </c>
      <c r="B1299" s="7" t="s">
        <v>2545</v>
      </c>
    </row>
    <row r="1300" spans="1:2">
      <c r="A1300" s="7" t="s">
        <v>4932</v>
      </c>
      <c r="B1300" s="7" t="s">
        <v>2546</v>
      </c>
    </row>
    <row r="1301" spans="1:2">
      <c r="A1301" s="7" t="s">
        <v>4933</v>
      </c>
      <c r="B1301" s="7" t="s">
        <v>2547</v>
      </c>
    </row>
    <row r="1302" spans="1:2">
      <c r="A1302" s="7" t="s">
        <v>4934</v>
      </c>
      <c r="B1302" s="7" t="s">
        <v>2548</v>
      </c>
    </row>
    <row r="1303" spans="1:2">
      <c r="A1303" s="7" t="s">
        <v>4935</v>
      </c>
      <c r="B1303" s="7" t="s">
        <v>2549</v>
      </c>
    </row>
    <row r="1304" spans="1:2">
      <c r="A1304" s="7" t="s">
        <v>4936</v>
      </c>
      <c r="B1304" s="7" t="s">
        <v>2550</v>
      </c>
    </row>
    <row r="1305" spans="1:2">
      <c r="A1305" s="7" t="s">
        <v>4937</v>
      </c>
      <c r="B1305" s="7" t="s">
        <v>2551</v>
      </c>
    </row>
    <row r="1306" spans="1:2">
      <c r="A1306" s="7" t="s">
        <v>4938</v>
      </c>
      <c r="B1306" s="7" t="s">
        <v>2552</v>
      </c>
    </row>
    <row r="1307" spans="1:2">
      <c r="A1307" s="7" t="s">
        <v>4939</v>
      </c>
      <c r="B1307" s="7" t="s">
        <v>2553</v>
      </c>
    </row>
    <row r="1308" spans="1:2">
      <c r="A1308" s="7" t="s">
        <v>4940</v>
      </c>
      <c r="B1308" s="7" t="s">
        <v>2554</v>
      </c>
    </row>
    <row r="1309" spans="1:2">
      <c r="A1309" s="7" t="s">
        <v>4941</v>
      </c>
      <c r="B1309" s="7" t="s">
        <v>2555</v>
      </c>
    </row>
    <row r="1310" spans="1:2">
      <c r="A1310" s="7" t="s">
        <v>4942</v>
      </c>
      <c r="B1310" s="7" t="s">
        <v>2556</v>
      </c>
    </row>
    <row r="1311" spans="1:2">
      <c r="A1311" s="7" t="s">
        <v>4943</v>
      </c>
      <c r="B1311" s="7" t="s">
        <v>2557</v>
      </c>
    </row>
    <row r="1312" spans="1:2">
      <c r="A1312" s="7" t="s">
        <v>4944</v>
      </c>
      <c r="B1312" s="7" t="s">
        <v>2558</v>
      </c>
    </row>
    <row r="1313" spans="1:2">
      <c r="A1313" s="7" t="s">
        <v>4945</v>
      </c>
      <c r="B1313" s="7" t="s">
        <v>2559</v>
      </c>
    </row>
    <row r="1314" spans="1:2">
      <c r="A1314" s="7" t="s">
        <v>4946</v>
      </c>
      <c r="B1314" s="7" t="s">
        <v>2560</v>
      </c>
    </row>
    <row r="1315" spans="1:2">
      <c r="A1315" s="7" t="s">
        <v>4947</v>
      </c>
      <c r="B1315" s="7" t="s">
        <v>2561</v>
      </c>
    </row>
    <row r="1316" spans="1:2">
      <c r="A1316" s="7" t="s">
        <v>4948</v>
      </c>
      <c r="B1316" s="7" t="s">
        <v>2562</v>
      </c>
    </row>
    <row r="1317" spans="1:2">
      <c r="A1317" s="7" t="s">
        <v>4949</v>
      </c>
      <c r="B1317" s="7" t="s">
        <v>2563</v>
      </c>
    </row>
    <row r="1318" spans="1:2">
      <c r="A1318" s="7" t="s">
        <v>4950</v>
      </c>
      <c r="B1318" s="7" t="s">
        <v>2564</v>
      </c>
    </row>
    <row r="1319" spans="1:2">
      <c r="A1319" s="7" t="s">
        <v>4951</v>
      </c>
      <c r="B1319" s="7" t="s">
        <v>2565</v>
      </c>
    </row>
    <row r="1320" spans="1:2">
      <c r="A1320" s="7" t="s">
        <v>4952</v>
      </c>
      <c r="B1320" s="7" t="s">
        <v>2566</v>
      </c>
    </row>
    <row r="1321" spans="1:2">
      <c r="A1321" s="7" t="s">
        <v>4953</v>
      </c>
      <c r="B1321" s="7" t="s">
        <v>2567</v>
      </c>
    </row>
    <row r="1322" spans="1:2">
      <c r="A1322" s="7" t="s">
        <v>4954</v>
      </c>
      <c r="B1322" s="7" t="s">
        <v>2568</v>
      </c>
    </row>
    <row r="1323" spans="1:2">
      <c r="A1323" s="7" t="s">
        <v>4955</v>
      </c>
      <c r="B1323" s="7" t="s">
        <v>2569</v>
      </c>
    </row>
    <row r="1324" spans="1:2">
      <c r="A1324" s="7" t="s">
        <v>4956</v>
      </c>
      <c r="B1324" s="7" t="s">
        <v>2570</v>
      </c>
    </row>
    <row r="1325" spans="1:2">
      <c r="A1325" s="7" t="s">
        <v>4957</v>
      </c>
      <c r="B1325" s="7" t="s">
        <v>2571</v>
      </c>
    </row>
    <row r="1326" spans="1:2">
      <c r="A1326" s="7" t="s">
        <v>4958</v>
      </c>
      <c r="B1326" s="7" t="s">
        <v>2572</v>
      </c>
    </row>
    <row r="1327" spans="1:2">
      <c r="A1327" s="7" t="s">
        <v>4959</v>
      </c>
      <c r="B1327" s="7" t="s">
        <v>2573</v>
      </c>
    </row>
    <row r="1328" spans="1:2">
      <c r="A1328" s="7" t="s">
        <v>4960</v>
      </c>
      <c r="B1328" s="7" t="s">
        <v>2574</v>
      </c>
    </row>
    <row r="1329" spans="1:2">
      <c r="A1329" s="7" t="s">
        <v>4961</v>
      </c>
      <c r="B1329" s="7" t="s">
        <v>2575</v>
      </c>
    </row>
    <row r="1330" spans="1:2">
      <c r="A1330" s="7" t="s">
        <v>4962</v>
      </c>
      <c r="B1330" s="7" t="s">
        <v>2576</v>
      </c>
    </row>
    <row r="1331" spans="1:2">
      <c r="A1331" s="7" t="s">
        <v>4963</v>
      </c>
      <c r="B1331" s="7" t="s">
        <v>2577</v>
      </c>
    </row>
    <row r="1332" spans="1:2">
      <c r="A1332" s="7" t="s">
        <v>4964</v>
      </c>
      <c r="B1332" s="7" t="s">
        <v>2578</v>
      </c>
    </row>
    <row r="1333" spans="1:2">
      <c r="A1333" s="7" t="s">
        <v>4965</v>
      </c>
      <c r="B1333" s="7" t="s">
        <v>2579</v>
      </c>
    </row>
    <row r="1334" spans="1:2">
      <c r="A1334" s="7" t="s">
        <v>4966</v>
      </c>
      <c r="B1334" s="7" t="s">
        <v>2580</v>
      </c>
    </row>
    <row r="1335" spans="1:2">
      <c r="A1335" s="7" t="s">
        <v>4967</v>
      </c>
      <c r="B1335" s="7" t="s">
        <v>2581</v>
      </c>
    </row>
    <row r="1336" spans="1:2">
      <c r="A1336" s="7" t="s">
        <v>4968</v>
      </c>
      <c r="B1336" s="7" t="s">
        <v>2582</v>
      </c>
    </row>
    <row r="1337" spans="1:2">
      <c r="A1337" s="7" t="s">
        <v>4969</v>
      </c>
      <c r="B1337" s="7" t="s">
        <v>2583</v>
      </c>
    </row>
    <row r="1338" spans="1:2">
      <c r="A1338" s="7" t="s">
        <v>4970</v>
      </c>
      <c r="B1338" s="7" t="s">
        <v>2584</v>
      </c>
    </row>
    <row r="1339" spans="1:2">
      <c r="A1339" s="7" t="s">
        <v>4971</v>
      </c>
      <c r="B1339" s="7" t="s">
        <v>2585</v>
      </c>
    </row>
    <row r="1340" spans="1:2">
      <c r="A1340" s="7" t="s">
        <v>4972</v>
      </c>
      <c r="B1340" s="7" t="s">
        <v>2586</v>
      </c>
    </row>
    <row r="1341" spans="1:2">
      <c r="A1341" s="7" t="s">
        <v>4973</v>
      </c>
      <c r="B1341" s="7" t="s">
        <v>2587</v>
      </c>
    </row>
    <row r="1342" spans="1:2">
      <c r="A1342" s="7" t="s">
        <v>4974</v>
      </c>
      <c r="B1342" s="7" t="s">
        <v>2588</v>
      </c>
    </row>
    <row r="1343" spans="1:2">
      <c r="A1343" s="7" t="s">
        <v>4975</v>
      </c>
      <c r="B1343" s="7" t="s">
        <v>2589</v>
      </c>
    </row>
    <row r="1344" spans="1:2">
      <c r="A1344" s="7" t="s">
        <v>4976</v>
      </c>
      <c r="B1344" s="7" t="s">
        <v>2590</v>
      </c>
    </row>
    <row r="1345" spans="1:2">
      <c r="A1345" s="7" t="s">
        <v>4977</v>
      </c>
      <c r="B1345" s="7" t="s">
        <v>2591</v>
      </c>
    </row>
    <row r="1346" spans="1:2">
      <c r="A1346" s="7" t="s">
        <v>4978</v>
      </c>
      <c r="B1346" s="7" t="s">
        <v>2592</v>
      </c>
    </row>
    <row r="1347" spans="1:2">
      <c r="A1347" s="7" t="s">
        <v>4979</v>
      </c>
      <c r="B1347" s="7" t="s">
        <v>2593</v>
      </c>
    </row>
    <row r="1348" spans="1:2">
      <c r="A1348" s="7" t="s">
        <v>4980</v>
      </c>
      <c r="B1348" s="7" t="s">
        <v>2594</v>
      </c>
    </row>
    <row r="1349" spans="1:2">
      <c r="A1349" s="7" t="s">
        <v>4981</v>
      </c>
      <c r="B1349" s="7" t="s">
        <v>2595</v>
      </c>
    </row>
    <row r="1350" spans="1:2">
      <c r="A1350" s="7" t="s">
        <v>4982</v>
      </c>
      <c r="B1350" s="7" t="s">
        <v>2596</v>
      </c>
    </row>
    <row r="1351" spans="1:2">
      <c r="A1351" s="7" t="s">
        <v>4983</v>
      </c>
      <c r="B1351" s="7" t="s">
        <v>2597</v>
      </c>
    </row>
    <row r="1352" spans="1:2">
      <c r="A1352" s="7" t="s">
        <v>4984</v>
      </c>
      <c r="B1352" s="7" t="s">
        <v>2598</v>
      </c>
    </row>
    <row r="1353" spans="1:2">
      <c r="A1353" s="7" t="s">
        <v>4985</v>
      </c>
      <c r="B1353" s="7" t="s">
        <v>2599</v>
      </c>
    </row>
    <row r="1354" spans="1:2">
      <c r="A1354" s="7" t="s">
        <v>4986</v>
      </c>
      <c r="B1354" s="7" t="s">
        <v>2600</v>
      </c>
    </row>
    <row r="1355" spans="1:2">
      <c r="A1355" s="7" t="s">
        <v>4987</v>
      </c>
      <c r="B1355" s="7" t="s">
        <v>2601</v>
      </c>
    </row>
    <row r="1356" spans="1:2">
      <c r="A1356" s="7" t="s">
        <v>4988</v>
      </c>
      <c r="B1356" s="7" t="s">
        <v>2602</v>
      </c>
    </row>
    <row r="1357" spans="1:2">
      <c r="A1357" s="7" t="s">
        <v>4989</v>
      </c>
      <c r="B1357" s="7" t="s">
        <v>2603</v>
      </c>
    </row>
    <row r="1358" spans="1:2">
      <c r="A1358" s="7" t="s">
        <v>4990</v>
      </c>
      <c r="B1358" s="7" t="s">
        <v>2604</v>
      </c>
    </row>
    <row r="1359" spans="1:2">
      <c r="A1359" s="7" t="s">
        <v>4991</v>
      </c>
      <c r="B1359" s="7" t="s">
        <v>2605</v>
      </c>
    </row>
    <row r="1360" spans="1:2">
      <c r="A1360" s="7" t="s">
        <v>4992</v>
      </c>
      <c r="B1360" s="7" t="s">
        <v>2606</v>
      </c>
    </row>
    <row r="1361" spans="1:2">
      <c r="A1361" s="7" t="s">
        <v>4993</v>
      </c>
      <c r="B1361" s="7" t="s">
        <v>2607</v>
      </c>
    </row>
    <row r="1362" spans="1:2">
      <c r="A1362" s="7" t="s">
        <v>4994</v>
      </c>
      <c r="B1362" s="7" t="s">
        <v>2608</v>
      </c>
    </row>
    <row r="1363" spans="1:2">
      <c r="A1363" s="7" t="s">
        <v>4995</v>
      </c>
      <c r="B1363" s="7" t="s">
        <v>2609</v>
      </c>
    </row>
    <row r="1364" spans="1:2">
      <c r="A1364" s="7" t="s">
        <v>4996</v>
      </c>
      <c r="B1364" s="7" t="s">
        <v>2610</v>
      </c>
    </row>
    <row r="1365" spans="1:2">
      <c r="A1365" s="7" t="s">
        <v>4997</v>
      </c>
      <c r="B1365" s="7" t="s">
        <v>2611</v>
      </c>
    </row>
    <row r="1366" spans="1:2">
      <c r="A1366" s="7" t="s">
        <v>4998</v>
      </c>
      <c r="B1366" s="7" t="s">
        <v>2612</v>
      </c>
    </row>
    <row r="1367" spans="1:2">
      <c r="A1367" s="7" t="s">
        <v>4999</v>
      </c>
      <c r="B1367" s="7" t="s">
        <v>2613</v>
      </c>
    </row>
    <row r="1368" spans="1:2">
      <c r="A1368" s="7" t="s">
        <v>5000</v>
      </c>
      <c r="B1368" s="7" t="s">
        <v>2614</v>
      </c>
    </row>
    <row r="1369" spans="1:2">
      <c r="A1369" s="7" t="s">
        <v>5001</v>
      </c>
      <c r="B1369" s="7" t="s">
        <v>2615</v>
      </c>
    </row>
    <row r="1370" spans="1:2">
      <c r="A1370" s="7" t="s">
        <v>5002</v>
      </c>
      <c r="B1370" s="7" t="s">
        <v>2616</v>
      </c>
    </row>
    <row r="1371" spans="1:2">
      <c r="A1371" s="7" t="s">
        <v>5003</v>
      </c>
      <c r="B1371" s="7" t="s">
        <v>2617</v>
      </c>
    </row>
    <row r="1372" spans="1:2">
      <c r="A1372" s="7" t="s">
        <v>5004</v>
      </c>
      <c r="B1372" s="7" t="s">
        <v>2618</v>
      </c>
    </row>
    <row r="1373" spans="1:2">
      <c r="A1373" s="7" t="s">
        <v>5005</v>
      </c>
      <c r="B1373" s="7" t="s">
        <v>2619</v>
      </c>
    </row>
    <row r="1374" spans="1:2">
      <c r="A1374" s="7" t="s">
        <v>5006</v>
      </c>
      <c r="B1374" s="7" t="s">
        <v>2620</v>
      </c>
    </row>
    <row r="1375" spans="1:2">
      <c r="A1375" s="7" t="s">
        <v>5007</v>
      </c>
      <c r="B1375" s="7" t="s">
        <v>2621</v>
      </c>
    </row>
    <row r="1376" spans="1:2">
      <c r="A1376" s="7" t="s">
        <v>5008</v>
      </c>
      <c r="B1376" s="7" t="s">
        <v>2622</v>
      </c>
    </row>
    <row r="1377" spans="1:2">
      <c r="A1377" s="7" t="s">
        <v>5009</v>
      </c>
      <c r="B1377" s="7" t="s">
        <v>2623</v>
      </c>
    </row>
    <row r="1378" spans="1:2">
      <c r="A1378" s="7" t="s">
        <v>5010</v>
      </c>
      <c r="B1378" s="7" t="s">
        <v>2624</v>
      </c>
    </row>
    <row r="1379" spans="1:2">
      <c r="A1379" s="7" t="s">
        <v>5011</v>
      </c>
      <c r="B1379" s="7" t="s">
        <v>2625</v>
      </c>
    </row>
    <row r="1380" spans="1:2">
      <c r="A1380" s="7" t="s">
        <v>5012</v>
      </c>
      <c r="B1380" s="7" t="s">
        <v>2626</v>
      </c>
    </row>
    <row r="1381" spans="1:2">
      <c r="A1381" s="7" t="s">
        <v>5013</v>
      </c>
      <c r="B1381" s="7" t="s">
        <v>2627</v>
      </c>
    </row>
    <row r="1382" spans="1:2">
      <c r="A1382" s="7" t="s">
        <v>5014</v>
      </c>
      <c r="B1382" s="7" t="s">
        <v>2628</v>
      </c>
    </row>
    <row r="1383" spans="1:2">
      <c r="A1383" s="7" t="s">
        <v>5015</v>
      </c>
      <c r="B1383" s="7" t="s">
        <v>2629</v>
      </c>
    </row>
    <row r="1384" spans="1:2">
      <c r="A1384" s="7" t="s">
        <v>5016</v>
      </c>
      <c r="B1384" s="7" t="s">
        <v>2630</v>
      </c>
    </row>
    <row r="1385" spans="1:2">
      <c r="A1385" s="7" t="s">
        <v>5017</v>
      </c>
      <c r="B1385" s="7" t="s">
        <v>2631</v>
      </c>
    </row>
    <row r="1386" spans="1:2">
      <c r="A1386" s="7" t="s">
        <v>5018</v>
      </c>
      <c r="B1386" s="7" t="s">
        <v>2632</v>
      </c>
    </row>
    <row r="1387" spans="1:2">
      <c r="A1387" s="7" t="s">
        <v>5019</v>
      </c>
      <c r="B1387" s="7" t="s">
        <v>2633</v>
      </c>
    </row>
    <row r="1388" spans="1:2">
      <c r="A1388" s="7" t="s">
        <v>5020</v>
      </c>
      <c r="B1388" s="7" t="s">
        <v>2634</v>
      </c>
    </row>
    <row r="1389" spans="1:2">
      <c r="A1389" s="7" t="s">
        <v>5021</v>
      </c>
      <c r="B1389" s="7" t="s">
        <v>2635</v>
      </c>
    </row>
    <row r="1390" spans="1:2">
      <c r="A1390" s="7" t="s">
        <v>5022</v>
      </c>
      <c r="B1390" s="7" t="s">
        <v>2636</v>
      </c>
    </row>
    <row r="1391" spans="1:2">
      <c r="A1391" s="7" t="s">
        <v>5023</v>
      </c>
      <c r="B1391" s="7" t="s">
        <v>2637</v>
      </c>
    </row>
    <row r="1392" spans="1:2">
      <c r="A1392" s="7" t="s">
        <v>5024</v>
      </c>
      <c r="B1392" s="7" t="s">
        <v>2638</v>
      </c>
    </row>
    <row r="1393" spans="1:2">
      <c r="A1393" s="7" t="s">
        <v>5025</v>
      </c>
      <c r="B1393" s="7" t="s">
        <v>2639</v>
      </c>
    </row>
    <row r="1394" spans="1:2">
      <c r="A1394" s="7" t="s">
        <v>5026</v>
      </c>
      <c r="B1394" s="7" t="s">
        <v>2640</v>
      </c>
    </row>
    <row r="1395" spans="1:2">
      <c r="A1395" s="7" t="s">
        <v>5027</v>
      </c>
      <c r="B1395" s="7" t="s">
        <v>2641</v>
      </c>
    </row>
    <row r="1396" spans="1:2">
      <c r="A1396" s="7" t="s">
        <v>5028</v>
      </c>
      <c r="B1396" s="7" t="s">
        <v>2642</v>
      </c>
    </row>
    <row r="1397" spans="1:2">
      <c r="A1397" s="7" t="s">
        <v>5029</v>
      </c>
      <c r="B1397" s="7" t="s">
        <v>2643</v>
      </c>
    </row>
    <row r="1398" spans="1:2">
      <c r="A1398" s="7" t="s">
        <v>5030</v>
      </c>
      <c r="B1398" s="7" t="s">
        <v>2644</v>
      </c>
    </row>
    <row r="1399" spans="1:2">
      <c r="A1399" s="7" t="s">
        <v>5031</v>
      </c>
      <c r="B1399" s="7" t="s">
        <v>2645</v>
      </c>
    </row>
    <row r="1400" spans="1:2">
      <c r="A1400" s="7" t="s">
        <v>5032</v>
      </c>
      <c r="B1400" s="7" t="s">
        <v>2646</v>
      </c>
    </row>
    <row r="1401" spans="1:2">
      <c r="A1401" s="7" t="s">
        <v>5033</v>
      </c>
      <c r="B1401" s="7" t="s">
        <v>2647</v>
      </c>
    </row>
    <row r="1402" spans="1:2">
      <c r="A1402" s="7" t="s">
        <v>5034</v>
      </c>
      <c r="B1402" s="7" t="s">
        <v>2648</v>
      </c>
    </row>
    <row r="1403" spans="1:2">
      <c r="A1403" s="7" t="s">
        <v>5035</v>
      </c>
      <c r="B1403" s="7" t="s">
        <v>2649</v>
      </c>
    </row>
    <row r="1404" spans="1:2">
      <c r="A1404" s="7" t="s">
        <v>5036</v>
      </c>
      <c r="B1404" s="7" t="s">
        <v>2650</v>
      </c>
    </row>
    <row r="1405" spans="1:2">
      <c r="A1405" s="7" t="s">
        <v>5037</v>
      </c>
      <c r="B1405" s="7" t="s">
        <v>2651</v>
      </c>
    </row>
    <row r="1406" spans="1:2">
      <c r="A1406" s="7" t="s">
        <v>5038</v>
      </c>
      <c r="B1406" s="7" t="s">
        <v>2652</v>
      </c>
    </row>
    <row r="1407" spans="1:2">
      <c r="A1407" s="7" t="s">
        <v>5039</v>
      </c>
      <c r="B1407" s="7" t="s">
        <v>2653</v>
      </c>
    </row>
    <row r="1408" spans="1:2">
      <c r="A1408" s="7" t="s">
        <v>5040</v>
      </c>
      <c r="B1408" s="7" t="s">
        <v>2654</v>
      </c>
    </row>
    <row r="1409" spans="1:2">
      <c r="A1409" s="7" t="s">
        <v>5041</v>
      </c>
      <c r="B1409" s="7" t="s">
        <v>2655</v>
      </c>
    </row>
    <row r="1410" spans="1:2">
      <c r="A1410" s="7" t="s">
        <v>5042</v>
      </c>
      <c r="B1410" s="7" t="s">
        <v>2656</v>
      </c>
    </row>
    <row r="1411" spans="1:2">
      <c r="A1411" s="7" t="s">
        <v>5043</v>
      </c>
      <c r="B1411" s="7" t="s">
        <v>2657</v>
      </c>
    </row>
    <row r="1412" spans="1:2">
      <c r="A1412" s="7" t="s">
        <v>5044</v>
      </c>
      <c r="B1412" s="7" t="s">
        <v>2658</v>
      </c>
    </row>
    <row r="1413" spans="1:2">
      <c r="A1413" s="7" t="s">
        <v>5045</v>
      </c>
      <c r="B1413" s="7" t="s">
        <v>2659</v>
      </c>
    </row>
    <row r="1414" spans="1:2">
      <c r="A1414" s="7" t="s">
        <v>5046</v>
      </c>
      <c r="B1414" s="7" t="s">
        <v>2660</v>
      </c>
    </row>
    <row r="1415" spans="1:2">
      <c r="A1415" s="7" t="s">
        <v>5047</v>
      </c>
      <c r="B1415" s="7" t="s">
        <v>2661</v>
      </c>
    </row>
    <row r="1416" spans="1:2">
      <c r="A1416" s="7" t="s">
        <v>5048</v>
      </c>
      <c r="B1416" s="7" t="s">
        <v>2662</v>
      </c>
    </row>
    <row r="1417" spans="1:2">
      <c r="A1417" s="7" t="s">
        <v>5049</v>
      </c>
      <c r="B1417" s="7" t="s">
        <v>2663</v>
      </c>
    </row>
    <row r="1418" spans="1:2">
      <c r="A1418" s="7" t="s">
        <v>5050</v>
      </c>
      <c r="B1418" s="7" t="s">
        <v>2664</v>
      </c>
    </row>
    <row r="1419" spans="1:2">
      <c r="A1419" s="7" t="s">
        <v>5051</v>
      </c>
      <c r="B1419" s="7" t="s">
        <v>2665</v>
      </c>
    </row>
    <row r="1420" spans="1:2">
      <c r="A1420" s="7" t="s">
        <v>5052</v>
      </c>
      <c r="B1420" s="7" t="s">
        <v>2666</v>
      </c>
    </row>
    <row r="1421" spans="1:2">
      <c r="A1421" s="7" t="s">
        <v>5053</v>
      </c>
      <c r="B1421" s="7" t="s">
        <v>2667</v>
      </c>
    </row>
    <row r="1422" spans="1:2">
      <c r="A1422" s="7" t="s">
        <v>5054</v>
      </c>
      <c r="B1422" s="7" t="s">
        <v>2668</v>
      </c>
    </row>
    <row r="1423" spans="1:2">
      <c r="A1423" s="7" t="s">
        <v>5055</v>
      </c>
      <c r="B1423" s="7" t="s">
        <v>2669</v>
      </c>
    </row>
    <row r="1424" spans="1:2">
      <c r="A1424" s="7" t="s">
        <v>5056</v>
      </c>
      <c r="B1424" s="7" t="s">
        <v>2670</v>
      </c>
    </row>
    <row r="1425" spans="1:2">
      <c r="A1425" s="7" t="s">
        <v>5057</v>
      </c>
      <c r="B1425" s="7" t="s">
        <v>2671</v>
      </c>
    </row>
    <row r="1426" spans="1:2">
      <c r="A1426" s="7" t="s">
        <v>5058</v>
      </c>
      <c r="B1426" s="7" t="s">
        <v>2672</v>
      </c>
    </row>
    <row r="1427" spans="1:2">
      <c r="A1427" s="7" t="s">
        <v>5059</v>
      </c>
      <c r="B1427" s="7" t="s">
        <v>2673</v>
      </c>
    </row>
    <row r="1428" spans="1:2">
      <c r="A1428" s="7" t="s">
        <v>5060</v>
      </c>
      <c r="B1428" s="7" t="s">
        <v>2674</v>
      </c>
    </row>
    <row r="1429" spans="1:2">
      <c r="A1429" s="7" t="s">
        <v>5061</v>
      </c>
      <c r="B1429" s="7" t="s">
        <v>2675</v>
      </c>
    </row>
    <row r="1430" spans="1:2">
      <c r="A1430" s="7" t="s">
        <v>5062</v>
      </c>
      <c r="B1430" s="7" t="s">
        <v>2676</v>
      </c>
    </row>
    <row r="1431" spans="1:2">
      <c r="A1431" s="7" t="s">
        <v>5063</v>
      </c>
      <c r="B1431" s="7" t="s">
        <v>2677</v>
      </c>
    </row>
    <row r="1432" spans="1:2">
      <c r="A1432" s="7" t="s">
        <v>5064</v>
      </c>
      <c r="B1432" s="7" t="s">
        <v>2678</v>
      </c>
    </row>
    <row r="1433" spans="1:2">
      <c r="A1433" s="7" t="s">
        <v>5065</v>
      </c>
      <c r="B1433" s="7" t="s">
        <v>2679</v>
      </c>
    </row>
    <row r="1434" spans="1:2">
      <c r="A1434" s="7" t="s">
        <v>5066</v>
      </c>
      <c r="B1434" s="7" t="s">
        <v>2680</v>
      </c>
    </row>
    <row r="1435" spans="1:2">
      <c r="A1435" s="7" t="s">
        <v>5067</v>
      </c>
      <c r="B1435" s="7" t="s">
        <v>2681</v>
      </c>
    </row>
    <row r="1436" spans="1:2">
      <c r="A1436" s="7" t="s">
        <v>5068</v>
      </c>
      <c r="B1436" s="7" t="s">
        <v>2682</v>
      </c>
    </row>
    <row r="1437" spans="1:2">
      <c r="A1437" s="7" t="s">
        <v>5069</v>
      </c>
      <c r="B1437" s="7" t="s">
        <v>2683</v>
      </c>
    </row>
    <row r="1438" spans="1:2">
      <c r="A1438" s="7" t="s">
        <v>5070</v>
      </c>
      <c r="B1438" s="7" t="s">
        <v>2684</v>
      </c>
    </row>
    <row r="1439" spans="1:2">
      <c r="A1439" s="7" t="s">
        <v>5071</v>
      </c>
      <c r="B1439" s="7" t="s">
        <v>2685</v>
      </c>
    </row>
    <row r="1440" spans="1:2">
      <c r="A1440" s="7" t="s">
        <v>5072</v>
      </c>
      <c r="B1440" s="7" t="s">
        <v>2686</v>
      </c>
    </row>
    <row r="1441" spans="1:2">
      <c r="A1441" s="7" t="s">
        <v>5073</v>
      </c>
      <c r="B1441" s="7" t="s">
        <v>2687</v>
      </c>
    </row>
    <row r="1442" spans="1:2">
      <c r="A1442" s="7" t="s">
        <v>5074</v>
      </c>
      <c r="B1442" s="7" t="s">
        <v>2688</v>
      </c>
    </row>
    <row r="1443" spans="1:2">
      <c r="A1443" s="7" t="s">
        <v>5075</v>
      </c>
      <c r="B1443" s="7" t="s">
        <v>2689</v>
      </c>
    </row>
    <row r="1444" spans="1:2">
      <c r="A1444" s="7" t="s">
        <v>5076</v>
      </c>
      <c r="B1444" s="7" t="s">
        <v>2690</v>
      </c>
    </row>
    <row r="1445" spans="1:2">
      <c r="A1445" s="7" t="s">
        <v>5077</v>
      </c>
      <c r="B1445" s="7" t="s">
        <v>2691</v>
      </c>
    </row>
    <row r="1446" spans="1:2">
      <c r="A1446" s="7" t="s">
        <v>5078</v>
      </c>
      <c r="B1446" s="7" t="s">
        <v>2692</v>
      </c>
    </row>
    <row r="1447" spans="1:2">
      <c r="A1447" s="7" t="s">
        <v>5079</v>
      </c>
      <c r="B1447" s="7" t="s">
        <v>2693</v>
      </c>
    </row>
    <row r="1448" spans="1:2">
      <c r="A1448" s="7" t="s">
        <v>5080</v>
      </c>
      <c r="B1448" s="7" t="s">
        <v>2694</v>
      </c>
    </row>
    <row r="1449" spans="1:2">
      <c r="A1449" s="7" t="s">
        <v>5081</v>
      </c>
      <c r="B1449" s="7" t="s">
        <v>2695</v>
      </c>
    </row>
    <row r="1450" spans="1:2">
      <c r="A1450" s="7" t="s">
        <v>5082</v>
      </c>
      <c r="B1450" s="7" t="s">
        <v>2696</v>
      </c>
    </row>
    <row r="1451" spans="1:2">
      <c r="A1451" s="7" t="s">
        <v>5083</v>
      </c>
      <c r="B1451" s="7" t="s">
        <v>2697</v>
      </c>
    </row>
    <row r="1452" spans="1:2">
      <c r="A1452" s="7" t="s">
        <v>5084</v>
      </c>
      <c r="B1452" s="7" t="s">
        <v>2698</v>
      </c>
    </row>
    <row r="1453" spans="1:2">
      <c r="A1453" s="7" t="s">
        <v>5085</v>
      </c>
      <c r="B1453" s="7" t="s">
        <v>2699</v>
      </c>
    </row>
    <row r="1454" spans="1:2">
      <c r="A1454" s="7" t="s">
        <v>5086</v>
      </c>
      <c r="B1454" s="7" t="s">
        <v>2700</v>
      </c>
    </row>
    <row r="1455" spans="1:2">
      <c r="A1455" s="7" t="s">
        <v>5087</v>
      </c>
      <c r="B1455" s="7" t="s">
        <v>2701</v>
      </c>
    </row>
    <row r="1456" spans="1:2">
      <c r="A1456" s="7" t="s">
        <v>5088</v>
      </c>
      <c r="B1456" s="7" t="s">
        <v>2702</v>
      </c>
    </row>
    <row r="1457" spans="1:2">
      <c r="A1457" s="7" t="s">
        <v>5089</v>
      </c>
      <c r="B1457" s="7" t="s">
        <v>2703</v>
      </c>
    </row>
    <row r="1458" spans="1:2">
      <c r="A1458" s="7" t="s">
        <v>5090</v>
      </c>
      <c r="B1458" s="7" t="s">
        <v>2704</v>
      </c>
    </row>
    <row r="1459" spans="1:2">
      <c r="A1459" s="7" t="s">
        <v>5091</v>
      </c>
      <c r="B1459" s="7" t="s">
        <v>2705</v>
      </c>
    </row>
    <row r="1460" spans="1:2">
      <c r="A1460" s="7" t="s">
        <v>5092</v>
      </c>
      <c r="B1460" s="7" t="s">
        <v>2706</v>
      </c>
    </row>
    <row r="1461" spans="1:2">
      <c r="A1461" s="7" t="s">
        <v>5093</v>
      </c>
      <c r="B1461" s="7" t="s">
        <v>2707</v>
      </c>
    </row>
    <row r="1462" spans="1:2">
      <c r="A1462" s="7" t="s">
        <v>5094</v>
      </c>
      <c r="B1462" s="7" t="s">
        <v>2708</v>
      </c>
    </row>
    <row r="1463" spans="1:2">
      <c r="A1463" s="7" t="s">
        <v>5095</v>
      </c>
      <c r="B1463" s="7" t="s">
        <v>2709</v>
      </c>
    </row>
    <row r="1464" spans="1:2">
      <c r="A1464" s="7" t="s">
        <v>5096</v>
      </c>
      <c r="B1464" s="7" t="s">
        <v>2710</v>
      </c>
    </row>
    <row r="1465" spans="1:2">
      <c r="A1465" s="7" t="s">
        <v>5097</v>
      </c>
      <c r="B1465" s="7" t="s">
        <v>2711</v>
      </c>
    </row>
    <row r="1466" spans="1:2">
      <c r="A1466" s="7" t="s">
        <v>5098</v>
      </c>
      <c r="B1466" s="7" t="s">
        <v>2712</v>
      </c>
    </row>
    <row r="1467" spans="1:2">
      <c r="A1467" s="7" t="s">
        <v>5099</v>
      </c>
      <c r="B1467" s="7" t="s">
        <v>2713</v>
      </c>
    </row>
    <row r="1468" spans="1:2">
      <c r="A1468" s="7" t="s">
        <v>5100</v>
      </c>
      <c r="B1468" s="7" t="s">
        <v>2714</v>
      </c>
    </row>
    <row r="1469" spans="1:2">
      <c r="A1469" s="7" t="s">
        <v>5101</v>
      </c>
      <c r="B1469" s="7" t="s">
        <v>2715</v>
      </c>
    </row>
    <row r="1470" spans="1:2">
      <c r="A1470" s="7" t="s">
        <v>5102</v>
      </c>
      <c r="B1470" s="7" t="s">
        <v>2716</v>
      </c>
    </row>
    <row r="1471" spans="1:2">
      <c r="A1471" s="7" t="s">
        <v>5103</v>
      </c>
      <c r="B1471" s="7" t="s">
        <v>2717</v>
      </c>
    </row>
    <row r="1472" spans="1:2">
      <c r="A1472" s="7" t="s">
        <v>5104</v>
      </c>
      <c r="B1472" s="7" t="s">
        <v>2718</v>
      </c>
    </row>
    <row r="1473" spans="1:2">
      <c r="A1473" s="7" t="s">
        <v>5105</v>
      </c>
      <c r="B1473" s="7" t="s">
        <v>2719</v>
      </c>
    </row>
    <row r="1474" spans="1:2">
      <c r="A1474" s="7" t="s">
        <v>5106</v>
      </c>
      <c r="B1474" s="7" t="s">
        <v>2720</v>
      </c>
    </row>
    <row r="1475" spans="1:2">
      <c r="A1475" s="7" t="s">
        <v>5107</v>
      </c>
      <c r="B1475" s="7" t="s">
        <v>2721</v>
      </c>
    </row>
    <row r="1476" spans="1:2">
      <c r="A1476" s="7" t="s">
        <v>5108</v>
      </c>
      <c r="B1476" s="7" t="s">
        <v>2722</v>
      </c>
    </row>
    <row r="1477" spans="1:2">
      <c r="A1477" s="7" t="s">
        <v>5109</v>
      </c>
      <c r="B1477" s="7" t="s">
        <v>2723</v>
      </c>
    </row>
    <row r="1478" spans="1:2">
      <c r="A1478" s="7" t="s">
        <v>5110</v>
      </c>
      <c r="B1478" s="7" t="s">
        <v>2724</v>
      </c>
    </row>
    <row r="1479" spans="1:2">
      <c r="A1479" s="7" t="s">
        <v>5111</v>
      </c>
      <c r="B1479" s="7" t="s">
        <v>2725</v>
      </c>
    </row>
    <row r="1480" spans="1:2">
      <c r="A1480" s="7" t="s">
        <v>5112</v>
      </c>
      <c r="B1480" s="7" t="s">
        <v>2726</v>
      </c>
    </row>
    <row r="1481" spans="1:2">
      <c r="A1481" s="7" t="s">
        <v>5113</v>
      </c>
      <c r="B1481" s="7" t="s">
        <v>2727</v>
      </c>
    </row>
    <row r="1482" spans="1:2">
      <c r="A1482" s="7" t="s">
        <v>5114</v>
      </c>
      <c r="B1482" s="7" t="s">
        <v>2728</v>
      </c>
    </row>
    <row r="1483" spans="1:2">
      <c r="A1483" s="7" t="s">
        <v>5115</v>
      </c>
      <c r="B1483" s="7" t="s">
        <v>2729</v>
      </c>
    </row>
    <row r="1484" spans="1:2">
      <c r="A1484" s="7" t="s">
        <v>5116</v>
      </c>
      <c r="B1484" s="7" t="s">
        <v>2730</v>
      </c>
    </row>
    <row r="1485" spans="1:2">
      <c r="A1485" s="7" t="s">
        <v>5117</v>
      </c>
      <c r="B1485" s="7" t="s">
        <v>2731</v>
      </c>
    </row>
    <row r="1486" spans="1:2">
      <c r="A1486" s="7" t="s">
        <v>5118</v>
      </c>
      <c r="B1486" s="7" t="s">
        <v>2732</v>
      </c>
    </row>
    <row r="1487" spans="1:2">
      <c r="A1487" s="7" t="s">
        <v>5119</v>
      </c>
      <c r="B1487" s="7" t="s">
        <v>2733</v>
      </c>
    </row>
    <row r="1488" spans="1:2">
      <c r="A1488" s="7" t="s">
        <v>5120</v>
      </c>
      <c r="B1488" s="7" t="s">
        <v>2734</v>
      </c>
    </row>
    <row r="1489" spans="1:2">
      <c r="A1489" s="7" t="s">
        <v>5121</v>
      </c>
      <c r="B1489" s="7" t="s">
        <v>2735</v>
      </c>
    </row>
    <row r="1490" spans="1:2">
      <c r="A1490" s="7" t="s">
        <v>5122</v>
      </c>
      <c r="B1490" s="7" t="s">
        <v>2736</v>
      </c>
    </row>
    <row r="1491" spans="1:2">
      <c r="A1491" s="7" t="s">
        <v>5123</v>
      </c>
      <c r="B1491" s="7" t="s">
        <v>2737</v>
      </c>
    </row>
    <row r="1492" spans="1:2">
      <c r="A1492" s="7" t="s">
        <v>5124</v>
      </c>
      <c r="B1492" s="7" t="s">
        <v>2738</v>
      </c>
    </row>
    <row r="1493" spans="1:2">
      <c r="A1493" s="7" t="s">
        <v>5125</v>
      </c>
      <c r="B1493" s="7" t="s">
        <v>2739</v>
      </c>
    </row>
    <row r="1494" spans="1:2">
      <c r="A1494" s="7" t="s">
        <v>5126</v>
      </c>
      <c r="B1494" s="7" t="s">
        <v>2740</v>
      </c>
    </row>
    <row r="1495" spans="1:2">
      <c r="A1495" s="7" t="s">
        <v>5127</v>
      </c>
      <c r="B1495" s="7" t="s">
        <v>2741</v>
      </c>
    </row>
    <row r="1496" spans="1:2">
      <c r="A1496" s="7" t="s">
        <v>5128</v>
      </c>
      <c r="B1496" s="7" t="s">
        <v>2742</v>
      </c>
    </row>
    <row r="1497" spans="1:2">
      <c r="A1497" s="7" t="s">
        <v>5129</v>
      </c>
      <c r="B1497" s="7" t="s">
        <v>2743</v>
      </c>
    </row>
    <row r="1498" spans="1:2">
      <c r="A1498" s="7" t="s">
        <v>5130</v>
      </c>
      <c r="B1498" s="7" t="s">
        <v>2744</v>
      </c>
    </row>
    <row r="1499" spans="1:2">
      <c r="A1499" s="7" t="s">
        <v>5131</v>
      </c>
      <c r="B1499" s="7" t="s">
        <v>2745</v>
      </c>
    </row>
    <row r="1500" spans="1:2">
      <c r="A1500" s="7" t="s">
        <v>5132</v>
      </c>
      <c r="B1500" s="7" t="s">
        <v>2746</v>
      </c>
    </row>
    <row r="1501" spans="1:2">
      <c r="A1501" s="7" t="s">
        <v>5133</v>
      </c>
      <c r="B1501" s="7" t="s">
        <v>2747</v>
      </c>
    </row>
    <row r="1502" spans="1:2">
      <c r="A1502" s="7" t="s">
        <v>5134</v>
      </c>
      <c r="B1502" s="7" t="s">
        <v>2748</v>
      </c>
    </row>
    <row r="1503" spans="1:2">
      <c r="A1503" s="7" t="s">
        <v>5135</v>
      </c>
      <c r="B1503" s="7" t="s">
        <v>2749</v>
      </c>
    </row>
    <row r="1504" spans="1:2">
      <c r="A1504" s="7" t="s">
        <v>5136</v>
      </c>
      <c r="B1504" s="7" t="s">
        <v>2750</v>
      </c>
    </row>
    <row r="1505" spans="1:2">
      <c r="A1505" s="7" t="s">
        <v>5137</v>
      </c>
      <c r="B1505" s="7" t="s">
        <v>2751</v>
      </c>
    </row>
    <row r="1506" spans="1:2">
      <c r="A1506" s="7" t="s">
        <v>5138</v>
      </c>
      <c r="B1506" s="7" t="s">
        <v>2752</v>
      </c>
    </row>
    <row r="1507" spans="1:2">
      <c r="A1507" s="7" t="s">
        <v>5139</v>
      </c>
      <c r="B1507" s="7" t="s">
        <v>2753</v>
      </c>
    </row>
    <row r="1508" spans="1:2">
      <c r="A1508" s="7" t="s">
        <v>5140</v>
      </c>
      <c r="B1508" s="7" t="s">
        <v>2754</v>
      </c>
    </row>
    <row r="1509" spans="1:2">
      <c r="A1509" s="7" t="s">
        <v>5141</v>
      </c>
      <c r="B1509" s="7" t="s">
        <v>2755</v>
      </c>
    </row>
    <row r="1510" spans="1:2">
      <c r="A1510" s="7" t="s">
        <v>5142</v>
      </c>
      <c r="B1510" s="7" t="s">
        <v>2756</v>
      </c>
    </row>
    <row r="1511" spans="1:2">
      <c r="A1511" s="7" t="s">
        <v>5143</v>
      </c>
      <c r="B1511" s="7" t="s">
        <v>2757</v>
      </c>
    </row>
    <row r="1512" spans="1:2">
      <c r="A1512" s="7" t="s">
        <v>5144</v>
      </c>
      <c r="B1512" s="7" t="s">
        <v>2758</v>
      </c>
    </row>
    <row r="1513" spans="1:2">
      <c r="A1513" s="7" t="s">
        <v>5145</v>
      </c>
      <c r="B1513" s="7" t="s">
        <v>2759</v>
      </c>
    </row>
    <row r="1514" spans="1:2">
      <c r="A1514" s="7" t="s">
        <v>5146</v>
      </c>
      <c r="B1514" s="7" t="s">
        <v>2760</v>
      </c>
    </row>
    <row r="1515" spans="1:2">
      <c r="A1515" s="7" t="s">
        <v>5147</v>
      </c>
      <c r="B1515" s="7" t="s">
        <v>2761</v>
      </c>
    </row>
    <row r="1516" spans="1:2">
      <c r="A1516" s="7" t="s">
        <v>5148</v>
      </c>
      <c r="B1516" s="7" t="s">
        <v>2762</v>
      </c>
    </row>
    <row r="1517" spans="1:2">
      <c r="A1517" s="7" t="s">
        <v>5149</v>
      </c>
      <c r="B1517" s="7" t="s">
        <v>2763</v>
      </c>
    </row>
    <row r="1518" spans="1:2">
      <c r="A1518" s="7" t="s">
        <v>5150</v>
      </c>
      <c r="B1518" s="7" t="s">
        <v>2764</v>
      </c>
    </row>
    <row r="1519" spans="1:2">
      <c r="A1519" s="7" t="s">
        <v>5151</v>
      </c>
      <c r="B1519" s="7" t="s">
        <v>2765</v>
      </c>
    </row>
    <row r="1520" spans="1:2">
      <c r="A1520" s="7" t="s">
        <v>5152</v>
      </c>
      <c r="B1520" s="7" t="s">
        <v>2766</v>
      </c>
    </row>
    <row r="1521" spans="1:2">
      <c r="A1521" s="7" t="s">
        <v>5153</v>
      </c>
      <c r="B1521" s="7" t="s">
        <v>2767</v>
      </c>
    </row>
    <row r="1522" spans="1:2">
      <c r="A1522" s="7" t="s">
        <v>5154</v>
      </c>
      <c r="B1522" s="7" t="s">
        <v>2768</v>
      </c>
    </row>
    <row r="1523" spans="1:2">
      <c r="A1523" s="7" t="s">
        <v>5155</v>
      </c>
      <c r="B1523" s="7" t="s">
        <v>2769</v>
      </c>
    </row>
    <row r="1524" spans="1:2">
      <c r="A1524" s="7" t="s">
        <v>5156</v>
      </c>
      <c r="B1524" s="7" t="s">
        <v>2770</v>
      </c>
    </row>
    <row r="1525" spans="1:2">
      <c r="A1525" s="7" t="s">
        <v>5157</v>
      </c>
      <c r="B1525" s="7" t="s">
        <v>2771</v>
      </c>
    </row>
    <row r="1526" spans="1:2">
      <c r="A1526" s="7" t="s">
        <v>5158</v>
      </c>
      <c r="B1526" s="7" t="s">
        <v>2772</v>
      </c>
    </row>
    <row r="1527" spans="1:2">
      <c r="A1527" s="7" t="s">
        <v>5159</v>
      </c>
      <c r="B1527" s="7" t="s">
        <v>2773</v>
      </c>
    </row>
    <row r="1528" spans="1:2">
      <c r="A1528" s="7" t="s">
        <v>5160</v>
      </c>
      <c r="B1528" s="7" t="s">
        <v>2774</v>
      </c>
    </row>
    <row r="1529" spans="1:2">
      <c r="A1529" s="7" t="s">
        <v>5161</v>
      </c>
      <c r="B1529" s="7" t="s">
        <v>2775</v>
      </c>
    </row>
    <row r="1530" spans="1:2">
      <c r="A1530" s="7" t="s">
        <v>5162</v>
      </c>
      <c r="B1530" s="7" t="s">
        <v>2776</v>
      </c>
    </row>
    <row r="1531" spans="1:2">
      <c r="A1531" s="7" t="s">
        <v>5163</v>
      </c>
      <c r="B1531" s="7" t="s">
        <v>2777</v>
      </c>
    </row>
    <row r="1532" spans="1:2">
      <c r="A1532" s="7" t="s">
        <v>5164</v>
      </c>
      <c r="B1532" s="7" t="s">
        <v>2778</v>
      </c>
    </row>
    <row r="1533" spans="1:2">
      <c r="A1533" s="7" t="s">
        <v>5165</v>
      </c>
      <c r="B1533" s="7" t="s">
        <v>2779</v>
      </c>
    </row>
    <row r="1534" spans="1:2">
      <c r="A1534" s="7" t="s">
        <v>5166</v>
      </c>
      <c r="B1534" s="7" t="s">
        <v>2780</v>
      </c>
    </row>
    <row r="1535" spans="1:2">
      <c r="A1535" s="7" t="s">
        <v>5167</v>
      </c>
      <c r="B1535" s="7" t="s">
        <v>2781</v>
      </c>
    </row>
    <row r="1536" spans="1:2">
      <c r="A1536" s="7" t="s">
        <v>5168</v>
      </c>
      <c r="B1536" s="7" t="s">
        <v>2782</v>
      </c>
    </row>
    <row r="1537" spans="1:2">
      <c r="A1537" s="7" t="s">
        <v>5169</v>
      </c>
      <c r="B1537" s="7" t="s">
        <v>2783</v>
      </c>
    </row>
    <row r="1538" spans="1:2">
      <c r="A1538" s="7" t="s">
        <v>5170</v>
      </c>
      <c r="B1538" s="7" t="s">
        <v>2784</v>
      </c>
    </row>
    <row r="1539" spans="1:2">
      <c r="A1539" s="7" t="s">
        <v>5171</v>
      </c>
      <c r="B1539" s="7" t="s">
        <v>2785</v>
      </c>
    </row>
    <row r="1540" spans="1:2">
      <c r="A1540" s="7" t="s">
        <v>5172</v>
      </c>
      <c r="B1540" s="7" t="s">
        <v>2786</v>
      </c>
    </row>
    <row r="1541" spans="1:2">
      <c r="A1541" s="7" t="s">
        <v>5173</v>
      </c>
      <c r="B1541" s="7" t="s">
        <v>2787</v>
      </c>
    </row>
    <row r="1542" spans="1:2">
      <c r="A1542" s="7" t="s">
        <v>5174</v>
      </c>
      <c r="B1542" s="7" t="s">
        <v>2788</v>
      </c>
    </row>
    <row r="1543" spans="1:2">
      <c r="A1543" s="7" t="s">
        <v>5175</v>
      </c>
      <c r="B1543" s="7" t="s">
        <v>2789</v>
      </c>
    </row>
    <row r="1544" spans="1:2">
      <c r="A1544" s="7" t="s">
        <v>5176</v>
      </c>
      <c r="B1544" s="7" t="s">
        <v>2790</v>
      </c>
    </row>
    <row r="1545" spans="1:2">
      <c r="A1545" s="7" t="s">
        <v>5177</v>
      </c>
      <c r="B1545" s="7" t="s">
        <v>2791</v>
      </c>
    </row>
    <row r="1546" spans="1:2">
      <c r="A1546" s="7" t="s">
        <v>5178</v>
      </c>
      <c r="B1546" s="7" t="s">
        <v>2792</v>
      </c>
    </row>
    <row r="1547" spans="1:2">
      <c r="A1547" s="7" t="s">
        <v>5179</v>
      </c>
      <c r="B1547" s="7" t="s">
        <v>2793</v>
      </c>
    </row>
    <row r="1548" spans="1:2">
      <c r="A1548" s="7" t="s">
        <v>5180</v>
      </c>
      <c r="B1548" s="7" t="s">
        <v>2794</v>
      </c>
    </row>
    <row r="1549" spans="1:2">
      <c r="A1549" s="7" t="s">
        <v>5181</v>
      </c>
      <c r="B1549" s="7" t="s">
        <v>2795</v>
      </c>
    </row>
    <row r="1550" spans="1:2">
      <c r="A1550" s="7" t="s">
        <v>5182</v>
      </c>
      <c r="B1550" s="7" t="s">
        <v>2796</v>
      </c>
    </row>
    <row r="1551" spans="1:2">
      <c r="A1551" s="7" t="s">
        <v>5183</v>
      </c>
      <c r="B1551" s="7" t="s">
        <v>2797</v>
      </c>
    </row>
    <row r="1552" spans="1:2">
      <c r="A1552" s="7" t="s">
        <v>5184</v>
      </c>
      <c r="B1552" s="7" t="s">
        <v>2798</v>
      </c>
    </row>
    <row r="1553" spans="1:2">
      <c r="A1553" s="7" t="s">
        <v>5185</v>
      </c>
      <c r="B1553" s="7" t="s">
        <v>2799</v>
      </c>
    </row>
    <row r="1554" spans="1:2">
      <c r="A1554" s="7" t="s">
        <v>5186</v>
      </c>
      <c r="B1554" s="7" t="s">
        <v>2800</v>
      </c>
    </row>
    <row r="1555" spans="1:2">
      <c r="A1555" s="7" t="s">
        <v>5187</v>
      </c>
      <c r="B1555" s="7" t="s">
        <v>2801</v>
      </c>
    </row>
    <row r="1556" spans="1:2">
      <c r="A1556" s="7" t="s">
        <v>5188</v>
      </c>
      <c r="B1556" s="7" t="s">
        <v>2802</v>
      </c>
    </row>
    <row r="1557" spans="1:2">
      <c r="A1557" s="7" t="s">
        <v>5189</v>
      </c>
      <c r="B1557" s="7" t="s">
        <v>2803</v>
      </c>
    </row>
    <row r="1558" spans="1:2">
      <c r="A1558" s="7" t="s">
        <v>5190</v>
      </c>
      <c r="B1558" s="7" t="s">
        <v>2804</v>
      </c>
    </row>
    <row r="1559" spans="1:2">
      <c r="A1559" s="7" t="s">
        <v>5191</v>
      </c>
      <c r="B1559" s="7" t="s">
        <v>2805</v>
      </c>
    </row>
    <row r="1560" spans="1:2">
      <c r="A1560" s="7" t="s">
        <v>5192</v>
      </c>
      <c r="B1560" s="7" t="s">
        <v>2806</v>
      </c>
    </row>
    <row r="1561" spans="1:2">
      <c r="A1561" s="7" t="s">
        <v>5193</v>
      </c>
      <c r="B1561" s="7" t="s">
        <v>2807</v>
      </c>
    </row>
    <row r="1562" spans="1:2">
      <c r="A1562" s="7" t="s">
        <v>5194</v>
      </c>
      <c r="B1562" s="7" t="s">
        <v>2808</v>
      </c>
    </row>
    <row r="1563" spans="1:2">
      <c r="A1563" s="7" t="s">
        <v>5195</v>
      </c>
      <c r="B1563" s="7" t="s">
        <v>2809</v>
      </c>
    </row>
    <row r="1564" spans="1:2">
      <c r="A1564" s="7" t="s">
        <v>5196</v>
      </c>
      <c r="B1564" s="7" t="s">
        <v>2810</v>
      </c>
    </row>
    <row r="1565" spans="1:2">
      <c r="A1565" s="7" t="s">
        <v>5197</v>
      </c>
      <c r="B1565" s="7" t="s">
        <v>2811</v>
      </c>
    </row>
    <row r="1566" spans="1:2">
      <c r="A1566" s="7" t="s">
        <v>5198</v>
      </c>
      <c r="B1566" s="7" t="s">
        <v>2812</v>
      </c>
    </row>
    <row r="1567" spans="1:2">
      <c r="A1567" s="7" t="s">
        <v>5199</v>
      </c>
      <c r="B1567" s="7" t="s">
        <v>2813</v>
      </c>
    </row>
    <row r="1568" spans="1:2">
      <c r="A1568" s="7" t="s">
        <v>5200</v>
      </c>
      <c r="B1568" s="7" t="s">
        <v>2814</v>
      </c>
    </row>
    <row r="1569" spans="1:2">
      <c r="A1569" s="7" t="s">
        <v>5201</v>
      </c>
      <c r="B1569" s="7" t="s">
        <v>2815</v>
      </c>
    </row>
    <row r="1570" spans="1:2">
      <c r="A1570" s="7" t="s">
        <v>5202</v>
      </c>
      <c r="B1570" s="7" t="s">
        <v>2816</v>
      </c>
    </row>
    <row r="1571" spans="1:2">
      <c r="A1571" s="7" t="s">
        <v>5203</v>
      </c>
      <c r="B1571" s="7" t="s">
        <v>2817</v>
      </c>
    </row>
    <row r="1572" spans="1:2">
      <c r="A1572" s="7" t="s">
        <v>5204</v>
      </c>
      <c r="B1572" s="7" t="s">
        <v>2818</v>
      </c>
    </row>
    <row r="1573" spans="1:2">
      <c r="A1573" s="7" t="s">
        <v>5205</v>
      </c>
      <c r="B1573" s="7" t="s">
        <v>2819</v>
      </c>
    </row>
    <row r="1574" spans="1:2">
      <c r="A1574" s="7" t="s">
        <v>5206</v>
      </c>
      <c r="B1574" s="7" t="s">
        <v>2820</v>
      </c>
    </row>
    <row r="1575" spans="1:2">
      <c r="A1575" s="7" t="s">
        <v>5207</v>
      </c>
      <c r="B1575" s="7" t="s">
        <v>2821</v>
      </c>
    </row>
    <row r="1576" spans="1:2">
      <c r="A1576" s="7" t="s">
        <v>5208</v>
      </c>
      <c r="B1576" s="7" t="s">
        <v>2822</v>
      </c>
    </row>
    <row r="1577" spans="1:2">
      <c r="A1577" s="7" t="s">
        <v>5209</v>
      </c>
      <c r="B1577" s="7" t="s">
        <v>2823</v>
      </c>
    </row>
    <row r="1578" spans="1:2">
      <c r="A1578" s="7" t="s">
        <v>5210</v>
      </c>
      <c r="B1578" s="7" t="s">
        <v>2824</v>
      </c>
    </row>
    <row r="1579" spans="1:2">
      <c r="A1579" s="7" t="s">
        <v>5211</v>
      </c>
      <c r="B1579" s="7" t="s">
        <v>2825</v>
      </c>
    </row>
    <row r="1580" spans="1:2">
      <c r="A1580" s="7" t="s">
        <v>5212</v>
      </c>
      <c r="B1580" s="7" t="s">
        <v>2826</v>
      </c>
    </row>
    <row r="1581" spans="1:2">
      <c r="A1581" s="7" t="s">
        <v>5213</v>
      </c>
      <c r="B1581" s="7" t="s">
        <v>2827</v>
      </c>
    </row>
    <row r="1582" spans="1:2">
      <c r="A1582" s="7" t="s">
        <v>5214</v>
      </c>
      <c r="B1582" s="7" t="s">
        <v>2828</v>
      </c>
    </row>
    <row r="1583" spans="1:2">
      <c r="A1583" s="7" t="s">
        <v>5215</v>
      </c>
      <c r="B1583" s="7" t="s">
        <v>2829</v>
      </c>
    </row>
    <row r="1584" spans="1:2">
      <c r="A1584" s="7" t="s">
        <v>5216</v>
      </c>
      <c r="B1584" s="7" t="s">
        <v>2830</v>
      </c>
    </row>
    <row r="1585" spans="1:2">
      <c r="A1585" s="7" t="s">
        <v>5217</v>
      </c>
      <c r="B1585" s="7" t="s">
        <v>2831</v>
      </c>
    </row>
    <row r="1586" spans="1:2">
      <c r="A1586" s="7" t="s">
        <v>5218</v>
      </c>
      <c r="B1586" s="7" t="s">
        <v>2832</v>
      </c>
    </row>
    <row r="1587" spans="1:2">
      <c r="A1587" s="7" t="s">
        <v>5219</v>
      </c>
      <c r="B1587" s="7" t="s">
        <v>2833</v>
      </c>
    </row>
    <row r="1588" spans="1:2">
      <c r="A1588" s="7" t="s">
        <v>5220</v>
      </c>
      <c r="B1588" s="7" t="s">
        <v>2834</v>
      </c>
    </row>
    <row r="1589" spans="1:2">
      <c r="A1589" s="7" t="s">
        <v>5221</v>
      </c>
      <c r="B1589" s="7" t="s">
        <v>2835</v>
      </c>
    </row>
    <row r="1590" spans="1:2">
      <c r="A1590" s="7" t="s">
        <v>5222</v>
      </c>
      <c r="B1590" s="7" t="s">
        <v>2836</v>
      </c>
    </row>
    <row r="1591" spans="1:2">
      <c r="A1591" s="7" t="s">
        <v>5223</v>
      </c>
      <c r="B1591" s="7" t="s">
        <v>2837</v>
      </c>
    </row>
    <row r="1592" spans="1:2">
      <c r="A1592" s="7" t="s">
        <v>5224</v>
      </c>
      <c r="B1592" s="7" t="s">
        <v>2838</v>
      </c>
    </row>
    <row r="1593" spans="1:2">
      <c r="A1593" s="7" t="s">
        <v>5225</v>
      </c>
      <c r="B1593" s="7" t="s">
        <v>2839</v>
      </c>
    </row>
    <row r="1594" spans="1:2">
      <c r="A1594" s="7" t="s">
        <v>5226</v>
      </c>
      <c r="B1594" s="7" t="s">
        <v>2840</v>
      </c>
    </row>
    <row r="1595" spans="1:2">
      <c r="A1595" s="7" t="s">
        <v>5227</v>
      </c>
      <c r="B1595" s="7" t="s">
        <v>2841</v>
      </c>
    </row>
    <row r="1596" spans="1:2">
      <c r="A1596" s="7" t="s">
        <v>5228</v>
      </c>
      <c r="B1596" s="7" t="s">
        <v>2842</v>
      </c>
    </row>
    <row r="1597" spans="1:2">
      <c r="A1597" s="7" t="s">
        <v>5229</v>
      </c>
      <c r="B1597" s="7" t="s">
        <v>2843</v>
      </c>
    </row>
    <row r="1598" spans="1:2">
      <c r="A1598" s="7" t="s">
        <v>5230</v>
      </c>
      <c r="B1598" s="7" t="s">
        <v>2844</v>
      </c>
    </row>
    <row r="1599" spans="1:2">
      <c r="A1599" s="7" t="s">
        <v>5231</v>
      </c>
      <c r="B1599" s="7" t="s">
        <v>2845</v>
      </c>
    </row>
    <row r="1600" spans="1:2">
      <c r="A1600" s="7" t="s">
        <v>5232</v>
      </c>
      <c r="B1600" s="7" t="s">
        <v>2846</v>
      </c>
    </row>
    <row r="1601" spans="1:2">
      <c r="A1601" s="7" t="s">
        <v>5233</v>
      </c>
      <c r="B1601" s="7" t="s">
        <v>2847</v>
      </c>
    </row>
    <row r="1602" spans="1:2">
      <c r="A1602" s="7" t="s">
        <v>5234</v>
      </c>
      <c r="B1602" s="7" t="s">
        <v>2848</v>
      </c>
    </row>
    <row r="1603" spans="1:2">
      <c r="A1603" s="7" t="s">
        <v>5235</v>
      </c>
      <c r="B1603" s="7" t="s">
        <v>2849</v>
      </c>
    </row>
    <row r="1604" spans="1:2">
      <c r="A1604" s="7" t="s">
        <v>5236</v>
      </c>
      <c r="B1604" s="7" t="s">
        <v>2850</v>
      </c>
    </row>
    <row r="1605" spans="1:2">
      <c r="A1605" s="7" t="s">
        <v>5237</v>
      </c>
      <c r="B1605" s="7" t="s">
        <v>2851</v>
      </c>
    </row>
    <row r="1606" spans="1:2">
      <c r="A1606" s="7" t="s">
        <v>5238</v>
      </c>
      <c r="B1606" s="7" t="s">
        <v>2852</v>
      </c>
    </row>
    <row r="1607" spans="1:2">
      <c r="A1607" s="7" t="s">
        <v>5239</v>
      </c>
      <c r="B1607" s="7" t="s">
        <v>2853</v>
      </c>
    </row>
    <row r="1608" spans="1:2">
      <c r="A1608" s="7" t="s">
        <v>5240</v>
      </c>
      <c r="B1608" s="7" t="s">
        <v>2854</v>
      </c>
    </row>
    <row r="1609" spans="1:2">
      <c r="A1609" s="7" t="s">
        <v>5241</v>
      </c>
      <c r="B1609" s="7" t="s">
        <v>2855</v>
      </c>
    </row>
    <row r="1610" spans="1:2">
      <c r="A1610" s="7" t="s">
        <v>5242</v>
      </c>
      <c r="B1610" s="7" t="s">
        <v>2856</v>
      </c>
    </row>
    <row r="1611" spans="1:2">
      <c r="A1611" s="7" t="s">
        <v>5243</v>
      </c>
      <c r="B1611" s="7" t="s">
        <v>2857</v>
      </c>
    </row>
    <row r="1612" spans="1:2">
      <c r="A1612" s="7" t="s">
        <v>5244</v>
      </c>
      <c r="B1612" s="7" t="s">
        <v>2858</v>
      </c>
    </row>
    <row r="1613" spans="1:2">
      <c r="A1613" s="7" t="s">
        <v>5245</v>
      </c>
      <c r="B1613" s="7" t="s">
        <v>2859</v>
      </c>
    </row>
    <row r="1614" spans="1:2">
      <c r="A1614" s="7" t="s">
        <v>5246</v>
      </c>
      <c r="B1614" s="7" t="s">
        <v>2860</v>
      </c>
    </row>
    <row r="1615" spans="1:2">
      <c r="A1615" s="7" t="s">
        <v>5247</v>
      </c>
      <c r="B1615" s="7" t="s">
        <v>2861</v>
      </c>
    </row>
    <row r="1616" spans="1:2">
      <c r="A1616" s="7" t="s">
        <v>5248</v>
      </c>
      <c r="B1616" s="7" t="s">
        <v>2862</v>
      </c>
    </row>
    <row r="1617" spans="1:2">
      <c r="A1617" s="7" t="s">
        <v>5249</v>
      </c>
      <c r="B1617" s="7" t="s">
        <v>2863</v>
      </c>
    </row>
    <row r="1618" spans="1:2">
      <c r="A1618" s="7" t="s">
        <v>5250</v>
      </c>
      <c r="B1618" s="7" t="s">
        <v>2864</v>
      </c>
    </row>
    <row r="1619" spans="1:2">
      <c r="A1619" s="7" t="s">
        <v>5251</v>
      </c>
      <c r="B1619" s="7" t="s">
        <v>2865</v>
      </c>
    </row>
    <row r="1620" spans="1:2">
      <c r="A1620" s="7" t="s">
        <v>5252</v>
      </c>
      <c r="B1620" s="7" t="s">
        <v>2866</v>
      </c>
    </row>
    <row r="1621" spans="1:2">
      <c r="A1621" s="7" t="s">
        <v>5253</v>
      </c>
      <c r="B1621" s="7" t="s">
        <v>2867</v>
      </c>
    </row>
    <row r="1622" spans="1:2">
      <c r="A1622" s="7" t="s">
        <v>5254</v>
      </c>
      <c r="B1622" s="7" t="s">
        <v>2868</v>
      </c>
    </row>
    <row r="1623" spans="1:2">
      <c r="A1623" s="7" t="s">
        <v>5255</v>
      </c>
      <c r="B1623" s="7" t="s">
        <v>2869</v>
      </c>
    </row>
    <row r="1624" spans="1:2">
      <c r="A1624" s="7" t="s">
        <v>5256</v>
      </c>
      <c r="B1624" s="7" t="s">
        <v>2870</v>
      </c>
    </row>
    <row r="1625" spans="1:2">
      <c r="A1625" s="7" t="s">
        <v>5257</v>
      </c>
      <c r="B1625" s="7" t="s">
        <v>2871</v>
      </c>
    </row>
    <row r="1626" spans="1:2">
      <c r="A1626" s="7" t="s">
        <v>5258</v>
      </c>
      <c r="B1626" s="7" t="s">
        <v>2872</v>
      </c>
    </row>
    <row r="1627" spans="1:2">
      <c r="A1627" s="7" t="s">
        <v>5259</v>
      </c>
      <c r="B1627" s="7" t="s">
        <v>2873</v>
      </c>
    </row>
    <row r="1628" spans="1:2">
      <c r="A1628" s="7" t="s">
        <v>5260</v>
      </c>
      <c r="B1628" s="7" t="s">
        <v>2874</v>
      </c>
    </row>
    <row r="1629" spans="1:2">
      <c r="A1629" s="7" t="s">
        <v>5261</v>
      </c>
      <c r="B1629" s="7" t="s">
        <v>2875</v>
      </c>
    </row>
    <row r="1630" spans="1:2">
      <c r="A1630" s="7" t="s">
        <v>5262</v>
      </c>
      <c r="B1630" s="7" t="s">
        <v>2876</v>
      </c>
    </row>
    <row r="1631" spans="1:2">
      <c r="A1631" s="7" t="s">
        <v>5263</v>
      </c>
      <c r="B1631" s="7" t="s">
        <v>2877</v>
      </c>
    </row>
    <row r="1632" spans="1:2">
      <c r="A1632" s="7" t="s">
        <v>5264</v>
      </c>
      <c r="B1632" s="7" t="s">
        <v>2878</v>
      </c>
    </row>
    <row r="1633" spans="1:2">
      <c r="A1633" s="7" t="s">
        <v>5265</v>
      </c>
      <c r="B1633" s="7" t="s">
        <v>2879</v>
      </c>
    </row>
    <row r="1634" spans="1:2">
      <c r="A1634" s="7" t="s">
        <v>5266</v>
      </c>
      <c r="B1634" s="7" t="s">
        <v>2880</v>
      </c>
    </row>
    <row r="1635" spans="1:2">
      <c r="A1635" s="7" t="s">
        <v>5267</v>
      </c>
      <c r="B1635" s="7" t="s">
        <v>2881</v>
      </c>
    </row>
    <row r="1636" spans="1:2">
      <c r="A1636" s="7" t="s">
        <v>5268</v>
      </c>
      <c r="B1636" s="7" t="s">
        <v>2882</v>
      </c>
    </row>
    <row r="1637" spans="1:2">
      <c r="A1637" s="7" t="s">
        <v>5269</v>
      </c>
      <c r="B1637" s="7" t="s">
        <v>2883</v>
      </c>
    </row>
    <row r="1638" spans="1:2">
      <c r="A1638" s="7" t="s">
        <v>5270</v>
      </c>
      <c r="B1638" s="7" t="s">
        <v>2884</v>
      </c>
    </row>
    <row r="1639" spans="1:2">
      <c r="A1639" s="7" t="s">
        <v>5271</v>
      </c>
      <c r="B1639" s="7" t="s">
        <v>2885</v>
      </c>
    </row>
    <row r="1640" spans="1:2">
      <c r="A1640" s="7" t="s">
        <v>5272</v>
      </c>
      <c r="B1640" s="7" t="s">
        <v>2886</v>
      </c>
    </row>
    <row r="1641" spans="1:2">
      <c r="A1641" s="7" t="s">
        <v>5273</v>
      </c>
      <c r="B1641" s="7" t="s">
        <v>2887</v>
      </c>
    </row>
    <row r="1642" spans="1:2">
      <c r="A1642" s="7" t="s">
        <v>5274</v>
      </c>
      <c r="B1642" s="7" t="s">
        <v>2888</v>
      </c>
    </row>
    <row r="1643" spans="1:2">
      <c r="A1643" s="7" t="s">
        <v>5275</v>
      </c>
      <c r="B1643" s="7" t="s">
        <v>2889</v>
      </c>
    </row>
    <row r="1644" spans="1:2">
      <c r="A1644" s="7" t="s">
        <v>5276</v>
      </c>
      <c r="B1644" s="7" t="s">
        <v>2890</v>
      </c>
    </row>
    <row r="1645" spans="1:2">
      <c r="A1645" s="7" t="s">
        <v>5277</v>
      </c>
      <c r="B1645" s="7" t="s">
        <v>2891</v>
      </c>
    </row>
    <row r="1646" spans="1:2">
      <c r="A1646" s="7" t="s">
        <v>5278</v>
      </c>
      <c r="B1646" s="7" t="s">
        <v>2892</v>
      </c>
    </row>
    <row r="1647" spans="1:2">
      <c r="A1647" s="7" t="s">
        <v>5279</v>
      </c>
      <c r="B1647" s="7" t="s">
        <v>2893</v>
      </c>
    </row>
    <row r="1648" spans="1:2">
      <c r="A1648" s="7" t="s">
        <v>5280</v>
      </c>
      <c r="B1648" s="7" t="s">
        <v>2894</v>
      </c>
    </row>
    <row r="1649" spans="1:2">
      <c r="A1649" s="7" t="s">
        <v>5281</v>
      </c>
      <c r="B1649" s="7" t="s">
        <v>2895</v>
      </c>
    </row>
    <row r="1650" spans="1:2">
      <c r="A1650" s="7" t="s">
        <v>5282</v>
      </c>
      <c r="B1650" s="7" t="s">
        <v>2896</v>
      </c>
    </row>
    <row r="1651" spans="1:2">
      <c r="A1651" s="7" t="s">
        <v>5283</v>
      </c>
      <c r="B1651" s="7" t="s">
        <v>2897</v>
      </c>
    </row>
    <row r="1652" spans="1:2">
      <c r="A1652" s="7" t="s">
        <v>5284</v>
      </c>
      <c r="B1652" s="7" t="s">
        <v>2898</v>
      </c>
    </row>
    <row r="1653" spans="1:2">
      <c r="A1653" s="7" t="s">
        <v>5285</v>
      </c>
      <c r="B1653" s="7" t="s">
        <v>2899</v>
      </c>
    </row>
    <row r="1654" spans="1:2">
      <c r="A1654" s="7" t="s">
        <v>5286</v>
      </c>
      <c r="B1654" s="7" t="s">
        <v>2900</v>
      </c>
    </row>
    <row r="1655" spans="1:2">
      <c r="A1655" s="7" t="s">
        <v>5287</v>
      </c>
      <c r="B1655" s="7" t="s">
        <v>2901</v>
      </c>
    </row>
    <row r="1656" spans="1:2">
      <c r="A1656" s="7" t="s">
        <v>5288</v>
      </c>
      <c r="B1656" s="7" t="s">
        <v>2902</v>
      </c>
    </row>
    <row r="1657" spans="1:2">
      <c r="A1657" s="7" t="s">
        <v>5289</v>
      </c>
      <c r="B1657" s="7" t="s">
        <v>2903</v>
      </c>
    </row>
    <row r="1658" spans="1:2">
      <c r="A1658" s="7" t="s">
        <v>5290</v>
      </c>
      <c r="B1658" s="7" t="s">
        <v>2904</v>
      </c>
    </row>
    <row r="1659" spans="1:2">
      <c r="A1659" s="7" t="s">
        <v>5291</v>
      </c>
      <c r="B1659" s="7" t="s">
        <v>2905</v>
      </c>
    </row>
    <row r="1660" spans="1:2">
      <c r="A1660" s="7" t="s">
        <v>5292</v>
      </c>
      <c r="B1660" s="7" t="s">
        <v>2906</v>
      </c>
    </row>
    <row r="1661" spans="1:2">
      <c r="A1661" s="7" t="s">
        <v>5293</v>
      </c>
      <c r="B1661" s="7" t="s">
        <v>2907</v>
      </c>
    </row>
    <row r="1662" spans="1:2">
      <c r="A1662" s="7" t="s">
        <v>5294</v>
      </c>
      <c r="B1662" s="7" t="s">
        <v>2908</v>
      </c>
    </row>
    <row r="1663" spans="1:2">
      <c r="A1663" s="7" t="s">
        <v>5295</v>
      </c>
      <c r="B1663" s="7" t="s">
        <v>2909</v>
      </c>
    </row>
    <row r="1664" spans="1:2">
      <c r="A1664" s="7" t="s">
        <v>5296</v>
      </c>
      <c r="B1664" s="7" t="s">
        <v>2910</v>
      </c>
    </row>
    <row r="1665" spans="1:2">
      <c r="A1665" s="7" t="s">
        <v>5297</v>
      </c>
      <c r="B1665" s="7" t="s">
        <v>2911</v>
      </c>
    </row>
    <row r="1666" spans="1:2">
      <c r="A1666" s="7" t="s">
        <v>5298</v>
      </c>
      <c r="B1666" s="7" t="s">
        <v>2912</v>
      </c>
    </row>
    <row r="1667" spans="1:2">
      <c r="A1667" s="7" t="s">
        <v>5299</v>
      </c>
      <c r="B1667" s="7" t="s">
        <v>2913</v>
      </c>
    </row>
    <row r="1668" spans="1:2">
      <c r="A1668" s="7" t="s">
        <v>5300</v>
      </c>
      <c r="B1668" s="7" t="s">
        <v>2914</v>
      </c>
    </row>
    <row r="1669" spans="1:2">
      <c r="A1669" s="7" t="s">
        <v>5301</v>
      </c>
      <c r="B1669" s="7" t="s">
        <v>2915</v>
      </c>
    </row>
    <row r="1670" spans="1:2">
      <c r="A1670" s="7" t="s">
        <v>5302</v>
      </c>
      <c r="B1670" s="7" t="s">
        <v>2916</v>
      </c>
    </row>
    <row r="1671" spans="1:2">
      <c r="A1671" s="7" t="s">
        <v>5303</v>
      </c>
      <c r="B1671" s="7" t="s">
        <v>2917</v>
      </c>
    </row>
    <row r="1672" spans="1:2">
      <c r="A1672" s="7" t="s">
        <v>5304</v>
      </c>
      <c r="B1672" s="7" t="s">
        <v>2918</v>
      </c>
    </row>
    <row r="1673" spans="1:2">
      <c r="A1673" s="7" t="s">
        <v>5305</v>
      </c>
      <c r="B1673" s="7" t="s">
        <v>2919</v>
      </c>
    </row>
    <row r="1674" spans="1:2">
      <c r="A1674" s="7" t="s">
        <v>5306</v>
      </c>
      <c r="B1674" s="7" t="s">
        <v>2920</v>
      </c>
    </row>
    <row r="1675" spans="1:2">
      <c r="A1675" s="7" t="s">
        <v>5307</v>
      </c>
      <c r="B1675" s="7" t="s">
        <v>2921</v>
      </c>
    </row>
    <row r="1676" spans="1:2">
      <c r="A1676" s="7" t="s">
        <v>5308</v>
      </c>
      <c r="B1676" s="7" t="s">
        <v>2922</v>
      </c>
    </row>
    <row r="1677" spans="1:2">
      <c r="A1677" s="7" t="s">
        <v>5309</v>
      </c>
      <c r="B1677" s="7" t="s">
        <v>2923</v>
      </c>
    </row>
    <row r="1678" spans="1:2">
      <c r="A1678" s="7" t="s">
        <v>5310</v>
      </c>
      <c r="B1678" s="7" t="s">
        <v>2924</v>
      </c>
    </row>
    <row r="1679" spans="1:2">
      <c r="A1679" s="7" t="s">
        <v>5311</v>
      </c>
      <c r="B1679" s="7" t="s">
        <v>2925</v>
      </c>
    </row>
    <row r="1680" spans="1:2">
      <c r="A1680" s="7" t="s">
        <v>5312</v>
      </c>
      <c r="B1680" s="7" t="s">
        <v>2926</v>
      </c>
    </row>
    <row r="1681" spans="1:2">
      <c r="A1681" s="7" t="s">
        <v>5313</v>
      </c>
      <c r="B1681" s="7" t="s">
        <v>2927</v>
      </c>
    </row>
    <row r="1682" spans="1:2">
      <c r="A1682" s="7" t="s">
        <v>5314</v>
      </c>
      <c r="B1682" s="7" t="s">
        <v>2928</v>
      </c>
    </row>
    <row r="1683" spans="1:2">
      <c r="A1683" s="7" t="s">
        <v>5315</v>
      </c>
      <c r="B1683" s="7" t="s">
        <v>2929</v>
      </c>
    </row>
    <row r="1684" spans="1:2">
      <c r="A1684" s="7" t="s">
        <v>5316</v>
      </c>
      <c r="B1684" s="7" t="s">
        <v>2930</v>
      </c>
    </row>
    <row r="1685" spans="1:2">
      <c r="A1685" s="7" t="s">
        <v>5317</v>
      </c>
      <c r="B1685" s="7" t="s">
        <v>2931</v>
      </c>
    </row>
    <row r="1686" spans="1:2">
      <c r="A1686" s="7" t="s">
        <v>5318</v>
      </c>
      <c r="B1686" s="7" t="s">
        <v>2932</v>
      </c>
    </row>
    <row r="1687" spans="1:2">
      <c r="A1687" s="7" t="s">
        <v>5319</v>
      </c>
      <c r="B1687" s="7" t="s">
        <v>2933</v>
      </c>
    </row>
    <row r="1688" spans="1:2">
      <c r="A1688" s="7" t="s">
        <v>5320</v>
      </c>
      <c r="B1688" s="7" t="s">
        <v>2934</v>
      </c>
    </row>
    <row r="1689" spans="1:2">
      <c r="A1689" s="7" t="s">
        <v>5321</v>
      </c>
      <c r="B1689" s="7" t="s">
        <v>2935</v>
      </c>
    </row>
    <row r="1690" spans="1:2">
      <c r="A1690" s="7" t="s">
        <v>5322</v>
      </c>
      <c r="B1690" s="7" t="s">
        <v>2936</v>
      </c>
    </row>
    <row r="1691" spans="1:2">
      <c r="A1691" s="7" t="s">
        <v>5323</v>
      </c>
      <c r="B1691" s="7" t="s">
        <v>2937</v>
      </c>
    </row>
    <row r="1692" spans="1:2">
      <c r="A1692" s="7" t="s">
        <v>5324</v>
      </c>
      <c r="B1692" s="7" t="s">
        <v>2938</v>
      </c>
    </row>
    <row r="1693" spans="1:2">
      <c r="A1693" s="7" t="s">
        <v>5325</v>
      </c>
      <c r="B1693" s="7" t="s">
        <v>2939</v>
      </c>
    </row>
    <row r="1694" spans="1:2">
      <c r="A1694" s="7" t="s">
        <v>5326</v>
      </c>
      <c r="B1694" s="7" t="s">
        <v>2940</v>
      </c>
    </row>
    <row r="1695" spans="1:2">
      <c r="A1695" s="7" t="s">
        <v>5327</v>
      </c>
      <c r="B1695" s="7" t="s">
        <v>2941</v>
      </c>
    </row>
    <row r="1696" spans="1:2">
      <c r="A1696" s="7" t="s">
        <v>5328</v>
      </c>
      <c r="B1696" s="7" t="s">
        <v>2942</v>
      </c>
    </row>
    <row r="1697" spans="1:2">
      <c r="A1697" s="7" t="s">
        <v>5329</v>
      </c>
      <c r="B1697" s="7" t="s">
        <v>2943</v>
      </c>
    </row>
    <row r="1698" spans="1:2">
      <c r="A1698" s="7" t="s">
        <v>5330</v>
      </c>
      <c r="B1698" s="7" t="s">
        <v>2944</v>
      </c>
    </row>
    <row r="1699" spans="1:2">
      <c r="A1699" s="7" t="s">
        <v>5331</v>
      </c>
      <c r="B1699" s="7" t="s">
        <v>2945</v>
      </c>
    </row>
    <row r="1700" spans="1:2">
      <c r="A1700" s="7" t="s">
        <v>5332</v>
      </c>
      <c r="B1700" s="7" t="s">
        <v>2946</v>
      </c>
    </row>
    <row r="1701" spans="1:2">
      <c r="A1701" s="7" t="s">
        <v>5333</v>
      </c>
      <c r="B1701" s="7" t="s">
        <v>2947</v>
      </c>
    </row>
    <row r="1702" spans="1:2">
      <c r="A1702" s="7" t="s">
        <v>5334</v>
      </c>
      <c r="B1702" s="7" t="s">
        <v>2948</v>
      </c>
    </row>
    <row r="1703" spans="1:2">
      <c r="A1703" s="7" t="s">
        <v>5335</v>
      </c>
      <c r="B1703" s="7" t="s">
        <v>2949</v>
      </c>
    </row>
    <row r="1704" spans="1:2">
      <c r="A1704" s="7" t="s">
        <v>5336</v>
      </c>
      <c r="B1704" s="7" t="s">
        <v>2950</v>
      </c>
    </row>
    <row r="1705" spans="1:2">
      <c r="A1705" s="7" t="s">
        <v>5337</v>
      </c>
      <c r="B1705" s="7" t="s">
        <v>2951</v>
      </c>
    </row>
    <row r="1706" spans="1:2">
      <c r="A1706" s="7" t="s">
        <v>5338</v>
      </c>
      <c r="B1706" s="7" t="s">
        <v>2952</v>
      </c>
    </row>
    <row r="1707" spans="1:2">
      <c r="A1707" s="7" t="s">
        <v>5339</v>
      </c>
      <c r="B1707" s="7" t="s">
        <v>2953</v>
      </c>
    </row>
    <row r="1708" spans="1:2">
      <c r="A1708" s="7" t="s">
        <v>5340</v>
      </c>
      <c r="B1708" s="7" t="s">
        <v>2954</v>
      </c>
    </row>
    <row r="1709" spans="1:2">
      <c r="A1709" s="7" t="s">
        <v>5341</v>
      </c>
      <c r="B1709" s="7" t="s">
        <v>2955</v>
      </c>
    </row>
    <row r="1710" spans="1:2">
      <c r="A1710" s="7" t="s">
        <v>5342</v>
      </c>
      <c r="B1710" s="7" t="s">
        <v>2956</v>
      </c>
    </row>
    <row r="1711" spans="1:2">
      <c r="A1711" s="7" t="s">
        <v>5343</v>
      </c>
      <c r="B1711" s="7" t="s">
        <v>2957</v>
      </c>
    </row>
    <row r="1712" spans="1:2">
      <c r="A1712" s="7" t="s">
        <v>5344</v>
      </c>
      <c r="B1712" s="7" t="s">
        <v>2958</v>
      </c>
    </row>
    <row r="1713" spans="1:2">
      <c r="A1713" s="7" t="s">
        <v>5345</v>
      </c>
      <c r="B1713" s="7" t="s">
        <v>2959</v>
      </c>
    </row>
    <row r="1714" spans="1:2">
      <c r="A1714" s="7" t="s">
        <v>5346</v>
      </c>
      <c r="B1714" s="7" t="s">
        <v>2960</v>
      </c>
    </row>
    <row r="1715" spans="1:2">
      <c r="A1715" s="7" t="s">
        <v>5347</v>
      </c>
      <c r="B1715" s="7" t="s">
        <v>2961</v>
      </c>
    </row>
    <row r="1716" spans="1:2">
      <c r="A1716" s="7" t="s">
        <v>5348</v>
      </c>
      <c r="B1716" s="7" t="s">
        <v>2962</v>
      </c>
    </row>
    <row r="1717" spans="1:2">
      <c r="A1717" s="7" t="s">
        <v>5349</v>
      </c>
      <c r="B1717" s="7" t="s">
        <v>2963</v>
      </c>
    </row>
    <row r="1718" spans="1:2">
      <c r="A1718" s="7" t="s">
        <v>5350</v>
      </c>
      <c r="B1718" s="7" t="s">
        <v>2964</v>
      </c>
    </row>
    <row r="1719" spans="1:2">
      <c r="A1719" s="7" t="s">
        <v>5351</v>
      </c>
      <c r="B1719" s="7" t="s">
        <v>2965</v>
      </c>
    </row>
    <row r="1720" spans="1:2">
      <c r="A1720" s="7" t="s">
        <v>5352</v>
      </c>
      <c r="B1720" s="7" t="s">
        <v>2966</v>
      </c>
    </row>
    <row r="1721" spans="1:2">
      <c r="A1721" s="7" t="s">
        <v>5353</v>
      </c>
      <c r="B1721" s="7" t="s">
        <v>2967</v>
      </c>
    </row>
    <row r="1722" spans="1:2">
      <c r="A1722" s="7" t="s">
        <v>5354</v>
      </c>
      <c r="B1722" s="7" t="s">
        <v>2968</v>
      </c>
    </row>
    <row r="1723" spans="1:2">
      <c r="A1723" s="7" t="s">
        <v>5355</v>
      </c>
      <c r="B1723" s="7" t="s">
        <v>2969</v>
      </c>
    </row>
    <row r="1724" spans="1:2">
      <c r="A1724" s="7" t="s">
        <v>5356</v>
      </c>
      <c r="B1724" s="7" t="s">
        <v>2970</v>
      </c>
    </row>
    <row r="1725" spans="1:2">
      <c r="A1725" s="7" t="s">
        <v>5357</v>
      </c>
      <c r="B1725" s="7" t="s">
        <v>2971</v>
      </c>
    </row>
    <row r="1726" spans="1:2">
      <c r="A1726" s="7" t="s">
        <v>5358</v>
      </c>
      <c r="B1726" s="7" t="s">
        <v>2972</v>
      </c>
    </row>
    <row r="1727" spans="1:2">
      <c r="A1727" s="7" t="s">
        <v>5359</v>
      </c>
      <c r="B1727" s="7" t="s">
        <v>2973</v>
      </c>
    </row>
    <row r="1728" spans="1:2">
      <c r="A1728" s="7" t="s">
        <v>5360</v>
      </c>
      <c r="B1728" s="7" t="s">
        <v>2974</v>
      </c>
    </row>
    <row r="1729" spans="1:2">
      <c r="A1729" s="7" t="s">
        <v>5361</v>
      </c>
      <c r="B1729" s="7" t="s">
        <v>2975</v>
      </c>
    </row>
    <row r="1730" spans="1:2">
      <c r="A1730" s="7" t="s">
        <v>5362</v>
      </c>
      <c r="B1730" s="7" t="s">
        <v>2976</v>
      </c>
    </row>
    <row r="1731" spans="1:2">
      <c r="A1731" s="7" t="s">
        <v>5363</v>
      </c>
      <c r="B1731" s="7" t="s">
        <v>2977</v>
      </c>
    </row>
    <row r="1732" spans="1:2">
      <c r="A1732" s="7" t="s">
        <v>5364</v>
      </c>
      <c r="B1732" s="7" t="s">
        <v>2978</v>
      </c>
    </row>
    <row r="1733" spans="1:2">
      <c r="A1733" s="7" t="s">
        <v>5365</v>
      </c>
      <c r="B1733" s="7" t="s">
        <v>2979</v>
      </c>
    </row>
    <row r="1734" spans="1:2">
      <c r="A1734" s="7" t="s">
        <v>5366</v>
      </c>
      <c r="B1734" s="7" t="s">
        <v>2980</v>
      </c>
    </row>
    <row r="1735" spans="1:2">
      <c r="A1735" s="7" t="s">
        <v>5367</v>
      </c>
      <c r="B1735" s="7" t="s">
        <v>2981</v>
      </c>
    </row>
    <row r="1736" spans="1:2">
      <c r="A1736" s="7" t="s">
        <v>5368</v>
      </c>
      <c r="B1736" s="7" t="s">
        <v>2982</v>
      </c>
    </row>
    <row r="1737" spans="1:2">
      <c r="A1737" s="7" t="s">
        <v>5369</v>
      </c>
      <c r="B1737" s="7" t="s">
        <v>2983</v>
      </c>
    </row>
    <row r="1738" spans="1:2">
      <c r="A1738" s="7" t="s">
        <v>5370</v>
      </c>
      <c r="B1738" s="7" t="s">
        <v>2984</v>
      </c>
    </row>
    <row r="1739" spans="1:2">
      <c r="A1739" s="7" t="s">
        <v>5371</v>
      </c>
      <c r="B1739" s="7" t="s">
        <v>2985</v>
      </c>
    </row>
    <row r="1740" spans="1:2">
      <c r="A1740" s="7" t="s">
        <v>5372</v>
      </c>
      <c r="B1740" s="7" t="s">
        <v>2986</v>
      </c>
    </row>
    <row r="1741" spans="1:2">
      <c r="A1741" s="7" t="s">
        <v>5373</v>
      </c>
      <c r="B1741" s="7" t="s">
        <v>2987</v>
      </c>
    </row>
    <row r="1742" spans="1:2">
      <c r="A1742" s="7" t="s">
        <v>5374</v>
      </c>
      <c r="B1742" s="7" t="s">
        <v>2988</v>
      </c>
    </row>
    <row r="1743" spans="1:2">
      <c r="A1743" s="7" t="s">
        <v>5375</v>
      </c>
      <c r="B1743" s="7" t="s">
        <v>2989</v>
      </c>
    </row>
    <row r="1744" spans="1:2">
      <c r="A1744" s="7" t="s">
        <v>5376</v>
      </c>
      <c r="B1744" s="7" t="s">
        <v>2990</v>
      </c>
    </row>
    <row r="1745" spans="1:2">
      <c r="A1745" s="7" t="s">
        <v>5377</v>
      </c>
      <c r="B1745" s="7" t="s">
        <v>2991</v>
      </c>
    </row>
    <row r="1746" spans="1:2">
      <c r="A1746" s="7" t="s">
        <v>5378</v>
      </c>
      <c r="B1746" s="7" t="s">
        <v>2992</v>
      </c>
    </row>
    <row r="1747" spans="1:2">
      <c r="A1747" s="7" t="s">
        <v>5379</v>
      </c>
      <c r="B1747" s="7" t="s">
        <v>2993</v>
      </c>
    </row>
    <row r="1748" spans="1:2">
      <c r="A1748" s="7" t="s">
        <v>5380</v>
      </c>
      <c r="B1748" s="7" t="s">
        <v>2994</v>
      </c>
    </row>
    <row r="1749" spans="1:2">
      <c r="A1749" s="7" t="s">
        <v>5381</v>
      </c>
      <c r="B1749" s="7" t="s">
        <v>2995</v>
      </c>
    </row>
    <row r="1750" spans="1:2">
      <c r="A1750" s="7" t="s">
        <v>5382</v>
      </c>
      <c r="B1750" s="7" t="s">
        <v>2996</v>
      </c>
    </row>
    <row r="1751" spans="1:2">
      <c r="A1751" s="7" t="s">
        <v>5383</v>
      </c>
      <c r="B1751" s="7" t="s">
        <v>2997</v>
      </c>
    </row>
    <row r="1752" spans="1:2">
      <c r="A1752" s="7" t="s">
        <v>5384</v>
      </c>
      <c r="B1752" s="7" t="s">
        <v>2998</v>
      </c>
    </row>
    <row r="1753" spans="1:2">
      <c r="A1753" s="7" t="s">
        <v>5385</v>
      </c>
      <c r="B1753" s="7" t="s">
        <v>2999</v>
      </c>
    </row>
    <row r="1754" spans="1:2">
      <c r="A1754" s="7" t="s">
        <v>5386</v>
      </c>
      <c r="B1754" s="7" t="s">
        <v>3000</v>
      </c>
    </row>
    <row r="1755" spans="1:2">
      <c r="A1755" s="7" t="s">
        <v>5387</v>
      </c>
      <c r="B1755" s="7" t="s">
        <v>3001</v>
      </c>
    </row>
    <row r="1756" spans="1:2">
      <c r="A1756" s="7" t="s">
        <v>5388</v>
      </c>
      <c r="B1756" s="7" t="s">
        <v>3002</v>
      </c>
    </row>
    <row r="1757" spans="1:2">
      <c r="A1757" s="7" t="s">
        <v>5389</v>
      </c>
      <c r="B1757" s="7" t="s">
        <v>3003</v>
      </c>
    </row>
    <row r="1758" spans="1:2">
      <c r="A1758" s="7" t="s">
        <v>5390</v>
      </c>
      <c r="B1758" s="7" t="s">
        <v>3004</v>
      </c>
    </row>
    <row r="1759" spans="1:2">
      <c r="A1759" s="7" t="s">
        <v>5391</v>
      </c>
      <c r="B1759" s="7" t="s">
        <v>3005</v>
      </c>
    </row>
    <row r="1760" spans="1:2">
      <c r="A1760" s="7" t="s">
        <v>5392</v>
      </c>
      <c r="B1760" s="7" t="s">
        <v>3006</v>
      </c>
    </row>
    <row r="1761" spans="1:2">
      <c r="A1761" s="7" t="s">
        <v>5393</v>
      </c>
      <c r="B1761" s="7" t="s">
        <v>3007</v>
      </c>
    </row>
    <row r="1762" spans="1:2">
      <c r="A1762" s="7" t="s">
        <v>5394</v>
      </c>
      <c r="B1762" s="7" t="s">
        <v>3008</v>
      </c>
    </row>
    <row r="1763" spans="1:2">
      <c r="A1763" s="7" t="s">
        <v>5395</v>
      </c>
      <c r="B1763" s="7" t="s">
        <v>3009</v>
      </c>
    </row>
    <row r="1764" spans="1:2">
      <c r="A1764" s="7" t="s">
        <v>5396</v>
      </c>
      <c r="B1764" s="7" t="s">
        <v>3010</v>
      </c>
    </row>
    <row r="1765" spans="1:2">
      <c r="A1765" s="7" t="s">
        <v>5397</v>
      </c>
      <c r="B1765" s="7" t="s">
        <v>3011</v>
      </c>
    </row>
    <row r="1766" spans="1:2">
      <c r="A1766" s="7" t="s">
        <v>5398</v>
      </c>
      <c r="B1766" s="7" t="s">
        <v>3012</v>
      </c>
    </row>
    <row r="1767" spans="1:2">
      <c r="A1767" s="7" t="s">
        <v>5399</v>
      </c>
      <c r="B1767" s="7" t="s">
        <v>3013</v>
      </c>
    </row>
    <row r="1768" spans="1:2">
      <c r="A1768" s="7" t="s">
        <v>5400</v>
      </c>
      <c r="B1768" s="7" t="s">
        <v>3014</v>
      </c>
    </row>
    <row r="1769" spans="1:2">
      <c r="A1769" s="7" t="s">
        <v>5401</v>
      </c>
      <c r="B1769" s="7" t="s">
        <v>3015</v>
      </c>
    </row>
    <row r="1770" spans="1:2">
      <c r="A1770" s="7" t="s">
        <v>5402</v>
      </c>
      <c r="B1770" s="7" t="s">
        <v>3016</v>
      </c>
    </row>
    <row r="1771" spans="1:2">
      <c r="A1771" s="7" t="s">
        <v>5403</v>
      </c>
      <c r="B1771" s="7" t="s">
        <v>3017</v>
      </c>
    </row>
    <row r="1772" spans="1:2">
      <c r="A1772" s="7" t="s">
        <v>5404</v>
      </c>
      <c r="B1772" s="7" t="s">
        <v>3018</v>
      </c>
    </row>
    <row r="1773" spans="1:2">
      <c r="A1773" s="7" t="s">
        <v>5405</v>
      </c>
      <c r="B1773" s="7" t="s">
        <v>3019</v>
      </c>
    </row>
    <row r="1774" spans="1:2">
      <c r="A1774" s="7" t="s">
        <v>5406</v>
      </c>
      <c r="B1774" s="7" t="s">
        <v>3020</v>
      </c>
    </row>
    <row r="1775" spans="1:2">
      <c r="A1775" s="7" t="s">
        <v>5407</v>
      </c>
      <c r="B1775" s="7" t="s">
        <v>3021</v>
      </c>
    </row>
    <row r="1776" spans="1:2">
      <c r="A1776" s="7" t="s">
        <v>5408</v>
      </c>
      <c r="B1776" s="7" t="s">
        <v>3022</v>
      </c>
    </row>
    <row r="1777" spans="1:2">
      <c r="A1777" s="7" t="s">
        <v>5409</v>
      </c>
      <c r="B1777" s="7" t="s">
        <v>3023</v>
      </c>
    </row>
    <row r="1778" spans="1:2">
      <c r="A1778" s="7" t="s">
        <v>5410</v>
      </c>
      <c r="B1778" s="7" t="s">
        <v>3024</v>
      </c>
    </row>
    <row r="1779" spans="1:2">
      <c r="A1779" s="7" t="s">
        <v>5411</v>
      </c>
      <c r="B1779" s="7" t="s">
        <v>3025</v>
      </c>
    </row>
    <row r="1780" spans="1:2">
      <c r="A1780" s="7" t="s">
        <v>5412</v>
      </c>
      <c r="B1780" s="7" t="s">
        <v>3026</v>
      </c>
    </row>
    <row r="1781" spans="1:2">
      <c r="A1781" s="7" t="s">
        <v>5413</v>
      </c>
      <c r="B1781" s="7" t="s">
        <v>3027</v>
      </c>
    </row>
    <row r="1782" spans="1:2">
      <c r="A1782" s="7" t="s">
        <v>5414</v>
      </c>
      <c r="B1782" s="7" t="s">
        <v>3028</v>
      </c>
    </row>
    <row r="1783" spans="1:2">
      <c r="A1783" s="7" t="s">
        <v>5415</v>
      </c>
      <c r="B1783" s="7" t="s">
        <v>3029</v>
      </c>
    </row>
    <row r="1784" spans="1:2">
      <c r="A1784" s="7" t="s">
        <v>5416</v>
      </c>
      <c r="B1784" s="7" t="s">
        <v>3030</v>
      </c>
    </row>
    <row r="1785" spans="1:2">
      <c r="A1785" s="7" t="s">
        <v>5417</v>
      </c>
      <c r="B1785" s="7" t="s">
        <v>3031</v>
      </c>
    </row>
    <row r="1786" spans="1:2">
      <c r="A1786" s="7" t="s">
        <v>5418</v>
      </c>
      <c r="B1786" s="7" t="s">
        <v>3032</v>
      </c>
    </row>
    <row r="1787" spans="1:2">
      <c r="A1787" s="7" t="s">
        <v>5419</v>
      </c>
      <c r="B1787" s="7" t="s">
        <v>3033</v>
      </c>
    </row>
    <row r="1788" spans="1:2">
      <c r="A1788" s="7" t="s">
        <v>5420</v>
      </c>
      <c r="B1788" s="7" t="s">
        <v>3034</v>
      </c>
    </row>
    <row r="1789" spans="1:2">
      <c r="A1789" s="7" t="s">
        <v>5421</v>
      </c>
      <c r="B1789" s="7" t="s">
        <v>3035</v>
      </c>
    </row>
    <row r="1790" spans="1:2">
      <c r="A1790" s="7" t="s">
        <v>5422</v>
      </c>
      <c r="B1790" s="7" t="s">
        <v>3036</v>
      </c>
    </row>
    <row r="1791" spans="1:2">
      <c r="A1791" s="7" t="s">
        <v>5423</v>
      </c>
      <c r="B1791" s="7" t="s">
        <v>3037</v>
      </c>
    </row>
    <row r="1792" spans="1:2">
      <c r="A1792" s="7" t="s">
        <v>5424</v>
      </c>
      <c r="B1792" s="7" t="s">
        <v>3038</v>
      </c>
    </row>
    <row r="1793" spans="1:2">
      <c r="A1793" s="7" t="s">
        <v>5425</v>
      </c>
      <c r="B1793" s="7" t="s">
        <v>3039</v>
      </c>
    </row>
    <row r="1794" spans="1:2">
      <c r="A1794" s="7" t="s">
        <v>5426</v>
      </c>
      <c r="B1794" s="7" t="s">
        <v>3040</v>
      </c>
    </row>
    <row r="1795" spans="1:2">
      <c r="A1795" s="7" t="s">
        <v>5427</v>
      </c>
      <c r="B1795" s="7" t="s">
        <v>3041</v>
      </c>
    </row>
    <row r="1796" spans="1:2">
      <c r="A1796" s="7" t="s">
        <v>5428</v>
      </c>
      <c r="B1796" s="7" t="s">
        <v>3042</v>
      </c>
    </row>
    <row r="1797" spans="1:2">
      <c r="A1797" s="7" t="s">
        <v>5429</v>
      </c>
      <c r="B1797" s="7" t="s">
        <v>3043</v>
      </c>
    </row>
    <row r="1798" spans="1:2">
      <c r="A1798" s="7" t="s">
        <v>5430</v>
      </c>
      <c r="B1798" s="7" t="s">
        <v>3044</v>
      </c>
    </row>
    <row r="1799" spans="1:2">
      <c r="A1799" s="7" t="s">
        <v>5431</v>
      </c>
      <c r="B1799" s="7" t="s">
        <v>3045</v>
      </c>
    </row>
    <row r="1800" spans="1:2">
      <c r="A1800" s="7" t="s">
        <v>5432</v>
      </c>
      <c r="B1800" s="7" t="s">
        <v>3046</v>
      </c>
    </row>
    <row r="1801" spans="1:2">
      <c r="A1801" s="7" t="s">
        <v>5433</v>
      </c>
      <c r="B1801" s="7" t="s">
        <v>3047</v>
      </c>
    </row>
    <row r="1802" spans="1:2">
      <c r="A1802" s="7" t="s">
        <v>5434</v>
      </c>
      <c r="B1802" s="7" t="s">
        <v>3048</v>
      </c>
    </row>
    <row r="1803" spans="1:2">
      <c r="A1803" s="7" t="s">
        <v>5435</v>
      </c>
      <c r="B1803" s="7" t="s">
        <v>3049</v>
      </c>
    </row>
    <row r="1804" spans="1:2">
      <c r="A1804" s="7" t="s">
        <v>5436</v>
      </c>
      <c r="B1804" s="7" t="s">
        <v>3050</v>
      </c>
    </row>
    <row r="1805" spans="1:2">
      <c r="A1805" s="7" t="s">
        <v>5437</v>
      </c>
      <c r="B1805" s="7" t="s">
        <v>3051</v>
      </c>
    </row>
    <row r="1806" spans="1:2">
      <c r="A1806" s="7" t="s">
        <v>5438</v>
      </c>
      <c r="B1806" s="7" t="s">
        <v>3052</v>
      </c>
    </row>
    <row r="1807" spans="1:2">
      <c r="A1807" s="7" t="s">
        <v>5439</v>
      </c>
      <c r="B1807" s="7" t="s">
        <v>3053</v>
      </c>
    </row>
    <row r="1808" spans="1:2">
      <c r="A1808" s="7" t="s">
        <v>5440</v>
      </c>
      <c r="B1808" s="7" t="s">
        <v>3054</v>
      </c>
    </row>
    <row r="1809" spans="1:2">
      <c r="A1809" s="7" t="s">
        <v>5441</v>
      </c>
      <c r="B1809" s="7" t="s">
        <v>3055</v>
      </c>
    </row>
    <row r="1810" spans="1:2">
      <c r="A1810" s="7" t="s">
        <v>5442</v>
      </c>
      <c r="B1810" s="7" t="s">
        <v>3056</v>
      </c>
    </row>
    <row r="1811" spans="1:2">
      <c r="A1811" s="7" t="s">
        <v>5443</v>
      </c>
      <c r="B1811" s="7" t="s">
        <v>3057</v>
      </c>
    </row>
    <row r="1812" spans="1:2">
      <c r="A1812" s="7" t="s">
        <v>5444</v>
      </c>
      <c r="B1812" s="7" t="s">
        <v>3058</v>
      </c>
    </row>
    <row r="1813" spans="1:2">
      <c r="A1813" s="7" t="s">
        <v>5445</v>
      </c>
      <c r="B1813" s="7" t="s">
        <v>3059</v>
      </c>
    </row>
    <row r="1814" spans="1:2">
      <c r="A1814" s="7" t="s">
        <v>5446</v>
      </c>
      <c r="B1814" s="7" t="s">
        <v>3060</v>
      </c>
    </row>
    <row r="1815" spans="1:2">
      <c r="A1815" s="7" t="s">
        <v>5447</v>
      </c>
      <c r="B1815" s="7" t="s">
        <v>3061</v>
      </c>
    </row>
    <row r="1816" spans="1:2">
      <c r="A1816" s="7" t="s">
        <v>5448</v>
      </c>
      <c r="B1816" s="7" t="s">
        <v>3062</v>
      </c>
    </row>
    <row r="1817" spans="1:2">
      <c r="A1817" s="7" t="s">
        <v>5449</v>
      </c>
      <c r="B1817" s="7" t="s">
        <v>3063</v>
      </c>
    </row>
    <row r="1818" spans="1:2">
      <c r="A1818" s="7" t="s">
        <v>5450</v>
      </c>
      <c r="B1818" s="7" t="s">
        <v>3064</v>
      </c>
    </row>
    <row r="1819" spans="1:2">
      <c r="A1819" s="7" t="s">
        <v>5451</v>
      </c>
      <c r="B1819" s="7" t="s">
        <v>3065</v>
      </c>
    </row>
    <row r="1820" spans="1:2">
      <c r="A1820" s="7" t="s">
        <v>5452</v>
      </c>
      <c r="B1820" s="7" t="s">
        <v>3066</v>
      </c>
    </row>
    <row r="1821" spans="1:2">
      <c r="A1821" s="7" t="s">
        <v>5453</v>
      </c>
      <c r="B1821" s="7" t="s">
        <v>3067</v>
      </c>
    </row>
    <row r="1822" spans="1:2">
      <c r="A1822" s="7" t="s">
        <v>5454</v>
      </c>
      <c r="B1822" s="7" t="s">
        <v>3068</v>
      </c>
    </row>
    <row r="1823" spans="1:2">
      <c r="A1823" s="7" t="s">
        <v>5455</v>
      </c>
      <c r="B1823" s="7" t="s">
        <v>3069</v>
      </c>
    </row>
    <row r="1824" spans="1:2">
      <c r="A1824" s="7" t="s">
        <v>5456</v>
      </c>
      <c r="B1824" s="7" t="s">
        <v>3070</v>
      </c>
    </row>
    <row r="1825" spans="1:2">
      <c r="A1825" s="7" t="s">
        <v>5457</v>
      </c>
      <c r="B1825" s="7" t="s">
        <v>3071</v>
      </c>
    </row>
    <row r="1826" spans="1:2">
      <c r="A1826" s="7" t="s">
        <v>5458</v>
      </c>
      <c r="B1826" s="7" t="s">
        <v>3072</v>
      </c>
    </row>
    <row r="1827" spans="1:2">
      <c r="A1827" s="7" t="s">
        <v>5459</v>
      </c>
      <c r="B1827" s="7" t="s">
        <v>3073</v>
      </c>
    </row>
    <row r="1828" spans="1:2">
      <c r="A1828" s="7" t="s">
        <v>5460</v>
      </c>
      <c r="B1828" s="7" t="s">
        <v>3074</v>
      </c>
    </row>
    <row r="1829" spans="1:2">
      <c r="A1829" s="7" t="s">
        <v>5461</v>
      </c>
      <c r="B1829" s="7" t="s">
        <v>3075</v>
      </c>
    </row>
    <row r="1830" spans="1:2">
      <c r="A1830" s="7" t="s">
        <v>5462</v>
      </c>
      <c r="B1830" s="7" t="s">
        <v>3076</v>
      </c>
    </row>
    <row r="1831" spans="1:2">
      <c r="A1831" s="7" t="s">
        <v>5463</v>
      </c>
      <c r="B1831" s="7" t="s">
        <v>3077</v>
      </c>
    </row>
    <row r="1832" spans="1:2">
      <c r="A1832" s="7" t="s">
        <v>5464</v>
      </c>
      <c r="B1832" s="7" t="s">
        <v>3078</v>
      </c>
    </row>
    <row r="1833" spans="1:2">
      <c r="A1833" s="7" t="s">
        <v>5465</v>
      </c>
      <c r="B1833" s="7" t="s">
        <v>3079</v>
      </c>
    </row>
    <row r="1834" spans="1:2">
      <c r="A1834" s="7" t="s">
        <v>5466</v>
      </c>
      <c r="B1834" s="7" t="s">
        <v>3080</v>
      </c>
    </row>
    <row r="1835" spans="1:2">
      <c r="A1835" s="7" t="s">
        <v>5467</v>
      </c>
      <c r="B1835" s="7" t="s">
        <v>3081</v>
      </c>
    </row>
    <row r="1836" spans="1:2">
      <c r="A1836" s="7" t="s">
        <v>5468</v>
      </c>
      <c r="B1836" s="7" t="s">
        <v>3082</v>
      </c>
    </row>
    <row r="1837" spans="1:2">
      <c r="A1837" s="7" t="s">
        <v>5469</v>
      </c>
      <c r="B1837" s="7" t="s">
        <v>3083</v>
      </c>
    </row>
    <row r="1838" spans="1:2">
      <c r="A1838" s="7" t="s">
        <v>5470</v>
      </c>
      <c r="B1838" s="7" t="s">
        <v>3084</v>
      </c>
    </row>
    <row r="1839" spans="1:2">
      <c r="A1839" s="7" t="s">
        <v>5471</v>
      </c>
      <c r="B1839" s="7" t="s">
        <v>3085</v>
      </c>
    </row>
    <row r="1840" spans="1:2">
      <c r="A1840" s="7" t="s">
        <v>5472</v>
      </c>
      <c r="B1840" s="7" t="s">
        <v>3086</v>
      </c>
    </row>
    <row r="1841" spans="1:2">
      <c r="A1841" s="7" t="s">
        <v>5473</v>
      </c>
      <c r="B1841" s="7" t="s">
        <v>3087</v>
      </c>
    </row>
    <row r="1842" spans="1:2">
      <c r="A1842" s="7" t="s">
        <v>5474</v>
      </c>
      <c r="B1842" s="7" t="s">
        <v>3088</v>
      </c>
    </row>
    <row r="1843" spans="1:2">
      <c r="A1843" s="7" t="s">
        <v>5475</v>
      </c>
      <c r="B1843" s="7" t="s">
        <v>3089</v>
      </c>
    </row>
    <row r="1844" spans="1:2">
      <c r="A1844" s="7" t="s">
        <v>5476</v>
      </c>
      <c r="B1844" s="7" t="s">
        <v>3090</v>
      </c>
    </row>
    <row r="1845" spans="1:2">
      <c r="A1845" s="7" t="s">
        <v>5477</v>
      </c>
      <c r="B1845" s="7" t="s">
        <v>3091</v>
      </c>
    </row>
    <row r="1846" spans="1:2">
      <c r="A1846" s="7" t="s">
        <v>5478</v>
      </c>
      <c r="B1846" s="7" t="s">
        <v>3092</v>
      </c>
    </row>
    <row r="1847" spans="1:2">
      <c r="A1847" s="7" t="s">
        <v>5479</v>
      </c>
      <c r="B1847" s="7" t="s">
        <v>3093</v>
      </c>
    </row>
    <row r="1848" spans="1:2">
      <c r="A1848" s="7" t="s">
        <v>5480</v>
      </c>
      <c r="B1848" s="7" t="s">
        <v>3094</v>
      </c>
    </row>
    <row r="1849" spans="1:2">
      <c r="A1849" s="7" t="s">
        <v>5481</v>
      </c>
      <c r="B1849" s="7" t="s">
        <v>3095</v>
      </c>
    </row>
    <row r="1850" spans="1:2">
      <c r="A1850" s="7" t="s">
        <v>5482</v>
      </c>
      <c r="B1850" s="7" t="s">
        <v>3096</v>
      </c>
    </row>
    <row r="1851" spans="1:2">
      <c r="A1851" s="7" t="s">
        <v>5483</v>
      </c>
      <c r="B1851" s="7" t="s">
        <v>3097</v>
      </c>
    </row>
    <row r="1852" spans="1:2">
      <c r="A1852" s="7" t="s">
        <v>5484</v>
      </c>
      <c r="B1852" s="7" t="s">
        <v>3098</v>
      </c>
    </row>
    <row r="1853" spans="1:2">
      <c r="A1853" s="7" t="s">
        <v>5485</v>
      </c>
      <c r="B1853" s="7" t="s">
        <v>3099</v>
      </c>
    </row>
    <row r="1854" spans="1:2">
      <c r="A1854" s="7" t="s">
        <v>5486</v>
      </c>
      <c r="B1854" s="7" t="s">
        <v>3100</v>
      </c>
    </row>
    <row r="1855" spans="1:2">
      <c r="A1855" s="7" t="s">
        <v>5487</v>
      </c>
      <c r="B1855" s="7" t="s">
        <v>3101</v>
      </c>
    </row>
    <row r="1856" spans="1:2">
      <c r="A1856" s="7" t="s">
        <v>5488</v>
      </c>
      <c r="B1856" s="7" t="s">
        <v>3102</v>
      </c>
    </row>
    <row r="1857" spans="1:2">
      <c r="A1857" s="7" t="s">
        <v>5489</v>
      </c>
      <c r="B1857" s="7" t="s">
        <v>3103</v>
      </c>
    </row>
    <row r="1858" spans="1:2">
      <c r="A1858" s="7" t="s">
        <v>5490</v>
      </c>
      <c r="B1858" s="7" t="s">
        <v>3104</v>
      </c>
    </row>
    <row r="1859" spans="1:2">
      <c r="A1859" s="7" t="s">
        <v>5491</v>
      </c>
      <c r="B1859" s="7" t="s">
        <v>3105</v>
      </c>
    </row>
    <row r="1860" spans="1:2">
      <c r="A1860" s="7" t="s">
        <v>5492</v>
      </c>
      <c r="B1860" s="7" t="s">
        <v>3106</v>
      </c>
    </row>
    <row r="1861" spans="1:2">
      <c r="A1861" s="7" t="s">
        <v>5493</v>
      </c>
      <c r="B1861" s="7" t="s">
        <v>3107</v>
      </c>
    </row>
    <row r="1862" spans="1:2">
      <c r="A1862" s="7" t="s">
        <v>5494</v>
      </c>
      <c r="B1862" s="7" t="s">
        <v>3108</v>
      </c>
    </row>
    <row r="1863" spans="1:2">
      <c r="A1863" s="7" t="s">
        <v>5495</v>
      </c>
      <c r="B1863" s="7" t="s">
        <v>3109</v>
      </c>
    </row>
    <row r="1864" spans="1:2">
      <c r="A1864" s="7" t="s">
        <v>5496</v>
      </c>
      <c r="B1864" s="7" t="s">
        <v>3110</v>
      </c>
    </row>
    <row r="1865" spans="1:2">
      <c r="A1865" s="7" t="s">
        <v>5497</v>
      </c>
      <c r="B1865" s="7" t="s">
        <v>3111</v>
      </c>
    </row>
    <row r="1866" spans="1:2">
      <c r="A1866" s="7" t="s">
        <v>5498</v>
      </c>
      <c r="B1866" s="7" t="s">
        <v>3112</v>
      </c>
    </row>
    <row r="1867" spans="1:2">
      <c r="A1867" s="7" t="s">
        <v>5499</v>
      </c>
      <c r="B1867" s="7" t="s">
        <v>3113</v>
      </c>
    </row>
    <row r="1868" spans="1:2">
      <c r="A1868" s="7" t="s">
        <v>5500</v>
      </c>
      <c r="B1868" s="7" t="s">
        <v>3114</v>
      </c>
    </row>
    <row r="1869" spans="1:2">
      <c r="A1869" s="7" t="s">
        <v>5501</v>
      </c>
      <c r="B1869" s="7" t="s">
        <v>3115</v>
      </c>
    </row>
    <row r="1870" spans="1:2">
      <c r="A1870" s="7" t="s">
        <v>5502</v>
      </c>
      <c r="B1870" s="7" t="s">
        <v>3116</v>
      </c>
    </row>
    <row r="1871" spans="1:2">
      <c r="A1871" s="7" t="s">
        <v>5503</v>
      </c>
      <c r="B1871" s="7" t="s">
        <v>3117</v>
      </c>
    </row>
    <row r="1872" spans="1:2">
      <c r="A1872" s="7" t="s">
        <v>5504</v>
      </c>
      <c r="B1872" s="7" t="s">
        <v>3118</v>
      </c>
    </row>
    <row r="1873" spans="1:2">
      <c r="A1873" s="7" t="s">
        <v>5505</v>
      </c>
      <c r="B1873" s="7" t="s">
        <v>3119</v>
      </c>
    </row>
    <row r="1874" spans="1:2">
      <c r="A1874" s="7" t="s">
        <v>5506</v>
      </c>
      <c r="B1874" s="7" t="s">
        <v>3120</v>
      </c>
    </row>
    <row r="1875" spans="1:2">
      <c r="A1875" s="7" t="s">
        <v>5507</v>
      </c>
      <c r="B1875" s="7" t="s">
        <v>3121</v>
      </c>
    </row>
    <row r="1876" spans="1:2">
      <c r="A1876" s="7" t="s">
        <v>5508</v>
      </c>
      <c r="B1876" s="7" t="s">
        <v>3122</v>
      </c>
    </row>
    <row r="1877" spans="1:2">
      <c r="A1877" s="7" t="s">
        <v>5509</v>
      </c>
      <c r="B1877" s="7" t="s">
        <v>3123</v>
      </c>
    </row>
    <row r="1878" spans="1:2">
      <c r="A1878" s="7" t="s">
        <v>5510</v>
      </c>
      <c r="B1878" s="7" t="s">
        <v>3124</v>
      </c>
    </row>
    <row r="1879" spans="1:2">
      <c r="A1879" s="7" t="s">
        <v>5511</v>
      </c>
      <c r="B1879" s="7" t="s">
        <v>3125</v>
      </c>
    </row>
    <row r="1880" spans="1:2">
      <c r="A1880" s="7" t="s">
        <v>5512</v>
      </c>
      <c r="B1880" s="7" t="s">
        <v>3126</v>
      </c>
    </row>
    <row r="1881" spans="1:2">
      <c r="A1881" s="7" t="s">
        <v>5513</v>
      </c>
      <c r="B1881" s="7" t="s">
        <v>3127</v>
      </c>
    </row>
    <row r="1882" spans="1:2">
      <c r="A1882" s="7" t="s">
        <v>5514</v>
      </c>
      <c r="B1882" s="7" t="s">
        <v>3128</v>
      </c>
    </row>
    <row r="1883" spans="1:2">
      <c r="A1883" s="7" t="s">
        <v>5515</v>
      </c>
      <c r="B1883" s="7" t="s">
        <v>3129</v>
      </c>
    </row>
    <row r="1884" spans="1:2">
      <c r="A1884" s="7" t="s">
        <v>5516</v>
      </c>
      <c r="B1884" s="7" t="s">
        <v>3130</v>
      </c>
    </row>
    <row r="1885" spans="1:2">
      <c r="A1885" s="7" t="s">
        <v>5517</v>
      </c>
      <c r="B1885" s="7" t="s">
        <v>3131</v>
      </c>
    </row>
    <row r="1886" spans="1:2">
      <c r="A1886" s="7" t="s">
        <v>5518</v>
      </c>
      <c r="B1886" s="7" t="s">
        <v>3132</v>
      </c>
    </row>
    <row r="1887" spans="1:2">
      <c r="A1887" s="7" t="s">
        <v>5519</v>
      </c>
      <c r="B1887" s="7" t="s">
        <v>3133</v>
      </c>
    </row>
    <row r="1888" spans="1:2">
      <c r="A1888" s="7" t="s">
        <v>5520</v>
      </c>
      <c r="B1888" s="7" t="s">
        <v>3134</v>
      </c>
    </row>
    <row r="1889" spans="1:2">
      <c r="A1889" s="7" t="s">
        <v>5521</v>
      </c>
      <c r="B1889" s="7" t="s">
        <v>3135</v>
      </c>
    </row>
    <row r="1890" spans="1:2">
      <c r="A1890" s="7" t="s">
        <v>5522</v>
      </c>
      <c r="B1890" s="7" t="s">
        <v>3136</v>
      </c>
    </row>
    <row r="1891" spans="1:2">
      <c r="A1891" s="7" t="s">
        <v>5523</v>
      </c>
      <c r="B1891" s="7" t="s">
        <v>3137</v>
      </c>
    </row>
    <row r="1892" spans="1:2">
      <c r="A1892" s="7" t="s">
        <v>5524</v>
      </c>
      <c r="B1892" s="7" t="s">
        <v>3138</v>
      </c>
    </row>
    <row r="1893" spans="1:2">
      <c r="A1893" s="7" t="s">
        <v>5525</v>
      </c>
      <c r="B1893" s="7" t="s">
        <v>3139</v>
      </c>
    </row>
    <row r="1894" spans="1:2">
      <c r="A1894" s="7" t="s">
        <v>5526</v>
      </c>
      <c r="B1894" s="7" t="s">
        <v>3140</v>
      </c>
    </row>
    <row r="1895" spans="1:2">
      <c r="A1895" s="7" t="s">
        <v>5527</v>
      </c>
      <c r="B1895" s="7" t="s">
        <v>3141</v>
      </c>
    </row>
    <row r="1896" spans="1:2">
      <c r="A1896" s="7" t="s">
        <v>5528</v>
      </c>
      <c r="B1896" s="7" t="s">
        <v>3142</v>
      </c>
    </row>
    <row r="1897" spans="1:2">
      <c r="A1897" s="7" t="s">
        <v>5529</v>
      </c>
      <c r="B1897" s="7" t="s">
        <v>3143</v>
      </c>
    </row>
    <row r="1898" spans="1:2">
      <c r="A1898" s="7" t="s">
        <v>5530</v>
      </c>
      <c r="B1898" s="7" t="s">
        <v>3144</v>
      </c>
    </row>
    <row r="1899" spans="1:2">
      <c r="A1899" s="7" t="s">
        <v>5531</v>
      </c>
      <c r="B1899" s="7" t="s">
        <v>3145</v>
      </c>
    </row>
    <row r="1900" spans="1:2">
      <c r="A1900" s="7" t="s">
        <v>5532</v>
      </c>
      <c r="B1900" s="7" t="s">
        <v>3146</v>
      </c>
    </row>
    <row r="1901" spans="1:2">
      <c r="A1901" s="7" t="s">
        <v>5533</v>
      </c>
      <c r="B1901" s="7" t="s">
        <v>3147</v>
      </c>
    </row>
    <row r="1902" spans="1:2">
      <c r="A1902" s="7" t="s">
        <v>5534</v>
      </c>
      <c r="B1902" s="7" t="s">
        <v>3148</v>
      </c>
    </row>
    <row r="1903" spans="1:2">
      <c r="A1903" s="7" t="s">
        <v>5535</v>
      </c>
      <c r="B1903" s="7" t="s">
        <v>3149</v>
      </c>
    </row>
    <row r="1904" spans="1:2">
      <c r="A1904" s="7" t="s">
        <v>5536</v>
      </c>
      <c r="B1904" s="7" t="s">
        <v>3150</v>
      </c>
    </row>
    <row r="1905" spans="1:2">
      <c r="A1905" s="7" t="s">
        <v>5537</v>
      </c>
      <c r="B1905" s="7" t="s">
        <v>3151</v>
      </c>
    </row>
    <row r="1906" spans="1:2">
      <c r="A1906" s="7" t="s">
        <v>5538</v>
      </c>
      <c r="B1906" s="7" t="s">
        <v>3152</v>
      </c>
    </row>
    <row r="1907" spans="1:2">
      <c r="A1907" s="7" t="s">
        <v>5539</v>
      </c>
      <c r="B1907" s="7" t="s">
        <v>3153</v>
      </c>
    </row>
    <row r="1908" spans="1:2">
      <c r="A1908" s="7" t="s">
        <v>5540</v>
      </c>
      <c r="B1908" s="7" t="s">
        <v>3154</v>
      </c>
    </row>
    <row r="1909" spans="1:2">
      <c r="A1909" s="7" t="s">
        <v>5541</v>
      </c>
      <c r="B1909" s="7" t="s">
        <v>3155</v>
      </c>
    </row>
    <row r="1910" spans="1:2">
      <c r="A1910" s="7" t="s">
        <v>5542</v>
      </c>
      <c r="B1910" s="7" t="s">
        <v>3156</v>
      </c>
    </row>
    <row r="1911" spans="1:2">
      <c r="A1911" s="7" t="s">
        <v>5543</v>
      </c>
      <c r="B1911" s="7" t="s">
        <v>3157</v>
      </c>
    </row>
    <row r="1912" spans="1:2">
      <c r="A1912" s="7" t="s">
        <v>5544</v>
      </c>
      <c r="B1912" s="7" t="s">
        <v>3158</v>
      </c>
    </row>
    <row r="1913" spans="1:2">
      <c r="A1913" s="7" t="s">
        <v>5545</v>
      </c>
      <c r="B1913" s="7" t="s">
        <v>3159</v>
      </c>
    </row>
    <row r="1914" spans="1:2">
      <c r="A1914" s="7" t="s">
        <v>5546</v>
      </c>
      <c r="B1914" s="7" t="s">
        <v>3160</v>
      </c>
    </row>
    <row r="1915" spans="1:2">
      <c r="A1915" s="7" t="s">
        <v>5547</v>
      </c>
      <c r="B1915" s="7" t="s">
        <v>3161</v>
      </c>
    </row>
    <row r="1916" spans="1:2">
      <c r="A1916" s="7" t="s">
        <v>5548</v>
      </c>
      <c r="B1916" s="7" t="s">
        <v>3162</v>
      </c>
    </row>
    <row r="1917" spans="1:2">
      <c r="A1917" s="7" t="s">
        <v>5549</v>
      </c>
      <c r="B1917" s="7" t="s">
        <v>3163</v>
      </c>
    </row>
    <row r="1918" spans="1:2">
      <c r="A1918" s="7" t="s">
        <v>5550</v>
      </c>
      <c r="B1918" s="7" t="s">
        <v>3164</v>
      </c>
    </row>
    <row r="1919" spans="1:2">
      <c r="A1919" s="7" t="s">
        <v>5551</v>
      </c>
      <c r="B1919" s="7" t="s">
        <v>3165</v>
      </c>
    </row>
    <row r="1920" spans="1:2">
      <c r="A1920" s="7" t="s">
        <v>5552</v>
      </c>
      <c r="B1920" s="7" t="s">
        <v>3166</v>
      </c>
    </row>
    <row r="1921" spans="1:2">
      <c r="A1921" s="7" t="s">
        <v>5553</v>
      </c>
      <c r="B1921" s="7" t="s">
        <v>3167</v>
      </c>
    </row>
    <row r="1922" spans="1:2">
      <c r="A1922" s="7" t="s">
        <v>5554</v>
      </c>
      <c r="B1922" s="7" t="s">
        <v>3168</v>
      </c>
    </row>
    <row r="1923" spans="1:2">
      <c r="A1923" s="7" t="s">
        <v>5555</v>
      </c>
      <c r="B1923" s="7" t="s">
        <v>3169</v>
      </c>
    </row>
    <row r="1924" spans="1:2">
      <c r="A1924" s="7" t="s">
        <v>5556</v>
      </c>
      <c r="B1924" s="7" t="s">
        <v>3170</v>
      </c>
    </row>
    <row r="1925" spans="1:2">
      <c r="A1925" s="7" t="s">
        <v>5557</v>
      </c>
      <c r="B1925" s="7" t="s">
        <v>3171</v>
      </c>
    </row>
    <row r="1926" spans="1:2">
      <c r="A1926" s="7" t="s">
        <v>5558</v>
      </c>
      <c r="B1926" s="7" t="s">
        <v>3172</v>
      </c>
    </row>
    <row r="1927" spans="1:2">
      <c r="A1927" s="7" t="s">
        <v>5559</v>
      </c>
      <c r="B1927" s="7" t="s">
        <v>3173</v>
      </c>
    </row>
    <row r="1928" spans="1:2">
      <c r="A1928" s="7" t="s">
        <v>5560</v>
      </c>
      <c r="B1928" s="7" t="s">
        <v>3174</v>
      </c>
    </row>
    <row r="1929" spans="1:2">
      <c r="A1929" s="7" t="s">
        <v>5561</v>
      </c>
      <c r="B1929" s="7" t="s">
        <v>3175</v>
      </c>
    </row>
    <row r="1930" spans="1:2">
      <c r="A1930" s="7" t="s">
        <v>5562</v>
      </c>
      <c r="B1930" s="7" t="s">
        <v>3176</v>
      </c>
    </row>
    <row r="1931" spans="1:2">
      <c r="A1931" s="7" t="s">
        <v>5563</v>
      </c>
      <c r="B1931" s="7" t="s">
        <v>3177</v>
      </c>
    </row>
    <row r="1932" spans="1:2">
      <c r="A1932" s="7" t="s">
        <v>5564</v>
      </c>
      <c r="B1932" s="7" t="s">
        <v>3178</v>
      </c>
    </row>
    <row r="1933" spans="1:2">
      <c r="A1933" s="7" t="s">
        <v>5565</v>
      </c>
      <c r="B1933" s="7" t="s">
        <v>3179</v>
      </c>
    </row>
    <row r="1934" spans="1:2">
      <c r="A1934" s="7" t="s">
        <v>5566</v>
      </c>
      <c r="B1934" s="7" t="s">
        <v>3180</v>
      </c>
    </row>
    <row r="1935" spans="1:2">
      <c r="A1935" s="7" t="s">
        <v>5567</v>
      </c>
      <c r="B1935" s="7" t="s">
        <v>3181</v>
      </c>
    </row>
    <row r="1936" spans="1:2">
      <c r="A1936" s="7" t="s">
        <v>5568</v>
      </c>
      <c r="B1936" s="7" t="s">
        <v>3182</v>
      </c>
    </row>
    <row r="1937" spans="1:2">
      <c r="A1937" s="7" t="s">
        <v>5569</v>
      </c>
      <c r="B1937" s="7" t="s">
        <v>3183</v>
      </c>
    </row>
    <row r="1938" spans="1:2">
      <c r="A1938" s="7" t="s">
        <v>5570</v>
      </c>
      <c r="B1938" s="7" t="s">
        <v>3184</v>
      </c>
    </row>
    <row r="1939" spans="1:2">
      <c r="A1939" s="7" t="s">
        <v>5571</v>
      </c>
      <c r="B1939" s="7" t="s">
        <v>3185</v>
      </c>
    </row>
    <row r="1940" spans="1:2">
      <c r="A1940" s="7" t="s">
        <v>5572</v>
      </c>
      <c r="B1940" s="7" t="s">
        <v>3186</v>
      </c>
    </row>
    <row r="1941" spans="1:2">
      <c r="A1941" s="7" t="s">
        <v>5573</v>
      </c>
      <c r="B1941" s="7" t="s">
        <v>3187</v>
      </c>
    </row>
    <row r="1942" spans="1:2">
      <c r="A1942" s="7" t="s">
        <v>5574</v>
      </c>
      <c r="B1942" s="7" t="s">
        <v>3188</v>
      </c>
    </row>
    <row r="1943" spans="1:2">
      <c r="A1943" s="7" t="s">
        <v>5575</v>
      </c>
      <c r="B1943" s="7" t="s">
        <v>3189</v>
      </c>
    </row>
    <row r="1944" spans="1:2">
      <c r="A1944" s="7" t="s">
        <v>5576</v>
      </c>
      <c r="B1944" s="7" t="s">
        <v>3190</v>
      </c>
    </row>
    <row r="1945" spans="1:2">
      <c r="A1945" s="7" t="s">
        <v>5577</v>
      </c>
      <c r="B1945" s="7" t="s">
        <v>3191</v>
      </c>
    </row>
    <row r="1946" spans="1:2">
      <c r="A1946" s="7" t="s">
        <v>5578</v>
      </c>
      <c r="B1946" s="7" t="s">
        <v>3192</v>
      </c>
    </row>
    <row r="1947" spans="1:2">
      <c r="A1947" s="7" t="s">
        <v>5579</v>
      </c>
      <c r="B1947" s="7" t="s">
        <v>3193</v>
      </c>
    </row>
    <row r="1948" spans="1:2">
      <c r="A1948" s="7" t="s">
        <v>5580</v>
      </c>
      <c r="B1948" s="7" t="s">
        <v>3194</v>
      </c>
    </row>
    <row r="1949" spans="1:2">
      <c r="A1949" s="7" t="s">
        <v>5581</v>
      </c>
      <c r="B1949" s="7" t="s">
        <v>3195</v>
      </c>
    </row>
    <row r="1950" spans="1:2">
      <c r="A1950" s="7" t="s">
        <v>5582</v>
      </c>
      <c r="B1950" s="7" t="s">
        <v>3196</v>
      </c>
    </row>
    <row r="1951" spans="1:2">
      <c r="A1951" s="7" t="s">
        <v>5583</v>
      </c>
      <c r="B1951" s="7" t="s">
        <v>3197</v>
      </c>
    </row>
    <row r="1952" spans="1:2">
      <c r="A1952" s="7" t="s">
        <v>5584</v>
      </c>
      <c r="B1952" s="7" t="s">
        <v>3198</v>
      </c>
    </row>
    <row r="1953" spans="1:2">
      <c r="A1953" s="7" t="s">
        <v>5585</v>
      </c>
      <c r="B1953" s="7" t="s">
        <v>3199</v>
      </c>
    </row>
    <row r="1954" spans="1:2">
      <c r="A1954" s="7" t="s">
        <v>5586</v>
      </c>
      <c r="B1954" s="7" t="s">
        <v>3200</v>
      </c>
    </row>
    <row r="1955" spans="1:2">
      <c r="A1955" s="7" t="s">
        <v>5587</v>
      </c>
      <c r="B1955" s="7" t="s">
        <v>3201</v>
      </c>
    </row>
    <row r="1956" spans="1:2">
      <c r="A1956" s="7" t="s">
        <v>5588</v>
      </c>
      <c r="B1956" s="7" t="s">
        <v>3202</v>
      </c>
    </row>
    <row r="1957" spans="1:2">
      <c r="A1957" s="7" t="s">
        <v>5589</v>
      </c>
      <c r="B1957" s="7" t="s">
        <v>3203</v>
      </c>
    </row>
    <row r="1958" spans="1:2">
      <c r="A1958" s="7" t="s">
        <v>5590</v>
      </c>
      <c r="B1958" s="7" t="s">
        <v>3204</v>
      </c>
    </row>
    <row r="1959" spans="1:2">
      <c r="A1959" s="7" t="s">
        <v>5591</v>
      </c>
      <c r="B1959" s="7" t="s">
        <v>3205</v>
      </c>
    </row>
    <row r="1960" spans="1:2">
      <c r="A1960" s="7" t="s">
        <v>5592</v>
      </c>
      <c r="B1960" s="7" t="s">
        <v>3206</v>
      </c>
    </row>
    <row r="1961" spans="1:2">
      <c r="A1961" s="7" t="s">
        <v>5593</v>
      </c>
      <c r="B1961" s="7" t="s">
        <v>3207</v>
      </c>
    </row>
    <row r="1962" spans="1:2">
      <c r="A1962" s="7" t="s">
        <v>5594</v>
      </c>
      <c r="B1962" s="7" t="s">
        <v>3208</v>
      </c>
    </row>
    <row r="1963" spans="1:2">
      <c r="A1963" s="7" t="s">
        <v>5595</v>
      </c>
      <c r="B1963" s="7" t="s">
        <v>3209</v>
      </c>
    </row>
    <row r="1964" spans="1:2">
      <c r="A1964" s="7" t="s">
        <v>5596</v>
      </c>
      <c r="B1964" s="7" t="s">
        <v>3210</v>
      </c>
    </row>
    <row r="1965" spans="1:2">
      <c r="A1965" s="7" t="s">
        <v>5597</v>
      </c>
      <c r="B1965" s="7" t="s">
        <v>3211</v>
      </c>
    </row>
    <row r="1966" spans="1:2">
      <c r="A1966" s="7" t="s">
        <v>5598</v>
      </c>
      <c r="B1966" s="7" t="s">
        <v>3212</v>
      </c>
    </row>
    <row r="1967" spans="1:2">
      <c r="A1967" s="7" t="s">
        <v>5599</v>
      </c>
      <c r="B1967" s="7" t="s">
        <v>3213</v>
      </c>
    </row>
    <row r="1968" spans="1:2">
      <c r="A1968" s="7" t="s">
        <v>5600</v>
      </c>
      <c r="B1968" s="7" t="s">
        <v>3214</v>
      </c>
    </row>
    <row r="1969" spans="1:2">
      <c r="A1969" s="7" t="s">
        <v>5601</v>
      </c>
      <c r="B1969" s="7" t="s">
        <v>3215</v>
      </c>
    </row>
    <row r="1970" spans="1:2">
      <c r="A1970" s="7" t="s">
        <v>5602</v>
      </c>
      <c r="B1970" s="7" t="s">
        <v>3216</v>
      </c>
    </row>
    <row r="1971" spans="1:2">
      <c r="A1971" s="7" t="s">
        <v>5603</v>
      </c>
      <c r="B1971" s="7" t="s">
        <v>3217</v>
      </c>
    </row>
    <row r="1972" spans="1:2">
      <c r="A1972" s="7" t="s">
        <v>5604</v>
      </c>
      <c r="B1972" s="7" t="s">
        <v>3218</v>
      </c>
    </row>
    <row r="1973" spans="1:2">
      <c r="A1973" s="7" t="s">
        <v>5605</v>
      </c>
      <c r="B1973" s="7" t="s">
        <v>3219</v>
      </c>
    </row>
    <row r="1974" spans="1:2">
      <c r="A1974" s="7" t="s">
        <v>5606</v>
      </c>
      <c r="B1974" s="7" t="s">
        <v>3220</v>
      </c>
    </row>
    <row r="1975" spans="1:2">
      <c r="A1975" s="7" t="s">
        <v>5607</v>
      </c>
      <c r="B1975" s="7" t="s">
        <v>3221</v>
      </c>
    </row>
    <row r="1976" spans="1:2">
      <c r="A1976" s="7" t="s">
        <v>5608</v>
      </c>
      <c r="B1976" s="7" t="s">
        <v>3222</v>
      </c>
    </row>
    <row r="1977" spans="1:2">
      <c r="A1977" s="7" t="s">
        <v>5609</v>
      </c>
      <c r="B1977" s="7" t="s">
        <v>3223</v>
      </c>
    </row>
    <row r="1978" spans="1:2">
      <c r="A1978" s="7" t="s">
        <v>5610</v>
      </c>
      <c r="B1978" s="7" t="s">
        <v>3224</v>
      </c>
    </row>
    <row r="1979" spans="1:2">
      <c r="A1979" s="7" t="s">
        <v>5611</v>
      </c>
      <c r="B1979" s="7" t="s">
        <v>3225</v>
      </c>
    </row>
    <row r="1980" spans="1:2">
      <c r="A1980" s="7" t="s">
        <v>5612</v>
      </c>
      <c r="B1980" s="7" t="s">
        <v>3226</v>
      </c>
    </row>
    <row r="1981" spans="1:2">
      <c r="A1981" s="7" t="s">
        <v>5613</v>
      </c>
      <c r="B1981" s="7" t="s">
        <v>3227</v>
      </c>
    </row>
    <row r="1982" spans="1:2">
      <c r="A1982" s="7" t="s">
        <v>5614</v>
      </c>
      <c r="B1982" s="7" t="s">
        <v>3228</v>
      </c>
    </row>
    <row r="1983" spans="1:2">
      <c r="A1983" s="7" t="s">
        <v>5615</v>
      </c>
      <c r="B1983" s="7" t="s">
        <v>3229</v>
      </c>
    </row>
    <row r="1984" spans="1:2">
      <c r="A1984" s="7" t="s">
        <v>5616</v>
      </c>
      <c r="B1984" s="7" t="s">
        <v>3230</v>
      </c>
    </row>
    <row r="1985" spans="1:2">
      <c r="A1985" s="7" t="s">
        <v>5617</v>
      </c>
      <c r="B1985" s="7" t="s">
        <v>3231</v>
      </c>
    </row>
    <row r="1986" spans="1:2">
      <c r="A1986" s="7" t="s">
        <v>5618</v>
      </c>
      <c r="B1986" s="7" t="s">
        <v>3232</v>
      </c>
    </row>
    <row r="1987" spans="1:2">
      <c r="A1987" s="7" t="s">
        <v>5619</v>
      </c>
      <c r="B1987" s="7" t="s">
        <v>3233</v>
      </c>
    </row>
    <row r="1988" spans="1:2">
      <c r="A1988" s="7" t="s">
        <v>5620</v>
      </c>
      <c r="B1988" s="7" t="s">
        <v>3234</v>
      </c>
    </row>
    <row r="1989" spans="1:2">
      <c r="A1989" s="7" t="s">
        <v>5621</v>
      </c>
      <c r="B1989" s="7" t="s">
        <v>3235</v>
      </c>
    </row>
    <row r="1990" spans="1:2">
      <c r="A1990" s="7" t="s">
        <v>5622</v>
      </c>
      <c r="B1990" s="7" t="s">
        <v>3236</v>
      </c>
    </row>
    <row r="1991" spans="1:2">
      <c r="A1991" s="7" t="s">
        <v>5623</v>
      </c>
      <c r="B1991" s="7" t="s">
        <v>3237</v>
      </c>
    </row>
    <row r="1992" spans="1:2">
      <c r="A1992" s="7" t="s">
        <v>5624</v>
      </c>
      <c r="B1992" s="7" t="s">
        <v>3238</v>
      </c>
    </row>
    <row r="1993" spans="1:2">
      <c r="A1993" s="7" t="s">
        <v>5625</v>
      </c>
      <c r="B1993" s="7" t="s">
        <v>3239</v>
      </c>
    </row>
    <row r="1994" spans="1:2">
      <c r="A1994" s="7" t="s">
        <v>5626</v>
      </c>
      <c r="B1994" s="7" t="s">
        <v>3240</v>
      </c>
    </row>
    <row r="1995" spans="1:2">
      <c r="A1995" s="7" t="s">
        <v>5627</v>
      </c>
      <c r="B1995" s="7" t="s">
        <v>3241</v>
      </c>
    </row>
    <row r="1996" spans="1:2">
      <c r="A1996" s="7" t="s">
        <v>5628</v>
      </c>
      <c r="B1996" s="7" t="s">
        <v>3242</v>
      </c>
    </row>
    <row r="1997" spans="1:2">
      <c r="A1997" s="7" t="s">
        <v>5629</v>
      </c>
      <c r="B1997" s="7" t="s">
        <v>3243</v>
      </c>
    </row>
    <row r="1998" spans="1:2">
      <c r="A1998" s="7" t="s">
        <v>5630</v>
      </c>
      <c r="B1998" s="7" t="s">
        <v>3244</v>
      </c>
    </row>
    <row r="1999" spans="1:2">
      <c r="A1999" s="7" t="s">
        <v>5631</v>
      </c>
      <c r="B1999" s="7" t="s">
        <v>3245</v>
      </c>
    </row>
    <row r="2000" spans="1:2">
      <c r="A2000" s="7" t="s">
        <v>5632</v>
      </c>
      <c r="B2000" s="7" t="s">
        <v>3246</v>
      </c>
    </row>
    <row r="2001" spans="1:2">
      <c r="A2001" s="7" t="s">
        <v>5633</v>
      </c>
      <c r="B2001" s="7" t="s">
        <v>3247</v>
      </c>
    </row>
    <row r="2002" spans="1:2">
      <c r="A2002" s="7" t="s">
        <v>5634</v>
      </c>
      <c r="B2002" s="7" t="s">
        <v>3248</v>
      </c>
    </row>
    <row r="2003" spans="1:2">
      <c r="A2003" s="7" t="s">
        <v>5635</v>
      </c>
      <c r="B2003" s="7" t="s">
        <v>3249</v>
      </c>
    </row>
    <row r="2004" spans="1:2">
      <c r="A2004" s="7" t="s">
        <v>5636</v>
      </c>
      <c r="B2004" s="7" t="s">
        <v>3250</v>
      </c>
    </row>
    <row r="2005" spans="1:2">
      <c r="A2005" s="7" t="s">
        <v>5637</v>
      </c>
      <c r="B2005" s="7" t="s">
        <v>3251</v>
      </c>
    </row>
    <row r="2006" spans="1:2">
      <c r="A2006" s="7" t="s">
        <v>5638</v>
      </c>
      <c r="B2006" s="7" t="s">
        <v>3252</v>
      </c>
    </row>
    <row r="2007" spans="1:2">
      <c r="A2007" s="7" t="s">
        <v>5639</v>
      </c>
      <c r="B2007" s="7" t="s">
        <v>3253</v>
      </c>
    </row>
    <row r="2008" spans="1:2">
      <c r="A2008" s="7" t="s">
        <v>5640</v>
      </c>
      <c r="B2008" s="7" t="s">
        <v>3254</v>
      </c>
    </row>
    <row r="2009" spans="1:2">
      <c r="A2009" s="7" t="s">
        <v>5641</v>
      </c>
      <c r="B2009" s="7" t="s">
        <v>3255</v>
      </c>
    </row>
    <row r="2010" spans="1:2">
      <c r="A2010" s="7" t="s">
        <v>5642</v>
      </c>
      <c r="B2010" s="7" t="s">
        <v>3256</v>
      </c>
    </row>
    <row r="2011" spans="1:2">
      <c r="A2011" s="7" t="s">
        <v>5643</v>
      </c>
      <c r="B2011" s="7" t="s">
        <v>3257</v>
      </c>
    </row>
    <row r="2012" spans="1:2">
      <c r="A2012" s="7" t="s">
        <v>5644</v>
      </c>
      <c r="B2012" s="7" t="s">
        <v>3258</v>
      </c>
    </row>
    <row r="2013" spans="1:2">
      <c r="A2013" s="7" t="s">
        <v>5645</v>
      </c>
      <c r="B2013" s="7" t="s">
        <v>3259</v>
      </c>
    </row>
    <row r="2014" spans="1:2">
      <c r="A2014" s="7" t="s">
        <v>5646</v>
      </c>
      <c r="B2014" s="7" t="s">
        <v>3260</v>
      </c>
    </row>
    <row r="2015" spans="1:2">
      <c r="A2015" s="7" t="s">
        <v>5647</v>
      </c>
      <c r="B2015" s="7" t="s">
        <v>3261</v>
      </c>
    </row>
    <row r="2016" spans="1:2">
      <c r="A2016" s="7" t="s">
        <v>5648</v>
      </c>
      <c r="B2016" s="7" t="s">
        <v>3262</v>
      </c>
    </row>
    <row r="2017" spans="1:2">
      <c r="A2017" s="7" t="s">
        <v>5649</v>
      </c>
      <c r="B2017" s="7" t="s">
        <v>3263</v>
      </c>
    </row>
    <row r="2018" spans="1:2">
      <c r="A2018" s="7" t="s">
        <v>5650</v>
      </c>
      <c r="B2018" s="7" t="s">
        <v>3264</v>
      </c>
    </row>
    <row r="2019" spans="1:2">
      <c r="A2019" s="7" t="s">
        <v>5651</v>
      </c>
      <c r="B2019" s="7" t="s">
        <v>3265</v>
      </c>
    </row>
    <row r="2020" spans="1:2">
      <c r="A2020" s="7" t="s">
        <v>5652</v>
      </c>
      <c r="B2020" s="7" t="s">
        <v>3266</v>
      </c>
    </row>
    <row r="2021" spans="1:2">
      <c r="A2021" s="7" t="s">
        <v>5653</v>
      </c>
      <c r="B2021" s="7" t="s">
        <v>3267</v>
      </c>
    </row>
    <row r="2022" spans="1:2">
      <c r="A2022" s="7" t="s">
        <v>5654</v>
      </c>
      <c r="B2022" s="7" t="s">
        <v>3268</v>
      </c>
    </row>
    <row r="2023" spans="1:2">
      <c r="A2023" s="7" t="s">
        <v>5655</v>
      </c>
      <c r="B2023" s="7" t="s">
        <v>3269</v>
      </c>
    </row>
    <row r="2024" spans="1:2">
      <c r="A2024" s="7" t="s">
        <v>5656</v>
      </c>
      <c r="B2024" s="7" t="s">
        <v>3270</v>
      </c>
    </row>
    <row r="2025" spans="1:2">
      <c r="A2025" s="7" t="s">
        <v>5657</v>
      </c>
      <c r="B2025" s="7" t="s">
        <v>3271</v>
      </c>
    </row>
    <row r="2026" spans="1:2">
      <c r="A2026" s="7" t="s">
        <v>5658</v>
      </c>
      <c r="B2026" s="7" t="s">
        <v>3272</v>
      </c>
    </row>
    <row r="2027" spans="1:2">
      <c r="A2027" s="7" t="s">
        <v>5659</v>
      </c>
      <c r="B2027" s="7" t="s">
        <v>3273</v>
      </c>
    </row>
    <row r="2028" spans="1:2">
      <c r="A2028" s="7" t="s">
        <v>5660</v>
      </c>
      <c r="B2028" s="7" t="s">
        <v>3274</v>
      </c>
    </row>
    <row r="2029" spans="1:2">
      <c r="A2029" s="7" t="s">
        <v>5661</v>
      </c>
      <c r="B2029" s="7" t="s">
        <v>3275</v>
      </c>
    </row>
    <row r="2030" spans="1:2">
      <c r="A2030" s="7" t="s">
        <v>5662</v>
      </c>
      <c r="B2030" s="7" t="s">
        <v>3276</v>
      </c>
    </row>
    <row r="2031" spans="1:2">
      <c r="A2031" s="7" t="s">
        <v>5663</v>
      </c>
      <c r="B2031" s="7" t="s">
        <v>3277</v>
      </c>
    </row>
    <row r="2032" spans="1:2">
      <c r="A2032" s="7" t="s">
        <v>5664</v>
      </c>
      <c r="B2032" s="7" t="s">
        <v>3278</v>
      </c>
    </row>
    <row r="2033" spans="1:2">
      <c r="A2033" s="7" t="s">
        <v>5665</v>
      </c>
      <c r="B2033" s="7" t="s">
        <v>3279</v>
      </c>
    </row>
    <row r="2034" spans="1:2">
      <c r="A2034" s="7" t="s">
        <v>5666</v>
      </c>
      <c r="B2034" s="7" t="s">
        <v>3280</v>
      </c>
    </row>
    <row r="2035" spans="1:2">
      <c r="A2035" s="7" t="s">
        <v>5667</v>
      </c>
      <c r="B2035" s="7" t="s">
        <v>3281</v>
      </c>
    </row>
    <row r="2036" spans="1:2">
      <c r="A2036" s="7" t="s">
        <v>5668</v>
      </c>
      <c r="B2036" s="7" t="s">
        <v>3282</v>
      </c>
    </row>
    <row r="2037" spans="1:2">
      <c r="A2037" s="7" t="s">
        <v>5669</v>
      </c>
      <c r="B2037" s="7" t="s">
        <v>3283</v>
      </c>
    </row>
    <row r="2038" spans="1:2">
      <c r="A2038" s="7" t="s">
        <v>5670</v>
      </c>
      <c r="B2038" s="7" t="s">
        <v>3284</v>
      </c>
    </row>
    <row r="2039" spans="1:2">
      <c r="A2039" s="7" t="s">
        <v>5671</v>
      </c>
      <c r="B2039" s="7" t="s">
        <v>3285</v>
      </c>
    </row>
    <row r="2040" spans="1:2">
      <c r="A2040" s="7" t="s">
        <v>5672</v>
      </c>
      <c r="B2040" s="7" t="s">
        <v>3286</v>
      </c>
    </row>
    <row r="2041" spans="1:2">
      <c r="A2041" s="7" t="s">
        <v>5673</v>
      </c>
      <c r="B2041" s="7" t="s">
        <v>3287</v>
      </c>
    </row>
    <row r="2042" spans="1:2">
      <c r="A2042" s="7" t="s">
        <v>5674</v>
      </c>
      <c r="B2042" s="7" t="s">
        <v>3288</v>
      </c>
    </row>
    <row r="2043" spans="1:2">
      <c r="A2043" s="7" t="s">
        <v>5675</v>
      </c>
      <c r="B2043" s="7" t="s">
        <v>3289</v>
      </c>
    </row>
    <row r="2044" spans="1:2">
      <c r="A2044" s="7" t="s">
        <v>5676</v>
      </c>
      <c r="B2044" s="7" t="s">
        <v>3290</v>
      </c>
    </row>
    <row r="2045" spans="1:2">
      <c r="A2045" s="7" t="s">
        <v>5677</v>
      </c>
      <c r="B2045" s="7" t="s">
        <v>3291</v>
      </c>
    </row>
    <row r="2046" spans="1:2">
      <c r="A2046" s="7" t="s">
        <v>5678</v>
      </c>
      <c r="B2046" s="7" t="s">
        <v>3292</v>
      </c>
    </row>
    <row r="2047" spans="1:2">
      <c r="A2047" s="7" t="s">
        <v>5679</v>
      </c>
      <c r="B2047" s="7" t="s">
        <v>3293</v>
      </c>
    </row>
    <row r="2048" spans="1:2">
      <c r="A2048" s="7" t="s">
        <v>5680</v>
      </c>
      <c r="B2048" s="7" t="s">
        <v>3294</v>
      </c>
    </row>
    <row r="2049" spans="1:2">
      <c r="A2049" s="7" t="s">
        <v>5681</v>
      </c>
      <c r="B2049" s="7" t="s">
        <v>3295</v>
      </c>
    </row>
    <row r="2050" spans="1:2">
      <c r="A2050" s="7" t="s">
        <v>5682</v>
      </c>
      <c r="B2050" s="7" t="s">
        <v>3296</v>
      </c>
    </row>
    <row r="2051" spans="1:2">
      <c r="A2051" s="7" t="s">
        <v>5683</v>
      </c>
      <c r="B2051" s="7" t="s">
        <v>3297</v>
      </c>
    </row>
    <row r="2052" spans="1:2">
      <c r="A2052" s="7" t="s">
        <v>5684</v>
      </c>
      <c r="B2052" s="7" t="s">
        <v>3298</v>
      </c>
    </row>
    <row r="2053" spans="1:2">
      <c r="A2053" s="7" t="s">
        <v>5685</v>
      </c>
      <c r="B2053" s="7" t="s">
        <v>3299</v>
      </c>
    </row>
    <row r="2054" spans="1:2">
      <c r="A2054" s="7" t="s">
        <v>5686</v>
      </c>
      <c r="B2054" s="7" t="s">
        <v>3300</v>
      </c>
    </row>
    <row r="2055" spans="1:2">
      <c r="A2055" s="7" t="s">
        <v>5687</v>
      </c>
      <c r="B2055" s="7" t="s">
        <v>3301</v>
      </c>
    </row>
    <row r="2056" spans="1:2">
      <c r="A2056" s="7" t="s">
        <v>5688</v>
      </c>
      <c r="B2056" s="7" t="s">
        <v>3302</v>
      </c>
    </row>
    <row r="2057" spans="1:2">
      <c r="A2057" s="7" t="s">
        <v>5689</v>
      </c>
      <c r="B2057" s="7" t="s">
        <v>3303</v>
      </c>
    </row>
    <row r="2058" spans="1:2">
      <c r="A2058" s="7" t="s">
        <v>5690</v>
      </c>
      <c r="B2058" s="7" t="s">
        <v>3304</v>
      </c>
    </row>
    <row r="2059" spans="1:2">
      <c r="A2059" s="7" t="s">
        <v>5691</v>
      </c>
      <c r="B2059" s="7" t="s">
        <v>3305</v>
      </c>
    </row>
    <row r="2060" spans="1:2">
      <c r="A2060" s="7" t="s">
        <v>5692</v>
      </c>
      <c r="B2060" s="7" t="s">
        <v>3306</v>
      </c>
    </row>
    <row r="2061" spans="1:2">
      <c r="A2061" s="7" t="s">
        <v>5693</v>
      </c>
      <c r="B2061" s="7" t="s">
        <v>3307</v>
      </c>
    </row>
    <row r="2062" spans="1:2">
      <c r="A2062" s="7" t="s">
        <v>5694</v>
      </c>
      <c r="B2062" s="7" t="s">
        <v>3308</v>
      </c>
    </row>
    <row r="2063" spans="1:2">
      <c r="A2063" s="7" t="s">
        <v>5695</v>
      </c>
      <c r="B2063" s="7" t="s">
        <v>3309</v>
      </c>
    </row>
    <row r="2064" spans="1:2">
      <c r="A2064" s="7" t="s">
        <v>5696</v>
      </c>
      <c r="B2064" s="7" t="s">
        <v>3310</v>
      </c>
    </row>
    <row r="2065" spans="1:2">
      <c r="A2065" s="7" t="s">
        <v>5697</v>
      </c>
      <c r="B2065" s="7" t="s">
        <v>3311</v>
      </c>
    </row>
    <row r="2066" spans="1:2">
      <c r="A2066" s="7" t="s">
        <v>5698</v>
      </c>
      <c r="B2066" s="7" t="s">
        <v>3312</v>
      </c>
    </row>
    <row r="2067" spans="1:2">
      <c r="A2067" s="7" t="s">
        <v>5699</v>
      </c>
      <c r="B2067" s="7" t="s">
        <v>3313</v>
      </c>
    </row>
    <row r="2068" spans="1:2">
      <c r="A2068" s="7" t="s">
        <v>5700</v>
      </c>
      <c r="B2068" s="7" t="s">
        <v>3314</v>
      </c>
    </row>
    <row r="2069" spans="1:2">
      <c r="A2069" s="7" t="s">
        <v>5701</v>
      </c>
      <c r="B2069" s="7" t="s">
        <v>3315</v>
      </c>
    </row>
    <row r="2070" spans="1:2">
      <c r="A2070" s="7" t="s">
        <v>5702</v>
      </c>
      <c r="B2070" s="7" t="s">
        <v>3316</v>
      </c>
    </row>
    <row r="2071" spans="1:2">
      <c r="A2071" s="7" t="s">
        <v>5703</v>
      </c>
      <c r="B2071" s="7" t="s">
        <v>3317</v>
      </c>
    </row>
    <row r="2072" spans="1:2">
      <c r="A2072" s="7" t="s">
        <v>5704</v>
      </c>
      <c r="B2072" s="7" t="s">
        <v>3318</v>
      </c>
    </row>
    <row r="2073" spans="1:2">
      <c r="A2073" s="7" t="s">
        <v>5705</v>
      </c>
      <c r="B2073" s="7" t="s">
        <v>3319</v>
      </c>
    </row>
    <row r="2074" spans="1:2">
      <c r="A2074" s="7" t="s">
        <v>5706</v>
      </c>
      <c r="B2074" s="7" t="s">
        <v>3320</v>
      </c>
    </row>
    <row r="2075" spans="1:2">
      <c r="A2075" s="7" t="s">
        <v>5707</v>
      </c>
      <c r="B2075" s="7" t="s">
        <v>3321</v>
      </c>
    </row>
    <row r="2076" spans="1:2">
      <c r="A2076" s="7" t="s">
        <v>5708</v>
      </c>
      <c r="B2076" s="7" t="s">
        <v>3322</v>
      </c>
    </row>
    <row r="2077" spans="1:2">
      <c r="A2077" s="7" t="s">
        <v>5709</v>
      </c>
      <c r="B2077" s="7" t="s">
        <v>3323</v>
      </c>
    </row>
    <row r="2078" spans="1:2">
      <c r="A2078" s="7" t="s">
        <v>5710</v>
      </c>
      <c r="B2078" s="7" t="s">
        <v>3324</v>
      </c>
    </row>
    <row r="2079" spans="1:2">
      <c r="A2079" s="7" t="s">
        <v>5711</v>
      </c>
      <c r="B2079" s="7" t="s">
        <v>3325</v>
      </c>
    </row>
    <row r="2080" spans="1:2">
      <c r="A2080" s="7" t="s">
        <v>5712</v>
      </c>
      <c r="B2080" s="7" t="s">
        <v>3326</v>
      </c>
    </row>
    <row r="2081" spans="1:2">
      <c r="A2081" s="7" t="s">
        <v>5713</v>
      </c>
      <c r="B2081" s="7" t="s">
        <v>3327</v>
      </c>
    </row>
    <row r="2082" spans="1:2">
      <c r="A2082" s="7" t="s">
        <v>5714</v>
      </c>
      <c r="B2082" s="7" t="s">
        <v>3328</v>
      </c>
    </row>
    <row r="2083" spans="1:2">
      <c r="A2083" s="7" t="s">
        <v>5715</v>
      </c>
      <c r="B2083" s="7" t="s">
        <v>3329</v>
      </c>
    </row>
    <row r="2084" spans="1:2">
      <c r="A2084" s="7" t="s">
        <v>5716</v>
      </c>
      <c r="B2084" s="7" t="s">
        <v>3330</v>
      </c>
    </row>
    <row r="2085" spans="1:2">
      <c r="A2085" s="7" t="s">
        <v>5717</v>
      </c>
      <c r="B2085" s="7" t="s">
        <v>3331</v>
      </c>
    </row>
    <row r="2086" spans="1:2">
      <c r="A2086" s="7" t="s">
        <v>5718</v>
      </c>
      <c r="B2086" s="7" t="s">
        <v>3332</v>
      </c>
    </row>
    <row r="2087" spans="1:2">
      <c r="A2087" s="7" t="s">
        <v>5719</v>
      </c>
      <c r="B2087" s="7" t="s">
        <v>3333</v>
      </c>
    </row>
    <row r="2088" spans="1:2">
      <c r="A2088" s="7" t="s">
        <v>5720</v>
      </c>
      <c r="B2088" s="7" t="s">
        <v>3334</v>
      </c>
    </row>
    <row r="2089" spans="1:2">
      <c r="A2089" s="7" t="s">
        <v>5721</v>
      </c>
      <c r="B2089" s="7" t="s">
        <v>3335</v>
      </c>
    </row>
    <row r="2090" spans="1:2">
      <c r="A2090" s="7" t="s">
        <v>5722</v>
      </c>
      <c r="B2090" s="7" t="s">
        <v>3336</v>
      </c>
    </row>
    <row r="2091" spans="1:2">
      <c r="A2091" s="7" t="s">
        <v>5723</v>
      </c>
      <c r="B2091" s="7" t="s">
        <v>3337</v>
      </c>
    </row>
    <row r="2092" spans="1:2">
      <c r="A2092" s="7" t="s">
        <v>5724</v>
      </c>
      <c r="B2092" s="7" t="s">
        <v>3338</v>
      </c>
    </row>
    <row r="2093" spans="1:2">
      <c r="A2093" s="7" t="s">
        <v>5725</v>
      </c>
      <c r="B2093" s="7" t="s">
        <v>3339</v>
      </c>
    </row>
    <row r="2094" spans="1:2">
      <c r="A2094" s="7" t="s">
        <v>5726</v>
      </c>
      <c r="B2094" s="7" t="s">
        <v>3340</v>
      </c>
    </row>
    <row r="2095" spans="1:2">
      <c r="A2095" s="7" t="s">
        <v>5727</v>
      </c>
      <c r="B2095" s="7" t="s">
        <v>3341</v>
      </c>
    </row>
    <row r="2096" spans="1:2">
      <c r="A2096" s="7" t="s">
        <v>5728</v>
      </c>
      <c r="B2096" s="7" t="s">
        <v>3342</v>
      </c>
    </row>
    <row r="2097" spans="1:2">
      <c r="A2097" s="7" t="s">
        <v>5729</v>
      </c>
      <c r="B2097" s="7" t="s">
        <v>3343</v>
      </c>
    </row>
    <row r="2098" spans="1:2">
      <c r="A2098" s="7" t="s">
        <v>5730</v>
      </c>
      <c r="B2098" s="7" t="s">
        <v>3344</v>
      </c>
    </row>
    <row r="2099" spans="1:2">
      <c r="A2099" s="7" t="s">
        <v>5731</v>
      </c>
      <c r="B2099" s="7" t="s">
        <v>3345</v>
      </c>
    </row>
    <row r="2100" spans="1:2">
      <c r="A2100" s="7" t="s">
        <v>5732</v>
      </c>
      <c r="B2100" s="7" t="s">
        <v>3346</v>
      </c>
    </row>
    <row r="2101" spans="1:2">
      <c r="A2101" s="7" t="s">
        <v>5733</v>
      </c>
      <c r="B2101" s="7" t="s">
        <v>3347</v>
      </c>
    </row>
    <row r="2102" spans="1:2">
      <c r="A2102" s="7" t="s">
        <v>5734</v>
      </c>
      <c r="B2102" s="7" t="s">
        <v>3348</v>
      </c>
    </row>
    <row r="2103" spans="1:2">
      <c r="A2103" s="7" t="s">
        <v>5735</v>
      </c>
      <c r="B2103" s="7" t="s">
        <v>3349</v>
      </c>
    </row>
    <row r="2104" spans="1:2">
      <c r="A2104" s="7" t="s">
        <v>5736</v>
      </c>
      <c r="B2104" s="7" t="s">
        <v>3350</v>
      </c>
    </row>
    <row r="2105" spans="1:2">
      <c r="A2105" s="7" t="s">
        <v>5737</v>
      </c>
      <c r="B2105" s="7" t="s">
        <v>3351</v>
      </c>
    </row>
    <row r="2106" spans="1:2">
      <c r="A2106" s="7" t="s">
        <v>5738</v>
      </c>
      <c r="B2106" s="7" t="s">
        <v>3352</v>
      </c>
    </row>
    <row r="2107" spans="1:2">
      <c r="A2107" s="7" t="s">
        <v>5739</v>
      </c>
      <c r="B2107" s="7" t="s">
        <v>3353</v>
      </c>
    </row>
    <row r="2108" spans="1:2">
      <c r="A2108" s="7" t="s">
        <v>5740</v>
      </c>
      <c r="B2108" s="7" t="s">
        <v>3354</v>
      </c>
    </row>
    <row r="2109" spans="1:2">
      <c r="A2109" s="7" t="s">
        <v>5741</v>
      </c>
      <c r="B2109" s="7" t="s">
        <v>3355</v>
      </c>
    </row>
    <row r="2110" spans="1:2">
      <c r="A2110" s="7" t="s">
        <v>5742</v>
      </c>
      <c r="B2110" s="7" t="s">
        <v>3356</v>
      </c>
    </row>
    <row r="2111" spans="1:2">
      <c r="A2111" s="7" t="s">
        <v>5743</v>
      </c>
      <c r="B2111" s="7" t="s">
        <v>3357</v>
      </c>
    </row>
    <row r="2112" spans="1:2">
      <c r="A2112" s="7" t="s">
        <v>5744</v>
      </c>
      <c r="B2112" s="7" t="s">
        <v>3358</v>
      </c>
    </row>
    <row r="2113" spans="1:2">
      <c r="A2113" s="7" t="s">
        <v>5745</v>
      </c>
      <c r="B2113" s="7" t="s">
        <v>3359</v>
      </c>
    </row>
    <row r="2114" spans="1:2">
      <c r="A2114" s="7" t="s">
        <v>5746</v>
      </c>
      <c r="B2114" s="7" t="s">
        <v>3360</v>
      </c>
    </row>
    <row r="2115" spans="1:2">
      <c r="A2115" s="7" t="s">
        <v>5747</v>
      </c>
      <c r="B2115" s="7" t="s">
        <v>3361</v>
      </c>
    </row>
    <row r="2116" spans="1:2">
      <c r="A2116" s="7" t="s">
        <v>5748</v>
      </c>
      <c r="B2116" s="7" t="s">
        <v>3362</v>
      </c>
    </row>
    <row r="2117" spans="1:2">
      <c r="A2117" s="7" t="s">
        <v>5749</v>
      </c>
      <c r="B2117" s="7" t="s">
        <v>3363</v>
      </c>
    </row>
    <row r="2118" spans="1:2">
      <c r="A2118" s="7" t="s">
        <v>5750</v>
      </c>
      <c r="B2118" s="7" t="s">
        <v>3364</v>
      </c>
    </row>
    <row r="2119" spans="1:2">
      <c r="A2119" s="7" t="s">
        <v>5751</v>
      </c>
      <c r="B2119" s="7" t="s">
        <v>3365</v>
      </c>
    </row>
    <row r="2120" spans="1:2">
      <c r="A2120" s="7" t="s">
        <v>5752</v>
      </c>
      <c r="B2120" s="7" t="s">
        <v>3366</v>
      </c>
    </row>
    <row r="2121" spans="1:2">
      <c r="A2121" s="7" t="s">
        <v>5753</v>
      </c>
      <c r="B2121" s="7" t="s">
        <v>3367</v>
      </c>
    </row>
    <row r="2122" spans="1:2">
      <c r="A2122" s="7" t="s">
        <v>5754</v>
      </c>
      <c r="B2122" s="7" t="s">
        <v>3368</v>
      </c>
    </row>
    <row r="2123" spans="1:2">
      <c r="A2123" s="7" t="s">
        <v>5755</v>
      </c>
      <c r="B2123" s="7" t="s">
        <v>3369</v>
      </c>
    </row>
    <row r="2124" spans="1:2">
      <c r="A2124" s="7" t="s">
        <v>5756</v>
      </c>
      <c r="B2124" s="7" t="s">
        <v>3370</v>
      </c>
    </row>
    <row r="2125" spans="1:2">
      <c r="A2125" s="7" t="s">
        <v>5757</v>
      </c>
      <c r="B2125" s="7" t="s">
        <v>3371</v>
      </c>
    </row>
    <row r="2126" spans="1:2">
      <c r="A2126" s="7" t="s">
        <v>5758</v>
      </c>
      <c r="B2126" s="7" t="s">
        <v>3372</v>
      </c>
    </row>
    <row r="2127" spans="1:2">
      <c r="A2127" s="7" t="s">
        <v>5759</v>
      </c>
      <c r="B2127" s="7" t="s">
        <v>3373</v>
      </c>
    </row>
    <row r="2128" spans="1:2">
      <c r="A2128" s="7" t="s">
        <v>5760</v>
      </c>
      <c r="B2128" s="7" t="s">
        <v>3374</v>
      </c>
    </row>
    <row r="2129" spans="1:2">
      <c r="A2129" s="7" t="s">
        <v>5761</v>
      </c>
      <c r="B2129" s="7" t="s">
        <v>3375</v>
      </c>
    </row>
    <row r="2130" spans="1:2">
      <c r="A2130" s="7" t="s">
        <v>5762</v>
      </c>
      <c r="B2130" s="7" t="s">
        <v>3376</v>
      </c>
    </row>
    <row r="2131" spans="1:2">
      <c r="A2131" s="7" t="s">
        <v>5763</v>
      </c>
      <c r="B2131" s="7" t="s">
        <v>3377</v>
      </c>
    </row>
    <row r="2132" spans="1:2">
      <c r="A2132" s="7" t="s">
        <v>5764</v>
      </c>
      <c r="B2132" s="7" t="s">
        <v>3378</v>
      </c>
    </row>
    <row r="2133" spans="1:2">
      <c r="A2133" s="7" t="s">
        <v>5765</v>
      </c>
      <c r="B2133" s="7" t="s">
        <v>3379</v>
      </c>
    </row>
    <row r="2134" spans="1:2">
      <c r="A2134" s="7" t="s">
        <v>5766</v>
      </c>
      <c r="B2134" s="7" t="s">
        <v>3380</v>
      </c>
    </row>
    <row r="2135" spans="1:2">
      <c r="A2135" s="7" t="s">
        <v>5767</v>
      </c>
      <c r="B2135" s="7" t="s">
        <v>3381</v>
      </c>
    </row>
    <row r="2136" spans="1:2">
      <c r="A2136" s="7" t="s">
        <v>5768</v>
      </c>
      <c r="B2136" s="7" t="s">
        <v>3382</v>
      </c>
    </row>
    <row r="2137" spans="1:2">
      <c r="A2137" s="7" t="s">
        <v>5769</v>
      </c>
      <c r="B2137" s="7" t="s">
        <v>3383</v>
      </c>
    </row>
    <row r="2138" spans="1:2">
      <c r="A2138" s="7" t="s">
        <v>5770</v>
      </c>
      <c r="B2138" s="7" t="s">
        <v>3384</v>
      </c>
    </row>
    <row r="2139" spans="1:2">
      <c r="A2139" s="7" t="s">
        <v>5771</v>
      </c>
      <c r="B2139" s="7" t="s">
        <v>3385</v>
      </c>
    </row>
    <row r="2140" spans="1:2">
      <c r="A2140" s="7" t="s">
        <v>5772</v>
      </c>
      <c r="B2140" s="7" t="s">
        <v>3386</v>
      </c>
    </row>
    <row r="2141" spans="1:2">
      <c r="A2141" s="7" t="s">
        <v>5773</v>
      </c>
      <c r="B2141" s="7" t="s">
        <v>3387</v>
      </c>
    </row>
    <row r="2142" spans="1:2">
      <c r="A2142" s="7" t="s">
        <v>5774</v>
      </c>
      <c r="B2142" s="7" t="s">
        <v>3388</v>
      </c>
    </row>
    <row r="2143" spans="1:2">
      <c r="A2143" s="7" t="s">
        <v>5775</v>
      </c>
      <c r="B2143" s="7" t="s">
        <v>3389</v>
      </c>
    </row>
    <row r="2144" spans="1:2">
      <c r="A2144" s="7" t="s">
        <v>5776</v>
      </c>
      <c r="B2144" s="7" t="s">
        <v>3390</v>
      </c>
    </row>
    <row r="2145" spans="1:2">
      <c r="A2145" s="7" t="s">
        <v>5777</v>
      </c>
      <c r="B2145" s="7" t="s">
        <v>3391</v>
      </c>
    </row>
    <row r="2146" spans="1:2">
      <c r="A2146" s="7" t="s">
        <v>5778</v>
      </c>
      <c r="B2146" s="7" t="s">
        <v>3392</v>
      </c>
    </row>
    <row r="2147" spans="1:2">
      <c r="A2147" s="7" t="s">
        <v>5779</v>
      </c>
      <c r="B2147" s="7" t="s">
        <v>3393</v>
      </c>
    </row>
    <row r="2148" spans="1:2">
      <c r="A2148" s="7" t="s">
        <v>5780</v>
      </c>
      <c r="B2148" s="7" t="s">
        <v>3394</v>
      </c>
    </row>
    <row r="2149" spans="1:2">
      <c r="A2149" s="7" t="s">
        <v>5781</v>
      </c>
      <c r="B2149" s="7" t="s">
        <v>3395</v>
      </c>
    </row>
    <row r="2150" spans="1:2">
      <c r="A2150" s="7" t="s">
        <v>5782</v>
      </c>
      <c r="B2150" s="7" t="s">
        <v>3396</v>
      </c>
    </row>
    <row r="2151" spans="1:2">
      <c r="A2151" s="7" t="s">
        <v>5783</v>
      </c>
      <c r="B2151" s="7" t="s">
        <v>3397</v>
      </c>
    </row>
    <row r="2152" spans="1:2">
      <c r="A2152" s="7" t="s">
        <v>5784</v>
      </c>
      <c r="B2152" s="7" t="s">
        <v>3398</v>
      </c>
    </row>
    <row r="2153" spans="1:2">
      <c r="A2153" s="7" t="s">
        <v>5785</v>
      </c>
      <c r="B2153" s="7" t="s">
        <v>3399</v>
      </c>
    </row>
    <row r="2154" spans="1:2">
      <c r="A2154" s="7" t="s">
        <v>5786</v>
      </c>
      <c r="B2154" s="7" t="s">
        <v>3400</v>
      </c>
    </row>
    <row r="2155" spans="1:2">
      <c r="A2155" s="7" t="s">
        <v>5787</v>
      </c>
      <c r="B2155" s="7" t="s">
        <v>3401</v>
      </c>
    </row>
    <row r="2156" spans="1:2">
      <c r="A2156" s="7" t="s">
        <v>5788</v>
      </c>
      <c r="B2156" s="7" t="s">
        <v>3402</v>
      </c>
    </row>
    <row r="2157" spans="1:2">
      <c r="A2157" s="7" t="s">
        <v>5789</v>
      </c>
      <c r="B2157" s="7" t="s">
        <v>3403</v>
      </c>
    </row>
    <row r="2158" spans="1:2">
      <c r="A2158" s="7" t="s">
        <v>5790</v>
      </c>
      <c r="B2158" s="7" t="s">
        <v>3404</v>
      </c>
    </row>
    <row r="2159" spans="1:2">
      <c r="A2159" s="7" t="s">
        <v>5791</v>
      </c>
      <c r="B2159" s="7" t="s">
        <v>3405</v>
      </c>
    </row>
    <row r="2160" spans="1:2">
      <c r="A2160" s="7" t="s">
        <v>5792</v>
      </c>
      <c r="B2160" s="7" t="s">
        <v>3406</v>
      </c>
    </row>
    <row r="2161" spans="1:2">
      <c r="A2161" s="7" t="s">
        <v>5793</v>
      </c>
      <c r="B2161" s="7" t="s">
        <v>3407</v>
      </c>
    </row>
    <row r="2162" spans="1:2">
      <c r="A2162" s="7" t="s">
        <v>5794</v>
      </c>
      <c r="B2162" s="7" t="s">
        <v>3408</v>
      </c>
    </row>
    <row r="2163" spans="1:2">
      <c r="A2163" s="7" t="s">
        <v>5795</v>
      </c>
      <c r="B2163" s="7" t="s">
        <v>3409</v>
      </c>
    </row>
    <row r="2164" spans="1:2">
      <c r="A2164" s="7" t="s">
        <v>5796</v>
      </c>
      <c r="B2164" s="7" t="s">
        <v>3410</v>
      </c>
    </row>
    <row r="2165" spans="1:2">
      <c r="A2165" s="7" t="s">
        <v>5797</v>
      </c>
      <c r="B2165" s="7" t="s">
        <v>3411</v>
      </c>
    </row>
    <row r="2166" spans="1:2">
      <c r="A2166" s="7" t="s">
        <v>5798</v>
      </c>
      <c r="B2166" s="7" t="s">
        <v>3412</v>
      </c>
    </row>
    <row r="2167" spans="1:2">
      <c r="A2167" s="7" t="s">
        <v>5799</v>
      </c>
      <c r="B2167" s="7" t="s">
        <v>3413</v>
      </c>
    </row>
    <row r="2168" spans="1:2">
      <c r="A2168" s="7" t="s">
        <v>5800</v>
      </c>
      <c r="B2168" s="7" t="s">
        <v>3414</v>
      </c>
    </row>
    <row r="2169" spans="1:2">
      <c r="A2169" s="7" t="s">
        <v>5801</v>
      </c>
      <c r="B2169" s="7" t="s">
        <v>3415</v>
      </c>
    </row>
    <row r="2170" spans="1:2">
      <c r="A2170" s="7" t="s">
        <v>5802</v>
      </c>
      <c r="B2170" s="7" t="s">
        <v>3416</v>
      </c>
    </row>
    <row r="2171" spans="1:2">
      <c r="A2171" s="7" t="s">
        <v>5803</v>
      </c>
      <c r="B2171" s="7" t="s">
        <v>3417</v>
      </c>
    </row>
    <row r="2172" spans="1:2">
      <c r="A2172" s="7" t="s">
        <v>5804</v>
      </c>
      <c r="B2172" s="7" t="s">
        <v>3418</v>
      </c>
    </row>
    <row r="2173" spans="1:2">
      <c r="A2173" s="7" t="s">
        <v>5805</v>
      </c>
      <c r="B2173" s="7" t="s">
        <v>3419</v>
      </c>
    </row>
    <row r="2174" spans="1:2">
      <c r="A2174" s="7" t="s">
        <v>5806</v>
      </c>
      <c r="B2174" s="7" t="s">
        <v>3420</v>
      </c>
    </row>
    <row r="2175" spans="1:2">
      <c r="A2175" s="7" t="s">
        <v>5807</v>
      </c>
      <c r="B2175" s="7" t="s">
        <v>3421</v>
      </c>
    </row>
    <row r="2176" spans="1:2">
      <c r="A2176" s="7" t="s">
        <v>5808</v>
      </c>
      <c r="B2176" s="7" t="s">
        <v>3422</v>
      </c>
    </row>
    <row r="2177" spans="1:2">
      <c r="A2177" s="7" t="s">
        <v>5809</v>
      </c>
      <c r="B2177" s="7" t="s">
        <v>3423</v>
      </c>
    </row>
    <row r="2178" spans="1:2">
      <c r="A2178" s="7" t="s">
        <v>5810</v>
      </c>
      <c r="B2178" s="7" t="s">
        <v>3424</v>
      </c>
    </row>
    <row r="2179" spans="1:2">
      <c r="A2179" s="7" t="s">
        <v>5811</v>
      </c>
      <c r="B2179" s="7" t="s">
        <v>3425</v>
      </c>
    </row>
    <row r="2180" spans="1:2">
      <c r="A2180" s="7" t="s">
        <v>5812</v>
      </c>
      <c r="B2180" s="7" t="s">
        <v>3426</v>
      </c>
    </row>
    <row r="2181" spans="1:2">
      <c r="A2181" s="7" t="s">
        <v>5813</v>
      </c>
      <c r="B2181" s="7" t="s">
        <v>3427</v>
      </c>
    </row>
    <row r="2182" spans="1:2">
      <c r="A2182" s="7" t="s">
        <v>5814</v>
      </c>
      <c r="B2182" s="7" t="s">
        <v>3428</v>
      </c>
    </row>
    <row r="2183" spans="1:2">
      <c r="A2183" s="7" t="s">
        <v>5815</v>
      </c>
      <c r="B2183" s="7" t="s">
        <v>3429</v>
      </c>
    </row>
    <row r="2184" spans="1:2">
      <c r="A2184" s="7" t="s">
        <v>5816</v>
      </c>
      <c r="B2184" s="7" t="s">
        <v>3430</v>
      </c>
    </row>
    <row r="2185" spans="1:2">
      <c r="A2185" s="7" t="s">
        <v>5817</v>
      </c>
      <c r="B2185" s="7" t="s">
        <v>3431</v>
      </c>
    </row>
    <row r="2186" spans="1:2">
      <c r="A2186" s="7" t="s">
        <v>5818</v>
      </c>
      <c r="B2186" s="7" t="s">
        <v>3432</v>
      </c>
    </row>
    <row r="2187" spans="1:2">
      <c r="A2187" s="7" t="s">
        <v>5819</v>
      </c>
      <c r="B2187" s="7" t="s">
        <v>3433</v>
      </c>
    </row>
    <row r="2188" spans="1:2">
      <c r="A2188" s="7" t="s">
        <v>5820</v>
      </c>
      <c r="B2188" s="7" t="s">
        <v>3434</v>
      </c>
    </row>
    <row r="2189" spans="1:2">
      <c r="A2189" s="7" t="s">
        <v>5821</v>
      </c>
      <c r="B2189" s="7" t="s">
        <v>3435</v>
      </c>
    </row>
    <row r="2190" spans="1:2">
      <c r="A2190" s="7" t="s">
        <v>5822</v>
      </c>
      <c r="B2190" s="7" t="s">
        <v>3436</v>
      </c>
    </row>
    <row r="2191" spans="1:2">
      <c r="A2191" s="7" t="s">
        <v>5823</v>
      </c>
      <c r="B2191" s="7" t="s">
        <v>3437</v>
      </c>
    </row>
    <row r="2192" spans="1:2">
      <c r="A2192" s="7" t="s">
        <v>5824</v>
      </c>
      <c r="B2192" s="7" t="s">
        <v>3438</v>
      </c>
    </row>
    <row r="2193" spans="1:2">
      <c r="A2193" s="7" t="s">
        <v>5825</v>
      </c>
      <c r="B2193" s="7" t="s">
        <v>3439</v>
      </c>
    </row>
    <row r="2194" spans="1:2">
      <c r="A2194" s="7" t="s">
        <v>5826</v>
      </c>
      <c r="B2194" s="7" t="s">
        <v>3440</v>
      </c>
    </row>
    <row r="2195" spans="1:2">
      <c r="A2195" s="7" t="s">
        <v>5827</v>
      </c>
      <c r="B2195" s="7" t="s">
        <v>3441</v>
      </c>
    </row>
    <row r="2196" spans="1:2">
      <c r="A2196" s="7" t="s">
        <v>5828</v>
      </c>
      <c r="B2196" s="7" t="s">
        <v>3442</v>
      </c>
    </row>
    <row r="2197" spans="1:2">
      <c r="A2197" s="7" t="s">
        <v>5829</v>
      </c>
      <c r="B2197" s="7" t="s">
        <v>3443</v>
      </c>
    </row>
    <row r="2198" spans="1:2">
      <c r="A2198" s="7" t="s">
        <v>5830</v>
      </c>
      <c r="B2198" s="7" t="s">
        <v>3444</v>
      </c>
    </row>
    <row r="2199" spans="1:2">
      <c r="A2199" s="7" t="s">
        <v>5831</v>
      </c>
      <c r="B2199" s="7" t="s">
        <v>3445</v>
      </c>
    </row>
    <row r="2200" spans="1:2">
      <c r="A2200" s="7" t="s">
        <v>5832</v>
      </c>
      <c r="B2200" s="7" t="s">
        <v>3446</v>
      </c>
    </row>
    <row r="2201" spans="1:2">
      <c r="A2201" s="7" t="s">
        <v>5833</v>
      </c>
      <c r="B2201" s="7" t="s">
        <v>3447</v>
      </c>
    </row>
    <row r="2202" spans="1:2">
      <c r="A2202" s="7" t="s">
        <v>5834</v>
      </c>
      <c r="B2202" s="7" t="s">
        <v>3448</v>
      </c>
    </row>
    <row r="2203" spans="1:2">
      <c r="A2203" s="7" t="s">
        <v>5835</v>
      </c>
      <c r="B2203" s="7" t="s">
        <v>3449</v>
      </c>
    </row>
    <row r="2204" spans="1:2">
      <c r="A2204" s="7" t="s">
        <v>5836</v>
      </c>
      <c r="B2204" s="7" t="s">
        <v>3450</v>
      </c>
    </row>
    <row r="2205" spans="1:2">
      <c r="A2205" s="7" t="s">
        <v>5837</v>
      </c>
      <c r="B2205" s="7" t="s">
        <v>3451</v>
      </c>
    </row>
    <row r="2206" spans="1:2">
      <c r="A2206" s="7" t="s">
        <v>5838</v>
      </c>
      <c r="B2206" s="7" t="s">
        <v>3452</v>
      </c>
    </row>
    <row r="2207" spans="1:2">
      <c r="A2207" s="7" t="s">
        <v>5839</v>
      </c>
      <c r="B2207" s="7" t="s">
        <v>3453</v>
      </c>
    </row>
    <row r="2208" spans="1:2">
      <c r="A2208" s="7" t="s">
        <v>5840</v>
      </c>
      <c r="B2208" s="7" t="s">
        <v>3454</v>
      </c>
    </row>
    <row r="2209" spans="1:2">
      <c r="A2209" s="7" t="s">
        <v>5841</v>
      </c>
      <c r="B2209" s="7" t="s">
        <v>3455</v>
      </c>
    </row>
    <row r="2210" spans="1:2">
      <c r="A2210" s="7" t="s">
        <v>5842</v>
      </c>
      <c r="B2210" s="7" t="s">
        <v>3456</v>
      </c>
    </row>
    <row r="2211" spans="1:2">
      <c r="A2211" s="7" t="s">
        <v>5843</v>
      </c>
      <c r="B2211" s="7" t="s">
        <v>3457</v>
      </c>
    </row>
    <row r="2212" spans="1:2">
      <c r="A2212" s="7" t="s">
        <v>5844</v>
      </c>
      <c r="B2212" s="7" t="s">
        <v>3458</v>
      </c>
    </row>
    <row r="2213" spans="1:2">
      <c r="A2213" s="7" t="s">
        <v>5845</v>
      </c>
      <c r="B2213" s="7" t="s">
        <v>3459</v>
      </c>
    </row>
    <row r="2214" spans="1:2">
      <c r="A2214" s="7" t="s">
        <v>5846</v>
      </c>
      <c r="B2214" s="7" t="s">
        <v>3460</v>
      </c>
    </row>
    <row r="2215" spans="1:2">
      <c r="A2215" s="7" t="s">
        <v>5847</v>
      </c>
      <c r="B2215" s="7" t="s">
        <v>3461</v>
      </c>
    </row>
    <row r="2216" spans="1:2">
      <c r="A2216" s="7" t="s">
        <v>5848</v>
      </c>
      <c r="B2216" s="7" t="s">
        <v>3462</v>
      </c>
    </row>
    <row r="2217" spans="1:2">
      <c r="A2217" s="7" t="s">
        <v>5849</v>
      </c>
      <c r="B2217" s="7" t="s">
        <v>3463</v>
      </c>
    </row>
    <row r="2218" spans="1:2">
      <c r="A2218" s="7" t="s">
        <v>5850</v>
      </c>
      <c r="B2218" s="7" t="s">
        <v>3464</v>
      </c>
    </row>
    <row r="2219" spans="1:2">
      <c r="A2219" s="7" t="s">
        <v>5851</v>
      </c>
      <c r="B2219" s="7" t="s">
        <v>3465</v>
      </c>
    </row>
    <row r="2220" spans="1:2">
      <c r="A2220" s="7" t="s">
        <v>5852</v>
      </c>
      <c r="B2220" s="7" t="s">
        <v>3466</v>
      </c>
    </row>
    <row r="2221" spans="1:2">
      <c r="A2221" s="7" t="s">
        <v>5853</v>
      </c>
      <c r="B2221" s="7" t="s">
        <v>3467</v>
      </c>
    </row>
    <row r="2222" spans="1:2">
      <c r="A2222" s="7" t="s">
        <v>5854</v>
      </c>
      <c r="B2222" s="7" t="s">
        <v>3468</v>
      </c>
    </row>
    <row r="2223" spans="1:2">
      <c r="A2223" s="7" t="s">
        <v>5855</v>
      </c>
      <c r="B2223" s="7" t="s">
        <v>3469</v>
      </c>
    </row>
    <row r="2224" spans="1:2">
      <c r="A2224" s="7" t="s">
        <v>5856</v>
      </c>
      <c r="B2224" s="7" t="s">
        <v>3470</v>
      </c>
    </row>
    <row r="2225" spans="1:2">
      <c r="A2225" s="7" t="s">
        <v>5857</v>
      </c>
      <c r="B2225" s="7" t="s">
        <v>3471</v>
      </c>
    </row>
    <row r="2226" spans="1:2">
      <c r="A2226" s="7" t="s">
        <v>5858</v>
      </c>
      <c r="B2226" s="7" t="s">
        <v>3472</v>
      </c>
    </row>
    <row r="2227" spans="1:2">
      <c r="A2227" s="7" t="s">
        <v>5859</v>
      </c>
      <c r="B2227" s="7" t="s">
        <v>3473</v>
      </c>
    </row>
    <row r="2228" spans="1:2">
      <c r="A2228" s="7" t="s">
        <v>5860</v>
      </c>
      <c r="B2228" s="7" t="s">
        <v>3474</v>
      </c>
    </row>
    <row r="2229" spans="1:2">
      <c r="A2229" s="7" t="s">
        <v>5861</v>
      </c>
      <c r="B2229" s="7" t="s">
        <v>3475</v>
      </c>
    </row>
    <row r="2230" spans="1:2">
      <c r="A2230" s="7" t="s">
        <v>5862</v>
      </c>
      <c r="B2230" s="7" t="s">
        <v>3476</v>
      </c>
    </row>
    <row r="2231" spans="1:2">
      <c r="A2231" s="7" t="s">
        <v>5863</v>
      </c>
      <c r="B2231" s="7" t="s">
        <v>3477</v>
      </c>
    </row>
    <row r="2232" spans="1:2">
      <c r="A2232" s="7" t="s">
        <v>5864</v>
      </c>
      <c r="B2232" s="7" t="s">
        <v>3478</v>
      </c>
    </row>
    <row r="2233" spans="1:2">
      <c r="A2233" s="7" t="s">
        <v>5865</v>
      </c>
      <c r="B2233" s="7" t="s">
        <v>3479</v>
      </c>
    </row>
    <row r="2234" spans="1:2">
      <c r="A2234" s="7" t="s">
        <v>5866</v>
      </c>
      <c r="B2234" s="7" t="s">
        <v>3480</v>
      </c>
    </row>
    <row r="2235" spans="1:2">
      <c r="A2235" s="7" t="s">
        <v>5867</v>
      </c>
      <c r="B2235" s="7" t="s">
        <v>3481</v>
      </c>
    </row>
    <row r="2236" spans="1:2">
      <c r="A2236" s="7" t="s">
        <v>5868</v>
      </c>
      <c r="B2236" s="7" t="s">
        <v>3482</v>
      </c>
    </row>
    <row r="2237" spans="1:2">
      <c r="A2237" s="7" t="s">
        <v>5869</v>
      </c>
      <c r="B2237" s="7" t="s">
        <v>3483</v>
      </c>
    </row>
    <row r="2238" spans="1:2">
      <c r="A2238" s="7" t="s">
        <v>5870</v>
      </c>
      <c r="B2238" s="7" t="s">
        <v>3484</v>
      </c>
    </row>
    <row r="2239" spans="1:2">
      <c r="A2239" s="7" t="s">
        <v>5871</v>
      </c>
      <c r="B2239" s="7" t="s">
        <v>3485</v>
      </c>
    </row>
    <row r="2240" spans="1:2">
      <c r="A2240" s="7" t="s">
        <v>5872</v>
      </c>
      <c r="B2240" s="7" t="s">
        <v>3486</v>
      </c>
    </row>
    <row r="2241" spans="1:2">
      <c r="A2241" s="7" t="s">
        <v>5873</v>
      </c>
      <c r="B2241" s="7" t="s">
        <v>3487</v>
      </c>
    </row>
    <row r="2242" spans="1:2">
      <c r="A2242" s="7" t="s">
        <v>5874</v>
      </c>
      <c r="B2242" s="7" t="s">
        <v>3488</v>
      </c>
    </row>
    <row r="2243" spans="1:2">
      <c r="A2243" s="7" t="s">
        <v>5875</v>
      </c>
      <c r="B2243" s="7" t="s">
        <v>3489</v>
      </c>
    </row>
    <row r="2244" spans="1:2">
      <c r="A2244" s="7" t="s">
        <v>5876</v>
      </c>
      <c r="B2244" s="7" t="s">
        <v>3490</v>
      </c>
    </row>
    <row r="2245" spans="1:2">
      <c r="A2245" s="7" t="s">
        <v>5877</v>
      </c>
      <c r="B2245" s="7" t="s">
        <v>3491</v>
      </c>
    </row>
    <row r="2246" spans="1:2">
      <c r="A2246" s="7" t="s">
        <v>5878</v>
      </c>
      <c r="B2246" s="7" t="s">
        <v>3492</v>
      </c>
    </row>
    <row r="2247" spans="1:2">
      <c r="A2247" s="7" t="s">
        <v>5879</v>
      </c>
      <c r="B2247" s="7" t="s">
        <v>3493</v>
      </c>
    </row>
    <row r="2248" spans="1:2">
      <c r="A2248" s="7" t="s">
        <v>5880</v>
      </c>
      <c r="B2248" s="7" t="s">
        <v>3494</v>
      </c>
    </row>
    <row r="2249" spans="1:2">
      <c r="A2249" s="7" t="s">
        <v>5881</v>
      </c>
      <c r="B2249" s="7" t="s">
        <v>3495</v>
      </c>
    </row>
    <row r="2250" spans="1:2">
      <c r="A2250" s="7" t="s">
        <v>5882</v>
      </c>
      <c r="B2250" s="7" t="s">
        <v>3496</v>
      </c>
    </row>
    <row r="2251" spans="1:2">
      <c r="A2251" s="7" t="s">
        <v>5883</v>
      </c>
      <c r="B2251" s="7" t="s">
        <v>3497</v>
      </c>
    </row>
    <row r="2252" spans="1:2">
      <c r="A2252" s="7" t="s">
        <v>5884</v>
      </c>
      <c r="B2252" s="7" t="s">
        <v>3498</v>
      </c>
    </row>
    <row r="2253" spans="1:2">
      <c r="A2253" s="7" t="s">
        <v>5885</v>
      </c>
      <c r="B2253" s="7" t="s">
        <v>3499</v>
      </c>
    </row>
    <row r="2254" spans="1:2">
      <c r="A2254" s="7" t="s">
        <v>5886</v>
      </c>
      <c r="B2254" s="7" t="s">
        <v>3500</v>
      </c>
    </row>
    <row r="2255" spans="1:2">
      <c r="A2255" s="7" t="s">
        <v>5887</v>
      </c>
      <c r="B2255" s="7" t="s">
        <v>3501</v>
      </c>
    </row>
    <row r="2256" spans="1:2">
      <c r="A2256" s="7" t="s">
        <v>5888</v>
      </c>
      <c r="B2256" s="7" t="s">
        <v>3502</v>
      </c>
    </row>
    <row r="2257" spans="1:2">
      <c r="A2257" s="7" t="s">
        <v>5889</v>
      </c>
      <c r="B2257" s="7" t="s">
        <v>3503</v>
      </c>
    </row>
    <row r="2258" spans="1:2">
      <c r="A2258" s="7" t="s">
        <v>5890</v>
      </c>
      <c r="B2258" s="7" t="s">
        <v>3504</v>
      </c>
    </row>
    <row r="2259" spans="1:2">
      <c r="A2259" s="7" t="s">
        <v>5891</v>
      </c>
      <c r="B2259" s="7" t="s">
        <v>3505</v>
      </c>
    </row>
    <row r="2260" spans="1:2">
      <c r="A2260" s="7" t="s">
        <v>5892</v>
      </c>
      <c r="B2260" s="7" t="s">
        <v>3506</v>
      </c>
    </row>
    <row r="2261" spans="1:2">
      <c r="A2261" s="7" t="s">
        <v>5893</v>
      </c>
      <c r="B2261" s="7" t="s">
        <v>3507</v>
      </c>
    </row>
    <row r="2262" spans="1:2">
      <c r="A2262" s="7" t="s">
        <v>5894</v>
      </c>
      <c r="B2262" s="7" t="s">
        <v>3508</v>
      </c>
    </row>
    <row r="2263" spans="1:2">
      <c r="A2263" s="7" t="s">
        <v>5895</v>
      </c>
      <c r="B2263" s="7" t="s">
        <v>3509</v>
      </c>
    </row>
    <row r="2264" spans="1:2">
      <c r="A2264" s="7" t="s">
        <v>5896</v>
      </c>
      <c r="B2264" s="7" t="s">
        <v>3510</v>
      </c>
    </row>
    <row r="2265" spans="1:2">
      <c r="A2265" s="7" t="s">
        <v>5897</v>
      </c>
      <c r="B2265" s="7" t="s">
        <v>3511</v>
      </c>
    </row>
    <row r="2266" spans="1:2">
      <c r="A2266" s="7" t="s">
        <v>5898</v>
      </c>
      <c r="B2266" s="7" t="s">
        <v>3512</v>
      </c>
    </row>
    <row r="2267" spans="1:2">
      <c r="A2267" s="7" t="s">
        <v>5899</v>
      </c>
      <c r="B2267" s="7" t="s">
        <v>3513</v>
      </c>
    </row>
    <row r="2268" spans="1:2">
      <c r="A2268" s="7" t="s">
        <v>5900</v>
      </c>
      <c r="B2268" s="7" t="s">
        <v>3514</v>
      </c>
    </row>
    <row r="2269" spans="1:2">
      <c r="A2269" s="7" t="s">
        <v>5901</v>
      </c>
      <c r="B2269" s="7" t="s">
        <v>3515</v>
      </c>
    </row>
    <row r="2270" spans="1:2">
      <c r="A2270" s="7" t="s">
        <v>5902</v>
      </c>
      <c r="B2270" s="7" t="s">
        <v>3516</v>
      </c>
    </row>
    <row r="2271" spans="1:2">
      <c r="A2271" s="7" t="s">
        <v>5903</v>
      </c>
      <c r="B2271" s="7" t="s">
        <v>3517</v>
      </c>
    </row>
    <row r="2272" spans="1:2">
      <c r="A2272" s="7" t="s">
        <v>5904</v>
      </c>
      <c r="B2272" s="7" t="s">
        <v>3518</v>
      </c>
    </row>
    <row r="2273" spans="1:2">
      <c r="A2273" s="7" t="s">
        <v>5905</v>
      </c>
      <c r="B2273" s="7" t="s">
        <v>3519</v>
      </c>
    </row>
    <row r="2274" spans="1:2">
      <c r="A2274" s="7" t="s">
        <v>5906</v>
      </c>
      <c r="B2274" s="7" t="s">
        <v>3520</v>
      </c>
    </row>
    <row r="2275" spans="1:2">
      <c r="A2275" s="7" t="s">
        <v>5907</v>
      </c>
      <c r="B2275" s="7" t="s">
        <v>3521</v>
      </c>
    </row>
    <row r="2276" spans="1:2">
      <c r="A2276" s="7" t="s">
        <v>5908</v>
      </c>
      <c r="B2276" s="7" t="s">
        <v>3522</v>
      </c>
    </row>
    <row r="2277" spans="1:2">
      <c r="A2277" s="7" t="s">
        <v>5909</v>
      </c>
      <c r="B2277" s="7" t="s">
        <v>3523</v>
      </c>
    </row>
    <row r="2278" spans="1:2">
      <c r="A2278" s="7" t="s">
        <v>5910</v>
      </c>
      <c r="B2278" s="7" t="s">
        <v>3524</v>
      </c>
    </row>
    <row r="2279" spans="1:2">
      <c r="A2279" s="7" t="s">
        <v>5911</v>
      </c>
      <c r="B2279" s="7" t="s">
        <v>3525</v>
      </c>
    </row>
    <row r="2280" spans="1:2">
      <c r="A2280" s="7" t="s">
        <v>5912</v>
      </c>
      <c r="B2280" s="7" t="s">
        <v>3526</v>
      </c>
    </row>
    <row r="2281" spans="1:2">
      <c r="A2281" s="7" t="s">
        <v>5913</v>
      </c>
      <c r="B2281" s="7" t="s">
        <v>3527</v>
      </c>
    </row>
    <row r="2282" spans="1:2">
      <c r="A2282" s="7" t="s">
        <v>5914</v>
      </c>
      <c r="B2282" s="7" t="s">
        <v>3528</v>
      </c>
    </row>
    <row r="2283" spans="1:2">
      <c r="A2283" s="7" t="s">
        <v>5915</v>
      </c>
      <c r="B2283" s="7" t="s">
        <v>3529</v>
      </c>
    </row>
    <row r="2284" spans="1:2">
      <c r="A2284" s="7" t="s">
        <v>5916</v>
      </c>
      <c r="B2284" s="7" t="s">
        <v>3530</v>
      </c>
    </row>
    <row r="2285" spans="1:2">
      <c r="A2285" s="7" t="s">
        <v>5917</v>
      </c>
      <c r="B2285" s="7" t="s">
        <v>3531</v>
      </c>
    </row>
    <row r="2286" spans="1:2">
      <c r="A2286" s="7" t="s">
        <v>5918</v>
      </c>
      <c r="B2286" s="7" t="s">
        <v>3532</v>
      </c>
    </row>
    <row r="2287" spans="1:2">
      <c r="A2287" s="7" t="s">
        <v>5919</v>
      </c>
      <c r="B2287" s="7" t="s">
        <v>3533</v>
      </c>
    </row>
    <row r="2288" spans="1:2">
      <c r="A2288" s="7" t="s">
        <v>5920</v>
      </c>
      <c r="B2288" s="7" t="s">
        <v>3534</v>
      </c>
    </row>
    <row r="2289" spans="1:2">
      <c r="A2289" s="7" t="s">
        <v>5921</v>
      </c>
      <c r="B2289" s="7" t="s">
        <v>3535</v>
      </c>
    </row>
    <row r="2290" spans="1:2">
      <c r="A2290" s="7" t="s">
        <v>5922</v>
      </c>
      <c r="B2290" s="7" t="s">
        <v>3536</v>
      </c>
    </row>
    <row r="2291" spans="1:2">
      <c r="A2291" s="7" t="s">
        <v>5923</v>
      </c>
      <c r="B2291" s="7" t="s">
        <v>3537</v>
      </c>
    </row>
    <row r="2292" spans="1:2">
      <c r="A2292" s="7" t="s">
        <v>5924</v>
      </c>
      <c r="B2292" s="7" t="s">
        <v>3538</v>
      </c>
    </row>
    <row r="2293" spans="1:2">
      <c r="A2293" s="7" t="s">
        <v>5925</v>
      </c>
      <c r="B2293" s="7" t="s">
        <v>3539</v>
      </c>
    </row>
    <row r="2294" spans="1:2">
      <c r="A2294" s="7" t="s">
        <v>5926</v>
      </c>
      <c r="B2294" s="7" t="s">
        <v>3540</v>
      </c>
    </row>
    <row r="2295" spans="1:2">
      <c r="A2295" s="7" t="s">
        <v>5927</v>
      </c>
      <c r="B2295" s="7" t="s">
        <v>3541</v>
      </c>
    </row>
    <row r="2296" spans="1:2">
      <c r="A2296" s="7" t="s">
        <v>5928</v>
      </c>
      <c r="B2296" s="7" t="s">
        <v>3542</v>
      </c>
    </row>
    <row r="2297" spans="1:2">
      <c r="A2297" s="7" t="s">
        <v>5929</v>
      </c>
      <c r="B2297" s="7" t="s">
        <v>3543</v>
      </c>
    </row>
    <row r="2298" spans="1:2">
      <c r="A2298" s="7" t="s">
        <v>5930</v>
      </c>
      <c r="B2298" s="7" t="s">
        <v>3544</v>
      </c>
    </row>
    <row r="2299" spans="1:2">
      <c r="A2299" s="7" t="s">
        <v>5931</v>
      </c>
      <c r="B2299" s="7" t="s">
        <v>3545</v>
      </c>
    </row>
    <row r="2300" spans="1:2">
      <c r="A2300" s="7" t="s">
        <v>5932</v>
      </c>
      <c r="B2300" s="7" t="s">
        <v>3546</v>
      </c>
    </row>
    <row r="2301" spans="1:2">
      <c r="A2301" s="7" t="s">
        <v>5933</v>
      </c>
      <c r="B2301" s="7" t="s">
        <v>3547</v>
      </c>
    </row>
    <row r="2302" spans="1:2">
      <c r="A2302" s="7" t="s">
        <v>5934</v>
      </c>
      <c r="B2302" s="7" t="s">
        <v>3548</v>
      </c>
    </row>
    <row r="2303" spans="1:2">
      <c r="A2303" s="7" t="s">
        <v>5935</v>
      </c>
      <c r="B2303" s="7" t="s">
        <v>3549</v>
      </c>
    </row>
    <row r="2304" spans="1:2">
      <c r="A2304" s="7" t="s">
        <v>5936</v>
      </c>
      <c r="B2304" s="7" t="s">
        <v>3550</v>
      </c>
    </row>
    <row r="2305" spans="1:2">
      <c r="A2305" s="7" t="s">
        <v>5937</v>
      </c>
      <c r="B2305" s="7" t="s">
        <v>3551</v>
      </c>
    </row>
    <row r="2306" spans="1:2">
      <c r="A2306" s="7" t="s">
        <v>5938</v>
      </c>
      <c r="B2306" s="7" t="s">
        <v>3552</v>
      </c>
    </row>
    <row r="2307" spans="1:2">
      <c r="A2307" s="7" t="s">
        <v>5939</v>
      </c>
      <c r="B2307" s="7" t="s">
        <v>3553</v>
      </c>
    </row>
    <row r="2308" spans="1:2">
      <c r="A2308" s="7" t="s">
        <v>5940</v>
      </c>
      <c r="B2308" s="7" t="s">
        <v>3554</v>
      </c>
    </row>
    <row r="2309" spans="1:2">
      <c r="A2309" s="7" t="s">
        <v>5941</v>
      </c>
      <c r="B2309" s="7" t="s">
        <v>3555</v>
      </c>
    </row>
    <row r="2310" spans="1:2">
      <c r="A2310" s="7" t="s">
        <v>5942</v>
      </c>
      <c r="B2310" s="7" t="s">
        <v>3556</v>
      </c>
    </row>
    <row r="2311" spans="1:2">
      <c r="A2311" s="7" t="s">
        <v>5943</v>
      </c>
      <c r="B2311" s="7" t="s">
        <v>3557</v>
      </c>
    </row>
    <row r="2312" spans="1:2">
      <c r="A2312" s="7" t="s">
        <v>5944</v>
      </c>
      <c r="B2312" s="7" t="s">
        <v>3558</v>
      </c>
    </row>
    <row r="2313" spans="1:2">
      <c r="A2313" s="7" t="s">
        <v>5945</v>
      </c>
      <c r="B2313" s="7" t="s">
        <v>3559</v>
      </c>
    </row>
    <row r="2314" spans="1:2">
      <c r="A2314" s="7" t="s">
        <v>5946</v>
      </c>
      <c r="B2314" s="7" t="s">
        <v>3560</v>
      </c>
    </row>
    <row r="2315" spans="1:2">
      <c r="A2315" s="7" t="s">
        <v>5947</v>
      </c>
      <c r="B2315" s="7" t="s">
        <v>3561</v>
      </c>
    </row>
    <row r="2316" spans="1:2">
      <c r="A2316" s="7" t="s">
        <v>5948</v>
      </c>
      <c r="B2316" s="7" t="s">
        <v>3562</v>
      </c>
    </row>
    <row r="2317" spans="1:2">
      <c r="A2317" s="7" t="s">
        <v>5949</v>
      </c>
      <c r="B2317" s="7" t="s">
        <v>3563</v>
      </c>
    </row>
    <row r="2318" spans="1:2">
      <c r="A2318" s="7" t="s">
        <v>5950</v>
      </c>
      <c r="B2318" s="7" t="s">
        <v>3564</v>
      </c>
    </row>
    <row r="2319" spans="1:2">
      <c r="A2319" s="7" t="s">
        <v>5951</v>
      </c>
      <c r="B2319" s="7" t="s">
        <v>3565</v>
      </c>
    </row>
    <row r="2320" spans="1:2">
      <c r="A2320" s="7" t="s">
        <v>5952</v>
      </c>
      <c r="B2320" s="7" t="s">
        <v>3566</v>
      </c>
    </row>
    <row r="2321" spans="1:2">
      <c r="A2321" s="7" t="s">
        <v>5953</v>
      </c>
      <c r="B2321" s="7" t="s">
        <v>3567</v>
      </c>
    </row>
    <row r="2322" spans="1:2">
      <c r="A2322" s="7" t="s">
        <v>5954</v>
      </c>
      <c r="B2322" s="7" t="s">
        <v>3568</v>
      </c>
    </row>
    <row r="2323" spans="1:2">
      <c r="A2323" s="7" t="s">
        <v>5955</v>
      </c>
      <c r="B2323" s="7" t="s">
        <v>3569</v>
      </c>
    </row>
    <row r="2324" spans="1:2">
      <c r="A2324" s="7" t="s">
        <v>5956</v>
      </c>
      <c r="B2324" s="7" t="s">
        <v>3570</v>
      </c>
    </row>
    <row r="2325" spans="1:2">
      <c r="A2325" s="7" t="s">
        <v>5957</v>
      </c>
      <c r="B2325" s="7" t="s">
        <v>3571</v>
      </c>
    </row>
    <row r="2326" spans="1:2">
      <c r="A2326" s="7" t="s">
        <v>5958</v>
      </c>
      <c r="B2326" s="7" t="s">
        <v>3572</v>
      </c>
    </row>
    <row r="2327" spans="1:2">
      <c r="A2327" s="7" t="s">
        <v>5959</v>
      </c>
      <c r="B2327" s="7" t="s">
        <v>3573</v>
      </c>
    </row>
    <row r="2328" spans="1:2">
      <c r="A2328" s="7" t="s">
        <v>5960</v>
      </c>
      <c r="B2328" s="7" t="s">
        <v>3574</v>
      </c>
    </row>
    <row r="2329" spans="1:2">
      <c r="A2329" s="7" t="s">
        <v>5961</v>
      </c>
      <c r="B2329" s="7" t="s">
        <v>3575</v>
      </c>
    </row>
    <row r="2330" spans="1:2">
      <c r="A2330" s="7" t="s">
        <v>5962</v>
      </c>
      <c r="B2330" s="7" t="s">
        <v>3576</v>
      </c>
    </row>
    <row r="2331" spans="1:2">
      <c r="A2331" s="7" t="s">
        <v>5963</v>
      </c>
      <c r="B2331" s="7" t="s">
        <v>3577</v>
      </c>
    </row>
    <row r="2332" spans="1:2">
      <c r="A2332" s="7" t="s">
        <v>5964</v>
      </c>
      <c r="B2332" s="7" t="s">
        <v>3578</v>
      </c>
    </row>
    <row r="2333" spans="1:2">
      <c r="A2333" s="7" t="s">
        <v>5965</v>
      </c>
      <c r="B2333" s="7" t="s">
        <v>3579</v>
      </c>
    </row>
    <row r="2334" spans="1:2">
      <c r="A2334" s="7" t="s">
        <v>5966</v>
      </c>
      <c r="B2334" s="7" t="s">
        <v>3580</v>
      </c>
    </row>
    <row r="2335" spans="1:2">
      <c r="A2335" s="7" t="s">
        <v>5967</v>
      </c>
      <c r="B2335" s="7" t="s">
        <v>3581</v>
      </c>
    </row>
    <row r="2336" spans="1:2">
      <c r="A2336" s="7" t="s">
        <v>5968</v>
      </c>
      <c r="B2336" s="7" t="s">
        <v>3582</v>
      </c>
    </row>
    <row r="2337" spans="1:2">
      <c r="A2337" s="7" t="s">
        <v>5969</v>
      </c>
      <c r="B2337" s="7" t="s">
        <v>3583</v>
      </c>
    </row>
    <row r="2338" spans="1:2">
      <c r="A2338" s="7" t="s">
        <v>5970</v>
      </c>
      <c r="B2338" s="7" t="s">
        <v>3584</v>
      </c>
    </row>
    <row r="2339" spans="1:2">
      <c r="A2339" s="7" t="s">
        <v>5971</v>
      </c>
      <c r="B2339" s="7" t="s">
        <v>3585</v>
      </c>
    </row>
    <row r="2340" spans="1:2">
      <c r="A2340" s="7" t="s">
        <v>5972</v>
      </c>
      <c r="B2340" s="7" t="s">
        <v>3586</v>
      </c>
    </row>
    <row r="2341" spans="1:2">
      <c r="A2341" s="7" t="s">
        <v>5973</v>
      </c>
      <c r="B2341" s="7" t="s">
        <v>3587</v>
      </c>
    </row>
    <row r="2342" spans="1:2">
      <c r="A2342" s="7" t="s">
        <v>5974</v>
      </c>
      <c r="B2342" s="7" t="s">
        <v>3588</v>
      </c>
    </row>
    <row r="2343" spans="1:2">
      <c r="A2343" s="7" t="s">
        <v>5975</v>
      </c>
      <c r="B2343" s="7" t="s">
        <v>3589</v>
      </c>
    </row>
    <row r="2344" spans="1:2">
      <c r="A2344" s="7" t="s">
        <v>5976</v>
      </c>
      <c r="B2344" s="7" t="s">
        <v>3590</v>
      </c>
    </row>
    <row r="2345" spans="1:2">
      <c r="A2345" s="7" t="s">
        <v>5977</v>
      </c>
      <c r="B2345" s="7" t="s">
        <v>3591</v>
      </c>
    </row>
    <row r="2346" spans="1:2">
      <c r="A2346" s="7" t="s">
        <v>5978</v>
      </c>
      <c r="B2346" s="7" t="s">
        <v>3592</v>
      </c>
    </row>
    <row r="2347" spans="1:2">
      <c r="A2347" s="7" t="s">
        <v>5979</v>
      </c>
      <c r="B2347" s="7" t="s">
        <v>3593</v>
      </c>
    </row>
    <row r="2348" spans="1:2">
      <c r="A2348" s="7" t="s">
        <v>5980</v>
      </c>
      <c r="B2348" s="7" t="s">
        <v>3594</v>
      </c>
    </row>
    <row r="2349" spans="1:2">
      <c r="A2349" s="7" t="s">
        <v>5981</v>
      </c>
      <c r="B2349" s="7" t="s">
        <v>3595</v>
      </c>
    </row>
    <row r="2350" spans="1:2">
      <c r="A2350" s="7" t="s">
        <v>5982</v>
      </c>
      <c r="B2350" s="7" t="s">
        <v>3596</v>
      </c>
    </row>
    <row r="2351" spans="1:2">
      <c r="A2351" s="7" t="s">
        <v>5983</v>
      </c>
      <c r="B2351" s="7" t="s">
        <v>3597</v>
      </c>
    </row>
    <row r="2352" spans="1:2">
      <c r="A2352" s="7" t="s">
        <v>5984</v>
      </c>
      <c r="B2352" s="7" t="s">
        <v>3598</v>
      </c>
    </row>
    <row r="2353" spans="1:2">
      <c r="A2353" s="7" t="s">
        <v>5985</v>
      </c>
      <c r="B2353" s="7" t="s">
        <v>3599</v>
      </c>
    </row>
    <row r="2354" spans="1:2">
      <c r="A2354" s="7" t="s">
        <v>5986</v>
      </c>
      <c r="B2354" s="7" t="s">
        <v>3600</v>
      </c>
    </row>
    <row r="2355" spans="1:2">
      <c r="A2355" s="7" t="s">
        <v>5987</v>
      </c>
      <c r="B2355" s="7" t="s">
        <v>3601</v>
      </c>
    </row>
    <row r="2356" spans="1:2">
      <c r="A2356" s="7" t="s">
        <v>5988</v>
      </c>
      <c r="B2356" s="7" t="s">
        <v>3602</v>
      </c>
    </row>
    <row r="2357" spans="1:2">
      <c r="A2357" s="7" t="s">
        <v>5989</v>
      </c>
      <c r="B2357" s="7" t="s">
        <v>3603</v>
      </c>
    </row>
    <row r="2358" spans="1:2">
      <c r="A2358" s="7" t="s">
        <v>5990</v>
      </c>
      <c r="B2358" s="7" t="s">
        <v>3604</v>
      </c>
    </row>
    <row r="2359" spans="1:2">
      <c r="A2359" s="7" t="s">
        <v>5991</v>
      </c>
      <c r="B2359" s="7" t="s">
        <v>3605</v>
      </c>
    </row>
    <row r="2360" spans="1:2">
      <c r="A2360" s="7" t="s">
        <v>5992</v>
      </c>
      <c r="B2360" s="7" t="s">
        <v>3606</v>
      </c>
    </row>
    <row r="2361" spans="1:2">
      <c r="A2361" s="7" t="s">
        <v>5993</v>
      </c>
      <c r="B2361" s="7" t="s">
        <v>3607</v>
      </c>
    </row>
    <row r="2362" spans="1:2">
      <c r="A2362" s="7" t="s">
        <v>5994</v>
      </c>
      <c r="B2362" s="7" t="s">
        <v>3608</v>
      </c>
    </row>
    <row r="2363" spans="1:2">
      <c r="A2363" s="7" t="s">
        <v>5995</v>
      </c>
      <c r="B2363" s="7" t="s">
        <v>3609</v>
      </c>
    </row>
    <row r="2364" spans="1:2">
      <c r="A2364" s="7" t="s">
        <v>5996</v>
      </c>
      <c r="B2364" s="7" t="s">
        <v>3610</v>
      </c>
    </row>
    <row r="2365" spans="1:2">
      <c r="A2365" s="7" t="s">
        <v>5997</v>
      </c>
      <c r="B2365" s="7" t="s">
        <v>3611</v>
      </c>
    </row>
    <row r="2366" spans="1:2">
      <c r="A2366" s="7" t="s">
        <v>5998</v>
      </c>
      <c r="B2366" s="7" t="s">
        <v>3612</v>
      </c>
    </row>
    <row r="2367" spans="1:2">
      <c r="A2367" s="7" t="s">
        <v>5999</v>
      </c>
      <c r="B2367" s="7" t="s">
        <v>3613</v>
      </c>
    </row>
    <row r="2368" spans="1:2">
      <c r="A2368" s="7" t="s">
        <v>6000</v>
      </c>
      <c r="B2368" s="7" t="s">
        <v>3614</v>
      </c>
    </row>
    <row r="2369" spans="1:2">
      <c r="A2369" s="7" t="s">
        <v>6001</v>
      </c>
      <c r="B2369" s="7" t="s">
        <v>3615</v>
      </c>
    </row>
    <row r="2370" spans="1:2">
      <c r="A2370" s="7" t="s">
        <v>6002</v>
      </c>
      <c r="B2370" s="7" t="s">
        <v>3616</v>
      </c>
    </row>
    <row r="2371" spans="1:2">
      <c r="A2371" s="7" t="s">
        <v>6003</v>
      </c>
      <c r="B2371" s="7" t="s">
        <v>3617</v>
      </c>
    </row>
    <row r="2372" spans="1:2">
      <c r="A2372" s="7" t="s">
        <v>6004</v>
      </c>
      <c r="B2372" s="7" t="s">
        <v>3618</v>
      </c>
    </row>
    <row r="2373" spans="1:2">
      <c r="A2373" s="7" t="s">
        <v>6005</v>
      </c>
      <c r="B2373" s="7" t="s">
        <v>3619</v>
      </c>
    </row>
    <row r="2374" spans="1:2">
      <c r="A2374" s="7" t="s">
        <v>6006</v>
      </c>
      <c r="B2374" s="7" t="s">
        <v>3620</v>
      </c>
    </row>
    <row r="2375" spans="1:2">
      <c r="A2375" s="7" t="s">
        <v>6007</v>
      </c>
      <c r="B2375" s="7" t="s">
        <v>3621</v>
      </c>
    </row>
    <row r="2376" spans="1:2">
      <c r="A2376" s="7" t="s">
        <v>6008</v>
      </c>
      <c r="B2376" s="7" t="s">
        <v>3622</v>
      </c>
    </row>
    <row r="2377" spans="1:2">
      <c r="A2377" s="7" t="s">
        <v>6009</v>
      </c>
      <c r="B2377" s="7" t="s">
        <v>3623</v>
      </c>
    </row>
    <row r="2378" spans="1:2">
      <c r="A2378" s="7" t="s">
        <v>6010</v>
      </c>
      <c r="B2378" s="7" t="s">
        <v>3624</v>
      </c>
    </row>
    <row r="2379" spans="1:2">
      <c r="A2379" s="7" t="s">
        <v>6011</v>
      </c>
      <c r="B2379" s="7" t="s">
        <v>3625</v>
      </c>
    </row>
    <row r="2380" spans="1:2">
      <c r="A2380" s="7" t="s">
        <v>6012</v>
      </c>
      <c r="B2380" s="7" t="s">
        <v>3626</v>
      </c>
    </row>
    <row r="2381" spans="1:2">
      <c r="A2381" s="7" t="s">
        <v>6013</v>
      </c>
      <c r="B2381" s="7" t="s">
        <v>3627</v>
      </c>
    </row>
    <row r="2382" spans="1:2">
      <c r="A2382" s="7" t="s">
        <v>6014</v>
      </c>
      <c r="B2382" s="7" t="s">
        <v>3628</v>
      </c>
    </row>
    <row r="2383" spans="1:2">
      <c r="A2383" s="7" t="s">
        <v>6015</v>
      </c>
      <c r="B2383" s="7" t="s">
        <v>3629</v>
      </c>
    </row>
    <row r="2384" spans="1:2">
      <c r="A2384" s="7" t="s">
        <v>6016</v>
      </c>
      <c r="B2384" s="7" t="s">
        <v>3630</v>
      </c>
    </row>
    <row r="2385" spans="1:2">
      <c r="A2385" s="7" t="s">
        <v>6017</v>
      </c>
      <c r="B2385" s="7" t="s">
        <v>3631</v>
      </c>
    </row>
    <row r="2386" spans="1:2">
      <c r="A2386" s="7" t="s">
        <v>6018</v>
      </c>
      <c r="B2386" s="7" t="s">
        <v>3632</v>
      </c>
    </row>
    <row r="2387" spans="1:2">
      <c r="A2387" s="7" t="s">
        <v>6019</v>
      </c>
      <c r="B2387" s="7" t="s">
        <v>3633</v>
      </c>
    </row>
    <row r="2388" spans="1:2">
      <c r="A2388" s="7" t="s">
        <v>6020</v>
      </c>
      <c r="B2388" s="7" t="s">
        <v>3634</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ksMoonCalendar"/>
  <dimension ref="B1:O117"/>
  <sheetViews>
    <sheetView workbookViewId="0">
      <pane ySplit="1" topLeftCell="A2" activePane="bottomLeft" state="frozen"/>
      <selection pane="bottomLeft"/>
    </sheetView>
  </sheetViews>
  <sheetFormatPr defaultRowHeight="15"/>
  <cols>
    <col min="1" max="1" width="2.85546875" customWidth="1"/>
    <col min="2" max="2" width="13.42578125" bestFit="1" customWidth="1"/>
    <col min="3" max="3" width="10.7109375" bestFit="1" customWidth="1"/>
    <col min="4" max="4" width="9.5703125" bestFit="1" customWidth="1"/>
    <col min="5" max="5" width="18.5703125" bestFit="1" customWidth="1"/>
    <col min="6" max="6" width="10.7109375" bestFit="1" customWidth="1"/>
    <col min="7" max="7" width="7.85546875" bestFit="1" customWidth="1"/>
    <col min="8" max="8" width="4.28515625" bestFit="1" customWidth="1"/>
    <col min="9" max="9" width="11.28515625" customWidth="1"/>
    <col min="10" max="10" width="5.85546875" customWidth="1"/>
    <col min="11" max="12" width="8.5703125" customWidth="1"/>
    <col min="13" max="13" width="7.140625" customWidth="1"/>
    <col min="14" max="14" width="4.28515625" customWidth="1"/>
  </cols>
  <sheetData>
    <row r="1" spans="2:15">
      <c r="D1" s="178" t="s">
        <v>844</v>
      </c>
      <c r="E1" s="178" t="s">
        <v>845</v>
      </c>
      <c r="F1" s="178" t="s">
        <v>522</v>
      </c>
      <c r="G1" s="178" t="s">
        <v>518</v>
      </c>
      <c r="H1" s="178" t="s">
        <v>843</v>
      </c>
      <c r="I1" s="178" t="s">
        <v>852</v>
      </c>
      <c r="J1" s="178" t="s">
        <v>831</v>
      </c>
      <c r="K1" s="178" t="s">
        <v>1050</v>
      </c>
      <c r="L1" s="178" t="s">
        <v>1051</v>
      </c>
      <c r="M1" s="178" t="s">
        <v>832</v>
      </c>
      <c r="N1" s="178" t="s">
        <v>888</v>
      </c>
      <c r="O1" s="178" t="s">
        <v>844</v>
      </c>
    </row>
    <row r="2" spans="2:15">
      <c r="B2" s="2" t="s">
        <v>889</v>
      </c>
      <c r="C2" s="175">
        <f>C3-5</f>
        <v>43788</v>
      </c>
      <c r="D2" s="180">
        <v>0</v>
      </c>
      <c r="E2" s="179">
        <f>MONDPHASE($C$2, D2, $C$10)</f>
        <v>43765.94326388889</v>
      </c>
      <c r="F2" s="175">
        <f>INT(E2)</f>
        <v>43765</v>
      </c>
      <c r="G2" s="183">
        <f t="shared" ref="G2:G7" si="0">DATE(YEAR(F2),MONTH(F2),1)</f>
        <v>43739</v>
      </c>
      <c r="H2">
        <f t="shared" ref="H2:H7" si="1">IF(G2&lt;&gt;G1,1,H1+1)</f>
        <v>1</v>
      </c>
      <c r="I2" t="str">
        <f>YEAR(G2) &amp; "." &amp; TEXT(MONTH(G2),"00") &amp; "." &amp; H2</f>
        <v>2019.10.1</v>
      </c>
      <c r="J2" t="str">
        <f>CHOOSE($D2+1,"NM","FQ","FM","LQ")</f>
        <v>NM</v>
      </c>
      <c r="K2" t="str">
        <f ca="1">VLOOKUP("mo1_" &amp; $J2,'GPlan-Translations'!$B$328:$C$331,2,FALSE)</f>
        <v>New M.</v>
      </c>
      <c r="L2" t="str">
        <f>IF($C$9&gt;=0,J2,IF(J2="FQ","LQ",IF(J2="LQ","FQ",J2)))</f>
        <v>NM</v>
      </c>
      <c r="M2" t="str">
        <f ca="1">VLOOKUP("mo2_" &amp; $L2,'GPlan-Translations'!$B$333:$C$336,2,FALSE)</f>
        <v>: :</v>
      </c>
      <c r="N2" s="335" t="str">
        <f ca="1">VLOOKUP("mo3_" &amp; $L2,'GPlan-Translations'!$B$338:$C$341,2,FALSE)</f>
        <v></v>
      </c>
      <c r="O2">
        <f ca="1">CODE(N2)</f>
        <v>152</v>
      </c>
    </row>
    <row r="3" spans="2:15">
      <c r="B3" s="2" t="s">
        <v>846</v>
      </c>
      <c r="C3" s="175">
        <f>Options!X18</f>
        <v>43793</v>
      </c>
      <c r="D3">
        <f t="shared" ref="D3:D66" si="2">IF(D2+1&gt;3,0,D2+1)</f>
        <v>1</v>
      </c>
      <c r="E3" s="177">
        <f t="shared" ref="E3:E34" si="3">MONDPHASE(E2+5, D3, $C$10)</f>
        <v>43773.224386574075</v>
      </c>
      <c r="F3" s="175">
        <f t="shared" ref="F3:F66" si="4">INT(E3)</f>
        <v>43773</v>
      </c>
      <c r="G3" s="183">
        <f t="shared" si="0"/>
        <v>43770</v>
      </c>
      <c r="H3">
        <f t="shared" si="1"/>
        <v>1</v>
      </c>
      <c r="I3" t="str">
        <f t="shared" ref="I3:I66" si="5">YEAR(G3) &amp; "." &amp; TEXT(MONTH(G3),"00") &amp; "." &amp; H3</f>
        <v>2019.11.1</v>
      </c>
      <c r="J3" t="str">
        <f t="shared" ref="J3:J66" si="6">CHOOSE($D3+1,"NM","FQ","FM","LQ")</f>
        <v>FQ</v>
      </c>
      <c r="K3" t="str">
        <f ca="1">VLOOKUP("mo1_" &amp; $J3,'GPlan-Translations'!$B$328:$C$331,2,FALSE)</f>
        <v>First Q.</v>
      </c>
      <c r="L3" t="str">
        <f t="shared" ref="L3:L58" si="7">IF($C$9&gt;=0,J3,IF(J3="FQ","LQ",IF(J3="LQ","FQ",J3)))</f>
        <v>FQ</v>
      </c>
      <c r="M3" t="str">
        <f ca="1">VLOOKUP("mo2_" &amp; $L3,'GPlan-Translations'!$B$333:$C$336,2,FALSE)</f>
        <v>(</v>
      </c>
      <c r="N3" s="335" t="str">
        <f ca="1">VLOOKUP("mo3_" &amp; $L3,'GPlan-Translations'!$B$338:$C$341,2,FALSE)</f>
        <v></v>
      </c>
      <c r="O3">
        <f t="shared" ref="O3:O66" ca="1" si="8">CODE(N3)</f>
        <v>130</v>
      </c>
    </row>
    <row r="4" spans="2:15">
      <c r="B4" s="2" t="s">
        <v>847</v>
      </c>
      <c r="C4" s="175">
        <f>DATE(YEAR(C3),12,31)</f>
        <v>43830</v>
      </c>
      <c r="D4">
        <f t="shared" si="2"/>
        <v>2</v>
      </c>
      <c r="E4" s="177">
        <f t="shared" si="3"/>
        <v>43781.357164351852</v>
      </c>
      <c r="F4" s="175">
        <f t="shared" si="4"/>
        <v>43781</v>
      </c>
      <c r="G4" s="183">
        <f t="shared" si="0"/>
        <v>43770</v>
      </c>
      <c r="H4">
        <f t="shared" si="1"/>
        <v>2</v>
      </c>
      <c r="I4" t="str">
        <f t="shared" si="5"/>
        <v>2019.11.2</v>
      </c>
      <c r="J4" t="str">
        <f t="shared" si="6"/>
        <v>FM</v>
      </c>
      <c r="K4" t="str">
        <f ca="1">VLOOKUP("mo1_" &amp; $J4,'GPlan-Translations'!$B$328:$C$331,2,FALSE)</f>
        <v>Full M.</v>
      </c>
      <c r="L4" t="str">
        <f t="shared" si="7"/>
        <v>FM</v>
      </c>
      <c r="M4" t="str">
        <f ca="1">VLOOKUP("mo2_" &amp; $L4,'GPlan-Translations'!$B$333:$C$336,2,FALSE)</f>
        <v>O</v>
      </c>
      <c r="N4" s="335" t="str">
        <f ca="1">VLOOKUP("mo3_" &amp; $L4,'GPlan-Translations'!$B$338:$C$341,2,FALSE)</f>
        <v></v>
      </c>
      <c r="O4">
        <f t="shared" ca="1" si="8"/>
        <v>129</v>
      </c>
    </row>
    <row r="5" spans="2:15">
      <c r="B5" s="2" t="s">
        <v>848</v>
      </c>
      <c r="C5" s="2">
        <v>0</v>
      </c>
      <c r="D5">
        <f t="shared" si="2"/>
        <v>3</v>
      </c>
      <c r="E5" s="177">
        <f t="shared" si="3"/>
        <v>43788.674120370371</v>
      </c>
      <c r="F5" s="175">
        <f t="shared" si="4"/>
        <v>43788</v>
      </c>
      <c r="G5" s="183">
        <f t="shared" si="0"/>
        <v>43770</v>
      </c>
      <c r="H5">
        <f t="shared" si="1"/>
        <v>3</v>
      </c>
      <c r="I5" t="str">
        <f t="shared" si="5"/>
        <v>2019.11.3</v>
      </c>
      <c r="J5" t="str">
        <f t="shared" si="6"/>
        <v>LQ</v>
      </c>
      <c r="K5" t="str">
        <f ca="1">VLOOKUP("mo1_" &amp; $J5,'GPlan-Translations'!$B$328:$C$331,2,FALSE)</f>
        <v>Last Q.</v>
      </c>
      <c r="L5" t="str">
        <f t="shared" si="7"/>
        <v>LQ</v>
      </c>
      <c r="M5" t="str">
        <f ca="1">VLOOKUP("mo2_" &amp; $L5,'GPlan-Translations'!$B$333:$C$336,2,FALSE)</f>
        <v>)</v>
      </c>
      <c r="N5" s="335" t="str">
        <f ca="1">VLOOKUP("mo3_" &amp; $L5,'GPlan-Translations'!$B$338:$C$341,2,FALSE)</f>
        <v></v>
      </c>
      <c r="O5">
        <f t="shared" ca="1" si="8"/>
        <v>131</v>
      </c>
    </row>
    <row r="6" spans="2:15">
      <c r="B6" s="2" t="s">
        <v>849</v>
      </c>
      <c r="C6" s="2">
        <v>1</v>
      </c>
      <c r="D6">
        <f t="shared" si="2"/>
        <v>0</v>
      </c>
      <c r="E6" s="177">
        <f t="shared" si="3"/>
        <v>43795.420486111114</v>
      </c>
      <c r="F6" s="175">
        <f t="shared" si="4"/>
        <v>43795</v>
      </c>
      <c r="G6" s="183">
        <f t="shared" si="0"/>
        <v>43770</v>
      </c>
      <c r="H6">
        <f t="shared" si="1"/>
        <v>4</v>
      </c>
      <c r="I6" t="str">
        <f t="shared" si="5"/>
        <v>2019.11.4</v>
      </c>
      <c r="J6" t="str">
        <f t="shared" si="6"/>
        <v>NM</v>
      </c>
      <c r="K6" t="str">
        <f ca="1">VLOOKUP("mo1_" &amp; $J6,'GPlan-Translations'!$B$328:$C$331,2,FALSE)</f>
        <v>New M.</v>
      </c>
      <c r="L6" t="str">
        <f t="shared" si="7"/>
        <v>NM</v>
      </c>
      <c r="M6" t="str">
        <f ca="1">VLOOKUP("mo2_" &amp; $L6,'GPlan-Translations'!$B$333:$C$336,2,FALSE)</f>
        <v>: :</v>
      </c>
      <c r="N6" s="335" t="str">
        <f ca="1">VLOOKUP("mo3_" &amp; $L6,'GPlan-Translations'!$B$338:$C$341,2,FALSE)</f>
        <v></v>
      </c>
      <c r="O6">
        <f t="shared" ca="1" si="8"/>
        <v>152</v>
      </c>
    </row>
    <row r="7" spans="2:15">
      <c r="B7" s="2" t="s">
        <v>850</v>
      </c>
      <c r="C7" s="2">
        <v>2</v>
      </c>
      <c r="D7">
        <f t="shared" si="2"/>
        <v>1</v>
      </c>
      <c r="E7" s="177">
        <f t="shared" si="3"/>
        <v>43803.082129629627</v>
      </c>
      <c r="F7" s="175">
        <f t="shared" si="4"/>
        <v>43803</v>
      </c>
      <c r="G7" s="183">
        <f t="shared" si="0"/>
        <v>43800</v>
      </c>
      <c r="H7">
        <f t="shared" si="1"/>
        <v>1</v>
      </c>
      <c r="I7" t="str">
        <f t="shared" si="5"/>
        <v>2019.12.1</v>
      </c>
      <c r="J7" t="str">
        <f t="shared" si="6"/>
        <v>FQ</v>
      </c>
      <c r="K7" t="str">
        <f ca="1">VLOOKUP("mo1_" &amp; $J7,'GPlan-Translations'!$B$328:$C$331,2,FALSE)</f>
        <v>First Q.</v>
      </c>
      <c r="L7" t="str">
        <f t="shared" si="7"/>
        <v>FQ</v>
      </c>
      <c r="M7" t="str">
        <f ca="1">VLOOKUP("mo2_" &amp; $L7,'GPlan-Translations'!$B$333:$C$336,2,FALSE)</f>
        <v>(</v>
      </c>
      <c r="N7" s="335" t="str">
        <f ca="1">VLOOKUP("mo3_" &amp; $L7,'GPlan-Translations'!$B$338:$C$341,2,FALSE)</f>
        <v></v>
      </c>
      <c r="O7">
        <f t="shared" ca="1" si="8"/>
        <v>130</v>
      </c>
    </row>
    <row r="8" spans="2:15">
      <c r="B8" s="2" t="s">
        <v>851</v>
      </c>
      <c r="C8" s="2">
        <v>3</v>
      </c>
      <c r="D8">
        <f t="shared" si="2"/>
        <v>2</v>
      </c>
      <c r="E8" s="177">
        <f t="shared" si="3"/>
        <v>43811.008425925924</v>
      </c>
      <c r="F8" s="175">
        <f t="shared" si="4"/>
        <v>43811</v>
      </c>
      <c r="G8" s="183">
        <f t="shared" ref="G8:G58" si="9">DATE(YEAR(F8),MONTH(F8),1)</f>
        <v>43800</v>
      </c>
      <c r="H8">
        <f t="shared" ref="H8:H58" si="10">IF(G8&lt;&gt;G7,1,H7+1)</f>
        <v>2</v>
      </c>
      <c r="I8" t="str">
        <f t="shared" si="5"/>
        <v>2019.12.2</v>
      </c>
      <c r="J8" t="str">
        <f t="shared" si="6"/>
        <v>FM</v>
      </c>
      <c r="K8" t="str">
        <f ca="1">VLOOKUP("mo1_" &amp; $J8,'GPlan-Translations'!$B$328:$C$331,2,FALSE)</f>
        <v>Full M.</v>
      </c>
      <c r="L8" t="str">
        <f t="shared" si="7"/>
        <v>FM</v>
      </c>
      <c r="M8" t="str">
        <f ca="1">VLOOKUP("mo2_" &amp; $L8,'GPlan-Translations'!$B$333:$C$336,2,FALSE)</f>
        <v>O</v>
      </c>
      <c r="N8" s="335" t="str">
        <f ca="1">VLOOKUP("mo3_" &amp; $L8,'GPlan-Translations'!$B$338:$C$341,2,FALSE)</f>
        <v></v>
      </c>
      <c r="O8">
        <f t="shared" ca="1" si="8"/>
        <v>129</v>
      </c>
    </row>
    <row r="9" spans="2:15">
      <c r="B9" s="2" t="s">
        <v>40</v>
      </c>
      <c r="C9">
        <f>Options!$W$21</f>
        <v>1</v>
      </c>
      <c r="D9">
        <f t="shared" si="2"/>
        <v>3</v>
      </c>
      <c r="E9" s="177">
        <f t="shared" si="3"/>
        <v>43817.997824074075</v>
      </c>
      <c r="F9" s="175">
        <f t="shared" si="4"/>
        <v>43817</v>
      </c>
      <c r="G9" s="183">
        <f t="shared" si="9"/>
        <v>43800</v>
      </c>
      <c r="H9">
        <f t="shared" si="10"/>
        <v>3</v>
      </c>
      <c r="I9" t="str">
        <f t="shared" si="5"/>
        <v>2019.12.3</v>
      </c>
      <c r="J9" t="str">
        <f t="shared" si="6"/>
        <v>LQ</v>
      </c>
      <c r="K9" t="str">
        <f ca="1">VLOOKUP("mo1_" &amp; $J9,'GPlan-Translations'!$B$328:$C$331,2,FALSE)</f>
        <v>Last Q.</v>
      </c>
      <c r="L9" t="str">
        <f t="shared" si="7"/>
        <v>LQ</v>
      </c>
      <c r="M9" t="str">
        <f ca="1">VLOOKUP("mo2_" &amp; $L9,'GPlan-Translations'!$B$333:$C$336,2,FALSE)</f>
        <v>)</v>
      </c>
      <c r="N9" s="335" t="str">
        <f ca="1">VLOOKUP("mo3_" &amp; $L9,'GPlan-Translations'!$B$338:$C$341,2,FALSE)</f>
        <v></v>
      </c>
      <c r="O9">
        <f t="shared" ca="1" si="8"/>
        <v>131</v>
      </c>
    </row>
    <row r="10" spans="2:15">
      <c r="B10" s="2" t="s">
        <v>80</v>
      </c>
      <c r="C10" s="442">
        <f>Options!AI4</f>
        <v>-5</v>
      </c>
      <c r="D10">
        <f t="shared" si="2"/>
        <v>0</v>
      </c>
      <c r="E10" s="177">
        <f t="shared" si="3"/>
        <v>43825.009085648147</v>
      </c>
      <c r="F10" s="175">
        <f t="shared" si="4"/>
        <v>43825</v>
      </c>
      <c r="G10" s="183">
        <f t="shared" si="9"/>
        <v>43800</v>
      </c>
      <c r="H10">
        <f t="shared" si="10"/>
        <v>4</v>
      </c>
      <c r="I10" t="str">
        <f t="shared" si="5"/>
        <v>2019.12.4</v>
      </c>
      <c r="J10" t="str">
        <f t="shared" si="6"/>
        <v>NM</v>
      </c>
      <c r="K10" t="str">
        <f ca="1">VLOOKUP("mo1_" &amp; $J10,'GPlan-Translations'!$B$328:$C$331,2,FALSE)</f>
        <v>New M.</v>
      </c>
      <c r="L10" t="str">
        <f t="shared" si="7"/>
        <v>NM</v>
      </c>
      <c r="M10" t="str">
        <f ca="1">VLOOKUP("mo2_" &amp; $L10,'GPlan-Translations'!$B$333:$C$336,2,FALSE)</f>
        <v>: :</v>
      </c>
      <c r="N10" s="335" t="str">
        <f ca="1">VLOOKUP("mo3_" &amp; $L10,'GPlan-Translations'!$B$338:$C$341,2,FALSE)</f>
        <v></v>
      </c>
      <c r="O10">
        <f t="shared" ca="1" si="8"/>
        <v>152</v>
      </c>
    </row>
    <row r="11" spans="2:15">
      <c r="D11">
        <f t="shared" si="2"/>
        <v>1</v>
      </c>
      <c r="E11" s="177">
        <f t="shared" si="3"/>
        <v>43832.989768518521</v>
      </c>
      <c r="F11" s="175">
        <f t="shared" si="4"/>
        <v>43832</v>
      </c>
      <c r="G11" s="183">
        <f t="shared" si="9"/>
        <v>43831</v>
      </c>
      <c r="H11">
        <f t="shared" si="10"/>
        <v>1</v>
      </c>
      <c r="I11" t="str">
        <f t="shared" si="5"/>
        <v>2020.01.1</v>
      </c>
      <c r="J11" t="str">
        <f t="shared" si="6"/>
        <v>FQ</v>
      </c>
      <c r="K11" t="str">
        <f ca="1">VLOOKUP("mo1_" &amp; $J11,'GPlan-Translations'!$B$328:$C$331,2,FALSE)</f>
        <v>First Q.</v>
      </c>
      <c r="L11" t="str">
        <f t="shared" si="7"/>
        <v>FQ</v>
      </c>
      <c r="M11" t="str">
        <f ca="1">VLOOKUP("mo2_" &amp; $L11,'GPlan-Translations'!$B$333:$C$336,2,FALSE)</f>
        <v>(</v>
      </c>
      <c r="N11" s="335" t="str">
        <f ca="1">VLOOKUP("mo3_" &amp; $L11,'GPlan-Translations'!$B$338:$C$341,2,FALSE)</f>
        <v></v>
      </c>
      <c r="O11">
        <f t="shared" ca="1" si="8"/>
        <v>130</v>
      </c>
    </row>
    <row r="12" spans="2:15">
      <c r="D12">
        <f t="shared" si="2"/>
        <v>2</v>
      </c>
      <c r="E12" s="177">
        <f t="shared" si="3"/>
        <v>43840.597962962966</v>
      </c>
      <c r="F12" s="175">
        <f t="shared" si="4"/>
        <v>43840</v>
      </c>
      <c r="G12" s="183">
        <f t="shared" si="9"/>
        <v>43831</v>
      </c>
      <c r="H12">
        <f t="shared" si="10"/>
        <v>2</v>
      </c>
      <c r="I12" t="str">
        <f t="shared" si="5"/>
        <v>2020.01.2</v>
      </c>
      <c r="J12" t="str">
        <f t="shared" si="6"/>
        <v>FM</v>
      </c>
      <c r="K12" t="str">
        <f ca="1">VLOOKUP("mo1_" &amp; $J12,'GPlan-Translations'!$B$328:$C$331,2,FALSE)</f>
        <v>Full M.</v>
      </c>
      <c r="L12" t="str">
        <f t="shared" si="7"/>
        <v>FM</v>
      </c>
      <c r="M12" t="str">
        <f ca="1">VLOOKUP("mo2_" &amp; $L12,'GPlan-Translations'!$B$333:$C$336,2,FALSE)</f>
        <v>O</v>
      </c>
      <c r="N12" s="335" t="str">
        <f ca="1">VLOOKUP("mo3_" &amp; $L12,'GPlan-Translations'!$B$338:$C$341,2,FALSE)</f>
        <v></v>
      </c>
      <c r="O12">
        <f t="shared" ca="1" si="8"/>
        <v>129</v>
      </c>
    </row>
    <row r="13" spans="2:15">
      <c r="D13">
        <f t="shared" si="2"/>
        <v>3</v>
      </c>
      <c r="E13" s="177">
        <f t="shared" si="3"/>
        <v>43847.332106481481</v>
      </c>
      <c r="F13" s="175">
        <f t="shared" si="4"/>
        <v>43847</v>
      </c>
      <c r="G13" s="183">
        <f t="shared" si="9"/>
        <v>43831</v>
      </c>
      <c r="H13">
        <f t="shared" si="10"/>
        <v>3</v>
      </c>
      <c r="I13" t="str">
        <f t="shared" si="5"/>
        <v>2020.01.3</v>
      </c>
      <c r="J13" t="str">
        <f t="shared" si="6"/>
        <v>LQ</v>
      </c>
      <c r="K13" t="str">
        <f ca="1">VLOOKUP("mo1_" &amp; $J13,'GPlan-Translations'!$B$328:$C$331,2,FALSE)</f>
        <v>Last Q.</v>
      </c>
      <c r="L13" t="str">
        <f t="shared" si="7"/>
        <v>LQ</v>
      </c>
      <c r="M13" t="str">
        <f ca="1">VLOOKUP("mo2_" &amp; $L13,'GPlan-Translations'!$B$333:$C$336,2,FALSE)</f>
        <v>)</v>
      </c>
      <c r="N13" s="335" t="str">
        <f ca="1">VLOOKUP("mo3_" &amp; $L13,'GPlan-Translations'!$B$338:$C$341,2,FALSE)</f>
        <v></v>
      </c>
      <c r="O13">
        <f t="shared" ca="1" si="8"/>
        <v>131</v>
      </c>
    </row>
    <row r="14" spans="2:15">
      <c r="D14">
        <f t="shared" si="2"/>
        <v>0</v>
      </c>
      <c r="E14" s="177">
        <f t="shared" si="3"/>
        <v>43854.695740740739</v>
      </c>
      <c r="F14" s="175">
        <f t="shared" si="4"/>
        <v>43854</v>
      </c>
      <c r="G14" s="183">
        <f t="shared" si="9"/>
        <v>43831</v>
      </c>
      <c r="H14">
        <f t="shared" si="10"/>
        <v>4</v>
      </c>
      <c r="I14" t="str">
        <f t="shared" si="5"/>
        <v>2020.01.4</v>
      </c>
      <c r="J14" t="str">
        <f t="shared" si="6"/>
        <v>NM</v>
      </c>
      <c r="K14" t="str">
        <f ca="1">VLOOKUP("mo1_" &amp; $J14,'GPlan-Translations'!$B$328:$C$331,2,FALSE)</f>
        <v>New M.</v>
      </c>
      <c r="L14" t="str">
        <f t="shared" si="7"/>
        <v>NM</v>
      </c>
      <c r="M14" t="str">
        <f ca="1">VLOOKUP("mo2_" &amp; $L14,'GPlan-Translations'!$B$333:$C$336,2,FALSE)</f>
        <v>: :</v>
      </c>
      <c r="N14" s="335" t="str">
        <f ca="1">VLOOKUP("mo3_" &amp; $L14,'GPlan-Translations'!$B$338:$C$341,2,FALSE)</f>
        <v></v>
      </c>
      <c r="O14">
        <f t="shared" ca="1" si="8"/>
        <v>152</v>
      </c>
    </row>
    <row r="15" spans="2:15">
      <c r="D15">
        <f t="shared" si="2"/>
        <v>1</v>
      </c>
      <c r="E15" s="177">
        <f t="shared" si="3"/>
        <v>43862.862071759257</v>
      </c>
      <c r="F15" s="175">
        <f t="shared" si="4"/>
        <v>43862</v>
      </c>
      <c r="G15" s="183">
        <f t="shared" si="9"/>
        <v>43862</v>
      </c>
      <c r="H15">
        <f t="shared" si="10"/>
        <v>1</v>
      </c>
      <c r="I15" t="str">
        <f t="shared" si="5"/>
        <v>2020.02.1</v>
      </c>
      <c r="J15" t="str">
        <f t="shared" si="6"/>
        <v>FQ</v>
      </c>
      <c r="K15" t="str">
        <f ca="1">VLOOKUP("mo1_" &amp; $J15,'GPlan-Translations'!$B$328:$C$331,2,FALSE)</f>
        <v>First Q.</v>
      </c>
      <c r="L15" t="str">
        <f t="shared" si="7"/>
        <v>FQ</v>
      </c>
      <c r="M15" t="str">
        <f ca="1">VLOOKUP("mo2_" &amp; $L15,'GPlan-Translations'!$B$333:$C$336,2,FALSE)</f>
        <v>(</v>
      </c>
      <c r="N15" s="335" t="str">
        <f ca="1">VLOOKUP("mo3_" &amp; $L15,'GPlan-Translations'!$B$338:$C$341,2,FALSE)</f>
        <v></v>
      </c>
      <c r="O15">
        <f t="shared" ca="1" si="8"/>
        <v>130</v>
      </c>
    </row>
    <row r="16" spans="2:15">
      <c r="D16">
        <f t="shared" si="2"/>
        <v>2</v>
      </c>
      <c r="E16" s="177">
        <f t="shared" si="3"/>
        <v>43870.106238425928</v>
      </c>
      <c r="F16" s="175">
        <f t="shared" si="4"/>
        <v>43870</v>
      </c>
      <c r="G16" s="183">
        <f t="shared" si="9"/>
        <v>43862</v>
      </c>
      <c r="H16">
        <f t="shared" si="10"/>
        <v>2</v>
      </c>
      <c r="I16" t="str">
        <f t="shared" si="5"/>
        <v>2020.02.2</v>
      </c>
      <c r="J16" t="str">
        <f t="shared" si="6"/>
        <v>FM</v>
      </c>
      <c r="K16" t="str">
        <f ca="1">VLOOKUP("mo1_" &amp; $J16,'GPlan-Translations'!$B$328:$C$331,2,FALSE)</f>
        <v>Full M.</v>
      </c>
      <c r="L16" t="str">
        <f t="shared" si="7"/>
        <v>FM</v>
      </c>
      <c r="M16" t="str">
        <f ca="1">VLOOKUP("mo2_" &amp; $L16,'GPlan-Translations'!$B$333:$C$336,2,FALSE)</f>
        <v>O</v>
      </c>
      <c r="N16" s="335" t="str">
        <f ca="1">VLOOKUP("mo3_" &amp; $L16,'GPlan-Translations'!$B$338:$C$341,2,FALSE)</f>
        <v></v>
      </c>
      <c r="O16">
        <f t="shared" ca="1" si="8"/>
        <v>129</v>
      </c>
    </row>
    <row r="17" spans="4:15">
      <c r="D17">
        <f t="shared" si="2"/>
        <v>3</v>
      </c>
      <c r="E17" s="177">
        <f t="shared" si="3"/>
        <v>43876.720208333332</v>
      </c>
      <c r="F17" s="175">
        <f t="shared" si="4"/>
        <v>43876</v>
      </c>
      <c r="G17" s="183">
        <f t="shared" si="9"/>
        <v>43862</v>
      </c>
      <c r="H17">
        <f t="shared" si="10"/>
        <v>3</v>
      </c>
      <c r="I17" t="str">
        <f t="shared" si="5"/>
        <v>2020.02.3</v>
      </c>
      <c r="J17" t="str">
        <f t="shared" si="6"/>
        <v>LQ</v>
      </c>
      <c r="K17" t="str">
        <f ca="1">VLOOKUP("mo1_" &amp; $J17,'GPlan-Translations'!$B$328:$C$331,2,FALSE)</f>
        <v>Last Q.</v>
      </c>
      <c r="L17" t="str">
        <f t="shared" si="7"/>
        <v>LQ</v>
      </c>
      <c r="M17" t="str">
        <f ca="1">VLOOKUP("mo2_" &amp; $L17,'GPlan-Translations'!$B$333:$C$336,2,FALSE)</f>
        <v>)</v>
      </c>
      <c r="N17" s="335" t="str">
        <f ca="1">VLOOKUP("mo3_" &amp; $L17,'GPlan-Translations'!$B$338:$C$341,2,FALSE)</f>
        <v></v>
      </c>
      <c r="O17">
        <f t="shared" ca="1" si="8"/>
        <v>131</v>
      </c>
    </row>
    <row r="18" spans="4:15">
      <c r="D18">
        <f t="shared" si="2"/>
        <v>0</v>
      </c>
      <c r="E18" s="177">
        <f t="shared" si="3"/>
        <v>43884.438750000001</v>
      </c>
      <c r="F18" s="175">
        <f t="shared" si="4"/>
        <v>43884</v>
      </c>
      <c r="G18" s="183">
        <f t="shared" si="9"/>
        <v>43862</v>
      </c>
      <c r="H18">
        <f t="shared" si="10"/>
        <v>4</v>
      </c>
      <c r="I18" t="str">
        <f t="shared" si="5"/>
        <v>2020.02.4</v>
      </c>
      <c r="J18" t="str">
        <f t="shared" si="6"/>
        <v>NM</v>
      </c>
      <c r="K18" t="str">
        <f ca="1">VLOOKUP("mo1_" &amp; $J18,'GPlan-Translations'!$B$328:$C$331,2,FALSE)</f>
        <v>New M.</v>
      </c>
      <c r="L18" t="str">
        <f t="shared" si="7"/>
        <v>NM</v>
      </c>
      <c r="M18" t="str">
        <f ca="1">VLOOKUP("mo2_" &amp; $L18,'GPlan-Translations'!$B$333:$C$336,2,FALSE)</f>
        <v>: :</v>
      </c>
      <c r="N18" s="335" t="str">
        <f ca="1">VLOOKUP("mo3_" &amp; $L18,'GPlan-Translations'!$B$338:$C$341,2,FALSE)</f>
        <v></v>
      </c>
      <c r="O18">
        <f t="shared" ca="1" si="8"/>
        <v>152</v>
      </c>
    </row>
    <row r="19" spans="4:15">
      <c r="D19">
        <f t="shared" si="2"/>
        <v>1</v>
      </c>
      <c r="E19" s="177">
        <f t="shared" si="3"/>
        <v>43892.622997685183</v>
      </c>
      <c r="F19" s="175">
        <f t="shared" si="4"/>
        <v>43892</v>
      </c>
      <c r="G19" s="183">
        <f t="shared" si="9"/>
        <v>43891</v>
      </c>
      <c r="H19">
        <f t="shared" si="10"/>
        <v>1</v>
      </c>
      <c r="I19" t="str">
        <f t="shared" si="5"/>
        <v>2020.03.1</v>
      </c>
      <c r="J19" t="str">
        <f t="shared" si="6"/>
        <v>FQ</v>
      </c>
      <c r="K19" t="str">
        <f ca="1">VLOOKUP("mo1_" &amp; $J19,'GPlan-Translations'!$B$328:$C$331,2,FALSE)</f>
        <v>First Q.</v>
      </c>
      <c r="L19" t="str">
        <f t="shared" si="7"/>
        <v>FQ</v>
      </c>
      <c r="M19" t="str">
        <f ca="1">VLOOKUP("mo2_" &amp; $L19,'GPlan-Translations'!$B$333:$C$336,2,FALSE)</f>
        <v>(</v>
      </c>
      <c r="N19" s="335" t="str">
        <f ca="1">VLOOKUP("mo3_" &amp; $L19,'GPlan-Translations'!$B$338:$C$341,2,FALSE)</f>
        <v></v>
      </c>
      <c r="O19">
        <f t="shared" ca="1" si="8"/>
        <v>130</v>
      </c>
    </row>
    <row r="20" spans="4:15">
      <c r="D20">
        <f t="shared" si="2"/>
        <v>2</v>
      </c>
      <c r="E20" s="177">
        <f t="shared" si="3"/>
        <v>43899.532951388886</v>
      </c>
      <c r="F20" s="175">
        <f t="shared" si="4"/>
        <v>43899</v>
      </c>
      <c r="G20" s="183">
        <f t="shared" si="9"/>
        <v>43891</v>
      </c>
      <c r="H20">
        <f t="shared" si="10"/>
        <v>2</v>
      </c>
      <c r="I20" t="str">
        <f t="shared" si="5"/>
        <v>2020.03.2</v>
      </c>
      <c r="J20" t="str">
        <f t="shared" si="6"/>
        <v>FM</v>
      </c>
      <c r="K20" t="str">
        <f ca="1">VLOOKUP("mo1_" &amp; $J20,'GPlan-Translations'!$B$328:$C$331,2,FALSE)</f>
        <v>Full M.</v>
      </c>
      <c r="L20" t="str">
        <f t="shared" si="7"/>
        <v>FM</v>
      </c>
      <c r="M20" t="str">
        <f ca="1">VLOOKUP("mo2_" &amp; $L20,'GPlan-Translations'!$B$333:$C$336,2,FALSE)</f>
        <v>O</v>
      </c>
      <c r="N20" s="335" t="str">
        <f ca="1">VLOOKUP("mo3_" &amp; $L20,'GPlan-Translations'!$B$338:$C$341,2,FALSE)</f>
        <v></v>
      </c>
      <c r="O20">
        <f t="shared" ca="1" si="8"/>
        <v>129</v>
      </c>
    </row>
    <row r="21" spans="4:15">
      <c r="D21">
        <f t="shared" si="2"/>
        <v>3</v>
      </c>
      <c r="E21" s="177">
        <f t="shared" si="3"/>
        <v>43906.190300925926</v>
      </c>
      <c r="F21" s="175">
        <f t="shared" si="4"/>
        <v>43906</v>
      </c>
      <c r="G21" s="183">
        <f t="shared" si="9"/>
        <v>43891</v>
      </c>
      <c r="H21">
        <f t="shared" si="10"/>
        <v>3</v>
      </c>
      <c r="I21" t="str">
        <f t="shared" si="5"/>
        <v>2020.03.3</v>
      </c>
      <c r="J21" t="str">
        <f t="shared" si="6"/>
        <v>LQ</v>
      </c>
      <c r="K21" t="str">
        <f ca="1">VLOOKUP("mo1_" &amp; $J21,'GPlan-Translations'!$B$328:$C$331,2,FALSE)</f>
        <v>Last Q.</v>
      </c>
      <c r="L21" t="str">
        <f t="shared" si="7"/>
        <v>LQ</v>
      </c>
      <c r="M21" t="str">
        <f ca="1">VLOOKUP("mo2_" &amp; $L21,'GPlan-Translations'!$B$333:$C$336,2,FALSE)</f>
        <v>)</v>
      </c>
      <c r="N21" s="335" t="str">
        <f ca="1">VLOOKUP("mo3_" &amp; $L21,'GPlan-Translations'!$B$338:$C$341,2,FALSE)</f>
        <v></v>
      </c>
      <c r="O21">
        <f t="shared" ca="1" si="8"/>
        <v>131</v>
      </c>
    </row>
    <row r="22" spans="4:15">
      <c r="D22">
        <f t="shared" si="2"/>
        <v>0</v>
      </c>
      <c r="E22" s="177">
        <f t="shared" si="3"/>
        <v>43914.186064814814</v>
      </c>
      <c r="F22" s="175">
        <f t="shared" si="4"/>
        <v>43914</v>
      </c>
      <c r="G22" s="183">
        <f t="shared" si="9"/>
        <v>43891</v>
      </c>
      <c r="H22">
        <f t="shared" si="10"/>
        <v>4</v>
      </c>
      <c r="I22" t="str">
        <f t="shared" si="5"/>
        <v>2020.03.4</v>
      </c>
      <c r="J22" t="str">
        <f t="shared" si="6"/>
        <v>NM</v>
      </c>
      <c r="K22" t="str">
        <f ca="1">VLOOKUP("mo1_" &amp; $J22,'GPlan-Translations'!$B$328:$C$331,2,FALSE)</f>
        <v>New M.</v>
      </c>
      <c r="L22" t="str">
        <f t="shared" si="7"/>
        <v>NM</v>
      </c>
      <c r="M22" t="str">
        <f ca="1">VLOOKUP("mo2_" &amp; $L22,'GPlan-Translations'!$B$333:$C$336,2,FALSE)</f>
        <v>: :</v>
      </c>
      <c r="N22" s="335" t="str">
        <f ca="1">VLOOKUP("mo3_" &amp; $L22,'GPlan-Translations'!$B$338:$C$341,2,FALSE)</f>
        <v></v>
      </c>
      <c r="O22">
        <f t="shared" ca="1" si="8"/>
        <v>152</v>
      </c>
    </row>
    <row r="23" spans="4:15">
      <c r="D23">
        <f t="shared" si="2"/>
        <v>1</v>
      </c>
      <c r="E23" s="177">
        <f t="shared" si="3"/>
        <v>43922.222881944443</v>
      </c>
      <c r="F23" s="175">
        <f t="shared" si="4"/>
        <v>43922</v>
      </c>
      <c r="G23" s="183">
        <f t="shared" si="9"/>
        <v>43922</v>
      </c>
      <c r="H23">
        <f t="shared" si="10"/>
        <v>1</v>
      </c>
      <c r="I23" t="str">
        <f t="shared" si="5"/>
        <v>2020.04.1</v>
      </c>
      <c r="J23" t="str">
        <f t="shared" si="6"/>
        <v>FQ</v>
      </c>
      <c r="K23" t="str">
        <f ca="1">VLOOKUP("mo1_" &amp; $J23,'GPlan-Translations'!$B$328:$C$331,2,FALSE)</f>
        <v>First Q.</v>
      </c>
      <c r="L23" t="str">
        <f t="shared" si="7"/>
        <v>FQ</v>
      </c>
      <c r="M23" t="str">
        <f ca="1">VLOOKUP("mo2_" &amp; $L23,'GPlan-Translations'!$B$333:$C$336,2,FALSE)</f>
        <v>(</v>
      </c>
      <c r="N23" s="335" t="str">
        <f ca="1">VLOOKUP("mo3_" &amp; $L23,'GPlan-Translations'!$B$338:$C$341,2,FALSE)</f>
        <v></v>
      </c>
      <c r="O23">
        <f t="shared" ca="1" si="8"/>
        <v>130</v>
      </c>
    </row>
    <row r="24" spans="4:15">
      <c r="D24">
        <f t="shared" si="2"/>
        <v>2</v>
      </c>
      <c r="E24" s="177">
        <f t="shared" si="3"/>
        <v>43928.899155092593</v>
      </c>
      <c r="F24" s="175">
        <f t="shared" si="4"/>
        <v>43928</v>
      </c>
      <c r="G24" s="183">
        <f t="shared" si="9"/>
        <v>43922</v>
      </c>
      <c r="H24">
        <f t="shared" si="10"/>
        <v>2</v>
      </c>
      <c r="I24" t="str">
        <f t="shared" si="5"/>
        <v>2020.04.2</v>
      </c>
      <c r="J24" t="str">
        <f t="shared" si="6"/>
        <v>FM</v>
      </c>
      <c r="K24" t="str">
        <f ca="1">VLOOKUP("mo1_" &amp; $J24,'GPlan-Translations'!$B$328:$C$331,2,FALSE)</f>
        <v>Full M.</v>
      </c>
      <c r="L24" t="str">
        <f t="shared" si="7"/>
        <v>FM</v>
      </c>
      <c r="M24" t="str">
        <f ca="1">VLOOKUP("mo2_" &amp; $L24,'GPlan-Translations'!$B$333:$C$336,2,FALSE)</f>
        <v>O</v>
      </c>
      <c r="N24" s="335" t="str">
        <f ca="1">VLOOKUP("mo3_" &amp; $L24,'GPlan-Translations'!$B$338:$C$341,2,FALSE)</f>
        <v></v>
      </c>
      <c r="O24">
        <f t="shared" ca="1" si="8"/>
        <v>129</v>
      </c>
    </row>
    <row r="25" spans="4:15">
      <c r="D25">
        <f t="shared" si="2"/>
        <v>3</v>
      </c>
      <c r="E25" s="177">
        <f t="shared" si="3"/>
        <v>43935.747152777774</v>
      </c>
      <c r="F25" s="175">
        <f t="shared" si="4"/>
        <v>43935</v>
      </c>
      <c r="G25" s="183">
        <f t="shared" si="9"/>
        <v>43922</v>
      </c>
      <c r="H25">
        <f t="shared" si="10"/>
        <v>3</v>
      </c>
      <c r="I25" t="str">
        <f t="shared" si="5"/>
        <v>2020.04.3</v>
      </c>
      <c r="J25" t="str">
        <f t="shared" si="6"/>
        <v>LQ</v>
      </c>
      <c r="K25" t="str">
        <f ca="1">VLOOKUP("mo1_" &amp; $J25,'GPlan-Translations'!$B$328:$C$331,2,FALSE)</f>
        <v>Last Q.</v>
      </c>
      <c r="L25" t="str">
        <f t="shared" si="7"/>
        <v>LQ</v>
      </c>
      <c r="M25" t="str">
        <f ca="1">VLOOKUP("mo2_" &amp; $L25,'GPlan-Translations'!$B$333:$C$336,2,FALSE)</f>
        <v>)</v>
      </c>
      <c r="N25" s="335" t="str">
        <f ca="1">VLOOKUP("mo3_" &amp; $L25,'GPlan-Translations'!$B$338:$C$341,2,FALSE)</f>
        <v></v>
      </c>
      <c r="O25">
        <f t="shared" ca="1" si="8"/>
        <v>131</v>
      </c>
    </row>
    <row r="26" spans="4:15">
      <c r="D26">
        <f t="shared" si="2"/>
        <v>0</v>
      </c>
      <c r="E26" s="177">
        <f t="shared" si="3"/>
        <v>43943.892731481479</v>
      </c>
      <c r="F26" s="175">
        <f t="shared" si="4"/>
        <v>43943</v>
      </c>
      <c r="G26" s="183">
        <f t="shared" si="9"/>
        <v>43922</v>
      </c>
      <c r="H26">
        <f t="shared" si="10"/>
        <v>4</v>
      </c>
      <c r="I26" t="str">
        <f t="shared" si="5"/>
        <v>2020.04.4</v>
      </c>
      <c r="J26" t="str">
        <f t="shared" si="6"/>
        <v>NM</v>
      </c>
      <c r="K26" t="str">
        <f ca="1">VLOOKUP("mo1_" &amp; $J26,'GPlan-Translations'!$B$328:$C$331,2,FALSE)</f>
        <v>New M.</v>
      </c>
      <c r="L26" t="str">
        <f t="shared" si="7"/>
        <v>NM</v>
      </c>
      <c r="M26" t="str">
        <f ca="1">VLOOKUP("mo2_" &amp; $L26,'GPlan-Translations'!$B$333:$C$336,2,FALSE)</f>
        <v>: :</v>
      </c>
      <c r="N26" s="335" t="str">
        <f ca="1">VLOOKUP("mo3_" &amp; $L26,'GPlan-Translations'!$B$338:$C$341,2,FALSE)</f>
        <v></v>
      </c>
      <c r="O26">
        <f t="shared" ca="1" si="8"/>
        <v>152</v>
      </c>
    </row>
    <row r="27" spans="4:15">
      <c r="D27">
        <f t="shared" si="2"/>
        <v>1</v>
      </c>
      <c r="E27" s="177">
        <f t="shared" si="3"/>
        <v>43951.651400462964</v>
      </c>
      <c r="F27" s="175">
        <f t="shared" si="4"/>
        <v>43951</v>
      </c>
      <c r="G27" s="183">
        <f t="shared" si="9"/>
        <v>43922</v>
      </c>
      <c r="H27">
        <f t="shared" si="10"/>
        <v>5</v>
      </c>
      <c r="I27" t="str">
        <f t="shared" si="5"/>
        <v>2020.04.5</v>
      </c>
      <c r="J27" t="str">
        <f t="shared" si="6"/>
        <v>FQ</v>
      </c>
      <c r="K27" t="str">
        <f ca="1">VLOOKUP("mo1_" &amp; $J27,'GPlan-Translations'!$B$328:$C$331,2,FALSE)</f>
        <v>First Q.</v>
      </c>
      <c r="L27" t="str">
        <f t="shared" si="7"/>
        <v>FQ</v>
      </c>
      <c r="M27" t="str">
        <f ca="1">VLOOKUP("mo2_" &amp; $L27,'GPlan-Translations'!$B$333:$C$336,2,FALSE)</f>
        <v>(</v>
      </c>
      <c r="N27" s="335" t="str">
        <f ca="1">VLOOKUP("mo3_" &amp; $L27,'GPlan-Translations'!$B$338:$C$341,2,FALSE)</f>
        <v></v>
      </c>
      <c r="O27">
        <f t="shared" ca="1" si="8"/>
        <v>130</v>
      </c>
    </row>
    <row r="28" spans="4:15">
      <c r="D28">
        <f t="shared" si="2"/>
        <v>2</v>
      </c>
      <c r="E28" s="177">
        <f t="shared" si="3"/>
        <v>43958.239548611113</v>
      </c>
      <c r="F28" s="175">
        <f t="shared" si="4"/>
        <v>43958</v>
      </c>
      <c r="G28" s="183">
        <f t="shared" si="9"/>
        <v>43952</v>
      </c>
      <c r="H28">
        <f t="shared" si="10"/>
        <v>1</v>
      </c>
      <c r="I28" t="str">
        <f t="shared" si="5"/>
        <v>2020.05.1</v>
      </c>
      <c r="J28" t="str">
        <f t="shared" si="6"/>
        <v>FM</v>
      </c>
      <c r="K28" t="str">
        <f ca="1">VLOOKUP("mo1_" &amp; $J28,'GPlan-Translations'!$B$328:$C$331,2,FALSE)</f>
        <v>Full M.</v>
      </c>
      <c r="L28" t="str">
        <f t="shared" si="7"/>
        <v>FM</v>
      </c>
      <c r="M28" t="str">
        <f ca="1">VLOOKUP("mo2_" &amp; $L28,'GPlan-Translations'!$B$333:$C$336,2,FALSE)</f>
        <v>O</v>
      </c>
      <c r="N28" s="335" t="str">
        <f ca="1">VLOOKUP("mo3_" &amp; $L28,'GPlan-Translations'!$B$338:$C$341,2,FALSE)</f>
        <v></v>
      </c>
      <c r="O28">
        <f t="shared" ca="1" si="8"/>
        <v>129</v>
      </c>
    </row>
    <row r="29" spans="4:15">
      <c r="D29">
        <f t="shared" si="2"/>
        <v>3</v>
      </c>
      <c r="E29" s="177">
        <f t="shared" si="3"/>
        <v>43965.376701388886</v>
      </c>
      <c r="F29" s="175">
        <f t="shared" si="4"/>
        <v>43965</v>
      </c>
      <c r="G29" s="183">
        <f t="shared" si="9"/>
        <v>43952</v>
      </c>
      <c r="H29">
        <f t="shared" si="10"/>
        <v>2</v>
      </c>
      <c r="I29" t="str">
        <f t="shared" si="5"/>
        <v>2020.05.2</v>
      </c>
      <c r="J29" t="str">
        <f t="shared" si="6"/>
        <v>LQ</v>
      </c>
      <c r="K29" t="str">
        <f ca="1">VLOOKUP("mo1_" &amp; $J29,'GPlan-Translations'!$B$328:$C$331,2,FALSE)</f>
        <v>Last Q.</v>
      </c>
      <c r="L29" t="str">
        <f t="shared" si="7"/>
        <v>LQ</v>
      </c>
      <c r="M29" t="str">
        <f ca="1">VLOOKUP("mo2_" &amp; $L29,'GPlan-Translations'!$B$333:$C$336,2,FALSE)</f>
        <v>)</v>
      </c>
      <c r="N29" s="335" t="str">
        <f ca="1">VLOOKUP("mo3_" &amp; $L29,'GPlan-Translations'!$B$338:$C$341,2,FALSE)</f>
        <v></v>
      </c>
      <c r="O29">
        <f t="shared" ca="1" si="8"/>
        <v>131</v>
      </c>
    </row>
    <row r="30" spans="4:15">
      <c r="D30">
        <f t="shared" si="2"/>
        <v>0</v>
      </c>
      <c r="E30" s="177">
        <f t="shared" si="3"/>
        <v>43973.52679398148</v>
      </c>
      <c r="F30" s="175">
        <f t="shared" si="4"/>
        <v>43973</v>
      </c>
      <c r="G30" s="183">
        <f t="shared" si="9"/>
        <v>43952</v>
      </c>
      <c r="H30">
        <f t="shared" si="10"/>
        <v>3</v>
      </c>
      <c r="I30" t="str">
        <f t="shared" si="5"/>
        <v>2020.05.3</v>
      </c>
      <c r="J30" t="str">
        <f t="shared" si="6"/>
        <v>NM</v>
      </c>
      <c r="K30" t="str">
        <f ca="1">VLOOKUP("mo1_" &amp; $J30,'GPlan-Translations'!$B$328:$C$331,2,FALSE)</f>
        <v>New M.</v>
      </c>
      <c r="L30" t="str">
        <f t="shared" si="7"/>
        <v>NM</v>
      </c>
      <c r="M30" t="str">
        <f ca="1">VLOOKUP("mo2_" &amp; $L30,'GPlan-Translations'!$B$333:$C$336,2,FALSE)</f>
        <v>: :</v>
      </c>
      <c r="N30" s="335" t="str">
        <f ca="1">VLOOKUP("mo3_" &amp; $L30,'GPlan-Translations'!$B$338:$C$341,2,FALSE)</f>
        <v></v>
      </c>
      <c r="O30">
        <f t="shared" ca="1" si="8"/>
        <v>152</v>
      </c>
    </row>
    <row r="31" spans="4:15">
      <c r="D31">
        <f t="shared" si="2"/>
        <v>1</v>
      </c>
      <c r="E31" s="177">
        <f t="shared" si="3"/>
        <v>43980.937256944446</v>
      </c>
      <c r="F31" s="175">
        <f t="shared" si="4"/>
        <v>43980</v>
      </c>
      <c r="G31" s="183">
        <f t="shared" si="9"/>
        <v>43952</v>
      </c>
      <c r="H31">
        <f t="shared" si="10"/>
        <v>4</v>
      </c>
      <c r="I31" t="str">
        <f t="shared" si="5"/>
        <v>2020.05.4</v>
      </c>
      <c r="J31" t="str">
        <f t="shared" si="6"/>
        <v>FQ</v>
      </c>
      <c r="K31" t="str">
        <f ca="1">VLOOKUP("mo1_" &amp; $J31,'GPlan-Translations'!$B$328:$C$331,2,FALSE)</f>
        <v>First Q.</v>
      </c>
      <c r="L31" t="str">
        <f t="shared" si="7"/>
        <v>FQ</v>
      </c>
      <c r="M31" t="str">
        <f ca="1">VLOOKUP("mo2_" &amp; $L31,'GPlan-Translations'!$B$333:$C$336,2,FALSE)</f>
        <v>(</v>
      </c>
      <c r="N31" s="335" t="str">
        <f ca="1">VLOOKUP("mo3_" &amp; $L31,'GPlan-Translations'!$B$338:$C$341,2,FALSE)</f>
        <v></v>
      </c>
      <c r="O31">
        <f t="shared" ca="1" si="8"/>
        <v>130</v>
      </c>
    </row>
    <row r="32" spans="4:15">
      <c r="D32">
        <f t="shared" si="2"/>
        <v>2</v>
      </c>
      <c r="E32" s="177">
        <f t="shared" si="3"/>
        <v>43987.59175925926</v>
      </c>
      <c r="F32" s="175">
        <f t="shared" si="4"/>
        <v>43987</v>
      </c>
      <c r="G32" s="183">
        <f t="shared" si="9"/>
        <v>43983</v>
      </c>
      <c r="H32">
        <f t="shared" si="10"/>
        <v>1</v>
      </c>
      <c r="I32" t="str">
        <f t="shared" si="5"/>
        <v>2020.06.1</v>
      </c>
      <c r="J32" t="str">
        <f t="shared" si="6"/>
        <v>FM</v>
      </c>
      <c r="K32" t="str">
        <f ca="1">VLOOKUP("mo1_" &amp; $J32,'GPlan-Translations'!$B$328:$C$331,2,FALSE)</f>
        <v>Full M.</v>
      </c>
      <c r="L32" t="str">
        <f t="shared" si="7"/>
        <v>FM</v>
      </c>
      <c r="M32" t="str">
        <f ca="1">VLOOKUP("mo2_" &amp; $L32,'GPlan-Translations'!$B$333:$C$336,2,FALSE)</f>
        <v>O</v>
      </c>
      <c r="N32" s="335" t="str">
        <f ca="1">VLOOKUP("mo3_" &amp; $L32,'GPlan-Translations'!$B$338:$C$341,2,FALSE)</f>
        <v></v>
      </c>
      <c r="O32">
        <f t="shared" ca="1" si="8"/>
        <v>129</v>
      </c>
    </row>
    <row r="33" spans="4:15">
      <c r="D33">
        <f t="shared" si="2"/>
        <v>3</v>
      </c>
      <c r="E33" s="177">
        <f t="shared" si="3"/>
        <v>43995.057951388888</v>
      </c>
      <c r="F33" s="175">
        <f t="shared" si="4"/>
        <v>43995</v>
      </c>
      <c r="G33" s="183">
        <f t="shared" si="9"/>
        <v>43983</v>
      </c>
      <c r="H33">
        <f t="shared" si="10"/>
        <v>2</v>
      </c>
      <c r="I33" t="str">
        <f t="shared" si="5"/>
        <v>2020.06.2</v>
      </c>
      <c r="J33" t="str">
        <f t="shared" si="6"/>
        <v>LQ</v>
      </c>
      <c r="K33" t="str">
        <f ca="1">VLOOKUP("mo1_" &amp; $J33,'GPlan-Translations'!$B$328:$C$331,2,FALSE)</f>
        <v>Last Q.</v>
      </c>
      <c r="L33" t="str">
        <f t="shared" si="7"/>
        <v>LQ</v>
      </c>
      <c r="M33" t="str">
        <f ca="1">VLOOKUP("mo2_" &amp; $L33,'GPlan-Translations'!$B$333:$C$336,2,FALSE)</f>
        <v>)</v>
      </c>
      <c r="N33" s="335" t="str">
        <f ca="1">VLOOKUP("mo3_" &amp; $L33,'GPlan-Translations'!$B$338:$C$341,2,FALSE)</f>
        <v></v>
      </c>
      <c r="O33">
        <f t="shared" ca="1" si="8"/>
        <v>131</v>
      </c>
    </row>
    <row r="34" spans="4:15">
      <c r="D34">
        <f t="shared" si="2"/>
        <v>0</v>
      </c>
      <c r="E34" s="177">
        <f t="shared" si="3"/>
        <v>44003.070254629631</v>
      </c>
      <c r="F34" s="175">
        <f t="shared" si="4"/>
        <v>44003</v>
      </c>
      <c r="G34" s="183">
        <f t="shared" si="9"/>
        <v>43983</v>
      </c>
      <c r="H34">
        <f t="shared" si="10"/>
        <v>3</v>
      </c>
      <c r="I34" t="str">
        <f t="shared" si="5"/>
        <v>2020.06.3</v>
      </c>
      <c r="J34" t="str">
        <f t="shared" si="6"/>
        <v>NM</v>
      </c>
      <c r="K34" t="str">
        <f ca="1">VLOOKUP("mo1_" &amp; $J34,'GPlan-Translations'!$B$328:$C$331,2,FALSE)</f>
        <v>New M.</v>
      </c>
      <c r="L34" t="str">
        <f t="shared" si="7"/>
        <v>NM</v>
      </c>
      <c r="M34" t="str">
        <f ca="1">VLOOKUP("mo2_" &amp; $L34,'GPlan-Translations'!$B$333:$C$336,2,FALSE)</f>
        <v>: :</v>
      </c>
      <c r="N34" s="335" t="str">
        <f ca="1">VLOOKUP("mo3_" &amp; $L34,'GPlan-Translations'!$B$338:$C$341,2,FALSE)</f>
        <v></v>
      </c>
      <c r="O34">
        <f t="shared" ca="1" si="8"/>
        <v>152</v>
      </c>
    </row>
    <row r="35" spans="4:15">
      <c r="D35">
        <f t="shared" si="2"/>
        <v>1</v>
      </c>
      <c r="E35" s="177">
        <f t="shared" ref="E35:E58" si="11">MONDPHASE(E34+5, D35, $C$10)</f>
        <v>44010.135717592595</v>
      </c>
      <c r="F35" s="175">
        <f t="shared" si="4"/>
        <v>44010</v>
      </c>
      <c r="G35" s="183">
        <f t="shared" si="9"/>
        <v>43983</v>
      </c>
      <c r="H35">
        <f t="shared" si="10"/>
        <v>4</v>
      </c>
      <c r="I35" t="str">
        <f t="shared" si="5"/>
        <v>2020.06.4</v>
      </c>
      <c r="J35" t="str">
        <f t="shared" si="6"/>
        <v>FQ</v>
      </c>
      <c r="K35" t="str">
        <f ca="1">VLOOKUP("mo1_" &amp; $J35,'GPlan-Translations'!$B$328:$C$331,2,FALSE)</f>
        <v>First Q.</v>
      </c>
      <c r="L35" t="str">
        <f t="shared" si="7"/>
        <v>FQ</v>
      </c>
      <c r="M35" t="str">
        <f ca="1">VLOOKUP("mo2_" &amp; $L35,'GPlan-Translations'!$B$333:$C$336,2,FALSE)</f>
        <v>(</v>
      </c>
      <c r="N35" s="335" t="str">
        <f ca="1">VLOOKUP("mo3_" &amp; $L35,'GPlan-Translations'!$B$338:$C$341,2,FALSE)</f>
        <v></v>
      </c>
      <c r="O35">
        <f t="shared" ca="1" si="8"/>
        <v>130</v>
      </c>
    </row>
    <row r="36" spans="4:15">
      <c r="D36">
        <f t="shared" si="2"/>
        <v>2</v>
      </c>
      <c r="E36" s="177">
        <f t="shared" si="11"/>
        <v>44016.988981481481</v>
      </c>
      <c r="F36" s="175">
        <f t="shared" si="4"/>
        <v>44016</v>
      </c>
      <c r="G36" s="183">
        <f t="shared" si="9"/>
        <v>44013</v>
      </c>
      <c r="H36">
        <f t="shared" si="10"/>
        <v>1</v>
      </c>
      <c r="I36" t="str">
        <f t="shared" si="5"/>
        <v>2020.07.1</v>
      </c>
      <c r="J36" t="str">
        <f t="shared" si="6"/>
        <v>FM</v>
      </c>
      <c r="K36" t="str">
        <f ca="1">VLOOKUP("mo1_" &amp; $J36,'GPlan-Translations'!$B$328:$C$331,2,FALSE)</f>
        <v>Full M.</v>
      </c>
      <c r="L36" t="str">
        <f t="shared" si="7"/>
        <v>FM</v>
      </c>
      <c r="M36" t="str">
        <f ca="1">VLOOKUP("mo2_" &amp; $L36,'GPlan-Translations'!$B$333:$C$336,2,FALSE)</f>
        <v>O</v>
      </c>
      <c r="N36" s="335" t="str">
        <f ca="1">VLOOKUP("mo3_" &amp; $L36,'GPlan-Translations'!$B$338:$C$341,2,FALSE)</f>
        <v></v>
      </c>
      <c r="O36">
        <f t="shared" ca="1" si="8"/>
        <v>129</v>
      </c>
    </row>
    <row r="37" spans="4:15">
      <c r="D37">
        <f t="shared" si="2"/>
        <v>3</v>
      </c>
      <c r="E37" s="177">
        <f t="shared" si="11"/>
        <v>44024.769976851851</v>
      </c>
      <c r="F37" s="175">
        <f t="shared" si="4"/>
        <v>44024</v>
      </c>
      <c r="G37" s="183">
        <f t="shared" si="9"/>
        <v>44013</v>
      </c>
      <c r="H37">
        <f t="shared" si="10"/>
        <v>2</v>
      </c>
      <c r="I37" t="str">
        <f t="shared" si="5"/>
        <v>2020.07.2</v>
      </c>
      <c r="J37" t="str">
        <f t="shared" si="6"/>
        <v>LQ</v>
      </c>
      <c r="K37" t="str">
        <f ca="1">VLOOKUP("mo1_" &amp; $J37,'GPlan-Translations'!$B$328:$C$331,2,FALSE)</f>
        <v>Last Q.</v>
      </c>
      <c r="L37" t="str">
        <f t="shared" si="7"/>
        <v>LQ</v>
      </c>
      <c r="M37" t="str">
        <f ca="1">VLOOKUP("mo2_" &amp; $L37,'GPlan-Translations'!$B$333:$C$336,2,FALSE)</f>
        <v>)</v>
      </c>
      <c r="N37" s="335" t="str">
        <f ca="1">VLOOKUP("mo3_" &amp; $L37,'GPlan-Translations'!$B$338:$C$341,2,FALSE)</f>
        <v></v>
      </c>
      <c r="O37">
        <f t="shared" ca="1" si="8"/>
        <v>131</v>
      </c>
    </row>
    <row r="38" spans="4:15">
      <c r="D38">
        <f t="shared" si="2"/>
        <v>0</v>
      </c>
      <c r="E38" s="177">
        <f t="shared" si="11"/>
        <v>44032.522662037038</v>
      </c>
      <c r="F38" s="175">
        <f t="shared" si="4"/>
        <v>44032</v>
      </c>
      <c r="G38" s="183">
        <f t="shared" si="9"/>
        <v>44013</v>
      </c>
      <c r="H38">
        <f t="shared" si="10"/>
        <v>3</v>
      </c>
      <c r="I38" t="str">
        <f t="shared" si="5"/>
        <v>2020.07.3</v>
      </c>
      <c r="J38" t="str">
        <f t="shared" si="6"/>
        <v>NM</v>
      </c>
      <c r="K38" t="str">
        <f ca="1">VLOOKUP("mo1_" &amp; $J38,'GPlan-Translations'!$B$328:$C$331,2,FALSE)</f>
        <v>New M.</v>
      </c>
      <c r="L38" t="str">
        <f t="shared" si="7"/>
        <v>NM</v>
      </c>
      <c r="M38" t="str">
        <f ca="1">VLOOKUP("mo2_" &amp; $L38,'GPlan-Translations'!$B$333:$C$336,2,FALSE)</f>
        <v>: :</v>
      </c>
      <c r="N38" s="335" t="str">
        <f ca="1">VLOOKUP("mo3_" &amp; $L38,'GPlan-Translations'!$B$338:$C$341,2,FALSE)</f>
        <v></v>
      </c>
      <c r="O38">
        <f t="shared" ca="1" si="8"/>
        <v>152</v>
      </c>
    </row>
    <row r="39" spans="4:15">
      <c r="D39">
        <f t="shared" si="2"/>
        <v>1</v>
      </c>
      <c r="E39" s="177">
        <f t="shared" si="11"/>
        <v>44039.314085648148</v>
      </c>
      <c r="F39" s="175">
        <f t="shared" si="4"/>
        <v>44039</v>
      </c>
      <c r="G39" s="183">
        <f t="shared" si="9"/>
        <v>44013</v>
      </c>
      <c r="H39">
        <f t="shared" si="10"/>
        <v>4</v>
      </c>
      <c r="I39" t="str">
        <f t="shared" si="5"/>
        <v>2020.07.4</v>
      </c>
      <c r="J39" t="str">
        <f t="shared" si="6"/>
        <v>FQ</v>
      </c>
      <c r="K39" t="str">
        <f ca="1">VLOOKUP("mo1_" &amp; $J39,'GPlan-Translations'!$B$328:$C$331,2,FALSE)</f>
        <v>First Q.</v>
      </c>
      <c r="L39" t="str">
        <f t="shared" si="7"/>
        <v>FQ</v>
      </c>
      <c r="M39" t="str">
        <f ca="1">VLOOKUP("mo2_" &amp; $L39,'GPlan-Translations'!$B$333:$C$336,2,FALSE)</f>
        <v>(</v>
      </c>
      <c r="N39" s="335" t="str">
        <f ca="1">VLOOKUP("mo3_" &amp; $L39,'GPlan-Translations'!$B$338:$C$341,2,FALSE)</f>
        <v></v>
      </c>
      <c r="O39">
        <f t="shared" ca="1" si="8"/>
        <v>130</v>
      </c>
    </row>
    <row r="40" spans="4:15">
      <c r="D40">
        <f t="shared" si="2"/>
        <v>2</v>
      </c>
      <c r="E40" s="177">
        <f t="shared" si="11"/>
        <v>44046.457326388889</v>
      </c>
      <c r="F40" s="175">
        <f t="shared" si="4"/>
        <v>44046</v>
      </c>
      <c r="G40" s="183">
        <f t="shared" si="9"/>
        <v>44044</v>
      </c>
      <c r="H40">
        <f t="shared" si="10"/>
        <v>1</v>
      </c>
      <c r="I40" t="str">
        <f t="shared" si="5"/>
        <v>2020.08.1</v>
      </c>
      <c r="J40" t="str">
        <f t="shared" si="6"/>
        <v>FM</v>
      </c>
      <c r="K40" t="str">
        <f ca="1">VLOOKUP("mo1_" &amp; $J40,'GPlan-Translations'!$B$328:$C$331,2,FALSE)</f>
        <v>Full M.</v>
      </c>
      <c r="L40" t="str">
        <f t="shared" si="7"/>
        <v>FM</v>
      </c>
      <c r="M40" t="str">
        <f ca="1">VLOOKUP("mo2_" &amp; $L40,'GPlan-Translations'!$B$333:$C$336,2,FALSE)</f>
        <v>O</v>
      </c>
      <c r="N40" s="335" t="str">
        <f ca="1">VLOOKUP("mo3_" &amp; $L40,'GPlan-Translations'!$B$338:$C$341,2,FALSE)</f>
        <v></v>
      </c>
      <c r="O40">
        <f t="shared" ca="1" si="8"/>
        <v>129</v>
      </c>
    </row>
    <row r="41" spans="4:15">
      <c r="D41">
        <f t="shared" si="2"/>
        <v>3</v>
      </c>
      <c r="E41" s="177">
        <f t="shared" si="11"/>
        <v>44054.489270833335</v>
      </c>
      <c r="F41" s="175">
        <f t="shared" si="4"/>
        <v>44054</v>
      </c>
      <c r="G41" s="183">
        <f t="shared" si="9"/>
        <v>44044</v>
      </c>
      <c r="H41">
        <f t="shared" si="10"/>
        <v>2</v>
      </c>
      <c r="I41" t="str">
        <f t="shared" si="5"/>
        <v>2020.08.2</v>
      </c>
      <c r="J41" t="str">
        <f t="shared" si="6"/>
        <v>LQ</v>
      </c>
      <c r="K41" t="str">
        <f ca="1">VLOOKUP("mo1_" &amp; $J41,'GPlan-Translations'!$B$328:$C$331,2,FALSE)</f>
        <v>Last Q.</v>
      </c>
      <c r="L41" t="str">
        <f t="shared" si="7"/>
        <v>LQ</v>
      </c>
      <c r="M41" t="str">
        <f ca="1">VLOOKUP("mo2_" &amp; $L41,'GPlan-Translations'!$B$333:$C$336,2,FALSE)</f>
        <v>)</v>
      </c>
      <c r="N41" s="335" t="str">
        <f ca="1">VLOOKUP("mo3_" &amp; $L41,'GPlan-Translations'!$B$338:$C$341,2,FALSE)</f>
        <v></v>
      </c>
      <c r="O41">
        <f t="shared" ca="1" si="8"/>
        <v>131</v>
      </c>
    </row>
    <row r="42" spans="4:15">
      <c r="D42">
        <f t="shared" si="2"/>
        <v>0</v>
      </c>
      <c r="E42" s="177">
        <f t="shared" si="11"/>
        <v>44061.903715277775</v>
      </c>
      <c r="F42" s="175">
        <f t="shared" si="4"/>
        <v>44061</v>
      </c>
      <c r="G42" s="183">
        <f t="shared" si="9"/>
        <v>44044</v>
      </c>
      <c r="H42">
        <f t="shared" si="10"/>
        <v>3</v>
      </c>
      <c r="I42" t="str">
        <f t="shared" si="5"/>
        <v>2020.08.3</v>
      </c>
      <c r="J42" t="str">
        <f t="shared" si="6"/>
        <v>NM</v>
      </c>
      <c r="K42" t="str">
        <f ca="1">VLOOKUP("mo1_" &amp; $J42,'GPlan-Translations'!$B$328:$C$331,2,FALSE)</f>
        <v>New M.</v>
      </c>
      <c r="L42" t="str">
        <f t="shared" si="7"/>
        <v>NM</v>
      </c>
      <c r="M42" t="str">
        <f ca="1">VLOOKUP("mo2_" &amp; $L42,'GPlan-Translations'!$B$333:$C$336,2,FALSE)</f>
        <v>: :</v>
      </c>
      <c r="N42" s="335" t="str">
        <f ca="1">VLOOKUP("mo3_" &amp; $L42,'GPlan-Translations'!$B$338:$C$341,2,FALSE)</f>
        <v></v>
      </c>
      <c r="O42">
        <f t="shared" ca="1" si="8"/>
        <v>152</v>
      </c>
    </row>
    <row r="43" spans="4:15">
      <c r="D43">
        <f t="shared" si="2"/>
        <v>1</v>
      </c>
      <c r="E43" s="177">
        <f t="shared" si="11"/>
        <v>44068.539884259262</v>
      </c>
      <c r="F43" s="175">
        <f t="shared" si="4"/>
        <v>44068</v>
      </c>
      <c r="G43" s="183">
        <f t="shared" si="9"/>
        <v>44044</v>
      </c>
      <c r="H43">
        <f t="shared" si="10"/>
        <v>4</v>
      </c>
      <c r="I43" t="str">
        <f t="shared" si="5"/>
        <v>2020.08.4</v>
      </c>
      <c r="J43" t="str">
        <f t="shared" si="6"/>
        <v>FQ</v>
      </c>
      <c r="K43" t="str">
        <f ca="1">VLOOKUP("mo1_" &amp; $J43,'GPlan-Translations'!$B$328:$C$331,2,FALSE)</f>
        <v>First Q.</v>
      </c>
      <c r="L43" t="str">
        <f t="shared" si="7"/>
        <v>FQ</v>
      </c>
      <c r="M43" t="str">
        <f ca="1">VLOOKUP("mo2_" &amp; $L43,'GPlan-Translations'!$B$333:$C$336,2,FALSE)</f>
        <v>(</v>
      </c>
      <c r="N43" s="335" t="str">
        <f ca="1">VLOOKUP("mo3_" &amp; $L43,'GPlan-Translations'!$B$338:$C$341,2,FALSE)</f>
        <v></v>
      </c>
      <c r="O43">
        <f t="shared" ca="1" si="8"/>
        <v>130</v>
      </c>
    </row>
    <row r="44" spans="4:15">
      <c r="D44">
        <f t="shared" si="2"/>
        <v>2</v>
      </c>
      <c r="E44" s="177">
        <f t="shared" si="11"/>
        <v>44076.015208333331</v>
      </c>
      <c r="F44" s="175">
        <f t="shared" si="4"/>
        <v>44076</v>
      </c>
      <c r="G44" s="183">
        <f t="shared" si="9"/>
        <v>44075</v>
      </c>
      <c r="H44">
        <f t="shared" si="10"/>
        <v>1</v>
      </c>
      <c r="I44" t="str">
        <f t="shared" si="5"/>
        <v>2020.09.1</v>
      </c>
      <c r="J44" t="str">
        <f t="shared" si="6"/>
        <v>FM</v>
      </c>
      <c r="K44" t="str">
        <f ca="1">VLOOKUP("mo1_" &amp; $J44,'GPlan-Translations'!$B$328:$C$331,2,FALSE)</f>
        <v>Full M.</v>
      </c>
      <c r="L44" t="str">
        <f t="shared" si="7"/>
        <v>FM</v>
      </c>
      <c r="M44" t="str">
        <f ca="1">VLOOKUP("mo2_" &amp; $L44,'GPlan-Translations'!$B$333:$C$336,2,FALSE)</f>
        <v>O</v>
      </c>
      <c r="N44" s="335" t="str">
        <f ca="1">VLOOKUP("mo3_" &amp; $L44,'GPlan-Translations'!$B$338:$C$341,2,FALSE)</f>
        <v></v>
      </c>
      <c r="O44">
        <f t="shared" ca="1" si="8"/>
        <v>129</v>
      </c>
    </row>
    <row r="45" spans="4:15">
      <c r="D45">
        <f t="shared" si="2"/>
        <v>3</v>
      </c>
      <c r="E45" s="177">
        <f t="shared" si="11"/>
        <v>44084.184386574074</v>
      </c>
      <c r="F45" s="175">
        <f t="shared" si="4"/>
        <v>44084</v>
      </c>
      <c r="G45" s="183">
        <f t="shared" si="9"/>
        <v>44075</v>
      </c>
      <c r="H45">
        <f t="shared" si="10"/>
        <v>2</v>
      </c>
      <c r="I45" t="str">
        <f t="shared" si="5"/>
        <v>2020.09.2</v>
      </c>
      <c r="J45" t="str">
        <f t="shared" si="6"/>
        <v>LQ</v>
      </c>
      <c r="K45" t="str">
        <f ca="1">VLOOKUP("mo1_" &amp; $J45,'GPlan-Translations'!$B$328:$C$331,2,FALSE)</f>
        <v>Last Q.</v>
      </c>
      <c r="L45" t="str">
        <f t="shared" si="7"/>
        <v>LQ</v>
      </c>
      <c r="M45" t="str">
        <f ca="1">VLOOKUP("mo2_" &amp; $L45,'GPlan-Translations'!$B$333:$C$336,2,FALSE)</f>
        <v>)</v>
      </c>
      <c r="N45" s="335" t="str">
        <f ca="1">VLOOKUP("mo3_" &amp; $L45,'GPlan-Translations'!$B$338:$C$341,2,FALSE)</f>
        <v></v>
      </c>
      <c r="O45">
        <f t="shared" ca="1" si="8"/>
        <v>131</v>
      </c>
    </row>
    <row r="46" spans="4:15">
      <c r="D46">
        <f t="shared" si="2"/>
        <v>0</v>
      </c>
      <c r="E46" s="177">
        <f t="shared" si="11"/>
        <v>44091.249895833331</v>
      </c>
      <c r="F46" s="175">
        <f t="shared" si="4"/>
        <v>44091</v>
      </c>
      <c r="G46" s="183">
        <f t="shared" si="9"/>
        <v>44075</v>
      </c>
      <c r="H46">
        <f t="shared" si="10"/>
        <v>3</v>
      </c>
      <c r="I46" t="str">
        <f t="shared" si="5"/>
        <v>2020.09.3</v>
      </c>
      <c r="J46" t="str">
        <f t="shared" si="6"/>
        <v>NM</v>
      </c>
      <c r="K46" t="str">
        <f ca="1">VLOOKUP("mo1_" &amp; $J46,'GPlan-Translations'!$B$328:$C$331,2,FALSE)</f>
        <v>New M.</v>
      </c>
      <c r="L46" t="str">
        <f t="shared" si="7"/>
        <v>NM</v>
      </c>
      <c r="M46" t="str">
        <f ca="1">VLOOKUP("mo2_" &amp; $L46,'GPlan-Translations'!$B$333:$C$336,2,FALSE)</f>
        <v>: :</v>
      </c>
      <c r="N46" s="335" t="str">
        <f ca="1">VLOOKUP("mo3_" &amp; $L46,'GPlan-Translations'!$B$338:$C$341,2,FALSE)</f>
        <v></v>
      </c>
      <c r="O46">
        <f t="shared" ca="1" si="8"/>
        <v>152</v>
      </c>
    </row>
    <row r="47" spans="4:15">
      <c r="D47">
        <f t="shared" si="2"/>
        <v>1</v>
      </c>
      <c r="E47" s="177">
        <f t="shared" si="11"/>
        <v>44097.871331018519</v>
      </c>
      <c r="F47" s="175">
        <f t="shared" si="4"/>
        <v>44097</v>
      </c>
      <c r="G47" s="183">
        <f t="shared" si="9"/>
        <v>44075</v>
      </c>
      <c r="H47">
        <f t="shared" si="10"/>
        <v>4</v>
      </c>
      <c r="I47" t="str">
        <f t="shared" si="5"/>
        <v>2020.09.4</v>
      </c>
      <c r="J47" t="str">
        <f t="shared" si="6"/>
        <v>FQ</v>
      </c>
      <c r="K47" t="str">
        <f ca="1">VLOOKUP("mo1_" &amp; $J47,'GPlan-Translations'!$B$328:$C$331,2,FALSE)</f>
        <v>First Q.</v>
      </c>
      <c r="L47" t="str">
        <f t="shared" si="7"/>
        <v>FQ</v>
      </c>
      <c r="M47" t="str">
        <f ca="1">VLOOKUP("mo2_" &amp; $L47,'GPlan-Translations'!$B$333:$C$336,2,FALSE)</f>
        <v>(</v>
      </c>
      <c r="N47" s="335" t="str">
        <f ca="1">VLOOKUP("mo3_" &amp; $L47,'GPlan-Translations'!$B$338:$C$341,2,FALSE)</f>
        <v></v>
      </c>
      <c r="O47">
        <f t="shared" ca="1" si="8"/>
        <v>130</v>
      </c>
    </row>
    <row r="48" spans="4:15">
      <c r="D48">
        <f t="shared" si="2"/>
        <v>2</v>
      </c>
      <c r="E48" s="177">
        <f t="shared" si="11"/>
        <v>44105.67019675926</v>
      </c>
      <c r="F48" s="175">
        <f t="shared" si="4"/>
        <v>44105</v>
      </c>
      <c r="G48" s="183">
        <f t="shared" si="9"/>
        <v>44105</v>
      </c>
      <c r="H48">
        <f t="shared" si="10"/>
        <v>1</v>
      </c>
      <c r="I48" t="str">
        <f t="shared" si="5"/>
        <v>2020.10.1</v>
      </c>
      <c r="J48" t="str">
        <f t="shared" si="6"/>
        <v>FM</v>
      </c>
      <c r="K48" t="str">
        <f ca="1">VLOOKUP("mo1_" &amp; $J48,'GPlan-Translations'!$B$328:$C$331,2,FALSE)</f>
        <v>Full M.</v>
      </c>
      <c r="L48" t="str">
        <f t="shared" si="7"/>
        <v>FM</v>
      </c>
      <c r="M48" t="str">
        <f ca="1">VLOOKUP("mo2_" &amp; $L48,'GPlan-Translations'!$B$333:$C$336,2,FALSE)</f>
        <v>O</v>
      </c>
      <c r="N48" s="335" t="str">
        <f ca="1">VLOOKUP("mo3_" &amp; $L48,'GPlan-Translations'!$B$338:$C$341,2,FALSE)</f>
        <v></v>
      </c>
      <c r="O48">
        <f t="shared" ca="1" si="8"/>
        <v>129</v>
      </c>
    </row>
    <row r="49" spans="4:15">
      <c r="D49">
        <f t="shared" si="2"/>
        <v>3</v>
      </c>
      <c r="E49" s="177">
        <f t="shared" si="11"/>
        <v>44113.818981481483</v>
      </c>
      <c r="F49" s="175">
        <f t="shared" si="4"/>
        <v>44113</v>
      </c>
      <c r="G49" s="183">
        <f t="shared" si="9"/>
        <v>44105</v>
      </c>
      <c r="H49">
        <f t="shared" si="10"/>
        <v>2</v>
      </c>
      <c r="I49" t="str">
        <f t="shared" si="5"/>
        <v>2020.10.2</v>
      </c>
      <c r="J49" t="str">
        <f t="shared" si="6"/>
        <v>LQ</v>
      </c>
      <c r="K49" t="str">
        <f ca="1">VLOOKUP("mo1_" &amp; $J49,'GPlan-Translations'!$B$328:$C$331,2,FALSE)</f>
        <v>Last Q.</v>
      </c>
      <c r="L49" t="str">
        <f t="shared" si="7"/>
        <v>LQ</v>
      </c>
      <c r="M49" t="str">
        <f ca="1">VLOOKUP("mo2_" &amp; $L49,'GPlan-Translations'!$B$333:$C$336,2,FALSE)</f>
        <v>)</v>
      </c>
      <c r="N49" s="335" t="str">
        <f ca="1">VLOOKUP("mo3_" &amp; $L49,'GPlan-Translations'!$B$338:$C$341,2,FALSE)</f>
        <v></v>
      </c>
      <c r="O49">
        <f t="shared" ca="1" si="8"/>
        <v>131</v>
      </c>
    </row>
    <row r="50" spans="4:15">
      <c r="D50">
        <f t="shared" si="2"/>
        <v>0</v>
      </c>
      <c r="E50" s="177">
        <f t="shared" si="11"/>
        <v>44120.604675925926</v>
      </c>
      <c r="F50" s="175">
        <f t="shared" si="4"/>
        <v>44120</v>
      </c>
      <c r="G50" s="183">
        <f t="shared" si="9"/>
        <v>44105</v>
      </c>
      <c r="H50">
        <f t="shared" si="10"/>
        <v>3</v>
      </c>
      <c r="I50" t="str">
        <f t="shared" si="5"/>
        <v>2020.10.3</v>
      </c>
      <c r="J50" t="str">
        <f t="shared" si="6"/>
        <v>NM</v>
      </c>
      <c r="K50" t="str">
        <f ca="1">VLOOKUP("mo1_" &amp; $J50,'GPlan-Translations'!$B$328:$C$331,2,FALSE)</f>
        <v>New M.</v>
      </c>
      <c r="L50" t="str">
        <f t="shared" si="7"/>
        <v>NM</v>
      </c>
      <c r="M50" t="str">
        <f ca="1">VLOOKUP("mo2_" &amp; $L50,'GPlan-Translations'!$B$333:$C$336,2,FALSE)</f>
        <v>: :</v>
      </c>
      <c r="N50" s="335" t="str">
        <f ca="1">VLOOKUP("mo3_" &amp; $L50,'GPlan-Translations'!$B$338:$C$341,2,FALSE)</f>
        <v></v>
      </c>
      <c r="O50">
        <f t="shared" ca="1" si="8"/>
        <v>152</v>
      </c>
    </row>
    <row r="51" spans="4:15">
      <c r="D51">
        <f t="shared" si="2"/>
        <v>1</v>
      </c>
      <c r="E51" s="177">
        <f t="shared" si="11"/>
        <v>44127.349143518521</v>
      </c>
      <c r="F51" s="175">
        <f t="shared" si="4"/>
        <v>44127</v>
      </c>
      <c r="G51" s="183">
        <f t="shared" si="9"/>
        <v>44105</v>
      </c>
      <c r="H51">
        <f t="shared" si="10"/>
        <v>4</v>
      </c>
      <c r="I51" t="str">
        <f t="shared" si="5"/>
        <v>2020.10.4</v>
      </c>
      <c r="J51" t="str">
        <f t="shared" si="6"/>
        <v>FQ</v>
      </c>
      <c r="K51" t="str">
        <f ca="1">VLOOKUP("mo1_" &amp; $J51,'GPlan-Translations'!$B$328:$C$331,2,FALSE)</f>
        <v>First Q.</v>
      </c>
      <c r="L51" t="str">
        <f t="shared" si="7"/>
        <v>FQ</v>
      </c>
      <c r="M51" t="str">
        <f ca="1">VLOOKUP("mo2_" &amp; $L51,'GPlan-Translations'!$B$333:$C$336,2,FALSE)</f>
        <v>(</v>
      </c>
      <c r="N51" s="335" t="str">
        <f ca="1">VLOOKUP("mo3_" &amp; $L51,'GPlan-Translations'!$B$338:$C$341,2,FALSE)</f>
        <v></v>
      </c>
      <c r="O51">
        <f t="shared" ca="1" si="8"/>
        <v>130</v>
      </c>
    </row>
    <row r="52" spans="4:15">
      <c r="D52">
        <f t="shared" si="2"/>
        <v>2</v>
      </c>
      <c r="E52" s="177">
        <f t="shared" si="11"/>
        <v>44135.409097222226</v>
      </c>
      <c r="F52" s="175">
        <f t="shared" si="4"/>
        <v>44135</v>
      </c>
      <c r="G52" s="183">
        <f t="shared" si="9"/>
        <v>44105</v>
      </c>
      <c r="H52">
        <f t="shared" si="10"/>
        <v>5</v>
      </c>
      <c r="I52" t="str">
        <f t="shared" si="5"/>
        <v>2020.10.5</v>
      </c>
      <c r="J52" t="str">
        <f t="shared" si="6"/>
        <v>FM</v>
      </c>
      <c r="K52" t="str">
        <f ca="1">VLOOKUP("mo1_" &amp; $J52,'GPlan-Translations'!$B$328:$C$331,2,FALSE)</f>
        <v>Full M.</v>
      </c>
      <c r="L52" t="str">
        <f t="shared" si="7"/>
        <v>FM</v>
      </c>
      <c r="M52" t="str">
        <f ca="1">VLOOKUP("mo2_" &amp; $L52,'GPlan-Translations'!$B$333:$C$336,2,FALSE)</f>
        <v>O</v>
      </c>
      <c r="N52" s="335" t="str">
        <f ca="1">VLOOKUP("mo3_" &amp; $L52,'GPlan-Translations'!$B$338:$C$341,2,FALSE)</f>
        <v></v>
      </c>
      <c r="O52">
        <f t="shared" ca="1" si="8"/>
        <v>129</v>
      </c>
    </row>
    <row r="53" spans="4:15">
      <c r="D53">
        <f t="shared" si="2"/>
        <v>3</v>
      </c>
      <c r="E53" s="177">
        <f t="shared" si="11"/>
        <v>44143.36519675926</v>
      </c>
      <c r="F53" s="175">
        <f t="shared" si="4"/>
        <v>44143</v>
      </c>
      <c r="G53" s="183">
        <f t="shared" si="9"/>
        <v>44136</v>
      </c>
      <c r="H53">
        <f t="shared" si="10"/>
        <v>1</v>
      </c>
      <c r="I53" t="str">
        <f t="shared" si="5"/>
        <v>2020.11.1</v>
      </c>
      <c r="J53" t="str">
        <f t="shared" si="6"/>
        <v>LQ</v>
      </c>
      <c r="K53" t="str">
        <f ca="1">VLOOKUP("mo1_" &amp; $J53,'GPlan-Translations'!$B$328:$C$331,2,FALSE)</f>
        <v>Last Q.</v>
      </c>
      <c r="L53" t="str">
        <f t="shared" si="7"/>
        <v>LQ</v>
      </c>
      <c r="M53" t="str">
        <f ca="1">VLOOKUP("mo2_" &amp; $L53,'GPlan-Translations'!$B$333:$C$336,2,FALSE)</f>
        <v>)</v>
      </c>
      <c r="N53" s="335" t="str">
        <f ca="1">VLOOKUP("mo3_" &amp; $L53,'GPlan-Translations'!$B$338:$C$341,2,FALSE)</f>
        <v></v>
      </c>
      <c r="O53">
        <f t="shared" ca="1" si="8"/>
        <v>131</v>
      </c>
    </row>
    <row r="54" spans="4:15">
      <c r="D54">
        <f t="shared" si="2"/>
        <v>0</v>
      </c>
      <c r="E54" s="177">
        <f t="shared" si="11"/>
        <v>44150.004884259259</v>
      </c>
      <c r="F54" s="175">
        <f t="shared" si="4"/>
        <v>44150</v>
      </c>
      <c r="G54" s="183">
        <f t="shared" si="9"/>
        <v>44136</v>
      </c>
      <c r="H54">
        <f t="shared" si="10"/>
        <v>2</v>
      </c>
      <c r="I54" t="str">
        <f t="shared" si="5"/>
        <v>2020.11.2</v>
      </c>
      <c r="J54" t="str">
        <f t="shared" si="6"/>
        <v>NM</v>
      </c>
      <c r="K54" t="str">
        <f ca="1">VLOOKUP("mo1_" &amp; $J54,'GPlan-Translations'!$B$328:$C$331,2,FALSE)</f>
        <v>New M.</v>
      </c>
      <c r="L54" t="str">
        <f t="shared" si="7"/>
        <v>NM</v>
      </c>
      <c r="M54" t="str">
        <f ca="1">VLOOKUP("mo2_" &amp; $L54,'GPlan-Translations'!$B$333:$C$336,2,FALSE)</f>
        <v>: :</v>
      </c>
      <c r="N54" s="335" t="str">
        <f ca="1">VLOOKUP("mo3_" &amp; $L54,'GPlan-Translations'!$B$338:$C$341,2,FALSE)</f>
        <v></v>
      </c>
      <c r="O54">
        <f t="shared" ca="1" si="8"/>
        <v>152</v>
      </c>
    </row>
    <row r="55" spans="4:15">
      <c r="D55">
        <f t="shared" si="2"/>
        <v>1</v>
      </c>
      <c r="E55" s="177">
        <f t="shared" si="11"/>
        <v>44156.989502314813</v>
      </c>
      <c r="F55" s="175">
        <f t="shared" si="4"/>
        <v>44156</v>
      </c>
      <c r="G55" s="183">
        <f t="shared" si="9"/>
        <v>44136</v>
      </c>
      <c r="H55">
        <f t="shared" si="10"/>
        <v>3</v>
      </c>
      <c r="I55" t="str">
        <f t="shared" si="5"/>
        <v>2020.11.3</v>
      </c>
      <c r="J55" t="str">
        <f t="shared" si="6"/>
        <v>FQ</v>
      </c>
      <c r="K55" t="str">
        <f ca="1">VLOOKUP("mo1_" &amp; $J55,'GPlan-Translations'!$B$328:$C$331,2,FALSE)</f>
        <v>First Q.</v>
      </c>
      <c r="L55" t="str">
        <f t="shared" si="7"/>
        <v>FQ</v>
      </c>
      <c r="M55" t="str">
        <f ca="1">VLOOKUP("mo2_" &amp; $L55,'GPlan-Translations'!$B$333:$C$336,2,FALSE)</f>
        <v>(</v>
      </c>
      <c r="N55" s="335" t="str">
        <f ca="1">VLOOKUP("mo3_" &amp; $L55,'GPlan-Translations'!$B$338:$C$341,2,FALSE)</f>
        <v></v>
      </c>
      <c r="O55">
        <f t="shared" ca="1" si="8"/>
        <v>130</v>
      </c>
    </row>
    <row r="56" spans="4:15">
      <c r="D56">
        <f t="shared" si="2"/>
        <v>2</v>
      </c>
      <c r="E56" s="177">
        <f t="shared" si="11"/>
        <v>44165.1872337963</v>
      </c>
      <c r="F56" s="175">
        <f t="shared" si="4"/>
        <v>44165</v>
      </c>
      <c r="G56" s="183">
        <f t="shared" si="9"/>
        <v>44136</v>
      </c>
      <c r="H56">
        <f t="shared" si="10"/>
        <v>4</v>
      </c>
      <c r="I56" t="str">
        <f t="shared" si="5"/>
        <v>2020.11.4</v>
      </c>
      <c r="J56" t="str">
        <f t="shared" si="6"/>
        <v>FM</v>
      </c>
      <c r="K56" t="str">
        <f ca="1">VLOOKUP("mo1_" &amp; $J56,'GPlan-Translations'!$B$328:$C$331,2,FALSE)</f>
        <v>Full M.</v>
      </c>
      <c r="L56" t="str">
        <f t="shared" si="7"/>
        <v>FM</v>
      </c>
      <c r="M56" t="str">
        <f ca="1">VLOOKUP("mo2_" &amp; $L56,'GPlan-Translations'!$B$333:$C$336,2,FALSE)</f>
        <v>O</v>
      </c>
      <c r="N56" s="335" t="str">
        <f ca="1">VLOOKUP("mo3_" &amp; $L56,'GPlan-Translations'!$B$338:$C$341,2,FALSE)</f>
        <v></v>
      </c>
      <c r="O56">
        <f t="shared" ca="1" si="8"/>
        <v>129</v>
      </c>
    </row>
    <row r="57" spans="4:15">
      <c r="D57">
        <f t="shared" si="2"/>
        <v>3</v>
      </c>
      <c r="E57" s="177">
        <f t="shared" si="11"/>
        <v>44172.816932870373</v>
      </c>
      <c r="F57" s="175">
        <f t="shared" si="4"/>
        <v>44172</v>
      </c>
      <c r="G57" s="183">
        <f t="shared" si="9"/>
        <v>44166</v>
      </c>
      <c r="H57">
        <f t="shared" si="10"/>
        <v>1</v>
      </c>
      <c r="I57" t="str">
        <f t="shared" si="5"/>
        <v>2020.12.1</v>
      </c>
      <c r="J57" t="str">
        <f t="shared" si="6"/>
        <v>LQ</v>
      </c>
      <c r="K57" t="str">
        <f ca="1">VLOOKUP("mo1_" &amp; $J57,'GPlan-Translations'!$B$328:$C$331,2,FALSE)</f>
        <v>Last Q.</v>
      </c>
      <c r="L57" t="str">
        <f t="shared" si="7"/>
        <v>LQ</v>
      </c>
      <c r="M57" t="str">
        <f ca="1">VLOOKUP("mo2_" &amp; $L57,'GPlan-Translations'!$B$333:$C$336,2,FALSE)</f>
        <v>)</v>
      </c>
      <c r="N57" s="335" t="str">
        <f ca="1">VLOOKUP("mo3_" &amp; $L57,'GPlan-Translations'!$B$338:$C$341,2,FALSE)</f>
        <v></v>
      </c>
      <c r="O57">
        <f t="shared" ca="1" si="8"/>
        <v>131</v>
      </c>
    </row>
    <row r="58" spans="4:15">
      <c r="D58">
        <f t="shared" si="2"/>
        <v>0</v>
      </c>
      <c r="E58" s="177">
        <f t="shared" si="11"/>
        <v>44179.46974537037</v>
      </c>
      <c r="F58" s="175">
        <f t="shared" si="4"/>
        <v>44179</v>
      </c>
      <c r="G58" s="183">
        <f t="shared" si="9"/>
        <v>44166</v>
      </c>
      <c r="H58">
        <f t="shared" si="10"/>
        <v>2</v>
      </c>
      <c r="I58" t="str">
        <f t="shared" si="5"/>
        <v>2020.12.2</v>
      </c>
      <c r="J58" t="str">
        <f t="shared" si="6"/>
        <v>NM</v>
      </c>
      <c r="K58" t="str">
        <f ca="1">VLOOKUP("mo1_" &amp; $J58,'GPlan-Translations'!$B$328:$C$331,2,FALSE)</f>
        <v>New M.</v>
      </c>
      <c r="L58" t="str">
        <f t="shared" si="7"/>
        <v>NM</v>
      </c>
      <c r="M58" t="str">
        <f ca="1">VLOOKUP("mo2_" &amp; $L58,'GPlan-Translations'!$B$333:$C$336,2,FALSE)</f>
        <v>: :</v>
      </c>
      <c r="N58" s="335" t="str">
        <f ca="1">VLOOKUP("mo3_" &amp; $L58,'GPlan-Translations'!$B$338:$C$341,2,FALSE)</f>
        <v></v>
      </c>
      <c r="O58">
        <f t="shared" ca="1" si="8"/>
        <v>152</v>
      </c>
    </row>
    <row r="59" spans="4:15">
      <c r="D59">
        <f t="shared" si="2"/>
        <v>1</v>
      </c>
      <c r="E59" s="177">
        <f t="shared" ref="E59:E66" si="12">MONDPHASE(E58+5, D59, $C$10)</f>
        <v>44186.778553240743</v>
      </c>
      <c r="F59" s="175">
        <f t="shared" si="4"/>
        <v>44186</v>
      </c>
      <c r="G59" s="183">
        <f t="shared" ref="G59:G66" si="13">DATE(YEAR(F59),MONTH(F59),1)</f>
        <v>44166</v>
      </c>
      <c r="H59">
        <f t="shared" ref="H59:H66" si="14">IF(G59&lt;&gt;G58,1,H58+1)</f>
        <v>3</v>
      </c>
      <c r="I59" t="str">
        <f t="shared" si="5"/>
        <v>2020.12.3</v>
      </c>
      <c r="J59" t="str">
        <f t="shared" si="6"/>
        <v>FQ</v>
      </c>
      <c r="K59" t="str">
        <f ca="1">VLOOKUP("mo1_" &amp; $J59,'GPlan-Translations'!$B$328:$C$331,2,FALSE)</f>
        <v>First Q.</v>
      </c>
      <c r="L59" t="str">
        <f t="shared" ref="L59:L66" si="15">IF($C$9&gt;=0,J59,IF(J59="FQ","LQ",IF(J59="LQ","FQ",J59)))</f>
        <v>FQ</v>
      </c>
      <c r="M59" t="str">
        <f ca="1">VLOOKUP("mo2_" &amp; $L59,'GPlan-Translations'!$B$333:$C$336,2,FALSE)</f>
        <v>(</v>
      </c>
      <c r="N59" s="335" t="str">
        <f ca="1">VLOOKUP("mo3_" &amp; $L59,'GPlan-Translations'!$B$338:$C$341,2,FALSE)</f>
        <v></v>
      </c>
      <c r="O59">
        <f t="shared" ca="1" si="8"/>
        <v>130</v>
      </c>
    </row>
    <row r="60" spans="4:15">
      <c r="D60">
        <f t="shared" si="2"/>
        <v>2</v>
      </c>
      <c r="E60" s="177">
        <f t="shared" si="12"/>
        <v>44194.936111111114</v>
      </c>
      <c r="F60" s="175">
        <f t="shared" si="4"/>
        <v>44194</v>
      </c>
      <c r="G60" s="183">
        <f t="shared" si="13"/>
        <v>44166</v>
      </c>
      <c r="H60">
        <f t="shared" si="14"/>
        <v>4</v>
      </c>
      <c r="I60" t="str">
        <f t="shared" si="5"/>
        <v>2020.12.4</v>
      </c>
      <c r="J60" t="str">
        <f t="shared" si="6"/>
        <v>FM</v>
      </c>
      <c r="K60" t="str">
        <f ca="1">VLOOKUP("mo1_" &amp; $J60,'GPlan-Translations'!$B$328:$C$331,2,FALSE)</f>
        <v>Full M.</v>
      </c>
      <c r="L60" t="str">
        <f t="shared" si="15"/>
        <v>FM</v>
      </c>
      <c r="M60" t="str">
        <f ca="1">VLOOKUP("mo2_" &amp; $L60,'GPlan-Translations'!$B$333:$C$336,2,FALSE)</f>
        <v>O</v>
      </c>
      <c r="N60" s="335" t="str">
        <f ca="1">VLOOKUP("mo3_" &amp; $L60,'GPlan-Translations'!$B$338:$C$341,2,FALSE)</f>
        <v></v>
      </c>
      <c r="O60">
        <f t="shared" ca="1" si="8"/>
        <v>129</v>
      </c>
    </row>
    <row r="61" spans="4:15">
      <c r="D61">
        <f t="shared" si="2"/>
        <v>3</v>
      </c>
      <c r="E61" s="177">
        <f t="shared" si="12"/>
        <v>44202.192395833335</v>
      </c>
      <c r="F61" s="175">
        <f t="shared" si="4"/>
        <v>44202</v>
      </c>
      <c r="G61" s="183">
        <f t="shared" si="13"/>
        <v>44197</v>
      </c>
      <c r="H61">
        <f t="shared" si="14"/>
        <v>1</v>
      </c>
      <c r="I61" t="str">
        <f t="shared" si="5"/>
        <v>2021.01.1</v>
      </c>
      <c r="J61" t="str">
        <f t="shared" si="6"/>
        <v>LQ</v>
      </c>
      <c r="K61" t="str">
        <f ca="1">VLOOKUP("mo1_" &amp; $J61,'GPlan-Translations'!$B$328:$C$331,2,FALSE)</f>
        <v>Last Q.</v>
      </c>
      <c r="L61" t="str">
        <f t="shared" si="15"/>
        <v>LQ</v>
      </c>
      <c r="M61" t="str">
        <f ca="1">VLOOKUP("mo2_" &amp; $L61,'GPlan-Translations'!$B$333:$C$336,2,FALSE)</f>
        <v>)</v>
      </c>
      <c r="N61" s="335" t="str">
        <f ca="1">VLOOKUP("mo3_" &amp; $L61,'GPlan-Translations'!$B$338:$C$341,2,FALSE)</f>
        <v></v>
      </c>
      <c r="O61">
        <f t="shared" ca="1" si="8"/>
        <v>131</v>
      </c>
    </row>
    <row r="62" spans="4:15">
      <c r="D62">
        <f t="shared" si="2"/>
        <v>0</v>
      </c>
      <c r="E62" s="177">
        <f t="shared" si="12"/>
        <v>44208.999988425923</v>
      </c>
      <c r="F62" s="175">
        <f t="shared" si="4"/>
        <v>44208</v>
      </c>
      <c r="G62" s="183">
        <f t="shared" si="13"/>
        <v>44197</v>
      </c>
      <c r="H62">
        <f t="shared" si="14"/>
        <v>2</v>
      </c>
      <c r="I62" t="str">
        <f t="shared" si="5"/>
        <v>2021.01.2</v>
      </c>
      <c r="J62" t="str">
        <f t="shared" si="6"/>
        <v>NM</v>
      </c>
      <c r="K62" t="str">
        <f ca="1">VLOOKUP("mo1_" &amp; $J62,'GPlan-Translations'!$B$328:$C$331,2,FALSE)</f>
        <v>New M.</v>
      </c>
      <c r="L62" t="str">
        <f t="shared" si="15"/>
        <v>NM</v>
      </c>
      <c r="M62" t="str">
        <f ca="1">VLOOKUP("mo2_" &amp; $L62,'GPlan-Translations'!$B$333:$C$336,2,FALSE)</f>
        <v>: :</v>
      </c>
      <c r="N62" s="335" t="str">
        <f ca="1">VLOOKUP("mo3_" &amp; $L62,'GPlan-Translations'!$B$338:$C$341,2,FALSE)</f>
        <v></v>
      </c>
      <c r="O62">
        <f t="shared" ca="1" si="8"/>
        <v>152</v>
      </c>
    </row>
    <row r="63" spans="4:15">
      <c r="D63">
        <f t="shared" si="2"/>
        <v>1</v>
      </c>
      <c r="E63" s="177">
        <f t="shared" si="12"/>
        <v>44216.667662037034</v>
      </c>
      <c r="F63" s="175">
        <f t="shared" si="4"/>
        <v>44216</v>
      </c>
      <c r="G63" s="183">
        <f t="shared" si="13"/>
        <v>44197</v>
      </c>
      <c r="H63">
        <f t="shared" si="14"/>
        <v>3</v>
      </c>
      <c r="I63" t="str">
        <f t="shared" si="5"/>
        <v>2021.01.3</v>
      </c>
      <c r="J63" t="str">
        <f t="shared" si="6"/>
        <v>FQ</v>
      </c>
      <c r="K63" t="str">
        <f ca="1">VLOOKUP("mo1_" &amp; $J63,'GPlan-Translations'!$B$328:$C$331,2,FALSE)</f>
        <v>First Q.</v>
      </c>
      <c r="L63" t="str">
        <f t="shared" si="15"/>
        <v>FQ</v>
      </c>
      <c r="M63" t="str">
        <f ca="1">VLOOKUP("mo2_" &amp; $L63,'GPlan-Translations'!$B$333:$C$336,2,FALSE)</f>
        <v>(</v>
      </c>
      <c r="N63" s="335" t="str">
        <f ca="1">VLOOKUP("mo3_" &amp; $L63,'GPlan-Translations'!$B$338:$C$341,2,FALSE)</f>
        <v></v>
      </c>
      <c r="O63">
        <f t="shared" ca="1" si="8"/>
        <v>130</v>
      </c>
    </row>
    <row r="64" spans="4:15">
      <c r="D64">
        <f t="shared" si="2"/>
        <v>2</v>
      </c>
      <c r="E64" s="177">
        <f t="shared" si="12"/>
        <v>44224.594467592593</v>
      </c>
      <c r="F64" s="175">
        <f t="shared" si="4"/>
        <v>44224</v>
      </c>
      <c r="G64" s="183">
        <f t="shared" si="13"/>
        <v>44197</v>
      </c>
      <c r="H64">
        <f t="shared" si="14"/>
        <v>4</v>
      </c>
      <c r="I64" t="str">
        <f t="shared" si="5"/>
        <v>2021.01.4</v>
      </c>
      <c r="J64" t="str">
        <f t="shared" si="6"/>
        <v>FM</v>
      </c>
      <c r="K64" t="str">
        <f ca="1">VLOOKUP("mo1_" &amp; $J64,'GPlan-Translations'!$B$328:$C$331,2,FALSE)</f>
        <v>Full M.</v>
      </c>
      <c r="L64" t="str">
        <f t="shared" si="15"/>
        <v>FM</v>
      </c>
      <c r="M64" t="str">
        <f ca="1">VLOOKUP("mo2_" &amp; $L64,'GPlan-Translations'!$B$333:$C$336,2,FALSE)</f>
        <v>O</v>
      </c>
      <c r="N64" s="335" t="str">
        <f ca="1">VLOOKUP("mo3_" &amp; $L64,'GPlan-Translations'!$B$338:$C$341,2,FALSE)</f>
        <v></v>
      </c>
      <c r="O64">
        <f t="shared" ca="1" si="8"/>
        <v>129</v>
      </c>
    </row>
    <row r="65" spans="4:15">
      <c r="D65">
        <f t="shared" si="2"/>
        <v>3</v>
      </c>
      <c r="E65" s="177">
        <f t="shared" si="12"/>
        <v>44231.525659722225</v>
      </c>
      <c r="F65" s="175">
        <f t="shared" si="4"/>
        <v>44231</v>
      </c>
      <c r="G65" s="183">
        <f t="shared" si="13"/>
        <v>44228</v>
      </c>
      <c r="H65">
        <f t="shared" si="14"/>
        <v>1</v>
      </c>
      <c r="I65" t="str">
        <f t="shared" si="5"/>
        <v>2021.02.1</v>
      </c>
      <c r="J65" t="str">
        <f t="shared" si="6"/>
        <v>LQ</v>
      </c>
      <c r="K65" t="str">
        <f ca="1">VLOOKUP("mo1_" &amp; $J65,'GPlan-Translations'!$B$328:$C$331,2,FALSE)</f>
        <v>Last Q.</v>
      </c>
      <c r="L65" t="str">
        <f t="shared" si="15"/>
        <v>LQ</v>
      </c>
      <c r="M65" t="str">
        <f ca="1">VLOOKUP("mo2_" &amp; $L65,'GPlan-Translations'!$B$333:$C$336,2,FALSE)</f>
        <v>)</v>
      </c>
      <c r="N65" s="335" t="str">
        <f ca="1">VLOOKUP("mo3_" &amp; $L65,'GPlan-Translations'!$B$338:$C$341,2,FALSE)</f>
        <v></v>
      </c>
      <c r="O65">
        <f t="shared" ca="1" si="8"/>
        <v>131</v>
      </c>
    </row>
    <row r="66" spans="4:15">
      <c r="D66">
        <f t="shared" si="2"/>
        <v>0</v>
      </c>
      <c r="E66" s="177">
        <f t="shared" si="12"/>
        <v>44238.587175925924</v>
      </c>
      <c r="F66" s="175">
        <f t="shared" si="4"/>
        <v>44238</v>
      </c>
      <c r="G66" s="183">
        <f t="shared" si="13"/>
        <v>44228</v>
      </c>
      <c r="H66">
        <f t="shared" si="14"/>
        <v>2</v>
      </c>
      <c r="I66" t="str">
        <f t="shared" si="5"/>
        <v>2021.02.2</v>
      </c>
      <c r="J66" t="str">
        <f t="shared" si="6"/>
        <v>NM</v>
      </c>
      <c r="K66" t="str">
        <f ca="1">VLOOKUP("mo1_" &amp; $J66,'GPlan-Translations'!$B$328:$C$331,2,FALSE)</f>
        <v>New M.</v>
      </c>
      <c r="L66" t="str">
        <f t="shared" si="15"/>
        <v>NM</v>
      </c>
      <c r="M66" t="str">
        <f ca="1">VLOOKUP("mo2_" &amp; $L66,'GPlan-Translations'!$B$333:$C$336,2,FALSE)</f>
        <v>: :</v>
      </c>
      <c r="N66" s="335" t="str">
        <f ca="1">VLOOKUP("mo3_" &amp; $L66,'GPlan-Translations'!$B$338:$C$341,2,FALSE)</f>
        <v></v>
      </c>
      <c r="O66">
        <f t="shared" ca="1" si="8"/>
        <v>152</v>
      </c>
    </row>
    <row r="67" spans="4:15">
      <c r="D67">
        <f t="shared" ref="D67:D117" si="16">IF(D66+1&gt;3,0,D66+1)</f>
        <v>1</v>
      </c>
      <c r="E67" s="177">
        <f t="shared" ref="E67:E83" si="17">MONDPHASE(E66+5, D67, $C$10)</f>
        <v>44246.574340277781</v>
      </c>
      <c r="F67" s="175">
        <f t="shared" ref="F67:F114" si="18">INT(E67)</f>
        <v>44246</v>
      </c>
      <c r="G67" s="183">
        <f t="shared" ref="G67:G83" si="19">DATE(YEAR(F67),MONTH(F67),1)</f>
        <v>44228</v>
      </c>
      <c r="H67">
        <f t="shared" ref="H67:H83" si="20">IF(G67&lt;&gt;G66,1,H66+1)</f>
        <v>3</v>
      </c>
      <c r="I67" t="str">
        <f t="shared" ref="I67:I114" si="21">YEAR(G67) &amp; "." &amp; TEXT(MONTH(G67),"00") &amp; "." &amp; H67</f>
        <v>2021.02.3</v>
      </c>
      <c r="J67" t="str">
        <f t="shared" ref="J67:J117" si="22">CHOOSE($D67+1,"NM","FQ","FM","LQ")</f>
        <v>FQ</v>
      </c>
      <c r="K67" t="str">
        <f ca="1">VLOOKUP("mo1_" &amp; $J67,'GPlan-Translations'!$B$328:$C$331,2,FALSE)</f>
        <v>First Q.</v>
      </c>
      <c r="L67" t="str">
        <f t="shared" ref="L67:L83" si="23">IF($C$9&gt;=0,J67,IF(J67="FQ","LQ",IF(J67="LQ","FQ",J67)))</f>
        <v>FQ</v>
      </c>
      <c r="M67" t="str">
        <f ca="1">VLOOKUP("mo2_" &amp; $L67,'GPlan-Translations'!$B$333:$C$336,2,FALSE)</f>
        <v>(</v>
      </c>
      <c r="N67" s="335" t="str">
        <f ca="1">VLOOKUP("mo3_" &amp; $L67,'GPlan-Translations'!$B$338:$C$341,2,FALSE)</f>
        <v></v>
      </c>
      <c r="O67">
        <f t="shared" ref="O67:O114" ca="1" si="24">CODE(N67)</f>
        <v>130</v>
      </c>
    </row>
    <row r="68" spans="4:15">
      <c r="D68">
        <f t="shared" si="16"/>
        <v>2</v>
      </c>
      <c r="E68" s="177">
        <f t="shared" si="17"/>
        <v>44254.136874999997</v>
      </c>
      <c r="F68" s="175">
        <f t="shared" si="18"/>
        <v>44254</v>
      </c>
      <c r="G68" s="183">
        <f t="shared" si="19"/>
        <v>44228</v>
      </c>
      <c r="H68">
        <f t="shared" si="20"/>
        <v>4</v>
      </c>
      <c r="I68" t="str">
        <f t="shared" si="21"/>
        <v>2021.02.4</v>
      </c>
      <c r="J68" t="str">
        <f t="shared" si="22"/>
        <v>FM</v>
      </c>
      <c r="K68" t="str">
        <f ca="1">VLOOKUP("mo1_" &amp; $J68,'GPlan-Translations'!$B$328:$C$331,2,FALSE)</f>
        <v>Full M.</v>
      </c>
      <c r="L68" t="str">
        <f t="shared" si="23"/>
        <v>FM</v>
      </c>
      <c r="M68" t="str">
        <f ca="1">VLOOKUP("mo2_" &amp; $L68,'GPlan-Translations'!$B$333:$C$336,2,FALSE)</f>
        <v>O</v>
      </c>
      <c r="N68" s="335" t="str">
        <f ca="1">VLOOKUP("mo3_" &amp; $L68,'GPlan-Translations'!$B$338:$C$341,2,FALSE)</f>
        <v></v>
      </c>
      <c r="O68">
        <f t="shared" ca="1" si="24"/>
        <v>129</v>
      </c>
    </row>
    <row r="69" spans="4:15">
      <c r="D69">
        <f t="shared" si="16"/>
        <v>3</v>
      </c>
      <c r="E69" s="177">
        <f t="shared" si="17"/>
        <v>44260.854189814818</v>
      </c>
      <c r="F69" s="175">
        <f t="shared" si="18"/>
        <v>44260</v>
      </c>
      <c r="G69" s="183">
        <f t="shared" si="19"/>
        <v>44256</v>
      </c>
      <c r="H69">
        <f t="shared" si="20"/>
        <v>1</v>
      </c>
      <c r="I69" t="str">
        <f t="shared" si="21"/>
        <v>2021.03.1</v>
      </c>
      <c r="J69" t="str">
        <f t="shared" si="22"/>
        <v>LQ</v>
      </c>
      <c r="K69" t="str">
        <f ca="1">VLOOKUP("mo1_" &amp; $J69,'GPlan-Translations'!$B$328:$C$331,2,FALSE)</f>
        <v>Last Q.</v>
      </c>
      <c r="L69" t="str">
        <f t="shared" si="23"/>
        <v>LQ</v>
      </c>
      <c r="M69" t="str">
        <f ca="1">VLOOKUP("mo2_" &amp; $L69,'GPlan-Translations'!$B$333:$C$336,2,FALSE)</f>
        <v>)</v>
      </c>
      <c r="N69" s="335" t="str">
        <f ca="1">VLOOKUP("mo3_" &amp; $L69,'GPlan-Translations'!$B$338:$C$341,2,FALSE)</f>
        <v></v>
      </c>
      <c r="O69">
        <f t="shared" ca="1" si="24"/>
        <v>131</v>
      </c>
    </row>
    <row r="70" spans="4:15">
      <c r="D70">
        <f t="shared" si="16"/>
        <v>0</v>
      </c>
      <c r="E70" s="177">
        <f t="shared" si="17"/>
        <v>44268.222881944443</v>
      </c>
      <c r="F70" s="175">
        <f t="shared" si="18"/>
        <v>44268</v>
      </c>
      <c r="G70" s="183">
        <f t="shared" si="19"/>
        <v>44256</v>
      </c>
      <c r="H70">
        <f t="shared" si="20"/>
        <v>2</v>
      </c>
      <c r="I70" t="str">
        <f t="shared" si="21"/>
        <v>2021.03.2</v>
      </c>
      <c r="J70" t="str">
        <f t="shared" si="22"/>
        <v>NM</v>
      </c>
      <c r="K70" t="str">
        <f ca="1">VLOOKUP("mo1_" &amp; $J70,'GPlan-Translations'!$B$328:$C$331,2,FALSE)</f>
        <v>New M.</v>
      </c>
      <c r="L70" t="str">
        <f t="shared" si="23"/>
        <v>NM</v>
      </c>
      <c r="M70" t="str">
        <f ca="1">VLOOKUP("mo2_" &amp; $L70,'GPlan-Translations'!$B$333:$C$336,2,FALSE)</f>
        <v>: :</v>
      </c>
      <c r="N70" s="335" t="str">
        <f ca="1">VLOOKUP("mo3_" &amp; $L70,'GPlan-Translations'!$B$338:$C$341,2,FALSE)</f>
        <v></v>
      </c>
      <c r="O70">
        <f t="shared" ca="1" si="24"/>
        <v>152</v>
      </c>
    </row>
    <row r="71" spans="4:15">
      <c r="D71">
        <f t="shared" si="16"/>
        <v>1</v>
      </c>
      <c r="E71" s="177">
        <f t="shared" si="17"/>
        <v>44276.402928240743</v>
      </c>
      <c r="F71" s="175">
        <f t="shared" si="18"/>
        <v>44276</v>
      </c>
      <c r="G71" s="183">
        <f t="shared" si="19"/>
        <v>44256</v>
      </c>
      <c r="H71">
        <f t="shared" si="20"/>
        <v>3</v>
      </c>
      <c r="I71" t="str">
        <f t="shared" si="21"/>
        <v>2021.03.3</v>
      </c>
      <c r="J71" t="str">
        <f t="shared" si="22"/>
        <v>FQ</v>
      </c>
      <c r="K71" t="str">
        <f ca="1">VLOOKUP("mo1_" &amp; $J71,'GPlan-Translations'!$B$328:$C$331,2,FALSE)</f>
        <v>First Q.</v>
      </c>
      <c r="L71" t="str">
        <f t="shared" si="23"/>
        <v>FQ</v>
      </c>
      <c r="M71" t="str">
        <f ca="1">VLOOKUP("mo2_" &amp; $L71,'GPlan-Translations'!$B$333:$C$336,2,FALSE)</f>
        <v>(</v>
      </c>
      <c r="N71" s="335" t="str">
        <f ca="1">VLOOKUP("mo3_" &amp; $L71,'GPlan-Translations'!$B$338:$C$341,2,FALSE)</f>
        <v></v>
      </c>
      <c r="O71">
        <f t="shared" ca="1" si="24"/>
        <v>130</v>
      </c>
    </row>
    <row r="72" spans="4:15">
      <c r="D72">
        <f t="shared" si="16"/>
        <v>2</v>
      </c>
      <c r="E72" s="177">
        <f t="shared" si="17"/>
        <v>44283.574895833335</v>
      </c>
      <c r="F72" s="175">
        <f t="shared" si="18"/>
        <v>44283</v>
      </c>
      <c r="G72" s="183">
        <f t="shared" si="19"/>
        <v>44256</v>
      </c>
      <c r="H72">
        <f t="shared" si="20"/>
        <v>4</v>
      </c>
      <c r="I72" t="str">
        <f t="shared" si="21"/>
        <v>2021.03.4</v>
      </c>
      <c r="J72" t="str">
        <f t="shared" si="22"/>
        <v>FM</v>
      </c>
      <c r="K72" t="str">
        <f ca="1">VLOOKUP("mo1_" &amp; $J72,'GPlan-Translations'!$B$328:$C$331,2,FALSE)</f>
        <v>Full M.</v>
      </c>
      <c r="L72" t="str">
        <f t="shared" si="23"/>
        <v>FM</v>
      </c>
      <c r="M72" t="str">
        <f ca="1">VLOOKUP("mo2_" &amp; $L72,'GPlan-Translations'!$B$333:$C$336,2,FALSE)</f>
        <v>O</v>
      </c>
      <c r="N72" s="335" t="str">
        <f ca="1">VLOOKUP("mo3_" &amp; $L72,'GPlan-Translations'!$B$338:$C$341,2,FALSE)</f>
        <v></v>
      </c>
      <c r="O72">
        <f t="shared" ca="1" si="24"/>
        <v>129</v>
      </c>
    </row>
    <row r="73" spans="4:15">
      <c r="D73">
        <f t="shared" si="16"/>
        <v>3</v>
      </c>
      <c r="E73" s="177">
        <f t="shared" si="17"/>
        <v>44290.209930555553</v>
      </c>
      <c r="F73" s="175">
        <f t="shared" si="18"/>
        <v>44290</v>
      </c>
      <c r="G73" s="183">
        <f t="shared" si="19"/>
        <v>44287</v>
      </c>
      <c r="H73">
        <f t="shared" si="20"/>
        <v>1</v>
      </c>
      <c r="I73" t="str">
        <f t="shared" si="21"/>
        <v>2021.04.1</v>
      </c>
      <c r="J73" t="str">
        <f t="shared" si="22"/>
        <v>LQ</v>
      </c>
      <c r="K73" t="str">
        <f ca="1">VLOOKUP("mo1_" &amp; $J73,'GPlan-Translations'!$B$328:$C$331,2,FALSE)</f>
        <v>Last Q.</v>
      </c>
      <c r="L73" t="str">
        <f t="shared" si="23"/>
        <v>LQ</v>
      </c>
      <c r="M73" t="str">
        <f ca="1">VLOOKUP("mo2_" &amp; $L73,'GPlan-Translations'!$B$333:$C$336,2,FALSE)</f>
        <v>)</v>
      </c>
      <c r="N73" s="335" t="str">
        <f ca="1">VLOOKUP("mo3_" &amp; $L73,'GPlan-Translations'!$B$338:$C$341,2,FALSE)</f>
        <v></v>
      </c>
      <c r="O73">
        <f t="shared" ca="1" si="24"/>
        <v>131</v>
      </c>
    </row>
    <row r="74" spans="4:15">
      <c r="D74">
        <f t="shared" si="16"/>
        <v>0</v>
      </c>
      <c r="E74" s="177">
        <f t="shared" si="17"/>
        <v>44297.896261574075</v>
      </c>
      <c r="F74" s="175">
        <f t="shared" si="18"/>
        <v>44297</v>
      </c>
      <c r="G74" s="183">
        <f t="shared" si="19"/>
        <v>44287</v>
      </c>
      <c r="H74">
        <f t="shared" si="20"/>
        <v>2</v>
      </c>
      <c r="I74" t="str">
        <f t="shared" si="21"/>
        <v>2021.04.2</v>
      </c>
      <c r="J74" t="str">
        <f t="shared" si="22"/>
        <v>NM</v>
      </c>
      <c r="K74" t="str">
        <f ca="1">VLOOKUP("mo1_" &amp; $J74,'GPlan-Translations'!$B$328:$C$331,2,FALSE)</f>
        <v>New M.</v>
      </c>
      <c r="L74" t="str">
        <f t="shared" si="23"/>
        <v>NM</v>
      </c>
      <c r="M74" t="str">
        <f ca="1">VLOOKUP("mo2_" &amp; $L74,'GPlan-Translations'!$B$333:$C$336,2,FALSE)</f>
        <v>: :</v>
      </c>
      <c r="N74" s="335" t="str">
        <f ca="1">VLOOKUP("mo3_" &amp; $L74,'GPlan-Translations'!$B$338:$C$341,2,FALSE)</f>
        <v></v>
      </c>
      <c r="O74">
        <f t="shared" ca="1" si="24"/>
        <v>152</v>
      </c>
    </row>
    <row r="75" spans="4:15">
      <c r="D75">
        <f t="shared" si="16"/>
        <v>1</v>
      </c>
      <c r="E75" s="177">
        <f t="shared" si="17"/>
        <v>44306.082499999997</v>
      </c>
      <c r="F75" s="175">
        <f t="shared" si="18"/>
        <v>44306</v>
      </c>
      <c r="G75" s="183">
        <f t="shared" si="19"/>
        <v>44287</v>
      </c>
      <c r="H75">
        <f t="shared" si="20"/>
        <v>3</v>
      </c>
      <c r="I75" t="str">
        <f t="shared" si="21"/>
        <v>2021.04.3</v>
      </c>
      <c r="J75" t="str">
        <f t="shared" si="22"/>
        <v>FQ</v>
      </c>
      <c r="K75" t="str">
        <f ca="1">VLOOKUP("mo1_" &amp; $J75,'GPlan-Translations'!$B$328:$C$331,2,FALSE)</f>
        <v>First Q.</v>
      </c>
      <c r="L75" t="str">
        <f t="shared" si="23"/>
        <v>FQ</v>
      </c>
      <c r="M75" t="str">
        <f ca="1">VLOOKUP("mo2_" &amp; $L75,'GPlan-Translations'!$B$333:$C$336,2,FALSE)</f>
        <v>(</v>
      </c>
      <c r="N75" s="335" t="str">
        <f ca="1">VLOOKUP("mo3_" &amp; $L75,'GPlan-Translations'!$B$338:$C$341,2,FALSE)</f>
        <v></v>
      </c>
      <c r="O75">
        <f t="shared" ca="1" si="24"/>
        <v>130</v>
      </c>
    </row>
    <row r="76" spans="4:15">
      <c r="D76">
        <f t="shared" si="16"/>
        <v>2</v>
      </c>
      <c r="E76" s="177">
        <f t="shared" si="17"/>
        <v>44312.938402777778</v>
      </c>
      <c r="F76" s="175">
        <f t="shared" si="18"/>
        <v>44312</v>
      </c>
      <c r="G76" s="183">
        <f t="shared" si="19"/>
        <v>44287</v>
      </c>
      <c r="H76">
        <f t="shared" si="20"/>
        <v>4</v>
      </c>
      <c r="I76" t="str">
        <f t="shared" si="21"/>
        <v>2021.04.4</v>
      </c>
      <c r="J76" t="str">
        <f t="shared" si="22"/>
        <v>FM</v>
      </c>
      <c r="K76" t="str">
        <f ca="1">VLOOKUP("mo1_" &amp; $J76,'GPlan-Translations'!$B$328:$C$331,2,FALSE)</f>
        <v>Full M.</v>
      </c>
      <c r="L76" t="str">
        <f t="shared" si="23"/>
        <v>FM</v>
      </c>
      <c r="M76" t="str">
        <f ca="1">VLOOKUP("mo2_" &amp; $L76,'GPlan-Translations'!$B$333:$C$336,2,FALSE)</f>
        <v>O</v>
      </c>
      <c r="N76" s="335" t="str">
        <f ca="1">VLOOKUP("mo3_" &amp; $L76,'GPlan-Translations'!$B$338:$C$341,2,FALSE)</f>
        <v></v>
      </c>
      <c r="O76">
        <f t="shared" ca="1" si="24"/>
        <v>129</v>
      </c>
    </row>
    <row r="77" spans="4:15">
      <c r="D77">
        <f t="shared" si="16"/>
        <v>3</v>
      </c>
      <c r="E77" s="177">
        <f t="shared" si="17"/>
        <v>44319.618009259262</v>
      </c>
      <c r="F77" s="175">
        <f t="shared" si="18"/>
        <v>44319</v>
      </c>
      <c r="G77" s="183">
        <f t="shared" si="19"/>
        <v>44317</v>
      </c>
      <c r="H77">
        <f t="shared" si="20"/>
        <v>1</v>
      </c>
      <c r="I77" t="str">
        <f t="shared" si="21"/>
        <v>2021.05.1</v>
      </c>
      <c r="J77" t="str">
        <f t="shared" si="22"/>
        <v>LQ</v>
      </c>
      <c r="K77" t="str">
        <f ca="1">VLOOKUP("mo1_" &amp; $J77,'GPlan-Translations'!$B$328:$C$331,2,FALSE)</f>
        <v>Last Q.</v>
      </c>
      <c r="L77" t="str">
        <f t="shared" si="23"/>
        <v>LQ</v>
      </c>
      <c r="M77" t="str">
        <f ca="1">VLOOKUP("mo2_" &amp; $L77,'GPlan-Translations'!$B$333:$C$336,2,FALSE)</f>
        <v>)</v>
      </c>
      <c r="N77" s="335" t="str">
        <f ca="1">VLOOKUP("mo3_" &amp; $L77,'GPlan-Translations'!$B$338:$C$341,2,FALSE)</f>
        <v></v>
      </c>
      <c r="O77">
        <f t="shared" ca="1" si="24"/>
        <v>131</v>
      </c>
    </row>
    <row r="78" spans="4:15">
      <c r="D78">
        <f t="shared" si="16"/>
        <v>0</v>
      </c>
      <c r="E78" s="177">
        <f t="shared" si="17"/>
        <v>44327.583101851851</v>
      </c>
      <c r="F78" s="175">
        <f t="shared" si="18"/>
        <v>44327</v>
      </c>
      <c r="G78" s="183">
        <f t="shared" si="19"/>
        <v>44317</v>
      </c>
      <c r="H78">
        <f t="shared" si="20"/>
        <v>2</v>
      </c>
      <c r="I78" t="str">
        <f t="shared" si="21"/>
        <v>2021.05.2</v>
      </c>
      <c r="J78" t="str">
        <f t="shared" si="22"/>
        <v>NM</v>
      </c>
      <c r="K78" t="str">
        <f ca="1">VLOOKUP("mo1_" &amp; $J78,'GPlan-Translations'!$B$328:$C$331,2,FALSE)</f>
        <v>New M.</v>
      </c>
      <c r="L78" t="str">
        <f t="shared" si="23"/>
        <v>NM</v>
      </c>
      <c r="M78" t="str">
        <f ca="1">VLOOKUP("mo2_" &amp; $L78,'GPlan-Translations'!$B$333:$C$336,2,FALSE)</f>
        <v>: :</v>
      </c>
      <c r="N78" s="335" t="str">
        <f ca="1">VLOOKUP("mo3_" &amp; $L78,'GPlan-Translations'!$B$338:$C$341,2,FALSE)</f>
        <v></v>
      </c>
      <c r="O78">
        <f t="shared" ca="1" si="24"/>
        <v>152</v>
      </c>
    </row>
    <row r="79" spans="4:15">
      <c r="D79">
        <f t="shared" si="16"/>
        <v>1</v>
      </c>
      <c r="E79" s="177">
        <f t="shared" si="17"/>
        <v>44335.591944444444</v>
      </c>
      <c r="F79" s="175">
        <f t="shared" si="18"/>
        <v>44335</v>
      </c>
      <c r="G79" s="183">
        <f t="shared" si="19"/>
        <v>44317</v>
      </c>
      <c r="H79">
        <f t="shared" si="20"/>
        <v>3</v>
      </c>
      <c r="I79" t="str">
        <f t="shared" si="21"/>
        <v>2021.05.3</v>
      </c>
      <c r="J79" t="str">
        <f t="shared" si="22"/>
        <v>FQ</v>
      </c>
      <c r="K79" t="str">
        <f ca="1">VLOOKUP("mo1_" &amp; $J79,'GPlan-Translations'!$B$328:$C$331,2,FALSE)</f>
        <v>First Q.</v>
      </c>
      <c r="L79" t="str">
        <f t="shared" si="23"/>
        <v>FQ</v>
      </c>
      <c r="M79" t="str">
        <f ca="1">VLOOKUP("mo2_" &amp; $L79,'GPlan-Translations'!$B$333:$C$336,2,FALSE)</f>
        <v>(</v>
      </c>
      <c r="N79" s="335" t="str">
        <f ca="1">VLOOKUP("mo3_" &amp; $L79,'GPlan-Translations'!$B$338:$C$341,2,FALSE)</f>
        <v></v>
      </c>
      <c r="O79">
        <f t="shared" ca="1" si="24"/>
        <v>130</v>
      </c>
    </row>
    <row r="80" spans="4:15">
      <c r="D80">
        <f t="shared" si="16"/>
        <v>2</v>
      </c>
      <c r="E80" s="177">
        <f t="shared" si="17"/>
        <v>44342.25953703704</v>
      </c>
      <c r="F80" s="175">
        <f t="shared" si="18"/>
        <v>44342</v>
      </c>
      <c r="G80" s="183">
        <f t="shared" si="19"/>
        <v>44317</v>
      </c>
      <c r="H80">
        <f t="shared" si="20"/>
        <v>4</v>
      </c>
      <c r="I80" t="str">
        <f t="shared" si="21"/>
        <v>2021.05.4</v>
      </c>
      <c r="J80" t="str">
        <f t="shared" si="22"/>
        <v>FM</v>
      </c>
      <c r="K80" t="str">
        <f ca="1">VLOOKUP("mo1_" &amp; $J80,'GPlan-Translations'!$B$328:$C$331,2,FALSE)</f>
        <v>Full M.</v>
      </c>
      <c r="L80" t="str">
        <f t="shared" si="23"/>
        <v>FM</v>
      </c>
      <c r="M80" t="str">
        <f ca="1">VLOOKUP("mo2_" &amp; $L80,'GPlan-Translations'!$B$333:$C$336,2,FALSE)</f>
        <v>O</v>
      </c>
      <c r="N80" s="335" t="str">
        <f ca="1">VLOOKUP("mo3_" &amp; $L80,'GPlan-Translations'!$B$338:$C$341,2,FALSE)</f>
        <v></v>
      </c>
      <c r="O80">
        <f t="shared" ca="1" si="24"/>
        <v>129</v>
      </c>
    </row>
    <row r="81" spans="4:15">
      <c r="D81">
        <f t="shared" si="16"/>
        <v>3</v>
      </c>
      <c r="E81" s="177">
        <f t="shared" si="17"/>
        <v>44349.100127314814</v>
      </c>
      <c r="F81" s="175">
        <f t="shared" si="18"/>
        <v>44349</v>
      </c>
      <c r="G81" s="183">
        <f t="shared" si="19"/>
        <v>44348</v>
      </c>
      <c r="H81">
        <f t="shared" si="20"/>
        <v>1</v>
      </c>
      <c r="I81" t="str">
        <f t="shared" si="21"/>
        <v>2021.06.1</v>
      </c>
      <c r="J81" t="str">
        <f t="shared" si="22"/>
        <v>LQ</v>
      </c>
      <c r="K81" t="str">
        <f ca="1">VLOOKUP("mo1_" &amp; $J81,'GPlan-Translations'!$B$328:$C$331,2,FALSE)</f>
        <v>Last Q.</v>
      </c>
      <c r="L81" t="str">
        <f t="shared" si="23"/>
        <v>LQ</v>
      </c>
      <c r="M81" t="str">
        <f ca="1">VLOOKUP("mo2_" &amp; $L81,'GPlan-Translations'!$B$333:$C$336,2,FALSE)</f>
        <v>)</v>
      </c>
      <c r="N81" s="335" t="str">
        <f ca="1">VLOOKUP("mo3_" &amp; $L81,'GPlan-Translations'!$B$338:$C$341,2,FALSE)</f>
        <v></v>
      </c>
      <c r="O81">
        <f t="shared" ca="1" si="24"/>
        <v>131</v>
      </c>
    </row>
    <row r="82" spans="4:15">
      <c r="D82">
        <f t="shared" si="16"/>
        <v>0</v>
      </c>
      <c r="E82" s="177">
        <f t="shared" si="17"/>
        <v>44357.244768518518</v>
      </c>
      <c r="F82" s="175">
        <f t="shared" si="18"/>
        <v>44357</v>
      </c>
      <c r="G82" s="183">
        <f t="shared" si="19"/>
        <v>44348</v>
      </c>
      <c r="H82">
        <f t="shared" si="20"/>
        <v>2</v>
      </c>
      <c r="I82" t="str">
        <f t="shared" si="21"/>
        <v>2021.06.2</v>
      </c>
      <c r="J82" t="str">
        <f t="shared" si="22"/>
        <v>NM</v>
      </c>
      <c r="K82" t="str">
        <f ca="1">VLOOKUP("mo1_" &amp; $J82,'GPlan-Translations'!$B$328:$C$331,2,FALSE)</f>
        <v>New M.</v>
      </c>
      <c r="L82" t="str">
        <f t="shared" si="23"/>
        <v>NM</v>
      </c>
      <c r="M82" t="str">
        <f ca="1">VLOOKUP("mo2_" &amp; $L82,'GPlan-Translations'!$B$333:$C$336,2,FALSE)</f>
        <v>: :</v>
      </c>
      <c r="N82" s="335" t="str">
        <f ca="1">VLOOKUP("mo3_" &amp; $L82,'GPlan-Translations'!$B$338:$C$341,2,FALSE)</f>
        <v></v>
      </c>
      <c r="O82">
        <f t="shared" ca="1" si="24"/>
        <v>152</v>
      </c>
    </row>
    <row r="83" spans="4:15">
      <c r="D83">
        <f t="shared" si="16"/>
        <v>1</v>
      </c>
      <c r="E83" s="177">
        <f t="shared" si="17"/>
        <v>44364.954212962963</v>
      </c>
      <c r="F83" s="175">
        <f t="shared" si="18"/>
        <v>44364</v>
      </c>
      <c r="G83" s="183">
        <f t="shared" si="19"/>
        <v>44348</v>
      </c>
      <c r="H83">
        <f t="shared" si="20"/>
        <v>3</v>
      </c>
      <c r="I83" t="str">
        <f t="shared" si="21"/>
        <v>2021.06.3</v>
      </c>
      <c r="J83" t="str">
        <f t="shared" si="22"/>
        <v>FQ</v>
      </c>
      <c r="K83" t="str">
        <f ca="1">VLOOKUP("mo1_" &amp; $J83,'GPlan-Translations'!$B$328:$C$331,2,FALSE)</f>
        <v>First Q.</v>
      </c>
      <c r="L83" t="str">
        <f t="shared" si="23"/>
        <v>FQ</v>
      </c>
      <c r="M83" t="str">
        <f ca="1">VLOOKUP("mo2_" &amp; $L83,'GPlan-Translations'!$B$333:$C$336,2,FALSE)</f>
        <v>(</v>
      </c>
      <c r="N83" s="335" t="str">
        <f ca="1">VLOOKUP("mo3_" &amp; $L83,'GPlan-Translations'!$B$338:$C$341,2,FALSE)</f>
        <v></v>
      </c>
      <c r="O83">
        <f t="shared" ca="1" si="24"/>
        <v>130</v>
      </c>
    </row>
    <row r="84" spans="4:15">
      <c r="D84">
        <f t="shared" si="16"/>
        <v>2</v>
      </c>
      <c r="E84" s="177">
        <f t="shared" ref="E84:E114" si="25">MONDPHASE(E83+5, D84, $C$10)</f>
        <v>44371.569074074076</v>
      </c>
      <c r="F84" s="175">
        <f t="shared" si="18"/>
        <v>44371</v>
      </c>
      <c r="G84" s="183">
        <f t="shared" ref="G84:G114" si="26">DATE(YEAR(F84),MONTH(F84),1)</f>
        <v>44348</v>
      </c>
      <c r="H84">
        <f t="shared" ref="H84:H114" si="27">IF(G84&lt;&gt;G83,1,H83+1)</f>
        <v>4</v>
      </c>
      <c r="I84" t="str">
        <f t="shared" si="21"/>
        <v>2021.06.4</v>
      </c>
      <c r="J84" t="str">
        <f t="shared" si="22"/>
        <v>FM</v>
      </c>
      <c r="K84" t="str">
        <f ca="1">VLOOKUP("mo1_" &amp; $J84,'GPlan-Translations'!$B$328:$C$331,2,FALSE)</f>
        <v>Full M.</v>
      </c>
      <c r="L84" t="str">
        <f t="shared" ref="L84:L114" si="28">IF($C$9&gt;=0,J84,IF(J84="FQ","LQ",IF(J84="LQ","FQ",J84)))</f>
        <v>FM</v>
      </c>
      <c r="M84" t="str">
        <f ca="1">VLOOKUP("mo2_" &amp; $L84,'GPlan-Translations'!$B$333:$C$336,2,FALSE)</f>
        <v>O</v>
      </c>
      <c r="N84" s="335" t="str">
        <f ca="1">VLOOKUP("mo3_" &amp; $L84,'GPlan-Translations'!$B$338:$C$341,2,FALSE)</f>
        <v></v>
      </c>
      <c r="O84">
        <f t="shared" ca="1" si="24"/>
        <v>129</v>
      </c>
    </row>
    <row r="85" spans="4:15">
      <c r="D85">
        <f t="shared" si="16"/>
        <v>3</v>
      </c>
      <c r="E85" s="177">
        <f t="shared" si="25"/>
        <v>44378.67396990741</v>
      </c>
      <c r="F85" s="175">
        <f t="shared" si="18"/>
        <v>44378</v>
      </c>
      <c r="G85" s="183">
        <f t="shared" si="26"/>
        <v>44378</v>
      </c>
      <c r="H85">
        <f t="shared" si="27"/>
        <v>1</v>
      </c>
      <c r="I85" t="str">
        <f t="shared" si="21"/>
        <v>2021.07.1</v>
      </c>
      <c r="J85" t="str">
        <f t="shared" si="22"/>
        <v>LQ</v>
      </c>
      <c r="K85" t="str">
        <f ca="1">VLOOKUP("mo1_" &amp; $J85,'GPlan-Translations'!$B$328:$C$331,2,FALSE)</f>
        <v>Last Q.</v>
      </c>
      <c r="L85" t="str">
        <f t="shared" si="28"/>
        <v>LQ</v>
      </c>
      <c r="M85" t="str">
        <f ca="1">VLOOKUP("mo2_" &amp; $L85,'GPlan-Translations'!$B$333:$C$336,2,FALSE)</f>
        <v>)</v>
      </c>
      <c r="N85" s="335" t="str">
        <f ca="1">VLOOKUP("mo3_" &amp; $L85,'GPlan-Translations'!$B$338:$C$341,2,FALSE)</f>
        <v></v>
      </c>
      <c r="O85">
        <f t="shared" ca="1" si="24"/>
        <v>131</v>
      </c>
    </row>
    <row r="86" spans="4:15">
      <c r="D86">
        <f t="shared" si="16"/>
        <v>0</v>
      </c>
      <c r="E86" s="177">
        <f t="shared" si="25"/>
        <v>44386.844710648147</v>
      </c>
      <c r="F86" s="175">
        <f t="shared" si="18"/>
        <v>44386</v>
      </c>
      <c r="G86" s="183">
        <f t="shared" si="26"/>
        <v>44378</v>
      </c>
      <c r="H86">
        <f t="shared" si="27"/>
        <v>2</v>
      </c>
      <c r="I86" t="str">
        <f t="shared" si="21"/>
        <v>2021.07.2</v>
      </c>
      <c r="J86" t="str">
        <f t="shared" si="22"/>
        <v>NM</v>
      </c>
      <c r="K86" t="str">
        <f ca="1">VLOOKUP("mo1_" &amp; $J86,'GPlan-Translations'!$B$328:$C$331,2,FALSE)</f>
        <v>New M.</v>
      </c>
      <c r="L86" t="str">
        <f t="shared" si="28"/>
        <v>NM</v>
      </c>
      <c r="M86" t="str">
        <f ca="1">VLOOKUP("mo2_" &amp; $L86,'GPlan-Translations'!$B$333:$C$336,2,FALSE)</f>
        <v>: :</v>
      </c>
      <c r="N86" s="335" t="str">
        <f ca="1">VLOOKUP("mo3_" &amp; $L86,'GPlan-Translations'!$B$338:$C$341,2,FALSE)</f>
        <v></v>
      </c>
      <c r="O86">
        <f t="shared" ca="1" si="24"/>
        <v>152</v>
      </c>
    </row>
    <row r="87" spans="4:15">
      <c r="D87">
        <f t="shared" si="16"/>
        <v>1</v>
      </c>
      <c r="E87" s="177">
        <f t="shared" si="25"/>
        <v>44394.215624999997</v>
      </c>
      <c r="F87" s="175">
        <f t="shared" si="18"/>
        <v>44394</v>
      </c>
      <c r="G87" s="183">
        <f t="shared" si="26"/>
        <v>44378</v>
      </c>
      <c r="H87">
        <f t="shared" si="27"/>
        <v>3</v>
      </c>
      <c r="I87" t="str">
        <f t="shared" si="21"/>
        <v>2021.07.3</v>
      </c>
      <c r="J87" t="str">
        <f t="shared" si="22"/>
        <v>FQ</v>
      </c>
      <c r="K87" t="str">
        <f ca="1">VLOOKUP("mo1_" &amp; $J87,'GPlan-Translations'!$B$328:$C$331,2,FALSE)</f>
        <v>First Q.</v>
      </c>
      <c r="L87" t="str">
        <f t="shared" si="28"/>
        <v>FQ</v>
      </c>
      <c r="M87" t="str">
        <f ca="1">VLOOKUP("mo2_" &amp; $L87,'GPlan-Translations'!$B$333:$C$336,2,FALSE)</f>
        <v>(</v>
      </c>
      <c r="N87" s="335" t="str">
        <f ca="1">VLOOKUP("mo3_" &amp; $L87,'GPlan-Translations'!$B$338:$C$341,2,FALSE)</f>
        <v></v>
      </c>
      <c r="O87">
        <f t="shared" ca="1" si="24"/>
        <v>130</v>
      </c>
    </row>
    <row r="88" spans="4:15">
      <c r="D88">
        <f t="shared" si="16"/>
        <v>2</v>
      </c>
      <c r="E88" s="177">
        <f t="shared" si="25"/>
        <v>44400.90047453704</v>
      </c>
      <c r="F88" s="175">
        <f t="shared" si="18"/>
        <v>44400</v>
      </c>
      <c r="G88" s="183">
        <f t="shared" si="26"/>
        <v>44378</v>
      </c>
      <c r="H88">
        <f t="shared" si="27"/>
        <v>4</v>
      </c>
      <c r="I88" t="str">
        <f t="shared" si="21"/>
        <v>2021.07.4</v>
      </c>
      <c r="J88" t="str">
        <f t="shared" si="22"/>
        <v>FM</v>
      </c>
      <c r="K88" t="str">
        <f ca="1">VLOOKUP("mo1_" &amp; $J88,'GPlan-Translations'!$B$328:$C$331,2,FALSE)</f>
        <v>Full M.</v>
      </c>
      <c r="L88" t="str">
        <f t="shared" si="28"/>
        <v>FM</v>
      </c>
      <c r="M88" t="str">
        <f ca="1">VLOOKUP("mo2_" &amp; $L88,'GPlan-Translations'!$B$333:$C$336,2,FALSE)</f>
        <v>O</v>
      </c>
      <c r="N88" s="335" t="str">
        <f ca="1">VLOOKUP("mo3_" &amp; $L88,'GPlan-Translations'!$B$338:$C$341,2,FALSE)</f>
        <v></v>
      </c>
      <c r="O88">
        <f t="shared" ca="1" si="24"/>
        <v>129</v>
      </c>
    </row>
    <row r="89" spans="4:15">
      <c r="D89">
        <f t="shared" si="16"/>
        <v>3</v>
      </c>
      <c r="E89" s="177">
        <f t="shared" si="25"/>
        <v>44408.344409722224</v>
      </c>
      <c r="F89" s="175">
        <f t="shared" si="18"/>
        <v>44408</v>
      </c>
      <c r="G89" s="183">
        <f t="shared" si="26"/>
        <v>44378</v>
      </c>
      <c r="H89">
        <f t="shared" si="27"/>
        <v>5</v>
      </c>
      <c r="I89" t="str">
        <f t="shared" si="21"/>
        <v>2021.07.5</v>
      </c>
      <c r="J89" t="str">
        <f t="shared" si="22"/>
        <v>LQ</v>
      </c>
      <c r="K89" t="str">
        <f ca="1">VLOOKUP("mo1_" &amp; $J89,'GPlan-Translations'!$B$328:$C$331,2,FALSE)</f>
        <v>Last Q.</v>
      </c>
      <c r="L89" t="str">
        <f t="shared" si="28"/>
        <v>LQ</v>
      </c>
      <c r="M89" t="str">
        <f ca="1">VLOOKUP("mo2_" &amp; $L89,'GPlan-Translations'!$B$333:$C$336,2,FALSE)</f>
        <v>)</v>
      </c>
      <c r="N89" s="335" t="str">
        <f ca="1">VLOOKUP("mo3_" &amp; $L89,'GPlan-Translations'!$B$338:$C$341,2,FALSE)</f>
        <v></v>
      </c>
      <c r="O89">
        <f t="shared" ca="1" si="24"/>
        <v>131</v>
      </c>
    </row>
    <row r="90" spans="4:15">
      <c r="D90">
        <f t="shared" si="16"/>
        <v>0</v>
      </c>
      <c r="E90" s="177">
        <f t="shared" si="25"/>
        <v>44416.368009259262</v>
      </c>
      <c r="F90" s="175">
        <f t="shared" si="18"/>
        <v>44416</v>
      </c>
      <c r="G90" s="183">
        <f t="shared" si="26"/>
        <v>44409</v>
      </c>
      <c r="H90">
        <f t="shared" si="27"/>
        <v>1</v>
      </c>
      <c r="I90" t="str">
        <f t="shared" si="21"/>
        <v>2021.08.1</v>
      </c>
      <c r="J90" t="str">
        <f t="shared" si="22"/>
        <v>NM</v>
      </c>
      <c r="K90" t="str">
        <f ca="1">VLOOKUP("mo1_" &amp; $J90,'GPlan-Translations'!$B$328:$C$331,2,FALSE)</f>
        <v>New M.</v>
      </c>
      <c r="L90" t="str">
        <f t="shared" si="28"/>
        <v>NM</v>
      </c>
      <c r="M90" t="str">
        <f ca="1">VLOOKUP("mo2_" &amp; $L90,'GPlan-Translations'!$B$333:$C$336,2,FALSE)</f>
        <v>: :</v>
      </c>
      <c r="N90" s="335" t="str">
        <f ca="1">VLOOKUP("mo3_" &amp; $L90,'GPlan-Translations'!$B$338:$C$341,2,FALSE)</f>
        <v></v>
      </c>
      <c r="O90">
        <f t="shared" ca="1" si="24"/>
        <v>152</v>
      </c>
    </row>
    <row r="91" spans="4:15">
      <c r="D91">
        <f t="shared" si="16"/>
        <v>1</v>
      </c>
      <c r="E91" s="177">
        <f t="shared" si="25"/>
        <v>44423.430162037039</v>
      </c>
      <c r="F91" s="175">
        <f t="shared" si="18"/>
        <v>44423</v>
      </c>
      <c r="G91" s="183">
        <f t="shared" si="26"/>
        <v>44409</v>
      </c>
      <c r="H91">
        <f t="shared" si="27"/>
        <v>2</v>
      </c>
      <c r="I91" t="str">
        <f t="shared" si="21"/>
        <v>2021.08.2</v>
      </c>
      <c r="J91" t="str">
        <f t="shared" si="22"/>
        <v>FQ</v>
      </c>
      <c r="K91" t="str">
        <f ca="1">VLOOKUP("mo1_" &amp; $J91,'GPlan-Translations'!$B$328:$C$331,2,FALSE)</f>
        <v>First Q.</v>
      </c>
      <c r="L91" t="str">
        <f t="shared" si="28"/>
        <v>FQ</v>
      </c>
      <c r="M91" t="str">
        <f ca="1">VLOOKUP("mo2_" &amp; $L91,'GPlan-Translations'!$B$333:$C$336,2,FALSE)</f>
        <v>(</v>
      </c>
      <c r="N91" s="335" t="str">
        <f ca="1">VLOOKUP("mo3_" &amp; $L91,'GPlan-Translations'!$B$338:$C$341,2,FALSE)</f>
        <v></v>
      </c>
      <c r="O91">
        <f t="shared" ca="1" si="24"/>
        <v>130</v>
      </c>
    </row>
    <row r="92" spans="4:15">
      <c r="D92">
        <f t="shared" si="16"/>
        <v>2</v>
      </c>
      <c r="E92" s="177">
        <f t="shared" si="25"/>
        <v>44430.292916666665</v>
      </c>
      <c r="F92" s="175">
        <f t="shared" si="18"/>
        <v>44430</v>
      </c>
      <c r="G92" s="183">
        <f t="shared" si="26"/>
        <v>44409</v>
      </c>
      <c r="H92">
        <f t="shared" si="27"/>
        <v>3</v>
      </c>
      <c r="I92" t="str">
        <f t="shared" si="21"/>
        <v>2021.08.3</v>
      </c>
      <c r="J92" t="str">
        <f t="shared" si="22"/>
        <v>FM</v>
      </c>
      <c r="K92" t="str">
        <f ca="1">VLOOKUP("mo1_" &amp; $J92,'GPlan-Translations'!$B$328:$C$331,2,FALSE)</f>
        <v>Full M.</v>
      </c>
      <c r="L92" t="str">
        <f t="shared" si="28"/>
        <v>FM</v>
      </c>
      <c r="M92" t="str">
        <f ca="1">VLOOKUP("mo2_" &amp; $L92,'GPlan-Translations'!$B$333:$C$336,2,FALSE)</f>
        <v>O</v>
      </c>
      <c r="N92" s="335" t="str">
        <f ca="1">VLOOKUP("mo3_" &amp; $L92,'GPlan-Translations'!$B$338:$C$341,2,FALSE)</f>
        <v></v>
      </c>
      <c r="O92">
        <f t="shared" ca="1" si="24"/>
        <v>129</v>
      </c>
    </row>
    <row r="93" spans="4:15">
      <c r="D93">
        <f t="shared" si="16"/>
        <v>3</v>
      </c>
      <c r="E93" s="177">
        <f t="shared" si="25"/>
        <v>44438.092430555553</v>
      </c>
      <c r="F93" s="175">
        <f t="shared" si="18"/>
        <v>44438</v>
      </c>
      <c r="G93" s="183">
        <f t="shared" si="26"/>
        <v>44409</v>
      </c>
      <c r="H93">
        <f t="shared" si="27"/>
        <v>4</v>
      </c>
      <c r="I93" t="str">
        <f t="shared" si="21"/>
        <v>2021.08.4</v>
      </c>
      <c r="J93" t="str">
        <f t="shared" si="22"/>
        <v>LQ</v>
      </c>
      <c r="K93" t="str">
        <f ca="1">VLOOKUP("mo1_" &amp; $J93,'GPlan-Translations'!$B$328:$C$331,2,FALSE)</f>
        <v>Last Q.</v>
      </c>
      <c r="L93" t="str">
        <f t="shared" si="28"/>
        <v>LQ</v>
      </c>
      <c r="M93" t="str">
        <f ca="1">VLOOKUP("mo2_" &amp; $L93,'GPlan-Translations'!$B$333:$C$336,2,FALSE)</f>
        <v>)</v>
      </c>
      <c r="N93" s="335" t="str">
        <f ca="1">VLOOKUP("mo3_" &amp; $L93,'GPlan-Translations'!$B$338:$C$341,2,FALSE)</f>
        <v></v>
      </c>
      <c r="O93">
        <f t="shared" ca="1" si="24"/>
        <v>131</v>
      </c>
    </row>
    <row r="94" spans="4:15">
      <c r="D94">
        <f t="shared" si="16"/>
        <v>0</v>
      </c>
      <c r="E94" s="177">
        <f t="shared" si="25"/>
        <v>44445.827465277776</v>
      </c>
      <c r="F94" s="175">
        <f t="shared" si="18"/>
        <v>44445</v>
      </c>
      <c r="G94" s="183">
        <f t="shared" si="26"/>
        <v>44440</v>
      </c>
      <c r="H94">
        <f t="shared" si="27"/>
        <v>1</v>
      </c>
      <c r="I94" t="str">
        <f t="shared" si="21"/>
        <v>2021.09.1</v>
      </c>
      <c r="J94" t="str">
        <f t="shared" si="22"/>
        <v>NM</v>
      </c>
      <c r="K94" t="str">
        <f ca="1">VLOOKUP("mo1_" &amp; $J94,'GPlan-Translations'!$B$328:$C$331,2,FALSE)</f>
        <v>New M.</v>
      </c>
      <c r="L94" t="str">
        <f t="shared" si="28"/>
        <v>NM</v>
      </c>
      <c r="M94" t="str">
        <f ca="1">VLOOKUP("mo2_" &amp; $L94,'GPlan-Translations'!$B$333:$C$336,2,FALSE)</f>
        <v>: :</v>
      </c>
      <c r="N94" s="335" t="str">
        <f ca="1">VLOOKUP("mo3_" &amp; $L94,'GPlan-Translations'!$B$338:$C$341,2,FALSE)</f>
        <v></v>
      </c>
      <c r="O94">
        <f t="shared" ca="1" si="24"/>
        <v>152</v>
      </c>
    </row>
    <row r="95" spans="4:15">
      <c r="D95">
        <f t="shared" si="16"/>
        <v>1</v>
      </c>
      <c r="E95" s="177">
        <f t="shared" si="25"/>
        <v>44452.652222222219</v>
      </c>
      <c r="F95" s="175">
        <f t="shared" si="18"/>
        <v>44452</v>
      </c>
      <c r="G95" s="183">
        <f t="shared" si="26"/>
        <v>44440</v>
      </c>
      <c r="H95">
        <f t="shared" si="27"/>
        <v>2</v>
      </c>
      <c r="I95" t="str">
        <f t="shared" si="21"/>
        <v>2021.09.2</v>
      </c>
      <c r="J95" t="str">
        <f t="shared" si="22"/>
        <v>FQ</v>
      </c>
      <c r="K95" t="str">
        <f ca="1">VLOOKUP("mo1_" &amp; $J95,'GPlan-Translations'!$B$328:$C$331,2,FALSE)</f>
        <v>First Q.</v>
      </c>
      <c r="L95" t="str">
        <f t="shared" si="28"/>
        <v>FQ</v>
      </c>
      <c r="M95" t="str">
        <f ca="1">VLOOKUP("mo2_" &amp; $L95,'GPlan-Translations'!$B$333:$C$336,2,FALSE)</f>
        <v>(</v>
      </c>
      <c r="N95" s="335" t="str">
        <f ca="1">VLOOKUP("mo3_" &amp; $L95,'GPlan-Translations'!$B$338:$C$341,2,FALSE)</f>
        <v></v>
      </c>
      <c r="O95">
        <f t="shared" ca="1" si="24"/>
        <v>130</v>
      </c>
    </row>
    <row r="96" spans="4:15">
      <c r="D96">
        <f t="shared" si="16"/>
        <v>2</v>
      </c>
      <c r="E96" s="177">
        <f t="shared" si="25"/>
        <v>44459.787812499999</v>
      </c>
      <c r="F96" s="175">
        <f t="shared" si="18"/>
        <v>44459</v>
      </c>
      <c r="G96" s="183">
        <f t="shared" si="26"/>
        <v>44440</v>
      </c>
      <c r="H96">
        <f t="shared" si="27"/>
        <v>3</v>
      </c>
      <c r="I96" t="str">
        <f t="shared" si="21"/>
        <v>2021.09.3</v>
      </c>
      <c r="J96" t="str">
        <f t="shared" si="22"/>
        <v>FM</v>
      </c>
      <c r="K96" t="str">
        <f ca="1">VLOOKUP("mo1_" &amp; $J96,'GPlan-Translations'!$B$328:$C$331,2,FALSE)</f>
        <v>Full M.</v>
      </c>
      <c r="L96" t="str">
        <f t="shared" si="28"/>
        <v>FM</v>
      </c>
      <c r="M96" t="str">
        <f ca="1">VLOOKUP("mo2_" &amp; $L96,'GPlan-Translations'!$B$333:$C$336,2,FALSE)</f>
        <v>O</v>
      </c>
      <c r="N96" s="335" t="str">
        <f ca="1">VLOOKUP("mo3_" &amp; $L96,'GPlan-Translations'!$B$338:$C$341,2,FALSE)</f>
        <v></v>
      </c>
      <c r="O96">
        <f t="shared" ca="1" si="24"/>
        <v>129</v>
      </c>
    </row>
    <row r="97" spans="4:15">
      <c r="D97">
        <f t="shared" si="16"/>
        <v>3</v>
      </c>
      <c r="E97" s="177">
        <f t="shared" si="25"/>
        <v>44467.872881944444</v>
      </c>
      <c r="F97" s="175">
        <f t="shared" si="18"/>
        <v>44467</v>
      </c>
      <c r="G97" s="183">
        <f t="shared" si="26"/>
        <v>44440</v>
      </c>
      <c r="H97">
        <f t="shared" si="27"/>
        <v>4</v>
      </c>
      <c r="I97" t="str">
        <f t="shared" si="21"/>
        <v>2021.09.4</v>
      </c>
      <c r="J97" t="str">
        <f t="shared" si="22"/>
        <v>LQ</v>
      </c>
      <c r="K97" t="str">
        <f ca="1">VLOOKUP("mo1_" &amp; $J97,'GPlan-Translations'!$B$328:$C$331,2,FALSE)</f>
        <v>Last Q.</v>
      </c>
      <c r="L97" t="str">
        <f t="shared" si="28"/>
        <v>LQ</v>
      </c>
      <c r="M97" t="str">
        <f ca="1">VLOOKUP("mo2_" &amp; $L97,'GPlan-Translations'!$B$333:$C$336,2,FALSE)</f>
        <v>)</v>
      </c>
      <c r="N97" s="335" t="str">
        <f ca="1">VLOOKUP("mo3_" &amp; $L97,'GPlan-Translations'!$B$338:$C$341,2,FALSE)</f>
        <v></v>
      </c>
      <c r="O97">
        <f t="shared" ca="1" si="24"/>
        <v>131</v>
      </c>
    </row>
    <row r="98" spans="4:15">
      <c r="D98">
        <f t="shared" si="16"/>
        <v>0</v>
      </c>
      <c r="E98" s="177">
        <f t="shared" si="25"/>
        <v>44475.253553240742</v>
      </c>
      <c r="F98" s="175">
        <f t="shared" si="18"/>
        <v>44475</v>
      </c>
      <c r="G98" s="183">
        <f t="shared" si="26"/>
        <v>44470</v>
      </c>
      <c r="H98">
        <f t="shared" si="27"/>
        <v>1</v>
      </c>
      <c r="I98" t="str">
        <f t="shared" si="21"/>
        <v>2021.10.1</v>
      </c>
      <c r="J98" t="str">
        <f t="shared" si="22"/>
        <v>NM</v>
      </c>
      <c r="K98" t="str">
        <f ca="1">VLOOKUP("mo1_" &amp; $J98,'GPlan-Translations'!$B$328:$C$331,2,FALSE)</f>
        <v>New M.</v>
      </c>
      <c r="L98" t="str">
        <f t="shared" si="28"/>
        <v>NM</v>
      </c>
      <c r="M98" t="str">
        <f ca="1">VLOOKUP("mo2_" &amp; $L98,'GPlan-Translations'!$B$333:$C$336,2,FALSE)</f>
        <v>: :</v>
      </c>
      <c r="N98" s="335" t="str">
        <f ca="1">VLOOKUP("mo3_" &amp; $L98,'GPlan-Translations'!$B$338:$C$341,2,FALSE)</f>
        <v></v>
      </c>
      <c r="O98">
        <f t="shared" ca="1" si="24"/>
        <v>152</v>
      </c>
    </row>
    <row r="99" spans="4:15">
      <c r="D99">
        <f t="shared" si="16"/>
        <v>1</v>
      </c>
      <c r="E99" s="177">
        <f t="shared" si="25"/>
        <v>44481.934039351851</v>
      </c>
      <c r="F99" s="175">
        <f t="shared" si="18"/>
        <v>44481</v>
      </c>
      <c r="G99" s="183">
        <f t="shared" si="26"/>
        <v>44470</v>
      </c>
      <c r="H99">
        <f t="shared" si="27"/>
        <v>2</v>
      </c>
      <c r="I99" t="str">
        <f t="shared" si="21"/>
        <v>2021.10.2</v>
      </c>
      <c r="J99" t="str">
        <f t="shared" si="22"/>
        <v>FQ</v>
      </c>
      <c r="K99" t="str">
        <f ca="1">VLOOKUP("mo1_" &amp; $J99,'GPlan-Translations'!$B$328:$C$331,2,FALSE)</f>
        <v>First Q.</v>
      </c>
      <c r="L99" t="str">
        <f t="shared" si="28"/>
        <v>FQ</v>
      </c>
      <c r="M99" t="str">
        <f ca="1">VLOOKUP("mo2_" &amp; $L99,'GPlan-Translations'!$B$333:$C$336,2,FALSE)</f>
        <v>(</v>
      </c>
      <c r="N99" s="335" t="str">
        <f ca="1">VLOOKUP("mo3_" &amp; $L99,'GPlan-Translations'!$B$338:$C$341,2,FALSE)</f>
        <v></v>
      </c>
      <c r="O99">
        <f t="shared" ca="1" si="24"/>
        <v>130</v>
      </c>
    </row>
    <row r="100" spans="4:15">
      <c r="D100">
        <f t="shared" si="16"/>
        <v>2</v>
      </c>
      <c r="E100" s="177">
        <f t="shared" si="25"/>
        <v>44489.414224537039</v>
      </c>
      <c r="F100" s="175">
        <f t="shared" si="18"/>
        <v>44489</v>
      </c>
      <c r="G100" s="183">
        <f t="shared" si="26"/>
        <v>44470</v>
      </c>
      <c r="H100">
        <f t="shared" si="27"/>
        <v>3</v>
      </c>
      <c r="I100" t="str">
        <f t="shared" si="21"/>
        <v>2021.10.3</v>
      </c>
      <c r="J100" t="str">
        <f t="shared" si="22"/>
        <v>FM</v>
      </c>
      <c r="K100" t="str">
        <f ca="1">VLOOKUP("mo1_" &amp; $J100,'GPlan-Translations'!$B$328:$C$331,2,FALSE)</f>
        <v>Full M.</v>
      </c>
      <c r="L100" t="str">
        <f t="shared" si="28"/>
        <v>FM</v>
      </c>
      <c r="M100" t="str">
        <f ca="1">VLOOKUP("mo2_" &amp; $L100,'GPlan-Translations'!$B$333:$C$336,2,FALSE)</f>
        <v>O</v>
      </c>
      <c r="N100" s="335" t="str">
        <f ca="1">VLOOKUP("mo3_" &amp; $L100,'GPlan-Translations'!$B$338:$C$341,2,FALSE)</f>
        <v></v>
      </c>
      <c r="O100">
        <f t="shared" ca="1" si="24"/>
        <v>129</v>
      </c>
    </row>
    <row r="101" spans="4:15">
      <c r="D101">
        <f t="shared" si="16"/>
        <v>3</v>
      </c>
      <c r="E101" s="177">
        <f t="shared" si="25"/>
        <v>44497.628483796296</v>
      </c>
      <c r="F101" s="175">
        <f t="shared" si="18"/>
        <v>44497</v>
      </c>
      <c r="G101" s="183">
        <f t="shared" si="26"/>
        <v>44470</v>
      </c>
      <c r="H101">
        <f t="shared" si="27"/>
        <v>4</v>
      </c>
      <c r="I101" t="str">
        <f t="shared" si="21"/>
        <v>2021.10.4</v>
      </c>
      <c r="J101" t="str">
        <f t="shared" si="22"/>
        <v>LQ</v>
      </c>
      <c r="K101" t="str">
        <f ca="1">VLOOKUP("mo1_" &amp; $J101,'GPlan-Translations'!$B$328:$C$331,2,FALSE)</f>
        <v>Last Q.</v>
      </c>
      <c r="L101" t="str">
        <f t="shared" si="28"/>
        <v>LQ</v>
      </c>
      <c r="M101" t="str">
        <f ca="1">VLOOKUP("mo2_" &amp; $L101,'GPlan-Translations'!$B$333:$C$336,2,FALSE)</f>
        <v>)</v>
      </c>
      <c r="N101" s="335" t="str">
        <f ca="1">VLOOKUP("mo3_" &amp; $L101,'GPlan-Translations'!$B$338:$C$341,2,FALSE)</f>
        <v></v>
      </c>
      <c r="O101">
        <f t="shared" ca="1" si="24"/>
        <v>131</v>
      </c>
    </row>
    <row r="102" spans="4:15">
      <c r="D102">
        <f t="shared" si="16"/>
        <v>0</v>
      </c>
      <c r="E102" s="177">
        <f t="shared" si="25"/>
        <v>44504.676678240743</v>
      </c>
      <c r="F102" s="175">
        <f t="shared" si="18"/>
        <v>44504</v>
      </c>
      <c r="G102" s="183">
        <f t="shared" si="26"/>
        <v>44501</v>
      </c>
      <c r="H102">
        <f t="shared" si="27"/>
        <v>1</v>
      </c>
      <c r="I102" t="str">
        <f t="shared" si="21"/>
        <v>2021.11.1</v>
      </c>
      <c r="J102" t="str">
        <f t="shared" si="22"/>
        <v>NM</v>
      </c>
      <c r="K102" t="str">
        <f ca="1">VLOOKUP("mo1_" &amp; $J102,'GPlan-Translations'!$B$328:$C$331,2,FALSE)</f>
        <v>New M.</v>
      </c>
      <c r="L102" t="str">
        <f t="shared" si="28"/>
        <v>NM</v>
      </c>
      <c r="M102" t="str">
        <f ca="1">VLOOKUP("mo2_" &amp; $L102,'GPlan-Translations'!$B$333:$C$336,2,FALSE)</f>
        <v>: :</v>
      </c>
      <c r="N102" s="335" t="str">
        <f ca="1">VLOOKUP("mo3_" &amp; $L102,'GPlan-Translations'!$B$338:$C$341,2,FALSE)</f>
        <v></v>
      </c>
      <c r="O102">
        <f t="shared" ca="1" si="24"/>
        <v>152</v>
      </c>
    </row>
    <row r="103" spans="4:15">
      <c r="D103">
        <f t="shared" si="16"/>
        <v>1</v>
      </c>
      <c r="E103" s="177">
        <f t="shared" si="25"/>
        <v>44511.323564814818</v>
      </c>
      <c r="F103" s="175">
        <f t="shared" si="18"/>
        <v>44511</v>
      </c>
      <c r="G103" s="183">
        <f t="shared" si="26"/>
        <v>44501</v>
      </c>
      <c r="H103">
        <f t="shared" si="27"/>
        <v>2</v>
      </c>
      <c r="I103" t="str">
        <f t="shared" si="21"/>
        <v>2021.11.2</v>
      </c>
      <c r="J103" t="str">
        <f t="shared" si="22"/>
        <v>FQ</v>
      </c>
      <c r="K103" t="str">
        <f ca="1">VLOOKUP("mo1_" &amp; $J103,'GPlan-Translations'!$B$328:$C$331,2,FALSE)</f>
        <v>First Q.</v>
      </c>
      <c r="L103" t="str">
        <f t="shared" si="28"/>
        <v>FQ</v>
      </c>
      <c r="M103" t="str">
        <f ca="1">VLOOKUP("mo2_" &amp; $L103,'GPlan-Translations'!$B$333:$C$336,2,FALSE)</f>
        <v>(</v>
      </c>
      <c r="N103" s="335" t="str">
        <f ca="1">VLOOKUP("mo3_" &amp; $L103,'GPlan-Translations'!$B$338:$C$341,2,FALSE)</f>
        <v></v>
      </c>
      <c r="O103">
        <f t="shared" ca="1" si="24"/>
        <v>130</v>
      </c>
    </row>
    <row r="104" spans="4:15">
      <c r="D104">
        <f t="shared" si="16"/>
        <v>2</v>
      </c>
      <c r="E104" s="177">
        <f t="shared" si="25"/>
        <v>44519.164895833332</v>
      </c>
      <c r="F104" s="175">
        <f t="shared" si="18"/>
        <v>44519</v>
      </c>
      <c r="G104" s="183">
        <f t="shared" si="26"/>
        <v>44501</v>
      </c>
      <c r="H104">
        <f t="shared" si="27"/>
        <v>3</v>
      </c>
      <c r="I104" t="str">
        <f t="shared" si="21"/>
        <v>2021.11.3</v>
      </c>
      <c r="J104" t="str">
        <f t="shared" si="22"/>
        <v>FM</v>
      </c>
      <c r="K104" t="str">
        <f ca="1">VLOOKUP("mo1_" &amp; $J104,'GPlan-Translations'!$B$328:$C$331,2,FALSE)</f>
        <v>Full M.</v>
      </c>
      <c r="L104" t="str">
        <f t="shared" si="28"/>
        <v>FM</v>
      </c>
      <c r="M104" t="str">
        <f ca="1">VLOOKUP("mo2_" &amp; $L104,'GPlan-Translations'!$B$333:$C$336,2,FALSE)</f>
        <v>O</v>
      </c>
      <c r="N104" s="335" t="str">
        <f ca="1">VLOOKUP("mo3_" &amp; $L104,'GPlan-Translations'!$B$338:$C$341,2,FALSE)</f>
        <v></v>
      </c>
      <c r="O104">
        <f t="shared" ca="1" si="24"/>
        <v>129</v>
      </c>
    </row>
    <row r="105" spans="4:15">
      <c r="D105">
        <f t="shared" si="16"/>
        <v>3</v>
      </c>
      <c r="E105" s="177">
        <f t="shared" si="25"/>
        <v>44527.31077546296</v>
      </c>
      <c r="F105" s="175">
        <f t="shared" si="18"/>
        <v>44527</v>
      </c>
      <c r="G105" s="183">
        <f t="shared" si="26"/>
        <v>44501</v>
      </c>
      <c r="H105">
        <f t="shared" si="27"/>
        <v>4</v>
      </c>
      <c r="I105" t="str">
        <f t="shared" si="21"/>
        <v>2021.11.4</v>
      </c>
      <c r="J105" t="str">
        <f t="shared" si="22"/>
        <v>LQ</v>
      </c>
      <c r="K105" t="str">
        <f ca="1">VLOOKUP("mo1_" &amp; $J105,'GPlan-Translations'!$B$328:$C$331,2,FALSE)</f>
        <v>Last Q.</v>
      </c>
      <c r="L105" t="str">
        <f t="shared" si="28"/>
        <v>LQ</v>
      </c>
      <c r="M105" t="str">
        <f ca="1">VLOOKUP("mo2_" &amp; $L105,'GPlan-Translations'!$B$333:$C$336,2,FALSE)</f>
        <v>)</v>
      </c>
      <c r="N105" s="335" t="str">
        <f ca="1">VLOOKUP("mo3_" &amp; $L105,'GPlan-Translations'!$B$338:$C$341,2,FALSE)</f>
        <v></v>
      </c>
      <c r="O105">
        <f t="shared" ca="1" si="24"/>
        <v>131</v>
      </c>
    </row>
    <row r="106" spans="4:15">
      <c r="D106">
        <f t="shared" si="16"/>
        <v>0</v>
      </c>
      <c r="E106" s="177">
        <f t="shared" si="25"/>
        <v>44534.11310185185</v>
      </c>
      <c r="F106" s="175">
        <f t="shared" si="18"/>
        <v>44534</v>
      </c>
      <c r="G106" s="183">
        <f t="shared" si="26"/>
        <v>44531</v>
      </c>
      <c r="H106">
        <f t="shared" si="27"/>
        <v>1</v>
      </c>
      <c r="I106" t="str">
        <f t="shared" si="21"/>
        <v>2021.12.1</v>
      </c>
      <c r="J106" t="str">
        <f t="shared" si="22"/>
        <v>NM</v>
      </c>
      <c r="K106" t="str">
        <f ca="1">VLOOKUP("mo1_" &amp; $J106,'GPlan-Translations'!$B$328:$C$331,2,FALSE)</f>
        <v>New M.</v>
      </c>
      <c r="L106" t="str">
        <f t="shared" si="28"/>
        <v>NM</v>
      </c>
      <c r="M106" t="str">
        <f ca="1">VLOOKUP("mo2_" &amp; $L106,'GPlan-Translations'!$B$333:$C$336,2,FALSE)</f>
        <v>: :</v>
      </c>
      <c r="N106" s="335" t="str">
        <f ca="1">VLOOKUP("mo3_" &amp; $L106,'GPlan-Translations'!$B$338:$C$341,2,FALSE)</f>
        <v></v>
      </c>
      <c r="O106">
        <f t="shared" ca="1" si="24"/>
        <v>152</v>
      </c>
    </row>
    <row r="107" spans="4:15">
      <c r="D107">
        <f t="shared" si="16"/>
        <v>1</v>
      </c>
      <c r="E107" s="177">
        <f t="shared" si="25"/>
        <v>44540.85796296296</v>
      </c>
      <c r="F107" s="175">
        <f t="shared" si="18"/>
        <v>44540</v>
      </c>
      <c r="G107" s="183">
        <f t="shared" si="26"/>
        <v>44531</v>
      </c>
      <c r="H107">
        <f t="shared" si="27"/>
        <v>2</v>
      </c>
      <c r="I107" t="str">
        <f t="shared" si="21"/>
        <v>2021.12.2</v>
      </c>
      <c r="J107" t="str">
        <f t="shared" si="22"/>
        <v>FQ</v>
      </c>
      <c r="K107" t="str">
        <f ca="1">VLOOKUP("mo1_" &amp; $J107,'GPlan-Translations'!$B$328:$C$331,2,FALSE)</f>
        <v>First Q.</v>
      </c>
      <c r="L107" t="str">
        <f t="shared" si="28"/>
        <v>FQ</v>
      </c>
      <c r="M107" t="str">
        <f ca="1">VLOOKUP("mo2_" &amp; $L107,'GPlan-Translations'!$B$333:$C$336,2,FALSE)</f>
        <v>(</v>
      </c>
      <c r="N107" s="335" t="str">
        <f ca="1">VLOOKUP("mo3_" &amp; $L107,'GPlan-Translations'!$B$338:$C$341,2,FALSE)</f>
        <v></v>
      </c>
      <c r="O107">
        <f t="shared" ca="1" si="24"/>
        <v>130</v>
      </c>
    </row>
    <row r="108" spans="4:15">
      <c r="D108">
        <f t="shared" si="16"/>
        <v>2</v>
      </c>
      <c r="E108" s="177">
        <f t="shared" si="25"/>
        <v>44548.98296296296</v>
      </c>
      <c r="F108" s="175">
        <f t="shared" si="18"/>
        <v>44548</v>
      </c>
      <c r="G108" s="183">
        <f t="shared" si="26"/>
        <v>44531</v>
      </c>
      <c r="H108">
        <f t="shared" si="27"/>
        <v>3</v>
      </c>
      <c r="I108" t="str">
        <f t="shared" si="21"/>
        <v>2021.12.3</v>
      </c>
      <c r="J108" t="str">
        <f t="shared" si="22"/>
        <v>FM</v>
      </c>
      <c r="K108" t="str">
        <f ca="1">VLOOKUP("mo1_" &amp; $J108,'GPlan-Translations'!$B$328:$C$331,2,FALSE)</f>
        <v>Full M.</v>
      </c>
      <c r="L108" t="str">
        <f t="shared" si="28"/>
        <v>FM</v>
      </c>
      <c r="M108" t="str">
        <f ca="1">VLOOKUP("mo2_" &amp; $L108,'GPlan-Translations'!$B$333:$C$336,2,FALSE)</f>
        <v>O</v>
      </c>
      <c r="N108" s="335" t="str">
        <f ca="1">VLOOKUP("mo3_" &amp; $L108,'GPlan-Translations'!$B$338:$C$341,2,FALSE)</f>
        <v></v>
      </c>
      <c r="O108">
        <f t="shared" ca="1" si="24"/>
        <v>129</v>
      </c>
    </row>
    <row r="109" spans="4:15">
      <c r="D109">
        <f t="shared" si="16"/>
        <v>3</v>
      </c>
      <c r="E109" s="177">
        <f t="shared" si="25"/>
        <v>44556.891412037039</v>
      </c>
      <c r="F109" s="175">
        <f t="shared" si="18"/>
        <v>44556</v>
      </c>
      <c r="G109" s="183">
        <f t="shared" si="26"/>
        <v>44531</v>
      </c>
      <c r="H109">
        <f t="shared" si="27"/>
        <v>4</v>
      </c>
      <c r="I109" t="str">
        <f t="shared" si="21"/>
        <v>2021.12.4</v>
      </c>
      <c r="J109" t="str">
        <f t="shared" si="22"/>
        <v>LQ</v>
      </c>
      <c r="K109" t="str">
        <f ca="1">VLOOKUP("mo1_" &amp; $J109,'GPlan-Translations'!$B$328:$C$331,2,FALSE)</f>
        <v>Last Q.</v>
      </c>
      <c r="L109" t="str">
        <f t="shared" si="28"/>
        <v>LQ</v>
      </c>
      <c r="M109" t="str">
        <f ca="1">VLOOKUP("mo2_" &amp; $L109,'GPlan-Translations'!$B$333:$C$336,2,FALSE)</f>
        <v>)</v>
      </c>
      <c r="N109" s="335" t="str">
        <f ca="1">VLOOKUP("mo3_" &amp; $L109,'GPlan-Translations'!$B$338:$C$341,2,FALSE)</f>
        <v></v>
      </c>
      <c r="O109">
        <f t="shared" ca="1" si="24"/>
        <v>131</v>
      </c>
    </row>
    <row r="110" spans="4:15">
      <c r="D110">
        <f t="shared" si="16"/>
        <v>0</v>
      </c>
      <c r="E110" s="177">
        <f t="shared" si="25"/>
        <v>44563.564814814818</v>
      </c>
      <c r="F110" s="175">
        <f t="shared" si="18"/>
        <v>44563</v>
      </c>
      <c r="G110" s="183">
        <f t="shared" si="26"/>
        <v>44562</v>
      </c>
      <c r="H110">
        <f t="shared" si="27"/>
        <v>1</v>
      </c>
      <c r="I110" t="str">
        <f t="shared" si="21"/>
        <v>2022.01.1</v>
      </c>
      <c r="J110" t="str">
        <f t="shared" si="22"/>
        <v>NM</v>
      </c>
      <c r="K110" t="str">
        <f ca="1">VLOOKUP("mo1_" &amp; $J110,'GPlan-Translations'!$B$328:$C$331,2,FALSE)</f>
        <v>New M.</v>
      </c>
      <c r="L110" t="str">
        <f t="shared" si="28"/>
        <v>NM</v>
      </c>
      <c r="M110" t="str">
        <f ca="1">VLOOKUP("mo2_" &amp; $L110,'GPlan-Translations'!$B$333:$C$336,2,FALSE)</f>
        <v>: :</v>
      </c>
      <c r="N110" s="335" t="str">
        <f ca="1">VLOOKUP("mo3_" &amp; $L110,'GPlan-Translations'!$B$338:$C$341,2,FALSE)</f>
        <v></v>
      </c>
      <c r="O110">
        <f t="shared" ca="1" si="24"/>
        <v>152</v>
      </c>
    </row>
    <row r="111" spans="4:15">
      <c r="D111">
        <f t="shared" si="16"/>
        <v>1</v>
      </c>
      <c r="E111" s="177">
        <f t="shared" si="25"/>
        <v>44570.549479166664</v>
      </c>
      <c r="F111" s="175">
        <f t="shared" si="18"/>
        <v>44570</v>
      </c>
      <c r="G111" s="183">
        <f t="shared" si="26"/>
        <v>44562</v>
      </c>
      <c r="H111">
        <f t="shared" si="27"/>
        <v>2</v>
      </c>
      <c r="I111" t="str">
        <f t="shared" si="21"/>
        <v>2022.01.2</v>
      </c>
      <c r="J111" t="str">
        <f t="shared" si="22"/>
        <v>FQ</v>
      </c>
      <c r="K111" t="str">
        <f ca="1">VLOOKUP("mo1_" &amp; $J111,'GPlan-Translations'!$B$328:$C$331,2,FALSE)</f>
        <v>First Q.</v>
      </c>
      <c r="L111" t="str">
        <f t="shared" si="28"/>
        <v>FQ</v>
      </c>
      <c r="M111" t="str">
        <f ca="1">VLOOKUP("mo2_" &amp; $L111,'GPlan-Translations'!$B$333:$C$336,2,FALSE)</f>
        <v>(</v>
      </c>
      <c r="N111" s="335" t="str">
        <f ca="1">VLOOKUP("mo3_" &amp; $L111,'GPlan-Translations'!$B$338:$C$341,2,FALSE)</f>
        <v></v>
      </c>
      <c r="O111">
        <f t="shared" ca="1" si="24"/>
        <v>130</v>
      </c>
    </row>
    <row r="112" spans="4:15">
      <c r="D112">
        <f t="shared" si="16"/>
        <v>2</v>
      </c>
      <c r="E112" s="177">
        <f t="shared" si="25"/>
        <v>44578.783622685187</v>
      </c>
      <c r="F112" s="175">
        <f t="shared" si="18"/>
        <v>44578</v>
      </c>
      <c r="G112" s="183">
        <f t="shared" si="26"/>
        <v>44562</v>
      </c>
      <c r="H112">
        <f t="shared" si="27"/>
        <v>3</v>
      </c>
      <c r="I112" t="str">
        <f t="shared" si="21"/>
        <v>2022.01.3</v>
      </c>
      <c r="J112" t="str">
        <f t="shared" si="22"/>
        <v>FM</v>
      </c>
      <c r="K112" t="str">
        <f ca="1">VLOOKUP("mo1_" &amp; $J112,'GPlan-Translations'!$B$328:$C$331,2,FALSE)</f>
        <v>Full M.</v>
      </c>
      <c r="L112" t="str">
        <f t="shared" si="28"/>
        <v>FM</v>
      </c>
      <c r="M112" t="str">
        <f ca="1">VLOOKUP("mo2_" &amp; $L112,'GPlan-Translations'!$B$333:$C$336,2,FALSE)</f>
        <v>O</v>
      </c>
      <c r="N112" s="335" t="str">
        <f ca="1">VLOOKUP("mo3_" &amp; $L112,'GPlan-Translations'!$B$338:$C$341,2,FALSE)</f>
        <v></v>
      </c>
      <c r="O112">
        <f t="shared" ca="1" si="24"/>
        <v>129</v>
      </c>
    </row>
    <row r="113" spans="4:15">
      <c r="D113">
        <f t="shared" si="16"/>
        <v>3</v>
      </c>
      <c r="E113" s="177">
        <f t="shared" si="25"/>
        <v>44586.361678240741</v>
      </c>
      <c r="F113" s="175">
        <f t="shared" si="18"/>
        <v>44586</v>
      </c>
      <c r="G113" s="183">
        <f t="shared" si="26"/>
        <v>44562</v>
      </c>
      <c r="H113">
        <f t="shared" si="27"/>
        <v>4</v>
      </c>
      <c r="I113" t="str">
        <f t="shared" si="21"/>
        <v>2022.01.4</v>
      </c>
      <c r="J113" t="str">
        <f t="shared" si="22"/>
        <v>LQ</v>
      </c>
      <c r="K113" t="str">
        <f ca="1">VLOOKUP("mo1_" &amp; $J113,'GPlan-Translations'!$B$328:$C$331,2,FALSE)</f>
        <v>Last Q.</v>
      </c>
      <c r="L113" t="str">
        <f t="shared" si="28"/>
        <v>LQ</v>
      </c>
      <c r="M113" t="str">
        <f ca="1">VLOOKUP("mo2_" &amp; $L113,'GPlan-Translations'!$B$333:$C$336,2,FALSE)</f>
        <v>)</v>
      </c>
      <c r="N113" s="335" t="str">
        <f ca="1">VLOOKUP("mo3_" &amp; $L113,'GPlan-Translations'!$B$338:$C$341,2,FALSE)</f>
        <v></v>
      </c>
      <c r="O113">
        <f t="shared" ca="1" si="24"/>
        <v>131</v>
      </c>
    </row>
    <row r="114" spans="4:15">
      <c r="D114">
        <f t="shared" si="16"/>
        <v>0</v>
      </c>
      <c r="E114" s="177">
        <f t="shared" si="25"/>
        <v>44593.031840277778</v>
      </c>
      <c r="F114" s="175">
        <f t="shared" si="18"/>
        <v>44593</v>
      </c>
      <c r="G114" s="183">
        <f t="shared" si="26"/>
        <v>44593</v>
      </c>
      <c r="H114">
        <f t="shared" si="27"/>
        <v>1</v>
      </c>
      <c r="I114" t="str">
        <f t="shared" si="21"/>
        <v>2022.02.1</v>
      </c>
      <c r="J114" t="str">
        <f t="shared" si="22"/>
        <v>NM</v>
      </c>
      <c r="K114" t="str">
        <f ca="1">VLOOKUP("mo1_" &amp; $J114,'GPlan-Translations'!$B$328:$C$331,2,FALSE)</f>
        <v>New M.</v>
      </c>
      <c r="L114" t="str">
        <f t="shared" si="28"/>
        <v>NM</v>
      </c>
      <c r="M114" t="str">
        <f ca="1">VLOOKUP("mo2_" &amp; $L114,'GPlan-Translations'!$B$333:$C$336,2,FALSE)</f>
        <v>: :</v>
      </c>
      <c r="N114" s="335" t="str">
        <f ca="1">VLOOKUP("mo3_" &amp; $L114,'GPlan-Translations'!$B$338:$C$341,2,FALSE)</f>
        <v></v>
      </c>
      <c r="O114">
        <f t="shared" ca="1" si="24"/>
        <v>152</v>
      </c>
    </row>
    <row r="115" spans="4:15">
      <c r="D115">
        <f t="shared" si="16"/>
        <v>1</v>
      </c>
      <c r="E115" s="177">
        <f t="shared" ref="E115:E117" si="29">MONDPHASE(E114+5, D115, $C$10)</f>
        <v>44600.368090277778</v>
      </c>
      <c r="F115" s="175">
        <f t="shared" ref="F115:F117" si="30">INT(E115)</f>
        <v>44600</v>
      </c>
      <c r="G115" s="183">
        <f t="shared" ref="G115:G117" si="31">DATE(YEAR(F115),MONTH(F115),1)</f>
        <v>44593</v>
      </c>
      <c r="H115">
        <f t="shared" ref="H115:H117" si="32">IF(G115&lt;&gt;G114,1,H114+1)</f>
        <v>2</v>
      </c>
      <c r="I115" t="str">
        <f t="shared" ref="I115:I117" si="33">YEAR(G115) &amp; "." &amp; TEXT(MONTH(G115),"00") &amp; "." &amp; H115</f>
        <v>2022.02.2</v>
      </c>
      <c r="J115" t="str">
        <f t="shared" si="22"/>
        <v>FQ</v>
      </c>
      <c r="K115" t="str">
        <f ca="1">VLOOKUP("mo1_" &amp; $J115,'GPlan-Translations'!$B$328:$C$331,2,FALSE)</f>
        <v>First Q.</v>
      </c>
      <c r="L115" t="str">
        <f t="shared" ref="L115:L117" si="34">IF($C$9&gt;=0,J115,IF(J115="FQ","LQ",IF(J115="LQ","FQ",J115)))</f>
        <v>FQ</v>
      </c>
      <c r="M115" t="str">
        <f ca="1">VLOOKUP("mo2_" &amp; $L115,'GPlan-Translations'!$B$333:$C$336,2,FALSE)</f>
        <v>(</v>
      </c>
      <c r="N115" s="335" t="str">
        <f ca="1">VLOOKUP("mo3_" &amp; $L115,'GPlan-Translations'!$B$338:$C$341,2,FALSE)</f>
        <v></v>
      </c>
      <c r="O115">
        <f t="shared" ref="O115:O117" ca="1" si="35">CODE(N115)</f>
        <v>130</v>
      </c>
    </row>
    <row r="116" spans="4:15">
      <c r="D116">
        <f t="shared" si="16"/>
        <v>2</v>
      </c>
      <c r="E116" s="177">
        <f t="shared" si="29"/>
        <v>44608.497546296298</v>
      </c>
      <c r="F116" s="175">
        <f t="shared" si="30"/>
        <v>44608</v>
      </c>
      <c r="G116" s="183">
        <f t="shared" si="31"/>
        <v>44593</v>
      </c>
      <c r="H116">
        <f t="shared" si="32"/>
        <v>3</v>
      </c>
      <c r="I116" t="str">
        <f t="shared" si="33"/>
        <v>2022.02.3</v>
      </c>
      <c r="J116" t="str">
        <f t="shared" si="22"/>
        <v>FM</v>
      </c>
      <c r="K116" t="str">
        <f ca="1">VLOOKUP("mo1_" &amp; $J116,'GPlan-Translations'!$B$328:$C$331,2,FALSE)</f>
        <v>Full M.</v>
      </c>
      <c r="L116" t="str">
        <f t="shared" si="34"/>
        <v>FM</v>
      </c>
      <c r="M116" t="str">
        <f ca="1">VLOOKUP("mo2_" &amp; $L116,'GPlan-Translations'!$B$333:$C$336,2,FALSE)</f>
        <v>O</v>
      </c>
      <c r="N116" s="335" t="str">
        <f ca="1">VLOOKUP("mo3_" &amp; $L116,'GPlan-Translations'!$B$338:$C$341,2,FALSE)</f>
        <v></v>
      </c>
      <c r="O116">
        <f t="shared" ca="1" si="35"/>
        <v>129</v>
      </c>
    </row>
    <row r="117" spans="4:15">
      <c r="D117">
        <f t="shared" si="16"/>
        <v>3</v>
      </c>
      <c r="E117" s="177">
        <f t="shared" si="29"/>
        <v>44615.730752314812</v>
      </c>
      <c r="F117" s="175">
        <f t="shared" si="30"/>
        <v>44615</v>
      </c>
      <c r="G117" s="183">
        <f t="shared" si="31"/>
        <v>44593</v>
      </c>
      <c r="H117">
        <f t="shared" si="32"/>
        <v>4</v>
      </c>
      <c r="I117" t="str">
        <f t="shared" si="33"/>
        <v>2022.02.4</v>
      </c>
      <c r="J117" t="str">
        <f t="shared" si="22"/>
        <v>LQ</v>
      </c>
      <c r="K117" t="str">
        <f ca="1">VLOOKUP("mo1_" &amp; $J117,'GPlan-Translations'!$B$328:$C$331,2,FALSE)</f>
        <v>Last Q.</v>
      </c>
      <c r="L117" t="str">
        <f t="shared" si="34"/>
        <v>LQ</v>
      </c>
      <c r="M117" t="str">
        <f ca="1">VLOOKUP("mo2_" &amp; $L117,'GPlan-Translations'!$B$333:$C$336,2,FALSE)</f>
        <v>)</v>
      </c>
      <c r="N117" s="335" t="str">
        <f ca="1">VLOOKUP("mo3_" &amp; $L117,'GPlan-Translations'!$B$338:$C$341,2,FALSE)</f>
        <v></v>
      </c>
      <c r="O117">
        <f t="shared" ca="1" si="35"/>
        <v>131</v>
      </c>
    </row>
  </sheetData>
  <pageMargins left="0.511811024" right="0.511811024" top="0.78740157499999996" bottom="0.78740157499999996" header="0.31496062000000002" footer="0.31496062000000002"/>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4F63DB5-5675-4877-9998-9E76566A0E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12</vt:i4>
      </vt:variant>
      <vt:variant>
        <vt:lpstr>Intervalos Nomeados</vt:lpstr>
      </vt:variant>
      <vt:variant>
        <vt:i4>48</vt:i4>
      </vt:variant>
    </vt:vector>
  </HeadingPairs>
  <TitlesOfParts>
    <vt:vector size="60" baseType="lpstr">
      <vt:lpstr>Options</vt:lpstr>
      <vt:lpstr>Personal Data</vt:lpstr>
      <vt:lpstr>Holidays</vt:lpstr>
      <vt:lpstr>Calendar</vt:lpstr>
      <vt:lpstr>Weekly-Left</vt:lpstr>
      <vt:lpstr>Weekly-Right</vt:lpstr>
      <vt:lpstr>Monthly-Left</vt:lpstr>
      <vt:lpstr>Monthly-Right</vt:lpstr>
      <vt:lpstr>GCal-XML</vt:lpstr>
      <vt:lpstr>GPlan-Translations</vt:lpstr>
      <vt:lpstr>Cities</vt:lpstr>
      <vt:lpstr>Moon Calendar</vt:lpstr>
      <vt:lpstr>Calendar!Area_de_impressao</vt:lpstr>
      <vt:lpstr>Holidays!Area_de_impressao</vt:lpstr>
      <vt:lpstr>'Monthly-Left'!Area_de_impressao</vt:lpstr>
      <vt:lpstr>'Monthly-Right'!Area_de_impressao</vt:lpstr>
      <vt:lpstr>'Personal Data'!Area_de_impressao</vt:lpstr>
      <vt:lpstr>'Weekly-Left'!Area_de_impressao</vt:lpstr>
      <vt:lpstr>'Weekly-Right'!Area_de_impressao</vt:lpstr>
      <vt:lpstr>CitiesList2</vt:lpstr>
      <vt:lpstr>CityCustomName</vt:lpstr>
      <vt:lpstr>CitySelected</vt:lpstr>
      <vt:lpstr>DreamsPrintArea</vt:lpstr>
      <vt:lpstr>EventsPrintArea</vt:lpstr>
      <vt:lpstr>Files1CheckList</vt:lpstr>
      <vt:lpstr>Files2CheckList</vt:lpstr>
      <vt:lpstr>GCalFolder</vt:lpstr>
      <vt:lpstr>GPlanFolderPath</vt:lpstr>
      <vt:lpstr>GPlanPdfFileName</vt:lpstr>
      <vt:lpstr>HoursList</vt:lpstr>
      <vt:lpstr>LanguageFile</vt:lpstr>
      <vt:lpstr>LifePurposePrintArea</vt:lpstr>
      <vt:lpstr>MapsGoogle</vt:lpstr>
      <vt:lpstr>MonthCurrent</vt:lpstr>
      <vt:lpstr>'Monthly-Left'!monthName</vt:lpstr>
      <vt:lpstr>'Monthly-Right'!monthName</vt:lpstr>
      <vt:lpstr>MonthNumber</vt:lpstr>
      <vt:lpstr>MonthPrevious</vt:lpstr>
      <vt:lpstr>MonthPrint</vt:lpstr>
      <vt:lpstr>NumPages</vt:lpstr>
      <vt:lpstr>OptionsListGCal</vt:lpstr>
      <vt:lpstr>OptionsListMoon</vt:lpstr>
      <vt:lpstr>PersonalitiesPrintArea</vt:lpstr>
      <vt:lpstr>selectedContact</vt:lpstr>
      <vt:lpstr>selectedDreams</vt:lpstr>
      <vt:lpstr>selectedLanguage</vt:lpstr>
      <vt:lpstr>selectedLifePurpose</vt:lpstr>
      <vt:lpstr>selectedLocation</vt:lpstr>
      <vt:lpstr>selectedMonth</vt:lpstr>
      <vt:lpstr>selectedMonthly</vt:lpstr>
      <vt:lpstr>selectedPersonalities</vt:lpstr>
      <vt:lpstr>selectedReunions</vt:lpstr>
      <vt:lpstr>selectedSquared</vt:lpstr>
      <vt:lpstr>selectedWeek</vt:lpstr>
      <vt:lpstr>selectedYear</vt:lpstr>
      <vt:lpstr>ShellCommandLine</vt:lpstr>
      <vt:lpstr>XMLConnectionName</vt:lpstr>
      <vt:lpstr>XMLFolder</vt:lpstr>
      <vt:lpstr>XmlMapName</vt:lpstr>
      <vt:lpstr>Year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psaraujo</dc:creator>
  <cp:lastModifiedBy>Sergio</cp:lastModifiedBy>
  <cp:lastPrinted>2019-06-03T15:48:11Z</cp:lastPrinted>
  <dcterms:created xsi:type="dcterms:W3CDTF">2018-11-22T20:52:06Z</dcterms:created>
  <dcterms:modified xsi:type="dcterms:W3CDTF">2020-02-09T20:28:53Z</dcterms:modified>
</cp:coreProperties>
</file>