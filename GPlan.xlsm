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drawings/drawing10.xml" ContentType="application/vnd.openxmlformats-officedocument.drawing+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always" codeName="EstaPasta_de_trabalho" defaultThemeVersion="124226"/>
  <mc:AlternateContent xmlns:mc="http://schemas.openxmlformats.org/markup-compatibility/2006">
    <mc:Choice Requires="x15">
      <x15ac:absPath xmlns:x15ac="http://schemas.microsoft.com/office/spreadsheetml/2010/11/ac" url="C:\Users\gopala\Documents\GPlan\gplan17\"/>
    </mc:Choice>
  </mc:AlternateContent>
  <bookViews>
    <workbookView xWindow="0" yWindow="0" windowWidth="20490" windowHeight="7755" tabRatio="825"/>
  </bookViews>
  <sheets>
    <sheet name="Index" sheetId="42" r:id="rId1"/>
    <sheet name="Personal Data" sheetId="7" r:id="rId2"/>
    <sheet name="Quotes" sheetId="18" r:id="rId3"/>
    <sheet name="GCal-Translations" sheetId="74" r:id="rId4"/>
    <sheet name="Holydays" sheetId="20" r:id="rId5"/>
    <sheet name="GPlan-Translations" sheetId="68" r:id="rId6"/>
    <sheet name="GCal-DB" sheetId="86" state="hidden" r:id="rId7"/>
    <sheet name="Cover" sheetId="1" state="hidden" r:id="rId8"/>
    <sheet name="Title" sheetId="2" state="hidden" r:id="rId9"/>
    <sheet name="Purpose 1" sheetId="5" state="hidden" r:id="rId10"/>
    <sheet name="Purpose 2" sheetId="87" state="hidden" r:id="rId11"/>
    <sheet name="Calendar" sheetId="8" state="hidden" r:id="rId12"/>
    <sheet name="Monthly-Left" sheetId="82" state="hidden" r:id="rId13"/>
    <sheet name="Monthly-Right" sheetId="85" state="hidden" r:id="rId14"/>
    <sheet name="Weekly-Left" sheetId="69" state="hidden" r:id="rId15"/>
    <sheet name="Weekly-Right" sheetId="13" state="hidden" r:id="rId16"/>
    <sheet name="Contact-Left" sheetId="15" state="hidden" r:id="rId17"/>
    <sheet name="Contact-Right" sheetId="16" state="hidden" r:id="rId18"/>
    <sheet name="Notes-Left" sheetId="30" state="hidden" r:id="rId19"/>
    <sheet name="Notes-Right" sheetId="31" state="hidden" r:id="rId20"/>
  </sheets>
  <functionGroups builtInGroupCount="18"/>
  <externalReferences>
    <externalReference r:id="rId21"/>
  </externalReferences>
  <definedNames>
    <definedName name="_xlnm.Print_Area" localSheetId="11">Calendar!$A$1:$AB$51</definedName>
    <definedName name="_xlnm.Print_Area" localSheetId="16">'Contact-Left'!$A$1:$E$45</definedName>
    <definedName name="_xlnm.Print_Area" localSheetId="17">'Contact-Right'!$A$1:$E$45</definedName>
    <definedName name="_xlnm.Print_Area" localSheetId="7">Cover!$A$1:$I$44</definedName>
    <definedName name="_xlnm.Print_Area" localSheetId="4">Holydays!$B$1:$G$48</definedName>
    <definedName name="_xlnm.Print_Area" localSheetId="12">'Monthly-Left'!$D$1:$K$49</definedName>
    <definedName name="_xlnm.Print_Area" localSheetId="13">'Monthly-Right'!$A$1:$L$49</definedName>
    <definedName name="_xlnm.Print_Area" localSheetId="18">'Notes-Left'!$A$1:$E$45</definedName>
    <definedName name="_xlnm.Print_Area" localSheetId="19">'Notes-Right'!$A$1:$E$45</definedName>
    <definedName name="_xlnm.Print_Area" localSheetId="1">'Personal Data'!$A$1:$AF$39</definedName>
    <definedName name="_xlnm.Print_Area" localSheetId="9">'Purpose 1'!$A$1:$L$46</definedName>
    <definedName name="_xlnm.Print_Area" localSheetId="10">'Purpose 2'!$A$1:$L$77</definedName>
    <definedName name="_xlnm.Print_Area" localSheetId="14">'Weekly-Left'!$A$1:$R$53</definedName>
    <definedName name="_xlnm.Print_Area" localSheetId="15">'Weekly-Right'!$A$1:$X$53</definedName>
    <definedName name="ctrs.rl" localSheetId="0">Index!$AE$1:$AE$212</definedName>
    <definedName name="loc.rl_1" localSheetId="0">Index!$AG$1:$AG$2387</definedName>
    <definedName name="monthName" localSheetId="12">'Monthly-Left'!$AB$6</definedName>
    <definedName name="monthName" localSheetId="13">'Monthly-Right'!$AC$6</definedName>
    <definedName name="selectedContact">Index!$S$18</definedName>
    <definedName name="selectedMonth" localSheetId="12">'Monthly-Left'!$AB$3</definedName>
    <definedName name="selectedMonth" localSheetId="13">'Monthly-Right'!$AC$3</definedName>
    <definedName name="selectedPlannerType" localSheetId="12">[1]Vaishnava!#REF!</definedName>
    <definedName name="selectedPlannerType" localSheetId="13">[1]Vaishnava!#REF!</definedName>
    <definedName name="selectedPlannerType" localSheetId="10">[1]Vaishnava!#REF!</definedName>
    <definedName name="selectedWeek" localSheetId="12">[1]Vaishnava!#REF!</definedName>
    <definedName name="selectedWeek" localSheetId="13">[1]Vaishnava!#REF!</definedName>
    <definedName name="selectedWeek" localSheetId="10">[1]Vaishnava!#REF!</definedName>
    <definedName name="selectedYear" localSheetId="12">[1]Vaishnava!#REF!</definedName>
    <definedName name="selectedYear" localSheetId="13">[1]Vaishnava!#REF!</definedName>
    <definedName name="selectedYear" localSheetId="10">[1]Vaishnava!#REF!</definedName>
  </definedNames>
  <calcPr calcId="152511"/>
  <extLst>
    <ext xmlns:x14="http://schemas.microsoft.com/office/spreadsheetml/2009/9/main" uri="{8193D73E-4604-4355-AFF4-8A2333D13BE4}">
      <x14:definedNames>
        <x14:definedName name="GetWeekDayOfMonth">
          <x14:argumentDescriptions count="4">
            <x14:argumentDescription index="0">é o ano desejado</x14:argumentDescription>
            <x14:argumentDescription index="1">é o mês desejado, de 1 a 12 (se menor que 1 será considerado 1 e se maior que 12 será considerado 12)</x14:argumentDescription>
            <x14:argumentDescription index="2">é o 'dia da semana' procurado no mês: 1 para domingo, 2 para segunda, 3 para terça, 4 para quarta, 5 para quinta, 6 para sexta e 7 para sábado (se menor que 1 será considerado 1 e se maior que 7 será considerado 7)</x14:argumentDescription>
            <x14:argumentDescription index="3">1 para retornar o primeiro 'dia da semana' (domingo, segunda, etc.) do mês, 2 para segundo, 3 para terceiro, 4 para quarto, e maior que 4 para o último (retorna o quarto se não houver um quinto  'dia da semana' no mês)</x14:argumentDescription>
          </x14:argumentDescriptions>
        </x14:definedName>
      </x14:definedNames>
    </ext>
    <ext xmlns:x14="http://schemas.microsoft.com/office/spreadsheetml/2009/9/main" uri="{79F54976-1DA5-4618-B147-4CDE4B953A38}">
      <x14:workbookPr discardImageEditData="1"/>
    </ext>
  </extLst>
</workbook>
</file>

<file path=xl/calcChain.xml><?xml version="1.0" encoding="utf-8"?>
<calcChain xmlns="http://schemas.openxmlformats.org/spreadsheetml/2006/main">
  <c r="AE33" i="13" l="1"/>
  <c r="AL36" i="13"/>
  <c r="AF36" i="13"/>
  <c r="AK36" i="13"/>
  <c r="AH36" i="13"/>
  <c r="AI36" i="13"/>
  <c r="AG36" i="13"/>
  <c r="AJ36" i="13"/>
  <c r="AC3" i="85" l="1"/>
  <c r="AH9" i="13"/>
  <c r="U9" i="69"/>
  <c r="F14" i="68" l="1"/>
  <c r="AD38" i="8" l="1"/>
  <c r="AH43" i="8" s="1"/>
  <c r="AQ49" i="8" l="1"/>
  <c r="AF40" i="8"/>
  <c r="AO41" i="8"/>
  <c r="AQ47" i="8"/>
  <c r="AZ41" i="8"/>
  <c r="AF46" i="8"/>
  <c r="AO42" i="8"/>
  <c r="AH54" i="8"/>
  <c r="AQ45" i="8"/>
  <c r="AF43" i="8"/>
  <c r="AF41" i="8"/>
  <c r="AF45" i="8"/>
  <c r="AF48" i="8"/>
  <c r="AF50" i="8"/>
  <c r="AF53" i="8"/>
  <c r="AO40" i="8"/>
  <c r="AO44" i="8"/>
  <c r="AO46" i="8"/>
  <c r="AO49" i="8"/>
  <c r="AO51" i="8"/>
  <c r="AO53" i="8"/>
  <c r="AX40" i="8"/>
  <c r="AX42" i="8"/>
  <c r="AX44" i="8"/>
  <c r="AX46" i="8"/>
  <c r="AX48" i="8"/>
  <c r="AX50" i="8"/>
  <c r="AX52" i="8"/>
  <c r="AX54" i="8"/>
  <c r="AZ54" i="8"/>
  <c r="AF42" i="8"/>
  <c r="AF44" i="8"/>
  <c r="AF47" i="8"/>
  <c r="AF49" i="8"/>
  <c r="AF52" i="8"/>
  <c r="AF51" i="8"/>
  <c r="AF54" i="8"/>
  <c r="AO43" i="8"/>
  <c r="AO45" i="8"/>
  <c r="AO48" i="8"/>
  <c r="AO50" i="8"/>
  <c r="AO52" i="8"/>
  <c r="AO54" i="8"/>
  <c r="AX41" i="8"/>
  <c r="AX43" i="8"/>
  <c r="AX45" i="8"/>
  <c r="AX47" i="8"/>
  <c r="AX49" i="8"/>
  <c r="AX51" i="8"/>
  <c r="AX53" i="8"/>
  <c r="AO47" i="8"/>
  <c r="AZ42" i="8"/>
  <c r="S45" i="42"/>
  <c r="S46" i="42" s="1"/>
  <c r="S47" i="42" l="1"/>
  <c r="S52" i="42" l="1"/>
  <c r="S44" i="42"/>
  <c r="AF3" i="42" l="1"/>
  <c r="AF5" i="42"/>
  <c r="AF7" i="42"/>
  <c r="AF9" i="42"/>
  <c r="AF11" i="42"/>
  <c r="AF13" i="42"/>
  <c r="AF15" i="42"/>
  <c r="AF17" i="42"/>
  <c r="AF19" i="42"/>
  <c r="AF21" i="42"/>
  <c r="AF23" i="42"/>
  <c r="AF25" i="42"/>
  <c r="AF27" i="42"/>
  <c r="AF29" i="42"/>
  <c r="AF31" i="42"/>
  <c r="AF33" i="42"/>
  <c r="AF35" i="42"/>
  <c r="AF37" i="42"/>
  <c r="AF39" i="42"/>
  <c r="AF41" i="42"/>
  <c r="AF43" i="42"/>
  <c r="AF45" i="42"/>
  <c r="AF47" i="42"/>
  <c r="AF49" i="42"/>
  <c r="AF51" i="42"/>
  <c r="AF53" i="42"/>
  <c r="AF55" i="42"/>
  <c r="AF57" i="42"/>
  <c r="AF59" i="42"/>
  <c r="AF61" i="42"/>
  <c r="AF63" i="42"/>
  <c r="AF65" i="42"/>
  <c r="AF67" i="42"/>
  <c r="AF69" i="42"/>
  <c r="AF71" i="42"/>
  <c r="AF73" i="42"/>
  <c r="AF75" i="42"/>
  <c r="AF77" i="42"/>
  <c r="AF79" i="42"/>
  <c r="AF81" i="42"/>
  <c r="AF83" i="42"/>
  <c r="AF85" i="42"/>
  <c r="AF87" i="42"/>
  <c r="AF89" i="42"/>
  <c r="AF91" i="42"/>
  <c r="AF93" i="42"/>
  <c r="AF95" i="42"/>
  <c r="AF97" i="42"/>
  <c r="AF99" i="42"/>
  <c r="AF101" i="42"/>
  <c r="AF103" i="42"/>
  <c r="AF2" i="42"/>
  <c r="AF4" i="42"/>
  <c r="AF6" i="42"/>
  <c r="AF8" i="42"/>
  <c r="AF10" i="42"/>
  <c r="AF12" i="42"/>
  <c r="AF14" i="42"/>
  <c r="AF16" i="42"/>
  <c r="AF18" i="42"/>
  <c r="AF20" i="42"/>
  <c r="AF22" i="42"/>
  <c r="AF24" i="42"/>
  <c r="AF26" i="42"/>
  <c r="AF28" i="42"/>
  <c r="AF30" i="42"/>
  <c r="AF32" i="42"/>
  <c r="AF34" i="42"/>
  <c r="AF36" i="42"/>
  <c r="AF38" i="42"/>
  <c r="AF40" i="42"/>
  <c r="AF42" i="42"/>
  <c r="AF44" i="42"/>
  <c r="AF46" i="42"/>
  <c r="AF48" i="42"/>
  <c r="AF50" i="42"/>
  <c r="AF52" i="42"/>
  <c r="AF54" i="42"/>
  <c r="AF56" i="42"/>
  <c r="AF58" i="42"/>
  <c r="AF60" i="42"/>
  <c r="AF62" i="42"/>
  <c r="AF64" i="42"/>
  <c r="AF66" i="42"/>
  <c r="AF68" i="42"/>
  <c r="AF70" i="42"/>
  <c r="AF72" i="42"/>
  <c r="AF74" i="42"/>
  <c r="AF76" i="42"/>
  <c r="AF78" i="42"/>
  <c r="AF80" i="42"/>
  <c r="AF82" i="42"/>
  <c r="AF84" i="42"/>
  <c r="AF86" i="42"/>
  <c r="AF88" i="42"/>
  <c r="AF90" i="42"/>
  <c r="AF92" i="42"/>
  <c r="AF94" i="42"/>
  <c r="AF96" i="42"/>
  <c r="AF98" i="42"/>
  <c r="AF100" i="42"/>
  <c r="AF102" i="42"/>
  <c r="AF104" i="42"/>
  <c r="AF106" i="42"/>
  <c r="AF108" i="42"/>
  <c r="AF110" i="42"/>
  <c r="AF112" i="42"/>
  <c r="AF114" i="42"/>
  <c r="AF116" i="42"/>
  <c r="AF118" i="42"/>
  <c r="AF120" i="42"/>
  <c r="AF122" i="42"/>
  <c r="AF124" i="42"/>
  <c r="AF126" i="42"/>
  <c r="AF128" i="42"/>
  <c r="AF130" i="42"/>
  <c r="AF132" i="42"/>
  <c r="AF134" i="42"/>
  <c r="AF136" i="42"/>
  <c r="AF138" i="42"/>
  <c r="AF140" i="42"/>
  <c r="AF142" i="42"/>
  <c r="AF144" i="42"/>
  <c r="AF146" i="42"/>
  <c r="AF148" i="42"/>
  <c r="AF150" i="42"/>
  <c r="AF152" i="42"/>
  <c r="AF154" i="42"/>
  <c r="AF156" i="42"/>
  <c r="AF158" i="42"/>
  <c r="AF160" i="42"/>
  <c r="AF162" i="42"/>
  <c r="AF164" i="42"/>
  <c r="AF166" i="42"/>
  <c r="AF168" i="42"/>
  <c r="AF170" i="42"/>
  <c r="AF107" i="42"/>
  <c r="AF111" i="42"/>
  <c r="AF115" i="42"/>
  <c r="AF119" i="42"/>
  <c r="AF123" i="42"/>
  <c r="AF127" i="42"/>
  <c r="AF131" i="42"/>
  <c r="AF135" i="42"/>
  <c r="AF139" i="42"/>
  <c r="AF143" i="42"/>
  <c r="AF147" i="42"/>
  <c r="AF151" i="42"/>
  <c r="AF155" i="42"/>
  <c r="AF159" i="42"/>
  <c r="AF163" i="42"/>
  <c r="AF167" i="42"/>
  <c r="AF171" i="42"/>
  <c r="AF173" i="42"/>
  <c r="AF175" i="42"/>
  <c r="AF177" i="42"/>
  <c r="AF179" i="42"/>
  <c r="AF181" i="42"/>
  <c r="AF183" i="42"/>
  <c r="AF185" i="42"/>
  <c r="AF187" i="42"/>
  <c r="AF189" i="42"/>
  <c r="AF191" i="42"/>
  <c r="AF193" i="42"/>
  <c r="AF195" i="42"/>
  <c r="AF197" i="42"/>
  <c r="AF199" i="42"/>
  <c r="AF201" i="42"/>
  <c r="AF203" i="42"/>
  <c r="AF205" i="42"/>
  <c r="AF207" i="42"/>
  <c r="AF209" i="42"/>
  <c r="AF211" i="42"/>
  <c r="AF213" i="42"/>
  <c r="AF215" i="42"/>
  <c r="AF217" i="42"/>
  <c r="AF219" i="42"/>
  <c r="AF221" i="42"/>
  <c r="AF223" i="42"/>
  <c r="AF225" i="42"/>
  <c r="AF227" i="42"/>
  <c r="AF229" i="42"/>
  <c r="AF231" i="42"/>
  <c r="AF233" i="42"/>
  <c r="AF235" i="42"/>
  <c r="AF237" i="42"/>
  <c r="AF239" i="42"/>
  <c r="AF241" i="42"/>
  <c r="AF243" i="42"/>
  <c r="AF245" i="42"/>
  <c r="AF247" i="42"/>
  <c r="AF249" i="42"/>
  <c r="AF251" i="42"/>
  <c r="AF253" i="42"/>
  <c r="AF255" i="42"/>
  <c r="AF257" i="42"/>
  <c r="AF259" i="42"/>
  <c r="AF261" i="42"/>
  <c r="AF263" i="42"/>
  <c r="AF265" i="42"/>
  <c r="AF267" i="42"/>
  <c r="AF269" i="42"/>
  <c r="AF271" i="42"/>
  <c r="AF273" i="42"/>
  <c r="AF275" i="42"/>
  <c r="AF277" i="42"/>
  <c r="AF279" i="42"/>
  <c r="AF281" i="42"/>
  <c r="AF283" i="42"/>
  <c r="AF285" i="42"/>
  <c r="AF287" i="42"/>
  <c r="AF289" i="42"/>
  <c r="AF291" i="42"/>
  <c r="AF293" i="42"/>
  <c r="AF295" i="42"/>
  <c r="AF297" i="42"/>
  <c r="AF299" i="42"/>
  <c r="AF301" i="42"/>
  <c r="AF303" i="42"/>
  <c r="AF305" i="42"/>
  <c r="AF307" i="42"/>
  <c r="AF105" i="42"/>
  <c r="AF109" i="42"/>
  <c r="AF113" i="42"/>
  <c r="AF117" i="42"/>
  <c r="AF121" i="42"/>
  <c r="AF125" i="42"/>
  <c r="AF129" i="42"/>
  <c r="AF133" i="42"/>
  <c r="AF137" i="42"/>
  <c r="AF141" i="42"/>
  <c r="AF145" i="42"/>
  <c r="AF149" i="42"/>
  <c r="AF153" i="42"/>
  <c r="AF157" i="42"/>
  <c r="AF161" i="42"/>
  <c r="AF165" i="42"/>
  <c r="AF169" i="42"/>
  <c r="AF172" i="42"/>
  <c r="AF174" i="42"/>
  <c r="AF176" i="42"/>
  <c r="AF178" i="42"/>
  <c r="AF180" i="42"/>
  <c r="AF182" i="42"/>
  <c r="AF184" i="42"/>
  <c r="AF186" i="42"/>
  <c r="AF188" i="42"/>
  <c r="AF190" i="42"/>
  <c r="AF192" i="42"/>
  <c r="AF194" i="42"/>
  <c r="AF196" i="42"/>
  <c r="AF198" i="42"/>
  <c r="AF200" i="42"/>
  <c r="AF202" i="42"/>
  <c r="AF204" i="42"/>
  <c r="AF206" i="42"/>
  <c r="AF208" i="42"/>
  <c r="AF210" i="42"/>
  <c r="AF212" i="42"/>
  <c r="AF214" i="42"/>
  <c r="AF216" i="42"/>
  <c r="AF218" i="42"/>
  <c r="AF220" i="42"/>
  <c r="AF222" i="42"/>
  <c r="AF224" i="42"/>
  <c r="AF226" i="42"/>
  <c r="AF228" i="42"/>
  <c r="AF230" i="42"/>
  <c r="AF232" i="42"/>
  <c r="AF234" i="42"/>
  <c r="AF236" i="42"/>
  <c r="AF238" i="42"/>
  <c r="AF240" i="42"/>
  <c r="AF242" i="42"/>
  <c r="AF244" i="42"/>
  <c r="AF246" i="42"/>
  <c r="AF248" i="42"/>
  <c r="AF250" i="42"/>
  <c r="AF252" i="42"/>
  <c r="AF254" i="42"/>
  <c r="AF256" i="42"/>
  <c r="AF258" i="42"/>
  <c r="AF260" i="42"/>
  <c r="AF262" i="42"/>
  <c r="AF264" i="42"/>
  <c r="AF266" i="42"/>
  <c r="AF268" i="42"/>
  <c r="AF270" i="42"/>
  <c r="AF272" i="42"/>
  <c r="AF274" i="42"/>
  <c r="AF276" i="42"/>
  <c r="AF278" i="42"/>
  <c r="AF280" i="42"/>
  <c r="AF282" i="42"/>
  <c r="AF284" i="42"/>
  <c r="AF286" i="42"/>
  <c r="AF288" i="42"/>
  <c r="AF290" i="42"/>
  <c r="AF292" i="42"/>
  <c r="AF294" i="42"/>
  <c r="AF296" i="42"/>
  <c r="AF298" i="42"/>
  <c r="AF300" i="42"/>
  <c r="AF302" i="42"/>
  <c r="AF304" i="42"/>
  <c r="AF306" i="42"/>
  <c r="AF308" i="42"/>
  <c r="AF310" i="42"/>
  <c r="AF312" i="42"/>
  <c r="AF314" i="42"/>
  <c r="AF316" i="42"/>
  <c r="AF318" i="42"/>
  <c r="AF320" i="42"/>
  <c r="AF322" i="42"/>
  <c r="AF324" i="42"/>
  <c r="AF326" i="42"/>
  <c r="AF328" i="42"/>
  <c r="AF330" i="42"/>
  <c r="AF332" i="42"/>
  <c r="AF334" i="42"/>
  <c r="AF336" i="42"/>
  <c r="AF338" i="42"/>
  <c r="AF340" i="42"/>
  <c r="AF342" i="42"/>
  <c r="AF311" i="42"/>
  <c r="AF315" i="42"/>
  <c r="AF319" i="42"/>
  <c r="AF323" i="42"/>
  <c r="AF327" i="42"/>
  <c r="AF331" i="42"/>
  <c r="AF335" i="42"/>
  <c r="AF339" i="42"/>
  <c r="AF343" i="42"/>
  <c r="AF345" i="42"/>
  <c r="AF347" i="42"/>
  <c r="AF349" i="42"/>
  <c r="AF351" i="42"/>
  <c r="AF353" i="42"/>
  <c r="AF355" i="42"/>
  <c r="AF357" i="42"/>
  <c r="AF359" i="42"/>
  <c r="AF361" i="42"/>
  <c r="AF363" i="42"/>
  <c r="AF365" i="42"/>
  <c r="AF367" i="42"/>
  <c r="AF369" i="42"/>
  <c r="AF371" i="42"/>
  <c r="AF373" i="42"/>
  <c r="AF375" i="42"/>
  <c r="AF377" i="42"/>
  <c r="AF379" i="42"/>
  <c r="AF381" i="42"/>
  <c r="AF383" i="42"/>
  <c r="AF385" i="42"/>
  <c r="AF387" i="42"/>
  <c r="AF389" i="42"/>
  <c r="AF391" i="42"/>
  <c r="AF393" i="42"/>
  <c r="AF395" i="42"/>
  <c r="AF397" i="42"/>
  <c r="AF399" i="42"/>
  <c r="AF401" i="42"/>
  <c r="AF403" i="42"/>
  <c r="AF405" i="42"/>
  <c r="AF407" i="42"/>
  <c r="AF409" i="42"/>
  <c r="AF411" i="42"/>
  <c r="AF413" i="42"/>
  <c r="AF415" i="42"/>
  <c r="AF417" i="42"/>
  <c r="AF419" i="42"/>
  <c r="AF421" i="42"/>
  <c r="AF423" i="42"/>
  <c r="AF425" i="42"/>
  <c r="AF427" i="42"/>
  <c r="AF429" i="42"/>
  <c r="AF431" i="42"/>
  <c r="AF433" i="42"/>
  <c r="AF435" i="42"/>
  <c r="AF437" i="42"/>
  <c r="AF439" i="42"/>
  <c r="AF441" i="42"/>
  <c r="AF443" i="42"/>
  <c r="AF445" i="42"/>
  <c r="AF447" i="42"/>
  <c r="AF449" i="42"/>
  <c r="AF451" i="42"/>
  <c r="AF453" i="42"/>
  <c r="AF455" i="42"/>
  <c r="AF457" i="42"/>
  <c r="AF459" i="42"/>
  <c r="AF461" i="42"/>
  <c r="AF463" i="42"/>
  <c r="AF465" i="42"/>
  <c r="AF467" i="42"/>
  <c r="AF469" i="42"/>
  <c r="AF471" i="42"/>
  <c r="AF473" i="42"/>
  <c r="AF475" i="42"/>
  <c r="AF477" i="42"/>
  <c r="AF479" i="42"/>
  <c r="AF481" i="42"/>
  <c r="AF483" i="42"/>
  <c r="AF485" i="42"/>
  <c r="AF487" i="42"/>
  <c r="AF489" i="42"/>
  <c r="AF491" i="42"/>
  <c r="AF493" i="42"/>
  <c r="AF495" i="42"/>
  <c r="AF497" i="42"/>
  <c r="AF499" i="42"/>
  <c r="AF501" i="42"/>
  <c r="AF503" i="42"/>
  <c r="AF505" i="42"/>
  <c r="AF507" i="42"/>
  <c r="AF509" i="42"/>
  <c r="AF511" i="42"/>
  <c r="AF513" i="42"/>
  <c r="AF515" i="42"/>
  <c r="AF517" i="42"/>
  <c r="AF519" i="42"/>
  <c r="AF521" i="42"/>
  <c r="AF523" i="42"/>
  <c r="AF525" i="42"/>
  <c r="AF527" i="42"/>
  <c r="AF529" i="42"/>
  <c r="AF531" i="42"/>
  <c r="AF533" i="42"/>
  <c r="AF535" i="42"/>
  <c r="AF537" i="42"/>
  <c r="AF539" i="42"/>
  <c r="AF541" i="42"/>
  <c r="AF543" i="42"/>
  <c r="AF545" i="42"/>
  <c r="AF547" i="42"/>
  <c r="AF549" i="42"/>
  <c r="AF551" i="42"/>
  <c r="AF553" i="42"/>
  <c r="AF555" i="42"/>
  <c r="AF557" i="42"/>
  <c r="AF559" i="42"/>
  <c r="AF561" i="42"/>
  <c r="AF563" i="42"/>
  <c r="AF565" i="42"/>
  <c r="AF567" i="42"/>
  <c r="AF569" i="42"/>
  <c r="AF571" i="42"/>
  <c r="AF573" i="42"/>
  <c r="AF575" i="42"/>
  <c r="AF577" i="42"/>
  <c r="AF579" i="42"/>
  <c r="AF581" i="42"/>
  <c r="AF583" i="42"/>
  <c r="AF585" i="42"/>
  <c r="AF587" i="42"/>
  <c r="AF589" i="42"/>
  <c r="AF591" i="42"/>
  <c r="AF593" i="42"/>
  <c r="AF595" i="42"/>
  <c r="AF597" i="42"/>
  <c r="AF599" i="42"/>
  <c r="AF601" i="42"/>
  <c r="AF603" i="42"/>
  <c r="AF605" i="42"/>
  <c r="AF309" i="42"/>
  <c r="AF313" i="42"/>
  <c r="AF317" i="42"/>
  <c r="AF321" i="42"/>
  <c r="AF325" i="42"/>
  <c r="AF329" i="42"/>
  <c r="AF333" i="42"/>
  <c r="AF337" i="42"/>
  <c r="AF341" i="42"/>
  <c r="AF344" i="42"/>
  <c r="AF346" i="42"/>
  <c r="AF348" i="42"/>
  <c r="AF350" i="42"/>
  <c r="AF352" i="42"/>
  <c r="AF354" i="42"/>
  <c r="AF356" i="42"/>
  <c r="AF358" i="42"/>
  <c r="AF360" i="42"/>
  <c r="AF362" i="42"/>
  <c r="AF364" i="42"/>
  <c r="AF366" i="42"/>
  <c r="AF368" i="42"/>
  <c r="AF370" i="42"/>
  <c r="AF372" i="42"/>
  <c r="AF374" i="42"/>
  <c r="AF376" i="42"/>
  <c r="AF378" i="42"/>
  <c r="AF380" i="42"/>
  <c r="AF382" i="42"/>
  <c r="AF384" i="42"/>
  <c r="AF386" i="42"/>
  <c r="AF388" i="42"/>
  <c r="AF390" i="42"/>
  <c r="AF392" i="42"/>
  <c r="AF394" i="42"/>
  <c r="AF396" i="42"/>
  <c r="AF398" i="42"/>
  <c r="AF400" i="42"/>
  <c r="AF402" i="42"/>
  <c r="AF404" i="42"/>
  <c r="AF406" i="42"/>
  <c r="AF408" i="42"/>
  <c r="AF410" i="42"/>
  <c r="AF412" i="42"/>
  <c r="AF414" i="42"/>
  <c r="AF416" i="42"/>
  <c r="AF418" i="42"/>
  <c r="AF420" i="42"/>
  <c r="AF422" i="42"/>
  <c r="AF424" i="42"/>
  <c r="AF426" i="42"/>
  <c r="AF428" i="42"/>
  <c r="AF430" i="42"/>
  <c r="AF432" i="42"/>
  <c r="AF434" i="42"/>
  <c r="AF436" i="42"/>
  <c r="AF438" i="42"/>
  <c r="AF440" i="42"/>
  <c r="AF442" i="42"/>
  <c r="AF444" i="42"/>
  <c r="AF446" i="42"/>
  <c r="AF448" i="42"/>
  <c r="AF450" i="42"/>
  <c r="AF452" i="42"/>
  <c r="AF454" i="42"/>
  <c r="AF456" i="42"/>
  <c r="AF458" i="42"/>
  <c r="AF460" i="42"/>
  <c r="AF462" i="42"/>
  <c r="AF464" i="42"/>
  <c r="AF466" i="42"/>
  <c r="AF468" i="42"/>
  <c r="AF470" i="42"/>
  <c r="AF472" i="42"/>
  <c r="AF474" i="42"/>
  <c r="AF476" i="42"/>
  <c r="AF478" i="42"/>
  <c r="AF480" i="42"/>
  <c r="AF482" i="42"/>
  <c r="AF484" i="42"/>
  <c r="AF486" i="42"/>
  <c r="AF488" i="42"/>
  <c r="AF490" i="42"/>
  <c r="AF492" i="42"/>
  <c r="AF494" i="42"/>
  <c r="AF496" i="42"/>
  <c r="AF498" i="42"/>
  <c r="AF500" i="42"/>
  <c r="AF502" i="42"/>
  <c r="AF504" i="42"/>
  <c r="AF506" i="42"/>
  <c r="AF508" i="42"/>
  <c r="AF510" i="42"/>
  <c r="AF512" i="42"/>
  <c r="AF514" i="42"/>
  <c r="AF516" i="42"/>
  <c r="AF518" i="42"/>
  <c r="AF520" i="42"/>
  <c r="AF522" i="42"/>
  <c r="AF524" i="42"/>
  <c r="AF526" i="42"/>
  <c r="AF528" i="42"/>
  <c r="AF530" i="42"/>
  <c r="AF532" i="42"/>
  <c r="AF534" i="42"/>
  <c r="AF536" i="42"/>
  <c r="AF538" i="42"/>
  <c r="AF540" i="42"/>
  <c r="AF542" i="42"/>
  <c r="AF544" i="42"/>
  <c r="AF546" i="42"/>
  <c r="AF548" i="42"/>
  <c r="AF550" i="42"/>
  <c r="AF552" i="42"/>
  <c r="AF554" i="42"/>
  <c r="AF556" i="42"/>
  <c r="AF558" i="42"/>
  <c r="AF560" i="42"/>
  <c r="AF562" i="42"/>
  <c r="AF564" i="42"/>
  <c r="AF566" i="42"/>
  <c r="AF568" i="42"/>
  <c r="AF570" i="42"/>
  <c r="AF572" i="42"/>
  <c r="AF574" i="42"/>
  <c r="AF576" i="42"/>
  <c r="AF578" i="42"/>
  <c r="AF580" i="42"/>
  <c r="AF582" i="42"/>
  <c r="AF584" i="42"/>
  <c r="AF586" i="42"/>
  <c r="AF588" i="42"/>
  <c r="AF590" i="42"/>
  <c r="AF592" i="42"/>
  <c r="AF594" i="42"/>
  <c r="AF596" i="42"/>
  <c r="AF598" i="42"/>
  <c r="AF600" i="42"/>
  <c r="AF602" i="42"/>
  <c r="AF604" i="42"/>
  <c r="AF606" i="42"/>
  <c r="AF608" i="42"/>
  <c r="AF610" i="42"/>
  <c r="AF612" i="42"/>
  <c r="AF614" i="42"/>
  <c r="AF616" i="42"/>
  <c r="AF618" i="42"/>
  <c r="AF620" i="42"/>
  <c r="AF622" i="42"/>
  <c r="AF624" i="42"/>
  <c r="AF626" i="42"/>
  <c r="AF628" i="42"/>
  <c r="AF630" i="42"/>
  <c r="AF632" i="42"/>
  <c r="AF634" i="42"/>
  <c r="AF636" i="42"/>
  <c r="AF638" i="42"/>
  <c r="AF640" i="42"/>
  <c r="AF642" i="42"/>
  <c r="AF644" i="42"/>
  <c r="AF646" i="42"/>
  <c r="AF648" i="42"/>
  <c r="AF650" i="42"/>
  <c r="AF652" i="42"/>
  <c r="AF654" i="42"/>
  <c r="AF656" i="42"/>
  <c r="AF658" i="42"/>
  <c r="AF660" i="42"/>
  <c r="AF662" i="42"/>
  <c r="AF664" i="42"/>
  <c r="AF609" i="42"/>
  <c r="AF613" i="42"/>
  <c r="AF617" i="42"/>
  <c r="AF621" i="42"/>
  <c r="AF625" i="42"/>
  <c r="AF629" i="42"/>
  <c r="AF633" i="42"/>
  <c r="AF637" i="42"/>
  <c r="AF641" i="42"/>
  <c r="AF645" i="42"/>
  <c r="AF649" i="42"/>
  <c r="AF653" i="42"/>
  <c r="AF657" i="42"/>
  <c r="AF661" i="42"/>
  <c r="AF665" i="42"/>
  <c r="AF667" i="42"/>
  <c r="AF669" i="42"/>
  <c r="AF671" i="42"/>
  <c r="AF673" i="42"/>
  <c r="AF675" i="42"/>
  <c r="AF677" i="42"/>
  <c r="AF679" i="42"/>
  <c r="AF681" i="42"/>
  <c r="AF683" i="42"/>
  <c r="AF685" i="42"/>
  <c r="AF687" i="42"/>
  <c r="AF689" i="42"/>
  <c r="AF691" i="42"/>
  <c r="AF693" i="42"/>
  <c r="AF695" i="42"/>
  <c r="AF697" i="42"/>
  <c r="AF699" i="42"/>
  <c r="AF701" i="42"/>
  <c r="AF703" i="42"/>
  <c r="AF705" i="42"/>
  <c r="AF707" i="42"/>
  <c r="AF709" i="42"/>
  <c r="AF711" i="42"/>
  <c r="AF713" i="42"/>
  <c r="AF715" i="42"/>
  <c r="AF717" i="42"/>
  <c r="AF719" i="42"/>
  <c r="AF721" i="42"/>
  <c r="AF723" i="42"/>
  <c r="AF725" i="42"/>
  <c r="AF727" i="42"/>
  <c r="AF729" i="42"/>
  <c r="AF731" i="42"/>
  <c r="AF733" i="42"/>
  <c r="AF735" i="42"/>
  <c r="AF737" i="42"/>
  <c r="AF739" i="42"/>
  <c r="AF741" i="42"/>
  <c r="AF743" i="42"/>
  <c r="AF745" i="42"/>
  <c r="AF747" i="42"/>
  <c r="AF749" i="42"/>
  <c r="AF751" i="42"/>
  <c r="AF753" i="42"/>
  <c r="AF755" i="42"/>
  <c r="AF757" i="42"/>
  <c r="AF759" i="42"/>
  <c r="AF761" i="42"/>
  <c r="AF763" i="42"/>
  <c r="AF765" i="42"/>
  <c r="AF767" i="42"/>
  <c r="AF769" i="42"/>
  <c r="AF771" i="42"/>
  <c r="AF773" i="42"/>
  <c r="AF775" i="42"/>
  <c r="AF777" i="42"/>
  <c r="AF779" i="42"/>
  <c r="AF781" i="42"/>
  <c r="AF783" i="42"/>
  <c r="AF785" i="42"/>
  <c r="AF787" i="42"/>
  <c r="AF789" i="42"/>
  <c r="AF791" i="42"/>
  <c r="AF793" i="42"/>
  <c r="AF795" i="42"/>
  <c r="AF797" i="42"/>
  <c r="AF799" i="42"/>
  <c r="AF801" i="42"/>
  <c r="AF803" i="42"/>
  <c r="AF805" i="42"/>
  <c r="AF807" i="42"/>
  <c r="AF809" i="42"/>
  <c r="AF811" i="42"/>
  <c r="AF813" i="42"/>
  <c r="AF815" i="42"/>
  <c r="AF817" i="42"/>
  <c r="AF819" i="42"/>
  <c r="AF821" i="42"/>
  <c r="AF823" i="42"/>
  <c r="AF825" i="42"/>
  <c r="AF827" i="42"/>
  <c r="AF829" i="42"/>
  <c r="AF831" i="42"/>
  <c r="AF833" i="42"/>
  <c r="AF835" i="42"/>
  <c r="AF837" i="42"/>
  <c r="AF839" i="42"/>
  <c r="AF841" i="42"/>
  <c r="AF843" i="42"/>
  <c r="AF845" i="42"/>
  <c r="AF847" i="42"/>
  <c r="AF849" i="42"/>
  <c r="AF851" i="42"/>
  <c r="AF853" i="42"/>
  <c r="AF855" i="42"/>
  <c r="AF857" i="42"/>
  <c r="AF859" i="42"/>
  <c r="AF861" i="42"/>
  <c r="AF863" i="42"/>
  <c r="AF865" i="42"/>
  <c r="AF867" i="42"/>
  <c r="AF869" i="42"/>
  <c r="AF871" i="42"/>
  <c r="AF873" i="42"/>
  <c r="AF875" i="42"/>
  <c r="AF877" i="42"/>
  <c r="AF879" i="42"/>
  <c r="AF881" i="42"/>
  <c r="AF883" i="42"/>
  <c r="AF885" i="42"/>
  <c r="AF887" i="42"/>
  <c r="AF889" i="42"/>
  <c r="AF891" i="42"/>
  <c r="AF893" i="42"/>
  <c r="AF895" i="42"/>
  <c r="AF897" i="42"/>
  <c r="AF899" i="42"/>
  <c r="AF901" i="42"/>
  <c r="AF903" i="42"/>
  <c r="AF905" i="42"/>
  <c r="AF907" i="42"/>
  <c r="AF909" i="42"/>
  <c r="AF911" i="42"/>
  <c r="AF913" i="42"/>
  <c r="AF915" i="42"/>
  <c r="AF917" i="42"/>
  <c r="AF919" i="42"/>
  <c r="AF921" i="42"/>
  <c r="AF923" i="42"/>
  <c r="AF925" i="42"/>
  <c r="AF927" i="42"/>
  <c r="AF929" i="42"/>
  <c r="AF931" i="42"/>
  <c r="AF933" i="42"/>
  <c r="AF935" i="42"/>
  <c r="AF937" i="42"/>
  <c r="AF939" i="42"/>
  <c r="AF941" i="42"/>
  <c r="AF943" i="42"/>
  <c r="AF945" i="42"/>
  <c r="AF947" i="42"/>
  <c r="AF949" i="42"/>
  <c r="AF951" i="42"/>
  <c r="AF953" i="42"/>
  <c r="AF955" i="42"/>
  <c r="AF957" i="42"/>
  <c r="AF959" i="42"/>
  <c r="AF961" i="42"/>
  <c r="AF963" i="42"/>
  <c r="AF965" i="42"/>
  <c r="AF967" i="42"/>
  <c r="AF969" i="42"/>
  <c r="AF971" i="42"/>
  <c r="AF973" i="42"/>
  <c r="AF975" i="42"/>
  <c r="AF607" i="42"/>
  <c r="AF611" i="42"/>
  <c r="AF615" i="42"/>
  <c r="AF619" i="42"/>
  <c r="AF623" i="42"/>
  <c r="AF627" i="42"/>
  <c r="AF631" i="42"/>
  <c r="AF635" i="42"/>
  <c r="AF639" i="42"/>
  <c r="AF643" i="42"/>
  <c r="AF647" i="42"/>
  <c r="AF651" i="42"/>
  <c r="AF655" i="42"/>
  <c r="AF659" i="42"/>
  <c r="AF663" i="42"/>
  <c r="AF666" i="42"/>
  <c r="AF668" i="42"/>
  <c r="AF670" i="42"/>
  <c r="AF672" i="42"/>
  <c r="AF674" i="42"/>
  <c r="AF676" i="42"/>
  <c r="AF678" i="42"/>
  <c r="AF680" i="42"/>
  <c r="AF682" i="42"/>
  <c r="AF684" i="42"/>
  <c r="AF686" i="42"/>
  <c r="AF688" i="42"/>
  <c r="AF690" i="42"/>
  <c r="AF692" i="42"/>
  <c r="AF694" i="42"/>
  <c r="AF696" i="42"/>
  <c r="AF698" i="42"/>
  <c r="AF700" i="42"/>
  <c r="AF702" i="42"/>
  <c r="AF704" i="42"/>
  <c r="AF706" i="42"/>
  <c r="AF708" i="42"/>
  <c r="AF710" i="42"/>
  <c r="AF712" i="42"/>
  <c r="AF714" i="42"/>
  <c r="AF716" i="42"/>
  <c r="AF718" i="42"/>
  <c r="AF720" i="42"/>
  <c r="AF722" i="42"/>
  <c r="AF724" i="42"/>
  <c r="AF726" i="42"/>
  <c r="AF728" i="42"/>
  <c r="AF730" i="42"/>
  <c r="AF732" i="42"/>
  <c r="AF734" i="42"/>
  <c r="AF736" i="42"/>
  <c r="AF738" i="42"/>
  <c r="AF740" i="42"/>
  <c r="AF742" i="42"/>
  <c r="AF744" i="42"/>
  <c r="AF746" i="42"/>
  <c r="AF748" i="42"/>
  <c r="AF750" i="42"/>
  <c r="AF752" i="42"/>
  <c r="AF754" i="42"/>
  <c r="AF756" i="42"/>
  <c r="AF758" i="42"/>
  <c r="AF760" i="42"/>
  <c r="AF762" i="42"/>
  <c r="AF764" i="42"/>
  <c r="AF766" i="42"/>
  <c r="AF768" i="42"/>
  <c r="AF770" i="42"/>
  <c r="AF772" i="42"/>
  <c r="AF774" i="42"/>
  <c r="AF776" i="42"/>
  <c r="AF778" i="42"/>
  <c r="AF780" i="42"/>
  <c r="AF782" i="42"/>
  <c r="AF784" i="42"/>
  <c r="AF786" i="42"/>
  <c r="AF788" i="42"/>
  <c r="AF790" i="42"/>
  <c r="AF792" i="42"/>
  <c r="AF794" i="42"/>
  <c r="AF796" i="42"/>
  <c r="AF798" i="42"/>
  <c r="AF800" i="42"/>
  <c r="AF802" i="42"/>
  <c r="AF804" i="42"/>
  <c r="AF806" i="42"/>
  <c r="AF808" i="42"/>
  <c r="AF810" i="42"/>
  <c r="AF812" i="42"/>
  <c r="AF814" i="42"/>
  <c r="AF816" i="42"/>
  <c r="AF818" i="42"/>
  <c r="AF820" i="42"/>
  <c r="AF822" i="42"/>
  <c r="AF824" i="42"/>
  <c r="AF826" i="42"/>
  <c r="AF828" i="42"/>
  <c r="AF830" i="42"/>
  <c r="AF832" i="42"/>
  <c r="AF834" i="42"/>
  <c r="AF836" i="42"/>
  <c r="AF838" i="42"/>
  <c r="AF840" i="42"/>
  <c r="AF842" i="42"/>
  <c r="AF844" i="42"/>
  <c r="AF846" i="42"/>
  <c r="AF848" i="42"/>
  <c r="AF850" i="42"/>
  <c r="AF852" i="42"/>
  <c r="AF854" i="42"/>
  <c r="AF856" i="42"/>
  <c r="AF858" i="42"/>
  <c r="AF860" i="42"/>
  <c r="AF862" i="42"/>
  <c r="AF864" i="42"/>
  <c r="AF866" i="42"/>
  <c r="AF868" i="42"/>
  <c r="AF870" i="42"/>
  <c r="AF872" i="42"/>
  <c r="AF874" i="42"/>
  <c r="AF876" i="42"/>
  <c r="AF878" i="42"/>
  <c r="AF880" i="42"/>
  <c r="AF882" i="42"/>
  <c r="AF884" i="42"/>
  <c r="AF886" i="42"/>
  <c r="AF888" i="42"/>
  <c r="AF890" i="42"/>
  <c r="AF892" i="42"/>
  <c r="AF894" i="42"/>
  <c r="AF896" i="42"/>
  <c r="AF898" i="42"/>
  <c r="AF900" i="42"/>
  <c r="AF902" i="42"/>
  <c r="AF904" i="42"/>
  <c r="AF906" i="42"/>
  <c r="AF908" i="42"/>
  <c r="AF910" i="42"/>
  <c r="AF912" i="42"/>
  <c r="AF914" i="42"/>
  <c r="AF916" i="42"/>
  <c r="AF918" i="42"/>
  <c r="AF920" i="42"/>
  <c r="AF922" i="42"/>
  <c r="AF924" i="42"/>
  <c r="AF926" i="42"/>
  <c r="AF928" i="42"/>
  <c r="AF930" i="42"/>
  <c r="AF932" i="42"/>
  <c r="AF934" i="42"/>
  <c r="AF936" i="42"/>
  <c r="AF938" i="42"/>
  <c r="AF940" i="42"/>
  <c r="AF942" i="42"/>
  <c r="AF944" i="42"/>
  <c r="AF946" i="42"/>
  <c r="AF948" i="42"/>
  <c r="AF950" i="42"/>
  <c r="AF952" i="42"/>
  <c r="AF954" i="42"/>
  <c r="AF956" i="42"/>
  <c r="AF958" i="42"/>
  <c r="AF960" i="42"/>
  <c r="AF962" i="42"/>
  <c r="AF964" i="42"/>
  <c r="AF966" i="42"/>
  <c r="AF968" i="42"/>
  <c r="AF970" i="42"/>
  <c r="AF972" i="42"/>
  <c r="AF974" i="42"/>
  <c r="AF976" i="42"/>
  <c r="AF978" i="42"/>
  <c r="AF980" i="42"/>
  <c r="AF982" i="42"/>
  <c r="AF984" i="42"/>
  <c r="AF986" i="42"/>
  <c r="AF988" i="42"/>
  <c r="AF990" i="42"/>
  <c r="AF992" i="42"/>
  <c r="AF994" i="42"/>
  <c r="AF996" i="42"/>
  <c r="AF998" i="42"/>
  <c r="AF1000" i="42"/>
  <c r="AF1002" i="42"/>
  <c r="AF1004" i="42"/>
  <c r="AF979" i="42"/>
  <c r="AF983" i="42"/>
  <c r="AF987" i="42"/>
  <c r="AF991" i="42"/>
  <c r="AF995" i="42"/>
  <c r="AF999" i="42"/>
  <c r="AF1003" i="42"/>
  <c r="AF1006" i="42"/>
  <c r="AF1008" i="42"/>
  <c r="AF1010" i="42"/>
  <c r="AF1012" i="42"/>
  <c r="AF1014" i="42"/>
  <c r="AF1016" i="42"/>
  <c r="AF1018" i="42"/>
  <c r="AF1020" i="42"/>
  <c r="AF1022" i="42"/>
  <c r="AF1024" i="42"/>
  <c r="AF1026" i="42"/>
  <c r="AF1028" i="42"/>
  <c r="AF1030" i="42"/>
  <c r="AF1032" i="42"/>
  <c r="AF1034" i="42"/>
  <c r="AF1036" i="42"/>
  <c r="AF1038" i="42"/>
  <c r="AF1040" i="42"/>
  <c r="AF1042" i="42"/>
  <c r="AF1044" i="42"/>
  <c r="AF1046" i="42"/>
  <c r="AF1048" i="42"/>
  <c r="AF1050" i="42"/>
  <c r="AF1052" i="42"/>
  <c r="AF1054" i="42"/>
  <c r="AF1056" i="42"/>
  <c r="AF1058" i="42"/>
  <c r="AF1060" i="42"/>
  <c r="AF1062" i="42"/>
  <c r="AF1064" i="42"/>
  <c r="AF1066" i="42"/>
  <c r="AF1068" i="42"/>
  <c r="AF1070" i="42"/>
  <c r="AF1072" i="42"/>
  <c r="AF1074" i="42"/>
  <c r="AF1076" i="42"/>
  <c r="AF1078" i="42"/>
  <c r="AF1080" i="42"/>
  <c r="AF1082" i="42"/>
  <c r="AF1084" i="42"/>
  <c r="AF1086" i="42"/>
  <c r="AF1088" i="42"/>
  <c r="AF1090" i="42"/>
  <c r="AF1092" i="42"/>
  <c r="AF1094" i="42"/>
  <c r="AF1096" i="42"/>
  <c r="AF1098" i="42"/>
  <c r="AF1100" i="42"/>
  <c r="AF1102" i="42"/>
  <c r="AF1104" i="42"/>
  <c r="AF1106" i="42"/>
  <c r="AF1108" i="42"/>
  <c r="AF1110" i="42"/>
  <c r="AF1112" i="42"/>
  <c r="AF1114" i="42"/>
  <c r="AF1116" i="42"/>
  <c r="AF1118" i="42"/>
  <c r="AF1120" i="42"/>
  <c r="AF1122" i="42"/>
  <c r="AF1124" i="42"/>
  <c r="AF1126" i="42"/>
  <c r="AF1128" i="42"/>
  <c r="AF1130" i="42"/>
  <c r="AF1132" i="42"/>
  <c r="AF1134" i="42"/>
  <c r="AF1136" i="42"/>
  <c r="AF1138" i="42"/>
  <c r="AF1140" i="42"/>
  <c r="AF1142" i="42"/>
  <c r="AF1144" i="42"/>
  <c r="AF1146" i="42"/>
  <c r="AF1148" i="42"/>
  <c r="AF1150" i="42"/>
  <c r="AF1152" i="42"/>
  <c r="AF1154" i="42"/>
  <c r="AF1156" i="42"/>
  <c r="AF1158" i="42"/>
  <c r="AF1160" i="42"/>
  <c r="AF1162" i="42"/>
  <c r="AF1164" i="42"/>
  <c r="AF1166" i="42"/>
  <c r="AF1168" i="42"/>
  <c r="AF1170" i="42"/>
  <c r="AF1172" i="42"/>
  <c r="AF1174" i="42"/>
  <c r="AF1176" i="42"/>
  <c r="AF1178" i="42"/>
  <c r="AF1180" i="42"/>
  <c r="AF1182" i="42"/>
  <c r="AF1184" i="42"/>
  <c r="AF1186" i="42"/>
  <c r="AF1188" i="42"/>
  <c r="AF1190" i="42"/>
  <c r="AF1192" i="42"/>
  <c r="AF1194" i="42"/>
  <c r="AF1196" i="42"/>
  <c r="AF1198" i="42"/>
  <c r="AF1200" i="42"/>
  <c r="AF1202" i="42"/>
  <c r="AF1204" i="42"/>
  <c r="AF1206" i="42"/>
  <c r="AF1208" i="42"/>
  <c r="AF1210" i="42"/>
  <c r="AF1212" i="42"/>
  <c r="AF1214" i="42"/>
  <c r="AF1216" i="42"/>
  <c r="AF1218" i="42"/>
  <c r="AF1220" i="42"/>
  <c r="AF1222" i="42"/>
  <c r="AF1224" i="42"/>
  <c r="AF1226" i="42"/>
  <c r="AF1228" i="42"/>
  <c r="AF1230" i="42"/>
  <c r="AF1232" i="42"/>
  <c r="AF1234" i="42"/>
  <c r="AF1236" i="42"/>
  <c r="AF1238" i="42"/>
  <c r="AF1240" i="42"/>
  <c r="AF1242" i="42"/>
  <c r="AF1244" i="42"/>
  <c r="AF1246" i="42"/>
  <c r="AF1248" i="42"/>
  <c r="AF1250" i="42"/>
  <c r="AF1252" i="42"/>
  <c r="AF1254" i="42"/>
  <c r="AF1256" i="42"/>
  <c r="AF1258" i="42"/>
  <c r="AF1260" i="42"/>
  <c r="AF1262" i="42"/>
  <c r="AF1264" i="42"/>
  <c r="AF1266" i="42"/>
  <c r="AF1268" i="42"/>
  <c r="AF1270" i="42"/>
  <c r="AF1272" i="42"/>
  <c r="AF1274" i="42"/>
  <c r="AF1276" i="42"/>
  <c r="AF1278" i="42"/>
  <c r="AF1280" i="42"/>
  <c r="AF1282" i="42"/>
  <c r="AF1284" i="42"/>
  <c r="AF1286" i="42"/>
  <c r="AF1288" i="42"/>
  <c r="AF1290" i="42"/>
  <c r="AF1292" i="42"/>
  <c r="AF1294" i="42"/>
  <c r="AF1296" i="42"/>
  <c r="AF1298" i="42"/>
  <c r="AF1300" i="42"/>
  <c r="AF1302" i="42"/>
  <c r="AF1304" i="42"/>
  <c r="AF1306" i="42"/>
  <c r="AF1308" i="42"/>
  <c r="AF1310" i="42"/>
  <c r="AF1312" i="42"/>
  <c r="AF1314" i="42"/>
  <c r="AF1316" i="42"/>
  <c r="AF1318" i="42"/>
  <c r="AF1320" i="42"/>
  <c r="AF1322" i="42"/>
  <c r="AF1324" i="42"/>
  <c r="AF1326" i="42"/>
  <c r="AF1328" i="42"/>
  <c r="AF1330" i="42"/>
  <c r="AF1332" i="42"/>
  <c r="AF1334" i="42"/>
  <c r="AF1336" i="42"/>
  <c r="AF1338" i="42"/>
  <c r="AF1340" i="42"/>
  <c r="AF1342" i="42"/>
  <c r="AF1344" i="42"/>
  <c r="AF1346" i="42"/>
  <c r="AF1348" i="42"/>
  <c r="AF1350" i="42"/>
  <c r="AF1352" i="42"/>
  <c r="AF1354" i="42"/>
  <c r="AF1356" i="42"/>
  <c r="AF1358" i="42"/>
  <c r="AF1360" i="42"/>
  <c r="AF1362" i="42"/>
  <c r="AF1364" i="42"/>
  <c r="AF1366" i="42"/>
  <c r="AF1368" i="42"/>
  <c r="AF1370" i="42"/>
  <c r="AF1372" i="42"/>
  <c r="AF1374" i="42"/>
  <c r="AF1376" i="42"/>
  <c r="AF1378" i="42"/>
  <c r="AF1380" i="42"/>
  <c r="AF1382" i="42"/>
  <c r="AF1384" i="42"/>
  <c r="AF1386" i="42"/>
  <c r="AF1388" i="42"/>
  <c r="AF1390" i="42"/>
  <c r="AF1392" i="42"/>
  <c r="AF1394" i="42"/>
  <c r="AF1396" i="42"/>
  <c r="AF1398" i="42"/>
  <c r="AF1400" i="42"/>
  <c r="AF1402" i="42"/>
  <c r="AF1404" i="42"/>
  <c r="AF1406" i="42"/>
  <c r="AF1408" i="42"/>
  <c r="AF1410" i="42"/>
  <c r="AF1412" i="42"/>
  <c r="AF1414" i="42"/>
  <c r="AF1416" i="42"/>
  <c r="AF1418" i="42"/>
  <c r="AF1420" i="42"/>
  <c r="AF1422" i="42"/>
  <c r="AF1424" i="42"/>
  <c r="AF1426" i="42"/>
  <c r="AF1428" i="42"/>
  <c r="AF1430" i="42"/>
  <c r="AF1432" i="42"/>
  <c r="AF1434" i="42"/>
  <c r="AF1436" i="42"/>
  <c r="AF1438" i="42"/>
  <c r="AF1440" i="42"/>
  <c r="AF1442" i="42"/>
  <c r="AF1444" i="42"/>
  <c r="AF1446" i="42"/>
  <c r="AF1448" i="42"/>
  <c r="AF1450" i="42"/>
  <c r="AF1452" i="42"/>
  <c r="AF1454" i="42"/>
  <c r="AF1456" i="42"/>
  <c r="AF1458" i="42"/>
  <c r="AF1460" i="42"/>
  <c r="AF1462" i="42"/>
  <c r="AF1464" i="42"/>
  <c r="AF1466" i="42"/>
  <c r="AF1468" i="42"/>
  <c r="AF1470" i="42"/>
  <c r="AF1472" i="42"/>
  <c r="AF1474" i="42"/>
  <c r="AF1476" i="42"/>
  <c r="AF1478" i="42"/>
  <c r="AF1480" i="42"/>
  <c r="AF1482" i="42"/>
  <c r="AF1484" i="42"/>
  <c r="AF1486" i="42"/>
  <c r="AF1488" i="42"/>
  <c r="AF1490" i="42"/>
  <c r="AF1492" i="42"/>
  <c r="AF1494" i="42"/>
  <c r="AF1496" i="42"/>
  <c r="AF1498" i="42"/>
  <c r="AF1500" i="42"/>
  <c r="AF1502" i="42"/>
  <c r="AF1504" i="42"/>
  <c r="AF1506" i="42"/>
  <c r="AF1508" i="42"/>
  <c r="AF1510" i="42"/>
  <c r="AF1512" i="42"/>
  <c r="AF1514" i="42"/>
  <c r="AF1516" i="42"/>
  <c r="AF1518" i="42"/>
  <c r="AF1520" i="42"/>
  <c r="AF1522" i="42"/>
  <c r="AF1524" i="42"/>
  <c r="AF1526" i="42"/>
  <c r="AF1528" i="42"/>
  <c r="AF1530" i="42"/>
  <c r="AF1532" i="42"/>
  <c r="AF1534" i="42"/>
  <c r="AF1536" i="42"/>
  <c r="AF1538" i="42"/>
  <c r="AF1540" i="42"/>
  <c r="AF1542" i="42"/>
  <c r="AF1544" i="42"/>
  <c r="AF1546" i="42"/>
  <c r="AF1548" i="42"/>
  <c r="AF1550" i="42"/>
  <c r="AF1552" i="42"/>
  <c r="AF1554" i="42"/>
  <c r="AF1556" i="42"/>
  <c r="AF1558" i="42"/>
  <c r="AF1560" i="42"/>
  <c r="AF1562" i="42"/>
  <c r="AF1564" i="42"/>
  <c r="AF1566" i="42"/>
  <c r="AF1568" i="42"/>
  <c r="AF1570" i="42"/>
  <c r="AF1572" i="42"/>
  <c r="AF1574" i="42"/>
  <c r="AF1576" i="42"/>
  <c r="AF1578" i="42"/>
  <c r="AF1580" i="42"/>
  <c r="AF1582" i="42"/>
  <c r="AF1584" i="42"/>
  <c r="AF1586" i="42"/>
  <c r="AF1588" i="42"/>
  <c r="AF1590" i="42"/>
  <c r="AF1592" i="42"/>
  <c r="AF1594" i="42"/>
  <c r="AF1596" i="42"/>
  <c r="AF1598" i="42"/>
  <c r="AF1600" i="42"/>
  <c r="AF1602" i="42"/>
  <c r="AF1604" i="42"/>
  <c r="AF1606" i="42"/>
  <c r="AF1608" i="42"/>
  <c r="AF1610" i="42"/>
  <c r="AF1612" i="42"/>
  <c r="AF1614" i="42"/>
  <c r="AF1616" i="42"/>
  <c r="AF1618" i="42"/>
  <c r="AF1620" i="42"/>
  <c r="AF1622" i="42"/>
  <c r="AF1624" i="42"/>
  <c r="AF1626" i="42"/>
  <c r="AF1628" i="42"/>
  <c r="AF1630" i="42"/>
  <c r="AF1632" i="42"/>
  <c r="AF1634" i="42"/>
  <c r="AF1636" i="42"/>
  <c r="AF1638" i="42"/>
  <c r="AF1640" i="42"/>
  <c r="AF1642" i="42"/>
  <c r="AF1644" i="42"/>
  <c r="AF1646" i="42"/>
  <c r="AF977" i="42"/>
  <c r="AF981" i="42"/>
  <c r="AF985" i="42"/>
  <c r="AF989" i="42"/>
  <c r="AF993" i="42"/>
  <c r="AF997" i="42"/>
  <c r="AF1001" i="42"/>
  <c r="AF1005" i="42"/>
  <c r="AF1007" i="42"/>
  <c r="AF1009" i="42"/>
  <c r="AF1011" i="42"/>
  <c r="AF1013" i="42"/>
  <c r="AF1015" i="42"/>
  <c r="AF1017" i="42"/>
  <c r="AF1019" i="42"/>
  <c r="AF1021" i="42"/>
  <c r="AF1023" i="42"/>
  <c r="AF1025" i="42"/>
  <c r="AF1027" i="42"/>
  <c r="AF1029" i="42"/>
  <c r="AF1031" i="42"/>
  <c r="AF1033" i="42"/>
  <c r="AF1035" i="42"/>
  <c r="AF1037" i="42"/>
  <c r="AF1039" i="42"/>
  <c r="AF1041" i="42"/>
  <c r="AF1043" i="42"/>
  <c r="AF1045" i="42"/>
  <c r="AF1047" i="42"/>
  <c r="AF1049" i="42"/>
  <c r="AF1051" i="42"/>
  <c r="AF1053" i="42"/>
  <c r="AF1055" i="42"/>
  <c r="AF1057" i="42"/>
  <c r="AF1059" i="42"/>
  <c r="AF1061" i="42"/>
  <c r="AF1063" i="42"/>
  <c r="AF1065" i="42"/>
  <c r="AF1067" i="42"/>
  <c r="AF1069" i="42"/>
  <c r="AF1071" i="42"/>
  <c r="AF1073" i="42"/>
  <c r="AF1075" i="42"/>
  <c r="AF1077" i="42"/>
  <c r="AF1079" i="42"/>
  <c r="AF1081" i="42"/>
  <c r="AF1083" i="42"/>
  <c r="AF1085" i="42"/>
  <c r="AF1087" i="42"/>
  <c r="AF1089" i="42"/>
  <c r="AF1091" i="42"/>
  <c r="AF1093" i="42"/>
  <c r="AF1095" i="42"/>
  <c r="AF1097" i="42"/>
  <c r="AF1099" i="42"/>
  <c r="AF1101" i="42"/>
  <c r="AF1103" i="42"/>
  <c r="AF1105" i="42"/>
  <c r="AF1107" i="42"/>
  <c r="AF1109" i="42"/>
  <c r="AF1111" i="42"/>
  <c r="AF1113" i="42"/>
  <c r="AF1115" i="42"/>
  <c r="AF1117" i="42"/>
  <c r="AF1119" i="42"/>
  <c r="AF1121" i="42"/>
  <c r="AF1123" i="42"/>
  <c r="AF1125" i="42"/>
  <c r="AF1127" i="42"/>
  <c r="AF1129" i="42"/>
  <c r="AF1131" i="42"/>
  <c r="AF1133" i="42"/>
  <c r="AF1135" i="42"/>
  <c r="AF1137" i="42"/>
  <c r="AF1139" i="42"/>
  <c r="AF1141" i="42"/>
  <c r="AF1143" i="42"/>
  <c r="AF1145" i="42"/>
  <c r="AF1147" i="42"/>
  <c r="AF1149" i="42"/>
  <c r="AF1151" i="42"/>
  <c r="AF1153" i="42"/>
  <c r="AF1155" i="42"/>
  <c r="AF1157" i="42"/>
  <c r="AF1159" i="42"/>
  <c r="AF1161" i="42"/>
  <c r="AF1163" i="42"/>
  <c r="AF1165" i="42"/>
  <c r="AF1167" i="42"/>
  <c r="AF1169" i="42"/>
  <c r="AF1171" i="42"/>
  <c r="AF1173" i="42"/>
  <c r="AF1175" i="42"/>
  <c r="AF1177" i="42"/>
  <c r="AF1179" i="42"/>
  <c r="AF1181" i="42"/>
  <c r="AF1183" i="42"/>
  <c r="AF1185" i="42"/>
  <c r="AF1187" i="42"/>
  <c r="AF1189" i="42"/>
  <c r="AF1191" i="42"/>
  <c r="AF1193" i="42"/>
  <c r="AF1195" i="42"/>
  <c r="AF1197" i="42"/>
  <c r="AF1199" i="42"/>
  <c r="AF1201" i="42"/>
  <c r="AF1203" i="42"/>
  <c r="AF1205" i="42"/>
  <c r="AF1207" i="42"/>
  <c r="AF1209" i="42"/>
  <c r="AF1211" i="42"/>
  <c r="AF1213" i="42"/>
  <c r="AF1215" i="42"/>
  <c r="AF1217" i="42"/>
  <c r="AF1219" i="42"/>
  <c r="AF1221" i="42"/>
  <c r="AF1223" i="42"/>
  <c r="AF1225" i="42"/>
  <c r="AF1227" i="42"/>
  <c r="AF1229" i="42"/>
  <c r="AF1231" i="42"/>
  <c r="AF1233" i="42"/>
  <c r="AF1235" i="42"/>
  <c r="AF1237" i="42"/>
  <c r="AF1239" i="42"/>
  <c r="AF1241" i="42"/>
  <c r="AF1243" i="42"/>
  <c r="AF1245" i="42"/>
  <c r="AF1247" i="42"/>
  <c r="AF1249" i="42"/>
  <c r="AF1251" i="42"/>
  <c r="AF1253" i="42"/>
  <c r="AF1255" i="42"/>
  <c r="AF1257" i="42"/>
  <c r="AF1259" i="42"/>
  <c r="AF1261" i="42"/>
  <c r="AF1263" i="42"/>
  <c r="AF1265" i="42"/>
  <c r="AF1267" i="42"/>
  <c r="AF1269" i="42"/>
  <c r="AF1271" i="42"/>
  <c r="AF1273" i="42"/>
  <c r="AF1275" i="42"/>
  <c r="AF1277" i="42"/>
  <c r="AF1279" i="42"/>
  <c r="AF1281" i="42"/>
  <c r="AF1283" i="42"/>
  <c r="AF1285" i="42"/>
  <c r="AF1287" i="42"/>
  <c r="AF1289" i="42"/>
  <c r="AF1291" i="42"/>
  <c r="AF1293" i="42"/>
  <c r="AF1295" i="42"/>
  <c r="AF1297" i="42"/>
  <c r="AF1299" i="42"/>
  <c r="AF1301" i="42"/>
  <c r="AF1303" i="42"/>
  <c r="AF1305" i="42"/>
  <c r="AF1307" i="42"/>
  <c r="AF1309" i="42"/>
  <c r="AF1311" i="42"/>
  <c r="AF1313" i="42"/>
  <c r="AF1315" i="42"/>
  <c r="AF1317" i="42"/>
  <c r="AF1319" i="42"/>
  <c r="AF1321" i="42"/>
  <c r="AF1323" i="42"/>
  <c r="AF1325" i="42"/>
  <c r="AF1327" i="42"/>
  <c r="AF1329" i="42"/>
  <c r="AF1331" i="42"/>
  <c r="AF1333" i="42"/>
  <c r="AF1335" i="42"/>
  <c r="AF1337" i="42"/>
  <c r="AF1339" i="42"/>
  <c r="AF1341" i="42"/>
  <c r="AF1343" i="42"/>
  <c r="AF1345" i="42"/>
  <c r="AF1347" i="42"/>
  <c r="AF1349" i="42"/>
  <c r="AF1351" i="42"/>
  <c r="AF1353" i="42"/>
  <c r="AF1355" i="42"/>
  <c r="AF1357" i="42"/>
  <c r="AF1359" i="42"/>
  <c r="AF1361" i="42"/>
  <c r="AF1363" i="42"/>
  <c r="AF1365" i="42"/>
  <c r="AF1367" i="42"/>
  <c r="AF1369" i="42"/>
  <c r="AF1371" i="42"/>
  <c r="AF1373" i="42"/>
  <c r="AF1375" i="42"/>
  <c r="AF1377" i="42"/>
  <c r="AF1379" i="42"/>
  <c r="AF1381" i="42"/>
  <c r="AF1383" i="42"/>
  <c r="AF1385" i="42"/>
  <c r="AF1387" i="42"/>
  <c r="AF1389" i="42"/>
  <c r="AF1391" i="42"/>
  <c r="AF1393" i="42"/>
  <c r="AF1395" i="42"/>
  <c r="AF1397" i="42"/>
  <c r="AF1399" i="42"/>
  <c r="AF1401" i="42"/>
  <c r="AF1403" i="42"/>
  <c r="AF1405" i="42"/>
  <c r="AF1407" i="42"/>
  <c r="AF1409" i="42"/>
  <c r="AF1411" i="42"/>
  <c r="AF1413" i="42"/>
  <c r="AF1415" i="42"/>
  <c r="AF1417" i="42"/>
  <c r="AF1419" i="42"/>
  <c r="AF1421" i="42"/>
  <c r="AF1423" i="42"/>
  <c r="AF1425" i="42"/>
  <c r="AF1427" i="42"/>
  <c r="AF1429" i="42"/>
  <c r="AF1431" i="42"/>
  <c r="AF1433" i="42"/>
  <c r="AF1435" i="42"/>
  <c r="AF1437" i="42"/>
  <c r="AF1439" i="42"/>
  <c r="AF1441" i="42"/>
  <c r="AF1443" i="42"/>
  <c r="AF1445" i="42"/>
  <c r="AF1447" i="42"/>
  <c r="AF1449" i="42"/>
  <c r="AF1451" i="42"/>
  <c r="AF1453" i="42"/>
  <c r="AF1455" i="42"/>
  <c r="AF1457" i="42"/>
  <c r="AF1459" i="42"/>
  <c r="AF1461" i="42"/>
  <c r="AF1463" i="42"/>
  <c r="AF1465" i="42"/>
  <c r="AF1467" i="42"/>
  <c r="AF1469" i="42"/>
  <c r="AF1471" i="42"/>
  <c r="AF1473" i="42"/>
  <c r="AF1475" i="42"/>
  <c r="AF1477" i="42"/>
  <c r="AF1479" i="42"/>
  <c r="AF1481" i="42"/>
  <c r="AF1483" i="42"/>
  <c r="AF1485" i="42"/>
  <c r="AF1487" i="42"/>
  <c r="AF1489" i="42"/>
  <c r="AF1491" i="42"/>
  <c r="AF1493" i="42"/>
  <c r="AF1495" i="42"/>
  <c r="AF1497" i="42"/>
  <c r="AF1499" i="42"/>
  <c r="AF1501" i="42"/>
  <c r="AF1503" i="42"/>
  <c r="AF1505" i="42"/>
  <c r="AF1507" i="42"/>
  <c r="AF1509" i="42"/>
  <c r="AF1511" i="42"/>
  <c r="AF1513" i="42"/>
  <c r="AF1515" i="42"/>
  <c r="AF1517" i="42"/>
  <c r="AF1519" i="42"/>
  <c r="AF1521" i="42"/>
  <c r="AF1523" i="42"/>
  <c r="AF1525" i="42"/>
  <c r="AF1527" i="42"/>
  <c r="AF1529" i="42"/>
  <c r="AF1531" i="42"/>
  <c r="AF1533" i="42"/>
  <c r="AF1535" i="42"/>
  <c r="AF1537" i="42"/>
  <c r="AF1539" i="42"/>
  <c r="AF1541" i="42"/>
  <c r="AF1543" i="42"/>
  <c r="AF1545" i="42"/>
  <c r="AF1547" i="42"/>
  <c r="AF1549" i="42"/>
  <c r="AF1551" i="42"/>
  <c r="AF1553" i="42"/>
  <c r="AF1555" i="42"/>
  <c r="AF1557" i="42"/>
  <c r="AF1559" i="42"/>
  <c r="AF1561" i="42"/>
  <c r="AF1563" i="42"/>
  <c r="AF1565" i="42"/>
  <c r="AF1567" i="42"/>
  <c r="AF1569" i="42"/>
  <c r="AF1571" i="42"/>
  <c r="AF1573" i="42"/>
  <c r="AF1575" i="42"/>
  <c r="AF1577" i="42"/>
  <c r="AF1579" i="42"/>
  <c r="AF1581" i="42"/>
  <c r="AF1583" i="42"/>
  <c r="AF1585" i="42"/>
  <c r="AF1587" i="42"/>
  <c r="AF1589" i="42"/>
  <c r="AF1591" i="42"/>
  <c r="AF1593" i="42"/>
  <c r="AF1595" i="42"/>
  <c r="AF1597" i="42"/>
  <c r="AF1599" i="42"/>
  <c r="AF1601" i="42"/>
  <c r="AF1603" i="42"/>
  <c r="AF1605" i="42"/>
  <c r="AF1607" i="42"/>
  <c r="AF1609" i="42"/>
  <c r="AF1611" i="42"/>
  <c r="AF1613" i="42"/>
  <c r="AF1615" i="42"/>
  <c r="AF1617" i="42"/>
  <c r="AF1619" i="42"/>
  <c r="AF1621" i="42"/>
  <c r="AF1623" i="42"/>
  <c r="AF1625" i="42"/>
  <c r="AF1627" i="42"/>
  <c r="AF1629" i="42"/>
  <c r="AF1631" i="42"/>
  <c r="AF1633" i="42"/>
  <c r="AF1635" i="42"/>
  <c r="AF1637" i="42"/>
  <c r="AF1639" i="42"/>
  <c r="AF1641" i="42"/>
  <c r="AF1643" i="42"/>
  <c r="AF1645" i="42"/>
  <c r="AF1647" i="42"/>
  <c r="AF1649" i="42"/>
  <c r="AF1651" i="42"/>
  <c r="AF1653" i="42"/>
  <c r="AF1655" i="42"/>
  <c r="AF1657" i="42"/>
  <c r="AF1659" i="42"/>
  <c r="AF1661" i="42"/>
  <c r="AF1663" i="42"/>
  <c r="AF1665" i="42"/>
  <c r="AF1667" i="42"/>
  <c r="AF1669" i="42"/>
  <c r="AF1671" i="42"/>
  <c r="AF1650" i="42"/>
  <c r="AF1654" i="42"/>
  <c r="AF1658" i="42"/>
  <c r="AF1662" i="42"/>
  <c r="AF1666" i="42"/>
  <c r="AF1670" i="42"/>
  <c r="AF1673" i="42"/>
  <c r="AF1675" i="42"/>
  <c r="AF1677" i="42"/>
  <c r="AF1679" i="42"/>
  <c r="AF1681" i="42"/>
  <c r="AF1683" i="42"/>
  <c r="AF1685" i="42"/>
  <c r="AF1687" i="42"/>
  <c r="AF1689" i="42"/>
  <c r="AF1691" i="42"/>
  <c r="AF1693" i="42"/>
  <c r="AF1695" i="42"/>
  <c r="AF1697" i="42"/>
  <c r="AF1699" i="42"/>
  <c r="AF1701" i="42"/>
  <c r="AF1703" i="42"/>
  <c r="AF1705" i="42"/>
  <c r="AF1707" i="42"/>
  <c r="AF1709" i="42"/>
  <c r="AF1711" i="42"/>
  <c r="AF1713" i="42"/>
  <c r="AF1715" i="42"/>
  <c r="AF1717" i="42"/>
  <c r="AF1719" i="42"/>
  <c r="AF1721" i="42"/>
  <c r="AF1723" i="42"/>
  <c r="AF1725" i="42"/>
  <c r="AF1727" i="42"/>
  <c r="AF1729" i="42"/>
  <c r="AF1731" i="42"/>
  <c r="AF1733" i="42"/>
  <c r="AF1735" i="42"/>
  <c r="AF1737" i="42"/>
  <c r="AF1739" i="42"/>
  <c r="AF1741" i="42"/>
  <c r="AF1743" i="42"/>
  <c r="AF1745" i="42"/>
  <c r="AF1747" i="42"/>
  <c r="AF1749" i="42"/>
  <c r="AF1751" i="42"/>
  <c r="AF1753" i="42"/>
  <c r="AF1755" i="42"/>
  <c r="AF1757" i="42"/>
  <c r="AF1759" i="42"/>
  <c r="AF1761" i="42"/>
  <c r="AF1763" i="42"/>
  <c r="AF1765" i="42"/>
  <c r="AF1767" i="42"/>
  <c r="AF1769" i="42"/>
  <c r="AF1771" i="42"/>
  <c r="AF1773" i="42"/>
  <c r="AF1775" i="42"/>
  <c r="AF1777" i="42"/>
  <c r="AF1779" i="42"/>
  <c r="AF1781" i="42"/>
  <c r="AF1783" i="42"/>
  <c r="AF1785" i="42"/>
  <c r="AF1787" i="42"/>
  <c r="AF1789" i="42"/>
  <c r="AF1791" i="42"/>
  <c r="AF1793" i="42"/>
  <c r="AF1795" i="42"/>
  <c r="AF1797" i="42"/>
  <c r="AF1799" i="42"/>
  <c r="AF1801" i="42"/>
  <c r="AF1803" i="42"/>
  <c r="AF1805" i="42"/>
  <c r="AF1807" i="42"/>
  <c r="AF1809" i="42"/>
  <c r="AF1811" i="42"/>
  <c r="AF1813" i="42"/>
  <c r="AF1815" i="42"/>
  <c r="AF1817" i="42"/>
  <c r="AF1819" i="42"/>
  <c r="AF1821" i="42"/>
  <c r="AF1823" i="42"/>
  <c r="AF1825" i="42"/>
  <c r="AF1827" i="42"/>
  <c r="AF1829" i="42"/>
  <c r="AF1831" i="42"/>
  <c r="AF1833" i="42"/>
  <c r="AF1835" i="42"/>
  <c r="AF1837" i="42"/>
  <c r="AF1839" i="42"/>
  <c r="AF1841" i="42"/>
  <c r="AF1843" i="42"/>
  <c r="AF1845" i="42"/>
  <c r="AF1847" i="42"/>
  <c r="AF1849" i="42"/>
  <c r="AF1851" i="42"/>
  <c r="AF1853" i="42"/>
  <c r="AF1855" i="42"/>
  <c r="AF1857" i="42"/>
  <c r="AF1859" i="42"/>
  <c r="AF1861" i="42"/>
  <c r="AF1863" i="42"/>
  <c r="AF1865" i="42"/>
  <c r="AF1867" i="42"/>
  <c r="AF1869" i="42"/>
  <c r="AF1871" i="42"/>
  <c r="AF1873" i="42"/>
  <c r="AF1875" i="42"/>
  <c r="AF1877" i="42"/>
  <c r="AF1879" i="42"/>
  <c r="AF1881" i="42"/>
  <c r="AF1883" i="42"/>
  <c r="AF1885" i="42"/>
  <c r="AF1887" i="42"/>
  <c r="AF1889" i="42"/>
  <c r="AF1891" i="42"/>
  <c r="AF1893" i="42"/>
  <c r="AF1895" i="42"/>
  <c r="AF1897" i="42"/>
  <c r="AF1899" i="42"/>
  <c r="AF1901" i="42"/>
  <c r="AF1903" i="42"/>
  <c r="AF1905" i="42"/>
  <c r="AF1907" i="42"/>
  <c r="AF1909" i="42"/>
  <c r="AF1911" i="42"/>
  <c r="AF1913" i="42"/>
  <c r="AF1915" i="42"/>
  <c r="AF1917" i="42"/>
  <c r="AF1919" i="42"/>
  <c r="AF1921" i="42"/>
  <c r="AF1923" i="42"/>
  <c r="AF1925" i="42"/>
  <c r="AF1927" i="42"/>
  <c r="AF1929" i="42"/>
  <c r="AF1931" i="42"/>
  <c r="AF1933" i="42"/>
  <c r="AF1935" i="42"/>
  <c r="AF1937" i="42"/>
  <c r="AF1939" i="42"/>
  <c r="AF1941" i="42"/>
  <c r="AF1943" i="42"/>
  <c r="AF1945" i="42"/>
  <c r="AF1947" i="42"/>
  <c r="AF1949" i="42"/>
  <c r="AF1951" i="42"/>
  <c r="AF1953" i="42"/>
  <c r="AF1955" i="42"/>
  <c r="AF1957" i="42"/>
  <c r="AF1959" i="42"/>
  <c r="AF1961" i="42"/>
  <c r="AF1963" i="42"/>
  <c r="AF1965" i="42"/>
  <c r="AF1967" i="42"/>
  <c r="AF1969" i="42"/>
  <c r="AF1971" i="42"/>
  <c r="AF1973" i="42"/>
  <c r="AF1975" i="42"/>
  <c r="AF1977" i="42"/>
  <c r="AF1979" i="42"/>
  <c r="AF1981" i="42"/>
  <c r="AF1983" i="42"/>
  <c r="AF1985" i="42"/>
  <c r="AF1987" i="42"/>
  <c r="AF1989" i="42"/>
  <c r="AF1991" i="42"/>
  <c r="AF1993" i="42"/>
  <c r="AF1995" i="42"/>
  <c r="AF1997" i="42"/>
  <c r="AF1999" i="42"/>
  <c r="AF2001" i="42"/>
  <c r="AF2003" i="42"/>
  <c r="AF2005" i="42"/>
  <c r="AF2007" i="42"/>
  <c r="AF2009" i="42"/>
  <c r="AF2011" i="42"/>
  <c r="AF2013" i="42"/>
  <c r="AF2015" i="42"/>
  <c r="AF2017" i="42"/>
  <c r="AF2019" i="42"/>
  <c r="AF2021" i="42"/>
  <c r="AF2023" i="42"/>
  <c r="AF2025" i="42"/>
  <c r="AF2027" i="42"/>
  <c r="AF2029" i="42"/>
  <c r="AF2031" i="42"/>
  <c r="AF2033" i="42"/>
  <c r="AF2035" i="42"/>
  <c r="AF2037" i="42"/>
  <c r="AF2039" i="42"/>
  <c r="AF2041" i="42"/>
  <c r="AF2043" i="42"/>
  <c r="AF2045" i="42"/>
  <c r="AF2047" i="42"/>
  <c r="AF2049" i="42"/>
  <c r="AF2051" i="42"/>
  <c r="AF2053" i="42"/>
  <c r="AF2055" i="42"/>
  <c r="AF2057" i="42"/>
  <c r="AF2059" i="42"/>
  <c r="AF2061" i="42"/>
  <c r="AF2063" i="42"/>
  <c r="AF2065" i="42"/>
  <c r="AF2067" i="42"/>
  <c r="AF2069" i="42"/>
  <c r="AF2071" i="42"/>
  <c r="AF2073" i="42"/>
  <c r="AF2075" i="42"/>
  <c r="AF2077" i="42"/>
  <c r="AF2079" i="42"/>
  <c r="AF2081" i="42"/>
  <c r="AF2083" i="42"/>
  <c r="AF2085" i="42"/>
  <c r="AF2087" i="42"/>
  <c r="AF2089" i="42"/>
  <c r="AF2091" i="42"/>
  <c r="AF2093" i="42"/>
  <c r="AF2095" i="42"/>
  <c r="AF2097" i="42"/>
  <c r="AF2099" i="42"/>
  <c r="AF2101" i="42"/>
  <c r="AF2103" i="42"/>
  <c r="AF2105" i="42"/>
  <c r="AF2107" i="42"/>
  <c r="AF2109" i="42"/>
  <c r="AF2111" i="42"/>
  <c r="AF2113" i="42"/>
  <c r="AF2115" i="42"/>
  <c r="AF2117" i="42"/>
  <c r="AF2119" i="42"/>
  <c r="AF2121" i="42"/>
  <c r="AF2123" i="42"/>
  <c r="AF2125" i="42"/>
  <c r="AF2127" i="42"/>
  <c r="AF2129" i="42"/>
  <c r="AF2131" i="42"/>
  <c r="AF2133" i="42"/>
  <c r="AF2135" i="42"/>
  <c r="AF2137" i="42"/>
  <c r="AF2139" i="42"/>
  <c r="AF2141" i="42"/>
  <c r="AF2143" i="42"/>
  <c r="AF2145" i="42"/>
  <c r="AF2147" i="42"/>
  <c r="AF2149" i="42"/>
  <c r="AF2151" i="42"/>
  <c r="AF2153" i="42"/>
  <c r="AF2155" i="42"/>
  <c r="AF2157" i="42"/>
  <c r="AF2159" i="42"/>
  <c r="AF2161" i="42"/>
  <c r="AF2163" i="42"/>
  <c r="AF2165" i="42"/>
  <c r="AF2167" i="42"/>
  <c r="AF2169" i="42"/>
  <c r="AF2171" i="42"/>
  <c r="AF2173" i="42"/>
  <c r="AF2175" i="42"/>
  <c r="AF2177" i="42"/>
  <c r="AF2179" i="42"/>
  <c r="AF2181" i="42"/>
  <c r="AF2183" i="42"/>
  <c r="AF2185" i="42"/>
  <c r="AF2187" i="42"/>
  <c r="AF2189" i="42"/>
  <c r="AF2191" i="42"/>
  <c r="AF2193" i="42"/>
  <c r="AF2195" i="42"/>
  <c r="AF2197" i="42"/>
  <c r="AF2199" i="42"/>
  <c r="AF2201" i="42"/>
  <c r="AF2203" i="42"/>
  <c r="AF2205" i="42"/>
  <c r="AF2207" i="42"/>
  <c r="AF2209" i="42"/>
  <c r="AF2211" i="42"/>
  <c r="AF2213" i="42"/>
  <c r="AF2215" i="42"/>
  <c r="AF2217" i="42"/>
  <c r="AF2219" i="42"/>
  <c r="AF2221" i="42"/>
  <c r="AF2223" i="42"/>
  <c r="AF2225" i="42"/>
  <c r="AF2227" i="42"/>
  <c r="AF2229" i="42"/>
  <c r="AF2231" i="42"/>
  <c r="AF2233" i="42"/>
  <c r="AF2235" i="42"/>
  <c r="AF2237" i="42"/>
  <c r="AF2239" i="42"/>
  <c r="AF2241" i="42"/>
  <c r="AF2243" i="42"/>
  <c r="AF2245" i="42"/>
  <c r="AF2247" i="42"/>
  <c r="AF2249" i="42"/>
  <c r="AF2251" i="42"/>
  <c r="AF2253" i="42"/>
  <c r="AF2255" i="42"/>
  <c r="AF2257" i="42"/>
  <c r="AF2259" i="42"/>
  <c r="AF2261" i="42"/>
  <c r="AF2263" i="42"/>
  <c r="AF2265" i="42"/>
  <c r="AF2267" i="42"/>
  <c r="AF2269" i="42"/>
  <c r="AF2271" i="42"/>
  <c r="AF2273" i="42"/>
  <c r="AF2275" i="42"/>
  <c r="AF2277" i="42"/>
  <c r="AF2279" i="42"/>
  <c r="AF2281" i="42"/>
  <c r="AF2283" i="42"/>
  <c r="AF2285" i="42"/>
  <c r="AF2287" i="42"/>
  <c r="AF2289" i="42"/>
  <c r="AF2291" i="42"/>
  <c r="AF2293" i="42"/>
  <c r="AF2295" i="42"/>
  <c r="AF2297" i="42"/>
  <c r="AF2299" i="42"/>
  <c r="AF2301" i="42"/>
  <c r="AF2303" i="42"/>
  <c r="AF2305" i="42"/>
  <c r="AF2307" i="42"/>
  <c r="AF2309" i="42"/>
  <c r="AF2311" i="42"/>
  <c r="AF2313" i="42"/>
  <c r="AF2315" i="42"/>
  <c r="AF2317" i="42"/>
  <c r="AF2319" i="42"/>
  <c r="AF2321" i="42"/>
  <c r="AF2323" i="42"/>
  <c r="AF2325" i="42"/>
  <c r="AF2327" i="42"/>
  <c r="AF2329" i="42"/>
  <c r="AF2331" i="42"/>
  <c r="AF2333" i="42"/>
  <c r="AF2335" i="42"/>
  <c r="AF2337" i="42"/>
  <c r="AF2339" i="42"/>
  <c r="AF2341" i="42"/>
  <c r="AF1648" i="42"/>
  <c r="AF1652" i="42"/>
  <c r="AF1656" i="42"/>
  <c r="AF1660" i="42"/>
  <c r="AF1664" i="42"/>
  <c r="AF1668" i="42"/>
  <c r="AF1672" i="42"/>
  <c r="AF1674" i="42"/>
  <c r="AF1676" i="42"/>
  <c r="AF1678" i="42"/>
  <c r="AF1680" i="42"/>
  <c r="AF1682" i="42"/>
  <c r="AF1684" i="42"/>
  <c r="AF1686" i="42"/>
  <c r="AF1688" i="42"/>
  <c r="AF1690" i="42"/>
  <c r="AF1692" i="42"/>
  <c r="AF1694" i="42"/>
  <c r="AF1696" i="42"/>
  <c r="AF1698" i="42"/>
  <c r="AF1700" i="42"/>
  <c r="AF1702" i="42"/>
  <c r="AF1704" i="42"/>
  <c r="AF1706" i="42"/>
  <c r="AF1708" i="42"/>
  <c r="AF1710" i="42"/>
  <c r="AF1712" i="42"/>
  <c r="AF1714" i="42"/>
  <c r="AF1716" i="42"/>
  <c r="AF1718" i="42"/>
  <c r="AF1720" i="42"/>
  <c r="AF1722" i="42"/>
  <c r="AF1724" i="42"/>
  <c r="AF1726" i="42"/>
  <c r="AF1728" i="42"/>
  <c r="AF1730" i="42"/>
  <c r="AF1732" i="42"/>
  <c r="AF1734" i="42"/>
  <c r="AF1736" i="42"/>
  <c r="AF1738" i="42"/>
  <c r="AF1740" i="42"/>
  <c r="AF1742" i="42"/>
  <c r="AF1744" i="42"/>
  <c r="AF1746" i="42"/>
  <c r="AF1748" i="42"/>
  <c r="AF1750" i="42"/>
  <c r="AF1752" i="42"/>
  <c r="AF1754" i="42"/>
  <c r="AF1756" i="42"/>
  <c r="AF1758" i="42"/>
  <c r="AF1760" i="42"/>
  <c r="AF1762" i="42"/>
  <c r="AF1764" i="42"/>
  <c r="AF1766" i="42"/>
  <c r="AF1768" i="42"/>
  <c r="AF1770" i="42"/>
  <c r="AF1772" i="42"/>
  <c r="AF1774" i="42"/>
  <c r="AF1776" i="42"/>
  <c r="AF1778" i="42"/>
  <c r="AF1780" i="42"/>
  <c r="AF1782" i="42"/>
  <c r="AF1784" i="42"/>
  <c r="AF1786" i="42"/>
  <c r="AF1788" i="42"/>
  <c r="AF1790" i="42"/>
  <c r="AF1792" i="42"/>
  <c r="AF1794" i="42"/>
  <c r="AF1796" i="42"/>
  <c r="AF1798" i="42"/>
  <c r="AF1800" i="42"/>
  <c r="AF1802" i="42"/>
  <c r="AF1804" i="42"/>
  <c r="AF1806" i="42"/>
  <c r="AF1808" i="42"/>
  <c r="AF1810" i="42"/>
  <c r="AF1812" i="42"/>
  <c r="AF1814" i="42"/>
  <c r="AF1816" i="42"/>
  <c r="AF1818" i="42"/>
  <c r="AF1820" i="42"/>
  <c r="AF1822" i="42"/>
  <c r="AF1824" i="42"/>
  <c r="AF1826" i="42"/>
  <c r="AF1828" i="42"/>
  <c r="AF1830" i="42"/>
  <c r="AF1832" i="42"/>
  <c r="AF1834" i="42"/>
  <c r="AF1836" i="42"/>
  <c r="AF1838" i="42"/>
  <c r="AF1840" i="42"/>
  <c r="AF1842" i="42"/>
  <c r="AF1844" i="42"/>
  <c r="AF1846" i="42"/>
  <c r="AF1848" i="42"/>
  <c r="AF1850" i="42"/>
  <c r="AF1852" i="42"/>
  <c r="AF1854" i="42"/>
  <c r="AF1856" i="42"/>
  <c r="AF1858" i="42"/>
  <c r="AF1860" i="42"/>
  <c r="AF1862" i="42"/>
  <c r="AF1864" i="42"/>
  <c r="AF1866" i="42"/>
  <c r="AF1868" i="42"/>
  <c r="AF1870" i="42"/>
  <c r="AF1872" i="42"/>
  <c r="AF1874" i="42"/>
  <c r="AF1876" i="42"/>
  <c r="AF1878" i="42"/>
  <c r="AF1880" i="42"/>
  <c r="AF1882" i="42"/>
  <c r="AF1884" i="42"/>
  <c r="AF1886" i="42"/>
  <c r="AF1888" i="42"/>
  <c r="AF1890" i="42"/>
  <c r="AF1892" i="42"/>
  <c r="AF1894" i="42"/>
  <c r="AF1896" i="42"/>
  <c r="AF1898" i="42"/>
  <c r="AF1900" i="42"/>
  <c r="AF1902" i="42"/>
  <c r="AF1904" i="42"/>
  <c r="AF1906" i="42"/>
  <c r="AF1908" i="42"/>
  <c r="AF1910" i="42"/>
  <c r="AF1912" i="42"/>
  <c r="AF1914" i="42"/>
  <c r="AF1916" i="42"/>
  <c r="AF1918" i="42"/>
  <c r="AF1920" i="42"/>
  <c r="AF1922" i="42"/>
  <c r="AF1924" i="42"/>
  <c r="AF1926" i="42"/>
  <c r="AF1928" i="42"/>
  <c r="AF1930" i="42"/>
  <c r="AF1932" i="42"/>
  <c r="AF1934" i="42"/>
  <c r="AF1936" i="42"/>
  <c r="AF1938" i="42"/>
  <c r="AF1940" i="42"/>
  <c r="AF1942" i="42"/>
  <c r="AF1944" i="42"/>
  <c r="AF1946" i="42"/>
  <c r="AF1948" i="42"/>
  <c r="AF1950" i="42"/>
  <c r="AF1952" i="42"/>
  <c r="AF1954" i="42"/>
  <c r="AF1956" i="42"/>
  <c r="AF1958" i="42"/>
  <c r="AF1960" i="42"/>
  <c r="AF1962" i="42"/>
  <c r="AF1964" i="42"/>
  <c r="AF1966" i="42"/>
  <c r="AF1968" i="42"/>
  <c r="AF1970" i="42"/>
  <c r="AF1972" i="42"/>
  <c r="AF1974" i="42"/>
  <c r="AF1976" i="42"/>
  <c r="AF1978" i="42"/>
  <c r="AF1980" i="42"/>
  <c r="AF1982" i="42"/>
  <c r="AF1984" i="42"/>
  <c r="AF1986" i="42"/>
  <c r="AF1988" i="42"/>
  <c r="AF1990" i="42"/>
  <c r="AF1992" i="42"/>
  <c r="AF1994" i="42"/>
  <c r="AF1996" i="42"/>
  <c r="AF1998" i="42"/>
  <c r="AF2000" i="42"/>
  <c r="AF2002" i="42"/>
  <c r="AF2004" i="42"/>
  <c r="AF2006" i="42"/>
  <c r="AF2008" i="42"/>
  <c r="AF2010" i="42"/>
  <c r="AF2012" i="42"/>
  <c r="AF2014" i="42"/>
  <c r="AF2016" i="42"/>
  <c r="AF2018" i="42"/>
  <c r="AF2020" i="42"/>
  <c r="AF2022" i="42"/>
  <c r="AF2024" i="42"/>
  <c r="AF2026" i="42"/>
  <c r="AF2028" i="42"/>
  <c r="AF2030" i="42"/>
  <c r="AF2032" i="42"/>
  <c r="AF2034" i="42"/>
  <c r="AF2036" i="42"/>
  <c r="AF2038" i="42"/>
  <c r="AF2040" i="42"/>
  <c r="AF2042" i="42"/>
  <c r="AF2044" i="42"/>
  <c r="AF2046" i="42"/>
  <c r="AF2048" i="42"/>
  <c r="AF2050" i="42"/>
  <c r="AF2052" i="42"/>
  <c r="AF2054" i="42"/>
  <c r="AF2056" i="42"/>
  <c r="AF2058" i="42"/>
  <c r="AF2060" i="42"/>
  <c r="AF2062" i="42"/>
  <c r="AF2064" i="42"/>
  <c r="AF2066" i="42"/>
  <c r="AF2068" i="42"/>
  <c r="AF2070" i="42"/>
  <c r="AF2072" i="42"/>
  <c r="AF2074" i="42"/>
  <c r="AF2076" i="42"/>
  <c r="AF2078" i="42"/>
  <c r="AF2080" i="42"/>
  <c r="AF2082" i="42"/>
  <c r="AF2084" i="42"/>
  <c r="AF2086" i="42"/>
  <c r="AF2088" i="42"/>
  <c r="AF2090" i="42"/>
  <c r="AF2092" i="42"/>
  <c r="AF2094" i="42"/>
  <c r="AF2096" i="42"/>
  <c r="AF2098" i="42"/>
  <c r="AF2100" i="42"/>
  <c r="AF2102" i="42"/>
  <c r="AF2104" i="42"/>
  <c r="AF2106" i="42"/>
  <c r="AF2108" i="42"/>
  <c r="AF2110" i="42"/>
  <c r="AF2112" i="42"/>
  <c r="AF2114" i="42"/>
  <c r="AF2116" i="42"/>
  <c r="AF2118" i="42"/>
  <c r="AF2120" i="42"/>
  <c r="AF2122" i="42"/>
  <c r="AF2124" i="42"/>
  <c r="AF2126" i="42"/>
  <c r="AF2128" i="42"/>
  <c r="AF2130" i="42"/>
  <c r="AF2132" i="42"/>
  <c r="AF2134" i="42"/>
  <c r="AF2136" i="42"/>
  <c r="AF2138" i="42"/>
  <c r="AF2140" i="42"/>
  <c r="AF2142" i="42"/>
  <c r="AF2144" i="42"/>
  <c r="AF2146" i="42"/>
  <c r="AF2148" i="42"/>
  <c r="AF2150" i="42"/>
  <c r="AF2152" i="42"/>
  <c r="AF2154" i="42"/>
  <c r="AF2156" i="42"/>
  <c r="AF2158" i="42"/>
  <c r="AF2160" i="42"/>
  <c r="AF2162" i="42"/>
  <c r="AF2164" i="42"/>
  <c r="AF2166" i="42"/>
  <c r="AF2168" i="42"/>
  <c r="AF2170" i="42"/>
  <c r="AF2172" i="42"/>
  <c r="AF2174" i="42"/>
  <c r="AF2176" i="42"/>
  <c r="AF2178" i="42"/>
  <c r="AF2180" i="42"/>
  <c r="AF2182" i="42"/>
  <c r="AF2184" i="42"/>
  <c r="AF2186" i="42"/>
  <c r="AF2188" i="42"/>
  <c r="AF2190" i="42"/>
  <c r="AF2192" i="42"/>
  <c r="AF2194" i="42"/>
  <c r="AF2196" i="42"/>
  <c r="AF2198" i="42"/>
  <c r="AF2200" i="42"/>
  <c r="AF2202" i="42"/>
  <c r="AF2204" i="42"/>
  <c r="AF2206" i="42"/>
  <c r="AF2208" i="42"/>
  <c r="AF2210" i="42"/>
  <c r="AF2212" i="42"/>
  <c r="AF2214" i="42"/>
  <c r="AF2216" i="42"/>
  <c r="AF2218" i="42"/>
  <c r="AF2220" i="42"/>
  <c r="AF2222" i="42"/>
  <c r="AF2224" i="42"/>
  <c r="AF2226" i="42"/>
  <c r="AF2228" i="42"/>
  <c r="AF2230" i="42"/>
  <c r="AF2232" i="42"/>
  <c r="AF2234" i="42"/>
  <c r="AF2236" i="42"/>
  <c r="AF2238" i="42"/>
  <c r="AF2240" i="42"/>
  <c r="AF2242" i="42"/>
  <c r="AF2244" i="42"/>
  <c r="AF2246" i="42"/>
  <c r="AF2248" i="42"/>
  <c r="AF2250" i="42"/>
  <c r="AF2252" i="42"/>
  <c r="AF2254" i="42"/>
  <c r="AF2256" i="42"/>
  <c r="AF2258" i="42"/>
  <c r="AF2260" i="42"/>
  <c r="AF2262" i="42"/>
  <c r="AF2264" i="42"/>
  <c r="AF2266" i="42"/>
  <c r="AF2268" i="42"/>
  <c r="AF2270" i="42"/>
  <c r="AF2272" i="42"/>
  <c r="AF2274" i="42"/>
  <c r="AF2276" i="42"/>
  <c r="AF2278" i="42"/>
  <c r="AF2280" i="42"/>
  <c r="AF2282" i="42"/>
  <c r="AF2284" i="42"/>
  <c r="AF2286" i="42"/>
  <c r="AF2288" i="42"/>
  <c r="AF2290" i="42"/>
  <c r="AF2292" i="42"/>
  <c r="AF2294" i="42"/>
  <c r="AF2296" i="42"/>
  <c r="AF2298" i="42"/>
  <c r="AF2300" i="42"/>
  <c r="AF2302" i="42"/>
  <c r="AF2304" i="42"/>
  <c r="AF2306" i="42"/>
  <c r="AF2308" i="42"/>
  <c r="AF2310" i="42"/>
  <c r="AF2312" i="42"/>
  <c r="AF2314" i="42"/>
  <c r="AF2316" i="42"/>
  <c r="AF2318" i="42"/>
  <c r="AF2320" i="42"/>
  <c r="AF2322" i="42"/>
  <c r="AF2324" i="42"/>
  <c r="AF2326" i="42"/>
  <c r="AF2328" i="42"/>
  <c r="AF2330" i="42"/>
  <c r="AF2332" i="42"/>
  <c r="AF2351" i="42"/>
  <c r="AF2367" i="42"/>
  <c r="AF2373" i="42"/>
  <c r="AF2377" i="42"/>
  <c r="AF2381" i="42"/>
  <c r="AF2385" i="42"/>
  <c r="AF2334" i="42"/>
  <c r="AF2338" i="42"/>
  <c r="AF2342" i="42"/>
  <c r="AF2344" i="42"/>
  <c r="AF2346" i="42"/>
  <c r="AF2348" i="42"/>
  <c r="AF2350" i="42"/>
  <c r="AF2352" i="42"/>
  <c r="AF2354" i="42"/>
  <c r="AF2356" i="42"/>
  <c r="AF2358" i="42"/>
  <c r="AF2360" i="42"/>
  <c r="AF2362" i="42"/>
  <c r="AF2364" i="42"/>
  <c r="AF2366" i="42"/>
  <c r="AF2368" i="42"/>
  <c r="AF2370" i="42"/>
  <c r="AF2372" i="42"/>
  <c r="AF2374" i="42"/>
  <c r="AF2376" i="42"/>
  <c r="AF2378" i="42"/>
  <c r="AF2380" i="42"/>
  <c r="AF2382" i="42"/>
  <c r="AF2384" i="42"/>
  <c r="AF2386" i="42"/>
  <c r="AF1" i="42"/>
  <c r="AF2336" i="42"/>
  <c r="AF2340" i="42"/>
  <c r="AF2343" i="42"/>
  <c r="AF2345" i="42"/>
  <c r="AF2347" i="42"/>
  <c r="AF2349" i="42"/>
  <c r="AF2353" i="42"/>
  <c r="AF2355" i="42"/>
  <c r="AF2357" i="42"/>
  <c r="AF2359" i="42"/>
  <c r="AF2361" i="42"/>
  <c r="AF2363" i="42"/>
  <c r="AF2365" i="42"/>
  <c r="AF2369" i="42"/>
  <c r="AF2371" i="42"/>
  <c r="AF2375" i="42"/>
  <c r="AF2379" i="42"/>
  <c r="AF2383" i="42"/>
  <c r="AF2387" i="42"/>
  <c r="S49" i="42" l="1"/>
  <c r="S50" i="42"/>
  <c r="C216" i="74"/>
  <c r="C214" i="74"/>
  <c r="B1" i="74"/>
  <c r="U22" i="42" l="1"/>
  <c r="C45" i="74"/>
  <c r="C222" i="74"/>
  <c r="C220" i="74"/>
  <c r="C217" i="74"/>
  <c r="C221" i="74"/>
  <c r="C219" i="74"/>
  <c r="C218" i="74"/>
  <c r="S51" i="42"/>
  <c r="C4" i="74"/>
  <c r="C6" i="74"/>
  <c r="C8" i="74"/>
  <c r="C10" i="74"/>
  <c r="C12" i="74"/>
  <c r="C14" i="74"/>
  <c r="C16" i="74"/>
  <c r="C18" i="74"/>
  <c r="C20" i="74"/>
  <c r="C22" i="74"/>
  <c r="C24" i="74"/>
  <c r="C26" i="74"/>
  <c r="C28" i="74"/>
  <c r="C30" i="74"/>
  <c r="C32" i="74"/>
  <c r="C34" i="74"/>
  <c r="C36" i="74"/>
  <c r="C38" i="74"/>
  <c r="C40" i="74"/>
  <c r="C42" i="74"/>
  <c r="B2" i="74"/>
  <c r="C212" i="74"/>
  <c r="B216" i="74" s="1"/>
  <c r="C210" i="74"/>
  <c r="B214" i="74" s="1"/>
  <c r="C208" i="74"/>
  <c r="C206" i="74"/>
  <c r="C204" i="74"/>
  <c r="C202" i="74"/>
  <c r="C200" i="74"/>
  <c r="C198" i="74"/>
  <c r="C196" i="74"/>
  <c r="C194" i="74"/>
  <c r="C192" i="74"/>
  <c r="C190" i="74"/>
  <c r="C188" i="74"/>
  <c r="C186" i="74"/>
  <c r="C184" i="74"/>
  <c r="C182" i="74"/>
  <c r="C180" i="74"/>
  <c r="C178" i="74"/>
  <c r="C176" i="74"/>
  <c r="C174" i="74"/>
  <c r="C172" i="74"/>
  <c r="C170" i="74"/>
  <c r="C168" i="74"/>
  <c r="C166" i="74"/>
  <c r="C164" i="74"/>
  <c r="C162" i="74"/>
  <c r="C160" i="74"/>
  <c r="C158" i="74"/>
  <c r="C156" i="74"/>
  <c r="C154" i="74"/>
  <c r="C152" i="74"/>
  <c r="C150" i="74"/>
  <c r="C148" i="74"/>
  <c r="C146" i="74"/>
  <c r="C144" i="74"/>
  <c r="C142" i="74"/>
  <c r="C140" i="74"/>
  <c r="C138" i="74"/>
  <c r="C136" i="74"/>
  <c r="C134" i="74"/>
  <c r="C132" i="74"/>
  <c r="C130" i="74"/>
  <c r="C128" i="74"/>
  <c r="C126" i="74"/>
  <c r="C124" i="74"/>
  <c r="C122" i="74"/>
  <c r="C120" i="74"/>
  <c r="C118" i="74"/>
  <c r="C116" i="74"/>
  <c r="C114" i="74"/>
  <c r="C112" i="74"/>
  <c r="C110" i="74"/>
  <c r="C108" i="74"/>
  <c r="C106" i="74"/>
  <c r="C104" i="74"/>
  <c r="C102" i="74"/>
  <c r="C100" i="74"/>
  <c r="C98" i="74"/>
  <c r="C96" i="74"/>
  <c r="C94" i="74"/>
  <c r="C92" i="74"/>
  <c r="C90" i="74"/>
  <c r="C88" i="74"/>
  <c r="C86" i="74"/>
  <c r="C84" i="74"/>
  <c r="C82" i="74"/>
  <c r="C80" i="74"/>
  <c r="C78" i="74"/>
  <c r="C76" i="74"/>
  <c r="C74" i="74"/>
  <c r="C72" i="74"/>
  <c r="C70" i="74"/>
  <c r="C68" i="74"/>
  <c r="C66" i="74"/>
  <c r="C64" i="74"/>
  <c r="C62" i="74"/>
  <c r="C60" i="74"/>
  <c r="C58" i="74"/>
  <c r="C56" i="74"/>
  <c r="C54" i="74"/>
  <c r="C52" i="74"/>
  <c r="C50" i="74"/>
  <c r="C48" i="74"/>
  <c r="C46" i="74"/>
  <c r="C44" i="74"/>
  <c r="C211" i="74"/>
  <c r="B215" i="74" s="1"/>
  <c r="C209" i="74"/>
  <c r="B213" i="74" s="1"/>
  <c r="C207" i="74"/>
  <c r="C205" i="74"/>
  <c r="C203" i="74"/>
  <c r="C201" i="74"/>
  <c r="C199" i="74"/>
  <c r="C197" i="74"/>
  <c r="C195" i="74"/>
  <c r="C193" i="74"/>
  <c r="C191" i="74"/>
  <c r="C189" i="74"/>
  <c r="C187" i="74"/>
  <c r="C185" i="74"/>
  <c r="C183" i="74"/>
  <c r="C181" i="74"/>
  <c r="C179" i="74"/>
  <c r="C177" i="74"/>
  <c r="C175" i="74"/>
  <c r="C173" i="74"/>
  <c r="C171" i="74"/>
  <c r="C169" i="74"/>
  <c r="C167" i="74"/>
  <c r="C165" i="74"/>
  <c r="C163" i="74"/>
  <c r="C161" i="74"/>
  <c r="C159" i="74"/>
  <c r="C157" i="74"/>
  <c r="C155" i="74"/>
  <c r="C153" i="74"/>
  <c r="C151" i="74"/>
  <c r="C149" i="74"/>
  <c r="C147" i="74"/>
  <c r="C145" i="74"/>
  <c r="C143" i="74"/>
  <c r="C141" i="74"/>
  <c r="C139" i="74"/>
  <c r="C137" i="74"/>
  <c r="C135" i="74"/>
  <c r="C133" i="74"/>
  <c r="C131" i="74"/>
  <c r="C129" i="74"/>
  <c r="C127" i="74"/>
  <c r="C125" i="74"/>
  <c r="C123" i="74"/>
  <c r="C121" i="74"/>
  <c r="C119" i="74"/>
  <c r="C117" i="74"/>
  <c r="C115" i="74"/>
  <c r="C113" i="74"/>
  <c r="C111" i="74"/>
  <c r="C109" i="74"/>
  <c r="C107" i="74"/>
  <c r="C105" i="74"/>
  <c r="C103" i="74"/>
  <c r="C101" i="74"/>
  <c r="C99" i="74"/>
  <c r="C97" i="74"/>
  <c r="C95" i="74"/>
  <c r="C93" i="74"/>
  <c r="C91" i="74"/>
  <c r="C89" i="74"/>
  <c r="C87" i="74"/>
  <c r="C85" i="74"/>
  <c r="C83" i="74"/>
  <c r="C81" i="74"/>
  <c r="C79" i="74"/>
  <c r="C77" i="74"/>
  <c r="C75" i="74"/>
  <c r="C73" i="74"/>
  <c r="C71" i="74"/>
  <c r="C69" i="74"/>
  <c r="C67" i="74"/>
  <c r="C65" i="74"/>
  <c r="C63" i="74"/>
  <c r="C61" i="74"/>
  <c r="C59" i="74"/>
  <c r="C57" i="74"/>
  <c r="C55" i="74"/>
  <c r="C53" i="74"/>
  <c r="C51" i="74"/>
  <c r="C49" i="74"/>
  <c r="C5" i="74"/>
  <c r="C7" i="74"/>
  <c r="C9" i="74"/>
  <c r="C11" i="74"/>
  <c r="C13" i="74"/>
  <c r="C15" i="74"/>
  <c r="C17" i="74"/>
  <c r="C19" i="74"/>
  <c r="C21" i="74"/>
  <c r="C23" i="74"/>
  <c r="C25" i="74"/>
  <c r="C27" i="74"/>
  <c r="C29" i="74"/>
  <c r="C31" i="74"/>
  <c r="C33" i="74"/>
  <c r="C35" i="74"/>
  <c r="C37" i="74"/>
  <c r="C39" i="74"/>
  <c r="C41" i="74"/>
  <c r="C43" i="74"/>
  <c r="C47" i="74"/>
  <c r="A11" i="13"/>
  <c r="V41" i="8" l="1"/>
  <c r="M48" i="8"/>
  <c r="BC43" i="8"/>
  <c r="BC54" i="8"/>
  <c r="D49" i="8"/>
  <c r="D53" i="8"/>
  <c r="V42" i="8"/>
  <c r="M45" i="8"/>
  <c r="V54" i="8"/>
  <c r="M52" i="8"/>
  <c r="M44" i="8"/>
  <c r="BC42" i="8"/>
  <c r="V45" i="8"/>
  <c r="BC47" i="8"/>
  <c r="V51" i="8"/>
  <c r="D43" i="8"/>
  <c r="BC53" i="8"/>
  <c r="D47" i="8"/>
  <c r="M51" i="8"/>
  <c r="D52" i="8"/>
  <c r="M49" i="8"/>
  <c r="V47" i="8"/>
  <c r="V43" i="8"/>
  <c r="AT54" i="8"/>
  <c r="D41" i="8"/>
  <c r="BC51" i="8"/>
  <c r="BC50" i="8"/>
  <c r="V50" i="8"/>
  <c r="BC40" i="8"/>
  <c r="V40" i="8"/>
  <c r="AT47" i="8"/>
  <c r="M47" i="8"/>
  <c r="AT44" i="8"/>
  <c r="AK47" i="8"/>
  <c r="AK42" i="8"/>
  <c r="D42" i="8"/>
  <c r="BC45" i="8"/>
  <c r="AK41" i="8"/>
  <c r="BC41" i="8"/>
  <c r="AT52" i="8"/>
  <c r="AT53" i="8"/>
  <c r="AT51" i="8"/>
  <c r="AT40" i="8"/>
  <c r="AT49" i="8"/>
  <c r="AT45" i="8"/>
  <c r="AT48" i="8"/>
  <c r="AT46" i="8"/>
  <c r="AT50" i="8"/>
  <c r="AK43" i="8"/>
  <c r="AK45" i="8"/>
  <c r="AK44" i="8"/>
  <c r="AK48" i="8"/>
  <c r="AK52" i="8"/>
  <c r="AK50" i="8"/>
  <c r="AK49" i="8"/>
  <c r="AK54" i="8"/>
  <c r="AK53" i="8"/>
  <c r="S17" i="42" l="1"/>
  <c r="W56" i="42" l="1"/>
  <c r="X56" i="42" s="1"/>
  <c r="W55" i="42"/>
  <c r="X55" i="42" s="1"/>
  <c r="W9" i="42"/>
  <c r="Y55" i="42" l="1"/>
  <c r="Z55" i="42" s="1"/>
  <c r="Y56" i="42"/>
  <c r="Z56" i="42" s="1"/>
  <c r="B8" i="1" l="1"/>
  <c r="X13" i="42" l="1"/>
  <c r="T16" i="42" l="1"/>
  <c r="T15" i="42"/>
  <c r="X14" i="42"/>
  <c r="Z25" i="42"/>
  <c r="X22" i="42" l="1"/>
  <c r="Z21" i="42"/>
  <c r="S10" i="42"/>
  <c r="AF28" i="13"/>
  <c r="AF30" i="13"/>
  <c r="AH32" i="13"/>
  <c r="AK32" i="13"/>
  <c r="AL30" i="13"/>
  <c r="AK26" i="13"/>
  <c r="AH30" i="13"/>
  <c r="AJ30" i="13"/>
  <c r="AI30" i="13"/>
  <c r="AJ28" i="13"/>
  <c r="W7" i="69"/>
  <c r="AG30" i="13"/>
  <c r="AF24" i="13"/>
  <c r="AI24" i="13"/>
  <c r="AJ32" i="13"/>
  <c r="AG28" i="13"/>
  <c r="AH24" i="13"/>
  <c r="AF32" i="13"/>
  <c r="AJ24" i="13"/>
  <c r="AK28" i="13"/>
  <c r="AI28" i="13"/>
  <c r="AL26" i="13"/>
  <c r="AG32" i="13"/>
  <c r="AI26" i="13"/>
  <c r="AH28" i="13"/>
  <c r="AL28" i="13"/>
  <c r="AH26" i="13"/>
  <c r="BJ2" i="8" l="1"/>
  <c r="K10" i="20"/>
  <c r="B9" i="1"/>
  <c r="Y13" i="42"/>
  <c r="X7" i="69"/>
  <c r="AK24" i="13"/>
  <c r="AG24" i="13"/>
  <c r="AI32" i="13"/>
  <c r="AJ26" i="13"/>
  <c r="AL24" i="13"/>
  <c r="AL32" i="13"/>
  <c r="AG26" i="13"/>
  <c r="AK30" i="13"/>
  <c r="AF26" i="13"/>
  <c r="Z13" i="42"/>
  <c r="M10" i="20" l="1"/>
  <c r="L10" i="20"/>
  <c r="J10" i="20"/>
  <c r="S15" i="42"/>
  <c r="W2" i="42" l="1"/>
  <c r="Y3" i="85"/>
  <c r="S2" i="42" l="1"/>
  <c r="X3" i="82"/>
  <c r="T11" i="42" l="1"/>
  <c r="T13" i="42"/>
  <c r="V40" i="42"/>
  <c r="V41" i="42"/>
  <c r="W11" i="42"/>
  <c r="Y22" i="42" l="1"/>
  <c r="T23" i="42" s="1"/>
  <c r="Z22" i="42" s="1"/>
  <c r="BK2" i="8"/>
  <c r="Y14" i="42"/>
  <c r="Z14" i="42"/>
  <c r="S23" i="42" l="1"/>
  <c r="Z15" i="42"/>
  <c r="U7" i="69"/>
  <c r="BH2" i="8"/>
  <c r="U1" i="8" s="1"/>
  <c r="F11" i="69"/>
  <c r="O23" i="13"/>
  <c r="N23" i="13"/>
  <c r="O16" i="13"/>
  <c r="N16" i="13"/>
  <c r="W1" i="7" l="1"/>
  <c r="AE10" i="13"/>
  <c r="AE11" i="13" s="1"/>
  <c r="A13" i="13"/>
  <c r="AB11" i="13"/>
  <c r="AB12" i="13"/>
  <c r="AA12" i="13"/>
  <c r="AA11" i="13"/>
  <c r="F13" i="69"/>
  <c r="F15" i="69" s="1"/>
  <c r="W12" i="69"/>
  <c r="V11" i="69"/>
  <c r="V12" i="69"/>
  <c r="W11" i="69"/>
  <c r="AC2" i="85"/>
  <c r="Y2" i="85" s="1"/>
  <c r="Y4" i="85" s="1"/>
  <c r="AB2" i="82"/>
  <c r="X2" i="82" s="1"/>
  <c r="G1" i="20"/>
  <c r="Q2" i="20"/>
  <c r="Q5" i="20"/>
  <c r="Q6" i="20" s="1"/>
  <c r="Q4" i="20"/>
  <c r="Q3" i="20"/>
  <c r="D12" i="20" l="1"/>
  <c r="D16" i="20"/>
  <c r="D13" i="20"/>
  <c r="D17" i="20"/>
  <c r="D14" i="20"/>
  <c r="D15" i="20"/>
  <c r="W16" i="69"/>
  <c r="V16" i="69"/>
  <c r="W15" i="69"/>
  <c r="V15" i="69"/>
  <c r="W13" i="69"/>
  <c r="V14" i="69"/>
  <c r="W14" i="69"/>
  <c r="V13" i="69"/>
  <c r="A15" i="13"/>
  <c r="AA14" i="13"/>
  <c r="AB13" i="13"/>
  <c r="AB14" i="13"/>
  <c r="AA13" i="13"/>
  <c r="AB5" i="82"/>
  <c r="AB7" i="82" s="1"/>
  <c r="X4" i="82"/>
  <c r="C12" i="82"/>
  <c r="X5" i="82"/>
  <c r="X6" i="82" s="1"/>
  <c r="L12" i="85"/>
  <c r="AC5" i="85"/>
  <c r="AC7" i="85" s="1"/>
  <c r="Y5" i="85"/>
  <c r="Y6" i="85" s="1"/>
  <c r="F17" i="69"/>
  <c r="F19" i="69" l="1"/>
  <c r="F21" i="69" s="1"/>
  <c r="W17" i="69"/>
  <c r="V18" i="69"/>
  <c r="W18" i="69"/>
  <c r="V17" i="69"/>
  <c r="A17" i="13"/>
  <c r="AB15" i="13"/>
  <c r="AB16" i="13"/>
  <c r="AA16" i="13"/>
  <c r="AA15" i="13"/>
  <c r="P13" i="82"/>
  <c r="Q13" i="85"/>
  <c r="D24" i="20"/>
  <c r="D18" i="20"/>
  <c r="D19" i="20"/>
  <c r="D20" i="20"/>
  <c r="D21" i="20"/>
  <c r="D22" i="20"/>
  <c r="D23" i="20"/>
  <c r="D25" i="20"/>
  <c r="D26" i="20"/>
  <c r="D27" i="20"/>
  <c r="F27" i="20" s="1"/>
  <c r="P22" i="82"/>
  <c r="A19" i="13" l="1"/>
  <c r="AA18" i="13"/>
  <c r="AB17" i="13"/>
  <c r="AB18" i="13"/>
  <c r="AA17" i="13"/>
  <c r="W21" i="69"/>
  <c r="V23" i="69"/>
  <c r="W23" i="69"/>
  <c r="V21" i="69"/>
  <c r="W20" i="69"/>
  <c r="V20" i="69"/>
  <c r="W19" i="69"/>
  <c r="V19" i="69"/>
  <c r="Q13" i="82"/>
  <c r="H9" i="82" s="1"/>
  <c r="R13" i="85"/>
  <c r="F9" i="82"/>
  <c r="F25" i="69"/>
  <c r="E9" i="82"/>
  <c r="E2" i="82"/>
  <c r="G9" i="82"/>
  <c r="G2" i="82"/>
  <c r="Q22" i="82"/>
  <c r="W27" i="69" l="1"/>
  <c r="V27" i="69"/>
  <c r="W25" i="69"/>
  <c r="V25" i="69"/>
  <c r="A21" i="13"/>
  <c r="AB19" i="13"/>
  <c r="AB20" i="13"/>
  <c r="AA20" i="13"/>
  <c r="AA19" i="13"/>
  <c r="R13" i="82"/>
  <c r="J9" i="82" s="1"/>
  <c r="S13" i="85"/>
  <c r="F29" i="69"/>
  <c r="R22" i="82"/>
  <c r="I2" i="82"/>
  <c r="J29" i="20"/>
  <c r="J19" i="20"/>
  <c r="I9" i="82"/>
  <c r="W29" i="69" l="1"/>
  <c r="V31" i="69"/>
  <c r="W31" i="69"/>
  <c r="V29" i="69"/>
  <c r="A25" i="13"/>
  <c r="AA23" i="13"/>
  <c r="AB21" i="13"/>
  <c r="AB23" i="13"/>
  <c r="AA21" i="13"/>
  <c r="S13" i="82"/>
  <c r="T13" i="82" s="1"/>
  <c r="T13" i="85"/>
  <c r="F33" i="69"/>
  <c r="J14" i="20"/>
  <c r="J13" i="20" s="1"/>
  <c r="J12" i="20"/>
  <c r="J11" i="20"/>
  <c r="J15" i="20"/>
  <c r="J21" i="20"/>
  <c r="J18" i="20"/>
  <c r="J16" i="20"/>
  <c r="J22" i="20"/>
  <c r="J20" i="20"/>
  <c r="J17" i="20"/>
  <c r="J26" i="20"/>
  <c r="J27" i="20"/>
  <c r="J28" i="20"/>
  <c r="J30" i="20"/>
  <c r="J31" i="20"/>
  <c r="J32" i="20"/>
  <c r="J25" i="20"/>
  <c r="L29" i="20"/>
  <c r="L19" i="20"/>
  <c r="T22" i="85"/>
  <c r="K19" i="20"/>
  <c r="J23" i="20"/>
  <c r="M29" i="20"/>
  <c r="M19" i="20"/>
  <c r="K29" i="20"/>
  <c r="W35" i="69" l="1"/>
  <c r="V35" i="69"/>
  <c r="W33" i="69"/>
  <c r="V33" i="69"/>
  <c r="A29" i="13"/>
  <c r="AB25" i="13"/>
  <c r="AB27" i="13"/>
  <c r="AA27" i="13"/>
  <c r="AA25" i="13"/>
  <c r="U13" i="82"/>
  <c r="E9" i="85"/>
  <c r="U13" i="85"/>
  <c r="F37" i="69"/>
  <c r="L15" i="20"/>
  <c r="L21" i="20"/>
  <c r="L18" i="20"/>
  <c r="L16" i="20"/>
  <c r="L22" i="20"/>
  <c r="L20" i="20"/>
  <c r="L17" i="20"/>
  <c r="L14" i="20"/>
  <c r="L13" i="20" s="1"/>
  <c r="K15" i="20"/>
  <c r="K22" i="20"/>
  <c r="K20" i="20"/>
  <c r="K21" i="20"/>
  <c r="K18" i="20"/>
  <c r="K16" i="20"/>
  <c r="K17" i="20"/>
  <c r="K14" i="20"/>
  <c r="K13" i="20" s="1"/>
  <c r="M15" i="20"/>
  <c r="M22" i="20"/>
  <c r="M20" i="20"/>
  <c r="M17" i="20"/>
  <c r="M14" i="20"/>
  <c r="M13" i="20" s="1"/>
  <c r="M21" i="20"/>
  <c r="M18" i="20"/>
  <c r="M16" i="20"/>
  <c r="L25" i="20"/>
  <c r="L12" i="20"/>
  <c r="L11" i="20"/>
  <c r="L32" i="20"/>
  <c r="L31" i="20"/>
  <c r="L30" i="20"/>
  <c r="L28" i="20"/>
  <c r="L27" i="20"/>
  <c r="L26" i="20"/>
  <c r="K25" i="20"/>
  <c r="K12" i="20"/>
  <c r="K11" i="20"/>
  <c r="K32" i="20"/>
  <c r="K31" i="20"/>
  <c r="K30" i="20"/>
  <c r="K28" i="20"/>
  <c r="K27" i="20"/>
  <c r="K26" i="20"/>
  <c r="M25" i="20"/>
  <c r="M12" i="20"/>
  <c r="M11" i="20"/>
  <c r="M32" i="20"/>
  <c r="M31" i="20"/>
  <c r="M30" i="20"/>
  <c r="M28" i="20"/>
  <c r="M27" i="20"/>
  <c r="M26" i="20"/>
  <c r="U22" i="85"/>
  <c r="L23" i="20"/>
  <c r="D9" i="85"/>
  <c r="K23" i="20"/>
  <c r="J24" i="20"/>
  <c r="M23" i="20"/>
  <c r="D2" i="85"/>
  <c r="W37" i="69" l="1"/>
  <c r="V39" i="69"/>
  <c r="W39" i="69"/>
  <c r="V37" i="69"/>
  <c r="A33" i="13"/>
  <c r="AA31" i="13"/>
  <c r="AA29" i="13"/>
  <c r="AB29" i="13"/>
  <c r="AB31" i="13"/>
  <c r="V13" i="85"/>
  <c r="G9" i="85"/>
  <c r="V13" i="82"/>
  <c r="F40" i="69"/>
  <c r="C1" i="16"/>
  <c r="B1" i="15"/>
  <c r="V22" i="85"/>
  <c r="F9" i="85"/>
  <c r="K24" i="20"/>
  <c r="L24" i="20"/>
  <c r="M24" i="20"/>
  <c r="F2" i="85"/>
  <c r="W41" i="69" l="1"/>
  <c r="V41" i="69"/>
  <c r="W40" i="69"/>
  <c r="V40" i="69"/>
  <c r="A37" i="13"/>
  <c r="AB33" i="13"/>
  <c r="AB35" i="13"/>
  <c r="AA35" i="13"/>
  <c r="AA33" i="13"/>
  <c r="P14" i="82"/>
  <c r="U11" i="82"/>
  <c r="T11" i="82" s="1"/>
  <c r="S11" i="82" s="1"/>
  <c r="R11" i="82" s="1"/>
  <c r="Q11" i="82" s="1"/>
  <c r="P11" i="82" s="1"/>
  <c r="I9" i="85"/>
  <c r="W13" i="85"/>
  <c r="F42" i="69"/>
  <c r="W22" i="85"/>
  <c r="H2" i="85"/>
  <c r="H9" i="85"/>
  <c r="P23" i="82"/>
  <c r="W42" i="69" l="1"/>
  <c r="V43" i="69"/>
  <c r="W43" i="69"/>
  <c r="V42" i="69"/>
  <c r="A40" i="13"/>
  <c r="AA37" i="13"/>
  <c r="AB37" i="13"/>
  <c r="AB39" i="13"/>
  <c r="AA39" i="13"/>
  <c r="Q14" i="82"/>
  <c r="F17" i="82"/>
  <c r="Q14" i="85"/>
  <c r="K9" i="85"/>
  <c r="V11" i="85"/>
  <c r="U11" i="85" s="1"/>
  <c r="T11" i="85" s="1"/>
  <c r="S11" i="85" s="1"/>
  <c r="R11" i="85" s="1"/>
  <c r="Q11" i="85" s="1"/>
  <c r="F44" i="69"/>
  <c r="J2" i="85"/>
  <c r="E10" i="82"/>
  <c r="E17" i="82"/>
  <c r="J9" i="85"/>
  <c r="Q23" i="82"/>
  <c r="W45" i="69" l="1"/>
  <c r="V45" i="69"/>
  <c r="W44" i="69"/>
  <c r="V44" i="69"/>
  <c r="A42" i="13"/>
  <c r="AB40" i="13"/>
  <c r="AB41" i="13"/>
  <c r="AA40" i="13"/>
  <c r="AA41" i="13"/>
  <c r="R14" i="82"/>
  <c r="H17" i="82"/>
  <c r="R14" i="85"/>
  <c r="F46" i="69"/>
  <c r="G10" i="82"/>
  <c r="R23" i="82"/>
  <c r="G17" i="82"/>
  <c r="W46" i="69" l="1"/>
  <c r="V47" i="69"/>
  <c r="W47" i="69"/>
  <c r="V46" i="69"/>
  <c r="A44" i="13"/>
  <c r="AA42" i="13"/>
  <c r="AB42" i="13"/>
  <c r="AB43" i="13"/>
  <c r="AA43" i="13"/>
  <c r="S14" i="85"/>
  <c r="S14" i="82"/>
  <c r="J17" i="82"/>
  <c r="F48" i="69"/>
  <c r="A4" i="68"/>
  <c r="A5" i="68" s="1"/>
  <c r="I10" i="82"/>
  <c r="I17" i="82"/>
  <c r="W49" i="69" l="1"/>
  <c r="V49" i="69"/>
  <c r="W48" i="69"/>
  <c r="V48" i="69"/>
  <c r="A46" i="13"/>
  <c r="AB44" i="13"/>
  <c r="AB45" i="13"/>
  <c r="AA44" i="13"/>
  <c r="AA45" i="13"/>
  <c r="T14" i="82"/>
  <c r="T14" i="85"/>
  <c r="F50" i="69"/>
  <c r="AN12" i="8"/>
  <c r="AN3" i="8"/>
  <c r="AW3" i="8" s="1"/>
  <c r="W3" i="42"/>
  <c r="S3" i="42" s="1"/>
  <c r="S53" i="42" s="1"/>
  <c r="T23" i="85"/>
  <c r="F52" i="69" l="1"/>
  <c r="W50" i="69"/>
  <c r="V51" i="69"/>
  <c r="W51" i="69"/>
  <c r="V50" i="69"/>
  <c r="A48" i="13"/>
  <c r="AA46" i="13"/>
  <c r="AB46" i="13"/>
  <c r="AB47" i="13"/>
  <c r="AA47" i="13"/>
  <c r="O8" i="42"/>
  <c r="E17" i="85"/>
  <c r="U14" i="85"/>
  <c r="U14" i="82"/>
  <c r="AN30" i="8"/>
  <c r="AN21" i="8"/>
  <c r="AW12" i="8"/>
  <c r="U23" i="85"/>
  <c r="D17" i="85"/>
  <c r="D10" i="85"/>
  <c r="W53" i="69" l="1"/>
  <c r="V53" i="69"/>
  <c r="A50" i="13"/>
  <c r="AB48" i="13"/>
  <c r="AB49" i="13"/>
  <c r="AA48" i="13"/>
  <c r="AA49" i="13"/>
  <c r="W52" i="69"/>
  <c r="V52" i="69"/>
  <c r="V14" i="82"/>
  <c r="V14" i="85"/>
  <c r="G17" i="85"/>
  <c r="AW30" i="8"/>
  <c r="AW21" i="8"/>
  <c r="W7" i="42"/>
  <c r="V23" i="85"/>
  <c r="F10" i="85"/>
  <c r="F17" i="85"/>
  <c r="A52" i="13" l="1"/>
  <c r="AA50" i="13"/>
  <c r="AB50" i="13"/>
  <c r="AB51" i="13"/>
  <c r="AA51" i="13"/>
  <c r="I17" i="85"/>
  <c r="W14" i="85"/>
  <c r="P15" i="82"/>
  <c r="I1" i="18"/>
  <c r="H54" i="18" s="1"/>
  <c r="C1" i="68"/>
  <c r="D1" i="18"/>
  <c r="E1" i="18"/>
  <c r="F1" i="18"/>
  <c r="G1" i="18"/>
  <c r="A3" i="18"/>
  <c r="E14" i="68"/>
  <c r="E16" i="68" s="1"/>
  <c r="Q8" i="7"/>
  <c r="P24" i="82"/>
  <c r="H17" i="85"/>
  <c r="W23" i="85"/>
  <c r="H10" i="85"/>
  <c r="C97" i="68" l="1"/>
  <c r="C96" i="68"/>
  <c r="C334" i="68"/>
  <c r="C339" i="68"/>
  <c r="C341" i="68"/>
  <c r="C343" i="68"/>
  <c r="C345" i="68"/>
  <c r="C340" i="68"/>
  <c r="C342" i="68"/>
  <c r="C344" i="68"/>
  <c r="C338" i="68"/>
  <c r="C332" i="68"/>
  <c r="C333" i="68"/>
  <c r="C60" i="68"/>
  <c r="C50" i="68"/>
  <c r="C40" i="68"/>
  <c r="C41" i="68"/>
  <c r="C346" i="68"/>
  <c r="AB53" i="13"/>
  <c r="AA53" i="13"/>
  <c r="AB52" i="13"/>
  <c r="AA52" i="13"/>
  <c r="A4" i="18"/>
  <c r="A5" i="18" s="1"/>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Q15" i="82"/>
  <c r="F25" i="82"/>
  <c r="Q15" i="85"/>
  <c r="K17" i="85"/>
  <c r="C205" i="68"/>
  <c r="C347" i="68"/>
  <c r="C349" i="68"/>
  <c r="C351" i="68"/>
  <c r="C353" i="68"/>
  <c r="C348" i="68"/>
  <c r="C350" i="68"/>
  <c r="C352" i="68"/>
  <c r="C354" i="68"/>
  <c r="C197" i="68"/>
  <c r="C199" i="68"/>
  <c r="C201" i="68"/>
  <c r="C203" i="68"/>
  <c r="C206" i="68"/>
  <c r="C208" i="68"/>
  <c r="C210" i="68"/>
  <c r="C212" i="68"/>
  <c r="C214" i="68"/>
  <c r="C216" i="68"/>
  <c r="C218" i="68"/>
  <c r="C198" i="68"/>
  <c r="C200" i="68"/>
  <c r="C202" i="68"/>
  <c r="C204" i="68"/>
  <c r="C207" i="68"/>
  <c r="C209" i="68"/>
  <c r="C211" i="68"/>
  <c r="C213" i="68"/>
  <c r="C215" i="68"/>
  <c r="C217" i="68"/>
  <c r="C337" i="68"/>
  <c r="C336" i="68"/>
  <c r="C330" i="68"/>
  <c r="C329" i="68"/>
  <c r="C331" i="68"/>
  <c r="C335" i="68"/>
  <c r="C104" i="68"/>
  <c r="C66" i="68"/>
  <c r="C65" i="68"/>
  <c r="C67" i="68"/>
  <c r="C10" i="68"/>
  <c r="C226" i="68"/>
  <c r="C315" i="68"/>
  <c r="C266" i="68"/>
  <c r="C219" i="68"/>
  <c r="C275" i="68"/>
  <c r="C5" i="68"/>
  <c r="C4" i="68"/>
  <c r="C230" i="68"/>
  <c r="C323" i="68"/>
  <c r="C1" i="18" s="1"/>
  <c r="C302" i="68"/>
  <c r="C246" i="68"/>
  <c r="C136" i="68"/>
  <c r="C47" i="68"/>
  <c r="C224" i="68"/>
  <c r="C228" i="68"/>
  <c r="C232" i="68"/>
  <c r="C268" i="68"/>
  <c r="C327" i="68"/>
  <c r="C319" i="68"/>
  <c r="C310" i="68"/>
  <c r="C294" i="68"/>
  <c r="C262" i="68"/>
  <c r="C182" i="68"/>
  <c r="C152" i="68"/>
  <c r="C120" i="68"/>
  <c r="C76" i="68"/>
  <c r="C29" i="68"/>
  <c r="D6" i="42" s="1"/>
  <c r="C223" i="68"/>
  <c r="C225" i="68"/>
  <c r="C227" i="68"/>
  <c r="C229" i="68"/>
  <c r="C231" i="68"/>
  <c r="C233" i="68"/>
  <c r="C267" i="68"/>
  <c r="C269" i="68"/>
  <c r="C325" i="68"/>
  <c r="C321" i="68"/>
  <c r="A1" i="18" s="1"/>
  <c r="C317" i="68"/>
  <c r="C313" i="68"/>
  <c r="C306" i="68"/>
  <c r="C298" i="68"/>
  <c r="C290" i="68"/>
  <c r="C242" i="68"/>
  <c r="C254" i="68"/>
  <c r="C190" i="68"/>
  <c r="C174" i="68"/>
  <c r="C160" i="68"/>
  <c r="C144" i="68"/>
  <c r="C128" i="68"/>
  <c r="C112" i="68"/>
  <c r="C84" i="68"/>
  <c r="C37" i="68"/>
  <c r="C20" i="68"/>
  <c r="C279" i="68"/>
  <c r="C271" i="68"/>
  <c r="C270" i="68"/>
  <c r="C258" i="68"/>
  <c r="C250" i="68"/>
  <c r="C235" i="68"/>
  <c r="C186" i="68"/>
  <c r="C178" i="68"/>
  <c r="C170" i="68"/>
  <c r="C164" i="68"/>
  <c r="C156" i="68"/>
  <c r="C148" i="68"/>
  <c r="C140" i="68"/>
  <c r="C132" i="68"/>
  <c r="C124" i="68"/>
  <c r="C116" i="68"/>
  <c r="C108" i="68"/>
  <c r="C88" i="68"/>
  <c r="C80" i="68"/>
  <c r="C72" i="68"/>
  <c r="P1" i="42" s="1"/>
  <c r="C52" i="68"/>
  <c r="C43" i="68"/>
  <c r="C33" i="68"/>
  <c r="G16" i="42" s="1"/>
  <c r="C25" i="68"/>
  <c r="C15" i="68"/>
  <c r="C62" i="68"/>
  <c r="G18" i="42" s="1"/>
  <c r="C222" i="68"/>
  <c r="D1" i="68"/>
  <c r="E3" i="42" s="1"/>
  <c r="C7" i="68"/>
  <c r="C9" i="68"/>
  <c r="C11" i="68"/>
  <c r="C13" i="68"/>
  <c r="C17" i="68"/>
  <c r="C19" i="68"/>
  <c r="C21" i="68"/>
  <c r="C23" i="68"/>
  <c r="C26" i="68"/>
  <c r="C28" i="68"/>
  <c r="C30" i="68"/>
  <c r="D8" i="42" s="1"/>
  <c r="C32" i="68"/>
  <c r="C34" i="68"/>
  <c r="G22" i="42" s="1"/>
  <c r="C36" i="68"/>
  <c r="Y10" i="42" s="1"/>
  <c r="C38" i="68"/>
  <c r="C42" i="68"/>
  <c r="C44" i="68"/>
  <c r="C46" i="68"/>
  <c r="C48" i="68"/>
  <c r="C51" i="68"/>
  <c r="C53" i="68"/>
  <c r="C55" i="68"/>
  <c r="X31" i="42" s="1"/>
  <c r="C69" i="68"/>
  <c r="C71" i="68"/>
  <c r="K20" i="42" s="1"/>
  <c r="C73" i="68"/>
  <c r="C75" i="68"/>
  <c r="C77" i="68"/>
  <c r="C79" i="68"/>
  <c r="C81" i="68"/>
  <c r="C83" i="68"/>
  <c r="C85" i="68"/>
  <c r="C87" i="68"/>
  <c r="C101" i="68"/>
  <c r="C103" i="68"/>
  <c r="C105" i="68"/>
  <c r="C107" i="68"/>
  <c r="C109" i="68"/>
  <c r="C111" i="68"/>
  <c r="C113" i="68"/>
  <c r="C115" i="68"/>
  <c r="C117" i="68"/>
  <c r="C119" i="68"/>
  <c r="C121" i="68"/>
  <c r="C123" i="68"/>
  <c r="C125" i="68"/>
  <c r="C127" i="68"/>
  <c r="C129" i="68"/>
  <c r="C131" i="68"/>
  <c r="C133" i="68"/>
  <c r="C135" i="68"/>
  <c r="C137" i="68"/>
  <c r="C139" i="68"/>
  <c r="C141" i="68"/>
  <c r="C143" i="68"/>
  <c r="C145" i="68"/>
  <c r="C147" i="68"/>
  <c r="C149" i="68"/>
  <c r="C151" i="68"/>
  <c r="C153" i="68"/>
  <c r="C155" i="68"/>
  <c r="C157" i="68"/>
  <c r="C159" i="68"/>
  <c r="C161" i="68"/>
  <c r="C163" i="68"/>
  <c r="C165" i="68"/>
  <c r="C167" i="68"/>
  <c r="C220" i="68"/>
  <c r="C169" i="68"/>
  <c r="C171" i="68"/>
  <c r="C173" i="68"/>
  <c r="C175" i="68"/>
  <c r="C177" i="68"/>
  <c r="C179" i="68"/>
  <c r="C181" i="68"/>
  <c r="C183" i="68"/>
  <c r="C185" i="68"/>
  <c r="C187" i="68"/>
  <c r="C189" i="68"/>
  <c r="C191" i="68"/>
  <c r="C234" i="68"/>
  <c r="C236" i="68"/>
  <c r="C238" i="68"/>
  <c r="C247" i="68"/>
  <c r="C249" i="68"/>
  <c r="C251" i="68"/>
  <c r="C253" i="68"/>
  <c r="C255" i="68"/>
  <c r="C257" i="68"/>
  <c r="C259" i="68"/>
  <c r="C261" i="68"/>
  <c r="C263" i="68"/>
  <c r="C265" i="68"/>
  <c r="C239" i="68"/>
  <c r="C241" i="68"/>
  <c r="C243" i="68"/>
  <c r="C245" i="68"/>
  <c r="C272" i="68"/>
  <c r="C274" i="68"/>
  <c r="C276" i="68"/>
  <c r="C278" i="68"/>
  <c r="C280" i="68"/>
  <c r="C289" i="68"/>
  <c r="C291" i="68"/>
  <c r="C293" i="68"/>
  <c r="C295" i="68"/>
  <c r="C297" i="68"/>
  <c r="C299" i="68"/>
  <c r="C301" i="68"/>
  <c r="C303" i="68"/>
  <c r="C305" i="68"/>
  <c r="C307" i="68"/>
  <c r="C309" i="68"/>
  <c r="C311" i="68"/>
  <c r="C328" i="68"/>
  <c r="H1" i="18" s="1"/>
  <c r="C326" i="68"/>
  <c r="C324" i="68"/>
  <c r="C322" i="68"/>
  <c r="B1" i="18" s="1"/>
  <c r="C320" i="68"/>
  <c r="C318" i="68"/>
  <c r="C316" i="68"/>
  <c r="C314" i="68"/>
  <c r="C312" i="68"/>
  <c r="C308" i="68"/>
  <c r="C304" i="68"/>
  <c r="C300" i="68"/>
  <c r="C296" i="68"/>
  <c r="C292" i="68"/>
  <c r="C288" i="68"/>
  <c r="C277" i="68"/>
  <c r="C273" i="68"/>
  <c r="C244" i="68"/>
  <c r="C240" i="68"/>
  <c r="C264" i="68"/>
  <c r="C260" i="68"/>
  <c r="C256" i="68"/>
  <c r="C252" i="68"/>
  <c r="C248" i="68"/>
  <c r="C237" i="68"/>
  <c r="C192" i="68"/>
  <c r="C188" i="68"/>
  <c r="C184" i="68"/>
  <c r="C180" i="68"/>
  <c r="C176" i="68"/>
  <c r="C172" i="68"/>
  <c r="C168" i="68"/>
  <c r="C166" i="68"/>
  <c r="C162" i="68"/>
  <c r="C158" i="68"/>
  <c r="C154" i="68"/>
  <c r="C150" i="68"/>
  <c r="C146" i="68"/>
  <c r="C142" i="68"/>
  <c r="C138" i="68"/>
  <c r="C134" i="68"/>
  <c r="C130" i="68"/>
  <c r="C126" i="68"/>
  <c r="C122" i="68"/>
  <c r="C118" i="68"/>
  <c r="C114" i="68"/>
  <c r="C110" i="68"/>
  <c r="C106" i="68"/>
  <c r="C102" i="68"/>
  <c r="C86" i="68"/>
  <c r="C82" i="68"/>
  <c r="C78" i="68"/>
  <c r="C74" i="68"/>
  <c r="C70" i="68"/>
  <c r="C54" i="68"/>
  <c r="C49" i="68"/>
  <c r="C45" i="68"/>
  <c r="N8" i="42" s="1"/>
  <c r="C39" i="68"/>
  <c r="C35" i="68"/>
  <c r="Y9" i="42" s="1"/>
  <c r="C31" i="68"/>
  <c r="C27" i="68"/>
  <c r="C22" i="68"/>
  <c r="C18" i="68"/>
  <c r="C12" i="68"/>
  <c r="C8" i="68"/>
  <c r="C221" i="68"/>
  <c r="C14" i="68"/>
  <c r="C61" i="68"/>
  <c r="A6" i="68"/>
  <c r="A7" i="68" s="1"/>
  <c r="A8" i="68" s="1"/>
  <c r="A9" i="68" s="1"/>
  <c r="A10" i="68" s="1"/>
  <c r="A11" i="68" s="1"/>
  <c r="A12" i="68" s="1"/>
  <c r="A13" i="68" s="1"/>
  <c r="A14" i="68" s="1"/>
  <c r="A15" i="68" s="1"/>
  <c r="A16" i="68" s="1"/>
  <c r="A17" i="68" s="1"/>
  <c r="A18" i="68" s="1"/>
  <c r="A19" i="68" s="1"/>
  <c r="A20" i="68" s="1"/>
  <c r="A21" i="68" s="1"/>
  <c r="A22" i="68" s="1"/>
  <c r="A23" i="68" s="1"/>
  <c r="A24" i="68" s="1"/>
  <c r="A25" i="68" s="1"/>
  <c r="A26" i="68" s="1"/>
  <c r="A27" i="68" s="1"/>
  <c r="A28" i="68" s="1"/>
  <c r="A29" i="68" s="1"/>
  <c r="A30" i="68" s="1"/>
  <c r="A31" i="68" s="1"/>
  <c r="A32" i="68" s="1"/>
  <c r="A33" i="68" s="1"/>
  <c r="A34" i="68" s="1"/>
  <c r="A35" i="68" s="1"/>
  <c r="A36" i="68" s="1"/>
  <c r="A37" i="68" s="1"/>
  <c r="A38" i="68" s="1"/>
  <c r="A39" i="68" s="1"/>
  <c r="A40" i="68" s="1"/>
  <c r="A41" i="68" s="1"/>
  <c r="A42" i="68" s="1"/>
  <c r="A43" i="68" s="1"/>
  <c r="A44" i="68" s="1"/>
  <c r="A45" i="68" s="1"/>
  <c r="A46" i="68" s="1"/>
  <c r="A47" i="68" s="1"/>
  <c r="A48" i="68" s="1"/>
  <c r="A49" i="68" s="1"/>
  <c r="A50" i="68" s="1"/>
  <c r="A51" i="68" s="1"/>
  <c r="A52" i="68" s="1"/>
  <c r="A53" i="68" s="1"/>
  <c r="A54" i="68" s="1"/>
  <c r="A55" i="68" s="1"/>
  <c r="A56" i="68" s="1"/>
  <c r="A57" i="68" s="1"/>
  <c r="A58" i="68" s="1"/>
  <c r="A59" i="68" s="1"/>
  <c r="A60" i="68" s="1"/>
  <c r="A61" i="68" s="1"/>
  <c r="A62" i="68" s="1"/>
  <c r="A63" i="68" s="1"/>
  <c r="A64" i="68" s="1"/>
  <c r="A65" i="68" s="1"/>
  <c r="A66" i="68" s="1"/>
  <c r="A67" i="68" s="1"/>
  <c r="A68" i="68" s="1"/>
  <c r="A69" i="68" s="1"/>
  <c r="A70" i="68" s="1"/>
  <c r="A71" i="68" s="1"/>
  <c r="A72" i="68" s="1"/>
  <c r="A73" i="68" s="1"/>
  <c r="A74" i="68" s="1"/>
  <c r="A75" i="68" s="1"/>
  <c r="A76" i="68" s="1"/>
  <c r="A77" i="68" s="1"/>
  <c r="A78" i="68" s="1"/>
  <c r="A79" i="68" s="1"/>
  <c r="A80" i="68" s="1"/>
  <c r="A81" i="68" s="1"/>
  <c r="A82" i="68" s="1"/>
  <c r="A83" i="68" s="1"/>
  <c r="A84" i="68" s="1"/>
  <c r="A85" i="68" s="1"/>
  <c r="A86" i="68" s="1"/>
  <c r="A87" i="68" s="1"/>
  <c r="A88" i="68" s="1"/>
  <c r="A89" i="68" s="1"/>
  <c r="A90" i="68" s="1"/>
  <c r="A91" i="68" s="1"/>
  <c r="A92" i="68" s="1"/>
  <c r="A93" i="68" s="1"/>
  <c r="A94" i="68" s="1"/>
  <c r="A95" i="68" s="1"/>
  <c r="A96" i="68" s="1"/>
  <c r="A97" i="68" s="1"/>
  <c r="A98" i="68" s="1"/>
  <c r="A99" i="68" s="1"/>
  <c r="A100" i="68" s="1"/>
  <c r="A101" i="68" s="1"/>
  <c r="A102" i="68" s="1"/>
  <c r="A103" i="68" s="1"/>
  <c r="A104" i="68" s="1"/>
  <c r="A105" i="68" s="1"/>
  <c r="A106" i="68" s="1"/>
  <c r="A107" i="68" s="1"/>
  <c r="A108" i="68" s="1"/>
  <c r="A109" i="68" s="1"/>
  <c r="A110" i="68" s="1"/>
  <c r="A111" i="68" s="1"/>
  <c r="A112" i="68" s="1"/>
  <c r="A113" i="68" s="1"/>
  <c r="A114" i="68" s="1"/>
  <c r="A115" i="68" s="1"/>
  <c r="A116" i="68" s="1"/>
  <c r="A117" i="68" s="1"/>
  <c r="A118" i="68" s="1"/>
  <c r="A119" i="68" s="1"/>
  <c r="A120" i="68" s="1"/>
  <c r="A121" i="68" s="1"/>
  <c r="A122" i="68" s="1"/>
  <c r="A123" i="68" s="1"/>
  <c r="A124" i="68" s="1"/>
  <c r="A125" i="68" s="1"/>
  <c r="A126" i="68" s="1"/>
  <c r="A127" i="68" s="1"/>
  <c r="A128" i="68" s="1"/>
  <c r="A129" i="68" s="1"/>
  <c r="A130" i="68" s="1"/>
  <c r="A131" i="68" s="1"/>
  <c r="A132" i="68" s="1"/>
  <c r="A133" i="68" s="1"/>
  <c r="A134" i="68" s="1"/>
  <c r="A135" i="68" s="1"/>
  <c r="A136" i="68" s="1"/>
  <c r="A137" i="68" s="1"/>
  <c r="A138" i="68" s="1"/>
  <c r="A139" i="68" s="1"/>
  <c r="A140" i="68" s="1"/>
  <c r="A141" i="68" s="1"/>
  <c r="A142" i="68" s="1"/>
  <c r="A143" i="68" s="1"/>
  <c r="A144" i="68" s="1"/>
  <c r="A145" i="68" s="1"/>
  <c r="A146" i="68" s="1"/>
  <c r="A147" i="68" s="1"/>
  <c r="A148" i="68" s="1"/>
  <c r="A149" i="68" s="1"/>
  <c r="A150" i="68" s="1"/>
  <c r="A151" i="68" s="1"/>
  <c r="A152" i="68" s="1"/>
  <c r="A153" i="68" s="1"/>
  <c r="A154" i="68" s="1"/>
  <c r="A155" i="68" s="1"/>
  <c r="A156" i="68" s="1"/>
  <c r="A157" i="68" s="1"/>
  <c r="A158" i="68" s="1"/>
  <c r="A159" i="68" s="1"/>
  <c r="A160" i="68" s="1"/>
  <c r="A161" i="68" s="1"/>
  <c r="A162" i="68" s="1"/>
  <c r="A163" i="68" s="1"/>
  <c r="A164" i="68" s="1"/>
  <c r="A165" i="68" s="1"/>
  <c r="A166" i="68" s="1"/>
  <c r="A167" i="68" s="1"/>
  <c r="A168" i="68" s="1"/>
  <c r="A169" i="68" s="1"/>
  <c r="A170" i="68" s="1"/>
  <c r="A171" i="68" s="1"/>
  <c r="A172" i="68" s="1"/>
  <c r="A173" i="68" s="1"/>
  <c r="A174" i="68" s="1"/>
  <c r="A175" i="68" s="1"/>
  <c r="A176" i="68" s="1"/>
  <c r="A177" i="68" s="1"/>
  <c r="A178" i="68" s="1"/>
  <c r="A179" i="68" s="1"/>
  <c r="A180" i="68" s="1"/>
  <c r="A181" i="68" s="1"/>
  <c r="A182" i="68" s="1"/>
  <c r="A183" i="68" s="1"/>
  <c r="A184" i="68" s="1"/>
  <c r="A185" i="68" s="1"/>
  <c r="A186" i="68" s="1"/>
  <c r="A187" i="68" s="1"/>
  <c r="A188" i="68" s="1"/>
  <c r="A189" i="68" s="1"/>
  <c r="A190" i="68" s="1"/>
  <c r="A191" i="68" s="1"/>
  <c r="A192" i="68" s="1"/>
  <c r="A193" i="68" s="1"/>
  <c r="A194" i="68" s="1"/>
  <c r="A195" i="68" s="1"/>
  <c r="A196" i="68" s="1"/>
  <c r="A197" i="68" s="1"/>
  <c r="A198" i="68" s="1"/>
  <c r="A199" i="68" s="1"/>
  <c r="A200" i="68" s="1"/>
  <c r="A201" i="68" s="1"/>
  <c r="A202" i="68" s="1"/>
  <c r="A203" i="68" s="1"/>
  <c r="A204" i="68" s="1"/>
  <c r="A205" i="68" s="1"/>
  <c r="A206" i="68" s="1"/>
  <c r="A207" i="68" s="1"/>
  <c r="A208" i="68" s="1"/>
  <c r="A209" i="68" s="1"/>
  <c r="A210" i="68" s="1"/>
  <c r="A211" i="68" s="1"/>
  <c r="A212" i="68" s="1"/>
  <c r="A213" i="68" s="1"/>
  <c r="A214" i="68" s="1"/>
  <c r="A215" i="68" s="1"/>
  <c r="A216" i="68" s="1"/>
  <c r="A217" i="68" s="1"/>
  <c r="A218" i="68" s="1"/>
  <c r="A219" i="68" s="1"/>
  <c r="A220" i="68" s="1"/>
  <c r="A221" i="68" s="1"/>
  <c r="C6" i="68"/>
  <c r="U20" i="42" s="1"/>
  <c r="C64" i="68"/>
  <c r="C63" i="68"/>
  <c r="C68" i="68"/>
  <c r="C59" i="68"/>
  <c r="C58" i="68"/>
  <c r="C57" i="68"/>
  <c r="X33" i="42" s="1"/>
  <c r="C56" i="68"/>
  <c r="X32" i="42" s="1"/>
  <c r="C95" i="68"/>
  <c r="C94" i="68"/>
  <c r="C93" i="68"/>
  <c r="C100" i="68"/>
  <c r="C99" i="68"/>
  <c r="C98" i="68"/>
  <c r="C92" i="68"/>
  <c r="C91" i="68"/>
  <c r="C90" i="68"/>
  <c r="C89" i="68"/>
  <c r="F16" i="68"/>
  <c r="C16" i="68" s="1"/>
  <c r="C24" i="68"/>
  <c r="C196" i="68"/>
  <c r="C195" i="68"/>
  <c r="C194" i="68"/>
  <c r="C193" i="68"/>
  <c r="C281" i="68"/>
  <c r="C282" i="68"/>
  <c r="C283" i="68"/>
  <c r="C284" i="68"/>
  <c r="C285" i="68"/>
  <c r="C286" i="68"/>
  <c r="C287" i="68"/>
  <c r="H2" i="18"/>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J10" i="85"/>
  <c r="E18" i="82"/>
  <c r="E25" i="82"/>
  <c r="Q24" i="82"/>
  <c r="J17" i="85"/>
  <c r="K25" i="42"/>
  <c r="K24" i="42"/>
  <c r="D3" i="16" l="1"/>
  <c r="E3" i="16"/>
  <c r="U3" i="8"/>
  <c r="C3" i="16"/>
  <c r="D3" i="42"/>
  <c r="D10" i="42"/>
  <c r="B8" i="7"/>
  <c r="R43" i="13"/>
  <c r="R44" i="13"/>
  <c r="B20" i="7"/>
  <c r="X20" i="7"/>
  <c r="AA33" i="7"/>
  <c r="B21" i="7"/>
  <c r="B5" i="7"/>
  <c r="R45" i="13"/>
  <c r="R46" i="13"/>
  <c r="Q47" i="13"/>
  <c r="T20" i="42"/>
  <c r="L7" i="42"/>
  <c r="A9" i="69"/>
  <c r="S1" i="20"/>
  <c r="V2" i="20"/>
  <c r="W2" i="20" s="1"/>
  <c r="G2" i="20"/>
  <c r="B49" i="20"/>
  <c r="B42" i="20"/>
  <c r="N23" i="20"/>
  <c r="N19" i="20"/>
  <c r="N14" i="20"/>
  <c r="N31" i="20"/>
  <c r="N27" i="20"/>
  <c r="N24" i="20"/>
  <c r="N20" i="20"/>
  <c r="N16" i="20"/>
  <c r="N11" i="20"/>
  <c r="N28" i="20"/>
  <c r="N15" i="20"/>
  <c r="E2" i="20"/>
  <c r="V3" i="20"/>
  <c r="W3" i="20" s="1"/>
  <c r="B28" i="20"/>
  <c r="N25" i="20"/>
  <c r="N21" i="20"/>
  <c r="N17" i="20"/>
  <c r="N12" i="20"/>
  <c r="N29" i="20"/>
  <c r="N32" i="20"/>
  <c r="N22" i="20"/>
  <c r="N18" i="20"/>
  <c r="N13" i="20"/>
  <c r="N30" i="20"/>
  <c r="N26" i="20"/>
  <c r="U31" i="8"/>
  <c r="X10" i="8"/>
  <c r="X28" i="8"/>
  <c r="X19" i="8"/>
  <c r="X37" i="8"/>
  <c r="R15" i="85"/>
  <c r="H25" i="82"/>
  <c r="R15" i="82"/>
  <c r="F1" i="85"/>
  <c r="H1" i="85"/>
  <c r="J1" i="85"/>
  <c r="D1" i="85"/>
  <c r="Y47" i="85"/>
  <c r="AC18" i="85"/>
  <c r="Y43" i="85"/>
  <c r="AC14" i="85"/>
  <c r="Y39" i="85"/>
  <c r="AC10" i="85"/>
  <c r="AC19" i="85"/>
  <c r="Y48" i="85"/>
  <c r="Y40" i="85"/>
  <c r="AC11" i="85"/>
  <c r="AC17" i="85"/>
  <c r="Y46" i="85"/>
  <c r="L26" i="85"/>
  <c r="Y38" i="85"/>
  <c r="AC9" i="85"/>
  <c r="Y49" i="85"/>
  <c r="AC20" i="85"/>
  <c r="Y45" i="85"/>
  <c r="AC16" i="85"/>
  <c r="Y41" i="85"/>
  <c r="AC12" i="85"/>
  <c r="Y44" i="85"/>
  <c r="AC15" i="85"/>
  <c r="Y42" i="85"/>
  <c r="AC13" i="85"/>
  <c r="C26" i="82"/>
  <c r="I1" i="82"/>
  <c r="X47" i="82"/>
  <c r="AB18" i="82"/>
  <c r="X43" i="82"/>
  <c r="AB14" i="82"/>
  <c r="AB10" i="82"/>
  <c r="X39" i="82"/>
  <c r="AB19" i="82"/>
  <c r="X48" i="82"/>
  <c r="X40" i="82"/>
  <c r="AB11" i="82"/>
  <c r="X46" i="82"/>
  <c r="AB17" i="82"/>
  <c r="G1" i="82"/>
  <c r="D1" i="82"/>
  <c r="E1" i="82"/>
  <c r="X38" i="82"/>
  <c r="AB9" i="82"/>
  <c r="X49" i="82"/>
  <c r="AB20" i="82"/>
  <c r="X45" i="82"/>
  <c r="AB16" i="82"/>
  <c r="X41" i="82"/>
  <c r="AB12" i="82"/>
  <c r="X44" i="82"/>
  <c r="AB15" i="82"/>
  <c r="X42" i="82"/>
  <c r="AB13" i="82"/>
  <c r="AF2" i="13"/>
  <c r="AE2" i="13"/>
  <c r="AA8" i="20"/>
  <c r="AA5" i="20"/>
  <c r="AA2" i="20"/>
  <c r="AA4" i="20"/>
  <c r="AA7" i="20"/>
  <c r="AA3" i="20"/>
  <c r="AA6" i="20"/>
  <c r="S8" i="20"/>
  <c r="S5" i="20"/>
  <c r="S4" i="20"/>
  <c r="S7" i="20"/>
  <c r="S3" i="20"/>
  <c r="S6" i="20"/>
  <c r="S2" i="20"/>
  <c r="Q31" i="8"/>
  <c r="Z31" i="8"/>
  <c r="O31" i="8"/>
  <c r="X31" i="8"/>
  <c r="M31" i="8"/>
  <c r="V31" i="8"/>
  <c r="R31" i="8"/>
  <c r="AA31" i="8"/>
  <c r="P31" i="8"/>
  <c r="Y31" i="8"/>
  <c r="N31" i="8"/>
  <c r="W31" i="8"/>
  <c r="C31" i="8"/>
  <c r="L31" i="8"/>
  <c r="Z22" i="8"/>
  <c r="H31" i="8"/>
  <c r="X22" i="8"/>
  <c r="F31" i="8"/>
  <c r="V22" i="8"/>
  <c r="D31" i="8"/>
  <c r="AA22" i="8"/>
  <c r="I31" i="8"/>
  <c r="Y22" i="8"/>
  <c r="G31" i="8"/>
  <c r="W22" i="8"/>
  <c r="E31" i="8"/>
  <c r="L22" i="8"/>
  <c r="U22" i="8"/>
  <c r="H22" i="8"/>
  <c r="Q22" i="8"/>
  <c r="F22" i="8"/>
  <c r="O22" i="8"/>
  <c r="D22" i="8"/>
  <c r="M22" i="8"/>
  <c r="I22" i="8"/>
  <c r="R22" i="8"/>
  <c r="G22" i="8"/>
  <c r="P22" i="8"/>
  <c r="E22" i="8"/>
  <c r="N22" i="8"/>
  <c r="U13" i="8"/>
  <c r="C22" i="8"/>
  <c r="Q13" i="8"/>
  <c r="Z13" i="8"/>
  <c r="O13" i="8"/>
  <c r="X13" i="8"/>
  <c r="M13" i="8"/>
  <c r="V13" i="8"/>
  <c r="R13" i="8"/>
  <c r="AA13" i="8"/>
  <c r="P13" i="8"/>
  <c r="Y13" i="8"/>
  <c r="N13" i="8"/>
  <c r="W13" i="8"/>
  <c r="C13" i="8"/>
  <c r="L13" i="8"/>
  <c r="Z4" i="8"/>
  <c r="H13" i="8"/>
  <c r="X4" i="8"/>
  <c r="F13" i="8"/>
  <c r="V4" i="8"/>
  <c r="D13" i="8"/>
  <c r="AA4" i="8"/>
  <c r="I13" i="8"/>
  <c r="Y4" i="8"/>
  <c r="G13" i="8"/>
  <c r="W4" i="8"/>
  <c r="E13" i="8"/>
  <c r="L4" i="8"/>
  <c r="U4" i="8"/>
  <c r="H4" i="8"/>
  <c r="Q4" i="8"/>
  <c r="F4" i="8"/>
  <c r="O4" i="8"/>
  <c r="D4" i="8"/>
  <c r="M4" i="8"/>
  <c r="I4" i="8"/>
  <c r="R4" i="8"/>
  <c r="G4" i="8"/>
  <c r="P4" i="8"/>
  <c r="E4" i="8"/>
  <c r="N4" i="8"/>
  <c r="R21" i="13"/>
  <c r="AF21" i="13" s="1"/>
  <c r="C4" i="8"/>
  <c r="AM11" i="13"/>
  <c r="AB11" i="69"/>
  <c r="AM7" i="13"/>
  <c r="AB7" i="69"/>
  <c r="AM3" i="13"/>
  <c r="AB3" i="69"/>
  <c r="AM12" i="13"/>
  <c r="AB12" i="69"/>
  <c r="AM4" i="13"/>
  <c r="AB4" i="69"/>
  <c r="AM10" i="13"/>
  <c r="AB10" i="69"/>
  <c r="AM6" i="13"/>
  <c r="AB6" i="69"/>
  <c r="AM13" i="13"/>
  <c r="AB13" i="69"/>
  <c r="AM9" i="13"/>
  <c r="AB9" i="69"/>
  <c r="AM5" i="13"/>
  <c r="AB5" i="69"/>
  <c r="AM8" i="13"/>
  <c r="AB8" i="69"/>
  <c r="AM2" i="13"/>
  <c r="AB2" i="69"/>
  <c r="V21" i="13"/>
  <c r="AJ21" i="13" s="1"/>
  <c r="V35" i="13"/>
  <c r="AJ35" i="13" s="1"/>
  <c r="T21" i="13"/>
  <c r="AH21" i="13" s="1"/>
  <c r="T35" i="13"/>
  <c r="AH35" i="13" s="1"/>
  <c r="R35" i="13"/>
  <c r="AF35" i="13" s="1"/>
  <c r="W21" i="13"/>
  <c r="AK21" i="13" s="1"/>
  <c r="W35" i="13"/>
  <c r="AK35" i="13" s="1"/>
  <c r="U21" i="13"/>
  <c r="AI21" i="13" s="1"/>
  <c r="U35" i="13"/>
  <c r="AI35" i="13" s="1"/>
  <c r="S21" i="13"/>
  <c r="AG21" i="13" s="1"/>
  <c r="S35" i="13"/>
  <c r="AG35" i="13" s="1"/>
  <c r="X21" i="13"/>
  <c r="AL21" i="13" s="1"/>
  <c r="X35" i="13"/>
  <c r="AL35" i="13" s="1"/>
  <c r="F3" i="69"/>
  <c r="D11" i="69"/>
  <c r="A11" i="69"/>
  <c r="A10" i="69"/>
  <c r="A8" i="69"/>
  <c r="A7" i="69"/>
  <c r="A6" i="69"/>
  <c r="B3" i="20"/>
  <c r="O9" i="20"/>
  <c r="B1" i="20"/>
  <c r="E53" i="20"/>
  <c r="E52" i="20"/>
  <c r="E51" i="20"/>
  <c r="E50" i="20"/>
  <c r="X35" i="42"/>
  <c r="Z33" i="42"/>
  <c r="B1" i="42"/>
  <c r="Y31" i="42"/>
  <c r="X34" i="42"/>
  <c r="Z31" i="42"/>
  <c r="B3" i="16"/>
  <c r="E1" i="16"/>
  <c r="A1" i="15"/>
  <c r="C3" i="15"/>
  <c r="A3" i="15"/>
  <c r="B3" i="15"/>
  <c r="D3" i="15"/>
  <c r="A2" i="30"/>
  <c r="W2" i="69"/>
  <c r="D2" i="31"/>
  <c r="F2" i="20"/>
  <c r="B2" i="20"/>
  <c r="D2" i="20"/>
  <c r="C2" i="20"/>
  <c r="C1" i="8"/>
  <c r="B3" i="7"/>
  <c r="B7" i="7"/>
  <c r="B11" i="7"/>
  <c r="B15" i="7"/>
  <c r="Q21" i="7"/>
  <c r="Q27" i="7"/>
  <c r="B32" i="7"/>
  <c r="Q36" i="7"/>
  <c r="Q39" i="7"/>
  <c r="B37" i="7"/>
  <c r="E35" i="7"/>
  <c r="B33" i="7"/>
  <c r="B30" i="7"/>
  <c r="B28" i="7"/>
  <c r="N24" i="7"/>
  <c r="B22" i="7"/>
  <c r="Q20" i="7"/>
  <c r="Q15" i="7"/>
  <c r="X13" i="7"/>
  <c r="Q11" i="7"/>
  <c r="X9" i="7"/>
  <c r="B6" i="7"/>
  <c r="B4" i="7"/>
  <c r="B2" i="7"/>
  <c r="B12" i="7"/>
  <c r="Q22" i="7"/>
  <c r="Q33" i="7"/>
  <c r="Q6" i="7"/>
  <c r="X24" i="7"/>
  <c r="B10" i="7"/>
  <c r="B17" i="7"/>
  <c r="X5" i="7"/>
  <c r="Q9" i="7"/>
  <c r="B13" i="7"/>
  <c r="B24" i="7"/>
  <c r="Q29" i="7"/>
  <c r="B34" i="7"/>
  <c r="B39" i="7"/>
  <c r="Q38" i="7"/>
  <c r="E36" i="7"/>
  <c r="B31" i="7"/>
  <c r="B29" i="7"/>
  <c r="B27" i="7"/>
  <c r="B23" i="7"/>
  <c r="B19" i="7"/>
  <c r="Q14" i="7"/>
  <c r="Q12" i="7"/>
  <c r="W10" i="7"/>
  <c r="B9" i="7"/>
  <c r="Q5" i="7"/>
  <c r="B26" i="7"/>
  <c r="B18" i="7"/>
  <c r="Q28" i="7"/>
  <c r="B38" i="7"/>
  <c r="B14" i="7"/>
  <c r="Q35" i="7"/>
  <c r="Q30" i="7"/>
  <c r="B3" i="2"/>
  <c r="B51" i="2"/>
  <c r="B59" i="2"/>
  <c r="B33" i="2"/>
  <c r="B5" i="2"/>
  <c r="B11" i="2"/>
  <c r="B10" i="2"/>
  <c r="B32" i="2"/>
  <c r="B50" i="2"/>
  <c r="B21" i="2"/>
  <c r="B40" i="2"/>
  <c r="G17" i="1"/>
  <c r="B13" i="1"/>
  <c r="B1" i="1"/>
  <c r="Y33" i="42"/>
  <c r="AF1" i="13"/>
  <c r="B231" i="68"/>
  <c r="B227" i="68"/>
  <c r="B223" i="68"/>
  <c r="B228" i="68"/>
  <c r="B226" i="68"/>
  <c r="B233" i="68"/>
  <c r="B229" i="68"/>
  <c r="B225" i="68"/>
  <c r="B232" i="68"/>
  <c r="B224" i="68"/>
  <c r="B230" i="68"/>
  <c r="L12" i="8"/>
  <c r="C21" i="8"/>
  <c r="U21" i="8"/>
  <c r="U2" i="69"/>
  <c r="L30" i="8"/>
  <c r="C12" i="8"/>
  <c r="U12" i="8"/>
  <c r="U1" i="69"/>
  <c r="L3" i="8"/>
  <c r="C30" i="8"/>
  <c r="L21" i="8"/>
  <c r="U30" i="8"/>
  <c r="V2" i="69"/>
  <c r="X2" i="69"/>
  <c r="AG2" i="13"/>
  <c r="AH2" i="13"/>
  <c r="C3" i="8"/>
  <c r="B222" i="68"/>
  <c r="B20" i="2"/>
  <c r="G25" i="82"/>
  <c r="G18" i="82"/>
  <c r="R24" i="82"/>
  <c r="T30" i="42"/>
  <c r="T31" i="42"/>
  <c r="T32" i="42"/>
  <c r="F26" i="20" l="1"/>
  <c r="F22" i="20"/>
  <c r="F24" i="20"/>
  <c r="F25" i="20"/>
  <c r="F21" i="20"/>
  <c r="F23" i="20"/>
  <c r="F19" i="20"/>
  <c r="F20" i="20"/>
  <c r="F17" i="20"/>
  <c r="F18" i="20"/>
  <c r="F15" i="20"/>
  <c r="F16" i="20"/>
  <c r="C13" i="42"/>
  <c r="A222" i="68"/>
  <c r="A223" i="68" s="1"/>
  <c r="A224" i="68" s="1"/>
  <c r="A225" i="68" s="1"/>
  <c r="A226" i="68" s="1"/>
  <c r="A227" i="68" s="1"/>
  <c r="A228" i="68" s="1"/>
  <c r="A229" i="68" s="1"/>
  <c r="A230" i="68" s="1"/>
  <c r="A231" i="68" s="1"/>
  <c r="A232" i="68" s="1"/>
  <c r="A233" i="68" s="1"/>
  <c r="A234" i="68" s="1"/>
  <c r="A235" i="68" s="1"/>
  <c r="A236" i="68" s="1"/>
  <c r="A237" i="68" s="1"/>
  <c r="A238" i="68" s="1"/>
  <c r="A239" i="68" s="1"/>
  <c r="A240" i="68" s="1"/>
  <c r="A241" i="68" s="1"/>
  <c r="A242" i="68" s="1"/>
  <c r="A243" i="68" s="1"/>
  <c r="A244" i="68" s="1"/>
  <c r="A245" i="68" s="1"/>
  <c r="A246" i="68" s="1"/>
  <c r="A247" i="68" s="1"/>
  <c r="A248" i="68" s="1"/>
  <c r="A249" i="68" s="1"/>
  <c r="A250" i="68" s="1"/>
  <c r="A251" i="68" s="1"/>
  <c r="A252" i="68" s="1"/>
  <c r="A253" i="68" s="1"/>
  <c r="A254" i="68" s="1"/>
  <c r="A255" i="68" s="1"/>
  <c r="A256" i="68" s="1"/>
  <c r="A257" i="68" s="1"/>
  <c r="A258" i="68" s="1"/>
  <c r="A259" i="68" s="1"/>
  <c r="A260" i="68" s="1"/>
  <c r="A261" i="68" s="1"/>
  <c r="A262" i="68" s="1"/>
  <c r="A263" i="68" s="1"/>
  <c r="A264" i="68" s="1"/>
  <c r="A265" i="68" s="1"/>
  <c r="A266" i="68" s="1"/>
  <c r="A267" i="68" s="1"/>
  <c r="A268" i="68" s="1"/>
  <c r="A269" i="68" s="1"/>
  <c r="A270" i="68" s="1"/>
  <c r="A271" i="68" s="1"/>
  <c r="A272" i="68" s="1"/>
  <c r="A273" i="68" s="1"/>
  <c r="A274" i="68" s="1"/>
  <c r="A275" i="68" s="1"/>
  <c r="A276" i="68" s="1"/>
  <c r="A277" i="68" s="1"/>
  <c r="A278" i="68" s="1"/>
  <c r="A279" i="68" s="1"/>
  <c r="A280" i="68" s="1"/>
  <c r="A281" i="68" s="1"/>
  <c r="A282" i="68" s="1"/>
  <c r="A283" i="68" s="1"/>
  <c r="A284" i="68" s="1"/>
  <c r="A285" i="68" s="1"/>
  <c r="A286" i="68" s="1"/>
  <c r="A287" i="68" s="1"/>
  <c r="A288" i="68" s="1"/>
  <c r="A289" i="68" s="1"/>
  <c r="A290" i="68" s="1"/>
  <c r="A291" i="68" s="1"/>
  <c r="A292" i="68" s="1"/>
  <c r="A293" i="68" s="1"/>
  <c r="A294" i="68" s="1"/>
  <c r="A295" i="68" s="1"/>
  <c r="A296" i="68" s="1"/>
  <c r="A297" i="68" s="1"/>
  <c r="A298" i="68" s="1"/>
  <c r="A299" i="68" s="1"/>
  <c r="A300" i="68" s="1"/>
  <c r="A301" i="68" s="1"/>
  <c r="A302" i="68" s="1"/>
  <c r="A303" i="68" s="1"/>
  <c r="A304" i="68" s="1"/>
  <c r="A305" i="68" s="1"/>
  <c r="A306" i="68" s="1"/>
  <c r="A307" i="68" s="1"/>
  <c r="A308" i="68" s="1"/>
  <c r="A309" i="68" s="1"/>
  <c r="A310" i="68" s="1"/>
  <c r="A311" i="68" s="1"/>
  <c r="A312" i="68" s="1"/>
  <c r="A313" i="68" s="1"/>
  <c r="A314" i="68" s="1"/>
  <c r="A315" i="68" s="1"/>
  <c r="A316" i="68" s="1"/>
  <c r="A317" i="68" s="1"/>
  <c r="A318" i="68" s="1"/>
  <c r="A319" i="68" s="1"/>
  <c r="A320" i="68" s="1"/>
  <c r="A321" i="68" s="1"/>
  <c r="A322" i="68" s="1"/>
  <c r="A323" i="68" s="1"/>
  <c r="A324" i="68" s="1"/>
  <c r="A325" i="68" s="1"/>
  <c r="A326" i="68" s="1"/>
  <c r="A327" i="68" s="1"/>
  <c r="A328" i="68" s="1"/>
  <c r="A329" i="68" s="1"/>
  <c r="A330" i="68" s="1"/>
  <c r="A331" i="68" s="1"/>
  <c r="A332" i="68" s="1"/>
  <c r="A333" i="68" s="1"/>
  <c r="A334" i="68" s="1"/>
  <c r="A335" i="68" s="1"/>
  <c r="A336" i="68" s="1"/>
  <c r="A337" i="68" s="1"/>
  <c r="A338" i="68" s="1"/>
  <c r="A339" i="68" s="1"/>
  <c r="A340" i="68" s="1"/>
  <c r="A341" i="68" s="1"/>
  <c r="A342" i="68" s="1"/>
  <c r="A343" i="68" s="1"/>
  <c r="A344" i="68" s="1"/>
  <c r="A345" i="68" s="1"/>
  <c r="A346" i="68" s="1"/>
  <c r="A347" i="68" s="1"/>
  <c r="A348" i="68" s="1"/>
  <c r="A349" i="68" s="1"/>
  <c r="A350" i="68" s="1"/>
  <c r="A351" i="68" s="1"/>
  <c r="A352" i="68" s="1"/>
  <c r="A353" i="68" s="1"/>
  <c r="A354" i="68" s="1"/>
  <c r="J25" i="82"/>
  <c r="S15" i="82"/>
  <c r="S15" i="85"/>
  <c r="AC6" i="85"/>
  <c r="AB6" i="82"/>
  <c r="L1" i="85"/>
  <c r="C1" i="82"/>
  <c r="B6" i="1"/>
  <c r="BB3" i="8"/>
  <c r="AS30" i="8"/>
  <c r="BB21" i="8"/>
  <c r="AJ21" i="8"/>
  <c r="AS12" i="8"/>
  <c r="BB30" i="8"/>
  <c r="AY30" i="8" s="1"/>
  <c r="AK38" i="8" s="1"/>
  <c r="AJ30" i="8"/>
  <c r="AS21" i="8"/>
  <c r="BB12" i="8"/>
  <c r="AJ12" i="8"/>
  <c r="AS3" i="8"/>
  <c r="AJ3" i="8"/>
  <c r="AF3" i="8" s="1"/>
  <c r="AK4" i="8"/>
  <c r="BC22" i="8"/>
  <c r="AO22" i="8"/>
  <c r="AH22" i="8"/>
  <c r="BB13" i="8"/>
  <c r="AT13" i="8"/>
  <c r="AX31" i="8"/>
  <c r="AF13" i="8"/>
  <c r="AQ31" i="8"/>
  <c r="AZ4" i="8"/>
  <c r="AJ31" i="8"/>
  <c r="AS4" i="8"/>
  <c r="AP31" i="8"/>
  <c r="AE22" i="8"/>
  <c r="AI22" i="8"/>
  <c r="AY4" i="8"/>
  <c r="AT31" i="8"/>
  <c r="AK22" i="8"/>
  <c r="BC4" i="8"/>
  <c r="AF31" i="8"/>
  <c r="AX13" i="8"/>
  <c r="AO4" i="8"/>
  <c r="AZ22" i="8"/>
  <c r="AQ13" i="8"/>
  <c r="AH4" i="8"/>
  <c r="BB31" i="8"/>
  <c r="AS22" i="8"/>
  <c r="AJ13" i="8"/>
  <c r="BC31" i="8"/>
  <c r="AK31" i="8"/>
  <c r="AT22" i="8"/>
  <c r="BC13" i="8"/>
  <c r="AK13" i="8"/>
  <c r="AT4" i="8"/>
  <c r="AO31" i="8"/>
  <c r="AX22" i="8"/>
  <c r="AF22" i="8"/>
  <c r="AO13" i="8"/>
  <c r="AX4" i="8"/>
  <c r="AF4" i="8"/>
  <c r="AZ31" i="8"/>
  <c r="AH31" i="8"/>
  <c r="AQ22" i="8"/>
  <c r="AZ13" i="8"/>
  <c r="AH13" i="8"/>
  <c r="AQ4" i="8"/>
  <c r="AS31" i="8"/>
  <c r="BB22" i="8"/>
  <c r="AJ22" i="8"/>
  <c r="AS13" i="8"/>
  <c r="BB4" i="8"/>
  <c r="AJ4" i="8"/>
  <c r="AN31" i="8"/>
  <c r="AW4" i="8"/>
  <c r="AG22" i="8"/>
  <c r="AR31" i="8"/>
  <c r="BA4" i="8"/>
  <c r="AW22" i="8"/>
  <c r="AN13" i="8"/>
  <c r="AE4" i="8"/>
  <c r="AY22" i="8"/>
  <c r="AP13" i="8"/>
  <c r="AG4" i="8"/>
  <c r="BA22" i="8"/>
  <c r="AR13" i="8"/>
  <c r="AI4" i="8"/>
  <c r="AW31" i="8"/>
  <c r="AE31" i="8"/>
  <c r="AN22" i="8"/>
  <c r="AW13" i="8"/>
  <c r="AE13" i="8"/>
  <c r="AN4" i="8"/>
  <c r="AY31" i="8"/>
  <c r="AG31" i="8"/>
  <c r="AP22" i="8"/>
  <c r="AY13" i="8"/>
  <c r="AG13" i="8"/>
  <c r="AP4" i="8"/>
  <c r="BA31" i="8"/>
  <c r="AI31" i="8"/>
  <c r="AR22" i="8"/>
  <c r="BA13" i="8"/>
  <c r="AI13" i="8"/>
  <c r="AR4" i="8"/>
  <c r="I18" i="82"/>
  <c r="I25" i="82"/>
  <c r="AG10" i="8"/>
  <c r="AK10" i="8"/>
  <c r="C11" i="8" l="1"/>
  <c r="AE38" i="8"/>
  <c r="AG38" i="8" s="1"/>
  <c r="T15" i="85"/>
  <c r="T15" i="82"/>
  <c r="AE15" i="13"/>
  <c r="AE13" i="13" s="1"/>
  <c r="AF12" i="8"/>
  <c r="AG12" i="8"/>
  <c r="AP21" i="8"/>
  <c r="AO21" i="8"/>
  <c r="AX30" i="8"/>
  <c r="AG21" i="8"/>
  <c r="AF21" i="8"/>
  <c r="AP30" i="8"/>
  <c r="AO30" i="8"/>
  <c r="AX3" i="8"/>
  <c r="AY3" i="8"/>
  <c r="AG3" i="8"/>
  <c r="AO3" i="8"/>
  <c r="AP3" i="8"/>
  <c r="AX12" i="8"/>
  <c r="AY12" i="8"/>
  <c r="AG30" i="8"/>
  <c r="AF30" i="8"/>
  <c r="AP12" i="8"/>
  <c r="AO12" i="8"/>
  <c r="AY21" i="8"/>
  <c r="AX21" i="8"/>
  <c r="AQ19" i="8"/>
  <c r="AP28" i="8"/>
  <c r="D43" i="20"/>
  <c r="D47" i="20"/>
  <c r="AG28" i="8"/>
  <c r="AK37" i="8"/>
  <c r="AH19" i="8"/>
  <c r="AZ10" i="8"/>
  <c r="AS37" i="8"/>
  <c r="AH10" i="8"/>
  <c r="AR37" i="8"/>
  <c r="AK28" i="8"/>
  <c r="AT28" i="8"/>
  <c r="AI37" i="8"/>
  <c r="AJ19" i="8"/>
  <c r="AI19" i="8"/>
  <c r="AH37" i="8"/>
  <c r="BC10" i="8"/>
  <c r="BB10" i="8"/>
  <c r="AY10" i="8"/>
  <c r="AJ28" i="8"/>
  <c r="D46" i="20"/>
  <c r="T24" i="85"/>
  <c r="BB37" i="8"/>
  <c r="AT10" i="8"/>
  <c r="AR28" i="8"/>
  <c r="AQ10" i="8"/>
  <c r="AQ37" i="8"/>
  <c r="AY37" i="8"/>
  <c r="AR19" i="8"/>
  <c r="BC19" i="8"/>
  <c r="AG19" i="8"/>
  <c r="AS19" i="8"/>
  <c r="AY28" i="8"/>
  <c r="AJ10" i="8"/>
  <c r="AI10" i="8"/>
  <c r="AS28" i="8"/>
  <c r="D48" i="20"/>
  <c r="D45" i="20"/>
  <c r="AS10" i="8"/>
  <c r="AI28" i="8"/>
  <c r="AY19" i="8"/>
  <c r="AT37" i="8"/>
  <c r="AZ19" i="8"/>
  <c r="AT19" i="8"/>
  <c r="AJ37" i="8"/>
  <c r="AG37" i="8"/>
  <c r="BA19" i="8"/>
  <c r="BC37" i="8"/>
  <c r="BA28" i="8"/>
  <c r="BA37" i="8"/>
  <c r="AQ28" i="8"/>
  <c r="BB28" i="8"/>
  <c r="AP10" i="8"/>
  <c r="BB19" i="8"/>
  <c r="D44" i="20"/>
  <c r="AH28" i="8"/>
  <c r="AZ37" i="8"/>
  <c r="AP37" i="8"/>
  <c r="AZ28" i="8"/>
  <c r="AR10" i="8"/>
  <c r="BC28" i="8"/>
  <c r="AK19" i="8"/>
  <c r="BA10" i="8"/>
  <c r="AP19" i="8"/>
  <c r="U38" i="8" l="1"/>
  <c r="C38" i="8"/>
  <c r="L20" i="8"/>
  <c r="U20" i="8"/>
  <c r="L11" i="8"/>
  <c r="L29" i="8"/>
  <c r="C20" i="8"/>
  <c r="U11" i="8"/>
  <c r="C29" i="8"/>
  <c r="L38" i="8"/>
  <c r="U29" i="8"/>
  <c r="AI38" i="8"/>
  <c r="AR42" i="8" s="1"/>
  <c r="AS42" i="8" s="1"/>
  <c r="K42" i="8" s="1"/>
  <c r="AA38" i="8"/>
  <c r="Y38" i="8"/>
  <c r="W38" i="8"/>
  <c r="Y20" i="8"/>
  <c r="AA20" i="8"/>
  <c r="W20" i="8"/>
  <c r="P11" i="8"/>
  <c r="R11" i="8"/>
  <c r="N11" i="8"/>
  <c r="G11" i="8"/>
  <c r="I11" i="8"/>
  <c r="E11" i="8"/>
  <c r="Y11" i="8"/>
  <c r="AA11" i="8"/>
  <c r="W11" i="8"/>
  <c r="G20" i="8"/>
  <c r="I20" i="8"/>
  <c r="E20" i="8"/>
  <c r="Y29" i="8"/>
  <c r="AA29" i="8"/>
  <c r="W29" i="8"/>
  <c r="P20" i="8"/>
  <c r="R20" i="8"/>
  <c r="N20" i="8"/>
  <c r="G38" i="8"/>
  <c r="I38" i="8"/>
  <c r="E38" i="8"/>
  <c r="P38" i="8"/>
  <c r="R38" i="8"/>
  <c r="G29" i="8"/>
  <c r="I29" i="8"/>
  <c r="E29" i="8"/>
  <c r="P29" i="8"/>
  <c r="R29" i="8"/>
  <c r="N29" i="8"/>
  <c r="U15" i="82"/>
  <c r="E25" i="85"/>
  <c r="U15" i="85"/>
  <c r="V11" i="13"/>
  <c r="AE12" i="13"/>
  <c r="D52" i="20"/>
  <c r="F14" i="20"/>
  <c r="D37" i="20"/>
  <c r="D39" i="20"/>
  <c r="D41" i="20"/>
  <c r="D53" i="20"/>
  <c r="D51" i="20"/>
  <c r="D36" i="20"/>
  <c r="D38" i="20"/>
  <c r="D40" i="20"/>
  <c r="F12" i="20"/>
  <c r="D10" i="20"/>
  <c r="F10" i="20" s="1"/>
  <c r="D8" i="20"/>
  <c r="F8" i="20" s="1"/>
  <c r="D6" i="20"/>
  <c r="F6" i="20" s="1"/>
  <c r="D4" i="20"/>
  <c r="F4" i="20" s="1"/>
  <c r="F13" i="20"/>
  <c r="D11" i="20"/>
  <c r="F11" i="20" s="1"/>
  <c r="D9" i="20"/>
  <c r="F9" i="20" s="1"/>
  <c r="D7" i="20"/>
  <c r="F7" i="20" s="1"/>
  <c r="D5" i="20"/>
  <c r="F5" i="20" s="1"/>
  <c r="AZ21" i="8"/>
  <c r="AQ12" i="8"/>
  <c r="L14" i="8" s="1"/>
  <c r="AH30" i="8"/>
  <c r="C32" i="8" s="1"/>
  <c r="AQ30" i="8"/>
  <c r="L32" i="8" s="1"/>
  <c r="AH21" i="8"/>
  <c r="C23" i="8" s="1"/>
  <c r="AQ21" i="8"/>
  <c r="L23" i="8" s="1"/>
  <c r="AZ12" i="8"/>
  <c r="U14" i="8" s="1"/>
  <c r="AQ3" i="8"/>
  <c r="AH3" i="8"/>
  <c r="AZ3" i="8"/>
  <c r="AZ30" i="8"/>
  <c r="U32" i="8" s="1"/>
  <c r="AH12" i="8"/>
  <c r="C14" i="8" s="1"/>
  <c r="W4" i="42"/>
  <c r="R12" i="13"/>
  <c r="W12" i="13"/>
  <c r="M27" i="13"/>
  <c r="M33" i="13"/>
  <c r="R11" i="13"/>
  <c r="M31" i="13"/>
  <c r="M29" i="13"/>
  <c r="X12" i="13"/>
  <c r="R13" i="13"/>
  <c r="X11" i="13"/>
  <c r="M25" i="13"/>
  <c r="R19" i="13"/>
  <c r="X38" i="8"/>
  <c r="Q11" i="8"/>
  <c r="B11" i="8"/>
  <c r="AE23" i="8"/>
  <c r="O20" i="8"/>
  <c r="D38" i="8"/>
  <c r="V38" i="8"/>
  <c r="H11" i="8"/>
  <c r="F11" i="8"/>
  <c r="K29" i="8"/>
  <c r="X11" i="8"/>
  <c r="O29" i="8"/>
  <c r="Q20" i="8"/>
  <c r="AN23" i="8"/>
  <c r="AN32" i="8"/>
  <c r="T20" i="8"/>
  <c r="F29" i="8"/>
  <c r="M38" i="8"/>
  <c r="X29" i="8"/>
  <c r="H29" i="8"/>
  <c r="AW32" i="8"/>
  <c r="B29" i="8"/>
  <c r="O11" i="8"/>
  <c r="AE32" i="8"/>
  <c r="H38" i="8"/>
  <c r="K20" i="8"/>
  <c r="Q29" i="8"/>
  <c r="Z20" i="8"/>
  <c r="K11" i="8"/>
  <c r="Z29" i="8"/>
  <c r="M20" i="8"/>
  <c r="T29" i="8"/>
  <c r="Z11" i="8"/>
  <c r="V11" i="8"/>
  <c r="O38" i="8"/>
  <c r="D11" i="8"/>
  <c r="Z38" i="8"/>
  <c r="B38" i="8"/>
  <c r="F20" i="8"/>
  <c r="T38" i="8"/>
  <c r="V20" i="8"/>
  <c r="D18" i="85"/>
  <c r="AW14" i="8"/>
  <c r="D20" i="8"/>
  <c r="B20" i="8"/>
  <c r="K38" i="8"/>
  <c r="D25" i="85"/>
  <c r="AE14" i="8"/>
  <c r="U24" i="85"/>
  <c r="D29" i="8"/>
  <c r="V29" i="8"/>
  <c r="Q38" i="8"/>
  <c r="T11" i="8"/>
  <c r="M29" i="8"/>
  <c r="X20" i="8"/>
  <c r="AN14" i="8"/>
  <c r="F38" i="8"/>
  <c r="M11" i="8"/>
  <c r="H20" i="8"/>
  <c r="AI40" i="8" l="1"/>
  <c r="AJ40" i="8" s="1"/>
  <c r="B40" i="8" s="1"/>
  <c r="AI46" i="8"/>
  <c r="AJ46" i="8" s="1"/>
  <c r="B46" i="8" s="1"/>
  <c r="AR41" i="8"/>
  <c r="AS41" i="8" s="1"/>
  <c r="K41" i="8" s="1"/>
  <c r="AR49" i="8"/>
  <c r="AS49" i="8" s="1"/>
  <c r="K49" i="8" s="1"/>
  <c r="BA41" i="8"/>
  <c r="BB41" i="8" s="1"/>
  <c r="T41" i="8" s="1"/>
  <c r="BA42" i="8"/>
  <c r="BB42" i="8" s="1"/>
  <c r="T42" i="8" s="1"/>
  <c r="AR47" i="8"/>
  <c r="AS47" i="8" s="1"/>
  <c r="K47" i="8" s="1"/>
  <c r="AR45" i="8"/>
  <c r="AS45" i="8" s="1"/>
  <c r="K45" i="8" s="1"/>
  <c r="AI54" i="8"/>
  <c r="AJ54" i="8" s="1"/>
  <c r="B54" i="8" s="1"/>
  <c r="AI41" i="8"/>
  <c r="AJ41" i="8" s="1"/>
  <c r="B41" i="8" s="1"/>
  <c r="AI43" i="8"/>
  <c r="AJ43" i="8" s="1"/>
  <c r="B43" i="8" s="1"/>
  <c r="AR53" i="8"/>
  <c r="AS53" i="8" s="1"/>
  <c r="K53" i="8" s="1"/>
  <c r="AR50" i="8"/>
  <c r="AS50" i="8" s="1"/>
  <c r="K50" i="8" s="1"/>
  <c r="AR48" i="8"/>
  <c r="AS48" i="8" s="1"/>
  <c r="K48" i="8" s="1"/>
  <c r="AI48" i="8"/>
  <c r="AJ48" i="8" s="1"/>
  <c r="B48" i="8" s="1"/>
  <c r="AR51" i="8"/>
  <c r="AS51" i="8" s="1"/>
  <c r="K51" i="8" s="1"/>
  <c r="AI45" i="8"/>
  <c r="AJ45" i="8" s="1"/>
  <c r="B45" i="8" s="1"/>
  <c r="AI50" i="8"/>
  <c r="AJ50" i="8" s="1"/>
  <c r="B50" i="8" s="1"/>
  <c r="AR40" i="8"/>
  <c r="AS40" i="8" s="1"/>
  <c r="K40" i="8" s="1"/>
  <c r="AR52" i="8"/>
  <c r="AS52" i="8" s="1"/>
  <c r="K52" i="8" s="1"/>
  <c r="AI52" i="8"/>
  <c r="AJ52" i="8" s="1"/>
  <c r="B52" i="8" s="1"/>
  <c r="BA40" i="8"/>
  <c r="BB40" i="8" s="1"/>
  <c r="T40" i="8" s="1"/>
  <c r="AI53" i="8"/>
  <c r="AJ53" i="8" s="1"/>
  <c r="B53" i="8" s="1"/>
  <c r="AR54" i="8"/>
  <c r="AS54" i="8" s="1"/>
  <c r="K54" i="8" s="1"/>
  <c r="AR46" i="8"/>
  <c r="AS46" i="8" s="1"/>
  <c r="K46" i="8" s="1"/>
  <c r="AI44" i="8"/>
  <c r="AJ44" i="8" s="1"/>
  <c r="B44" i="8" s="1"/>
  <c r="AI49" i="8"/>
  <c r="AJ49" i="8" s="1"/>
  <c r="B49" i="8" s="1"/>
  <c r="AI47" i="8"/>
  <c r="AJ47" i="8" s="1"/>
  <c r="B47" i="8" s="1"/>
  <c r="AI42" i="8"/>
  <c r="AJ42" i="8" s="1"/>
  <c r="B42" i="8" s="1"/>
  <c r="BA45" i="8"/>
  <c r="BB45" i="8" s="1"/>
  <c r="T45" i="8" s="1"/>
  <c r="BA51" i="8"/>
  <c r="BB51" i="8" s="1"/>
  <c r="T51" i="8" s="1"/>
  <c r="BA53" i="8"/>
  <c r="BB53" i="8" s="1"/>
  <c r="T53" i="8" s="1"/>
  <c r="AI51" i="8"/>
  <c r="AJ51" i="8" s="1"/>
  <c r="B51" i="8" s="1"/>
  <c r="BA50" i="8"/>
  <c r="BB50" i="8" s="1"/>
  <c r="T50" i="8" s="1"/>
  <c r="BA43" i="8"/>
  <c r="BB43" i="8" s="1"/>
  <c r="T43" i="8" s="1"/>
  <c r="BA47" i="8"/>
  <c r="BB47" i="8" s="1"/>
  <c r="T47" i="8" s="1"/>
  <c r="BA46" i="8"/>
  <c r="BB46" i="8" s="1"/>
  <c r="T46" i="8" s="1"/>
  <c r="BA48" i="8"/>
  <c r="BB48" i="8" s="1"/>
  <c r="T48" i="8" s="1"/>
  <c r="AR44" i="8"/>
  <c r="AS44" i="8" s="1"/>
  <c r="K44" i="8" s="1"/>
  <c r="AR43" i="8"/>
  <c r="AS43" i="8" s="1"/>
  <c r="K43" i="8" s="1"/>
  <c r="BA49" i="8"/>
  <c r="BB49" i="8" s="1"/>
  <c r="T49" i="8" s="1"/>
  <c r="BA44" i="8"/>
  <c r="BB44" i="8" s="1"/>
  <c r="T44" i="8" s="1"/>
  <c r="BA52" i="8"/>
  <c r="BB52" i="8" s="1"/>
  <c r="T52" i="8" s="1"/>
  <c r="BA54" i="8"/>
  <c r="BB54" i="8" s="1"/>
  <c r="T54" i="8" s="1"/>
  <c r="S4" i="42"/>
  <c r="V15" i="82"/>
  <c r="G25" i="85"/>
  <c r="V15" i="85"/>
  <c r="AE14" i="13"/>
  <c r="AH14" i="13"/>
  <c r="X19" i="13"/>
  <c r="U1" i="13"/>
  <c r="AE7" i="13"/>
  <c r="F41" i="20"/>
  <c r="B41" i="20"/>
  <c r="C41" i="20"/>
  <c r="F39" i="20"/>
  <c r="B39" i="20"/>
  <c r="C39" i="20"/>
  <c r="F37" i="20"/>
  <c r="C37" i="20"/>
  <c r="B37" i="20"/>
  <c r="F40" i="20"/>
  <c r="B40" i="20"/>
  <c r="C40" i="20"/>
  <c r="F36" i="20"/>
  <c r="B36" i="20"/>
  <c r="C36" i="20"/>
  <c r="F38" i="20"/>
  <c r="C38" i="20"/>
  <c r="B38" i="20"/>
  <c r="F52" i="20"/>
  <c r="F53" i="20"/>
  <c r="F51" i="20"/>
  <c r="D14" i="8"/>
  <c r="V32" i="8"/>
  <c r="U5" i="8"/>
  <c r="C5" i="8"/>
  <c r="L5" i="8"/>
  <c r="V14" i="8"/>
  <c r="M23" i="8"/>
  <c r="D23" i="8"/>
  <c r="M32" i="8"/>
  <c r="D32" i="8"/>
  <c r="M14" i="8"/>
  <c r="U23" i="8"/>
  <c r="W5" i="42"/>
  <c r="S5" i="42" s="1"/>
  <c r="R1" i="13"/>
  <c r="M17" i="13"/>
  <c r="R10" i="13"/>
  <c r="AJ7" i="13"/>
  <c r="R2" i="13"/>
  <c r="M18" i="13"/>
  <c r="X3" i="13"/>
  <c r="M20" i="13"/>
  <c r="X1" i="13"/>
  <c r="R3" i="13"/>
  <c r="R4" i="13"/>
  <c r="X2" i="13"/>
  <c r="M19" i="13"/>
  <c r="AI7" i="13"/>
  <c r="M21" i="13"/>
  <c r="AX32" i="8"/>
  <c r="AX14" i="8"/>
  <c r="AO23" i="8"/>
  <c r="AF14" i="8"/>
  <c r="AF23" i="8"/>
  <c r="AO32" i="8"/>
  <c r="V24" i="85"/>
  <c r="AN5" i="8"/>
  <c r="AF32" i="8"/>
  <c r="AW23" i="8"/>
  <c r="AO14" i="8"/>
  <c r="F25" i="85"/>
  <c r="AE5" i="8"/>
  <c r="F18" i="85"/>
  <c r="AW5" i="8"/>
  <c r="AH6" i="13" l="1"/>
  <c r="X10" i="13"/>
  <c r="AG7" i="13"/>
  <c r="P16" i="82"/>
  <c r="I25" i="85"/>
  <c r="W15" i="85"/>
  <c r="AJ14" i="13"/>
  <c r="AI14" i="13"/>
  <c r="AF7" i="13"/>
  <c r="N1" i="13"/>
  <c r="P53" i="13" s="1"/>
  <c r="AE6" i="13"/>
  <c r="D5" i="8"/>
  <c r="V23" i="8"/>
  <c r="N14" i="8"/>
  <c r="E32" i="8"/>
  <c r="N32" i="8"/>
  <c r="E23" i="8"/>
  <c r="N23" i="8"/>
  <c r="W14" i="8"/>
  <c r="V5" i="8"/>
  <c r="W32" i="8"/>
  <c r="E14" i="8"/>
  <c r="M5" i="8"/>
  <c r="W6" i="42"/>
  <c r="S7" i="42" s="1"/>
  <c r="AJ6" i="13"/>
  <c r="M14" i="13"/>
  <c r="M3" i="13"/>
  <c r="P2" i="13"/>
  <c r="P3" i="13"/>
  <c r="M53" i="13"/>
  <c r="M11" i="13"/>
  <c r="M13" i="13"/>
  <c r="M2" i="13"/>
  <c r="M4" i="13"/>
  <c r="M56" i="13"/>
  <c r="M12" i="13"/>
  <c r="P1" i="13"/>
  <c r="M57" i="13"/>
  <c r="M58" i="13"/>
  <c r="AI6" i="13"/>
  <c r="M1" i="13"/>
  <c r="AF5" i="8"/>
  <c r="AG23" i="8"/>
  <c r="P25" i="82"/>
  <c r="AX5" i="8"/>
  <c r="H18" i="85"/>
  <c r="AP14" i="8"/>
  <c r="AO5" i="8"/>
  <c r="AG32" i="8"/>
  <c r="H25" i="85"/>
  <c r="AY32" i="8"/>
  <c r="AX23" i="8"/>
  <c r="W24" i="85"/>
  <c r="AP32" i="8"/>
  <c r="AP23" i="8"/>
  <c r="AY14" i="8"/>
  <c r="AG14" i="8"/>
  <c r="L53" i="13" l="1"/>
  <c r="L50" i="13"/>
  <c r="L52" i="13"/>
  <c r="L51" i="13"/>
  <c r="L49" i="13"/>
  <c r="L48" i="13"/>
  <c r="L47" i="13"/>
  <c r="AH5" i="13"/>
  <c r="L46" i="13"/>
  <c r="L44" i="13"/>
  <c r="L42" i="13"/>
  <c r="L40" i="13"/>
  <c r="L37" i="13"/>
  <c r="L33" i="13"/>
  <c r="L29" i="13"/>
  <c r="L25" i="13"/>
  <c r="L21" i="13"/>
  <c r="L19" i="13"/>
  <c r="L17" i="13"/>
  <c r="L15" i="13"/>
  <c r="L13" i="13"/>
  <c r="L11" i="13"/>
  <c r="L45" i="13"/>
  <c r="L43" i="13"/>
  <c r="L41" i="13"/>
  <c r="L39" i="13"/>
  <c r="L35" i="13"/>
  <c r="L31" i="13"/>
  <c r="L27" i="13"/>
  <c r="L23" i="13"/>
  <c r="L20" i="13"/>
  <c r="L18" i="13"/>
  <c r="L16" i="13"/>
  <c r="L14" i="13"/>
  <c r="L12" i="13"/>
  <c r="AG6" i="13"/>
  <c r="S6" i="42"/>
  <c r="K25" i="85"/>
  <c r="Q16" i="85"/>
  <c r="F33" i="82"/>
  <c r="Q16" i="82"/>
  <c r="AE5" i="13"/>
  <c r="N38" i="8"/>
  <c r="I1" i="13"/>
  <c r="AF6" i="13"/>
  <c r="M23" i="13"/>
  <c r="M16" i="13"/>
  <c r="W23" i="8"/>
  <c r="E5" i="8"/>
  <c r="N5" i="8"/>
  <c r="X14" i="8"/>
  <c r="O23" i="8"/>
  <c r="F23" i="8"/>
  <c r="O32" i="8"/>
  <c r="F32" i="8"/>
  <c r="O14" i="8"/>
  <c r="F14" i="8"/>
  <c r="X32" i="8"/>
  <c r="W5" i="8"/>
  <c r="H11" i="13"/>
  <c r="H57" i="13"/>
  <c r="H1" i="13"/>
  <c r="H12" i="13"/>
  <c r="H13" i="13"/>
  <c r="H56" i="13"/>
  <c r="AI5" i="13"/>
  <c r="H14" i="13"/>
  <c r="H3" i="13"/>
  <c r="H53" i="13"/>
  <c r="K2" i="13"/>
  <c r="H4" i="13"/>
  <c r="AJ5" i="13"/>
  <c r="H58" i="13"/>
  <c r="H2" i="13"/>
  <c r="K1" i="13"/>
  <c r="K3" i="13"/>
  <c r="AP5" i="8"/>
  <c r="J18" i="85"/>
  <c r="AZ32" i="8"/>
  <c r="AH14" i="8"/>
  <c r="AG5" i="8"/>
  <c r="J25" i="85"/>
  <c r="AQ14" i="8"/>
  <c r="AQ23" i="8"/>
  <c r="AQ32" i="8"/>
  <c r="E26" i="82"/>
  <c r="AZ14" i="8"/>
  <c r="E33" i="82"/>
  <c r="AH32" i="8"/>
  <c r="AY5" i="8"/>
  <c r="AH23" i="8"/>
  <c r="Q25" i="82"/>
  <c r="AY23" i="8"/>
  <c r="G53" i="13" l="1"/>
  <c r="G51" i="13"/>
  <c r="G49" i="13"/>
  <c r="G47" i="13"/>
  <c r="G45" i="13"/>
  <c r="G43" i="13"/>
  <c r="G41" i="13"/>
  <c r="G39" i="13"/>
  <c r="G35" i="13"/>
  <c r="G31" i="13"/>
  <c r="G27" i="13"/>
  <c r="G23" i="13"/>
  <c r="G20" i="13"/>
  <c r="G18" i="13"/>
  <c r="G16" i="13"/>
  <c r="G14" i="13"/>
  <c r="G12" i="13"/>
  <c r="G52" i="13"/>
  <c r="G50" i="13"/>
  <c r="G48" i="13"/>
  <c r="G46" i="13"/>
  <c r="G44" i="13"/>
  <c r="G42" i="13"/>
  <c r="G40" i="13"/>
  <c r="G37" i="13"/>
  <c r="G33" i="13"/>
  <c r="G29" i="13"/>
  <c r="G25" i="13"/>
  <c r="G21" i="13"/>
  <c r="G19" i="13"/>
  <c r="G17" i="13"/>
  <c r="G15" i="13"/>
  <c r="G13" i="13"/>
  <c r="G11" i="13"/>
  <c r="AG5" i="13"/>
  <c r="R16" i="82"/>
  <c r="H33" i="82"/>
  <c r="R16" i="85"/>
  <c r="X23" i="8"/>
  <c r="D1" i="13"/>
  <c r="K53" i="13"/>
  <c r="AE4" i="13"/>
  <c r="AF5" i="13"/>
  <c r="F5" i="8"/>
  <c r="X5" i="8"/>
  <c r="Y32" i="8"/>
  <c r="G14" i="8"/>
  <c r="P14" i="8"/>
  <c r="G32" i="8"/>
  <c r="P32" i="8"/>
  <c r="G23" i="8"/>
  <c r="P23" i="8"/>
  <c r="Y14" i="8"/>
  <c r="O5" i="8"/>
  <c r="C57" i="13"/>
  <c r="C12" i="13"/>
  <c r="AI4" i="13"/>
  <c r="C56" i="13"/>
  <c r="C3" i="13"/>
  <c r="F2" i="13"/>
  <c r="C2" i="13"/>
  <c r="C4" i="13"/>
  <c r="AJ4" i="13"/>
  <c r="F1" i="13"/>
  <c r="C14" i="13"/>
  <c r="C53" i="13"/>
  <c r="C58" i="13"/>
  <c r="C11" i="13"/>
  <c r="C13" i="13"/>
  <c r="C1" i="13"/>
  <c r="F3" i="13"/>
  <c r="G26" i="82"/>
  <c r="AQ5" i="8"/>
  <c r="AZ5" i="8"/>
  <c r="R25" i="82"/>
  <c r="AR14" i="8"/>
  <c r="AR32" i="8"/>
  <c r="AH5" i="8"/>
  <c r="AI32" i="8"/>
  <c r="AZ23" i="8"/>
  <c r="G33" i="82"/>
  <c r="AI23" i="8"/>
  <c r="AR23" i="8"/>
  <c r="BA32" i="8"/>
  <c r="BA14" i="8"/>
  <c r="AI14" i="8"/>
  <c r="N1" i="69" l="1"/>
  <c r="I1" i="69" s="1"/>
  <c r="B13" i="13"/>
  <c r="AH3" i="13"/>
  <c r="B53" i="13"/>
  <c r="B37" i="13"/>
  <c r="B31" i="13"/>
  <c r="B23" i="13"/>
  <c r="B29" i="13"/>
  <c r="B52" i="13"/>
  <c r="B50" i="13"/>
  <c r="B48" i="13"/>
  <c r="B46" i="13"/>
  <c r="B44" i="13"/>
  <c r="B42" i="13"/>
  <c r="B40" i="13"/>
  <c r="B21" i="13"/>
  <c r="B19" i="13"/>
  <c r="B17" i="13"/>
  <c r="B15" i="13"/>
  <c r="B11" i="13"/>
  <c r="B35" i="13"/>
  <c r="B27" i="13"/>
  <c r="B33" i="13"/>
  <c r="B25" i="13"/>
  <c r="B51" i="13"/>
  <c r="B49" i="13"/>
  <c r="B47" i="13"/>
  <c r="B45" i="13"/>
  <c r="B43" i="13"/>
  <c r="B41" i="13"/>
  <c r="B39" i="13"/>
  <c r="B20" i="13"/>
  <c r="B18" i="13"/>
  <c r="B16" i="13"/>
  <c r="B14" i="13"/>
  <c r="B12" i="13"/>
  <c r="AG4" i="13"/>
  <c r="S16" i="85"/>
  <c r="J33" i="82"/>
  <c r="S16" i="82"/>
  <c r="Y23" i="8"/>
  <c r="Z23" i="8" s="1"/>
  <c r="F53" i="13"/>
  <c r="AE3" i="13"/>
  <c r="AH13" i="13"/>
  <c r="AF4" i="13"/>
  <c r="G5" i="8"/>
  <c r="Y5" i="8"/>
  <c r="P5" i="8"/>
  <c r="H14" i="8"/>
  <c r="Z32" i="8"/>
  <c r="Z14" i="8"/>
  <c r="Q23" i="8"/>
  <c r="H23" i="8"/>
  <c r="Q32" i="8"/>
  <c r="H32" i="8"/>
  <c r="Q14" i="8"/>
  <c r="AJ3" i="13"/>
  <c r="H14" i="69"/>
  <c r="M58" i="69"/>
  <c r="H4" i="69"/>
  <c r="K2" i="69"/>
  <c r="M12" i="69"/>
  <c r="M53" i="69"/>
  <c r="P2" i="69"/>
  <c r="M57" i="69"/>
  <c r="H3" i="69"/>
  <c r="H53" i="69"/>
  <c r="H12" i="69"/>
  <c r="H56" i="69"/>
  <c r="M56" i="69"/>
  <c r="M1" i="69"/>
  <c r="H2" i="69"/>
  <c r="M4" i="69"/>
  <c r="M2" i="69"/>
  <c r="H11" i="69"/>
  <c r="M14" i="69"/>
  <c r="K1" i="69"/>
  <c r="M13" i="69"/>
  <c r="K3" i="69"/>
  <c r="M11" i="69"/>
  <c r="M3" i="69"/>
  <c r="H1" i="69"/>
  <c r="H57" i="69"/>
  <c r="H13" i="69"/>
  <c r="P3" i="69"/>
  <c r="P1" i="69"/>
  <c r="H58" i="69"/>
  <c r="AI3" i="13"/>
  <c r="AJ32" i="8"/>
  <c r="AJ23" i="8"/>
  <c r="AI5" i="8"/>
  <c r="AS23" i="8"/>
  <c r="BB32" i="8"/>
  <c r="AS14" i="8"/>
  <c r="AR5" i="8"/>
  <c r="BB14" i="8"/>
  <c r="BA23" i="8"/>
  <c r="AS32" i="8"/>
  <c r="BA5" i="8"/>
  <c r="AJ14" i="8"/>
  <c r="I33" i="82"/>
  <c r="I26" i="82"/>
  <c r="BB23" i="8"/>
  <c r="AG3" i="13" l="1"/>
  <c r="U4" i="69"/>
  <c r="P53" i="69"/>
  <c r="X4" i="69"/>
  <c r="L51" i="69"/>
  <c r="L43" i="69"/>
  <c r="L31" i="69"/>
  <c r="L18" i="69"/>
  <c r="L52" i="69"/>
  <c r="L44" i="69"/>
  <c r="L33" i="69"/>
  <c r="L19" i="69"/>
  <c r="L11" i="69"/>
  <c r="L49" i="69"/>
  <c r="L41" i="69"/>
  <c r="L27" i="69"/>
  <c r="L16" i="69"/>
  <c r="L50" i="69"/>
  <c r="L42" i="69"/>
  <c r="L29" i="69"/>
  <c r="L17" i="69"/>
  <c r="L47" i="69"/>
  <c r="L39" i="69"/>
  <c r="L23" i="69"/>
  <c r="L14" i="69"/>
  <c r="L48" i="69"/>
  <c r="L40" i="69"/>
  <c r="L25" i="69"/>
  <c r="L15" i="69"/>
  <c r="L53" i="69"/>
  <c r="L45" i="69"/>
  <c r="L35" i="69"/>
  <c r="L20" i="69"/>
  <c r="L12" i="69"/>
  <c r="L46" i="69"/>
  <c r="L37" i="69"/>
  <c r="L21" i="69"/>
  <c r="L13" i="69"/>
  <c r="X3" i="69"/>
  <c r="G53" i="69"/>
  <c r="G51" i="69"/>
  <c r="G47" i="69"/>
  <c r="G43" i="69"/>
  <c r="G39" i="69"/>
  <c r="G31" i="69"/>
  <c r="G23" i="69"/>
  <c r="G18" i="69"/>
  <c r="G13" i="69"/>
  <c r="G52" i="69"/>
  <c r="G48" i="69"/>
  <c r="G44" i="69"/>
  <c r="G40" i="69"/>
  <c r="G33" i="69"/>
  <c r="G25" i="69"/>
  <c r="G19" i="69"/>
  <c r="G15" i="69"/>
  <c r="G21" i="69"/>
  <c r="G12" i="69"/>
  <c r="G14" i="69"/>
  <c r="G49" i="69"/>
  <c r="G45" i="69"/>
  <c r="G41" i="69"/>
  <c r="G35" i="69"/>
  <c r="G27" i="69"/>
  <c r="G20" i="69"/>
  <c r="G16" i="69"/>
  <c r="G11" i="69"/>
  <c r="G50" i="69"/>
  <c r="G46" i="69"/>
  <c r="G42" i="69"/>
  <c r="G37" i="69"/>
  <c r="G29" i="69"/>
  <c r="G17" i="69"/>
  <c r="K53" i="69"/>
  <c r="U3" i="69"/>
  <c r="AB16" i="69"/>
  <c r="AC16" i="69"/>
  <c r="AF3" i="13"/>
  <c r="AJ13" i="13"/>
  <c r="AG17" i="13" s="1"/>
  <c r="AI13" i="13"/>
  <c r="AF16" i="13" s="1"/>
  <c r="T16" i="82"/>
  <c r="T16" i="85"/>
  <c r="H5" i="8"/>
  <c r="Q5" i="8"/>
  <c r="Z5" i="8"/>
  <c r="AA23" i="8"/>
  <c r="AA32" i="8"/>
  <c r="I14" i="8"/>
  <c r="R14" i="8"/>
  <c r="I32" i="8"/>
  <c r="R32" i="8"/>
  <c r="I23" i="8"/>
  <c r="R23" i="8"/>
  <c r="AA14" i="8"/>
  <c r="AC21" i="69"/>
  <c r="Z3" i="69"/>
  <c r="Y3" i="69"/>
  <c r="Y4" i="69"/>
  <c r="AB20" i="69"/>
  <c r="AC20" i="69"/>
  <c r="Z4" i="69"/>
  <c r="AB21" i="69"/>
  <c r="AT23" i="8"/>
  <c r="AT32" i="8"/>
  <c r="BC23" i="8"/>
  <c r="AK14" i="8"/>
  <c r="BB5" i="8"/>
  <c r="AK23" i="8"/>
  <c r="AT14" i="8"/>
  <c r="AS5" i="8"/>
  <c r="AK32" i="8"/>
  <c r="AJ5" i="8"/>
  <c r="T25" i="85"/>
  <c r="BC14" i="8"/>
  <c r="BC32" i="8"/>
  <c r="W4" i="69" l="1"/>
  <c r="V4" i="69"/>
  <c r="AA20" i="69"/>
  <c r="E2" i="69" s="1"/>
  <c r="AA21" i="69"/>
  <c r="E3" i="69" s="1"/>
  <c r="V3" i="69"/>
  <c r="W3" i="69"/>
  <c r="AB18" i="69"/>
  <c r="AB19" i="69" s="1"/>
  <c r="AB17" i="69"/>
  <c r="AC18" i="69"/>
  <c r="AC19" i="69" s="1"/>
  <c r="AC17" i="69"/>
  <c r="AG16" i="13"/>
  <c r="R20" i="13" s="1"/>
  <c r="U16" i="82"/>
  <c r="U16" i="85"/>
  <c r="E33" i="85"/>
  <c r="I5" i="8"/>
  <c r="AF17" i="13"/>
  <c r="AH17" i="13" s="1"/>
  <c r="AI17" i="13" s="1"/>
  <c r="AF33" i="13"/>
  <c r="R33" i="13"/>
  <c r="AA5" i="8"/>
  <c r="R5" i="8"/>
  <c r="C15" i="8"/>
  <c r="U33" i="8"/>
  <c r="U24" i="8"/>
  <c r="U15" i="8"/>
  <c r="L24" i="8"/>
  <c r="C24" i="8"/>
  <c r="L33" i="8"/>
  <c r="C33" i="8"/>
  <c r="L15" i="8"/>
  <c r="U25" i="85"/>
  <c r="K33" i="8"/>
  <c r="B24" i="8"/>
  <c r="K24" i="8"/>
  <c r="AW33" i="8"/>
  <c r="AN33" i="8"/>
  <c r="AE33" i="8"/>
  <c r="AT5" i="8"/>
  <c r="D33" i="85"/>
  <c r="T15" i="8"/>
  <c r="BC5" i="8"/>
  <c r="AE15" i="8"/>
  <c r="D26" i="85"/>
  <c r="K15" i="8"/>
  <c r="AW24" i="8"/>
  <c r="B33" i="8"/>
  <c r="AW15" i="8"/>
  <c r="AN15" i="8"/>
  <c r="AE24" i="8"/>
  <c r="AN24" i="8"/>
  <c r="B15" i="8"/>
  <c r="AK5" i="8"/>
  <c r="T33" i="8"/>
  <c r="T24" i="8"/>
  <c r="AA19" i="69" l="1"/>
  <c r="A3" i="69" s="1"/>
  <c r="W9" i="69"/>
  <c r="X9" i="69" s="1"/>
  <c r="E1" i="69" s="1"/>
  <c r="AA17" i="69"/>
  <c r="A1" i="69" s="1"/>
  <c r="AF20" i="13"/>
  <c r="AH16" i="13"/>
  <c r="AE16" i="13" s="1"/>
  <c r="K14" i="8"/>
  <c r="K23" i="8"/>
  <c r="T23" i="8"/>
  <c r="B32" i="8"/>
  <c r="B23" i="8"/>
  <c r="T14" i="8"/>
  <c r="T32" i="8"/>
  <c r="K32" i="8"/>
  <c r="B14" i="8"/>
  <c r="C6" i="8"/>
  <c r="D6" i="8" s="1"/>
  <c r="V16" i="82"/>
  <c r="G33" i="85"/>
  <c r="V16" i="85"/>
  <c r="AI16" i="13"/>
  <c r="AE17" i="13"/>
  <c r="L6" i="8"/>
  <c r="U6" i="8"/>
  <c r="M15" i="8"/>
  <c r="D33" i="8"/>
  <c r="M33" i="8"/>
  <c r="D24" i="8"/>
  <c r="M24" i="8"/>
  <c r="V15" i="8"/>
  <c r="V24" i="8"/>
  <c r="V33" i="8"/>
  <c r="D15" i="8"/>
  <c r="AX15" i="8"/>
  <c r="K6" i="8"/>
  <c r="AO33" i="8"/>
  <c r="AF24" i="8"/>
  <c r="F33" i="85"/>
  <c r="AO24" i="8"/>
  <c r="AO15" i="8"/>
  <c r="AW6" i="8"/>
  <c r="AX33" i="8"/>
  <c r="AX24" i="8"/>
  <c r="T6" i="8"/>
  <c r="AF6" i="8"/>
  <c r="B6" i="8"/>
  <c r="V25" i="85"/>
  <c r="AF33" i="8"/>
  <c r="F26" i="85"/>
  <c r="AN6" i="8"/>
  <c r="AF15" i="8"/>
  <c r="AE6" i="8"/>
  <c r="AE1" i="13" l="1"/>
  <c r="AC23" i="13"/>
  <c r="AD23" i="13" s="1"/>
  <c r="T23" i="13" s="1"/>
  <c r="AC37" i="13"/>
  <c r="AD37" i="13" s="1"/>
  <c r="T37" i="13" s="1"/>
  <c r="T5" i="8"/>
  <c r="B5" i="8"/>
  <c r="K5" i="8"/>
  <c r="P17" i="82"/>
  <c r="I33" i="85"/>
  <c r="W16" i="85"/>
  <c r="V6" i="8"/>
  <c r="M6" i="8"/>
  <c r="E15" i="8"/>
  <c r="W33" i="8"/>
  <c r="W24" i="8"/>
  <c r="W15" i="8"/>
  <c r="N24" i="8"/>
  <c r="E24" i="8"/>
  <c r="N33" i="8"/>
  <c r="E33" i="8"/>
  <c r="N15" i="8"/>
  <c r="E6" i="8"/>
  <c r="AP15" i="8"/>
  <c r="AY15" i="8"/>
  <c r="H33" i="85"/>
  <c r="AG6" i="8"/>
  <c r="P26" i="82"/>
  <c r="AY24" i="8"/>
  <c r="AG15" i="8"/>
  <c r="AG33" i="8"/>
  <c r="AP24" i="8"/>
  <c r="AP33" i="8"/>
  <c r="H26" i="85"/>
  <c r="AO6" i="8"/>
  <c r="AX6" i="8"/>
  <c r="W25" i="85"/>
  <c r="AY33" i="8"/>
  <c r="AG24" i="8"/>
  <c r="K33" i="85" l="1"/>
  <c r="Q17" i="85"/>
  <c r="F41" i="82"/>
  <c r="Q17" i="82"/>
  <c r="W6" i="8"/>
  <c r="N6" i="8"/>
  <c r="F6" i="8"/>
  <c r="O15" i="8"/>
  <c r="F33" i="8"/>
  <c r="O33" i="8"/>
  <c r="F24" i="8"/>
  <c r="O24" i="8"/>
  <c r="X15" i="8"/>
  <c r="X24" i="8"/>
  <c r="X33" i="8"/>
  <c r="F15" i="8"/>
  <c r="AH6" i="8"/>
  <c r="AQ15" i="8"/>
  <c r="AQ33" i="8"/>
  <c r="AH24" i="8"/>
  <c r="E41" i="82"/>
  <c r="J26" i="85"/>
  <c r="J33" i="85"/>
  <c r="AZ24" i="8"/>
  <c r="Q26" i="82"/>
  <c r="E34" i="82"/>
  <c r="AZ15" i="8"/>
  <c r="AP6" i="8"/>
  <c r="AH33" i="8"/>
  <c r="AY6" i="8"/>
  <c r="AZ33" i="8"/>
  <c r="AQ24" i="8"/>
  <c r="AH15" i="8"/>
  <c r="R17" i="82" l="1"/>
  <c r="H41" i="82"/>
  <c r="R17" i="85"/>
  <c r="O6" i="8"/>
  <c r="X6" i="8"/>
  <c r="G15" i="8"/>
  <c r="Y33" i="8"/>
  <c r="Y24" i="8"/>
  <c r="Y15" i="8"/>
  <c r="P24" i="8"/>
  <c r="G24" i="8"/>
  <c r="P33" i="8"/>
  <c r="G33" i="8"/>
  <c r="P15" i="8"/>
  <c r="G6" i="8"/>
  <c r="AQ6" i="8"/>
  <c r="G41" i="82"/>
  <c r="AZ6" i="8"/>
  <c r="BA15" i="8"/>
  <c r="BA33" i="8"/>
  <c r="AI24" i="8"/>
  <c r="BA24" i="8"/>
  <c r="AR15" i="8"/>
  <c r="G34" i="82"/>
  <c r="AR33" i="8"/>
  <c r="AI33" i="8"/>
  <c r="AR24" i="8"/>
  <c r="R26" i="82"/>
  <c r="AI6" i="8"/>
  <c r="AI15" i="8"/>
  <c r="S17" i="85" l="1"/>
  <c r="J41" i="82"/>
  <c r="S17" i="82"/>
  <c r="Y6" i="8"/>
  <c r="P6" i="8"/>
  <c r="H6" i="8"/>
  <c r="Q15" i="8"/>
  <c r="H33" i="8"/>
  <c r="Q33" i="8"/>
  <c r="H24" i="8"/>
  <c r="Q24" i="8"/>
  <c r="Z15" i="8"/>
  <c r="Z24" i="8"/>
  <c r="Z33" i="8"/>
  <c r="H15" i="8"/>
  <c r="AJ6" i="8"/>
  <c r="BA6" i="8"/>
  <c r="I41" i="82"/>
  <c r="AR6" i="8"/>
  <c r="BB24" i="8"/>
  <c r="AJ33" i="8"/>
  <c r="AS24" i="8"/>
  <c r="AJ15" i="8"/>
  <c r="BB33" i="8"/>
  <c r="BB15" i="8"/>
  <c r="AS33" i="8"/>
  <c r="AJ24" i="8"/>
  <c r="I34" i="82"/>
  <c r="AS15" i="8"/>
  <c r="T17" i="82" l="1"/>
  <c r="T17" i="85"/>
  <c r="Q6" i="8"/>
  <c r="Z6" i="8"/>
  <c r="I15" i="8"/>
  <c r="AA33" i="8"/>
  <c r="AA24" i="8"/>
  <c r="AA15" i="8"/>
  <c r="R24" i="8"/>
  <c r="I24" i="8"/>
  <c r="R33" i="8"/>
  <c r="I33" i="8"/>
  <c r="R15" i="8"/>
  <c r="I6" i="8"/>
  <c r="AT15" i="8"/>
  <c r="AS6" i="8"/>
  <c r="AK33" i="8"/>
  <c r="AT33" i="8"/>
  <c r="AK24" i="8"/>
  <c r="AK15" i="8"/>
  <c r="AK6" i="8"/>
  <c r="BB6" i="8"/>
  <c r="BC33" i="8"/>
  <c r="T26" i="85"/>
  <c r="AT24" i="8"/>
  <c r="BC15" i="8"/>
  <c r="BC24" i="8"/>
  <c r="U17" i="82" l="1"/>
  <c r="E41" i="85"/>
  <c r="U17" i="85"/>
  <c r="AA6" i="8"/>
  <c r="R6" i="8"/>
  <c r="C7" i="8"/>
  <c r="L16" i="8"/>
  <c r="C34" i="8"/>
  <c r="L34" i="8"/>
  <c r="C25" i="8"/>
  <c r="L25" i="8"/>
  <c r="U16" i="8"/>
  <c r="U25" i="8"/>
  <c r="U34" i="8"/>
  <c r="C16" i="8"/>
  <c r="B25" i="8"/>
  <c r="AT6" i="8"/>
  <c r="B34" i="8"/>
  <c r="AN34" i="8"/>
  <c r="AE7" i="8"/>
  <c r="T25" i="8"/>
  <c r="K34" i="8"/>
  <c r="T34" i="8"/>
  <c r="AN25" i="8"/>
  <c r="AN16" i="8"/>
  <c r="B16" i="8"/>
  <c r="AE34" i="8"/>
  <c r="AW16" i="8"/>
  <c r="K16" i="8"/>
  <c r="D34" i="85"/>
  <c r="T16" i="8"/>
  <c r="AW34" i="8"/>
  <c r="BC6" i="8"/>
  <c r="K25" i="8"/>
  <c r="U26" i="85"/>
  <c r="AE16" i="8"/>
  <c r="D41" i="85"/>
  <c r="AW25" i="8"/>
  <c r="B7" i="8"/>
  <c r="AE25" i="8"/>
  <c r="G41" i="85" l="1"/>
  <c r="V17" i="85"/>
  <c r="V17" i="82"/>
  <c r="L7" i="8"/>
  <c r="U7" i="8"/>
  <c r="D16" i="8"/>
  <c r="V34" i="8"/>
  <c r="V25" i="8"/>
  <c r="V16" i="8"/>
  <c r="M25" i="8"/>
  <c r="D25" i="8"/>
  <c r="M34" i="8"/>
  <c r="D34" i="8"/>
  <c r="M16" i="8"/>
  <c r="D7" i="8"/>
  <c r="T7" i="8"/>
  <c r="AF25" i="8"/>
  <c r="AN7" i="8"/>
  <c r="AX16" i="8"/>
  <c r="AO34" i="8"/>
  <c r="AF7" i="8"/>
  <c r="AO25" i="8"/>
  <c r="AF16" i="8"/>
  <c r="AX34" i="8"/>
  <c r="F41" i="85"/>
  <c r="V26" i="85"/>
  <c r="AF34" i="8"/>
  <c r="AO16" i="8"/>
  <c r="AW7" i="8"/>
  <c r="AX25" i="8"/>
  <c r="K7" i="8"/>
  <c r="F34" i="85"/>
  <c r="I41" i="85" l="1"/>
  <c r="W17" i="85"/>
  <c r="P18" i="82"/>
  <c r="V7" i="8"/>
  <c r="M7" i="8"/>
  <c r="N16" i="8"/>
  <c r="E34" i="8"/>
  <c r="N34" i="8"/>
  <c r="E25" i="8"/>
  <c r="N25" i="8"/>
  <c r="W16" i="8"/>
  <c r="W25" i="8"/>
  <c r="W34" i="8"/>
  <c r="E16" i="8"/>
  <c r="E7" i="8"/>
  <c r="AP34" i="8"/>
  <c r="AG25" i="8"/>
  <c r="AG16" i="8"/>
  <c r="P27" i="82"/>
  <c r="AP16" i="8"/>
  <c r="AY25" i="8"/>
  <c r="H34" i="85"/>
  <c r="AO7" i="8"/>
  <c r="AP25" i="8"/>
  <c r="AG34" i="8"/>
  <c r="W26" i="85"/>
  <c r="AY16" i="8"/>
  <c r="AX7" i="8"/>
  <c r="AG7" i="8"/>
  <c r="H41" i="85"/>
  <c r="AY34" i="8"/>
  <c r="F49" i="82" l="1"/>
  <c r="Q18" i="82"/>
  <c r="K41" i="85"/>
  <c r="Q18" i="85"/>
  <c r="N7" i="8"/>
  <c r="W7" i="8"/>
  <c r="F16" i="8"/>
  <c r="X34" i="8"/>
  <c r="X25" i="8"/>
  <c r="X16" i="8"/>
  <c r="O25" i="8"/>
  <c r="F25" i="8"/>
  <c r="O34" i="8"/>
  <c r="F34" i="8"/>
  <c r="O16" i="8"/>
  <c r="F7" i="8"/>
  <c r="AH25" i="8"/>
  <c r="AZ25" i="8"/>
  <c r="AH16" i="8"/>
  <c r="E49" i="82"/>
  <c r="AZ34" i="8"/>
  <c r="AH7" i="8"/>
  <c r="J41" i="85"/>
  <c r="Q27" i="82"/>
  <c r="J34" i="85"/>
  <c r="AY7" i="8"/>
  <c r="AZ16" i="8"/>
  <c r="E42" i="82"/>
  <c r="AP7" i="8"/>
  <c r="AQ25" i="8"/>
  <c r="AH34" i="8"/>
  <c r="AQ34" i="8"/>
  <c r="AQ16" i="8"/>
  <c r="R18" i="85" l="1"/>
  <c r="H49" i="82"/>
  <c r="R18" i="82"/>
  <c r="X7" i="8"/>
  <c r="O7" i="8"/>
  <c r="G7" i="8"/>
  <c r="P16" i="8"/>
  <c r="G34" i="8"/>
  <c r="P34" i="8"/>
  <c r="G25" i="8"/>
  <c r="P25" i="8"/>
  <c r="Y16" i="8"/>
  <c r="Y25" i="8"/>
  <c r="Y34" i="8"/>
  <c r="G16" i="8"/>
  <c r="AR34" i="8"/>
  <c r="AI16" i="8"/>
  <c r="G42" i="82"/>
  <c r="AQ7" i="8"/>
  <c r="AZ7" i="8"/>
  <c r="G49" i="82"/>
  <c r="AI34" i="8"/>
  <c r="AR16" i="8"/>
  <c r="AR25" i="8"/>
  <c r="AI7" i="8"/>
  <c r="R27" i="82"/>
  <c r="BA25" i="8"/>
  <c r="BA34" i="8"/>
  <c r="AI25" i="8"/>
  <c r="BA16" i="8"/>
  <c r="S18" i="82" l="1"/>
  <c r="J49" i="82"/>
  <c r="S18" i="85"/>
  <c r="P7" i="8"/>
  <c r="Y7" i="8"/>
  <c r="H16" i="8"/>
  <c r="Z34" i="8"/>
  <c r="Z25" i="8"/>
  <c r="Z16" i="8"/>
  <c r="Q25" i="8"/>
  <c r="H25" i="8"/>
  <c r="Q34" i="8"/>
  <c r="H34" i="8"/>
  <c r="Q16" i="8"/>
  <c r="H7" i="8"/>
  <c r="AS16" i="8"/>
  <c r="AJ7" i="8"/>
  <c r="AS25" i="8"/>
  <c r="AR7" i="8"/>
  <c r="BB16" i="8"/>
  <c r="I49" i="82"/>
  <c r="I42" i="82"/>
  <c r="BB34" i="8"/>
  <c r="AJ16" i="8"/>
  <c r="BA7" i="8"/>
  <c r="BB25" i="8"/>
  <c r="AJ34" i="8"/>
  <c r="AS34" i="8"/>
  <c r="AJ25" i="8"/>
  <c r="T18" i="85" l="1"/>
  <c r="T18" i="82"/>
  <c r="Z7" i="8"/>
  <c r="Q7" i="8"/>
  <c r="R16" i="8"/>
  <c r="I34" i="8"/>
  <c r="R34" i="8"/>
  <c r="I25" i="8"/>
  <c r="R25" i="8"/>
  <c r="AA16" i="8"/>
  <c r="AA25" i="8"/>
  <c r="AA34" i="8"/>
  <c r="I16" i="8"/>
  <c r="I7" i="8"/>
  <c r="AT25" i="8"/>
  <c r="AT16" i="8"/>
  <c r="AK16" i="8"/>
  <c r="BC34" i="8"/>
  <c r="T27" i="85"/>
  <c r="AS7" i="8"/>
  <c r="AT34" i="8"/>
  <c r="BB7" i="8"/>
  <c r="BC16" i="8"/>
  <c r="AK25" i="8"/>
  <c r="AK34" i="8"/>
  <c r="BC25" i="8"/>
  <c r="AK7" i="8"/>
  <c r="U18" i="82" l="1"/>
  <c r="U18" i="85"/>
  <c r="E49" i="85"/>
  <c r="AA7" i="8"/>
  <c r="R7" i="8"/>
  <c r="C8" i="8"/>
  <c r="C17" i="8"/>
  <c r="U35" i="8"/>
  <c r="U26" i="8"/>
  <c r="U17" i="8"/>
  <c r="L26" i="8"/>
  <c r="C26" i="8"/>
  <c r="L35" i="8"/>
  <c r="C35" i="8"/>
  <c r="L17" i="8"/>
  <c r="AE17" i="8"/>
  <c r="K17" i="8"/>
  <c r="T26" i="8"/>
  <c r="B17" i="8"/>
  <c r="T35" i="8"/>
  <c r="K35" i="8"/>
  <c r="B26" i="8"/>
  <c r="AN35" i="8"/>
  <c r="K26" i="8"/>
  <c r="BC7" i="8"/>
  <c r="AE26" i="8"/>
  <c r="D42" i="85"/>
  <c r="B35" i="8"/>
  <c r="AN26" i="8"/>
  <c r="AW17" i="8"/>
  <c r="AE8" i="8"/>
  <c r="D49" i="85"/>
  <c r="AT7" i="8"/>
  <c r="T17" i="8"/>
  <c r="B8" i="8"/>
  <c r="AN17" i="8"/>
  <c r="AE35" i="8"/>
  <c r="AW26" i="8"/>
  <c r="U27" i="85"/>
  <c r="AW35" i="8"/>
  <c r="G49" i="85" l="1"/>
  <c r="V18" i="85"/>
  <c r="V18" i="82"/>
  <c r="L8" i="8"/>
  <c r="U8" i="8"/>
  <c r="M17" i="8"/>
  <c r="D35" i="8"/>
  <c r="M35" i="8"/>
  <c r="D26" i="8"/>
  <c r="M26" i="8"/>
  <c r="V17" i="8"/>
  <c r="V26" i="8"/>
  <c r="V35" i="8"/>
  <c r="D17" i="8"/>
  <c r="D8" i="8"/>
  <c r="AF17" i="8"/>
  <c r="AO35" i="8"/>
  <c r="F49" i="85"/>
  <c r="T8" i="8"/>
  <c r="AX17" i="8"/>
  <c r="AF26" i="8"/>
  <c r="AX26" i="8"/>
  <c r="K8" i="8"/>
  <c r="AN8" i="8"/>
  <c r="AW8" i="8"/>
  <c r="F42" i="85"/>
  <c r="V27" i="85"/>
  <c r="AF8" i="8"/>
  <c r="AX35" i="8"/>
  <c r="AO17" i="8"/>
  <c r="AO26" i="8"/>
  <c r="AF35" i="8"/>
  <c r="W18" i="85" l="1"/>
  <c r="I49" i="85"/>
  <c r="V8" i="8"/>
  <c r="M8" i="8"/>
  <c r="E8" i="8"/>
  <c r="E17" i="8"/>
  <c r="W35" i="8"/>
  <c r="W26" i="8"/>
  <c r="W17" i="8"/>
  <c r="N26" i="8"/>
  <c r="E26" i="8"/>
  <c r="N35" i="8"/>
  <c r="E35" i="8"/>
  <c r="N17" i="8"/>
  <c r="AG17" i="8"/>
  <c r="AP17" i="8"/>
  <c r="AG8" i="8"/>
  <c r="AP26" i="8"/>
  <c r="AY35" i="8"/>
  <c r="AY26" i="8"/>
  <c r="AP35" i="8"/>
  <c r="AG35" i="8"/>
  <c r="AX8" i="8"/>
  <c r="H42" i="85"/>
  <c r="W27" i="85"/>
  <c r="AY17" i="8"/>
  <c r="AG26" i="8"/>
  <c r="AO8" i="8"/>
  <c r="H49" i="85"/>
  <c r="K49" i="85" l="1"/>
  <c r="N8" i="8"/>
  <c r="W8" i="8"/>
  <c r="O17" i="8"/>
  <c r="F35" i="8"/>
  <c r="O35" i="8"/>
  <c r="F26" i="8"/>
  <c r="O26" i="8"/>
  <c r="X17" i="8"/>
  <c r="X26" i="8"/>
  <c r="X35" i="8"/>
  <c r="F17" i="8"/>
  <c r="F8" i="8"/>
  <c r="AY8" i="8"/>
  <c r="AQ35" i="8"/>
  <c r="J42" i="85"/>
  <c r="AH8" i="8"/>
  <c r="AQ17" i="8"/>
  <c r="J49" i="85"/>
  <c r="AP8" i="8"/>
  <c r="AH35" i="8"/>
  <c r="AZ35" i="8"/>
  <c r="AH26" i="8"/>
  <c r="AZ17" i="8"/>
  <c r="AH17" i="8"/>
  <c r="AQ26" i="8"/>
  <c r="AZ26" i="8"/>
  <c r="X8" i="8" l="1"/>
  <c r="O8" i="8"/>
  <c r="G8" i="8"/>
  <c r="G17" i="8"/>
  <c r="Y35" i="8"/>
  <c r="Y26" i="8"/>
  <c r="Y17" i="8"/>
  <c r="P26" i="8"/>
  <c r="G26" i="8"/>
  <c r="P35" i="8"/>
  <c r="G35" i="8"/>
  <c r="P17" i="8"/>
  <c r="AQ8" i="8"/>
  <c r="BA26" i="8"/>
  <c r="AI8" i="8"/>
  <c r="AI17" i="8"/>
  <c r="BA35" i="8"/>
  <c r="BA17" i="8"/>
  <c r="AR35" i="8"/>
  <c r="AR17" i="8"/>
  <c r="AI35" i="8"/>
  <c r="AR26" i="8"/>
  <c r="AI26" i="8"/>
  <c r="AZ8" i="8"/>
  <c r="P8" i="8" l="1"/>
  <c r="Y8" i="8"/>
  <c r="Q17" i="8"/>
  <c r="H35" i="8"/>
  <c r="Q35" i="8"/>
  <c r="H26" i="8"/>
  <c r="Q26" i="8"/>
  <c r="Z17" i="8"/>
  <c r="Z26" i="8"/>
  <c r="Z35" i="8"/>
  <c r="H17" i="8"/>
  <c r="H8" i="8"/>
  <c r="BB17" i="8"/>
  <c r="AJ17" i="8"/>
  <c r="AS35" i="8"/>
  <c r="AS17" i="8"/>
  <c r="AS26" i="8"/>
  <c r="BB35" i="8"/>
  <c r="AJ35" i="8"/>
  <c r="AJ8" i="8"/>
  <c r="BB26" i="8"/>
  <c r="AJ26" i="8"/>
  <c r="BA8" i="8"/>
  <c r="AR8" i="8"/>
  <c r="Z8" i="8" l="1"/>
  <c r="Q8" i="8"/>
  <c r="I17" i="8"/>
  <c r="AA35" i="8"/>
  <c r="AA26" i="8"/>
  <c r="AA17" i="8"/>
  <c r="R26" i="8"/>
  <c r="I26" i="8"/>
  <c r="R35" i="8"/>
  <c r="I35" i="8"/>
  <c r="R17" i="8"/>
  <c r="I8" i="8"/>
  <c r="AK17" i="8"/>
  <c r="AT26" i="8"/>
  <c r="AK35" i="8"/>
  <c r="BB8" i="8"/>
  <c r="AT35" i="8"/>
  <c r="BC26" i="8"/>
  <c r="AK8" i="8"/>
  <c r="BC35" i="8"/>
  <c r="AS8" i="8"/>
  <c r="AT17" i="8"/>
  <c r="BC17" i="8"/>
  <c r="AK26" i="8"/>
  <c r="R8" i="8" l="1"/>
  <c r="AA8" i="8"/>
  <c r="C9" i="8"/>
  <c r="L18" i="8"/>
  <c r="C36" i="8"/>
  <c r="L36" i="8"/>
  <c r="C27" i="8"/>
  <c r="L27" i="8"/>
  <c r="U18" i="8"/>
  <c r="U27" i="8"/>
  <c r="U36" i="8"/>
  <c r="C18" i="8"/>
  <c r="AN18" i="8"/>
  <c r="B9" i="8"/>
  <c r="AE9" i="8"/>
  <c r="AW18" i="8"/>
  <c r="AE18" i="8"/>
  <c r="AT8" i="8"/>
  <c r="AN27" i="8"/>
  <c r="K36" i="8"/>
  <c r="AN36" i="8"/>
  <c r="T27" i="8"/>
  <c r="AW36" i="8"/>
  <c r="K18" i="8"/>
  <c r="B36" i="8"/>
  <c r="AE27" i="8"/>
  <c r="BC8" i="8"/>
  <c r="T36" i="8"/>
  <c r="AW27" i="8"/>
  <c r="T18" i="8"/>
  <c r="AE36" i="8"/>
  <c r="K27" i="8"/>
  <c r="B27" i="8"/>
  <c r="B18" i="8"/>
  <c r="L9" i="8" l="1"/>
  <c r="U9" i="8"/>
  <c r="D18" i="8"/>
  <c r="V36" i="8"/>
  <c r="V27" i="8"/>
  <c r="V18" i="8"/>
  <c r="M27" i="8"/>
  <c r="D27" i="8"/>
  <c r="M36" i="8"/>
  <c r="D36" i="8"/>
  <c r="M18" i="8"/>
  <c r="D9" i="8"/>
  <c r="AO36" i="8"/>
  <c r="AW9" i="8"/>
  <c r="T9" i="8"/>
  <c r="AX18" i="8"/>
  <c r="AF27" i="8"/>
  <c r="AX27" i="8"/>
  <c r="AF36" i="8"/>
  <c r="AO27" i="8"/>
  <c r="AO18" i="8"/>
  <c r="AF18" i="8"/>
  <c r="K9" i="8"/>
  <c r="AF9" i="8"/>
  <c r="AX36" i="8"/>
  <c r="AN9" i="8"/>
  <c r="V9" i="8" l="1"/>
  <c r="M9" i="8"/>
  <c r="E9" i="8"/>
  <c r="N18" i="8"/>
  <c r="E36" i="8"/>
  <c r="N36" i="8"/>
  <c r="E27" i="8"/>
  <c r="N27" i="8"/>
  <c r="W18" i="8"/>
  <c r="W27" i="8"/>
  <c r="W36" i="8"/>
  <c r="E18" i="8"/>
  <c r="AO9" i="8"/>
  <c r="AG36" i="8"/>
  <c r="AG9" i="8"/>
  <c r="AP18" i="8"/>
  <c r="AP36" i="8"/>
  <c r="AP27" i="8"/>
  <c r="AY27" i="8"/>
  <c r="AG18" i="8"/>
  <c r="AY18" i="8"/>
  <c r="AG27" i="8"/>
  <c r="AX9" i="8"/>
  <c r="AY36" i="8"/>
  <c r="W9" i="8" l="1"/>
  <c r="N9" i="8"/>
  <c r="F18" i="8"/>
  <c r="X36" i="8"/>
  <c r="X27" i="8"/>
  <c r="X18" i="8"/>
  <c r="O27" i="8"/>
  <c r="F27" i="8"/>
  <c r="O36" i="8"/>
  <c r="F36" i="8"/>
  <c r="O18" i="8"/>
  <c r="F9" i="8"/>
  <c r="AQ18" i="8"/>
  <c r="AH36" i="8"/>
  <c r="AP9" i="8"/>
  <c r="AZ27" i="8"/>
  <c r="AH18" i="8"/>
  <c r="AH27" i="8"/>
  <c r="AQ36" i="8"/>
  <c r="AH9" i="8"/>
  <c r="AZ36" i="8"/>
  <c r="AZ18" i="8"/>
  <c r="AY9" i="8"/>
  <c r="AQ27" i="8"/>
  <c r="O9" i="8" l="1"/>
  <c r="X9" i="8"/>
  <c r="G9" i="8"/>
  <c r="P18" i="8"/>
  <c r="G36" i="8"/>
  <c r="P36" i="8"/>
  <c r="G27" i="8"/>
  <c r="P27" i="8"/>
  <c r="Y18" i="8"/>
  <c r="Y27" i="8"/>
  <c r="Y36" i="8"/>
  <c r="G18" i="8"/>
  <c r="BA27" i="8"/>
  <c r="AR18" i="8"/>
  <c r="AI9" i="8"/>
  <c r="BA36" i="8"/>
  <c r="AI27" i="8"/>
  <c r="AI18" i="8"/>
  <c r="AI36" i="8"/>
  <c r="BA18" i="8"/>
  <c r="AR27" i="8"/>
  <c r="AZ9" i="8"/>
  <c r="AR36" i="8"/>
  <c r="AQ9" i="8"/>
  <c r="P9" i="8" l="1"/>
  <c r="Y9" i="8"/>
  <c r="H18" i="8"/>
  <c r="Z36" i="8"/>
  <c r="Z27" i="8"/>
  <c r="Z18" i="8"/>
  <c r="Q27" i="8"/>
  <c r="H27" i="8"/>
  <c r="Q36" i="8"/>
  <c r="H36" i="8"/>
  <c r="Q18" i="8"/>
  <c r="H9" i="8"/>
  <c r="AS27" i="8"/>
  <c r="AR9" i="8"/>
  <c r="BB36" i="8"/>
  <c r="AJ18" i="8"/>
  <c r="BB27" i="8"/>
  <c r="BB18" i="8"/>
  <c r="AJ27" i="8"/>
  <c r="AJ9" i="8"/>
  <c r="BA9" i="8"/>
  <c r="AS18" i="8"/>
  <c r="AJ36" i="8"/>
  <c r="AS36" i="8"/>
  <c r="Z9" i="8" l="1"/>
  <c r="Q9" i="8"/>
  <c r="I9" i="8"/>
  <c r="R18" i="8"/>
  <c r="I36" i="8"/>
  <c r="R36" i="8"/>
  <c r="I27" i="8"/>
  <c r="R27" i="8"/>
  <c r="AA18" i="8"/>
  <c r="AA27" i="8"/>
  <c r="AA36" i="8"/>
  <c r="I18" i="8"/>
  <c r="BC36" i="8"/>
  <c r="AK36" i="8"/>
  <c r="BB9" i="8"/>
  <c r="AK18" i="8"/>
  <c r="AT36" i="8"/>
  <c r="AT27" i="8"/>
  <c r="AT18" i="8"/>
  <c r="AK27" i="8"/>
  <c r="BC27" i="8"/>
  <c r="BC18" i="8"/>
  <c r="AK9" i="8"/>
  <c r="AS9" i="8"/>
  <c r="R9" i="8" l="1"/>
  <c r="AA9" i="8"/>
  <c r="C19" i="8"/>
  <c r="B19" i="8" s="1"/>
  <c r="U37" i="8"/>
  <c r="T37" i="8" s="1"/>
  <c r="U28" i="8"/>
  <c r="T28" i="8" s="1"/>
  <c r="U19" i="8"/>
  <c r="T19" i="8" s="1"/>
  <c r="L28" i="8"/>
  <c r="K28" i="8" s="1"/>
  <c r="C28" i="8"/>
  <c r="B28" i="8" s="1"/>
  <c r="L37" i="8"/>
  <c r="K37" i="8" s="1"/>
  <c r="C37" i="8"/>
  <c r="B37" i="8" s="1"/>
  <c r="L19" i="8"/>
  <c r="K19" i="8" s="1"/>
  <c r="C10" i="8"/>
  <c r="B10" i="8" s="1"/>
  <c r="AN37" i="8"/>
  <c r="AE10" i="8"/>
  <c r="AW37" i="8"/>
  <c r="BC9" i="8"/>
  <c r="AN28" i="8"/>
  <c r="AE37" i="8"/>
  <c r="AE19" i="8"/>
  <c r="AE28" i="8"/>
  <c r="AN19" i="8"/>
  <c r="AT9" i="8"/>
  <c r="AW19" i="8"/>
  <c r="AW28" i="8"/>
  <c r="U10" i="8" l="1"/>
  <c r="T10" i="8" s="1"/>
  <c r="L10" i="8"/>
  <c r="K10" i="8" s="1"/>
  <c r="D10" i="8"/>
  <c r="M19" i="8"/>
  <c r="D37" i="8"/>
  <c r="M37" i="8"/>
  <c r="D28" i="8"/>
  <c r="M28" i="8"/>
  <c r="V19" i="8"/>
  <c r="V28" i="8"/>
  <c r="V37" i="8"/>
  <c r="D19" i="8"/>
  <c r="AX19" i="8"/>
  <c r="AN10" i="8"/>
  <c r="AF19" i="8"/>
  <c r="AX37" i="8"/>
  <c r="AO19" i="8"/>
  <c r="AF28" i="8"/>
  <c r="AX28" i="8"/>
  <c r="AF10" i="8"/>
  <c r="AF37" i="8"/>
  <c r="AO28" i="8"/>
  <c r="AW10" i="8"/>
  <c r="AO37" i="8"/>
  <c r="V10" i="8" l="1"/>
  <c r="M10" i="8"/>
  <c r="AO10" i="8"/>
  <c r="AX10" i="8"/>
  <c r="AH4" i="13" l="1"/>
  <c r="AH7" i="13"/>
  <c r="AH23" i="13"/>
  <c r="AH37" i="13"/>
  <c r="U37" i="13" l="1"/>
  <c r="U23" i="13"/>
  <c r="D50" i="20"/>
  <c r="F50" i="20" s="1"/>
  <c r="D35" i="20"/>
  <c r="C35" i="20" s="1"/>
  <c r="D33" i="20"/>
  <c r="B33" i="20" s="1"/>
  <c r="D30" i="20"/>
  <c r="C30" i="20" s="1"/>
  <c r="D32" i="20"/>
  <c r="B32" i="20" s="1"/>
  <c r="D31" i="20"/>
  <c r="B31" i="20" s="1"/>
  <c r="D29" i="20"/>
  <c r="D34" i="20"/>
  <c r="C34" i="20" s="1"/>
  <c r="AI37" i="13"/>
  <c r="AI23" i="13"/>
  <c r="V37" i="13" l="1"/>
  <c r="V23" i="13"/>
  <c r="B29" i="20"/>
  <c r="Q1" i="20"/>
  <c r="F34" i="20"/>
  <c r="B34" i="20"/>
  <c r="C31" i="20"/>
  <c r="C32" i="20"/>
  <c r="F32" i="20"/>
  <c r="B35" i="20"/>
  <c r="B30" i="20"/>
  <c r="F30" i="20"/>
  <c r="C33" i="20"/>
  <c r="F29" i="20"/>
  <c r="C29" i="20"/>
  <c r="F31" i="20"/>
  <c r="F35" i="20"/>
  <c r="F33" i="20"/>
  <c r="X21" i="42"/>
  <c r="Z23" i="42" s="1"/>
  <c r="T24" i="42" s="1"/>
  <c r="C14" i="42" s="1"/>
  <c r="AJ23" i="13"/>
  <c r="AJ37" i="13"/>
  <c r="T28" i="42" l="1"/>
  <c r="O10" i="42"/>
  <c r="O9" i="42"/>
  <c r="W37" i="13"/>
  <c r="X37" i="13" s="1"/>
  <c r="AE37" i="13" s="1"/>
  <c r="W23" i="13"/>
  <c r="X23" i="13" s="1"/>
  <c r="AE23" i="13" s="1"/>
  <c r="S24" i="42"/>
  <c r="Y21" i="42"/>
  <c r="T25" i="42" s="1"/>
  <c r="T27" i="42" s="1"/>
  <c r="AK37" i="13"/>
  <c r="AL23" i="13"/>
  <c r="AL37" i="13"/>
  <c r="AK23" i="13"/>
  <c r="R39" i="13" l="1"/>
  <c r="R25" i="13"/>
  <c r="AA55" i="42"/>
  <c r="H22" i="42" s="1"/>
  <c r="AA56" i="42"/>
  <c r="Y26" i="42"/>
  <c r="Z26" i="42" s="1"/>
  <c r="X26" i="42"/>
  <c r="AF39" i="13"/>
  <c r="AF25" i="13"/>
  <c r="S39" i="13" l="1"/>
  <c r="S25" i="13"/>
  <c r="T26" i="42"/>
  <c r="AG25" i="13"/>
  <c r="AG39" i="13"/>
  <c r="T39" i="13" l="1"/>
  <c r="T25" i="13"/>
  <c r="AH25" i="13"/>
  <c r="AH39" i="13"/>
  <c r="U39" i="13" l="1"/>
  <c r="U25" i="13"/>
  <c r="AI25" i="13"/>
  <c r="AI39" i="13"/>
  <c r="V39" i="13" l="1"/>
  <c r="V25" i="13"/>
  <c r="AJ39" i="13"/>
  <c r="AJ25" i="13"/>
  <c r="W39" i="13" l="1"/>
  <c r="W25" i="13"/>
  <c r="AK25" i="13"/>
  <c r="AK39" i="13"/>
  <c r="X39" i="13" l="1"/>
  <c r="X25" i="13"/>
  <c r="AE25" i="13" s="1"/>
  <c r="AL39" i="13"/>
  <c r="AL25" i="13"/>
  <c r="R40" i="13" l="1"/>
  <c r="R27" i="13"/>
  <c r="AF40" i="13"/>
  <c r="AF27" i="13"/>
  <c r="S40" i="13" l="1"/>
  <c r="S27" i="13"/>
  <c r="AG40" i="13"/>
  <c r="AG27" i="13"/>
  <c r="T40" i="13" l="1"/>
  <c r="T27" i="13"/>
  <c r="AH40" i="13"/>
  <c r="AH27" i="13"/>
  <c r="U40" i="13" l="1"/>
  <c r="U27" i="13"/>
  <c r="AI27" i="13"/>
  <c r="AI40" i="13"/>
  <c r="V40" i="13" l="1"/>
  <c r="V27" i="13"/>
  <c r="AJ40" i="13"/>
  <c r="AJ27" i="13"/>
  <c r="W40" i="13" l="1"/>
  <c r="W27" i="13"/>
  <c r="AK27" i="13"/>
  <c r="AK40" i="13"/>
  <c r="X40" i="13" l="1"/>
  <c r="X27" i="13"/>
  <c r="AE27" i="13" s="1"/>
  <c r="AL27" i="13"/>
  <c r="AL40" i="13"/>
  <c r="R41" i="13" l="1"/>
  <c r="R29" i="13"/>
  <c r="AF41" i="13"/>
  <c r="AF29" i="13"/>
  <c r="S41" i="13" l="1"/>
  <c r="S29" i="13"/>
  <c r="AG29" i="13"/>
  <c r="AG41" i="13"/>
  <c r="T41" i="13" l="1"/>
  <c r="T29" i="13"/>
  <c r="AH29" i="13"/>
  <c r="AH41" i="13"/>
  <c r="U41" i="13" l="1"/>
  <c r="U29" i="13"/>
  <c r="AI29" i="13"/>
  <c r="AI41" i="13"/>
  <c r="V41" i="13" l="1"/>
  <c r="V29" i="13"/>
  <c r="AJ41" i="13"/>
  <c r="AJ29" i="13"/>
  <c r="W41" i="13" l="1"/>
  <c r="W29" i="13"/>
  <c r="AK41" i="13"/>
  <c r="AK29" i="13"/>
  <c r="X41" i="13" l="1"/>
  <c r="R42" i="13" s="1"/>
  <c r="X29" i="13"/>
  <c r="AL41" i="13"/>
  <c r="AF42" i="13"/>
  <c r="AL29" i="13"/>
  <c r="R31" i="13" l="1"/>
  <c r="S31" i="13" s="1"/>
  <c r="AE29" i="13"/>
  <c r="S42" i="13"/>
  <c r="AG31" i="13"/>
  <c r="AG42" i="13"/>
  <c r="AF31" i="13"/>
  <c r="T42" i="13" l="1"/>
  <c r="T31" i="13"/>
  <c r="AH31" i="13"/>
  <c r="AH42" i="13"/>
  <c r="U42" i="13" l="1"/>
  <c r="U31" i="13"/>
  <c r="AI31" i="13"/>
  <c r="AI42" i="13"/>
  <c r="V42" i="13" l="1"/>
  <c r="V31" i="13"/>
  <c r="AJ42" i="13"/>
  <c r="AJ31" i="13"/>
  <c r="W42" i="13" l="1"/>
  <c r="W31" i="13"/>
  <c r="AK31" i="13"/>
  <c r="AK42" i="13"/>
  <c r="X42" i="13" l="1"/>
  <c r="X31" i="13"/>
  <c r="AL42" i="13"/>
  <c r="AL31" i="13"/>
  <c r="AC31" i="13" l="1"/>
  <c r="AD31" i="13" s="1"/>
  <c r="AE31" i="13"/>
  <c r="AC42" i="13"/>
  <c r="R23" i="13" l="1"/>
  <c r="R37" i="13"/>
  <c r="AD42" i="13"/>
  <c r="S37" i="13" s="1"/>
  <c r="S23" i="13"/>
  <c r="AF37" i="13"/>
  <c r="AG37" i="13"/>
  <c r="AF23" i="13"/>
  <c r="AG23" i="13"/>
</calcChain>
</file>

<file path=xl/connections.xml><?xml version="1.0" encoding="utf-8"?>
<connections xmlns="http://schemas.openxmlformats.org/spreadsheetml/2006/main">
  <connection id="1" name="Calendar" type="4" refreshedVersion="0" deleted="1" background="1">
    <webPr xml="1" sourceData="1" parsePre="1" consecutive="1" url="C:\Documents and Settings\Administrador\Meus documentos\_Gcal-Vaishnava_Calendar\AV-2011\Agenda_Vaishnava-8.7\VPlan\Calendar.xml" htmlTables="1"/>
  </connection>
  <connection id="2" name="ctrs" type="6" refreshedVersion="3" deleted="1" background="1" saveData="1">
    <textPr codePage="850" sourceFile="C:\Documents and Settings\Administrador\Meus documentos\_Gcal-Vaishnava_Calendar\AV-2011\Agenda_Vaishnava-8.5\ctrs.rl" decimal="," thousands=".">
      <textFields>
        <textField/>
      </textFields>
    </textPr>
  </connection>
  <connection id="3" name="loc" type="6" refreshedVersion="3" deleted="1" background="1" saveData="1">
    <textPr codePage="850" sourceFile="C:\Documents and Settings\Administrador\Meus documentos\_Gcal-Vaishnava_Calendar\AV-2011\Agenda_Vaishnava-8.5\loc.rl" decimal="," thousands=".">
      <textFields>
        <textField/>
      </textFields>
    </textPr>
  </connection>
</connections>
</file>

<file path=xl/sharedStrings.xml><?xml version="1.0" encoding="utf-8"?>
<sst xmlns="http://schemas.openxmlformats.org/spreadsheetml/2006/main" count="15961" uniqueCount="5479">
  <si>
    <t>cte_ender</t>
  </si>
  <si>
    <t>cte_telef</t>
  </si>
  <si>
    <t>cte_celul</t>
  </si>
  <si>
    <t>ctd_plan</t>
  </si>
  <si>
    <t>ctd_ender</t>
  </si>
  <si>
    <t>ctd_telef</t>
  </si>
  <si>
    <t>ctd_celul</t>
  </si>
  <si>
    <t>fps_plan</t>
  </si>
  <si>
    <t>Fin-Person</t>
  </si>
  <si>
    <t>cit_plan</t>
  </si>
  <si>
    <t>cit_linha1</t>
  </si>
  <si>
    <t>cit_linha2</t>
  </si>
  <si>
    <t>cit_linha3</t>
  </si>
  <si>
    <t>cit_linha4</t>
  </si>
  <si>
    <t>cit_linha5</t>
  </si>
  <si>
    <t>cit_linha6</t>
  </si>
  <si>
    <t>cit_linha7</t>
  </si>
  <si>
    <t>Linha 1</t>
  </si>
  <si>
    <t>Linha 2</t>
  </si>
  <si>
    <t>Linha 3</t>
  </si>
  <si>
    <t>Linha 4</t>
  </si>
  <si>
    <t>Linha 5</t>
  </si>
  <si>
    <t>Linha 6</t>
  </si>
  <si>
    <t>Citacoes</t>
  </si>
  <si>
    <t>Cover</t>
  </si>
  <si>
    <t>Note 1:</t>
  </si>
  <si>
    <t>Date</t>
  </si>
  <si>
    <t>Day</t>
  </si>
  <si>
    <t>Type</t>
  </si>
  <si>
    <t>Notes-Left</t>
  </si>
  <si>
    <t>Notes-Right</t>
  </si>
  <si>
    <t>Notes</t>
  </si>
  <si>
    <t>Contact-Left</t>
  </si>
  <si>
    <t>Name</t>
  </si>
  <si>
    <t>Contact-Right</t>
  </si>
  <si>
    <t>CONTACT</t>
  </si>
  <si>
    <t>Financial Planner - Personalization</t>
  </si>
  <si>
    <t>Fin-Personalization</t>
  </si>
  <si>
    <t>Quotes</t>
  </si>
  <si>
    <t>Line 1</t>
  </si>
  <si>
    <t>Line 2</t>
  </si>
  <si>
    <t>Line 3</t>
  </si>
  <si>
    <t>Line 4</t>
  </si>
  <si>
    <t>Line 5</t>
  </si>
  <si>
    <t>Line 6</t>
  </si>
  <si>
    <t>Line 7</t>
  </si>
  <si>
    <t>Title</t>
  </si>
  <si>
    <t>Sunday</t>
  </si>
  <si>
    <t>Monday</t>
  </si>
  <si>
    <t>Tuesday</t>
  </si>
  <si>
    <t>Wednesday</t>
  </si>
  <si>
    <t>Tursday</t>
  </si>
  <si>
    <t>Friday</t>
  </si>
  <si>
    <t>Saturday</t>
  </si>
  <si>
    <t>bhuìkte prakåti-jän guëän</t>
  </si>
  <si>
    <t>Pauåz" Pa[k*-iTaSQaae ih &gt;au»e Pa[k*-iTaJaaNa( Gau&lt;aaNa(</t>
  </si>
  <si>
    <t>k-ar&lt;a&amp; Gau&lt;aSa®ae_SYa SadSaÛaeiNaJaNMaSau</t>
  </si>
  <si>
    <t>brahma-bhüyäya kalpate</t>
  </si>
  <si>
    <t>Nombre</t>
  </si>
  <si>
    <t>Domicilio</t>
  </si>
  <si>
    <t>Teléfono</t>
  </si>
  <si>
    <t>dps_plan</t>
  </si>
  <si>
    <t>dps_pNome</t>
  </si>
  <si>
    <t>CEP</t>
  </si>
  <si>
    <t>Vcto. Seguro Obr.</t>
  </si>
  <si>
    <t>Vcto.   Ex.  Saúde</t>
  </si>
  <si>
    <t>dps_pEnder</t>
  </si>
  <si>
    <t>dps_pCidad</t>
  </si>
  <si>
    <t>dps_pEstad</t>
  </si>
  <si>
    <t>dps_pFone</t>
  </si>
  <si>
    <t>dps_pCelul</t>
  </si>
  <si>
    <t>dps_pFax</t>
  </si>
  <si>
    <t>dps_pRG</t>
  </si>
  <si>
    <t>dps_pCPF</t>
  </si>
  <si>
    <t>dps_pZona</t>
  </si>
  <si>
    <t>dps_pValid</t>
  </si>
  <si>
    <t>dps_pHabil</t>
  </si>
  <si>
    <t>dps_pPlaca</t>
  </si>
  <si>
    <t>dps_pCep</t>
  </si>
  <si>
    <t>dps_pEmail</t>
  </si>
  <si>
    <t>dps_pTEleit</t>
  </si>
  <si>
    <t>dps_pSecao</t>
  </si>
  <si>
    <t>dps_pPassp</t>
  </si>
  <si>
    <t>dps_pCartMil</t>
  </si>
  <si>
    <t>dps_pReserv</t>
  </si>
  <si>
    <t>dps_pVeic</t>
  </si>
  <si>
    <t>dps_pNChassi</t>
  </si>
  <si>
    <t xml:space="preserve">dps_pRenavam </t>
  </si>
  <si>
    <t xml:space="preserve">dps_pseguro </t>
  </si>
  <si>
    <t>dps_pVctoSeg</t>
  </si>
  <si>
    <t>dps_pVESaude</t>
  </si>
  <si>
    <t>dps_cNome</t>
  </si>
  <si>
    <t>dps_cEnder</t>
  </si>
  <si>
    <t>dps_cCidad</t>
  </si>
  <si>
    <t>dps_cCep</t>
  </si>
  <si>
    <t>dps_cEstad</t>
  </si>
  <si>
    <t>dps_cFax</t>
  </si>
  <si>
    <t>I.E.</t>
  </si>
  <si>
    <t>I.M.</t>
  </si>
  <si>
    <t>dps_cCNPJ</t>
  </si>
  <si>
    <t>dps_cIE</t>
  </si>
  <si>
    <t>dps_cIM</t>
  </si>
  <si>
    <t>WebSite</t>
  </si>
  <si>
    <t>E-mail 1</t>
  </si>
  <si>
    <t>E-mail 2</t>
  </si>
  <si>
    <t>não</t>
  </si>
  <si>
    <t>dps_cEmail1</t>
  </si>
  <si>
    <t>dps_cEmail2</t>
  </si>
  <si>
    <t>dps_cWSite</t>
  </si>
  <si>
    <t>dps_cFones</t>
  </si>
  <si>
    <t>dps_eGS</t>
  </si>
  <si>
    <t>dps_eRH</t>
  </si>
  <si>
    <t>dps_eMedic</t>
  </si>
  <si>
    <t>dps_eCel</t>
  </si>
  <si>
    <t>dps_eFResid</t>
  </si>
  <si>
    <t>dps_ePSaude</t>
  </si>
  <si>
    <t>dps_eFone</t>
  </si>
  <si>
    <t>dps_eFConsult</t>
  </si>
  <si>
    <t>dps_eHosp</t>
  </si>
  <si>
    <t>dps_eAlerg</t>
  </si>
  <si>
    <t>dps_eVTetan</t>
  </si>
  <si>
    <t>dps_eVsim</t>
  </si>
  <si>
    <t>dps_eVnao</t>
  </si>
  <si>
    <t>dps_eSofr</t>
  </si>
  <si>
    <t>dps_eCorac</t>
  </si>
  <si>
    <t>dps_eHemof</t>
  </si>
  <si>
    <t>dps_eEplep</t>
  </si>
  <si>
    <t>dps_eEDiab</t>
  </si>
  <si>
    <t>dps_eAvisar</t>
  </si>
  <si>
    <t>dps_eNome1</t>
  </si>
  <si>
    <t>dps_eFone1</t>
  </si>
  <si>
    <t>dps_eNome2</t>
  </si>
  <si>
    <t>dps_eFone2</t>
  </si>
  <si>
    <t>Ciudad</t>
  </si>
  <si>
    <t>Pasaporte</t>
  </si>
  <si>
    <t>L. Conduzir</t>
  </si>
  <si>
    <t>Teléfonos</t>
  </si>
  <si>
    <t>Medico</t>
  </si>
  <si>
    <t>Nombre:</t>
  </si>
  <si>
    <t>Teléfono:</t>
  </si>
  <si>
    <t>Name:</t>
  </si>
  <si>
    <t>PERSONAL DATA</t>
  </si>
  <si>
    <t>COMMERCIAL DATA</t>
  </si>
  <si>
    <t>DATOS PERSONALES</t>
  </si>
  <si>
    <t>DATOS COMERCIALES</t>
  </si>
  <si>
    <t>EMERGENCY</t>
  </si>
  <si>
    <t>EMERGENCIA</t>
  </si>
  <si>
    <t xml:space="preserve">    Para mais informações consulte o site: http://www.microsoft.com/brasil</t>
  </si>
  <si>
    <t>® Excel é marca registrada da Microsoft.</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</si>
  <si>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</si>
  <si>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Compen-sação</t>
  </si>
  <si>
    <t>Agenda Financeira - Personalização</t>
  </si>
  <si>
    <t>Contato-Esquerda</t>
  </si>
  <si>
    <t>Contato-Direita</t>
  </si>
  <si>
    <t>Vaishnava</t>
  </si>
  <si>
    <t>Citações</t>
  </si>
  <si>
    <t>ind_finPerson</t>
  </si>
  <si>
    <t>ind_contatEsq</t>
  </si>
  <si>
    <t>ind_contatDir</t>
  </si>
  <si>
    <t>ind_citacoes</t>
  </si>
  <si>
    <t>ind_vaishnava</t>
  </si>
  <si>
    <t>ind_gnuFreDocLic</t>
  </si>
  <si>
    <t>Outono</t>
  </si>
  <si>
    <t>Inverno</t>
  </si>
  <si>
    <t>Primavera</t>
  </si>
  <si>
    <t>Verão</t>
  </si>
  <si>
    <t>Abandone todas as variedades de religião e simplesmente se renda a Mim. Eu libertarei você de todas as reações pecaminosas. Não tema. (Bg. 18.66)</t>
  </si>
  <si>
    <t>içvaraù paramaù kåñëaù</t>
  </si>
  <si>
    <t>sac-cid-änanda-vigrahaù</t>
  </si>
  <si>
    <t>anädir ädir govindaù</t>
  </si>
  <si>
    <t>sarva-käraëa-käraëam</t>
  </si>
  <si>
    <t>wìr" ParMa" k*-Z&lt;a" SaiÀdaNaNdivGa]h"</t>
  </si>
  <si>
    <t>ANaaidraidGaaeRivNd" SavRk-ar&lt;ak-ar&lt;aMa(</t>
  </si>
  <si>
    <t>ete cäàça-kaläù puàsaù</t>
  </si>
  <si>
    <t>kåñëas tu bhagavän svayam</t>
  </si>
  <si>
    <t>indräri-vyäkulaà lokaà</t>
  </si>
  <si>
    <t>måòayanti yuge yuge</t>
  </si>
  <si>
    <t>WTae ca&amp;Xak-l/a" Pau&amp;Sa" k*-Z&lt;aSTau &gt;aGavaNa( SvYaMa(</t>
  </si>
  <si>
    <t>wNd]airVYaaku-l&amp;/ l/aek&amp;- Ma*@YaiNTa YauGae YauGae</t>
  </si>
  <si>
    <t>Coração</t>
  </si>
  <si>
    <t>Hemofilia</t>
  </si>
  <si>
    <t>Eplepsia</t>
  </si>
  <si>
    <t>Diabetes</t>
  </si>
  <si>
    <t>Em caso de emergência avisar:</t>
  </si>
  <si>
    <t>Nome:</t>
  </si>
  <si>
    <t>Fone:</t>
  </si>
  <si>
    <t>TYa¤-a deh&amp; PauNaJaRNMa NaEiTa MaaMaeiTa Saae_JauRNa</t>
  </si>
  <si>
    <t>Ó Arjuna, aquele que conhece a natureza transcendental de Meu aparecimento e atividades, ao deixar o corpo, não nasce outra vez neste mundo material, mas alcança Minha morada eterna. (Bg. 4.9)</t>
  </si>
  <si>
    <t>tad viddhi praëipätena</t>
  </si>
  <si>
    <t>paripraçnena sevayä</t>
  </si>
  <si>
    <t>upadekñyanti te jïänaà</t>
  </si>
  <si>
    <t>jïäninas tattva-darçinaù</t>
  </si>
  <si>
    <t>TaiÜiÖ Pa[i&lt;aPaaTaeNa PairPa[éneNa SaevYaa</t>
  </si>
  <si>
    <t>oPade+YaiNTa Tae jaNa&amp; jaiNaNaSTatvdiXaRNa"</t>
  </si>
  <si>
    <t>yaù prayäti as mad-bhävaà</t>
  </si>
  <si>
    <t>yäti nästy atra saàçayaù</t>
  </si>
  <si>
    <t>smaran muktvä kalevaram</t>
  </si>
  <si>
    <t>ANTak-ale/ c MaaMaev SMarNa( Mau¤-a k-le/vrMa(</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</si>
  <si>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t>
  </si>
  <si>
    <t>Hospital</t>
  </si>
  <si>
    <t>Cart. Militar</t>
  </si>
  <si>
    <t>Habilitação</t>
  </si>
  <si>
    <t>Cia. Seguro</t>
  </si>
  <si>
    <t>Uma pessoa sóbria que seja capaz de tolerar o desejo de falar, as exigências da mente, as ações da ira e os impulsos da língua, do estômago e dos órgãos genitais é qualificada para fazer discípulos em todo o mundo. (Upadesamrita - Verso 1)</t>
  </si>
  <si>
    <t>atyähäraù prayäsaç ca</t>
  </si>
  <si>
    <t>prajalpo niyamägrahaù</t>
  </si>
  <si>
    <t>jana-saìgaç ca laulyaà ca</t>
  </si>
  <si>
    <t>ñaòbhir bhaktir vinaçyati</t>
  </si>
  <si>
    <t>ATYaahar" Pa[YaaSaê Pa[JaLPaae iNaYaMaaGa]h"</t>
  </si>
  <si>
    <t>JaNaSa®ê l/aELYa&amp; c ziÌ&gt;aRi¢-ivRNaXYaiTa</t>
  </si>
  <si>
    <t>yatatäm api siddhänäà</t>
  </si>
  <si>
    <t>kaçcin mäà vetti tattvataù</t>
  </si>
  <si>
    <t>MaNauZYaa&lt;aa&amp; Sahóezu k-iêÛTaiTa SÖYae</t>
  </si>
  <si>
    <t>Dia</t>
  </si>
  <si>
    <t>DADOS PESSOAIS</t>
  </si>
  <si>
    <t>Nome</t>
  </si>
  <si>
    <t>Endereço</t>
  </si>
  <si>
    <t>Cidade</t>
  </si>
  <si>
    <t>Estado</t>
  </si>
  <si>
    <t>Fone</t>
  </si>
  <si>
    <t>Celular</t>
  </si>
  <si>
    <t>Fax</t>
  </si>
  <si>
    <t>E-mail</t>
  </si>
  <si>
    <t>RG</t>
  </si>
  <si>
    <t>CPF</t>
  </si>
  <si>
    <t>T. Eleitor</t>
  </si>
  <si>
    <t>Zona</t>
  </si>
  <si>
    <t>Seção</t>
  </si>
  <si>
    <t>Passaporte</t>
  </si>
  <si>
    <t>Validade</t>
  </si>
  <si>
    <t>DADOS COMERCIAIS</t>
  </si>
  <si>
    <t>Fones</t>
  </si>
  <si>
    <t>CNPJ</t>
  </si>
  <si>
    <t>EMERGÊNCIA</t>
  </si>
  <si>
    <t>fer_plan</t>
  </si>
  <si>
    <t>fer_dia</t>
  </si>
  <si>
    <t>fer_mes</t>
  </si>
  <si>
    <t>fer_data</t>
  </si>
  <si>
    <t>fer_diaSem</t>
  </si>
  <si>
    <t>fer_compens</t>
  </si>
  <si>
    <t>fer_diaSem1</t>
  </si>
  <si>
    <t>fer_diaSem2</t>
  </si>
  <si>
    <t>fer_diaSem3</t>
  </si>
  <si>
    <t>fer_diaSem4</t>
  </si>
  <si>
    <t>fer_diaSem5</t>
  </si>
  <si>
    <t>fer_diaSem6</t>
  </si>
  <si>
    <t>fer_diaSem7</t>
  </si>
  <si>
    <t>fer_subTitulo1</t>
  </si>
  <si>
    <t>fer_subTitulo2</t>
  </si>
  <si>
    <t>fer_subTitulo3</t>
  </si>
  <si>
    <t>fer_subTitulo4</t>
  </si>
  <si>
    <t>fer_subTitulo5</t>
  </si>
  <si>
    <t>fer_tipo</t>
  </si>
  <si>
    <t>men_plan</t>
  </si>
  <si>
    <t>men_prior</t>
  </si>
  <si>
    <t>smv_plan</t>
  </si>
  <si>
    <t>Gopala Dasa Adhikari</t>
  </si>
  <si>
    <t>(Paulo Sergio de Araujo)</t>
  </si>
  <si>
    <t>Agradecimentos</t>
  </si>
  <si>
    <t>aìgäni yasya sakalendriya-våttimanti</t>
  </si>
  <si>
    <t>paçyanti pänti kalayanti ciraà jaganti</t>
  </si>
  <si>
    <t>änanda-cin-maya-sad-ujjvala-vigrahasya</t>
  </si>
  <si>
    <t>budhä bhäva-samanvitäù</t>
  </si>
  <si>
    <t>Ah&amp; SavRSYa Pa[&gt;avae Mata" Sav| Pa[vTaRTae</t>
  </si>
  <si>
    <t>wiTa MaTva &gt;aJaNTae Maa&amp; buDaa &gt;aavSaMaiNvTaa"</t>
  </si>
  <si>
    <t>kaçcid yatati siddhaye</t>
  </si>
  <si>
    <t>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</si>
  <si>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</si>
  <si>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tit_noWarranty2</t>
  </si>
  <si>
    <t>tit_noWarranty3</t>
  </si>
  <si>
    <t>tit_noWarranty4</t>
  </si>
  <si>
    <t>Titulo</t>
  </si>
  <si>
    <t>tit_plan</t>
  </si>
  <si>
    <t>ind_plan</t>
  </si>
  <si>
    <t>ded_plan</t>
  </si>
  <si>
    <t>Dedicatoria</t>
  </si>
  <si>
    <t>ded_dedic</t>
  </si>
  <si>
    <t>ded_assin1</t>
  </si>
  <si>
    <t>ded_assin2</t>
  </si>
  <si>
    <t>Nota 1:</t>
  </si>
  <si>
    <t>S.S. Hridayananda dasa Goswami Maharaj (Dr. Howard J. Resnick), é um dos mais destacados líderes espirituais da Sociedade Internacional da Consciência de Krishna - ISKCON.</t>
  </si>
  <si>
    <t>ded_nota1</t>
  </si>
  <si>
    <t>ded_nota2</t>
  </si>
  <si>
    <t>cal_plan</t>
  </si>
  <si>
    <t>Calendario</t>
  </si>
  <si>
    <t>bhajatäà préti-pürvakam</t>
  </si>
  <si>
    <t>dadämi buddhi-yogaà taà</t>
  </si>
  <si>
    <t>yena mäm upayänti te</t>
  </si>
  <si>
    <t>Dhrtarastra disse: Ó Sanjaya, que fizeram os meus filhos e os filhos de Pandu, depois de se reunirem no lugar de peregrinação de Kuruksetra, estando desejosos de lutar? (Bg. 1.1)</t>
  </si>
  <si>
    <t>yajïaiù saìkértana-präyair</t>
  </si>
  <si>
    <t>yajanti hi sumedhasaù</t>
  </si>
  <si>
    <t>k*-Z&lt;av&lt;a| iTvzak*-Z&lt;a&amp; Saa®aePaa®añPaazRdMa(</t>
  </si>
  <si>
    <t>YajE" SaªqTaRNaPa[aYaEYaRJaiNTa ih SauMaeDaSa"</t>
  </si>
  <si>
    <t>Fin. Semana-Verso</t>
  </si>
  <si>
    <t>Fin. Semana-Frente</t>
  </si>
  <si>
    <t>Fin. Mensal</t>
  </si>
  <si>
    <t xml:space="preserve">  do tempo corrido;</t>
  </si>
  <si>
    <t>- que inclua as informações referentes às festividades, eventos e jejuns do</t>
  </si>
  <si>
    <t xml:space="preserve">  facilitando a meditação, o estudo e a memorização dos ensinamentos dos</t>
  </si>
  <si>
    <t xml:space="preserve">Nos sentiremos exitosos em nossa intenção caso pelo menos um servo do Senhor </t>
  </si>
  <si>
    <t>---</t>
  </si>
  <si>
    <t>smf_plan</t>
  </si>
  <si>
    <t>smf_aperf</t>
  </si>
  <si>
    <t>smf_impot</t>
  </si>
  <si>
    <t>smf_aperfItem1</t>
  </si>
  <si>
    <t>smf_aperfItem2</t>
  </si>
  <si>
    <t>smf_aperfItem3</t>
  </si>
  <si>
    <t>smf_aperfItem4</t>
  </si>
  <si>
    <t>smf_areas</t>
  </si>
  <si>
    <t>fms_plan</t>
  </si>
  <si>
    <t>fms_planej</t>
  </si>
  <si>
    <t>fms_aperf</t>
  </si>
  <si>
    <t>fms_aperfItem1</t>
  </si>
  <si>
    <t>fms_aperfItem2</t>
  </si>
  <si>
    <t>fms_aperfItem3</t>
  </si>
  <si>
    <t>fms_aperfItem4</t>
  </si>
  <si>
    <t>fms_detal</t>
  </si>
  <si>
    <t>fsv_plan</t>
  </si>
  <si>
    <t>fsf_plan</t>
  </si>
  <si>
    <t>fsf_aperf</t>
  </si>
  <si>
    <t>fsf_impot</t>
  </si>
  <si>
    <t>ane_plan</t>
  </si>
  <si>
    <t>Anotações</t>
  </si>
  <si>
    <t>and_plan</t>
  </si>
  <si>
    <t>cte_plan</t>
  </si>
  <si>
    <t>Ramos</t>
  </si>
  <si>
    <t>anta-käle ca mäm eva</t>
  </si>
  <si>
    <t>MaaMaev Yae Pa[PaÛNTae MaaYaaMaeTaa&amp; TariNTa Tae</t>
  </si>
  <si>
    <r>
      <t>O presente trabalho visa facilitar a elaboração, pelos devotos vaishnavas</t>
    </r>
    <r>
      <rPr>
        <vertAlign val="superscript"/>
        <sz val="12"/>
        <rFont val="Verdana"/>
        <family val="2"/>
      </rPr>
      <t>(1)</t>
    </r>
    <r>
      <rPr>
        <sz val="12"/>
        <rFont val="Verdana"/>
        <family val="2"/>
      </rPr>
      <t>, de</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</si>
  <si>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</si>
  <si>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r>
      <t xml:space="preserve">  acharyas</t>
    </r>
    <r>
      <rPr>
        <vertAlign val="superscript"/>
        <sz val="12"/>
        <rFont val="Verdana"/>
        <family val="2"/>
      </rPr>
      <t>(6)</t>
    </r>
    <r>
      <rPr>
        <sz val="12"/>
        <rFont val="Verdana"/>
        <family val="2"/>
      </rPr>
      <t>.</t>
    </r>
  </si>
  <si>
    <t>Ya" Pa[YaaiTa ASMaÙav&amp; YaaiTa NaaSTYa}a Sa&amp;XaYa"</t>
  </si>
  <si>
    <t>E quem quer que, no momento da morte, abandona seu corpo, lembrando-se unicamente de Mim, alcança Minha natureza de imediato. Quanto a isto não há dúvida. (Bg. 8.5)</t>
  </si>
  <si>
    <t>räja-vidyä räja-guhyaà</t>
  </si>
  <si>
    <t>pavitram idam uttamam</t>
  </si>
  <si>
    <t>pratyakñävagamaà dharmyaà</t>
  </si>
  <si>
    <t>susukhaà kartum avyayam</t>
  </si>
  <si>
    <t>raJaivÛa raJaGauù&amp; Paiv}aiMadMautaMaMa(</t>
  </si>
  <si>
    <t>Pa[TYa+aavGaMa&amp; DaMYa| SauSau%&amp; k-TauRMaVYaYaMa(</t>
  </si>
  <si>
    <t>Este conhecimento é o rei da educação, o mais secreto de todos os segredos. É o conhecimento mais puro, e por dar direta percepção do eu através da realização, é a perfeição da religião. Ele é eterno e se executa alegremente. (Bg. 9.2)</t>
  </si>
  <si>
    <t>açraddadhänäù puruñä</t>
  </si>
  <si>
    <t>dhamasyäsya parantapa</t>
  </si>
  <si>
    <t>apräpya mäà nivartante</t>
  </si>
  <si>
    <t>måtyu-saàsära-vartmani</t>
  </si>
  <si>
    <t>Aé[ÕDaaNaa" Pauåza DaMaSYaaSYa ParNTaPa</t>
  </si>
  <si>
    <t>APa[aPYa Maa&amp; iNavTaRNTae Ma*TYauSa&amp;SaarvTMaRiNa</t>
  </si>
  <si>
    <t>Certif. Reservista</t>
  </si>
  <si>
    <t>Veículo</t>
  </si>
  <si>
    <t>Placa</t>
  </si>
  <si>
    <t>Nº Chassi</t>
  </si>
  <si>
    <t>Cód. Renavam</t>
  </si>
  <si>
    <t>ve&lt;au&amp; Kv&lt;aNTaMarivNddl/aYaTaa+a&amp; bhaRvTa&amp;SaMaiSaTaaMbudSauNdra®Ma(</t>
  </si>
  <si>
    <t>k-NdPaRk-aeiTak-iMaNaqYaivXaezXaae&gt;a&amp; GaaeivNdMaaidPauåz&amp; TaMah&amp; &gt;aJaaiMa</t>
  </si>
  <si>
    <t>Semanal</t>
  </si>
  <si>
    <t>Fin. Semanal</t>
  </si>
  <si>
    <t>Agenda:</t>
  </si>
  <si>
    <t>Geração Automática</t>
  </si>
  <si>
    <t>(selecione)</t>
  </si>
  <si>
    <t>Dentre muitos milhares de homens, talvez um se esforce pela perfeição, e daqueles que alcançaram a perfeição, dificilmente um Me conhece de verdade. (Bg. 7.3)</t>
  </si>
  <si>
    <t>daivé hy eñä guëamayé</t>
  </si>
  <si>
    <t>mama mäyä duratyayä</t>
  </si>
  <si>
    <t>mäm eva ye prapadyante</t>
  </si>
  <si>
    <t>mäyäm etäà taranti te</t>
  </si>
  <si>
    <t>dEvq ùeza Gau&lt;aMaYaq MaMa MaaYaa durTYaYaa</t>
  </si>
  <si>
    <t xml:space="preserve">    Editora Best Seller - 2004 - 20ª edição.</t>
  </si>
  <si>
    <t xml:space="preserve">    Para mais informações:</t>
  </si>
  <si>
    <t xml:space="preserve">    FranklinCovey: http://www.franklincovey.com.br.</t>
  </si>
  <si>
    <t xml:space="preserve">    Editora Best Seller: Grupo Editorial Record: http://www.record.com.br/ </t>
  </si>
  <si>
    <t>7) Uma ótima orientação para utilização de agendas semanais se encontra no</t>
  </si>
  <si>
    <t xml:space="preserve">    International, Inc.): "O Bhagavad Gita Como Ele É" e "Sri Isopanisad"</t>
  </si>
  <si>
    <t xml:space="preserve">    Para mais informações, consulte os sites:</t>
  </si>
  <si>
    <t xml:space="preserve">    BBTI: http://www.bbti.org</t>
  </si>
  <si>
    <t>Tente aprender a verdade simplesmente aproximando-se de um mestre espiritual. Indague dele submissamente e renda-lhe serviço. A alma auto-realizada pode lhe dar conhecimento porque viu a verdade. (Bg. 4.34)</t>
  </si>
  <si>
    <t>E de todos os yogis, aquele que sempre se refugia em Mim com grande fé, adorando-Me com serviço transcendental amoroso, é o que está mais intimamente unido coMigo em yoga e é o mais elevado de todos. (Bg. 6.47)</t>
  </si>
  <si>
    <t>manuñyäëäà sahasreñu</t>
  </si>
  <si>
    <t>GNU Free Documentation License</t>
  </si>
  <si>
    <t xml:space="preserve">    ISKCON: http://www.krishna.com</t>
  </si>
  <si>
    <t xml:space="preserve">                 http://pt.krishna.com</t>
  </si>
  <si>
    <t>Tel. Consultório</t>
  </si>
  <si>
    <t>Tel. Residência</t>
  </si>
  <si>
    <t>Plano Saúde</t>
  </si>
  <si>
    <t>Sou alérgico à</t>
  </si>
  <si>
    <t>Vacinação contra tétano:</t>
  </si>
  <si>
    <t>(</t>
  </si>
  <si>
    <t>)</t>
  </si>
  <si>
    <t>sim</t>
  </si>
  <si>
    <t>Sofro de:</t>
  </si>
  <si>
    <t>Os sábios, conhecendo-Me como o beneficiário último de todos os sacrifícios e austeridades, o Senhor Supremo de todos os planetas e semideuses e o benfeitor e benquerente de todas as entidades vivas, alcançam a paz das dores das misérias materiais. (Bg. 5.29)</t>
  </si>
  <si>
    <t>yoginäm api sarveñäm</t>
  </si>
  <si>
    <t>mad-gatenäntarätmanä</t>
  </si>
  <si>
    <t>çraddhävän bhajate yo mäà</t>
  </si>
  <si>
    <t>as me yuktatamo mataù</t>
  </si>
  <si>
    <t>YaaeiGaNaaMaiPa SaveRzaMMaÓTaeNaaNTaraTMaNaa</t>
  </si>
  <si>
    <t>é[ÖavaNa( &gt;aJaTae Yaae Maa&amp; ASMae Yau¢-TaMaae MaTa"</t>
  </si>
  <si>
    <t>kåñëa-varëaà tviñäkåñëaà</t>
  </si>
  <si>
    <t>säìgopäìgästra-pärñadam</t>
  </si>
  <si>
    <t>A®aiNa YaSYa Sak-le/iNd]Yav*itaMaiNTa PaXYaiNTa PaaiNTa k-l/YaiNTa icr&amp; JaGaiNTa</t>
  </si>
  <si>
    <t>AaNaNdicNMaYaSaduJJvl/ivGa]hSYa GaaeivNdMaaidPauåz&amp; TaMah&amp; &gt;aJaaiMa</t>
  </si>
  <si>
    <t>väco vegaà manasaù krodha-vegaà</t>
  </si>
  <si>
    <t>jihvä-vegaà udaropastha-vegam</t>
  </si>
  <si>
    <t>etän vegän yo viñaheta dhéraù</t>
  </si>
  <si>
    <t>8) A Licença "GNU FDL" e sua tradução se encontram, respectivamente, nas</t>
  </si>
  <si>
    <t xml:space="preserve">    livro: "Os 7 Hábitos das Pessoas Altamente Eficazes" - Stephen R. Covey -</t>
  </si>
  <si>
    <t>b]ø&gt;aUTa" Pa[SaàaTMaa Na é[aeciTa Na k-a¿iTa</t>
  </si>
  <si>
    <t>SaMa" SaveRzu &gt;aUTaezu MaÙi¢&amp;- l/&gt;aTae ParaMa(</t>
  </si>
  <si>
    <t>Grupo Sangüíneo</t>
  </si>
  <si>
    <t>Tipo RH</t>
  </si>
  <si>
    <t>Médico</t>
  </si>
  <si>
    <t xml:space="preserve">    obras de Srila Prabhupada publicadas pela BBTI (The Bhaktivedanta Book Trust</t>
  </si>
  <si>
    <t>Nesta era de Kali, as pessoas que são dotadas de inteligência suficiente adorarão, através da execução do sankirtana-yajna, ao Senhor, que está acompanhado por Seus associados. (Bhag. 11.5.32)</t>
  </si>
  <si>
    <t>tåëäd api sunécena</t>
  </si>
  <si>
    <t>taror api sahiñëunä</t>
  </si>
  <si>
    <t>amäninä mänadena</t>
  </si>
  <si>
    <t>kértanéyaù sadä hariù</t>
  </si>
  <si>
    <t>Ta*&lt;aadiPa SauNaqceNa TaraeriPa SaihZ&lt;auNaa</t>
  </si>
  <si>
    <t>AMaaiNaNaa MaaNadeNa k-ITaRNaqYa" Sada hir"</t>
  </si>
  <si>
    <t>YaTk-raeiz YadénaiSa Yad(Jauhaeiz ddaiSa YaTa(</t>
  </si>
  <si>
    <t>Capa</t>
  </si>
  <si>
    <t>Título</t>
  </si>
  <si>
    <t>Índice</t>
  </si>
  <si>
    <t>Dados Pessoais</t>
  </si>
  <si>
    <t>Feriados</t>
  </si>
  <si>
    <t>Mensal</t>
  </si>
  <si>
    <t>Semana-Verso</t>
  </si>
  <si>
    <t>Semana-Frente</t>
  </si>
  <si>
    <t>Anotações-Esquerda</t>
  </si>
  <si>
    <t>Anotações-Direita</t>
  </si>
  <si>
    <t>sarväm apémäà påthivéà sa çiñyät</t>
  </si>
  <si>
    <t>vacae veGa&amp; MaNaSa" §-aeDaveGa&amp; iJaûaveGa&amp; odraePaSQaveGaMa(</t>
  </si>
  <si>
    <t>WTaaNa( veGaaNa( Yaae ivzheTa Daqr" SavaRMaPaqMaa&amp; Pa*iQavq&amp; Sa iXaZYaaTa(</t>
  </si>
  <si>
    <t>YaTaTaaMaiPa iSaÖaNaa&amp; k-iêNa( Maa&amp; veita TatvTa"</t>
  </si>
  <si>
    <r>
      <t>- que traga as demais informações comuns às agendas</t>
    </r>
    <r>
      <rPr>
        <vertAlign val="superscript"/>
        <sz val="12"/>
        <rFont val="Verdana"/>
        <family val="2"/>
      </rPr>
      <t>(7)</t>
    </r>
    <r>
      <rPr>
        <sz val="12"/>
        <rFont val="Verdana"/>
        <family val="2"/>
      </rPr>
      <t xml:space="preserve"> e calendários normais.</t>
    </r>
  </si>
  <si>
    <r>
      <t>A licença deste documento através da "GNU Free Documentation License"</t>
    </r>
    <r>
      <rPr>
        <vertAlign val="superscript"/>
        <sz val="12"/>
        <rFont val="Verdana"/>
        <family val="2"/>
      </rPr>
      <t>(8)</t>
    </r>
    <r>
      <rPr>
        <sz val="12"/>
        <rFont val="Verdana"/>
        <family val="2"/>
      </rPr>
      <t xml:space="preserve"> - mais</t>
    </r>
  </si>
  <si>
    <t>Fisical</t>
  </si>
  <si>
    <t>Emotional</t>
  </si>
  <si>
    <t>Espanhol</t>
  </si>
  <si>
    <t>Lunes</t>
  </si>
  <si>
    <t>Martes</t>
  </si>
  <si>
    <t>Miercoles</t>
  </si>
  <si>
    <t>Jueves</t>
  </si>
  <si>
    <t>Viernes</t>
  </si>
  <si>
    <t>Sabado</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</si>
  <si>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</si>
  <si>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sarva-yoniñu kaunteya</t>
  </si>
  <si>
    <t>mürtayaù sambhavanti yäù</t>
  </si>
  <si>
    <t>täsäà brahma mahad yonir</t>
  </si>
  <si>
    <t>ahaà béja-pradaù pitä</t>
  </si>
  <si>
    <t>SavRYaaeiNazu k-aENTaeYa MaUTaRYa" SaM&gt;aviNTa Yaa"</t>
  </si>
  <si>
    <t>TaaSaa&amp; b]ø MahÛaeiNarh&amp; bqJaPa[d" iPaTaa</t>
  </si>
  <si>
    <t>Ó filho de Kunti, deve-se compreender que todas as espécies de vida aparecem devido a seu nascimento nesta natureza material, e que Eu sou o pai que dá a semente. (Bg. 14.4)</t>
  </si>
  <si>
    <t>mäà ca yo'vyabhicäreëa</t>
  </si>
  <si>
    <t>bhakti-yogena sevate</t>
  </si>
  <si>
    <t>as guëän samatétyaitän</t>
  </si>
  <si>
    <t>Versão</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</si>
  <si>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</si>
  <si>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t>
  </si>
  <si>
    <t>O</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</si>
  <si>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</si>
  <si>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</si>
  <si>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</si>
  <si>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na jäyate mriyate vä kadäcin</t>
  </si>
  <si>
    <t>näyaà bhütvä bhavitä vä na bhüyaù</t>
  </si>
  <si>
    <t>ajo nityaù çäçvato'yaà puräëo</t>
  </si>
  <si>
    <t>na hanyate hanyamäne çarére</t>
  </si>
  <si>
    <t>Na JaaYaTae iMa]YaTae va k-daicNa( NaaYa&amp; &gt;aUTva &gt;aivTaa va Na &gt;aUYa"</t>
  </si>
  <si>
    <t>AJaae iNaTYa" XaaìTaae_Ya&amp; Paura&lt;aae Na hNYaTae hNYaMaaNae Xarqre</t>
  </si>
  <si>
    <t>Para a alma nunca há nascimento nem morte. Nem, uma vez que exista, ela vai deixar de existir. Ela é não nascida, eterna, sempre existente, imortal e primordial. Ela não morre quando o corpo morre. (Bg. 2.20)</t>
  </si>
  <si>
    <t>mucyante sarva-kilbiñaiù</t>
  </si>
  <si>
    <t>bhuïjate te tv aghaà päpä</t>
  </si>
  <si>
    <t>ye pacanty ätma-käraëät</t>
  </si>
  <si>
    <t>yajïa-çiñöäçinaù santo</t>
  </si>
  <si>
    <t>YajiXaíaiXaNa" SaNTaae MauCYaNTae SavRik-iLbzE"</t>
  </si>
  <si>
    <t>&gt;auÅTae Tae Tvga&amp; PaaPaa Yae PacNTYaaTMak-ar&lt;aaTa(</t>
  </si>
  <si>
    <t/>
  </si>
  <si>
    <t>AUSÊNCIA DE GARANTIAS</t>
  </si>
  <si>
    <t>Break fast</t>
  </si>
  <si>
    <t>V W X Y Z</t>
  </si>
  <si>
    <t>A B C D</t>
  </si>
  <si>
    <t>E F G H</t>
  </si>
  <si>
    <t>I J K L</t>
  </si>
  <si>
    <t>M N O P</t>
  </si>
  <si>
    <t>Q R S T U</t>
  </si>
  <si>
    <t>uma agenda impressa com as seguintes características:</t>
  </si>
  <si>
    <t>- semanal;</t>
  </si>
  <si>
    <t>- personalizada;</t>
  </si>
  <si>
    <t>3) As citações colocadas como exemplo neste documento foram tiradas das</t>
  </si>
  <si>
    <t>4) Védico é o que tem relação com os Vedas, escrituras milenares da Índia</t>
  </si>
  <si>
    <t xml:space="preserve">    Antiga.</t>
  </si>
  <si>
    <t>5) As fontes para escrever em sânscrito e devanagari também são de</t>
  </si>
  <si>
    <t xml:space="preserve">    propriedade da BBTI.</t>
  </si>
  <si>
    <t>6) Acharya: aquele que ensina pelo seu próprio exemplo.</t>
  </si>
  <si>
    <t xml:space="preserve">    planilhas "GNU Free Documentation Licence" e "Tradução não oficial da Licença".</t>
  </si>
  <si>
    <t xml:space="preserve">    Para mais informações consulte o site: http://www.gnu.org/licenses/fdl.html.</t>
  </si>
  <si>
    <t>Como Usar</t>
  </si>
  <si>
    <t>Semana</t>
  </si>
  <si>
    <t>Calendário</t>
  </si>
  <si>
    <t>bhrämayan sarva-bhütäni</t>
  </si>
  <si>
    <t>yanträrüòhäni mäyayä</t>
  </si>
  <si>
    <t>wRìr" SavR&gt;aUTaaNaa&amp; ôÕeXae_JauRNa iTaïiTa</t>
  </si>
  <si>
    <t>&gt;a]aMaYaNa( SavR&gt;aUTaaiNa YaN}aaæ!aiNa MaaYaYaa</t>
  </si>
  <si>
    <t>Ó Arjuna, o Senhor Supremo está situado no coração de todo mundo, e dirige as divagações de todas as entidades vivas, que estão sentadas como numa máquina, feita de energia material. (Bg. 18.61)</t>
  </si>
  <si>
    <t>man-manä bhava mad-bhakto</t>
  </si>
  <si>
    <t>mad-yäjé mäà namaskuru</t>
  </si>
  <si>
    <t>mäm evaiñyasi satyaà te</t>
  </si>
  <si>
    <t>pratijäne priyo'si me</t>
  </si>
  <si>
    <t>MaNMaNaa &gt;av MaÙ¢-ae MaÛaJaq Maa&amp; NaMaSku-å</t>
  </si>
  <si>
    <t>MaaMaevEZYaiSa SaTYa&amp; Tae Pa[iTaJaaNae iPa[Yaae_iSa Mae</t>
  </si>
  <si>
    <t>Pense sempre em Mim e converta-se em Meu devoto. Adore-Me e ofereça suas homenagens a Mim. Desse modo você virá a Mim sem falta. Eu lhe prometo isto porque você é Meu muito querido amigo. (Bg. 18.65)</t>
  </si>
  <si>
    <t>sarva-dharmän parityajya</t>
  </si>
  <si>
    <t>mäm ekaà çaraëaà vraja</t>
  </si>
  <si>
    <t>ahaà tväà sarva-päpebhyo</t>
  </si>
  <si>
    <t>mokñayiñyämi mä çucaù</t>
  </si>
  <si>
    <t>SavRDaMaaRNa( PairTYaJYa MaaMaek&amp;- Xar&lt;a&amp; v]Ja</t>
  </si>
  <si>
    <t>Ah&amp; Tva&amp; SavRPaaPae&gt;Yaae Maae+aiYaZYaaiMa Maa Xauc"</t>
  </si>
  <si>
    <t>1) Devotos do Senhor Vishnu, ou Krishna, a Suprema Personalidade de Deus,</t>
  </si>
  <si>
    <t xml:space="preserve">    como o Senhor é conhecido através da tradição, cultura, religião e filosofia</t>
  </si>
  <si>
    <t xml:space="preserve">    devotos do Senhor de outras denominações, que precisem de uma ferramenta</t>
  </si>
  <si>
    <t>- que facilite o planejamento e controle dos resultados das atividades, e não só</t>
  </si>
  <si>
    <t>utsähän niçcayäd dhairyät</t>
  </si>
  <si>
    <t>tat-tat-karma-pravartanät</t>
  </si>
  <si>
    <t>saìga-tyägät sato våtteù</t>
  </si>
  <si>
    <t>ñaòbhir bhaktiù prasidhyati</t>
  </si>
  <si>
    <t>oTSaahaNa( iNaêYaaÖEYaaRtataTk-MaRPa[vTaRNaaTa(</t>
  </si>
  <si>
    <t>Sa®TYaaGaaTSaTaae v*tae" ziÌ&gt;aRi¢-" Pa[iSaDYaiTa</t>
  </si>
  <si>
    <t>é[v&lt;a&amp; k-ITaRNa&amp; ivZ&lt;aae" SMar&lt;a&amp; PaadSaevNaMa(</t>
  </si>
  <si>
    <t>AcRNa&amp; vNdNa&amp; daSYa&amp; Sa:YaMaaTMaiNavedNaMa(</t>
  </si>
  <si>
    <t>Planejamento</t>
  </si>
  <si>
    <t>Detalhamentos</t>
  </si>
  <si>
    <t>sétoñëa-sukha-duùkha-däù</t>
  </si>
  <si>
    <t>ägamäpäyino 'nityäs</t>
  </si>
  <si>
    <t>täàs titikñasva bhärata</t>
  </si>
  <si>
    <t>&gt;aae¢-ar&amp; YajTaPaSaa&amp; SavRl/aek-MaheìrMa(</t>
  </si>
  <si>
    <t>Sauôd&amp; SavR&gt;aUTaaNaa&amp; jaTva Maa&amp; XaaiNTaMa*C^iTa</t>
  </si>
  <si>
    <t>bhoktäraà yajïa-tapasäà</t>
  </si>
  <si>
    <t>sarva-loka-maheçvaram</t>
  </si>
  <si>
    <t>suhådaà sarva-bhütänäà</t>
  </si>
  <si>
    <t>jïätvä mäà çäntim åcchati</t>
  </si>
  <si>
    <t xml:space="preserve"> </t>
  </si>
  <si>
    <t>Confraternização Universal</t>
  </si>
  <si>
    <t>Tiradentes</t>
  </si>
  <si>
    <t>Dia do Trabalho</t>
  </si>
  <si>
    <t>Independência</t>
  </si>
  <si>
    <t>Proc. da República</t>
  </si>
  <si>
    <t>Natal</t>
  </si>
  <si>
    <t>Paixão de Cristo</t>
  </si>
  <si>
    <t>AJaae_iPa Saà( AVYaYaaTMaa &gt;aUTaaNaaMaqìrae_iPa SaNa(</t>
  </si>
  <si>
    <t>Pa[k*-iTa&amp; SvaMaiDaZQaaYa SaM&gt;avaMYaaTMaMaaYaYaa</t>
  </si>
  <si>
    <t>Embora Eu não tenha nascimento e Meu corpo transcendental nunca se deteriore, e embora Eu seja o Senhor de todos os seres vivos, ainda assim Eu apareço em todo milênio em Minha forma transcendental original. (Bg. 4.6)</t>
  </si>
  <si>
    <t>janma karma ca me divyam</t>
  </si>
  <si>
    <t>evaà yo vetti tattvataù</t>
  </si>
  <si>
    <t>veëuà kvaëantam aravinda-daläyatäkñaà</t>
  </si>
  <si>
    <t>barhävataàsam asitämbuda-sundaräìgam</t>
  </si>
  <si>
    <t>kandarpa-koti-kaminéya-viçeña-çobhaà</t>
  </si>
  <si>
    <t>govindam ädi-puruñaà tam ahaà bhajämi</t>
  </si>
  <si>
    <t>tyaktvä dehaà punar janma</t>
  </si>
  <si>
    <t>naiti mäm eti so'rjuna</t>
  </si>
  <si>
    <t>JaNMa k-MaR c Mae idVYaMaev&amp; Yaae veita TatvTa"</t>
  </si>
  <si>
    <t>NM</t>
  </si>
  <si>
    <t>May</t>
  </si>
  <si>
    <t>English</t>
  </si>
  <si>
    <t>yad yad vibhütimat sattvaà</t>
  </si>
  <si>
    <t>çrémad ürjitam eva vä</t>
  </si>
  <si>
    <t>tat tad evävagaccha tvaà</t>
  </si>
  <si>
    <t>mama tejo'àça-sambhavam</t>
  </si>
  <si>
    <t>YaÛiÜ&gt;aUiTaMaTSatv&amp; é[qMadUiJaRTaMaev va</t>
  </si>
  <si>
    <t>TatadevavGaC^ Tv&amp; MaMa TaeJaae&amp;_XaSaM&gt;avMa(</t>
  </si>
  <si>
    <t>Saiba que todas as criações belas, gloriosas e poderosas brotam tão somente de uma centelha de Meu esplendor. (Bg. 10.41)</t>
  </si>
  <si>
    <t>mat-karma-kån mat-paramo</t>
  </si>
  <si>
    <t>mad-bhaktaù saìga-varjitaù</t>
  </si>
  <si>
    <t>nirvairaù sarva-bhüteñu</t>
  </si>
  <si>
    <t>yaù sa mäm eti päëòava</t>
  </si>
  <si>
    <t>MaTk-MaRk*-Na( MaTParMaae MaÙ¢-" Sa®viJaRTa"</t>
  </si>
  <si>
    <t>iNavŒr" SavR&gt;aUTaezu Ya" Sa MaaMaeiTa Paa&lt;@v</t>
  </si>
  <si>
    <t xml:space="preserve">    © The Bhaktivedanta Book Trust International.</t>
  </si>
  <si>
    <t>D</t>
  </si>
  <si>
    <t>S</t>
  </si>
  <si>
    <t>T</t>
  </si>
  <si>
    <t>Q</t>
  </si>
  <si>
    <t>Mês</t>
  </si>
  <si>
    <t>Importante</t>
  </si>
  <si>
    <t>PLANEJAMENTO MENSAL</t>
  </si>
  <si>
    <t>Ano</t>
  </si>
  <si>
    <t>Número do Mês</t>
  </si>
  <si>
    <t>Quantidade de dias no mês</t>
  </si>
  <si>
    <t>1º dia do mês</t>
  </si>
  <si>
    <t>Dia da semana do 1º dia do mês</t>
  </si>
  <si>
    <t>Quarta</t>
  </si>
  <si>
    <t>Quinta</t>
  </si>
  <si>
    <t>Sexta</t>
  </si>
  <si>
    <t>Sábado</t>
  </si>
  <si>
    <t>Feriado</t>
  </si>
  <si>
    <t>Comemoração</t>
  </si>
  <si>
    <t>Jejum</t>
  </si>
  <si>
    <t>Segunda</t>
  </si>
  <si>
    <t>Terça</t>
  </si>
  <si>
    <t>Domingo</t>
  </si>
  <si>
    <t>Aperfeiçoamento Pessoal</t>
  </si>
  <si>
    <t>Espiritual</t>
  </si>
  <si>
    <t>Emocional</t>
  </si>
  <si>
    <t>Intelectual</t>
  </si>
  <si>
    <t>Físico</t>
  </si>
  <si>
    <t>Áreas</t>
  </si>
  <si>
    <t>Objetivos</t>
  </si>
  <si>
    <t>CONTATO</t>
  </si>
  <si>
    <t>Cita-ções</t>
  </si>
  <si>
    <t>Linha 7</t>
  </si>
  <si>
    <t>AaeMa( PaU&lt;aRMad" PaU&lt;aRiMad&amp; PaU&lt;aaRTPaU&lt;aRMaudCYaTae</t>
  </si>
  <si>
    <t>PaU&lt;aRSYa PaU&lt;aRMaadaYa PaU&lt;aRMaevaviXaZYaTa</t>
  </si>
  <si>
    <t>oà pürëam adaù pürëam idaà</t>
  </si>
  <si>
    <t>pürëät pürëam udacyate</t>
  </si>
  <si>
    <t>pürëasya pürëam ädäya</t>
  </si>
  <si>
    <t>pürëam evävaçiñyate</t>
  </si>
  <si>
    <t>wRXaavaSYaiMad&amp; Sav| YaiTk-Ä JaGaTYaa&amp; JaGaTa(</t>
  </si>
  <si>
    <t>TaeNa TYa¢e-Na &gt;auÅqQaa Maa Ga*Da" k-SYa iSvÖNaMa(</t>
  </si>
  <si>
    <t>éçäväsyam idaà sarvaà</t>
  </si>
  <si>
    <t>yat kiïca jagatyäà jagat</t>
  </si>
  <si>
    <t>tena tyaktena bhuïjéthä</t>
  </si>
  <si>
    <t>mä gådhaù kasya svid dhanam</t>
  </si>
  <si>
    <t>Maa}aaSPaXaaRSTau k-aENTaeYa SaqTaaeZ&lt;aSau%du"%da"</t>
  </si>
  <si>
    <t>AaGaMaaPaaiYaNaae_iNaTYaaSTaa&amp;iSTaiTa+aSv &gt;aarTa</t>
  </si>
  <si>
    <t>mäträ-sparçäs tu kaunteya</t>
  </si>
  <si>
    <t>Dedicatória</t>
  </si>
  <si>
    <t>YataPaSYaiSa k-aENTaeYa TaTku-åZv MadPaR&lt;aMa(</t>
  </si>
  <si>
    <t>Ó filho de Kunti, tudo que você fizer, tudo que você comer, tudo que você oferecer e presentear, bem como todas as austeridades que você executar, tudo deve ser feito como um oferecimento a Mim. (Bg. 9.27)</t>
  </si>
  <si>
    <t>ahaà sarvasya prabhavo</t>
  </si>
  <si>
    <t>mattaù sarvaà pravartate</t>
  </si>
  <si>
    <t>iti matvä bhajante mäà</t>
  </si>
  <si>
    <t>Meu querido Arjuna, a pessoa que se ocupa em Meu serviço devocional puro, livre das contaminações de atividades anteriores e da especulação mental, que é amigável para toda entidade viva, certamente vem a Mim. (Bg. 11.55)</t>
  </si>
  <si>
    <t>käraëaà guëa-saìgo'sya</t>
  </si>
  <si>
    <t>sad-asad-yoni-janmasu</t>
  </si>
  <si>
    <t>puruñaù prakåti-stho hi</t>
  </si>
  <si>
    <t>Eu sou a fonte de todos os mundos espirituais e materiais. Tudo emana de Mim. Os sábios que sabem disso perfeitamente ocupam-se em Meu serviço devocional e Me adoram com todo seu coração. (Bg. 10.8)</t>
  </si>
  <si>
    <t>mac-cittä mad-gata-präëä</t>
  </si>
  <si>
    <t>bodhayantaù parasparam</t>
  </si>
  <si>
    <t>kathayantaç ca mäà nityaà</t>
  </si>
  <si>
    <t>tuñyanti ca ramanti ca</t>
  </si>
  <si>
    <t>MaiÀtaa MaÓTaPa[a&lt;aa baeDaYaNTa" ParSParMa(</t>
  </si>
  <si>
    <t>k-QaYaNTaê Maa&amp; iNaTYa&amp; TauZYaiNTa c rMaiNTa c</t>
  </si>
  <si>
    <t>Os pensamentos de Meus devotos puros vivem em Mim, suas vidas estão rendidas a Mim, e eles sentem grande satisfação e bem-aventurança iluminando-se uns aos outros e conversando sobre Mim. (Bg. 10.9)</t>
  </si>
  <si>
    <t>teñäà satata-yuktänäà</t>
  </si>
  <si>
    <t>Taeza&amp; SaTaTaYau¢-aNaa&amp; &gt;aJaTaa&amp; Pa[qiTaPaUvRk-Ma(</t>
  </si>
  <si>
    <t>ddaiMa buiÖYaaeGa&amp; Ta&amp; YaeNa MaaMauPaYaaiNTa Tae</t>
  </si>
  <si>
    <t>Para aqueles que estão constantemente devotados e Me adoram com amor extático, Eu dou a compreensão com a qual eles podem vir a Mim. (Bg. 10.10)</t>
  </si>
  <si>
    <t>teñäm evänukampärtham</t>
  </si>
  <si>
    <t>aham ajïäna-jaà tamaù</t>
  </si>
  <si>
    <t>näçayämy ätma-bhävastho</t>
  </si>
  <si>
    <t>jïäna-dépena bhäsvatä</t>
  </si>
  <si>
    <t>TaezaMaevaNauk-MPaaQaRMahMajaNaJa&amp; TaMa"</t>
  </si>
  <si>
    <t>NaaXaYaaMYaaTMa&gt;aavSQaae jaNadqPaeNa &gt;aaSvTaa</t>
  </si>
  <si>
    <t>Aqueles que não têm fé no caminho do serviço devocional não podem Me alcançar, ó conquistador dos inimigos, mas voltam ao nascimento e à morte neste mundo material (Bg. 9.3)</t>
  </si>
  <si>
    <t>satataà kértayanto mäà</t>
  </si>
  <si>
    <t>yatantaç ca dåòha-vratäù</t>
  </si>
  <si>
    <t>mamasyantaç ca mäà bhaktyä</t>
  </si>
  <si>
    <t>nitya-yuktä upäsate</t>
  </si>
  <si>
    <t>SaTaTa&amp; k-ITaRYaNTaae Maa&amp; YaTaNTaê d*!v]Taa"</t>
  </si>
  <si>
    <t>MaMaSYaNTaê Maa&amp; &gt;a¢-ya iNaTYaYau¢-a oPaaSaTae</t>
  </si>
  <si>
    <t>patraà puñpaà phalaà toyaà</t>
  </si>
  <si>
    <t>yo me bhaktyä prayacchati</t>
  </si>
  <si>
    <t>tad ahaà bhakty-upahåtam</t>
  </si>
  <si>
    <t>açnämi prayatätmanaù</t>
  </si>
  <si>
    <t>Pa}a&amp; PauZPa&amp; f-l&amp;/ TaaeYa&amp; Yaae Mae &gt;a¢-ya Pa[YaC^iTa</t>
  </si>
  <si>
    <t>Tadh&amp; &gt;a¢-yuPaôTaMaénaiMa Pa[YaTaaTMaNa"</t>
  </si>
  <si>
    <t>Se uma pessoa Me oferecer com amor e devoção uma folha, uma flor, frutas ou água, Eu aceitarei. (Bg. 9.26)</t>
  </si>
  <si>
    <t>Apresentação</t>
  </si>
  <si>
    <t xml:space="preserve">    de gerenciamento de suas atividades que não deixe de lado as atividades</t>
  </si>
  <si>
    <t xml:space="preserve">    espirituais.</t>
  </si>
  <si>
    <r>
      <t xml:space="preserve">    védicas</t>
    </r>
    <r>
      <rPr>
        <vertAlign val="superscript"/>
        <sz val="12"/>
        <rFont val="Verdana"/>
        <family val="2"/>
      </rPr>
      <t>(3)</t>
    </r>
    <r>
      <rPr>
        <sz val="12"/>
        <rFont val="Verdana"/>
        <family val="2"/>
      </rPr>
      <t>. Este documento também pode ser utilizado, com adaptações, por</t>
    </r>
  </si>
  <si>
    <t>: :</t>
  </si>
  <si>
    <t>dharma-kñetre kuru-kñetre</t>
  </si>
  <si>
    <t>samavetä yuyutsavaù</t>
  </si>
  <si>
    <t>mämakäù päëòaväç caiva</t>
  </si>
  <si>
    <t>kim akurvata saïjaya</t>
  </si>
  <si>
    <t>DaMaR+ae}ae ku-å+ae}ae SaMaveTaa YauYauTSav"</t>
  </si>
  <si>
    <t>MaaMak-a" Paa&lt;@vaêEv ik-Maku-vRTa SaÅYa</t>
  </si>
  <si>
    <t>kärpaëya-doñopahata-svabhävaù</t>
  </si>
  <si>
    <t>påcchämi tväà dharma-saàmüòha-cetäù</t>
  </si>
  <si>
    <t>yac chreyaù syän niçcitaà brühi tan me</t>
  </si>
  <si>
    <t>çiñyas te 'haà çädhi mäà tuäà prapannam</t>
  </si>
  <si>
    <t>k-aPaR&lt;YadaezaePahTaSv&gt;aav" Pa*C^aiMa Tva&amp; DaMaRSa&amp;MaU!ceTaa"</t>
  </si>
  <si>
    <t>YaC^\eYa" SYaaNa( iNaiêTa&amp; b]Uih TaNa( Mae iXaZYaSTae_h&amp; XaaiDa Maa&amp; TauAa&amp; Pa[PaàMa(</t>
  </si>
  <si>
    <t>Maa&amp; c Yaae_VYai&gt;acare&lt;a &gt;ai¢-YaaeGaeNa SaevTae</t>
  </si>
  <si>
    <t>ASGau&lt;aaNa( SaMaTaqTYaETaaNa( b]ø&gt;aUYaaYa k-LPaTae</t>
  </si>
  <si>
    <t>Aquele que se ocupa completamente em serviço devovional, que não cai em nenhuma circunstância, transcende imediatamente os modos da natureza material e desse modo chega ao nível de Brahman. (Bg. 14.26)</t>
  </si>
  <si>
    <t>üdhuva-mülam adhaù-çäkham</t>
  </si>
  <si>
    <t>açvatthaà prähur avyayam</t>
  </si>
  <si>
    <t>chandäàsi yasya parëäni</t>
  </si>
  <si>
    <t>yas taà veda sa veda-vit</t>
  </si>
  <si>
    <t>ODauvMaUl/MaDa"Xaa%MaìTQa&amp; Pa[ahurVYaYaMa(</t>
  </si>
  <si>
    <t>^Nda&amp;iSa YaSYa Pa&lt;aaRiNa YaSTa&amp; ved Sa vedivTa(</t>
  </si>
  <si>
    <t>O Bem-aventurado Senhor disse: Existe uma figueira-de-bengala que tem suas raízes para cima e seus galhos para baixo e cujas folhas são os hinos védicos. A pessoa que conhece esta árvore é o conhecedor dos Vedas. (Bg. 15.1)</t>
  </si>
  <si>
    <t>mattaù småtir jïänam apohanaà ca</t>
  </si>
  <si>
    <t>vedaiç ca sarvair aham eva vedyo</t>
  </si>
  <si>
    <t>vedänta-kåd veda-vid eva cäham</t>
  </si>
  <si>
    <t>sarvasya cähaà hådi sanniviñöo</t>
  </si>
  <si>
    <t>Completa</t>
  </si>
  <si>
    <t>Fin. Completa</t>
  </si>
  <si>
    <t>Agora estou confuso sobre meu dever e perdi toda a compostura por causa da fraqueza. Nesta condição, peço que Você me diga claramente o que é melhor para mim. Agora sou seu discípulo, e uma alma rendida a Você. Por favor, instrua-me. (Bg. 2.7)</t>
  </si>
  <si>
    <t>dehino'smin yathä dehe</t>
  </si>
  <si>
    <t>kaumäraà yauvanaà jarä</t>
  </si>
  <si>
    <t>tathä dehäntara-präptir</t>
  </si>
  <si>
    <t>dhéras tatra na muhyati</t>
  </si>
  <si>
    <t>deihNaae_iSMaNa( YaQaa dehe k-aEMaar&amp; YaaEvNa&amp; Jara</t>
  </si>
  <si>
    <t>TaQaa dehaNTarPa[aiáDasrSTa}a Na MauùiTa</t>
  </si>
  <si>
    <t>PRIORIDADES</t>
  </si>
  <si>
    <t>Dia Sem.</t>
  </si>
  <si>
    <t>Tipo</t>
  </si>
  <si>
    <t>Telefone</t>
  </si>
  <si>
    <t>Como a alma corporificada passa continuamente, neste corpo, da infância à juventude e à velhice, da mesma forma a alma passa a um outro corpo depois da morte. A alma auto-realizada não se confunde com tal mudança. (Bg. 2.13)</t>
  </si>
  <si>
    <t>Os devotos do Senhor se liberam de toda classe de pecados porque comem alimentos que são primeiro oferecidos em sacrifício. Os demais, que preparam os alimentos para o gozo pessoal dos sentidos, em verdade só comem pecado. (Bg. 3.13)</t>
  </si>
  <si>
    <t>prakåteù kriyamäëäni</t>
  </si>
  <si>
    <t>guëaiù karmäëi sarvaçaù</t>
  </si>
  <si>
    <t>ahaìkära-vimüòhätmä</t>
  </si>
  <si>
    <t>kartäham iti manyate</t>
  </si>
  <si>
    <t>Pa[k*-Tae" i§-YaMaa&lt;aaiNa Gau&lt;aE" k-MaaRi&lt;a SavRXa"</t>
  </si>
  <si>
    <t>AhªarivMaU!aTMaa k-TaaRhiMaiTa MaNYaTae</t>
  </si>
  <si>
    <t>A alma espiritual confundida, sob a influência dos três modos da natureza material, acha que é o executor das atividades que na realidade são levadas a cabo pela natureza. (Bg. 3.27)</t>
  </si>
  <si>
    <t>evaà buddheù paraà buddhuvä</t>
  </si>
  <si>
    <t>saàstabhyätmänam ätmanä</t>
  </si>
  <si>
    <t>jahi çatruà mahä-bäho</t>
  </si>
  <si>
    <t>käma-rupaà duräsadam</t>
  </si>
  <si>
    <t>Wv&amp; buÖe" Par&amp; buÖuva Sa&amp;STa&gt;YaaTMaaNaMaaTMaNaa</t>
  </si>
  <si>
    <t>Jaih Xa}au&amp; Mahabahae k-aMaåPa&amp; duraSadMa(</t>
  </si>
  <si>
    <t>Yoga</t>
  </si>
  <si>
    <t>Naksatra</t>
  </si>
  <si>
    <t>Masa</t>
  </si>
  <si>
    <t>Index</t>
  </si>
  <si>
    <t>Acknowledgements</t>
  </si>
  <si>
    <t>Calendar</t>
  </si>
  <si>
    <t>Holydays</t>
  </si>
  <si>
    <t>Apresentation</t>
  </si>
  <si>
    <t>Personal Data</t>
  </si>
  <si>
    <t>Assim, sabendo-se transcendental aos sentidos, à mente e à inteligência materiais, a pessoa deve controlar o eu inferior por meio do eu superior e assim - através da força espiritual - conquistar este inimigo insaciável chamado luxúria. (Bg. 3.43)</t>
  </si>
  <si>
    <t>evaà paramparä-präptam</t>
  </si>
  <si>
    <t>imaà räjarñayo vyduù</t>
  </si>
  <si>
    <t>as käleneha mahatä</t>
  </si>
  <si>
    <t>yogo nañtaù parantapa</t>
  </si>
  <si>
    <t>Wv&amp; ParMParaPa[aáiMaMa&amp; raJazRYaae VYdu"</t>
  </si>
  <si>
    <t>ASk-ale/Naeh MahTaa YaaeGaae NaZTa" ParNTaPa</t>
  </si>
  <si>
    <t>Esta ciência suprema foi assim recebida através da corrente de sucessão discipular, e os reis santos compreenderam-na desta maneira. Mas com o passar do tempo a sucessão se rompeu e por isso a ciência como ela é parece estar perdida. (Bg. 4.2)</t>
  </si>
  <si>
    <t>ajo'pi sann avyayätmä</t>
  </si>
  <si>
    <t>bhütänäm éçvaro'pi san</t>
  </si>
  <si>
    <t>prakåtià sväm adhiñthäya</t>
  </si>
  <si>
    <t>sambhavämy ätma-mäyayä</t>
  </si>
  <si>
    <t>SavRSYa cah&amp; ôid Saiàivíae Mata" SMa*iTajaRNaMaPaaehNa&amp; c</t>
  </si>
  <si>
    <t>vedEê SavŒrhMaev veÛae vedaNTak*-Üedivdev cahMa(</t>
  </si>
  <si>
    <t>tenha encontrado maior facilidade na execução do seu serviço graças a este</t>
  </si>
  <si>
    <t>documento.</t>
  </si>
  <si>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</si>
  <si>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</si>
  <si>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</si>
  <si>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</si>
  <si>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</si>
  <si>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Gopala Dasa Adhikari (HDG)</t>
  </si>
  <si>
    <t>Recife - Brasil, 07 de dezembro de 2005.</t>
  </si>
  <si>
    <t>Tabelas (para Formatação Condicional)</t>
  </si>
  <si>
    <t>Domingo de Ramos</t>
  </si>
  <si>
    <t>Sábado de Aleluia</t>
  </si>
  <si>
    <t>Dia dos Namorados</t>
  </si>
  <si>
    <t>Finados</t>
  </si>
  <si>
    <t>Corpus Christi</t>
  </si>
  <si>
    <t>Pentecostes</t>
  </si>
  <si>
    <t>bhuìkte bhojayate caiva</t>
  </si>
  <si>
    <t>ñaò-vidhaà préti-lakñaëam</t>
  </si>
  <si>
    <t>dadäti pratigåhëäti</t>
  </si>
  <si>
    <t>guhyam äkhyäti påcchati</t>
  </si>
  <si>
    <t>ddaiTa Pa[iTaGa*õaiTa GauùMaa:YaaiTa Pa*C^iTa</t>
  </si>
  <si>
    <t>&gt;au»e &gt;aaeJaYaTae cEv ziÍDa&amp; Pa[qiTal/+a&lt;aMa(</t>
  </si>
  <si>
    <t>Os seis sintomas de amor que os devotos compartilham entre si são: dar presentes em caridade, aceitar presentes caridosos, revelar os pensamentos confidencialmente, indagar confidencialmente, aceitar prasadam e oferecer prasadam. (Upadesamrita - Verso 4)</t>
  </si>
  <si>
    <t>çravaëaà kértanaà viñëoù</t>
  </si>
  <si>
    <t>smaraëaà päda-sevanam</t>
  </si>
  <si>
    <t>arcanaà vandanaà däsyaà</t>
  </si>
  <si>
    <t>sakhyam ätma-nivedanam</t>
  </si>
  <si>
    <t>NO WARRANTY</t>
  </si>
  <si>
    <t>Uma agenda transcendental, para você não perder de vista o que realmente importa.</t>
  </si>
  <si>
    <t>Permission is granted to copy, distribute and/or modify this document under the terms of the GNU Free Documentation License, Version 1.2 or any later version published by the Free Software Foundation; with the Invariant Sections being "Dedicatória", "Agradecimentos" e "Apresentação", with the Front-Cover Texts being "AGENDA VAISHNAVA", and with the Back-Cover Texts being "Uma agenda transcendental, para você não perder de vista o que realmente importa". A copy of the license is included in the section entitled "GNU Free Documentation License".</t>
  </si>
  <si>
    <t>tit_copyright1</t>
  </si>
  <si>
    <t>tit_copyright2</t>
  </si>
  <si>
    <t>tit_copyright3</t>
  </si>
  <si>
    <t>tit_copyright4</t>
  </si>
  <si>
    <t>na çrocati na käìkñati</t>
  </si>
  <si>
    <t>samaù sarveñu bhüteñu</t>
  </si>
  <si>
    <t>mad-bhaktià labhate paräm</t>
  </si>
  <si>
    <t>brahma-bhütaù prasannätmä</t>
  </si>
  <si>
    <t>Sempre cantando Minhas glórias, esforçando-se com grande determinação, prostrando-se diante de Mim, estas grandes almas Me adoram perpétuamente com devoção. (Bg. 9.14)</t>
  </si>
  <si>
    <t>yat karoñi yad açnäsi</t>
  </si>
  <si>
    <t>yad juhoñi dadäsi yat</t>
  </si>
  <si>
    <t>yat tapasyasi kaunteya</t>
  </si>
  <si>
    <t>tat kuruñva mad arpaëam</t>
  </si>
  <si>
    <t>A pessoa que está assim situada transcendentalmente realiza de imediato o Brahmam Supremo. Ela nunca se lamenta nem deseja ter nada; ela está igualmente disposta com toda entidade viva. Neste estado ela alcança o serviço devocional puro a mim. (Bg. 18.54)</t>
  </si>
  <si>
    <t>bhaktyä mäm abhijänäti</t>
  </si>
  <si>
    <t>tato mäà tattvato jïätvä</t>
  </si>
  <si>
    <t>viçate tad-anantaram</t>
  </si>
  <si>
    <t>yävän yaç cäsmi tattvataù</t>
  </si>
  <si>
    <t>&gt;a¢-ya MaaMai&gt;aJaaNaaiTa YaavaNa( YaêaiSMa TatvTa"</t>
  </si>
  <si>
    <t>TaTaae Maa&amp; TatvTaae jaTva ivXaTae TadNaNTarMa(</t>
  </si>
  <si>
    <t>Pode-se compreender a Suprema Personalidade como Ele é unicamente através do serviço devocional. E quando a pessoa tem plena consciência do Senhor Supremo através de tal devoção, ela pode entrar no reino de Deus. (Bg. 18.55)</t>
  </si>
  <si>
    <t>cetasä sarva-karmäëi</t>
  </si>
  <si>
    <t>mayi sannyasya mat-paraù</t>
  </si>
  <si>
    <t>buddhi-yogam upäçritya</t>
  </si>
  <si>
    <t>maccittaù satataà bhava</t>
  </si>
  <si>
    <t>ceTaSaa SavRk-MaaRi&lt;a MaiYa SaNNYaSYa MaTPar"</t>
  </si>
  <si>
    <t>buiÖYaaeGaMauPaaié[TYa MaiÀta" SaTaTa&amp; &gt;av</t>
  </si>
  <si>
    <t>Em todas as atividades dependa simplesmente de Mim e trabalhe sempre sob Minha proteção. Em tal serviço devocional, seja plenamente consciente de Mim. (Bg. 18.57)</t>
  </si>
  <si>
    <t>éçvaraù sarva-bhütänäà</t>
  </si>
  <si>
    <t>håd-deçe'rjuna tiñöhati</t>
  </si>
  <si>
    <t>Eu estou situado no coração de todo mundo, e de Mim vêm a memória, o conhecimento e o esquecimento. Através de todos os Vedas, Eu sou o que há de ser conhecido; na verdade, Eu sou o compilador do Vedanta, e Eu sou o conhecedor dos Vedas como eles são. (Bg. 15.15)</t>
  </si>
  <si>
    <t>yaù çästra-vidhim utsåjya</t>
  </si>
  <si>
    <t>vartate käma-kärataù</t>
  </si>
  <si>
    <t>na sa siddhim aväpnoti</t>
  </si>
  <si>
    <t>na sukhaà na paräà gatim</t>
  </si>
  <si>
    <t>Ya" XaañiviDaMauTSa*JYa vTaRTae k-aMak-arTa"</t>
  </si>
  <si>
    <t>Na Sa iSaiÖMavaPanaeiTa Na Sau%&amp; Na Para&amp; GaiTaMa(</t>
  </si>
  <si>
    <t>Mas aquele que põe de lado as injunções das escrituras e age de acordo com seus próprios caprichos não alcança nem a perfeição, nem a felicidade nem o destino supremo. (Bg. 16.23)</t>
  </si>
  <si>
    <t>Selecionada:</t>
  </si>
  <si>
    <t>Data</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</si>
  <si>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</si>
  <si>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</si>
  <si>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tit_noWarranty5</t>
  </si>
  <si>
    <t>tit_noWarranty6</t>
  </si>
  <si>
    <t>Referência</t>
  </si>
  <si>
    <t>Codigo</t>
  </si>
  <si>
    <t>Selecinado</t>
  </si>
  <si>
    <t>Português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</si>
  <si>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</si>
  <si>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Indice</t>
  </si>
  <si>
    <t>Time</t>
  </si>
  <si>
    <t>ind_horaInicial</t>
  </si>
  <si>
    <t>Hora Inicial (na agenda semanal)</t>
  </si>
  <si>
    <t>Start hour (on week planner)</t>
  </si>
  <si>
    <t>78 0</t>
  </si>
  <si>
    <t>78 1</t>
  </si>
  <si>
    <t>78 2</t>
  </si>
  <si>
    <t>78 3</t>
  </si>
  <si>
    <t>78 4</t>
  </si>
  <si>
    <t>78 5</t>
  </si>
  <si>
    <t>78 6</t>
  </si>
  <si>
    <t>Latitude</t>
  </si>
  <si>
    <t>Mesa</t>
  </si>
  <si>
    <t>Vrsabha</t>
  </si>
  <si>
    <t>Mithuna</t>
  </si>
  <si>
    <t>Karka</t>
  </si>
  <si>
    <t>Simha</t>
  </si>
  <si>
    <t>Kanya</t>
  </si>
  <si>
    <t>Tula</t>
  </si>
  <si>
    <t>Vrscika</t>
  </si>
  <si>
    <t>Dhanus</t>
  </si>
  <si>
    <t>Makara</t>
  </si>
  <si>
    <t>Kumbha</t>
  </si>
  <si>
    <t>Mina</t>
  </si>
  <si>
    <t>no</t>
  </si>
  <si>
    <t>yes</t>
  </si>
  <si>
    <t>EKADASI</t>
  </si>
  <si>
    <t>PURNIMA</t>
  </si>
  <si>
    <t>PRATIPAT</t>
  </si>
  <si>
    <t>F.C.</t>
  </si>
  <si>
    <t>men_obsev</t>
  </si>
  <si>
    <t>Obs.:</t>
  </si>
  <si>
    <t>smf_semana</t>
  </si>
  <si>
    <t>Important</t>
  </si>
  <si>
    <t>Areas</t>
  </si>
  <si>
    <t>Goals</t>
  </si>
  <si>
    <t>Self Improvement</t>
  </si>
  <si>
    <t>Week</t>
  </si>
  <si>
    <t>Nova</t>
  </si>
  <si>
    <t>Cresc</t>
  </si>
  <si>
    <t>Cheia</t>
  </si>
  <si>
    <t>Ming</t>
  </si>
  <si>
    <t>New M.</t>
  </si>
  <si>
    <t>First Q.</t>
  </si>
  <si>
    <t>Full M.</t>
  </si>
  <si>
    <t>Last Q.</t>
  </si>
  <si>
    <t>FQ</t>
  </si>
  <si>
    <t>FM</t>
  </si>
  <si>
    <t>LQ</t>
  </si>
  <si>
    <t>smf_goals</t>
  </si>
  <si>
    <t>smf_nm</t>
  </si>
  <si>
    <t>smf_fq</t>
  </si>
  <si>
    <t>smf_fm</t>
  </si>
  <si>
    <t>smf_lq</t>
  </si>
  <si>
    <t>Celebration</t>
  </si>
  <si>
    <t>Fast</t>
  </si>
  <si>
    <t>smf_fast</t>
  </si>
  <si>
    <t>smf_celebration</t>
  </si>
  <si>
    <t>Holiday</t>
  </si>
  <si>
    <t>smf_holiday</t>
  </si>
  <si>
    <t>smf_day</t>
  </si>
  <si>
    <t>smv_day</t>
  </si>
  <si>
    <t>smv_holiday</t>
  </si>
  <si>
    <t>smv_celebration</t>
  </si>
  <si>
    <t>smv_fast</t>
  </si>
  <si>
    <t>MONTHLY PLANNING</t>
  </si>
  <si>
    <t>PRIORITIES</t>
  </si>
  <si>
    <t>Notes:</t>
  </si>
  <si>
    <t>Tables (for Conditional Formatting)</t>
  </si>
  <si>
    <t>Week-Back</t>
  </si>
  <si>
    <t>Fin. Week-Back</t>
  </si>
  <si>
    <t>men_section</t>
  </si>
  <si>
    <t>smf_section</t>
  </si>
  <si>
    <t>smv_section</t>
  </si>
  <si>
    <t>fms_section</t>
  </si>
  <si>
    <t>fsv_section</t>
  </si>
  <si>
    <t>fsf_section</t>
  </si>
  <si>
    <t>ane_section</t>
  </si>
  <si>
    <t>and_section</t>
  </si>
  <si>
    <t>cte_section</t>
  </si>
  <si>
    <t>ctd_section</t>
  </si>
  <si>
    <t>fps_section</t>
  </si>
  <si>
    <t>cit_section</t>
  </si>
  <si>
    <t>tit_section</t>
  </si>
  <si>
    <t>ind_section</t>
  </si>
  <si>
    <t>ded_section</t>
  </si>
  <si>
    <t>dps_section</t>
  </si>
  <si>
    <t>cal_section</t>
  </si>
  <si>
    <t>fer_section</t>
  </si>
  <si>
    <t>tit_title</t>
  </si>
  <si>
    <t>tit_text</t>
  </si>
  <si>
    <t>ind_title</t>
  </si>
  <si>
    <t>ded_title1</t>
  </si>
  <si>
    <t>ded_title2</t>
  </si>
  <si>
    <t>dps_title1</t>
  </si>
  <si>
    <t>dps_title2</t>
  </si>
  <si>
    <t>dps_title3</t>
  </si>
  <si>
    <t>fer_title1</t>
  </si>
  <si>
    <t>fer_title2</t>
  </si>
  <si>
    <t>men_title</t>
  </si>
  <si>
    <t>smf_title</t>
  </si>
  <si>
    <t>smv_title</t>
  </si>
  <si>
    <t>fms_title</t>
  </si>
  <si>
    <t>fsv_title</t>
  </si>
  <si>
    <t>fsf_title</t>
  </si>
  <si>
    <t>ane_title</t>
  </si>
  <si>
    <t>and_title</t>
  </si>
  <si>
    <t>cte_title</t>
  </si>
  <si>
    <t>ctd_title</t>
  </si>
  <si>
    <t>fps_title</t>
  </si>
  <si>
    <t>cit_title</t>
  </si>
  <si>
    <t>fer_name</t>
  </si>
  <si>
    <t>cte_name</t>
  </si>
  <si>
    <t>ctd_name</t>
  </si>
  <si>
    <t>ind_language</t>
  </si>
  <si>
    <t>ind_persdata</t>
  </si>
  <si>
    <t>ind_holiday</t>
  </si>
  <si>
    <t>Monthly</t>
  </si>
  <si>
    <t>Week-Front</t>
  </si>
  <si>
    <t>ind_weekfront</t>
  </si>
  <si>
    <t>ind_finweekback</t>
  </si>
  <si>
    <t>ind_finweekfront</t>
  </si>
  <si>
    <t>ind_NotesLeft</t>
  </si>
  <si>
    <t>ind_NotesRight</t>
  </si>
  <si>
    <t>cover_section</t>
  </si>
  <si>
    <t>cover_plan</t>
  </si>
  <si>
    <t>cover_title</t>
  </si>
  <si>
    <t>cover_text</t>
  </si>
  <si>
    <t>cover_version</t>
  </si>
  <si>
    <t>Version</t>
  </si>
  <si>
    <t>A transcendental planner for you don't lose sight of what's really important</t>
  </si>
  <si>
    <t>ind_autogen</t>
  </si>
  <si>
    <t>Automatically generate</t>
  </si>
  <si>
    <t>Planner:</t>
  </si>
  <si>
    <t>(select)</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</si>
  <si>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</si>
  <si>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</si>
  <si>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Dedication</t>
  </si>
  <si>
    <t>SS Hridayananda dasa Goswami Maharaj (Dr. Howard J. Resnick), is one of the most prominent spiritual leaders of the International Society of Krishna Consciousness - ISKCON.</t>
  </si>
  <si>
    <t>Address</t>
  </si>
  <si>
    <t>City</t>
  </si>
  <si>
    <t>Zip code</t>
  </si>
  <si>
    <t>State</t>
  </si>
  <si>
    <t>Phone</t>
  </si>
  <si>
    <t>Mobile</t>
  </si>
  <si>
    <t>T. Elector</t>
  </si>
  <si>
    <t>Zone</t>
  </si>
  <si>
    <t>Section</t>
  </si>
  <si>
    <t>Passport</t>
  </si>
  <si>
    <t>Validity</t>
  </si>
  <si>
    <t>Cart. Military</t>
  </si>
  <si>
    <t>Certif. Reservist</t>
  </si>
  <si>
    <t>License</t>
  </si>
  <si>
    <t>Vcto. Ex Health</t>
  </si>
  <si>
    <t>Vehicle</t>
  </si>
  <si>
    <t>Board</t>
  </si>
  <si>
    <t>Chassis No.</t>
  </si>
  <si>
    <t>Code Renavam</t>
  </si>
  <si>
    <t>Insurance Co.</t>
  </si>
  <si>
    <t>Vcto. Insurance Obr.</t>
  </si>
  <si>
    <t>Blood Group</t>
  </si>
  <si>
    <t>I'm allergic to</t>
  </si>
  <si>
    <t>Vaccination against tetanus:</t>
  </si>
  <si>
    <t>not</t>
  </si>
  <si>
    <t>I suffer from:</t>
  </si>
  <si>
    <t>Heart</t>
  </si>
  <si>
    <t>Hemophilia</t>
  </si>
  <si>
    <t>Epilepsy report</t>
  </si>
  <si>
    <t>In case of emergency notify:</t>
  </si>
  <si>
    <t>Phone:</t>
  </si>
  <si>
    <t>ID</t>
  </si>
  <si>
    <t>Holidays</t>
  </si>
  <si>
    <t>Month</t>
  </si>
  <si>
    <t>Week Day</t>
  </si>
  <si>
    <t>Planning</t>
  </si>
  <si>
    <t>Detailing</t>
  </si>
  <si>
    <t>Fin. Monthly</t>
  </si>
  <si>
    <t>Fin. Week-Front</t>
  </si>
  <si>
    <t>Contacts-Left</t>
  </si>
  <si>
    <t>Contacts-Rigth</t>
  </si>
  <si>
    <t>ind_planner</t>
  </si>
  <si>
    <t>ind_select</t>
  </si>
  <si>
    <t>Complete</t>
  </si>
  <si>
    <t>ind_complete</t>
  </si>
  <si>
    <t>ind_weekly</t>
  </si>
  <si>
    <t>Weekly</t>
  </si>
  <si>
    <t>ind_monthtly</t>
  </si>
  <si>
    <t>Fin. Weekly</t>
  </si>
  <si>
    <t>Fin. Complete</t>
  </si>
  <si>
    <t>ind_finmonthtly</t>
  </si>
  <si>
    <t>ind_finweekly</t>
  </si>
  <si>
    <t>ind_fincomplete</t>
  </si>
  <si>
    <t>Quo-tes</t>
  </si>
  <si>
    <t>Linguagem</t>
  </si>
  <si>
    <t>Hora</t>
  </si>
  <si>
    <t>Quebra de jejum</t>
  </si>
  <si>
    <t>Janeiro</t>
  </si>
  <si>
    <t>Fevereiro</t>
  </si>
  <si>
    <t>Março</t>
  </si>
  <si>
    <t>Abril</t>
  </si>
  <si>
    <t>Maio</t>
  </si>
  <si>
    <t>Junho</t>
  </si>
  <si>
    <t>Julho</t>
  </si>
  <si>
    <t>Agosto</t>
  </si>
  <si>
    <t>Setembro</t>
  </si>
  <si>
    <t>Novembro</t>
  </si>
  <si>
    <t>Dezembro</t>
  </si>
  <si>
    <t>Do</t>
  </si>
  <si>
    <t>cal_cal</t>
  </si>
  <si>
    <t>smf_breakfast</t>
  </si>
  <si>
    <t>smf_time</t>
  </si>
  <si>
    <t>smf_yoga</t>
  </si>
  <si>
    <t>smf_naksatra</t>
  </si>
  <si>
    <t>Informação</t>
  </si>
  <si>
    <t>Valor</t>
  </si>
  <si>
    <r>
      <t xml:space="preserve">  calendário vaishnava, geradas pelo programa "GCAL  - Gaurabda Calendar"</t>
    </r>
    <r>
      <rPr>
        <vertAlign val="superscript"/>
        <sz val="12"/>
        <rFont val="Verdana"/>
        <family val="2"/>
      </rPr>
      <t>(2)</t>
    </r>
    <r>
      <rPr>
        <sz val="12"/>
        <rFont val="Verdana"/>
        <family val="2"/>
      </rPr>
      <t>;</t>
    </r>
  </si>
  <si>
    <t>2) O "Gcal - Gaurabda Calendar" é de propriedade da:</t>
  </si>
  <si>
    <t xml:space="preserve">        ISKCON Society</t>
  </si>
  <si>
    <t xml:space="preserve">        GBC - Governing Body Commission</t>
  </si>
  <si>
    <t xml:space="preserve">        Vaisnava Calendar Committee</t>
  </si>
  <si>
    <t xml:space="preserve">         Copyright © All Rights Reserved  </t>
  </si>
  <si>
    <t xml:space="preserve">                 http://www.sankirtana.com.br</t>
  </si>
  <si>
    <t xml:space="preserve">        Website: http://www.krishnadays.com</t>
  </si>
  <si>
    <t>Dhṛtarāṣṭra said: O Sañjaya, after my sons and the sons of Pāṇḍu assembled in the place of pilgrimage at Kurukṣetra, desiring to fight, what did they do? (Bg. 1.1)</t>
  </si>
  <si>
    <t>Now I am confused about my duty and have lost all composure because of miserly weakness. In this condition I am asking You to tell me for certain what is best for me. Now I am Your disciple, and a soul surrendered unto You. Please instruct me. (Bg. 2.7)</t>
  </si>
  <si>
    <t>As the embodied soul continuously passes, in this body, from boyhood to youth to old age, the soul similarly passes into another body at death. A sober person is not bewildered by such a change.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</si>
  <si>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</si>
  <si>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For the soul there is neither birth nor death at any time. He has not come into being, does not come into being, and will not come into being. He is unborn, eternal, ever-existing and primeval. He is not slain when the body is slain. (Bg. 2.20)</t>
  </si>
  <si>
    <t>The devotees of the Lord are released from all kinds of sins because they eat food which is offered first for sacrifice. Others, who prepare food for personal sense enjoyment, verily eat only sin. (Bg. 3.13)</t>
  </si>
  <si>
    <t>The spirit soul bewildered by the influence of false ego thinks himself the doer of activities that are in actuality carried out by the three modes of material nature.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</si>
  <si>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</si>
  <si>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This supreme science was thus received through the chain of disciplic succession, and the saintly kings understood it in that way. But in course of time the succession was broken, and therefore the science as it is appears to be lost. (Bg. 4.2)</t>
  </si>
  <si>
    <t>Although I am unborn and My transcendental body never deteriorates, and although I am the Lord of all living entities, I still appear in every millennium in My original transcendental form. (Bg. 4.6)</t>
  </si>
  <si>
    <t>One who knows the transcendental nature of My appearance and activities does not, upon leaving the body, take his birth again in this material world, but attains My eternal abode, O Arjuna. (Bg. 4.9)</t>
  </si>
  <si>
    <t>Just try to learn the truth by approaching a spiritual master. Inquire from him submissively and render service unto him. The self-realized souls can impart knowledge unto you because they have seen the truth.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</si>
  <si>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</si>
  <si>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And of all yogīs, the one with great faith who always abides in Me, thinks of Me within himself, and renders transcendental loving service to Me — he is the most intimately united with Me in yoga and is the highest of all. That is My opinion. (Bg. 6.47)</t>
  </si>
  <si>
    <t>Out of many thousands among men, one may endeavor for perfection, and of those who have achieved perfection, hardly one knows Me in truth.(Bg. 7.3)</t>
  </si>
  <si>
    <t>Esta Minha energia divina, que consiste nos três modos da natureza material, é difícil de superar. Mas aqueles que se renderam a Mim podem facilmente atravessá-la. (Bg. 7.14)</t>
  </si>
  <si>
    <t>This divine energy of Mine, consisting of the three modes of material nature, is difficult to overcome. But those who have surrendered unto Me can easily cross beyond it. (Bg. 7.14)</t>
  </si>
  <si>
    <t>And whoever, at the end of his life, quits his body, remembering Me alone, at once attains My nature. Of this there is no doubt.  (Bg. 8.5)</t>
  </si>
  <si>
    <t>This knowledge is the king of education, the most secret of all secrets. It is the purest knowledge, and because it gives direct perception of the self by realization, it is the perfection of religion. It is everlasting, and it is joyfully performed. (Bg. 9.2)</t>
  </si>
  <si>
    <t>Those who are not faithful in this devotional service cannot attain Me, O conqueror of enemies. Therefore they return to the path of birth and death in this material world. (Bg. 9.3)</t>
  </si>
  <si>
    <t>Always chanting My glories, endeavoring with great determination, bowing down before Me, these great souls perpetually worship Me with devotion. (9.14)</t>
  </si>
  <si>
    <t>If one offers Me with love and devotion a leaf, a flower, fruit or water, I will accept it. (Bg. 9.26)</t>
  </si>
  <si>
    <t>Whatever you do, whatever you eat, whatever you offer or give away, and whatever austerities you perform — do that, O son of Kuntī, as an offering to Me. (Bg. 9.27)</t>
  </si>
  <si>
    <t>I am the source of all spiritual and material worlds. Everything emanates from Me. The wise who perfectly know this engage in My devotional service and worship Me with all their hearts. (Bg. 10.8)</t>
  </si>
  <si>
    <t>The thoughts of My pure devotees dwell in Me, their lives are fully devoted to My service, and they derive great satisfaction and bliss from always enlightening one another and conversing about Me. (Bg. 10.9)</t>
  </si>
  <si>
    <t>To those who are constantly devoted to serving Me with love, I give the understanding by which they can come to Me. (Bg. 10.10)</t>
  </si>
  <si>
    <t>Por compaixão por eles, Eu, morando em seus corações, destruo com a luz brilhante do conhecimento a escuridão nascida da ignorância. (Bg. 10.11)</t>
  </si>
  <si>
    <t>To show them special mercy, I, dwelling in their hearts, destroy with the shining lamp of knowledge the darkness born of ignorance. (Bg. 10.11)</t>
  </si>
  <si>
    <t>Know that all opulent, beautiful and glorious creations spring from but a spark of My 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</si>
  <si>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</si>
  <si>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The living entity in material nature thus follows the ways of life, enjoying the three modes of nature. This is due to his association with that material nature. Thus he meets with good and evil among various species. (Bg. 13.22)</t>
  </si>
  <si>
    <t>It should be understood that all species of life, O son of Kuntī, are made possible by birth in this material nature, and that I am the seed-giving father. (Bg. 14.4)</t>
  </si>
  <si>
    <t>One who engages in full devotional service, unfailing in all circumstances, at once transcends the modes of material nature and thus comes to the level of Brahman. (Bg. 14.26)</t>
  </si>
  <si>
    <t>The Supreme Personality of Godhead said: It is said that there is an imperishable banyan tree that has its roots upward and its branches down and whose leaves are the Vedic hymns. One who knows this tree is the knower of the Vedas. (Bg. 15.1)</t>
  </si>
  <si>
    <t>I am seated in everyone's heart, and from Me come remembrance, knowledge and forgetfulness. By all the Vedas, I am to be known. Indeed, I am the compiler of Vedānta, and I am the knower of the Vedas. (Bg. 15.15)</t>
  </si>
  <si>
    <t>He who discards scriptural injunctions and acts according to his own whims attains neither perfection, nor happiness, nor the supreme destination.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</si>
  <si>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</si>
  <si>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One can understand Me as I am, as the Supreme Personality of Godhead, only by devotional service. And when one is in full consciousness of Me by such devotion, he can enter into the kingdom of God. (Bg. 18.55)</t>
  </si>
  <si>
    <t>In all activities just depend upon Me and work always under My protection. In such devotional service, be fully conscious of Me. (Bg. 18.57)</t>
  </si>
  <si>
    <t>The Supreme Lord is situated in everyone's heart, O Arjuna, and is directing the wanderings of all living entities, who are seated as on a machine, made of the material energy. (Bg. 18.61)</t>
  </si>
  <si>
    <t>Always think of Me, become My devotee, worship Me and offer your homage unto Me. Thus you will come to Me without fail. I promise you this because you are My very dear friend. (Bg. 18.65)</t>
  </si>
  <si>
    <t>Abandon all varieties of religion and just surrender unto Me. I shall deliver you from all sinful reactions. Do not fear.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</si>
  <si>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(Bhag.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</si>
  <si>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</si>
  <si>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</si>
  <si>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</si>
  <si>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</si>
  <si>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</si>
  <si>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</si>
  <si>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 sober person who can tolerate the urge to speak, the mind's demands, the actions of anger and the urges of the tongue, belly and genitals is qualified to make disciples all over the world. (NoI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</si>
  <si>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</si>
  <si>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</si>
  <si>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Offering gifts in charity, accepting charitable gifts, revealing one's mind in confidence, inquiring confidentially, accepting prasāda and offering prasāda are the six symptoms of love shared by one devotee and another.  (NoI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</si>
  <si>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</si>
  <si>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(Bhag. 11.5.32)</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</si>
  <si>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</si>
  <si>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</si>
  <si>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 verso 3)</t>
  </si>
  <si>
    <t>RH Type</t>
  </si>
  <si>
    <t>Doctor</t>
  </si>
  <si>
    <t>Phone Office</t>
  </si>
  <si>
    <t>Phone Residence</t>
  </si>
  <si>
    <t>Outubro</t>
  </si>
  <si>
    <t>January</t>
  </si>
  <si>
    <t>February</t>
  </si>
  <si>
    <t>March</t>
  </si>
  <si>
    <t>April</t>
  </si>
  <si>
    <t>June</t>
  </si>
  <si>
    <t>July</t>
  </si>
  <si>
    <t>August</t>
  </si>
  <si>
    <t>September</t>
  </si>
  <si>
    <t>October</t>
  </si>
  <si>
    <t>November</t>
  </si>
  <si>
    <t>December</t>
  </si>
  <si>
    <t>Datos Personales</t>
  </si>
  <si>
    <t>Días de Fiesta</t>
  </si>
  <si>
    <t>Mensual</t>
  </si>
  <si>
    <t>Anotaciones-Esquerda</t>
  </si>
  <si>
    <t>Anotaciones-Direita</t>
  </si>
  <si>
    <t>Contacto-Esquerda</t>
  </si>
  <si>
    <t>Contacto-Direita</t>
  </si>
  <si>
    <t>Citaciones</t>
  </si>
  <si>
    <r>
      <t>Un</t>
    </r>
    <r>
      <rPr>
        <sz val="10"/>
        <rFont val="Arial"/>
        <family val="2"/>
      </rPr>
      <t xml:space="preserve"> agenda trascendental, para que usted no pierda de vista lo que realmente importa.</t>
    </r>
  </si>
  <si>
    <t>Versión</t>
  </si>
  <si>
    <r>
      <t>Se concede permiso para</t>
    </r>
    <r>
      <rPr>
        <sz val="10"/>
        <rFont val="Arial"/>
        <family val="2"/>
      </rPr>
      <t xml:space="preserve"> copiar, distribuir y / o modificar este documento bajo las condiciones de la GNU Free Documentation License (GNU Free Documentation License), Versión 1.2 o cualquier versión posterior publicada por la Free Software Foundation; con las Secciones Invariantes  "Dedicación", " Agradecimientos" y "Presentación",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r>
  </si>
  <si>
    <t>NINGUNA GARANTÍA</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</si>
  <si>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</si>
  <si>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</si>
  <si>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Cubierta</t>
  </si>
  <si>
    <t>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</si>
  <si>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1.2 or any later version published by the Free Software Foundation; with the Invariant Sections being  "Dedicación", " Agradecimientos"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</si>
  <si>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</si>
  <si>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Dedicación</t>
  </si>
  <si>
    <t>Agradecimientos</t>
  </si>
  <si>
    <t>Presentación</t>
  </si>
  <si>
    <t>Utilización</t>
  </si>
  <si>
    <t>Fin. Mensual</t>
  </si>
  <si>
    <t>Hora de inicio (en el agenda semanal)</t>
  </si>
  <si>
    <t>Generación automática</t>
  </si>
  <si>
    <t>(seleccione)</t>
  </si>
  <si>
    <t>Dedicacion</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</si>
  <si>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</si>
  <si>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SS Hridayananda dasa Goswami Maharaj (Dr. Howard J. Resnick), es uno de los líderes espirituales más importantes de la Sociedad Internacional de la Conciencia de Krishna - ISKCON.</t>
  </si>
  <si>
    <t>Dirección</t>
  </si>
  <si>
    <t>Z.P.</t>
  </si>
  <si>
    <t>Depto</t>
  </si>
  <si>
    <t>R. de Votantes</t>
  </si>
  <si>
    <t>Área</t>
  </si>
  <si>
    <t>Sección</t>
  </si>
  <si>
    <t>Vigencia</t>
  </si>
  <si>
    <t>Vehículo</t>
  </si>
  <si>
    <t>Chasis</t>
  </si>
  <si>
    <t>Seguro</t>
  </si>
  <si>
    <t>Cód</t>
  </si>
  <si>
    <t>Id. Militar</t>
  </si>
  <si>
    <t>Cert.Reservista</t>
  </si>
  <si>
    <t>N.I.</t>
  </si>
  <si>
    <t>E.I.</t>
  </si>
  <si>
    <t>C.I</t>
  </si>
  <si>
    <t>I.N.</t>
  </si>
  <si>
    <t>I.M</t>
  </si>
  <si>
    <t>RH Factor</t>
  </si>
  <si>
    <t>Tel. Consultorio</t>
  </si>
  <si>
    <t>Tel. Residencia</t>
  </si>
  <si>
    <t>Seg. Salud</t>
  </si>
  <si>
    <t>Health Security</t>
  </si>
  <si>
    <t>Soy alérgico a</t>
  </si>
  <si>
    <r>
      <t>Vacunación</t>
    </r>
    <r>
      <rPr>
        <sz val="10"/>
        <rFont val="Arial"/>
        <family val="2"/>
      </rPr>
      <t xml:space="preserve"> contra tétano:</t>
    </r>
  </si>
  <si>
    <t>sí</t>
  </si>
  <si>
    <r>
      <t>Sufro</t>
    </r>
    <r>
      <rPr>
        <sz val="10"/>
        <rFont val="Arial"/>
        <family val="2"/>
      </rPr>
      <t xml:space="preserve"> de:</t>
    </r>
  </si>
  <si>
    <t>Corazón</t>
  </si>
  <si>
    <t>Epilepsia</t>
  </si>
  <si>
    <t>En caso de emergencia avisar:</t>
  </si>
  <si>
    <t>Grupo Sanguíneo</t>
  </si>
  <si>
    <t>Enero</t>
  </si>
  <si>
    <t>Febrero</t>
  </si>
  <si>
    <t>Marzo</t>
  </si>
  <si>
    <t>Mayo</t>
  </si>
  <si>
    <t>Junio</t>
  </si>
  <si>
    <t>Julio</t>
  </si>
  <si>
    <t>Septiembre</t>
  </si>
  <si>
    <t>Octubre</t>
  </si>
  <si>
    <t>Noviembre</t>
  </si>
  <si>
    <t>Diciembre</t>
  </si>
  <si>
    <t>DíasDeFiesta</t>
  </si>
  <si>
    <t>Día</t>
  </si>
  <si>
    <t>Mes</t>
  </si>
  <si>
    <t>Fecha</t>
  </si>
  <si>
    <t>Día Sem.</t>
  </si>
  <si>
    <t>Compen-sación</t>
  </si>
  <si>
    <t>Compen-sation</t>
  </si>
  <si>
    <t>PLANIFICACIÓN MENSUAL</t>
  </si>
  <si>
    <t>Notas:</t>
  </si>
  <si>
    <t>Mejora Personal</t>
  </si>
  <si>
    <t>Nueva</t>
  </si>
  <si>
    <t>Creciente</t>
  </si>
  <si>
    <t>Plena</t>
  </si>
  <si>
    <t>Menguante</t>
  </si>
  <si>
    <t>Fiesta</t>
  </si>
  <si>
    <t>Conmemoración</t>
  </si>
  <si>
    <t>Ayuno</t>
  </si>
  <si>
    <t>Romper el ayuno</t>
  </si>
  <si>
    <t>Tablas (para formato condicional)</t>
  </si>
  <si>
    <t>Planificación</t>
  </si>
  <si>
    <t>Detallado</t>
  </si>
  <si>
    <t>Anotaciones</t>
  </si>
  <si>
    <t>CONTACTO</t>
  </si>
  <si>
    <r>
      <t>Fin</t>
    </r>
    <r>
      <rPr>
        <sz val="10"/>
        <rFont val="Arial"/>
        <family val="2"/>
      </rPr>
      <t>-Personalización</t>
    </r>
  </si>
  <si>
    <r>
      <t>Fin</t>
    </r>
    <r>
      <rPr>
        <sz val="10"/>
        <rFont val="Arial"/>
        <family val="2"/>
      </rPr>
      <t>-Personalizacion</t>
    </r>
  </si>
  <si>
    <r>
      <t>Agenda</t>
    </r>
    <r>
      <rPr>
        <sz val="10"/>
        <rFont val="Arial"/>
        <family val="2"/>
      </rPr>
      <t xml:space="preserve"> Financiera - Personalización</t>
    </r>
  </si>
  <si>
    <t>Cita-ciones</t>
  </si>
  <si>
    <t>Línea 1</t>
  </si>
  <si>
    <t>Línea 2</t>
  </si>
  <si>
    <t>Línea 3</t>
  </si>
  <si>
    <t>Línea 4</t>
  </si>
  <si>
    <t>Línea 5</t>
  </si>
  <si>
    <t>Línea 6</t>
  </si>
  <si>
    <t>Línea 7</t>
  </si>
  <si>
    <t>Autumn</t>
  </si>
  <si>
    <t>Winter</t>
  </si>
  <si>
    <t>Spring</t>
  </si>
  <si>
    <t>Summer</t>
  </si>
  <si>
    <t>Otoño</t>
  </si>
  <si>
    <t>Invierno</t>
  </si>
  <si>
    <t>Verano</t>
  </si>
  <si>
    <t>fer_autumn</t>
  </si>
  <si>
    <t>fer_winter</t>
  </si>
  <si>
    <t>fer_spring</t>
  </si>
  <si>
    <t>fer_summer</t>
  </si>
  <si>
    <t>fms_diaSem1</t>
  </si>
  <si>
    <t>fms_diaSem2</t>
  </si>
  <si>
    <t>fms_diaSem3</t>
  </si>
  <si>
    <t>fms_diaSem4</t>
  </si>
  <si>
    <t>fms_diaSem5</t>
  </si>
  <si>
    <t>fms_diaSem6</t>
  </si>
  <si>
    <t>fms_diaSem7</t>
  </si>
  <si>
    <t>Su</t>
  </si>
  <si>
    <t>Mo</t>
  </si>
  <si>
    <t>Tu</t>
  </si>
  <si>
    <t>We</t>
  </si>
  <si>
    <t>Fr</t>
  </si>
  <si>
    <t>Th</t>
  </si>
  <si>
    <t>Lu</t>
  </si>
  <si>
    <t>Ma</t>
  </si>
  <si>
    <t>Mi</t>
  </si>
  <si>
    <t>Ju</t>
  </si>
  <si>
    <t>Vi</t>
  </si>
  <si>
    <t>Sa</t>
  </si>
  <si>
    <t>Anotacoes-Esquerda</t>
  </si>
  <si>
    <t>Anotacoes-Direita</t>
  </si>
  <si>
    <t>Apresentacao</t>
  </si>
  <si>
    <t>agr_section</t>
  </si>
  <si>
    <t>agr_plan</t>
  </si>
  <si>
    <t>agr_title</t>
  </si>
  <si>
    <t>com_section</t>
  </si>
  <si>
    <t>com_plan</t>
  </si>
  <si>
    <t>com_title</t>
  </si>
  <si>
    <t>apr_section</t>
  </si>
  <si>
    <t>apr_plan</t>
  </si>
  <si>
    <t>apr_title</t>
  </si>
  <si>
    <t>What Using</t>
  </si>
  <si>
    <t>Fin.-Mensal</t>
  </si>
  <si>
    <t>Fin.-Mensual</t>
  </si>
  <si>
    <t>Fin.-Monthly</t>
  </si>
  <si>
    <t>btInstalarFontes</t>
  </si>
  <si>
    <t>Instalar Fontes</t>
  </si>
  <si>
    <t>Gerar</t>
  </si>
  <si>
    <t>btGerar</t>
  </si>
  <si>
    <t>btRenomearPlanilhas</t>
  </si>
  <si>
    <t>Botões</t>
  </si>
  <si>
    <t>Textos</t>
  </si>
  <si>
    <t>Mensagens</t>
  </si>
  <si>
    <t>Geração Automática da Agenda</t>
  </si>
  <si>
    <t>Tít. Mens.</t>
  </si>
  <si>
    <t>btRestaurarNomesPlanilhas</t>
  </si>
  <si>
    <t>Install Fonts</t>
  </si>
  <si>
    <t>Generate</t>
  </si>
  <si>
    <t>Instalar Fuentes</t>
  </si>
  <si>
    <t>Generar</t>
  </si>
  <si>
    <t>ind_updateExtData</t>
  </si>
  <si>
    <t>ind_instFonts</t>
  </si>
  <si>
    <t>ind_generate</t>
  </si>
  <si>
    <t>Generación Automática de la Agenda</t>
  </si>
  <si>
    <t>Automatic Generation of Planner</t>
  </si>
  <si>
    <t>ind_msAutGen</t>
  </si>
  <si>
    <t>ind_msAutGenTit</t>
  </si>
  <si>
    <t>Fuso Horário</t>
  </si>
  <si>
    <t>Fin. Person.</t>
  </si>
  <si>
    <t>Fasting for Rama Ekadasi</t>
  </si>
  <si>
    <t>Fasting for Utthana Ekadasi</t>
  </si>
  <si>
    <t>First day of Bhisma Pancaka</t>
  </si>
  <si>
    <t>Last day of Bhisma Pancaka</t>
  </si>
  <si>
    <t>Fasting for Utpanna Ekadasi</t>
  </si>
  <si>
    <t>Fasting for Moksada Ekadasi</t>
  </si>
  <si>
    <t>Fasting for Saphala Ekadasi</t>
  </si>
  <si>
    <t>Fasting for Putrada Ekadasi</t>
  </si>
  <si>
    <t>Fasting for Sat-tila Ekadasi</t>
  </si>
  <si>
    <t>(Fast today)</t>
  </si>
  <si>
    <t>Fasting for Bhaimi Ekadasi</t>
  </si>
  <si>
    <t>Fasting for Vijaya Ekadasi</t>
  </si>
  <si>
    <t>Fasting for Amalaki vrata Ekadasi</t>
  </si>
  <si>
    <t>Gaura Purnima: Appearance of Sri Caitanya Mahaprabhu</t>
  </si>
  <si>
    <t>Festival of Jagannatha Misra</t>
  </si>
  <si>
    <t>Fasting for Papamocani Ekadasi</t>
  </si>
  <si>
    <t>Rama Navami: Appearance of Lord Sri Ramacandra</t>
  </si>
  <si>
    <t>Fasting for Kamada Ekadasi</t>
  </si>
  <si>
    <t>Tulasi Jala Dan begins.</t>
  </si>
  <si>
    <t>Fasting for Mohini Ekadasi</t>
  </si>
  <si>
    <t>Tulasi Jala Dan ends.</t>
  </si>
  <si>
    <t>Fasting for Apara Ekadasi</t>
  </si>
  <si>
    <t>Fasting for Pandava Nirjala Ekadasi</t>
  </si>
  <si>
    <t>(Total fast, even from water, if you have broken Ekadasi)</t>
  </si>
  <si>
    <t>Fasting for Yogini Ekadasi</t>
  </si>
  <si>
    <t>Hera Pancami (4 days after Ratha Yatra)</t>
  </si>
  <si>
    <t>Return Ratha (8 days after Ratha Yatra)</t>
  </si>
  <si>
    <t>Fasting for Sayana Ekadasi</t>
  </si>
  <si>
    <t>Fasting for Kamika Ekadasi</t>
  </si>
  <si>
    <t>Fasting for Pavitropana Ekadasi</t>
  </si>
  <si>
    <t>Sri Krsna Janmastami: Appearance of Lord Sri Krsna</t>
  </si>
  <si>
    <t>Srila Prabhupada -- Appearance</t>
  </si>
  <si>
    <t>Fasting for Annada Ekadasi</t>
  </si>
  <si>
    <t>Fasting for Parsva Ekadasi</t>
  </si>
  <si>
    <t>Fasting for Indira Ekadasi</t>
  </si>
  <si>
    <t>Fasting for Pasankusa Ekadasi</t>
  </si>
  <si>
    <t>cover_encoding</t>
  </si>
  <si>
    <t>ISO-8859-1</t>
  </si>
  <si>
    <t>Mayapur|India|88.388077|23.423412|5.50|188</t>
  </si>
  <si>
    <t>Vrindavan|India|77.701241|27.577990|5.50|188</t>
  </si>
  <si>
    <t>Vasco da Gamma|India|73.830002|15.400000|5.50|188</t>
  </si>
  <si>
    <t>Manama|Bahrain|50.583000|26.218611|3.00|53</t>
  </si>
  <si>
    <t>Chitungwiza|Zimbabwe|31.048056|-17.993889|2.00|398</t>
  </si>
  <si>
    <t>Bulawayo|Zimbabwe|28.583334|-20.150000|2.00|398</t>
  </si>
  <si>
    <t>Harare|Zimbabwe|31.044722|-17.817778|2.00|398</t>
  </si>
  <si>
    <t>Victoria Falls|Zimbabwe|25.833334|-17.933332|2.00|398</t>
  </si>
  <si>
    <t>Zvishavane|Zimbabwe|30.033333|-20.333334|2.00|398</t>
  </si>
  <si>
    <t>Zvishavane District|Zimbabwe|30.083334|-20.250000|2.00|398</t>
  </si>
  <si>
    <t>Kitwe|Zambia|28.200001|-12.816667|2.00|397</t>
  </si>
  <si>
    <t>Lusaka|Zambia|28.283333|-15.416667|2.00|397</t>
  </si>
  <si>
    <t>Ndola|Zambia|28.633333|-12.966667|2.00|397</t>
  </si>
  <si>
    <t>Mpulungu|Zambia|31.133333|-8.766666|2.00|397</t>
  </si>
  <si>
    <t>Nakonde|Zambia|32.766666|-9.333333|2.00|397</t>
  </si>
  <si>
    <t>Nchelenge|Zambia|28.733334|-9.350000|2.00|397</t>
  </si>
  <si>
    <t>Cape Town|South Africa|18.416666|-33.916668|2.00|396</t>
  </si>
  <si>
    <t>Centurion|South Africa|28.170555|-25.874445|2.00|396</t>
  </si>
  <si>
    <t>Benoni|South Africa|28.316668|-26.183332|2.00|396</t>
  </si>
  <si>
    <t>Bloemfontein|South Africa|26.200001|-29.133333|2.00|396</t>
  </si>
  <si>
    <t>Boksburg|South Africa|28.250000|-26.216667|2.00|396</t>
  </si>
  <si>
    <t>Botshabelo|South Africa|26.733334|-29.233334|2.00|396</t>
  </si>
  <si>
    <t>Brakpan|South Africa|28.366667|-26.233334|2.00|396</t>
  </si>
  <si>
    <t>Durban|South Africa|31.016666|-29.850000|2.00|396</t>
  </si>
  <si>
    <t>Johannesburg|South Africa|28.083334|-26.200001|2.00|396</t>
  </si>
  <si>
    <t>Krugersdorp|South Africa|27.766666|-26.100000|2.00|396</t>
  </si>
  <si>
    <t>Newcastle|South Africa|29.933332|-27.750000|2.00|396</t>
  </si>
  <si>
    <t>Pietermaritzburg|South Africa|30.383333|-29.616667|2.00|396</t>
  </si>
  <si>
    <t>Port Elizabeth|South Africa|25.583334|-33.966667|2.00|396</t>
  </si>
  <si>
    <t>Pretoria|South Africa|28.229445|-25.706944|2.00|396</t>
  </si>
  <si>
    <t>Richards Bay|South Africa|32.099998|-28.799999|2.00|396</t>
  </si>
  <si>
    <t>Soweto|South Africa|27.866667|-26.266666|2.00|396</t>
  </si>
  <si>
    <t>Tembisa|South Africa|28.226944|-25.998888|2.00|396</t>
  </si>
  <si>
    <t>Uitenhage|South Africa|25.402222|-33.765278|2.00|396</t>
  </si>
  <si>
    <t>Vanderbijlpark|South Africa|27.816668|-26.700001|2.00|396</t>
  </si>
  <si>
    <t>Vereeniging|South Africa|27.933332|-26.666666|2.00|396</t>
  </si>
  <si>
    <t>Welkom|South Africa|26.733334|-27.983334|2.00|396</t>
  </si>
  <si>
    <t>Witbank|South Africa|29.233334|-25.866667|2.00|396</t>
  </si>
  <si>
    <t>Wolmaransstad|South Africa|25.966667|-27.200001|2.00|396</t>
  </si>
  <si>
    <t>Zastron|South Africa|27.083334|-30.299999|2.00|396</t>
  </si>
  <si>
    <t>Zeerust|South Africa|26.083334|-25.533333|2.00|396</t>
  </si>
  <si>
    <t>Mtsamboro|Mayotte|45.066666|-12.696667|3.00|395</t>
  </si>
  <si>
    <t>Bandraboua|Mayotte|45.120556|-12.701667|3.00|395</t>
  </si>
  <si>
    <t>Mamoudzou|Mayotte|45.227222|-12.779445|3.00|395</t>
  </si>
  <si>
    <t>Aden|Yemen|45.036667|12.779445|3.00|394</t>
  </si>
  <si>
    <t>Al Hudaydah|Yemen|42.952221|14.797778|3.00|394</t>
  </si>
  <si>
    <t>Al Mukalla|Yemen|49.131390|14.530000|3.00|394</t>
  </si>
  <si>
    <t>Ibb|Yemen|44.183334|13.966667|3.00|394</t>
  </si>
  <si>
    <t>Sanaa|Yemen|44.206665|15.354722|3.00|394</t>
  </si>
  <si>
    <t>Ta`izz|Yemen|44.033333|13.566667|3.00|394</t>
  </si>
  <si>
    <t>Yarim|Yemen|44.380280|14.297222|3.00|394</t>
  </si>
  <si>
    <t>Zabid|Yemen|43.315277|14.195000|3.00|394</t>
  </si>
  <si>
    <t>Apia|Samoa|-171.733337|-13.833333|-11.00|393</t>
  </si>
  <si>
    <t>Vaitele|Samoa|-171.783340|-13.816667|-11.00|393</t>
  </si>
  <si>
    <t>Luganville|Vanuatu|167.166672|-15.533333|11.00|391</t>
  </si>
  <si>
    <t>Port-Vila|Vanuatu|168.316666|-17.733334|11.00|391</t>
  </si>
  <si>
    <t>Bien Hoa|Vietnam|106.816666|10.950000|7.00|390</t>
  </si>
  <si>
    <t>Can Tho|Vietnam|105.783333|10.033333|7.00|390</t>
  </si>
  <si>
    <t>Da Nang|Vietnam|108.220833|16.067778|7.00|390</t>
  </si>
  <si>
    <t>Haiphong|Vietnam|106.682220|20.856112|7.00|390</t>
  </si>
  <si>
    <t>Hanoi|Vietnam|105.849998|21.033333|7.00|390</t>
  </si>
  <si>
    <t>Hue|Vietnam|107.599998|16.466667|7.00|390</t>
  </si>
  <si>
    <t>Nha Trang|Vietnam|109.183334|12.250000|7.00|390</t>
  </si>
  <si>
    <t>Quy Nhon|Vietnam|109.233330|13.766666|7.00|390</t>
  </si>
  <si>
    <t>Rach Gia|Vietnam|105.083336|10.016666|7.00|390</t>
  </si>
  <si>
    <t>Ho Chi Minh City|Vietnam|106.666664|10.750000|7.00|390</t>
  </si>
  <si>
    <t>Vung Tau|Vietnam|107.066666|10.350000|7.00|390</t>
  </si>
  <si>
    <t>Yen Bai|Vietnam|104.866669|21.700001|7.00|390</t>
  </si>
  <si>
    <t>Yen Vinh|Vietnam|105.666664|18.666666|7.00|390</t>
  </si>
  <si>
    <t>Road Town|Virgin Islands|-64.616669|18.416666|-4.00|388</t>
  </si>
  <si>
    <t>Maturin|Venezuela|-63.176666|9.750000|-4.00|387</t>
  </si>
  <si>
    <t>Barcelona|Venezuela|-64.699997|10.133333|-4.00|387</t>
  </si>
  <si>
    <t>Barquisimeto|Venezuela|-69.322777|10.073889|-4.00|387</t>
  </si>
  <si>
    <t>Baruta|Venezuela|-66.883331|10.433333|-4.00|387</t>
  </si>
  <si>
    <t>Cabimas|Venezuela|-71.446114|10.401944|-4.00|387</t>
  </si>
  <si>
    <t>Caracas|Venezuela|-66.916664|10.500000|-4.00|387</t>
  </si>
  <si>
    <t>Ciudad Guayana|Venezuela|-62.652779|8.353333|-4.00|387</t>
  </si>
  <si>
    <t>Cumana|Venezuela|-64.166664|10.466667|-4.00|387</t>
  </si>
  <si>
    <t>Maracaibo|Venezuela|-71.640556|10.631667|-4.00|387</t>
  </si>
  <si>
    <t>Mucumpiz|Venezuela|-71.133331|8.416667|-4.00|387</t>
  </si>
  <si>
    <t>Petare|Venezuela|-66.816666|10.483334|-4.00|387</t>
  </si>
  <si>
    <t>San Cristobal|Venezuela|-72.224998|7.766944|-4.00|387</t>
  </si>
  <si>
    <t>Santa Teresa|Venezuela|-66.663612|10.231389|-4.00|387</t>
  </si>
  <si>
    <t>Turmero|Venezuela|-67.483330|10.233334|-4.00|387</t>
  </si>
  <si>
    <t>Valencia|Venezuela|-68.003891|10.180555|-4.00|387</t>
  </si>
  <si>
    <t>Alto Barinas|Venezuela|-70.222221|8.594444|-4.00|387</t>
  </si>
  <si>
    <t>Anaco|Venezuela|-64.472778|9.438889|-4.00|387</t>
  </si>
  <si>
    <t>La Asuncion|Venezuela|-63.862778|11.033333|-4.00|387</t>
  </si>
  <si>
    <t>Kingstown Park|Saint Vincent|-61.235001|13.158333|-4.00|386</t>
  </si>
  <si>
    <t>Andijon|Uzbekistan|72.343887|40.783054|5.00|384</t>
  </si>
  <si>
    <t>Namangan|Uzbekistan|71.672569|40.998299|5.00|384</t>
  </si>
  <si>
    <t>Tashkent|Uzbekistan|69.250000|41.316666|5.00|384</t>
  </si>
  <si>
    <t>Buxoro|Uzbekistan|64.428612|39.774723|5.00|383</t>
  </si>
  <si>
    <t>Qarshi|Uzbekistan|65.797775|38.863335|5.00|383</t>
  </si>
  <si>
    <t>Samarqand|Uzbekistan|66.959724|39.654167|5.00|383</t>
  </si>
  <si>
    <t>Chimboy|Uzbekistan|59.775276|42.935833|5.00|383</t>
  </si>
  <si>
    <t>Kegayli|Uzbekistan|59.607777|42.776669|5.00|383</t>
  </si>
  <si>
    <t>Nukus|Uzbekistan|59.610279|42.453056|5.00|383</t>
  </si>
  <si>
    <t>Anchorage|United States of America|-149.900284|61.218056|-9.00|376</t>
  </si>
  <si>
    <t>Honolulu|United States of America|-157.858337|21.306944|-10.00|381</t>
  </si>
  <si>
    <t>Seattle|United States of America|-122.332069|47.606209|-8.00|375</t>
  </si>
  <si>
    <t>Portland|United States of America|-122.676208|45.523453|-8.00|375</t>
  </si>
  <si>
    <t>Lubbock|United States of America|-101.855164|33.577862|-6.00|370</t>
  </si>
  <si>
    <t>El Paso|United States of America|-106.486931|31.758720|-7.00|374</t>
  </si>
  <si>
    <t>Reno|United States of America|-119.813805|39.529633|-8.00|375</t>
  </si>
  <si>
    <t>Paradise|United States of America|-115.146667|36.097195|-8.00|375</t>
  </si>
  <si>
    <t>Las Vegas|United States of America|-115.137222|36.174969|-8.00|375</t>
  </si>
  <si>
    <t>Henderson|United States of America|-114.981934|36.039700|-8.00|375</t>
  </si>
  <si>
    <t>Albuquerque|United States of America|-106.651138|35.084492|-7.00|373</t>
  </si>
  <si>
    <t>Denver|United States of America|-104.984703|39.739155|-7.00|371</t>
  </si>
  <si>
    <t>Colorado Springs|United States of America|-104.821365|38.833881|-7.00|371</t>
  </si>
  <si>
    <t>Aurora|United States of America|-104.831917|39.729431|-7.00|371</t>
  </si>
  <si>
    <t>Stockton|United States of America|-121.290779|37.957703|-8.00|375</t>
  </si>
  <si>
    <t>Santa Ana|United States of America|-117.867836|33.745575|-8.00|375</t>
  </si>
  <si>
    <t>San Jose|United States of America|-121.894958|37.339386|-8.00|375</t>
  </si>
  <si>
    <t>San Francisco|United States of America|-122.419418|37.774929|-8.00|375</t>
  </si>
  <si>
    <t>San Diego|United States of America|-117.157257|32.715328|-8.00|375</t>
  </si>
  <si>
    <t>San Bernardino|United States of America|-117.289764|34.108345|-8.00|375</t>
  </si>
  <si>
    <t>Sacramento|United States of America|-121.494400|38.581573|-8.00|375</t>
  </si>
  <si>
    <t>Riverside|United States of America|-117.396156|33.953350|-8.00|375</t>
  </si>
  <si>
    <t>Oakland|United States of America|-122.270805|37.804371|-8.00|375</t>
  </si>
  <si>
    <t>North Glendale|United States of America|-118.264519|34.160564|-8.00|375</t>
  </si>
  <si>
    <t>Modesto|United States of America|-120.996880|37.639095|-8.00|375</t>
  </si>
  <si>
    <t>Los Angeles|United States of America|-118.243683|34.052235|-8.00|375</t>
  </si>
  <si>
    <t>Long Beach|United States of America|-118.189232|33.766964|-8.00|375</t>
  </si>
  <si>
    <t>Fresno|United States of America|-119.772369|36.747726|-8.00|375</t>
  </si>
  <si>
    <t>Fremont|United States of America|-121.988571|37.548271|-8.00|375</t>
  </si>
  <si>
    <t>Chula Vista|United States of America|-117.084198|32.640053|-8.00|375</t>
  </si>
  <si>
    <t>Bakersfield|United States of America|-119.018715|35.373291|-8.00|375</t>
  </si>
  <si>
    <t>Anaheim|United States of America|-117.914505|33.835293|-8.00|375</t>
  </si>
  <si>
    <t>Tucson|United States of America|-110.926476|32.221745|-7.00|374</t>
  </si>
  <si>
    <t>Mesa|United States of America|-111.749580|33.401714|-7.00|374</t>
  </si>
  <si>
    <t>Scottsdale|United States of America|-111.899033|33.509209|-7.00|374</t>
  </si>
  <si>
    <t>Phoenix|United States of America|-112.074036|33.448376|-7.00|374</t>
  </si>
  <si>
    <t>Mesa|United States of America|-111.822639|33.422268|-7.00|374</t>
  </si>
  <si>
    <t>Glendale|United States of America|-112.185989|33.538651|-7.00|374</t>
  </si>
  <si>
    <t>Chandler|United States of America|-111.841248|33.306160|-7.00|374</t>
  </si>
  <si>
    <t>Milwaukee|United States of America|-87.906471|43.038902|-6.00|365</t>
  </si>
  <si>
    <t>Madison|United States of America|-89.401230|43.073051|-6.00|365</t>
  </si>
  <si>
    <t>Pittsburgh|United States of America|-79.995888|40.440624|-5.00|356</t>
  </si>
  <si>
    <t>Toledo|United States of America|-83.555214|41.663937|-5.00|356</t>
  </si>
  <si>
    <t>Cleveland|United States of America|-81.695412|41.499496|-5.00|356</t>
  </si>
  <si>
    <t>Akron|United States of America|-81.519005|41.081444|-5.00|356</t>
  </si>
  <si>
    <t>Rochester|United States of America|-77.615555|43.154785|-5.00|355</t>
  </si>
  <si>
    <t>New York City|United States of America|-74.005974|40.714268|-5.00|355</t>
  </si>
  <si>
    <t>Buffalo|United States of America|-78.878372|42.886448|-5.00|356</t>
  </si>
  <si>
    <t>Newark|United States of America|-74.172363|40.735657|-5.00|355</t>
  </si>
  <si>
    <t>Jersey City|United States of America|-74.077644|40.728157|-5.00|355</t>
  </si>
  <si>
    <t>Omaha|United States of America|-95.937790|41.258610|-6.00|365</t>
  </si>
  <si>
    <t>Lincoln|United States of America|-96.666962|40.799999|-6.00|365</t>
  </si>
  <si>
    <t>Saint Paul|United States of America|-93.093277|44.944408|-6.00|368</t>
  </si>
  <si>
    <t>Minneapolis|United States of America|-93.263840|44.979965|-6.00|368</t>
  </si>
  <si>
    <t>Detroit|United States of America|-83.045753|42.331429|-5.00|356</t>
  </si>
  <si>
    <t>South Boston|United States of America|-71.049492|42.333431|-5.00|355</t>
  </si>
  <si>
    <t>Boston|United States of America|-71.059776|42.358429|-5.00|355</t>
  </si>
  <si>
    <t>Fort Wayne|United States of America|-85.128860|41.130604|-5.00|359</t>
  </si>
  <si>
    <t>Chicago|United States of America|-87.650055|41.850033|-6.00|365</t>
  </si>
  <si>
    <t>Virginia Beach|United States of America|-75.977982|36.852928|-5.00|355</t>
  </si>
  <si>
    <t>Norfolk|United States of America|-76.285217|36.846813|-5.00|355</t>
  </si>
  <si>
    <t>San Antonio|United States of America|-98.493629|29.424122|-6.00|365</t>
  </si>
  <si>
    <t>Plano|United States of America|-96.698883|33.019844|-6.00|365</t>
  </si>
  <si>
    <t>Laredo|United States of America|-99.507545|27.506407|-6.00|365</t>
  </si>
  <si>
    <t>Houston|United States of America|-95.363274|29.763283|-6.00|361</t>
  </si>
  <si>
    <t>Garland|United States of America|-96.638885|32.912624|-6.00|365</t>
  </si>
  <si>
    <t>Fort Worth|United States of America|-97.320847|32.725410|-6.00|365</t>
  </si>
  <si>
    <t>Dallas|United States of America|-96.806664|32.783054|-6.00|365</t>
  </si>
  <si>
    <t>Corpus Christi|United States of America|-97.396378|27.800583|-6.00|361</t>
  </si>
  <si>
    <t>Austin|United States of America|-97.743057|30.267153|-6.00|365</t>
  </si>
  <si>
    <t>Arlington|United States of America|-97.108063|32.735687|-6.00|365</t>
  </si>
  <si>
    <t>New South Memphis|United States of America|-90.056755|35.086758|-6.00|361</t>
  </si>
  <si>
    <t>Nashville|United States of America|-86.784447|36.165890|-6.00|361</t>
  </si>
  <si>
    <t>Memphis|United States of America|-90.048981|35.149536|-6.00|361</t>
  </si>
  <si>
    <t>Philadelphia|United States of America|-75.163788|39.952335|-5.00|355</t>
  </si>
  <si>
    <t>Tulsa|United States of America|-95.992775|36.153980|-6.00|365</t>
  </si>
  <si>
    <t>Oklahoma City|United States of America|-97.516426|35.467560|-6.00|365</t>
  </si>
  <si>
    <t>Columbus|United States of America|-82.998795|39.961174|-5.00|364</t>
  </si>
  <si>
    <t>Cincinnati|United States of America|-84.456886|39.162003|-5.00|364</t>
  </si>
  <si>
    <t>West Raleigh|United States of America|-78.663895|35.786819|-5.00|358</t>
  </si>
  <si>
    <t>Raleigh|United States of America|-78.638611|35.772095|-5.00|358</t>
  </si>
  <si>
    <t>Greensboro|United States of America|-79.791977|36.072636|-5.00|358</t>
  </si>
  <si>
    <t>Durham|United States of America|-78.898621|35.994034|-5.00|358</t>
  </si>
  <si>
    <t>Charlotte|United States of America|-80.843124|35.227085|-5.00|358</t>
  </si>
  <si>
    <t>Saint Louis|United States of America|-90.197891|38.627274|-6.00|365</t>
  </si>
  <si>
    <t>North Kansas City|United States of America|-94.562180|39.130005|-6.00|365</t>
  </si>
  <si>
    <t>Kansas City|United States of America|-94.578568|39.099728|-6.00|365</t>
  </si>
  <si>
    <t>Baltimore|United States of America|-76.612190|39.290386|-5.00|355</t>
  </si>
  <si>
    <t>Shreveport|United States of America|-93.750175|32.525150|-6.00|361</t>
  </si>
  <si>
    <t>New Orleans|United States of America|-90.075073|29.954649|-6.00|361</t>
  </si>
  <si>
    <t>Baton Rouge|United States of America|-91.154549|30.450747|-6.00|361</t>
  </si>
  <si>
    <t>Louisville|United States of America|-85.759407|38.254238|-5.00|357</t>
  </si>
  <si>
    <t>Lexington-Fayette|United States of America|-84.458549|38.049801|-5.00|364</t>
  </si>
  <si>
    <t>Lexington|United States of America|-84.477715|37.988689|-5.00|364</t>
  </si>
  <si>
    <t>Wichita|United States of America|-97.337547|37.692238|-6.00|365</t>
  </si>
  <si>
    <t>Indianapolis|United States of America|-86.158043|39.768375|-5.00|359</t>
  </si>
  <si>
    <t>Atlanta|United States of America|-84.387985|33.748997|-5.00|358</t>
  </si>
  <si>
    <t>Tampa|United States of America|-82.458427|27.947521|-5.00|358</t>
  </si>
  <si>
    <t>Saint Petersburg|United States of America|-82.679268|27.770861|-5.00|358</t>
  </si>
  <si>
    <t>Orlando|United States of America|-81.379234|28.538336|-5.00|358</t>
  </si>
  <si>
    <t>Miami|United States of America|-80.193657|25.774265|-5.00|358</t>
  </si>
  <si>
    <t>Jacksonville|United States of America|-81.655647|30.332184|-5.00|358</t>
  </si>
  <si>
    <t>Hialeah|United States of America|-80.278107|25.857595|-5.00|358</t>
  </si>
  <si>
    <t>Washington|United States of America|-77.036369|38.895111|-5.00|355</t>
  </si>
  <si>
    <t>Birmingham|United States of America|-86.802490|33.520660|-6.00|361</t>
  </si>
  <si>
    <t>Henderson|United States of America|-94.799377|32.153217|-6.00|361</t>
  </si>
  <si>
    <t>Edna|United States of America|-96.646088|28.978594|-6.00|361</t>
  </si>
  <si>
    <t>Bay Minette|United States of America|-87.773048|30.882963|-6.00|361</t>
  </si>
  <si>
    <t>Kampala|Uganda|32.565556|0.315556|3.00|351</t>
  </si>
  <si>
    <t>Sembabule|Uganda|31.456667|-0.077222|3.00|351</t>
  </si>
  <si>
    <t>Wakiso|Uganda|32.459446|0.404444|3.00|351</t>
  </si>
  <si>
    <t>Wobulenzi|Uganda|32.512222|0.728333|3.00|351</t>
  </si>
  <si>
    <t>Cherkasy|Ukraine|32.066666|49.433334|2.00|347</t>
  </si>
  <si>
    <t>Chernihiv|Ukraine|31.299999|51.500000|2.00|347</t>
  </si>
  <si>
    <t>Chernivtsi|Ukraine|25.933332|48.299999|2.00|348</t>
  </si>
  <si>
    <t>Dniprodzerzhyns'k|Ukraine|34.616665|48.500000|2.00|349</t>
  </si>
  <si>
    <t>Dnipropetrovs'k|Ukraine|34.983334|48.450001|2.00|349</t>
  </si>
  <si>
    <t>Donets'k|Ukraine|37.799999|48.000000|2.00|349</t>
  </si>
  <si>
    <t>Horlivka|Ukraine|38.049999|48.299999|2.00|349</t>
  </si>
  <si>
    <t>Kharkiv|Ukraine|36.250000|50.000000|2.00|349</t>
  </si>
  <si>
    <t>Kherson|Ukraine|32.599998|46.633335|2.00|350</t>
  </si>
  <si>
    <t>Kirovohrad|Ukraine|32.263054|48.504166|2.00|349</t>
  </si>
  <si>
    <t>Kremenchuk|Ukraine|33.416668|49.066666|2.00|349</t>
  </si>
  <si>
    <t>Kryvyy Rih|Ukraine|33.349998|47.916668|2.00|349</t>
  </si>
  <si>
    <t>Kiev|Ukraine|30.516666|50.433334|2.00|347</t>
  </si>
  <si>
    <t>Luhans'k|Ukraine|39.333332|48.566666|2.00|349</t>
  </si>
  <si>
    <t>Luts'k|Ukraine|25.333334|50.750000|2.00|348</t>
  </si>
  <si>
    <t>L'viv|Ukraine|24.023237|49.838261|2.00|348</t>
  </si>
  <si>
    <t>Makiyivka|Ukraine|37.966667|48.033333|2.00|349</t>
  </si>
  <si>
    <t>Mariupol'|Ukraine|37.500000|47.066666|2.00|349</t>
  </si>
  <si>
    <t>Mykolayiv|Ukraine|32.000000|46.966667|2.00|349</t>
  </si>
  <si>
    <t>Odesa|Ukraine|30.733334|46.466667|2.00|350</t>
  </si>
  <si>
    <t>Poltava|Ukraine|34.566666|49.583332|2.00|349</t>
  </si>
  <si>
    <t>Rivne|Ukraine|26.250000|50.616665|2.00|347</t>
  </si>
  <si>
    <t>Sevastopol'|Ukraine|33.533333|44.599998|2.00|350</t>
  </si>
  <si>
    <t>Simferopol'|Ukraine|34.099998|44.950001|2.00|350</t>
  </si>
  <si>
    <t>Sumy|Ukraine|34.781944|50.919724|2.00|347</t>
  </si>
  <si>
    <t>Ternopil'|Ukraine|25.583334|49.549999|2.00|348</t>
  </si>
  <si>
    <t>Vinnytsya|Ukraine|28.483334|49.233334|2.00|347</t>
  </si>
  <si>
    <t>Zaporizhzhya|Ukraine|35.183334|47.816666|2.00|349</t>
  </si>
  <si>
    <t>Zhytomyr|Ukraine|28.666666|50.250000|2.00|347</t>
  </si>
  <si>
    <t>Druzhkovka|Ukraine|37.549999|48.616665|2.00|349</t>
  </si>
  <si>
    <t>Staryy Dobrotvor|Ukraine|24.350000|50.250000|2.00|348</t>
  </si>
  <si>
    <t>Lebedyn|Ukraine|34.480278|50.588055|2.00|347</t>
  </si>
  <si>
    <t>Arusha|Tanzania|36.683334|-3.366667|3.00|346</t>
  </si>
  <si>
    <t>Dar es Salaam|Tanzania|39.283333|-6.800000|3.00|346</t>
  </si>
  <si>
    <t>Mbeya|Tanzania|33.450001|-8.900000|3.00|346</t>
  </si>
  <si>
    <t>Morogoro|Tanzania|37.666668|-6.816667|3.00|346</t>
  </si>
  <si>
    <t>Mwanza|Tanzania|32.900002|-2.516667|3.00|346</t>
  </si>
  <si>
    <t>Tanga|Tanzania|39.099998|-5.066667|3.00|346</t>
  </si>
  <si>
    <t>Vwawa|Tanzania|32.933334|-9.116667|3.00|346</t>
  </si>
  <si>
    <t>Wete|Tanzania|39.716667|-5.066667|3.00|346</t>
  </si>
  <si>
    <t>Zanzibar|Tanzania|39.197933|-6.163937|3.00|346</t>
  </si>
  <si>
    <t>Chi-lung|Taiwan|121.737503|25.131390|8.00|345</t>
  </si>
  <si>
    <t>Hualian|Taiwan|121.604446|23.976944|8.00|345</t>
  </si>
  <si>
    <t>Kao-hsiung|Taiwan|120.301392|22.617777|8.00|345</t>
  </si>
  <si>
    <t>T'ai-chung-shih|Taiwan|120.686668|24.148333|8.00|345</t>
  </si>
  <si>
    <t>Taipei|Taiwan|121.525002|25.039167|8.00|345</t>
  </si>
  <si>
    <t>Yun-lin|Taiwan|120.542221|23.709167|8.00|345</t>
  </si>
  <si>
    <t>Siparia|Trinidad and Tobago|-61.500000|10.133333|-4.00|343</t>
  </si>
  <si>
    <t>Paradise|Trinidad and Tobago|-61.366711|10.634711|-4.00|343</t>
  </si>
  <si>
    <t>Tunapuna|Trinidad and Tobago|-61.383335|10.633333|-4.00|343</t>
  </si>
  <si>
    <t>Sakarya|Turkey|30.403334|40.780556|2.00|342</t>
  </si>
  <si>
    <t>Bursa|Turkey|29.061111|40.191666|2.00|342</t>
  </si>
  <si>
    <t>Corlu|Turkey|27.799999|41.159168|2.00|342</t>
  </si>
  <si>
    <t>Esenyurt|Turkey|28.675278|41.033333|2.00|342</t>
  </si>
  <si>
    <t>Gebze|Turkey|29.430555|40.797779|2.00|342</t>
  </si>
  <si>
    <t>Istanbul|Turkey|28.949661|41.013844|2.00|342</t>
  </si>
  <si>
    <t>Samsun|Turkey|36.330002|41.286667|2.00|342</t>
  </si>
  <si>
    <t>Trabzon|Turkey|39.726944|41.005001|2.00|342</t>
  </si>
  <si>
    <t>Batikent|Turkey|32.730835|39.968334|2.00|342</t>
  </si>
  <si>
    <t>Adana|Turkey|35.328888|37.001667|2.00|342</t>
  </si>
  <si>
    <t>Adiyaman|Turkey|38.278332|37.759167|2.00|342</t>
  </si>
  <si>
    <t>Ankara|Turkey|32.864445|39.927223|2.00|342</t>
  </si>
  <si>
    <t>Antalya|Turkey|30.689722|36.912498|2.00|342</t>
  </si>
  <si>
    <t>Balikesir|Turkey|27.886110|39.649166|2.00|342</t>
  </si>
  <si>
    <t>Batman|Turkey|41.120556|37.882778|2.00|342</t>
  </si>
  <si>
    <t>Denizli|Turkey|29.087500|37.774166|2.00|342</t>
  </si>
  <si>
    <t>Diyarbakir|Turkey|40.210556|37.918888|2.00|342</t>
  </si>
  <si>
    <t>Elazig|Turkey|39.220554|38.675278|2.00|342</t>
  </si>
  <si>
    <t>Erzurum|Turkey|41.276943|39.908611|2.00|342</t>
  </si>
  <si>
    <t>Eskisehir|Turkey|30.520555|39.776669|2.00|342</t>
  </si>
  <si>
    <t>Eskisehir Ili|Turkey|31.166666|39.666668|2.00|342</t>
  </si>
  <si>
    <t>Gaziantep|Turkey|37.382500|37.059444|2.00|342</t>
  </si>
  <si>
    <t>Izmir|Turkey|27.150278|38.407223|2.00|342</t>
  </si>
  <si>
    <t>Kahramanmaras|Turkey|36.931667|37.587502|2.00|342</t>
  </si>
  <si>
    <t>Kayseri|Turkey|35.485279|38.732224|2.00|342</t>
  </si>
  <si>
    <t>Kirikkale|Turkey|33.506390|39.845280|2.00|342</t>
  </si>
  <si>
    <t>Konya|Turkey|32.482498|37.865555|2.00|342</t>
  </si>
  <si>
    <t>Malatya|Turkey|38.311943|38.353333|2.00|342</t>
  </si>
  <si>
    <t>Manisa|Turkey|27.426111|38.613056|2.00|342</t>
  </si>
  <si>
    <t>Mercin|Turkey|34.617920|36.795265|2.00|342</t>
  </si>
  <si>
    <t>Osmaniye|Turkey|36.247776|37.074165|2.00|342</t>
  </si>
  <si>
    <t>Sivas|Turkey|37.016109|39.748333|2.00|342</t>
  </si>
  <si>
    <t>Tarsus|Turkey|34.891666|36.917778|2.00|342</t>
  </si>
  <si>
    <t>Sanliurfa|Turkey|38.792778|37.151112|2.00|342</t>
  </si>
  <si>
    <t>Van|Turkey|43.380001|38.494167|2.00|342</t>
  </si>
  <si>
    <t>Yunak|Turkey|31.735556|38.817223|2.00|342</t>
  </si>
  <si>
    <t>Zara|Turkey|37.758335|39.897778|2.00|342</t>
  </si>
  <si>
    <t>Kale|Turkey|29.985001|36.244446|2.00|342</t>
  </si>
  <si>
    <t>Sfax|Tunis|10.760278|34.740555|1.00|340</t>
  </si>
  <si>
    <t>Tunis|Tunis|10.179722|36.802776|1.00|340</t>
  </si>
  <si>
    <t>Oued Lill|Tunis|10.042222|36.834167|1.00|340</t>
  </si>
  <si>
    <t>Zaghouan|Tunis|10.150000|36.400002|1.00|340</t>
  </si>
  <si>
    <t>Zawiyat al Jadidi|Tunis|10.583333|36.650002|1.00|340</t>
  </si>
  <si>
    <t>Turkmenabat|Turkmenistan|63.575001|39.101387|5.00|339</t>
  </si>
  <si>
    <t>Ashgabat|Turkmenistan|58.383335|37.950001|5.00|339</t>
  </si>
  <si>
    <t>Gumdag|Turkmenistan|54.590557|39.206112|5.00|339</t>
  </si>
  <si>
    <t>Kaka|Turkmenistan|59.599998|37.349998|5.00|339</t>
  </si>
  <si>
    <t>Balkanabat|Turkmenistan|54.365002|39.511944|5.00|339</t>
  </si>
  <si>
    <t>Dili|Lesser Sunda Islands|125.573608|-8.558611|9.00|338</t>
  </si>
  <si>
    <t>Dushanbe|Tajikistan|68.773888|38.560001|5.00|336</t>
  </si>
  <si>
    <t>Vakhsh|Tajikistan|68.831108|37.710835|5.00|336</t>
  </si>
  <si>
    <t>Vose'|Tajikistan|69.644165|37.802502|5.00|336</t>
  </si>
  <si>
    <t>Yovan|Tajikistan|69.043053|38.313057|5.00|336</t>
  </si>
  <si>
    <t>Chon Buri|Thailand|100.983330|13.366667|7.00|335</t>
  </si>
  <si>
    <t>Bangkok|Thailand|100.516670|13.750000|7.00|335</t>
  </si>
  <si>
    <t>Nakhon Ratchasima|Thailand|102.116669|14.966667|7.00|335</t>
  </si>
  <si>
    <t>Samut Prakan|Thailand|100.599998|13.600000|7.00|335</t>
  </si>
  <si>
    <t>Udon Thani|Thailand|102.793053|17.407499|7.00|335</t>
  </si>
  <si>
    <t>Chiang Mai|Thailand|98.981667|18.790277|7.00|335</t>
  </si>
  <si>
    <t>Phetchaburi|Thailand|99.949997|13.100000|7.00|335</t>
  </si>
  <si>
    <t>Ban Sam Roi Yot|Thailand|99.883331|12.200000|7.00|335</t>
  </si>
  <si>
    <t>Don Sak|Thailand|99.683334|9.300000|7.00|335</t>
  </si>
  <si>
    <t>Lome|Togo|1.222778|6.131944|0.00|334</t>
  </si>
  <si>
    <t>Tchamba|Togo|1.416667|9.033333|0.00|334</t>
  </si>
  <si>
    <t>Tsevie|Togo|1.213333|6.426111|0.00|334</t>
  </si>
  <si>
    <t>Vogan|Togo|1.533333|6.333333|0.00|334</t>
  </si>
  <si>
    <t>N'Djamena|Chad|15.049167|12.113055|1.00|332</t>
  </si>
  <si>
    <t>Adre|Chad|22.200001|13.466667|1.00|332</t>
  </si>
  <si>
    <t>Am Timan|Chad|20.283333|11.033333|1.00|332</t>
  </si>
  <si>
    <t>Biltine|Chad|20.916666|14.533333|1.00|332</t>
  </si>
  <si>
    <t>Mhlume|Swaziland|31.850000|-26.033333|2.00|330</t>
  </si>
  <si>
    <t>Piggs Peak|Swaziland|31.250000|-25.966667|2.00|330</t>
  </si>
  <si>
    <t>Siteki|Swaziland|31.950001|-26.450001|2.00|330</t>
  </si>
  <si>
    <t>Latakia|Syria|35.783333|35.516666|2.00|329</t>
  </si>
  <si>
    <t>Dayr az Zawr|Syria|40.150002|35.333332|2.00|329</t>
  </si>
  <si>
    <t>Damascus|Syria|36.299999|33.500000|2.00|329</t>
  </si>
  <si>
    <t>Aleppo|Syria|37.158611|36.202778|2.00|329</t>
  </si>
  <si>
    <t>Hamah|Syria|36.750000|35.133335|2.00|329</t>
  </si>
  <si>
    <t>Hims|Syria|36.716667|34.733334|2.00|329</t>
  </si>
  <si>
    <t>Tartus|Syria|35.883335|34.883335|2.00|329</t>
  </si>
  <si>
    <t>Tayyibat al Imam|Syria|36.716667|35.266666|2.00|329</t>
  </si>
  <si>
    <t>Yabrud|Syria|36.666668|33.966667|2.00|329</t>
  </si>
  <si>
    <t>San Salvador|El Salvador|-89.203056|13.708611|-6.00|328</t>
  </si>
  <si>
    <t>Soyapango|El Salvador|-89.151390|13.734722|-6.00|328</t>
  </si>
  <si>
    <t>Usulutan|El Salvador|-88.449997|13.350000|-6.00|328</t>
  </si>
  <si>
    <t>Zacatecoluca|El Salvador|-88.866669|13.500000|-6.00|328</t>
  </si>
  <si>
    <t>Zaragoza|El Salvador|-89.288887|13.589444|-6.00|328</t>
  </si>
  <si>
    <t>Sao Tome|Sao Tome|6.733333|0.333333|0.00|327</t>
  </si>
  <si>
    <t>Moengo|Suriname|-54.400002|5.616667|-3.00|326</t>
  </si>
  <si>
    <t>Nieuw Nickerie|Suriname|-56.983334|5.950000|-3.00|326</t>
  </si>
  <si>
    <t>Paramaribo|Suriname|-55.166668|5.833333|-3.00|326</t>
  </si>
  <si>
    <t>Berbera|Somalia|45.016388|10.435555|3.00|325</t>
  </si>
  <si>
    <t>Hargeysa|Somalia|44.064999|9.560000|3.00|325</t>
  </si>
  <si>
    <t>Chisimayu|Somalia|42.533333|-0.366667|3.00|325</t>
  </si>
  <si>
    <t>Mogadishu|Somalia|45.366665|2.066667|3.00|325</t>
  </si>
  <si>
    <t>Waajid|Somalia|43.250000|3.800000|3.00|325</t>
  </si>
  <si>
    <t>Wanlaweyn|Somalia|44.900002|2.616667|3.00|325</t>
  </si>
  <si>
    <t>Yeed|Somalia|43.033333|4.550000|3.00|325</t>
  </si>
  <si>
    <t>Dakar|Senegal|-17.443886|14.695112|0.00|324</t>
  </si>
  <si>
    <t>Grand Dakar|Senegal|-17.455278|14.708889|0.00|324</t>
  </si>
  <si>
    <t>Thies Nones|Senegal|-16.966667|14.783333|0.00|324</t>
  </si>
  <si>
    <t>Tionk Essil|Senegal|-16.521667|12.785556|0.00|324</t>
  </si>
  <si>
    <t>Velingara|Senegal|-14.116667|13.150000|0.00|324</t>
  </si>
  <si>
    <t>Ziguinchor|Senegal|-16.271944|12.583333|0.00|324</t>
  </si>
  <si>
    <t>Acquaviva|San Marino|12.416667|43.950001|1.00|323</t>
  </si>
  <si>
    <t>Serravalle|San Marino|12.500000|43.950001|1.00|323</t>
  </si>
  <si>
    <t>Freetown|Sierra Leone|-13.234167|8.490000|0.00|322</t>
  </si>
  <si>
    <t>Tombodu|Sierra Leone|-10.616667|8.133333|0.00|322</t>
  </si>
  <si>
    <t>Waterloo|Sierra Leone|-13.071944|8.338333|0.00|322</t>
  </si>
  <si>
    <t>Yengema|Sierra Leone|-11.166667|8.716667|0.00|322</t>
  </si>
  <si>
    <t>Bratislava|Slovakia|17.116667|48.150002|1.00|321</t>
  </si>
  <si>
    <t>Kosice|Slovakia|21.250000|48.716667|1.00|321</t>
  </si>
  <si>
    <t>Svit|Slovakia|20.200001|49.066666|1.00|321</t>
  </si>
  <si>
    <t>Trebisov|Slovakia|21.716667|48.633335|1.00|321</t>
  </si>
  <si>
    <t>Vranov nad Topl'ou|Slovakia|21.683332|48.900002|1.00|321</t>
  </si>
  <si>
    <t>Ljubljana|Slovenia|14.514444|46.055279|1.00|319</t>
  </si>
  <si>
    <t>Trbovlje|Slovenia|15.053333|46.154999|1.00|319</t>
  </si>
  <si>
    <t>Vrhnika|Slovenia|14.295556|45.966110|1.00|319</t>
  </si>
  <si>
    <t>Zagorje ob Savi|Slovenia|15.001389|46.134167|1.00|319</t>
  </si>
  <si>
    <t>Singapore|Singapore|103.855835|1.293056|8.00|317</t>
  </si>
  <si>
    <t>Goteborg|Sweden|11.966667|57.716667|1.00|316</t>
  </si>
  <si>
    <t>Malmoe|Sweden|13.000731|55.605869|1.00|316</t>
  </si>
  <si>
    <t>Stockholm|Sweden|18.062639|59.329468|1.00|316</t>
  </si>
  <si>
    <t>Pitea|Sweden|21.500000|65.333336|1.00|316</t>
  </si>
  <si>
    <t>Skelleftea|Sweden|20.950001|64.766670|1.00|316</t>
  </si>
  <si>
    <t>Umea|Sweden|20.250000|63.833332|1.00|316</t>
  </si>
  <si>
    <t>Al Fashir|Sudan|25.350000|13.633333|3.00|315</t>
  </si>
  <si>
    <t>Khartoum|Sudan|32.534168|15.588056|3.00|315</t>
  </si>
  <si>
    <t>Al Ubayyid|Sudan|30.216667|13.183333|3.00|315</t>
  </si>
  <si>
    <t>Kassala|Sudan|36.398888|15.455833|3.00|315</t>
  </si>
  <si>
    <t>Kusti|Sudan|32.666668|13.166667|3.00|315</t>
  </si>
  <si>
    <t>Omdurman|Sudan|32.437222|15.636111|3.00|315</t>
  </si>
  <si>
    <t>Wad Madani|Sudan|33.533333|14.400000|3.00|315</t>
  </si>
  <si>
    <t>Yambio|Sudan|28.416389|4.570556|3.00|315</t>
  </si>
  <si>
    <t>Yei|Sudan|30.678612|4.091389|3.00|315</t>
  </si>
  <si>
    <t>Zalingei|Sudan|23.483334|12.900000|3.00|315</t>
  </si>
  <si>
    <t>Victoria|Mahe|55.450001|-4.616667|4.00|314</t>
  </si>
  <si>
    <t>Gizo|Solomon Islands|156.850006|-8.100000|11.00|313</t>
  </si>
  <si>
    <t>Honiara|Solomon Islands|159.949997|-9.433333|11.00|313</t>
  </si>
  <si>
    <t>Abha|Saudi Arabia|42.505280|18.216389|3.00|312</t>
  </si>
  <si>
    <t>Ad Dammam|Saudi Arabia|50.114166|26.425833|3.00|312</t>
  </si>
  <si>
    <t>Al Hufuf|Saudi Arabia|49.586666|25.378334|3.00|312</t>
  </si>
  <si>
    <t>Al Jubayl|Saudi Arabia|49.661388|27.004723|3.00|312</t>
  </si>
  <si>
    <t>Medina|Saudi Arabia|39.614166|24.468611|3.00|312</t>
  </si>
  <si>
    <t>Al Mubarraz|Saudi Arabia|49.580833|25.410000|3.00|312</t>
  </si>
  <si>
    <t>Riyadh|Saudi Arabia|46.772778|24.640833|3.00|312</t>
  </si>
  <si>
    <t>At Ta'if|Saudi Arabia|40.415833|21.270277|3.00|312</t>
  </si>
  <si>
    <t>Buraydah|Saudi Arabia|43.971668|26.331667|3.00|312</t>
  </si>
  <si>
    <t>Jiddah|Saudi Arabia|39.219166|21.516945|3.00|312</t>
  </si>
  <si>
    <t>Khamis Mushayt|Saudi Arabia|42.729168|18.306389|3.00|312</t>
  </si>
  <si>
    <t>Mecca|Saudi Arabia|39.826111|21.426666|3.00|312</t>
  </si>
  <si>
    <t>Najran|Saudi Arabia|44.184166|17.505556|3.00|312</t>
  </si>
  <si>
    <t>Sultanah|Saudi Arabia|39.583332|24.500000|3.00|312</t>
  </si>
  <si>
    <t>Tabuk|Saudi Arabia|36.583332|28.383333|3.00|312</t>
  </si>
  <si>
    <t>Umm as Sahik|Saudi Arabia|49.916389|26.653610|3.00|312</t>
  </si>
  <si>
    <t>Umm Lajj|Saudi Arabia|37.268890|25.024166|3.00|312</t>
  </si>
  <si>
    <t>Yanbu` al Bahr|Saudi Arabia|38.048611|24.085278|3.00|312</t>
  </si>
  <si>
    <t>Kigali|Rwanda|30.060556|-1.953611|2.00|311</t>
  </si>
  <si>
    <t>Nzega|Rwanda|29.566668|-2.483333|2.00|311</t>
  </si>
  <si>
    <t>Ruhengeri|Rwanda|29.635834|-1.504167|2.00|311</t>
  </si>
  <si>
    <t>Khabarovsk Vtoroy|Russia|135.135559|48.443054|10.00|307</t>
  </si>
  <si>
    <t>Bratsk|Russia|101.614166|56.132500|8.00|304</t>
  </si>
  <si>
    <t>Angarsk|Russia|103.879997|52.529999|8.00|304</t>
  </si>
  <si>
    <t>Blagoveshchensk|Russia|127.533333|50.266666|9.00|305</t>
  </si>
  <si>
    <t>Irkutsk|Russia|104.296387|52.297779|8.00|304</t>
  </si>
  <si>
    <t>Khabarovsk|Russia|135.092773|48.480835|10.00|307</t>
  </si>
  <si>
    <t>Komsomol'sk-na-Amure|Russia|137.015244|50.551987|10.00|307</t>
  </si>
  <si>
    <t>Ulan-Ude|Russia|107.616669|51.833332|8.00|304</t>
  </si>
  <si>
    <t>Vladivostok|Russia|131.873535|43.105621|10.00|306</t>
  </si>
  <si>
    <t>Barnaul|Russia|83.760002|53.360001|7.00|303</t>
  </si>
  <si>
    <t>Biysk|Russia|85.250000|52.566666|7.00|303</t>
  </si>
  <si>
    <t>Chelyabinsk|Russia|61.429722|55.154446|5.00|300</t>
  </si>
  <si>
    <t>Kemerovo|Russia|86.083336|55.333332|7.00|303</t>
  </si>
  <si>
    <t>Krasnoyarsk|Russia|92.791664|56.009724|7.00|303</t>
  </si>
  <si>
    <t>Kurgan|Russia|65.333336|55.450001|5.00|300</t>
  </si>
  <si>
    <t>Nizhnevartovsk|Russia|76.566666|60.933334|5.00|300</t>
  </si>
  <si>
    <t>Novokuznetsk|Russia|87.099998|53.750000|7.00|303</t>
  </si>
  <si>
    <t>Novosibirsk|Russia|82.934441|55.041111|7.00|303</t>
  </si>
  <si>
    <t>Omsk|Russia|73.400002|55.000000|6.00|301</t>
  </si>
  <si>
    <t>Surgut|Russia|73.416664|61.250000|5.00|300</t>
  </si>
  <si>
    <t>Tomsk|Russia|84.966667|56.500000|7.00|303</t>
  </si>
  <si>
    <t>Tyumen'|Russia|65.527222|57.152222|5.00|300</t>
  </si>
  <si>
    <t>Yekaterinburg|Russia|60.612499|56.857498|5.00|300</t>
  </si>
  <si>
    <t>Arkhangel'sk|Russia|40.540001|64.540001|3.00|297</t>
  </si>
  <si>
    <t>Astrakhan'|Russia|48.040001|46.340000|4.00|299</t>
  </si>
  <si>
    <t>Balakovo|Russia|47.779999|52.029999|4.00|299</t>
  </si>
  <si>
    <t>Belgorod|Russia|36.580002|50.610001|3.00|297</t>
  </si>
  <si>
    <t>Bryansk|Russia|34.380554|53.287498|3.00|297</t>
  </si>
  <si>
    <t>Cheboksary|Russia|47.251945|56.132221|3.00|297</t>
  </si>
  <si>
    <t>Cherepovets|Russia|37.900002|59.133335|3.00|297</t>
  </si>
  <si>
    <t>Dzerzhinsk|Russia|43.463055|56.238888|3.00|297</t>
  </si>
  <si>
    <t>Ivanovo|Russia|40.985832|56.994167|3.00|297</t>
  </si>
  <si>
    <t>Izhevsk|Russia|53.233334|56.849998|4.00|299</t>
  </si>
  <si>
    <t>Kaliningrad|Russia|20.500000|54.709999|2.00|296</t>
  </si>
  <si>
    <t>Kaluga|Russia|36.270557|54.535831|3.00|297</t>
  </si>
  <si>
    <t>Kazan'|Russia|49.133335|55.750000|3.00|297</t>
  </si>
  <si>
    <t>Kirov|Russia|49.658333|58.596943|4.00|299</t>
  </si>
  <si>
    <t>Kostroma|Russia|40.934444|57.770832|3.00|297</t>
  </si>
  <si>
    <t>Krasnodar|Russia|38.976944|45.032780|3.00|298</t>
  </si>
  <si>
    <t>Kursk|Russia|36.193890|51.730278|3.00|297</t>
  </si>
  <si>
    <t>Lipetsk|Russia|39.568890|52.618610|3.00|297</t>
  </si>
  <si>
    <t>Magnitogorsk|Russia|59.047222|53.418610|5.00|300</t>
  </si>
  <si>
    <t>Makhachkala|Russia|47.502224|42.975277|3.00|298</t>
  </si>
  <si>
    <t>Moskva|Russia|37.615555|55.752224|3.00|297</t>
  </si>
  <si>
    <t>Murmansk|Russia|33.081944|68.971664|3.00|297</t>
  </si>
  <si>
    <t>Naberezhnyye Chelny|Russia|52.428890|55.756111|3.00|297</t>
  </si>
  <si>
    <t>Nizhnekamsk|Russia|51.816944|55.638332|3.00|297</t>
  </si>
  <si>
    <t>Nizhniy Novgorod|Russia|44.002045|56.328674|3.00|297</t>
  </si>
  <si>
    <t>Nizhniy Tagil|Russia|59.965000|57.919445|5.00|300</t>
  </si>
  <si>
    <t>Velikiy Novgorod|Russia|31.283333|58.516666|3.00|297</t>
  </si>
  <si>
    <t>Novorossiysk|Russia|37.770832|44.723888|3.00|298</t>
  </si>
  <si>
    <t>Orel|Russia|36.080276|52.965832|3.00|297</t>
  </si>
  <si>
    <t>Orenburg|Russia|55.098610|51.784721|5.00|300</t>
  </si>
  <si>
    <t>Orsk|Russia|58.570000|51.225277|5.00|300</t>
  </si>
  <si>
    <t>Penza|Russia|45.000000|53.195835|3.00|298</t>
  </si>
  <si>
    <t>Perm'|Russia|56.250000|58.000000|5.00|300</t>
  </si>
  <si>
    <t>Petrozavodsk|Russia|34.333332|61.816666|3.00|297</t>
  </si>
  <si>
    <t>Pskov|Russia|28.333334|57.833332|3.00|297</t>
  </si>
  <si>
    <t>Rostov-na-Donu|Russia|39.713890|47.236389|3.00|298</t>
  </si>
  <si>
    <t>Ryazan'|Russia|39.740002|54.619720|3.00|297</t>
  </si>
  <si>
    <t>Rybinsk|Russia|38.833332|58.049999|3.00|297</t>
  </si>
  <si>
    <t>Samara|Russia|50.150002|53.200001|4.00|299</t>
  </si>
  <si>
    <t>Saint Petersburg|Russia|30.264166|59.894444|3.00|297</t>
  </si>
  <si>
    <t>Saransk|Russia|45.183334|54.183334|3.00|297</t>
  </si>
  <si>
    <t>Saratov|Russia|46.033333|51.566666|4.00|299</t>
  </si>
  <si>
    <t>Shakhty|Russia|40.205833|47.712223|3.00|298</t>
  </si>
  <si>
    <t>Smolensk|Russia|32.040001|54.781666|3.00|297</t>
  </si>
  <si>
    <t>Sochi|Russia|39.730278|43.599998|3.00|298</t>
  </si>
  <si>
    <t>Staryy Oskol|Russia|37.841667|51.296665|3.00|297</t>
  </si>
  <si>
    <t>Stavropol'|Russia|41.973331|45.042778|3.00|298</t>
  </si>
  <si>
    <t>Sterlitamak|Russia|55.946388|53.633057|5.00|300</t>
  </si>
  <si>
    <t>Syktyvkar|Russia|50.812222|61.666668|3.00|297</t>
  </si>
  <si>
    <t>Taganrog|Russia|38.909443|47.221390|3.00|298</t>
  </si>
  <si>
    <t>Tambov|Russia|41.433887|52.731667|3.00|297</t>
  </si>
  <si>
    <t>Tol'yatti|Russia|49.412498|53.523335|4.00|299</t>
  </si>
  <si>
    <t>Tula|Russia|37.611111|54.204445|3.00|297</t>
  </si>
  <si>
    <t>Tver'|Russia|35.893055|56.861946|3.00|297</t>
  </si>
  <si>
    <t>Ufa|Russia|56.037498|54.775002|5.00|300</t>
  </si>
  <si>
    <t>Ul'yanovsk|Russia|48.400002|54.333332|3.00|298</t>
  </si>
  <si>
    <t>Vladikavkaz|Russia|44.667778|43.036667|3.00|298</t>
  </si>
  <si>
    <t>Vladimir|Russia|40.398056|56.142776|3.00|297</t>
  </si>
  <si>
    <t>Volgograd|Russia|44.585835|48.804722|4.00|299</t>
  </si>
  <si>
    <t>Vologda|Russia|39.900002|59.216667|3.00|297</t>
  </si>
  <si>
    <t>Volzhskiy|Russia|44.771667|48.790554|4.00|299</t>
  </si>
  <si>
    <t>Voronezh|Russia|39.169998|51.666389|3.00|297</t>
  </si>
  <si>
    <t>Yaroslavl'|Russia|39.866665|57.616665|3.00|297</t>
  </si>
  <si>
    <t>Yoshkar-Ola|Russia|47.890778|56.638767|3.00|297</t>
  </si>
  <si>
    <t>Zelenograd|Russia|37.181389|55.982498|3.00|297</t>
  </si>
  <si>
    <t>Novozavidovskiy|Russia|36.433334|56.549999|3.00|297</t>
  </si>
  <si>
    <t>Sasovo|Russia|41.912777|54.348331|3.00|297</t>
  </si>
  <si>
    <t>Udomlya|Russia|34.992500|57.879444|3.00|297</t>
  </si>
  <si>
    <t>Belgrade|Serbia|20.468056|44.818611|1.00|295</t>
  </si>
  <si>
    <t>Pristina|Serbia|21.166666|42.666668|1.00|295</t>
  </si>
  <si>
    <t>Zabalj|Serbia|20.063889|45.372223|1.00|295</t>
  </si>
  <si>
    <t>Zemun|Serbia|20.401112|44.843056|1.00|295</t>
  </si>
  <si>
    <t>Zvecka|Serbia|20.164722|44.638889|1.00|295</t>
  </si>
  <si>
    <t>Constanta|Romania|28.637152|44.187374|2.00|294</t>
  </si>
  <si>
    <t>Braila|Romania|27.983334|45.266666|2.00|294</t>
  </si>
  <si>
    <t>Brasov|Romania|25.583334|45.633335|2.00|294</t>
  </si>
  <si>
    <t>Bucharest|Romania|26.100000|44.433334|2.00|294</t>
  </si>
  <si>
    <t>Cluj-Napoca|Romania|23.600000|46.766666|2.00|294</t>
  </si>
  <si>
    <t>Constanta|Romania|28.650000|44.183334|2.00|294</t>
  </si>
  <si>
    <t>Craiova|Romania|23.799999|44.316666|2.00|294</t>
  </si>
  <si>
    <t>Galati|Romania|28.049999|45.450001|2.00|294</t>
  </si>
  <si>
    <t>Iasi|Romania|27.600000|47.166668|2.00|294</t>
  </si>
  <si>
    <t>nagyvarad|Romania|21.933332|47.066666|2.00|294</t>
  </si>
  <si>
    <t>Ploiesti|Romania|26.016666|44.950001|2.00|294</t>
  </si>
  <si>
    <t>Timisoara|Romania|21.227222|45.749443|2.00|294</t>
  </si>
  <si>
    <t>Zlatna|Romania|23.216667|46.116665|2.00|294</t>
  </si>
  <si>
    <t>Zorleni|Romania|27.716667|46.266666|2.00|294</t>
  </si>
  <si>
    <t>Zvoristea|Romania|26.283333|47.833332|2.00|294</t>
  </si>
  <si>
    <t>Saint-Pierre|Reunion|55.483334|-21.316668|4.00|293</t>
  </si>
  <si>
    <t>Salazie|Reunion|55.549999|-21.016666|4.00|293</t>
  </si>
  <si>
    <t>Trois-Bassins|Reunion|55.299999|-21.100000|4.00|293</t>
  </si>
  <si>
    <t>Doha|Qatar|51.533333|25.286667|3.00|292</t>
  </si>
  <si>
    <t>Ar Rayyan|Qatar|51.424446|25.291945|3.00|292</t>
  </si>
  <si>
    <t>Dukhan|Qatar|50.785831|25.429722|3.00|292</t>
  </si>
  <si>
    <t>Umm Salal Muhammad|Qatar|51.403889|25.416945|3.00|292</t>
  </si>
  <si>
    <t>Asuncion|Paraguay|-57.666668|-25.266666|-3.00|291</t>
  </si>
  <si>
    <t>San Lorenzo|Paraguay|-57.533333|-25.333334|-3.00|291</t>
  </si>
  <si>
    <t>Villarrica|Paraguay|-56.433334|-25.750000|-3.00|291</t>
  </si>
  <si>
    <t>Yaguaron|Paraguay|-57.299999|-25.600000|-3.00|291</t>
  </si>
  <si>
    <t>Ypacarai|Paraguay|-57.266666|-25.383333|-3.00|291</t>
  </si>
  <si>
    <t>Porto|Portugal|-8.616667|41.150002|0.00|287</t>
  </si>
  <si>
    <t>Lisbon|Portugal|-9.133333|38.716667|0.00|287</t>
  </si>
  <si>
    <t>Vila Franca de Xira|Portugal|-8.983334|38.950001|0.00|287</t>
  </si>
  <si>
    <t>Vila Real de Santo Antonio|Portugal|-7.416667|37.200001|0.00|287</t>
  </si>
  <si>
    <t>Vila Vicosa|Portugal|-7.416667|38.783333|0.00|287</t>
  </si>
  <si>
    <t>Jabaliya|Gaza Strip|34.483334|31.533333|2.00|286</t>
  </si>
  <si>
    <t>Khan Yunis|Gaza Strip|34.302502|31.343889|2.00|286</t>
  </si>
  <si>
    <t>Rafah|Gaza Strip|34.250832|31.284166|2.00|286</t>
  </si>
  <si>
    <t>San Juan|Puerto Rico|-66.105721|18.466333|-4.00|285</t>
  </si>
  <si>
    <t>Bayamon Gardens|Puerto Rico|-66.179886|18.377728|-4.00|285</t>
  </si>
  <si>
    <t>Bayamon|Puerto Rico|-66.155724|18.398560|-4.00|285</t>
  </si>
  <si>
    <t>Aibonito|Puerto Rico|-66.265999|18.139959|-4.00|285</t>
  </si>
  <si>
    <t>Aguadilla|Puerto Rico|-67.154068|18.427444|-4.00|285</t>
  </si>
  <si>
    <t>Adjuntas|Puerto Rico|-66.801765|18.158493|-4.00|285</t>
  </si>
  <si>
    <t>Saint-Pierre|Miquelon|-56.183334|46.766666|-3.00|283</t>
  </si>
  <si>
    <t>Bydgoszcz|Poland|18.000000|53.150002|1.00|282</t>
  </si>
  <si>
    <t>Czestochowa|Poland|19.116667|50.799999|1.00|282</t>
  </si>
  <si>
    <t>Gdansk|Poland|18.666666|54.349998|1.00|282</t>
  </si>
  <si>
    <t>Gdynia|Poland|18.549999|54.500000|1.00|282</t>
  </si>
  <si>
    <t>Katowice|Poland|19.016666|50.266666|1.00|282</t>
  </si>
  <si>
    <t>Krakow|Poland|19.916666|50.083332|1.00|282</t>
  </si>
  <si>
    <t>Lodz|Poland|19.466667|51.750000|1.00|282</t>
  </si>
  <si>
    <t>Poznan|Poland|16.966667|52.416668|1.00|282</t>
  </si>
  <si>
    <t>Sosnowiec|Poland|19.166666|50.299999|1.00|282</t>
  </si>
  <si>
    <t>Szczecin Pogodno|Poland|14.516666|53.450001|1.00|282</t>
  </si>
  <si>
    <t>Torun|Poland|18.600000|53.033333|1.00|282</t>
  </si>
  <si>
    <t>Wroclaw|Poland|17.033333|51.099998|1.00|282</t>
  </si>
  <si>
    <t>Bialystok|Poland|23.150000|53.133335|1.00|282</t>
  </si>
  <si>
    <t>Kielce|Poland|20.666666|50.833332|1.00|282</t>
  </si>
  <si>
    <t>Lublin|Poland|22.566668|51.250000|1.00|282</t>
  </si>
  <si>
    <t>Radom|Poland|21.150000|51.416668|1.00|282</t>
  </si>
  <si>
    <t>Warsaw|Poland|21.000000|52.250000|1.00|282</t>
  </si>
  <si>
    <t>Zamosc|Poland|23.250000|50.716667|1.00|282</t>
  </si>
  <si>
    <t>Zielonka|Poland|21.166666|52.299999|1.00|282</t>
  </si>
  <si>
    <t>Zyrardow|Poland|20.433332|52.066666|1.00|282</t>
  </si>
  <si>
    <t>Bahawalpur|Pakistan|71.683334|29.400000|5.00|281</t>
  </si>
  <si>
    <t>Chiniot|Pakistan|72.978889|31.719999|5.00|281</t>
  </si>
  <si>
    <t>Dera Ghazi Khan|Pakistan|70.634445|30.056110|5.00|281</t>
  </si>
  <si>
    <t>Faisalabad|Pakistan|73.083336|31.416666|5.00|281</t>
  </si>
  <si>
    <t>Gujranwala|Pakistan|74.183334|32.150002|5.00|281</t>
  </si>
  <si>
    <t>Gujrat|Pakistan|74.083336|32.566666|5.00|281</t>
  </si>
  <si>
    <t>Hyderabad|Pakistan|68.366669|25.366667|5.00|281</t>
  </si>
  <si>
    <t>Islamabad|Pakistan|73.059082|33.610046|5.00|281</t>
  </si>
  <si>
    <t>Jhang Sadr|Pakistan|72.311943|31.274166|5.00|281</t>
  </si>
  <si>
    <t>Karachi|Pakistan|67.050003|24.866667|5.00|281</t>
  </si>
  <si>
    <t>Kasur|Pakistan|74.446663|31.115555|5.00|281</t>
  </si>
  <si>
    <t>Lahore|Pakistan|74.343613|31.549723|5.00|281</t>
  </si>
  <si>
    <t>Larkana|Pakistan|68.216667|27.549999|5.00|281</t>
  </si>
  <si>
    <t>Mardan|Pakistan|72.045830|34.198334|5.00|281</t>
  </si>
  <si>
    <t>Mingaora|Pakistan|72.361115|34.776112|5.00|281</t>
  </si>
  <si>
    <t>Mirpur Khas|Pakistan|69.000000|25.533333|5.00|281</t>
  </si>
  <si>
    <t>Multan|Pakistan|71.475281|30.195555|5.00|281</t>
  </si>
  <si>
    <t>Nawabshah|Pakistan|68.416664|26.250000|5.00|281</t>
  </si>
  <si>
    <t>Okara|Pakistan|73.445831|30.808056|5.00|281</t>
  </si>
  <si>
    <t>Peshawar|Pakistan|71.573334|34.007778|5.00|281</t>
  </si>
  <si>
    <t>Quetta|Pakistan|67.012497|30.187222|5.00|281</t>
  </si>
  <si>
    <t>Rawalpindi|Pakistan|73.066666|33.599998|5.00|281</t>
  </si>
  <si>
    <t>Sahiwal|Pakistan|73.099998|30.666666|5.00|281</t>
  </si>
  <si>
    <t>Sargodha|Pakistan|72.671112|32.083611|5.00|281</t>
  </si>
  <si>
    <t>Shekhupura|Pakistan|73.978333|31.713055|5.00|281</t>
  </si>
  <si>
    <t>Sialkot|Pakistan|74.516670|32.500000|5.00|281</t>
  </si>
  <si>
    <t>Sukkur|Pakistan|68.866669|27.700001|5.00|281</t>
  </si>
  <si>
    <t>Khairpur|Pakistan|68.766670|27.533333|5.00|281</t>
  </si>
  <si>
    <t>Pir jo Goth|Pakistan|68.616669|27.600000|5.00|281</t>
  </si>
  <si>
    <t>Chuhar Jamali|Pakistan|67.993057|24.388889|5.00|281</t>
  </si>
  <si>
    <t>Antipolo|Philippines|121.175278|14.586389|8.00|280</t>
  </si>
  <si>
    <t>Bacoor|Philippines|120.942497|14.457778|8.00|280</t>
  </si>
  <si>
    <t>Baguio|Philippines|120.593056|16.416389|8.00|280</t>
  </si>
  <si>
    <t>Batangas|Philippines|121.059998|13.759444|8.00|280</t>
  </si>
  <si>
    <t>Binangonan|Philippines|121.191948|14.465555|8.00|280</t>
  </si>
  <si>
    <t>Cabanatuan|Philippines|120.967499|15.486944|8.00|280</t>
  </si>
  <si>
    <t>Cagayan de Oro|Philippines|124.647224|8.482223|8.00|280</t>
  </si>
  <si>
    <t>Cainta|Philippines|121.116943|14.580000|8.00|280</t>
  </si>
  <si>
    <t>Calamba|Philippines|121.165276|14.211667|8.00|280</t>
  </si>
  <si>
    <t>Cebu City|Philippines|123.891670|10.311111|8.00|280</t>
  </si>
  <si>
    <t>Dasmarinas|Philippines|120.936668|14.329444|8.00|280</t>
  </si>
  <si>
    <t>Davao|Philippines|125.612778|7.073056|8.00|280</t>
  </si>
  <si>
    <t>Iloilo|Philippines|122.564445|10.696944|8.00|280</t>
  </si>
  <si>
    <t>Imus|Philippines|120.936668|14.429722|8.00|280</t>
  </si>
  <si>
    <t>Lapu-Lapu City|Philippines|123.949448|10.310278|8.00|280</t>
  </si>
  <si>
    <t>Libertad|Philippines|125.501945|8.944167|8.00|280</t>
  </si>
  <si>
    <t>Lipa|Philippines|121.173889|13.939445|8.00|280</t>
  </si>
  <si>
    <t>Lucena|Philippines|121.617226|13.931389|8.00|280</t>
  </si>
  <si>
    <t>Mandaue City|Philippines|123.922226|10.323611|8.00|280</t>
  </si>
  <si>
    <t>Manila|Philippines|120.982224|14.604167|8.00|280</t>
  </si>
  <si>
    <t>Mansilingan|Philippines|122.978889|10.631111|8.00|280</t>
  </si>
  <si>
    <t>Mantampay|Philippines|124.216667|8.166667|8.00|280</t>
  </si>
  <si>
    <t>Olongapo|Philippines|120.282776|14.829166|8.00|280</t>
  </si>
  <si>
    <t>San Fernando|Philippines|120.685555|15.030278|8.00|280</t>
  </si>
  <si>
    <t>San Jose del Monte|Philippines|121.045280|14.813889|8.00|280</t>
  </si>
  <si>
    <t>San Pablo|Philippines|121.325836|14.066944|8.00|280</t>
  </si>
  <si>
    <t>San Pedro|Philippines|121.055557|14.364722|8.00|280</t>
  </si>
  <si>
    <t>Santa Rosa|Philippines|121.111389|14.312222|8.00|280</t>
  </si>
  <si>
    <t>Santol|Philippines|120.567497|15.162222|8.00|280</t>
  </si>
  <si>
    <t>Taytay|Philippines|121.132500|14.569167|8.00|280</t>
  </si>
  <si>
    <t>Zamboanga|Philippines|122.073891|6.910278|8.00|280</t>
  </si>
  <si>
    <t>Zamboanguita|Philippines|123.199165|9.105000|8.00|280</t>
  </si>
  <si>
    <t>Zaragoza|Philippines|119.943611|16.388332|8.00|280</t>
  </si>
  <si>
    <t>Port Moresby|Papua New Guinea|147.192505|-9.464723|10.00|279</t>
  </si>
  <si>
    <t>Vanimo|Papua New Guinea|141.300003|-2.683333|10.00|279</t>
  </si>
  <si>
    <t>Wau|Papua New Guinea|146.716660|-7.333333|10.00|279</t>
  </si>
  <si>
    <t>Wewak|Papua New Guinea|143.633331|-3.550000|10.00|279</t>
  </si>
  <si>
    <t>Papeete|Tahiti|-149.566666|-17.533333|-10.00|276</t>
  </si>
  <si>
    <t>Pirae|Tahiti|-149.533340|-17.516666|-10.00|276</t>
  </si>
  <si>
    <t>Punaauia|Tahiti|-149.600006|-17.633333|-10.00|276</t>
  </si>
  <si>
    <t>Arequipa|Peru|-71.535004|-16.398890|-5.00|275</t>
  </si>
  <si>
    <t>Callao|Peru|-77.150002|-12.066667|-5.00|275</t>
  </si>
  <si>
    <t>Cusco|Peru|-71.978058|-13.518333|-5.00|275</t>
  </si>
  <si>
    <t>Huancayo|Peru|-75.233330|-12.066667|-5.00|275</t>
  </si>
  <si>
    <t>Ica|Peru|-75.725555|-14.068055|-5.00|275</t>
  </si>
  <si>
    <t>Juliaca|Peru|-70.133331|-15.500000|-5.00|275</t>
  </si>
  <si>
    <t>Lima|Peru|-77.050003|-12.050000|-5.00|275</t>
  </si>
  <si>
    <t>Tacna|Peru|-70.248337|-18.005556|-5.00|275</t>
  </si>
  <si>
    <t>Chiclayo|Peru|-79.841667|-6.773611|-5.00|275</t>
  </si>
  <si>
    <t>Chimbote|Peru|-78.578331|-9.085278|-5.00|275</t>
  </si>
  <si>
    <t>Iquitos|Peru|-73.247223|-3.748056|-5.00|275</t>
  </si>
  <si>
    <t>Piura|Peru|-80.633331|-5.200000|-5.00|275</t>
  </si>
  <si>
    <t>Pucallpa|Peru|-74.553864|-8.379148|-5.00|275</t>
  </si>
  <si>
    <t>Trujillo|Peru|-79.029976|-8.115994|-5.00|275</t>
  </si>
  <si>
    <t>Yungay|Peru|-77.743614|-9.138333|-5.00|275</t>
  </si>
  <si>
    <t>Yurimaguas|Peru|-76.083336|-5.900000|-5.00|275</t>
  </si>
  <si>
    <t>Zorritos|Peru|-80.666664|-3.666667|-5.00|275</t>
  </si>
  <si>
    <t>Panama|Panama|-79.533333|8.966667|-5.00|274</t>
  </si>
  <si>
    <t>San Miguelito|Panama|-79.500000|9.033333|-5.00|274</t>
  </si>
  <si>
    <t>Veracruz|Panama|-79.633331|8.883333|-5.00|274</t>
  </si>
  <si>
    <t>Vista Alegre|Panama|-79.699997|8.933333|-5.00|274</t>
  </si>
  <si>
    <t>Volcan|Panama|-82.633331|8.766666|-5.00|274</t>
  </si>
  <si>
    <t>As Sib|Oman|58.182499|23.680277|4.00|273</t>
  </si>
  <si>
    <t>Muscat|Oman|58.593334|23.613333|4.00|273</t>
  </si>
  <si>
    <t>Sufalat Sama'il|Oman|58.016666|23.316668|4.00|273</t>
  </si>
  <si>
    <t>Suhar|Oman|56.743889|24.368889|4.00|273</t>
  </si>
  <si>
    <t>Sur|Oman|59.528889|22.566668|4.00|273</t>
  </si>
  <si>
    <t>Auckland|New Zealand|174.766663|-36.866665|12.00|271</t>
  </si>
  <si>
    <t>Christchurch|New Zealand|172.633331|-43.533333|12.00|271</t>
  </si>
  <si>
    <t>North Shore|New Zealand|174.750000|-36.799999|12.00|271</t>
  </si>
  <si>
    <t>Waiuku|New Zealand|174.750000|-37.250000|12.00|271</t>
  </si>
  <si>
    <t>Wanganui|New Zealand|175.050003|-39.933334|12.00|271</t>
  </si>
  <si>
    <t>Wellington|New Zealand|174.783340|-41.299999|12.00|271</t>
  </si>
  <si>
    <t>Kathmandu|Nepal|85.316666|27.716667|5.75|268</t>
  </si>
  <si>
    <t>Tikapur|Nepal|81.133331|28.500000|5.75|268</t>
  </si>
  <si>
    <t>Tulsipur|Nepal|82.300003|28.133333|5.75|268</t>
  </si>
  <si>
    <t>Waling|Nepal|83.766670|27.983334|5.75|268</t>
  </si>
  <si>
    <t>Bergen|Norway|5.324722|60.391109|1.00|267</t>
  </si>
  <si>
    <t>Oslo|Norway|10.738921|59.913246|1.00|267</t>
  </si>
  <si>
    <t>Alta|Norway|23.241667|69.966667|1.00|267</t>
  </si>
  <si>
    <t>Hammerfest|Norway|23.688334|70.661667|1.00|267</t>
  </si>
  <si>
    <t>Vadso|Norway|29.769722|70.073059|1.00|267</t>
  </si>
  <si>
    <t>Amsterdam|Netherlands|4.899902|52.373085|1.00|266</t>
  </si>
  <si>
    <t>Eindhoven|Netherlands|5.477778|51.440834|1.00|266</t>
  </si>
  <si>
    <t>Rotterdam|Netherlands|4.479167|51.922501|1.00|266</t>
  </si>
  <si>
    <t>The Hague|Netherlands|4.298611|52.076668|1.00|266</t>
  </si>
  <si>
    <t>Utrecht|Netherlands|5.122222|52.090832|1.00|266</t>
  </si>
  <si>
    <t>Zwaagwesteinde|Netherlands|6.036301|53.257305|1.00|266</t>
  </si>
  <si>
    <t>Zwijndrecht|Netherlands|4.633333|51.817501|1.00|266</t>
  </si>
  <si>
    <t>Zwolle|Netherlands|6.094444|52.512501|1.00|266</t>
  </si>
  <si>
    <t>Managua|Nicaragua|-86.268333|12.150833|-6.00|265</t>
  </si>
  <si>
    <t>Waslala|Nicaragua|-85.383331|13.233334|-6.00|265</t>
  </si>
  <si>
    <t>Waspam|Nicaragua|-83.966667|14.733334|-6.00|265</t>
  </si>
  <si>
    <t>Wiwili|Nicaragua|-85.833336|13.616667|-6.00|265</t>
  </si>
  <si>
    <t>Aba|Nigeria|7.366667|5.116667|1.00|264</t>
  </si>
  <si>
    <t>Abeokuta|Nigeria|3.350000|7.150000|1.00|264</t>
  </si>
  <si>
    <t>Abuja|Nigeria|7.533333|9.083333|1.00|264</t>
  </si>
  <si>
    <t>Akure|Nigeria|5.200000|7.250000|1.00|264</t>
  </si>
  <si>
    <t>Bauchi|Nigeria|9.844167|10.315833|1.00|264</t>
  </si>
  <si>
    <t>Benin-City|Nigeria|5.633333|6.333333|1.00|264</t>
  </si>
  <si>
    <t>Calabar|Nigeria|8.316667|4.950000|1.00|264</t>
  </si>
  <si>
    <t>Damaturu|Nigeria|11.963889|11.748611|1.00|264</t>
  </si>
  <si>
    <t>Ebute Ikorodu|Nigeria|3.491111|6.602778|1.00|264</t>
  </si>
  <si>
    <t>Effon Alaiye|Nigeria|4.916667|7.650000|1.00|264</t>
  </si>
  <si>
    <t>Enugu|Nigeria|7.483333|6.433333|1.00|264</t>
  </si>
  <si>
    <t>Gombe|Nigeria|11.171667|10.289444|1.00|264</t>
  </si>
  <si>
    <t>Gusau|Nigeria|6.666667|12.164166|1.00|264</t>
  </si>
  <si>
    <t>Ibadan|Nigeria|3.896389|7.387778|1.00|264</t>
  </si>
  <si>
    <t>Ijebu Ode|Nigeria|3.933333|6.816667|1.00|264</t>
  </si>
  <si>
    <t>Ikire|Nigeria|4.183333|7.350000|1.00|264</t>
  </si>
  <si>
    <t>Ikot Ekpene|Nigeria|7.716667|5.166667|1.00|264</t>
  </si>
  <si>
    <t>Ilesa|Nigeria|4.733333|7.616667|1.00|264</t>
  </si>
  <si>
    <t>Ilorin|Nigeria|4.550000|8.500000|1.00|264</t>
  </si>
  <si>
    <t>Iwo|Nigeria|4.183333|7.633333|1.00|264</t>
  </si>
  <si>
    <t>Jimeta|Nigeria|12.466667|9.283333|1.00|264</t>
  </si>
  <si>
    <t>Jos|Nigeria|8.900000|9.916667|1.00|264</t>
  </si>
  <si>
    <t>Kaduna|Nigeria|7.440278|10.523056|1.00|264</t>
  </si>
  <si>
    <t>Kano|Nigeria|8.516666|11.996388|1.00|264</t>
  </si>
  <si>
    <t>Katsina|Nigeria|7.599444|12.997778|1.00|264</t>
  </si>
  <si>
    <t>Lagos|Nigeria|3.395833|6.453055|1.00|264</t>
  </si>
  <si>
    <t>Maiduguri|Nigeria|13.160000|11.845000|1.00|264</t>
  </si>
  <si>
    <t>Makurdi|Nigeria|8.533333|7.733333|1.00|264</t>
  </si>
  <si>
    <t>Minna|Nigeria|6.556944|9.613889|1.00|264</t>
  </si>
  <si>
    <t>Mubi|Nigeria|13.270555|10.268888|1.00|264</t>
  </si>
  <si>
    <t>Okene|Nigeria|6.233333|7.550000|1.00|264</t>
  </si>
  <si>
    <t>Ondo|Nigeria|4.833333|7.100000|1.00|264</t>
  </si>
  <si>
    <t>Onitsha|Nigeria|6.783333|6.166667|1.00|264</t>
  </si>
  <si>
    <t>Owerri|Nigeria|7.033333|5.483333|1.00|264</t>
  </si>
  <si>
    <t>Owo|Nigeria|5.583333|7.183333|1.00|264</t>
  </si>
  <si>
    <t>Oyo|Nigeria|3.933333|7.850000|1.00|264</t>
  </si>
  <si>
    <t>Port Harcourt|Nigeria|6.998611|4.789167|1.00|264</t>
  </si>
  <si>
    <t>Sagamu|Nigeria|3.650000|6.850000|1.00|264</t>
  </si>
  <si>
    <t>Sokoto|Nigeria|5.231389|13.051389|1.00|264</t>
  </si>
  <si>
    <t>Ugep|Nigeria|8.083333|5.800000|1.00|264</t>
  </si>
  <si>
    <t>Umuahia|Nigeria|7.483333|5.533333|1.00|264</t>
  </si>
  <si>
    <t>Warri|Nigeria|5.750000|5.516667|1.00|264</t>
  </si>
  <si>
    <t>Zaria|Nigeria|7.700000|11.066667|1.00|264</t>
  </si>
  <si>
    <t>Zungeru|Nigeria|6.155833|9.812778|1.00|264</t>
  </si>
  <si>
    <t>Zuru|Nigeria|5.237500|11.430278|1.00|264</t>
  </si>
  <si>
    <t>Niamey|Niger|2.116667|13.516666|1.00|262</t>
  </si>
  <si>
    <t>Tillaberi|Niger|1.453056|14.211667|1.00|262</t>
  </si>
  <si>
    <t>Zinder|Niger|8.983334|13.800000|1.00|262</t>
  </si>
  <si>
    <t>Birnin Konni|Niger|5.250000|13.800000|1.00|262</t>
  </si>
  <si>
    <t>Paita|New Caledonia|166.366669|-22.133333|11.00|261</t>
  </si>
  <si>
    <t>Tadine|New Caledonia|167.883331|-21.549999|11.00|261</t>
  </si>
  <si>
    <t>We|New Caledonia|167.266663|-20.900000|11.00|261</t>
  </si>
  <si>
    <t>Warmbad|Nairobi|18.733334|-28.450001|2.00|260</t>
  </si>
  <si>
    <t>Windhoek|Nairobi|17.083611|-22.570000|2.00|260</t>
  </si>
  <si>
    <t>Katima Mulilo|Nairobi|24.266666|-17.500000|2.00|260</t>
  </si>
  <si>
    <t>Beira|Mozambique|34.838890|-19.843611|2.00|259</t>
  </si>
  <si>
    <t>Chimoio|Mozambique|33.483334|-19.116388|2.00|259</t>
  </si>
  <si>
    <t>Maputo|Mozambique|32.589169|-25.965279|2.00|259</t>
  </si>
  <si>
    <t>Matola|Mozambique|32.458889|-25.962223|2.00|259</t>
  </si>
  <si>
    <t>Cidade de Nacala|Mozambique|40.672779|-14.542778|2.00|259</t>
  </si>
  <si>
    <t>Nampula|Mozambique|39.264721|-15.119722|2.00|259</t>
  </si>
  <si>
    <t>Macia|Mozambique|33.098888|-25.026945|2.00|259</t>
  </si>
  <si>
    <t>Dondo|Mozambique|34.743057|-19.609444|2.00|259</t>
  </si>
  <si>
    <t>Xai-Xai|Mozambique|33.644165|-25.051945|2.00|259</t>
  </si>
  <si>
    <t>Kampung Baru Subang|Malaysia|101.533333|3.150000|8.00|257</t>
  </si>
  <si>
    <t>Miri|Malaysia|113.983330|4.383333|8.00|258</t>
  </si>
  <si>
    <t>Kota Baharu|Malaysia|102.250000|6.133333|8.00|257</t>
  </si>
  <si>
    <t>Alor Setar|Malaysia|100.366669|6.116667|8.00|257</t>
  </si>
  <si>
    <t>Kuching|Malaysia|110.333336|1.550000|8.00|258</t>
  </si>
  <si>
    <t>Sungai Petani|Malaysia|100.500000|5.650000|8.00|257</t>
  </si>
  <si>
    <t>Kuantan|Malaysia|103.333336|3.800000|8.00|257</t>
  </si>
  <si>
    <t>Kuala Lumpur|Malaysia|101.699997|3.166667|8.00|257</t>
  </si>
  <si>
    <t>Petaling Jaya|Malaysia|101.650002|3.083333|8.00|257</t>
  </si>
  <si>
    <t>Bukit Mertajam|Malaysia|100.466667|5.366667|8.00|257</t>
  </si>
  <si>
    <t>Seremban|Malaysia|101.933334|2.716667|8.00|257</t>
  </si>
  <si>
    <t>Kuala Terengganu|Malaysia|103.133331|5.333333|8.00|257</t>
  </si>
  <si>
    <t>Ipoh|Malaysia|101.083336|4.583333|8.00|257</t>
  </si>
  <si>
    <t>Taiping|Malaysia|100.733330|4.850000|8.00|257</t>
  </si>
  <si>
    <t>Tawau|Malaysia|117.900002|4.250000|8.00|258</t>
  </si>
  <si>
    <t>Sandakan|Malaysia|118.116669|5.833333|8.00|258</t>
  </si>
  <si>
    <t>Kota Kinabalu|Malaysia|116.066666|5.983333|8.00|258</t>
  </si>
  <si>
    <t>Klang|Malaysia|101.449997|3.033333|8.00|257</t>
  </si>
  <si>
    <t>Shah Alam|Malaysia|101.532814|3.085066|8.00|257</t>
  </si>
  <si>
    <t>Johor Bahru|Malaysia|103.750000|1.466667|8.00|257</t>
  </si>
  <si>
    <t>Raub|Malaysia|101.866669|3.800000|8.00|257</t>
  </si>
  <si>
    <t>Jerantut|Malaysia|102.366669|3.933333|8.00|257</t>
  </si>
  <si>
    <t>Kuah|Malaysia|99.849998|6.316667|8.00|257</t>
  </si>
  <si>
    <t>Aguascalientes|Mexico|-102.300003|21.883333|-6.00|249</t>
  </si>
  <si>
    <t>Apodaca|Mexico|-100.199997|25.766666|-6.00|252</t>
  </si>
  <si>
    <t>Celaya|Mexico|-100.816666|20.516666|-6.00|249</t>
  </si>
  <si>
    <t>Chihuahua|Mexico|-106.083336|28.633333|-6.00|252</t>
  </si>
  <si>
    <t>Ciudad Juarez|Mexico|-106.483330|31.733334|-6.00|252</t>
  </si>
  <si>
    <t>Ciudad Obregon|Mexico|-109.933334|27.483334|-7.00|255</t>
  </si>
  <si>
    <t>Culiacan|Mexico|-107.389725|24.799444|-7.00|253</t>
  </si>
  <si>
    <t>Durango|Mexico|-104.666664|24.033333|-6.00|252</t>
  </si>
  <si>
    <t>Ensenada|Mexico|-116.616669|31.866667|-8.00|256</t>
  </si>
  <si>
    <t>General Escobedo|Mexico|-100.333336|25.816668|-6.00|252</t>
  </si>
  <si>
    <t>Gomez Palacio|Mexico|-103.500000|25.566668|-6.00|252</t>
  </si>
  <si>
    <t>Guadalajara|Mexico|-103.333336|20.666666|-6.00|249</t>
  </si>
  <si>
    <t>Guadalupe|Mexico|-100.250000|25.683332|-6.00|252</t>
  </si>
  <si>
    <t>Hermosillo|Mexico|-110.966667|29.066668|-7.00|255</t>
  </si>
  <si>
    <t>Irapuato|Mexico|-101.349998|20.683332|-6.00|249</t>
  </si>
  <si>
    <t>Leon|Mexico|-101.666664|21.116667|-6.00|249</t>
  </si>
  <si>
    <t>Los Mochis|Mexico|-108.966667|25.766666|-7.00|253</t>
  </si>
  <si>
    <t>Mazatlan|Mexico|-106.416664|23.216667|-7.00|253</t>
  </si>
  <si>
    <t>Mexicali|Mexico|-115.468330|32.651943|-8.00|256</t>
  </si>
  <si>
    <t>Monterrey|Mexico|-100.316666|25.666666|-6.00|252</t>
  </si>
  <si>
    <t>Morelia|Mexico|-101.116669|19.700001|-6.00|249</t>
  </si>
  <si>
    <t>Queretaro|Mexico|-100.383331|20.600000|-6.00|249</t>
  </si>
  <si>
    <t>Saltillo|Mexico|-101.000000|25.416666|-6.00|252</t>
  </si>
  <si>
    <t>San Luis Potosi|Mexico|-100.983330|22.150000|-6.00|249</t>
  </si>
  <si>
    <t>San Nicolas de los Garzas|Mexico|-100.300003|25.750000|-6.00|252</t>
  </si>
  <si>
    <t>Santa Catarina|Mexico|-100.466667|25.683332|-6.00|252</t>
  </si>
  <si>
    <t>Tepic|Mexico|-104.900002|21.500000|-7.00|253</t>
  </si>
  <si>
    <t>Tijuana|Mexico|-117.016670|32.533333|-8.00|256</t>
  </si>
  <si>
    <t>Tlaquepaque|Mexico|-103.316666|20.650000|-6.00|249</t>
  </si>
  <si>
    <t>Tonala|Mexico|-103.233330|20.616667|-6.00|249</t>
  </si>
  <si>
    <t>Torreon|Mexico|-103.433334|25.549999|-6.00|252</t>
  </si>
  <si>
    <t>Uruapan del Progreso|Mexico|-102.066666|19.416666|-6.00|249</t>
  </si>
  <si>
    <t>Zapopan|Mexico|-103.400002|20.716667|-6.00|249</t>
  </si>
  <si>
    <t>Acapulco de Juarez|Mexico|-99.916664|16.850000|-6.00|249</t>
  </si>
  <si>
    <t>Ciudad Lopez Mateos|Mexico|-99.261391|19.558332|-6.00|249</t>
  </si>
  <si>
    <t>Campeche|Mexico|-90.533333|19.850000|-6.00|251</t>
  </si>
  <si>
    <t>Cancun|Mexico|-86.846558|21.174288|-6.00|250</t>
  </si>
  <si>
    <t>Mexico City|Mexico|-99.138611|19.434166|-6.00|249</t>
  </si>
  <si>
    <t>Ciudad Nezahualcoyotl|Mexico|-99.033058|19.413610|-6.00|249</t>
  </si>
  <si>
    <t>Ciudad Victoria|Mexico|-99.133331|23.733334|-6.00|252</t>
  </si>
  <si>
    <t>Coacalco|Mexico|-99.110275|19.631666|-6.00|249</t>
  </si>
  <si>
    <t>Coatzacoalcos|Mexico|-94.416664|18.150000|-6.00|249</t>
  </si>
  <si>
    <t>Cuernavaca|Mexico|-99.250000|18.916666|-6.00|249</t>
  </si>
  <si>
    <t>Ecatepec|Mexico|-99.052498|19.601110|-6.00|249</t>
  </si>
  <si>
    <t>Ixtapaluca|Mexico|-98.883331|19.316668|-6.00|249</t>
  </si>
  <si>
    <t>Jalapa Enriquez|Mexico|-96.916664|19.533333|-6.00|249</t>
  </si>
  <si>
    <t>Los Reyes|Mexico|-98.966667|19.350000|-6.00|249</t>
  </si>
  <si>
    <t>Matamoros|Mexico|-97.500000|25.883333|-6.00|252</t>
  </si>
  <si>
    <t>Merida|Mexico|-89.616669|20.966667|-6.00|251</t>
  </si>
  <si>
    <t>Naucalpan de Juarez|Mexico|-99.239632|19.478508|-6.00|249</t>
  </si>
  <si>
    <t>Nicolas Romero|Mexico|-99.313057|19.621944|-6.00|249</t>
  </si>
  <si>
    <t>Nuevo Laredo|Mexico|-99.516670|27.500000|-6.00|252</t>
  </si>
  <si>
    <t>Oaxaca de Juarez|Mexico|-96.716667|17.049999|-6.00|249</t>
  </si>
  <si>
    <t>Pachuca de Soto|Mexico|-98.733292|20.116974|-6.00|249</t>
  </si>
  <si>
    <t>Puebla de Zaragoza|Mexico|-98.199997|19.049999|-6.00|249</t>
  </si>
  <si>
    <t>Reynosa|Mexico|-98.283333|26.083334|-6.00|252</t>
  </si>
  <si>
    <t>Tampico|Mexico|-97.849998|22.216667|-6.00|249</t>
  </si>
  <si>
    <t>Tehuacan|Mexico|-97.383331|18.450001|-6.00|249</t>
  </si>
  <si>
    <t>Cuautitlan Izcalli|Mexico|-99.246666|19.646944|-6.00|249</t>
  </si>
  <si>
    <t>Tlalnepantla|Mexico|-99.221664|19.526945|-6.00|249</t>
  </si>
  <si>
    <t>Toluca|Mexico|-99.667221|19.288334|-6.00|249</t>
  </si>
  <si>
    <t>Tuxtla Gutierrez|Mexico|-93.116669|16.750000|-6.00|251</t>
  </si>
  <si>
    <t>Veracruz|Mexico|-96.133331|19.200001|-6.00|249</t>
  </si>
  <si>
    <t>Villahermosa|Mexico|-92.916664|17.983334|-6.00|251</t>
  </si>
  <si>
    <t>Xico|Mexico|-98.933334|19.266666|-6.00|249</t>
  </si>
  <si>
    <t>San Fernando|Mexico|-98.150002|24.850000|-6.00|252</t>
  </si>
  <si>
    <t>Xicotencatl|Mexico|-98.883331|23.016666|-6.00|252</t>
  </si>
  <si>
    <t>Cuauhtemoc|Mexico|-98.150002|22.533333|-6.00|249</t>
  </si>
  <si>
    <t>Blantyre|Malawi|35.000000|-15.783333|2.00|248</t>
  </si>
  <si>
    <t>Lilongwe|Malawi|33.783333|-13.983334|2.00|248</t>
  </si>
  <si>
    <t>Zomba|Malawi|35.333332|-15.383333|2.00|248</t>
  </si>
  <si>
    <t>Chitipa|Malawi|33.266666|-9.716667|2.00|248</t>
  </si>
  <si>
    <t>Karonga|Malawi|33.933334|-9.933333|2.00|248</t>
  </si>
  <si>
    <t>Thinadhoo|Maldives|72.933334|0.533333|5.00|247</t>
  </si>
  <si>
    <t>Hithadhoo|Maldives|73.083336|-0.600000|5.00|247</t>
  </si>
  <si>
    <t>Male|Maldives|73.509865|4.177108|5.00|247</t>
  </si>
  <si>
    <t>Tamarin|Mauritius|57.370556|-20.325556|4.00|246</t>
  </si>
  <si>
    <t>Terre Rouge|Mauritius|57.524445|-20.126112|4.00|246</t>
  </si>
  <si>
    <t>Triolet|Mauritius|57.545277|-20.054722|4.00|246</t>
  </si>
  <si>
    <t>Zebbug|Malta|14.441112|35.871944|1.00|245</t>
  </si>
  <si>
    <t>Zejtun|Malta|14.533055|35.855835|1.00|245</t>
  </si>
  <si>
    <t>Zurrieq|Malta|14.474167|35.831112|1.00|245</t>
  </si>
  <si>
    <t>Nouakchott|Mauritania|-16.040556|18.119444|0.00|243</t>
  </si>
  <si>
    <t>Sainte-Luce|Martinique|-60.916668|14.466667|-4.00|242</t>
  </si>
  <si>
    <t>Sainte-Marie|Martinique|-60.983334|14.783333|-4.00|242</t>
  </si>
  <si>
    <t>Saint-Joseph|Martinique|-61.033333|14.666667|-4.00|242</t>
  </si>
  <si>
    <t>San Antonio|Northern Mariana Islands|145.693604|15.132500|10.00|241</t>
  </si>
  <si>
    <t>Ulaanbaatar|Mongolia|106.916664|47.916668|8.00|237</t>
  </si>
  <si>
    <t>Tosontsengel|Mongolia|98.283890|48.756668|8.00|237</t>
  </si>
  <si>
    <t>Ulaangom|Mongolia|92.066666|49.981110|8.00|237</t>
  </si>
  <si>
    <t>Pathein|Burma|94.733330|16.783333|6.50|236</t>
  </si>
  <si>
    <t>Mandalay|Burma|96.083336|22.000000|6.50|236</t>
  </si>
  <si>
    <t>Mawlamyine|Burma|97.625557|16.491388|6.50|236</t>
  </si>
  <si>
    <t>Bago|Burma|96.479721|17.336666|6.50|236</t>
  </si>
  <si>
    <t>Rangoon|Burma|96.156113|16.805277|6.50|236</t>
  </si>
  <si>
    <t>Yamethin|Burma|96.150002|20.433332|6.50|236</t>
  </si>
  <si>
    <t>Nyaungdon|Burma|95.650002|17.033333|6.50|236</t>
  </si>
  <si>
    <t>Yenangyaung|Burma|94.883331|20.466667|6.50|236</t>
  </si>
  <si>
    <t>Bamako|Mali|-8.000000|12.650000|0.00|235</t>
  </si>
  <si>
    <t>Tenenkou|Mali|-4.916667|14.466667|0.00|235</t>
  </si>
  <si>
    <t>Tombouctou|Mali|-3.007421|16.773479|0.00|235</t>
  </si>
  <si>
    <t>Yorosso|Mali|-4.783333|12.366667|0.00|235</t>
  </si>
  <si>
    <t>Skopje|Macedonia|21.433332|42.000000|1.00|234</t>
  </si>
  <si>
    <t>Zitose|Macedonia|21.290556|41.420834|1.00|234</t>
  </si>
  <si>
    <t>Zletovo|Macedonia|22.236111|41.988609|1.00|234</t>
  </si>
  <si>
    <t>Zrnovci|Macedonia|22.444445|41.854168|1.00|234</t>
  </si>
  <si>
    <t>Majuro|Marshall Islands|171.383331|7.100000|12.00|232</t>
  </si>
  <si>
    <t>Antananarivo|Madagascar|47.516666|-18.916666|3.00|231</t>
  </si>
  <si>
    <t>Vohibinany|Madagascar|49.033333|-17.350000|3.00|231</t>
  </si>
  <si>
    <t>Vondrozo|Madagascar|47.283333|-22.816668|3.00|231</t>
  </si>
  <si>
    <t>Toamasina|Madagascar|49.383335|-18.166666|3.00|231</t>
  </si>
  <si>
    <t>Podgorica|Montenegro|19.263611|42.441113|1.00|229</t>
  </si>
  <si>
    <t>Tivat|Montenegro|18.696112|42.436390|1.00|229</t>
  </si>
  <si>
    <t>Ulcinj|Montenegro|19.206388|41.928333|1.00|229</t>
  </si>
  <si>
    <t>Chisinau|Moldova|28.857500|47.005554|2.00|228</t>
  </si>
  <si>
    <t>Vulcanesti|Moldova|28.402779|45.684166|2.00|228</t>
  </si>
  <si>
    <t>Iargara|Moldova|28.436666|46.427502|2.00|228</t>
  </si>
  <si>
    <t>Edinet|Moldova|27.305000|48.168056|2.00|228</t>
  </si>
  <si>
    <t>La Condamine|Monaco|7.416667|43.733334|1.00|227</t>
  </si>
  <si>
    <t>Monte-Carlo|Monaco|7.416667|43.733334|1.00|227</t>
  </si>
  <si>
    <t>Agadir|Morocco|-9.600000|30.400000|0.00|226</t>
  </si>
  <si>
    <t>Casablanca|Morocco|-7.610000|33.590000|0.00|226</t>
  </si>
  <si>
    <t>Fes|Morocco|-4.980000|34.049999|0.00|226</t>
  </si>
  <si>
    <t>Kenitra-GHARB|Morocco|-6.570000|34.259998|0.00|226</t>
  </si>
  <si>
    <t>Marrakech|Morocco|-8.000000|31.629999|0.00|226</t>
  </si>
  <si>
    <t>Meknes|Morocco|-5.550000|33.900002|0.00|226</t>
  </si>
  <si>
    <t>Oujda|Morocco|-1.910000|34.680000|0.00|226</t>
  </si>
  <si>
    <t>Rabat|Morocco|-6.830000|34.020000|0.00|226</t>
  </si>
  <si>
    <t>Safi|Morocco|-9.230000|32.299999|0.00|226</t>
  </si>
  <si>
    <t>Tangier|Morocco|-5.810000|35.779999|0.00|226</t>
  </si>
  <si>
    <t>Tetouan|Morocco|-5.370000|35.570000|0.00|226</t>
  </si>
  <si>
    <t>Youssoufia|Morocco|-8.530000|32.250000|0.00|226</t>
  </si>
  <si>
    <t>Zagora|Morocco|-5.830000|30.309999|0.00|226</t>
  </si>
  <si>
    <t>Zaio|Morocco|-2.730000|34.930000|0.00|226</t>
  </si>
  <si>
    <t>Al Khums|Libya|14.266666|32.650002|2.00|225</t>
  </si>
  <si>
    <t>Misratah|Libya|15.090555|32.378334|2.00|225</t>
  </si>
  <si>
    <t>Tripoli|Libya|13.180000|32.892502|2.00|225</t>
  </si>
  <si>
    <t>Tarhunah|Libya|13.633333|32.433334|2.00|225</t>
  </si>
  <si>
    <t>Banghazi|Libya|20.066668|32.116665|2.00|225</t>
  </si>
  <si>
    <t>Suluq|Libya|20.250000|31.668612|2.00|225</t>
  </si>
  <si>
    <t>Tobruk|Libya|23.976389|32.083611|2.00|225</t>
  </si>
  <si>
    <t>Bardiyah|Libya|25.100000|31.766666|2.00|225</t>
  </si>
  <si>
    <t>Riga|Latvia|24.100000|56.950001|2.00|224</t>
  </si>
  <si>
    <t>Vec-Liepaja|Latvia|21.016666|56.533333|2.00|224</t>
  </si>
  <si>
    <t>Ventspils|Latvia|21.560556|57.389446|2.00|224</t>
  </si>
  <si>
    <t>Valmiera|Latvia|25.424423|57.535915|2.00|224</t>
  </si>
  <si>
    <t>Petange|Luxembourg|5.880556|49.558334|1.00|223</t>
  </si>
  <si>
    <t>Schifflange|Luxembourg|6.012778|49.506390|1.00|223</t>
  </si>
  <si>
    <t>Strassen|Luxembourg|6.073333|49.620556|1.00|223</t>
  </si>
  <si>
    <t>Kaunas|Lithuania|23.900000|54.900002|2.00|222</t>
  </si>
  <si>
    <t>Vilnius|Lithuania|25.316668|54.683334|2.00|222</t>
  </si>
  <si>
    <t>Visaginas|Lithuania|26.416666|55.599998|2.00|222</t>
  </si>
  <si>
    <t>Zarasai|Lithuania|26.250000|55.733334|2.00|222</t>
  </si>
  <si>
    <t>Qacha's Nek|Lesotho|28.683332|-30.116667|2.00|221</t>
  </si>
  <si>
    <t>Quthing|Lesotho|27.716667|-30.400000|2.00|221</t>
  </si>
  <si>
    <t>Teyateyaneng|Lesotho|27.733334|-29.150000|2.00|221</t>
  </si>
  <si>
    <t>Monrovia|Liberia|-10.804722|6.310555|0.00|220</t>
  </si>
  <si>
    <t>Tubmanburg|Liberia|-10.817223|6.870833|0.00|220</t>
  </si>
  <si>
    <t>New Yekepa|Liberia|-8.537778|7.579444|0.00|220</t>
  </si>
  <si>
    <t>Zwedru|Liberia|-8.128056|6.066667|0.00|220</t>
  </si>
  <si>
    <t>Colombo|Sri Lanka|79.847778|6.931944|5.50|219</t>
  </si>
  <si>
    <t>Galkissa|Sri Lanka|79.866669|6.833333|5.50|219</t>
  </si>
  <si>
    <t>Wattegama|Sri Lanka|81.500000|6.800000|5.50|219</t>
  </si>
  <si>
    <t>Weligama|Sri Lanka|80.416664|5.966667|5.50|219</t>
  </si>
  <si>
    <t>Welisara|Sri Lanka|79.900002|7.033333|5.50|219</t>
  </si>
  <si>
    <t>Triesen|Liechtenstein|9.533333|47.099998|1.00|218</t>
  </si>
  <si>
    <t>Triesenberg|Liechtenstein|9.533333|47.116665|1.00|218</t>
  </si>
  <si>
    <t>Vaduz|Liechtenstein|9.516666|47.133335|1.00|218</t>
  </si>
  <si>
    <t>Bisee|Saint Lucia|-60.966667|14.016666|-4.00|217</t>
  </si>
  <si>
    <t>Beirut|Lebanon|35.509724|33.871944|2.00|216</t>
  </si>
  <si>
    <t>Ra's Bayrut|Lebanon|35.483334|33.900002|2.00|216</t>
  </si>
  <si>
    <t>Tyre|Lebanon|35.193890|33.273335|2.00|216</t>
  </si>
  <si>
    <t>Tripoli|Lebanon|35.849724|34.436668|2.00|216</t>
  </si>
  <si>
    <t>Zahle|Lebanon|35.904167|33.849724|2.00|216</t>
  </si>
  <si>
    <t>Savannakhet|Laos|104.750000|16.549999|7.00|215</t>
  </si>
  <si>
    <t>Xam Nua|Laos|104.043892|20.419722|7.00|215</t>
  </si>
  <si>
    <t>Vientiane|Laos|102.599998|17.966667|7.00|215</t>
  </si>
  <si>
    <t>Almaty|Kazakhstan|76.949997|43.250000|6.00|210</t>
  </si>
  <si>
    <t>Astana|Kazakhstan|71.427780|51.181110|6.00|211</t>
  </si>
  <si>
    <t>Ust'-Kamenogorsk|Kazakhstan|82.610275|49.978889|6.00|210</t>
  </si>
  <si>
    <t>Pavlodar|Kazakhstan|76.949997|52.299999|6.00|210</t>
  </si>
  <si>
    <t>Petropavlovsk|Kazakhstan|69.162781|54.875278|6.00|211</t>
  </si>
  <si>
    <t>Semipalatinsk|Kazakhstan|80.227501|50.411110|6.00|210</t>
  </si>
  <si>
    <t>Shymkent|Kazakhstan|69.599998|42.299999|6.00|211</t>
  </si>
  <si>
    <t>Taraz|Kazakhstan|71.366669|42.900002|6.00|210</t>
  </si>
  <si>
    <t>Aqtobe|Kazakhstan|57.181389|50.298054|5.00|212</t>
  </si>
  <si>
    <t>Karagandy|Kazakhstan|54.866665|50.066666|5.00|212</t>
  </si>
  <si>
    <t>Shubarshi|Kazakhstan|57.186943|48.587223|5.00|212</t>
  </si>
  <si>
    <t>Zhetibay|Kazakhstan|52.078888|43.594166|5.00|213</t>
  </si>
  <si>
    <t>Zhumysker|Kazakhstan|49.400002|49.333332|5.00|214</t>
  </si>
  <si>
    <t>Bodden Town|Cauman|-81.250000|19.283333|-5.00|209</t>
  </si>
  <si>
    <t>George Town|Cauman|-81.383331|19.299999|-5.00|209</t>
  </si>
  <si>
    <t>West Bay|Cauman|-81.416664|19.366667|-5.00|209</t>
  </si>
  <si>
    <t>Az Zawr|Kuwait|48.274723|29.442499|3.00|208</t>
  </si>
  <si>
    <t>Kuwait City|Kuwait|47.970001|29.350000|3.00|208</t>
  </si>
  <si>
    <t>Bayan|Kuwait|48.039165|29.318056|3.00|208</t>
  </si>
  <si>
    <t>Janub as Surrah|Kuwait|47.978054|29.269167|3.00|208</t>
  </si>
  <si>
    <t>Kwangmyong|South Korea|126.866386|37.477222|9.00|207</t>
  </si>
  <si>
    <t>Songnam|South Korea|127.137779|37.438610|9.00|207</t>
  </si>
  <si>
    <t>Ansan|South Korea|126.821945|37.323612|9.00|207</t>
  </si>
  <si>
    <t>Anyang|South Korea|126.926941|37.392502|9.00|207</t>
  </si>
  <si>
    <t>Ch'angwon|South Korea|128.681107|35.228054|9.00|207</t>
  </si>
  <si>
    <t>Cheju|South Korea|126.521942|33.509724|9.00|207</t>
  </si>
  <si>
    <t>Chinju|South Korea|128.084717|35.192780|9.00|207</t>
  </si>
  <si>
    <t>Ch'onan|South Korea|127.152222|36.806389|9.00|207</t>
  </si>
  <si>
    <t>Ch'ongju|South Korea|127.489723|36.637222|9.00|207</t>
  </si>
  <si>
    <t>Chonju|South Korea|127.148888|35.821945|9.00|207</t>
  </si>
  <si>
    <t>Ch'unch'on|South Korea|127.734169|37.874722|9.00|207</t>
  </si>
  <si>
    <t>Iksan|South Korea|126.954445|35.943890|9.00|207</t>
  </si>
  <si>
    <t>Kimhae|South Korea|128.881104|35.234165|9.00|207</t>
  </si>
  <si>
    <t>Kumi|South Korea|128.344727|36.127224|9.00|207</t>
  </si>
  <si>
    <t>Kunsan|South Korea|126.711388|35.978611|9.00|207</t>
  </si>
  <si>
    <t>Kwangju|South Korea|126.915558|35.154720|9.00|207</t>
  </si>
  <si>
    <t>Masan|South Korea|128.572495|35.208057|9.00|207</t>
  </si>
  <si>
    <t>Mokp'o|South Korea|126.388611|34.793610|9.00|207</t>
  </si>
  <si>
    <t>Puch'on|South Korea|126.783058|37.498890|9.00|207</t>
  </si>
  <si>
    <t>Pusan|South Korea|129.040283|35.102779|9.00|207</t>
  </si>
  <si>
    <t>Seoul|South Korea|126.999725|37.566387|9.00|207</t>
  </si>
  <si>
    <t>Sunch'on|South Korea|127.488335|34.951111|9.00|207</t>
  </si>
  <si>
    <t>Suwon|South Korea|127.019165|37.284168|9.00|207</t>
  </si>
  <si>
    <t>Taegu|South Korea|128.591110|35.870277|9.00|207</t>
  </si>
  <si>
    <t>Taejon|South Korea|127.419724|36.321388|9.00|207</t>
  </si>
  <si>
    <t>Uijongbu|South Korea|127.038887|37.748611|9.00|207</t>
  </si>
  <si>
    <t>Ulsan|South Korea|129.316666|35.537224|9.00|207</t>
  </si>
  <si>
    <t>Wonju|South Korea|127.945274|37.351387|9.00|207</t>
  </si>
  <si>
    <t>Yonil|South Korea|129.345001|35.994167|9.00|207</t>
  </si>
  <si>
    <t>Yosu|South Korea|127.737778|34.744167|9.00|207</t>
  </si>
  <si>
    <t>Hunghae|South Korea|129.352219|36.112499|9.00|207</t>
  </si>
  <si>
    <t>Chongjin|North Korea|129.775833|41.795555|9.00|206</t>
  </si>
  <si>
    <t>Kanggye|North Korea|126.611389|40.987221|9.00|206</t>
  </si>
  <si>
    <t>Sinuiju|North Korea|124.398056|40.100555|9.00|206</t>
  </si>
  <si>
    <t>Haeju|North Korea|125.714722|38.040554|9.00|206</t>
  </si>
  <si>
    <t>Hamhung|North Korea|127.536392|39.918335|9.00|206</t>
  </si>
  <si>
    <t>Hungnam|North Korea|127.618614|39.831665|9.00|206</t>
  </si>
  <si>
    <t>Kaesong|North Korea|126.554443|37.970833|9.00|206</t>
  </si>
  <si>
    <t>Pyongyang|North Korea|125.754723|39.019444|9.00|206</t>
  </si>
  <si>
    <t>Wonsan|North Korea|127.443611|39.152779|9.00|206</t>
  </si>
  <si>
    <t>Yonan-up|North Korea|126.161110|37.908890|9.00|206</t>
  </si>
  <si>
    <t>Yongbyon|North Korea|125.804169|39.813332|9.00|206</t>
  </si>
  <si>
    <t>Yonggang-up|North Korea|125.424446|38.856110|9.00|206</t>
  </si>
  <si>
    <t>Basseterre|Saint Kitts and Nevis|-62.716667|17.299999|-4.00|205</t>
  </si>
  <si>
    <t>Moutsamoudou|Comoro|44.396389|-12.162778|3.00|204</t>
  </si>
  <si>
    <t>Ouani|Comoro|44.425835|-12.132222|3.00|204</t>
  </si>
  <si>
    <t>Sima|Comoro|44.276669|-12.195556|3.00|204</t>
  </si>
  <si>
    <t>Bairiki|Kiribati|172.978012|1.329141|12.00|201</t>
  </si>
  <si>
    <t>Sisophon|Cambodia|102.983330|13.583333|7.00|200</t>
  </si>
  <si>
    <t>Ta Khmau|Cambodia|104.949997|11.483334|7.00|200</t>
  </si>
  <si>
    <t>Phnom Penh|Cambodia|104.916664|11.550000|7.00|200</t>
  </si>
  <si>
    <t>Bishkek|Kyrgyzstan|74.600281|42.873055|6.00|199</t>
  </si>
  <si>
    <t>Isfana|Kyrgyzstan|69.516670|39.833332|6.00|199</t>
  </si>
  <si>
    <t>Khaydarkan|Kyrgyzstan|71.345833|39.941387|6.00|199</t>
  </si>
  <si>
    <t>Suluktu|Kyrgyzstan|69.569725|39.930279|6.00|199</t>
  </si>
  <si>
    <t>Eldoret|Kenya|35.283333|0.516667|3.00|198</t>
  </si>
  <si>
    <t>Kisumu|Kenya|34.750000|-0.100000|3.00|198</t>
  </si>
  <si>
    <t>Mombasa|Kenya|39.666668|-4.050000|3.00|198</t>
  </si>
  <si>
    <t>Nairobi|Kenya|36.816666|-1.283333|3.00|198</t>
  </si>
  <si>
    <t>Nakuru|Kenya|36.066666|-0.283333|3.00|198</t>
  </si>
  <si>
    <t>Witu|Kenya|40.453056|-2.390556|3.00|198</t>
  </si>
  <si>
    <t>Wote|Kenya|37.633335|-1.783333|3.00|198</t>
  </si>
  <si>
    <t>Wundanyi|Kenya|38.366665|-3.400000|3.00|198</t>
  </si>
  <si>
    <t>Aomori|Japan|140.751114|40.821110|9.00|197</t>
  </si>
  <si>
    <t>Asahikawa|Japan|142.370285|43.767776|9.00|197</t>
  </si>
  <si>
    <t>Hachinohe|Japan|141.500000|40.500000|9.00|197</t>
  </si>
  <si>
    <t>Hakodate|Japan|140.736664|41.775833|9.00|197</t>
  </si>
  <si>
    <t>Sapporo|Japan|141.353882|43.054722|9.00|197</t>
  </si>
  <si>
    <t>Akita|Japan|140.116669|39.716667|9.00|197</t>
  </si>
  <si>
    <t>Chiba|Japan|140.116669|35.599998|9.00|197</t>
  </si>
  <si>
    <t>Fukushima|Japan|140.466660|37.750000|9.00|197</t>
  </si>
  <si>
    <t>Ichihara|Japan|140.083328|35.516666|9.00|197</t>
  </si>
  <si>
    <t>Iwaki|Japan|140.883331|37.049999|9.00|197</t>
  </si>
  <si>
    <t>Koriyama|Japan|140.383331|37.400002|9.00|197</t>
  </si>
  <si>
    <t>Mito|Japan|140.466660|36.366665|9.00|197</t>
  </si>
  <si>
    <t>Morioka|Japan|141.149994|39.700001|9.00|197</t>
  </si>
  <si>
    <t>Sendai|Japan|140.884720|38.254723|9.00|197</t>
  </si>
  <si>
    <t>Yamagata|Japan|140.337494|38.252777|9.00|197</t>
  </si>
  <si>
    <t>Ageo|Japan|139.588608|35.969723|9.00|197</t>
  </si>
  <si>
    <t>Amagasaki|Japan|135.416672|34.716667|9.00|197</t>
  </si>
  <si>
    <t>Chigasaki|Japan|139.403885|35.326111|9.00|197</t>
  </si>
  <si>
    <t>Chofu|Japan|139.552216|35.655556|9.00|197</t>
  </si>
  <si>
    <t>Fuchu|Japan|139.483337|35.666668|9.00|197</t>
  </si>
  <si>
    <t>Fuji|Japan|138.683334|35.166668|9.00|197</t>
  </si>
  <si>
    <t>Fujisawa|Japan|139.470001|35.341946|9.00|197</t>
  </si>
  <si>
    <t>Fukui|Japan|136.216660|36.066666|9.00|197</t>
  </si>
  <si>
    <t>Fukuoka|Japan|130.399994|33.583332|9.00|197</t>
  </si>
  <si>
    <t>Fukuyama|Japan|133.366669|34.483334|9.00|197</t>
  </si>
  <si>
    <t>Funabashi|Japan|139.983337|35.693054|9.00|197</t>
  </si>
  <si>
    <t>Gifu|Japan|136.750000|35.416668|9.00|197</t>
  </si>
  <si>
    <t>Hachioji|Japan|139.323883|35.655834|9.00|197</t>
  </si>
  <si>
    <t>Hamamatsu|Japan|137.733337|34.700001|9.00|197</t>
  </si>
  <si>
    <t>Himeji|Japan|134.699997|34.816666|9.00|197</t>
  </si>
  <si>
    <t>Hirakata|Japan|135.633331|34.799999|9.00|197</t>
  </si>
  <si>
    <t>Hiratsuka|Japan|139.342224|35.323055|9.00|197</t>
  </si>
  <si>
    <t>Hiroshima|Japan|132.449997|34.400002|9.00|197</t>
  </si>
  <si>
    <t>Ibaraki|Japan|135.566666|34.816666|9.00|197</t>
  </si>
  <si>
    <t>Ichikawa|Japan|139.924728|35.719723|9.00|197</t>
  </si>
  <si>
    <t>Ichinomiya|Japan|136.800003|35.299999|9.00|197</t>
  </si>
  <si>
    <t>Kagoshima|Japan|130.550003|31.600000|9.00|197</t>
  </si>
  <si>
    <t>Kakogawa|Japan|134.850006|34.766666|9.00|197</t>
  </si>
  <si>
    <t>Kanazawa|Japan|136.649994|36.566666|9.00|197</t>
  </si>
  <si>
    <t>Kashiwa|Japan|139.968887|35.854443|9.00|197</t>
  </si>
  <si>
    <t>Kasugai|Japan|136.983337|35.233334|9.00|197</t>
  </si>
  <si>
    <t>Kasukabe|Japan|139.753616|35.976387|9.00|197</t>
  </si>
  <si>
    <t>Kawagoe|Japan|139.485275|35.908611|9.00|197</t>
  </si>
  <si>
    <t>Kawaguchi|Japan|139.720551|35.805000|9.00|197</t>
  </si>
  <si>
    <t>Kawasaki|Japan|139.717224|35.520557|9.00|197</t>
  </si>
  <si>
    <t>Kishiwada|Japan|135.366669|34.466667|9.00|197</t>
  </si>
  <si>
    <t>Kitakyushu|Japan|130.833328|33.833332|9.00|197</t>
  </si>
  <si>
    <t>Kobe|Japan|135.166672|34.683334|9.00|197</t>
  </si>
  <si>
    <t>Kochi|Japan|133.550003|33.549999|9.00|197</t>
  </si>
  <si>
    <t>Koshigaya|Japan|139.783340|35.883335|9.00|197</t>
  </si>
  <si>
    <t>Kumamoto|Japan|130.716660|32.799999|9.00|197</t>
  </si>
  <si>
    <t>Kurashiki|Japan|133.766663|34.583332|9.00|197</t>
  </si>
  <si>
    <t>Kurume|Japan|130.516663|33.316666|9.00|197</t>
  </si>
  <si>
    <t>Kyoto|Japan|135.750000|35.000000|9.00|197</t>
  </si>
  <si>
    <t>Machida|Japan|139.450836|35.540279|9.00|197</t>
  </si>
  <si>
    <t>Maebashi|Japan|139.066666|36.383335|9.00|197</t>
  </si>
  <si>
    <t>Matsudo|Japan|139.899994|35.783333|9.00|197</t>
  </si>
  <si>
    <t>Matsumoto|Japan|137.966660|36.233334|9.00|197</t>
  </si>
  <si>
    <t>Minami-rinkan|Japan|139.449997|35.483334|9.00|197</t>
  </si>
  <si>
    <t>Miyazaki|Japan|131.433334|31.900000|9.00|197</t>
  </si>
  <si>
    <t>Nagano|Japan|138.183334|36.650002|9.00|197</t>
  </si>
  <si>
    <t>Nagasaki|Japan|129.868332|32.755001|9.00|197</t>
  </si>
  <si>
    <t>Nagoya|Japan|136.916672|35.166668|9.00|197</t>
  </si>
  <si>
    <t>Naha|Japan|127.673332|26.207222|9.00|197</t>
  </si>
  <si>
    <t>Nara|Japan|135.833328|34.683334|9.00|197</t>
  </si>
  <si>
    <t>Nerima|Japan|139.649994|35.733334|9.00|197</t>
  </si>
  <si>
    <t>Niigata|Japan|139.050003|37.916668|9.00|197</t>
  </si>
  <si>
    <t>Nishinomiya|Japan|135.333328|34.716667|9.00|197</t>
  </si>
  <si>
    <t>Numazu|Japan|138.866669|35.099998|9.00|197</t>
  </si>
  <si>
    <t>Odawara|Japan|139.159729|35.255554|9.00|197</t>
  </si>
  <si>
    <t>Oita|Japan|131.604446|33.237221|9.00|197</t>
  </si>
  <si>
    <t>Okayama|Japan|133.916672|34.650002|9.00|197</t>
  </si>
  <si>
    <t>Okazaki|Japan|137.166672|34.950001|9.00|197</t>
  </si>
  <si>
    <t>Osaka|Japan|135.500000|34.666668|9.00|197</t>
  </si>
  <si>
    <t>Otsu|Japan|135.866669|35.000000|9.00|197</t>
  </si>
  <si>
    <t>Sagamihara|Japan|139.354446|35.553055|9.00|197</t>
  </si>
  <si>
    <t>Sakai|Japan|135.466660|34.583332|9.00|197</t>
  </si>
  <si>
    <t>Sasebo|Japan|129.722778|33.159168|9.00|197</t>
  </si>
  <si>
    <t>Shimminatocho|Japan|135.199997|34.183334|9.00|197</t>
  </si>
  <si>
    <t>Shimonoseki|Japan|130.949997|33.950001|9.00|197</t>
  </si>
  <si>
    <t>Shizuoka|Japan|138.383331|34.966667|9.00|197</t>
  </si>
  <si>
    <t>Soka|Japan|139.804443|35.820278|9.00|197</t>
  </si>
  <si>
    <t>Suita|Japan|135.533340|34.750000|9.00|197</t>
  </si>
  <si>
    <t>Takamatsu|Japan|134.050003|34.333332|9.00|197</t>
  </si>
  <si>
    <t>Takarazuka|Japan|135.350006|34.799999|9.00|197</t>
  </si>
  <si>
    <t>Takasaki|Japan|139.016663|36.333332|9.00|197</t>
  </si>
  <si>
    <t>Takatsuki|Japan|135.616669|34.849998|9.00|197</t>
  </si>
  <si>
    <t>Tokorozawa|Japan|139.467773|35.786388|9.00|197</t>
  </si>
  <si>
    <t>Tokushima|Japan|134.566666|34.066666|9.00|197</t>
  </si>
  <si>
    <t>Tokyo|Japan|139.751389|35.685001|9.00|197</t>
  </si>
  <si>
    <t>Toyama|Japan|137.216660|36.683334|9.00|197</t>
  </si>
  <si>
    <t>Toyohashi|Japan|137.383331|34.766666|9.00|197</t>
  </si>
  <si>
    <t>Toyonaka|Japan|135.466660|34.783333|9.00|197</t>
  </si>
  <si>
    <t>Toyota|Japan|137.149994|35.083332|9.00|197</t>
  </si>
  <si>
    <t>Utsunomiya|Japan|139.866669|36.549999|9.00|197</t>
  </si>
  <si>
    <t>Yao|Japan|135.600006|34.616665|9.00|197</t>
  </si>
  <si>
    <t>Yokkaichi|Japan|136.616669|34.966667|9.00|197</t>
  </si>
  <si>
    <t>Yokohama|Japan|139.649994|35.450001|9.00|197</t>
  </si>
  <si>
    <t>Yokosuka|Japan|139.667221|35.283611|9.00|197</t>
  </si>
  <si>
    <t>Yono|Japan|139.633331|35.883335|9.00|197</t>
  </si>
  <si>
    <t>Akashi|Japan|134.983337|34.633335|9.00|197</t>
  </si>
  <si>
    <t>Atsugi|Japan|139.359726|35.438889|9.00|197</t>
  </si>
  <si>
    <t>Shingu|Japan|135.983337|33.733334|9.00|197</t>
  </si>
  <si>
    <t>Amman|Jordan|35.933334|31.950001|2.00|196</t>
  </si>
  <si>
    <t>Irbid|Jordan|35.849998|32.555557|2.00|196</t>
  </si>
  <si>
    <t>Umm as Summaq|Jordan|35.849998|31.883333|2.00|196</t>
  </si>
  <si>
    <t>Wadi as Sir|Jordan|35.816666|31.950001|2.00|196</t>
  </si>
  <si>
    <t>Waqqas|Jordan|35.599998|32.549999|2.00|196</t>
  </si>
  <si>
    <t>Kingston|Jamaica|-76.793571|17.997019|-5.00|195</t>
  </si>
  <si>
    <t>New Kingston|Jamaica|-76.783188|18.007467|-5.00|195</t>
  </si>
  <si>
    <t>Spanish Town|Jamaica|-76.949997|17.983334|-5.00|195</t>
  </si>
  <si>
    <t>Stony Hill|Jamaica|-76.791084|18.075369|-5.00|195</t>
  </si>
  <si>
    <t>Yallahs|Jamaica|-76.566666|17.866667|-5.00|195</t>
  </si>
  <si>
    <t>Bari|Italy|16.851185|41.117733|1.00|193</t>
  </si>
  <si>
    <t>Bologna|Italy|11.338749|44.493813|1.00|193</t>
  </si>
  <si>
    <t>Florence|Italy|11.250000|43.766666|1.00|193</t>
  </si>
  <si>
    <t>Genova|Italy|8.950000|44.416668|1.00|193</t>
  </si>
  <si>
    <t>Milano|Italy|9.188175|45.463684|1.00|193</t>
  </si>
  <si>
    <t>Napoli|Italy|14.250000|40.833332|1.00|193</t>
  </si>
  <si>
    <t>Padova|Italy|11.881808|45.415195|1.00|193</t>
  </si>
  <si>
    <t>Rome|Italy|12.483334|41.900002|1.00|193</t>
  </si>
  <si>
    <t>Taranto|Italy|17.229723|40.476112|1.00|193</t>
  </si>
  <si>
    <t>Turin|Italy|7.675022|45.077148|1.00|193</t>
  </si>
  <si>
    <t>Trieste|Italy|13.780000|45.648613|1.00|193</t>
  </si>
  <si>
    <t>Venice|Italy|12.326667|45.438610|1.00|193</t>
  </si>
  <si>
    <t>Verona|Italy|10.997788|45.434185|1.00|193</t>
  </si>
  <si>
    <t>Catania|Italy|15.087190|37.502132|1.00|193</t>
  </si>
  <si>
    <t>Messina|Italy|15.549690|38.193268|1.00|193</t>
  </si>
  <si>
    <t>Palermo|Italy|13.366667|38.116665|1.00|193</t>
  </si>
  <si>
    <t>Vittoria|Italy|14.533182|36.953739|1.00|193</t>
  </si>
  <si>
    <t>Vizzini|Italy|14.749685|37.160946|1.00|193</t>
  </si>
  <si>
    <t>Zafferana Etnea|Italy|15.107987|37.682156|1.00|193</t>
  </si>
  <si>
    <t>Reykjavik|Iceland|-21.950001|64.150002|0.00|192</t>
  </si>
  <si>
    <t>Selfoss|Iceland|-21.000000|63.933334|0.00|192</t>
  </si>
  <si>
    <t>Akureyri|Iceland|-18.100000|65.666664|0.00|192</t>
  </si>
  <si>
    <t>Zahedan|Iran|60.872776|29.497778|3.50|191</t>
  </si>
  <si>
    <t>Esfahan|Iran|51.671391|32.659721|3.50|191</t>
  </si>
  <si>
    <t>Homayunshahr|Iran|51.531944|32.686111|3.50|191</t>
  </si>
  <si>
    <t>Najafabad|Iran|51.365833|32.633057|3.50|191</t>
  </si>
  <si>
    <t>Abadan|Iran|48.295834|30.352501|3.50|191</t>
  </si>
  <si>
    <t>Ahvaz|Iran|48.691113|31.329166|3.50|191</t>
  </si>
  <si>
    <t>Arak|Iran|49.683887|34.085556|3.50|191</t>
  </si>
  <si>
    <t>Ardabil|Iran|48.301388|38.249443|3.50|191</t>
  </si>
  <si>
    <t>Babol|Iran|52.678890|36.544167|3.50|191</t>
  </si>
  <si>
    <t>Borujerd|Iran|48.755833|33.896389|3.50|191</t>
  </si>
  <si>
    <t>Bukan|Iran|46.215000|36.521946|3.50|191</t>
  </si>
  <si>
    <t>Eslamshahr|Iran|51.255833|35.564445|3.50|191</t>
  </si>
  <si>
    <t>Gorgan|Iran|54.436111|36.839443|3.50|191</t>
  </si>
  <si>
    <t>Karaj|Iran|50.998203|35.828762|3.50|191</t>
  </si>
  <si>
    <t>Kerman|Iran|57.084167|30.293888|3.50|191</t>
  </si>
  <si>
    <t>Khorramabad|Iran|48.355835|33.487778|3.50|191</t>
  </si>
  <si>
    <t>Khorramshahr|Iran|48.179165|30.439167|3.50|191</t>
  </si>
  <si>
    <t>Mashhad|Iran|59.611946|36.295834|3.50|191</t>
  </si>
  <si>
    <t>Nazarabad|Iran|50.607498|35.952099|3.50|191</t>
  </si>
  <si>
    <t>Neyshabur|Iran|58.798889|36.209721|3.50|191</t>
  </si>
  <si>
    <t>Qazvin|Iran|50.016945|36.262222|3.50|191</t>
  </si>
  <si>
    <t>Qom|Iran|50.880833|34.645279|3.50|191</t>
  </si>
  <si>
    <t>Rasht|Iran|49.585835|37.279446|3.50|191</t>
  </si>
  <si>
    <t>Sabzevar|Iran|57.679722|36.214443|3.50|191</t>
  </si>
  <si>
    <t>Sanandaj|Iran|46.998890|35.317223|3.50|191</t>
  </si>
  <si>
    <t>Sari|Iran|53.058613|36.567780|3.50|191</t>
  </si>
  <si>
    <t>Shiraz|Iran|52.538334|29.615000|3.50|191</t>
  </si>
  <si>
    <t>Sirjan|Iran|55.671665|29.451389|3.50|191</t>
  </si>
  <si>
    <t>Tabriz|Iran|46.291943|38.080002|3.50|191</t>
  </si>
  <si>
    <t>Tehran|Iran|51.424446|35.671944|3.50|191</t>
  </si>
  <si>
    <t>Yazd|Iran|54.367500|31.897223|3.50|191</t>
  </si>
  <si>
    <t>Zanjan|Iran|48.478699|36.673599|3.50|191</t>
  </si>
  <si>
    <t>Qarchak|Iran|51.568890|35.439445|3.50|191</t>
  </si>
  <si>
    <t>Nurabad|Iran|47.966667|34.066666|3.50|191</t>
  </si>
  <si>
    <t>Kahriz|Iran|47.058056|34.387779|3.50|191</t>
  </si>
  <si>
    <t>Azadshahr|Iran|48.549999|34.799999|3.50|191</t>
  </si>
  <si>
    <t>Al Basrah al Qadimah|Iraq|47.817501|30.495556|3.00|190</t>
  </si>
  <si>
    <t>Abu Ghurayb|Iraq|44.185001|33.308334|3.00|190</t>
  </si>
  <si>
    <t>Ad Diwaniyah|Iraq|44.925556|31.987778|3.00|190</t>
  </si>
  <si>
    <t>Al `Amarah|Iraq|47.175278|31.845278|3.00|190</t>
  </si>
  <si>
    <t>Al Basrah|Iraq|47.819168|30.494167|3.00|190</t>
  </si>
  <si>
    <t>Al Hillah|Iraq|44.432777|32.479443|3.00|190</t>
  </si>
  <si>
    <t>Al Kut|Iraq|45.829166|32.497501|3.00|190</t>
  </si>
  <si>
    <t>Mosul|Iraq|43.118889|36.334999|3.00|190</t>
  </si>
  <si>
    <t>Al Mawsil al Jadidah|Iraq|43.086113|36.329166|3.00|190</t>
  </si>
  <si>
    <t>An Najaf|Iraq|44.314724|31.996111|3.00|190</t>
  </si>
  <si>
    <t>An Nasiriyah|Iraq|46.259445|31.054167|3.00|190</t>
  </si>
  <si>
    <t>Ar Ramadi|Iraq|43.312500|33.419724|3.00|190</t>
  </si>
  <si>
    <t>As Sulaymaniyah|Iraq|45.440834|35.561668|3.00|190</t>
  </si>
  <si>
    <t>Baghdad|Iraq|44.393890|33.338612|3.00|190</t>
  </si>
  <si>
    <t>Arbil|Iraq|44.008888|36.189999|3.00|190</t>
  </si>
  <si>
    <t>Karbala'|Iraq|44.016109|32.597778|3.00|190</t>
  </si>
  <si>
    <t>Kirkuk|Iraq|44.392223|35.468056|3.00|190</t>
  </si>
  <si>
    <t>Tikrit|Iraq|43.676945|34.596668|3.00|190</t>
  </si>
  <si>
    <t>Tozkhurmato|Iraq|44.621944|34.883057|3.00|190</t>
  </si>
  <si>
    <t>Zakho|Iraq|42.687222|37.144165|3.00|190</t>
  </si>
  <si>
    <t>Nangi|India|88.215279|22.508333|5.50|188</t>
  </si>
  <si>
    <t>Agartala|India|91.275002|23.836390|5.50|188</t>
  </si>
  <si>
    <t>Agra|India|78.016670|27.183332|5.50|188</t>
  </si>
  <si>
    <t>Ahmadabad|India|72.616669|23.033333|5.50|188</t>
  </si>
  <si>
    <t>Ahmadnagar|India|74.733330|19.083334|5.50|188</t>
  </si>
  <si>
    <t>Aizawl|India|92.716667|23.733334|5.50|188</t>
  </si>
  <si>
    <t>Ajmer|India|74.633331|26.450001|5.50|188</t>
  </si>
  <si>
    <t>Akola|India|77.000000|20.733334|5.50|188</t>
  </si>
  <si>
    <t>Aligarh|India|78.083336|27.883333|5.50|188</t>
  </si>
  <si>
    <t>Allahabad|India|81.849998|25.450001|5.50|188</t>
  </si>
  <si>
    <t>Alwar|India|76.599998|27.566668|5.50|188</t>
  </si>
  <si>
    <t>Amarnath|India|73.166664|19.200001|5.50|188</t>
  </si>
  <si>
    <t>Ambattur|India|80.162224|13.098333|5.50|188</t>
  </si>
  <si>
    <t>Amravati|India|77.750000|20.933332|5.50|188</t>
  </si>
  <si>
    <t>Amritsar|India|74.865555|31.633055|5.50|188</t>
  </si>
  <si>
    <t>Anantapur|India|77.599998|14.683333|5.50|188</t>
  </si>
  <si>
    <t>Ara|India|84.666664|25.566668|5.50|188</t>
  </si>
  <si>
    <t>Asansol|India|86.983330|23.683332|5.50|188</t>
  </si>
  <si>
    <t>Aurangabad|India|75.333336|19.883333|5.50|188</t>
  </si>
  <si>
    <t>Avadi|India|80.101669|13.115556|5.50|188</t>
  </si>
  <si>
    <t>Bali|India|88.340279|22.646111|5.50|188</t>
  </si>
  <si>
    <t>Bangalore|India|77.600128|12.976624|5.50|188</t>
  </si>
  <si>
    <t>Bengalooru|India|77.600128|12.976624|5.50|188</t>
  </si>
  <si>
    <t>Baranagar|India|88.365280|22.643333|5.50|188</t>
  </si>
  <si>
    <t>Barasat|India|88.516670|22.716667|5.50|188</t>
  </si>
  <si>
    <t>Barddhaman|India|87.849998|23.250000|5.50|188</t>
  </si>
  <si>
    <t>Bareilly|India|79.416664|28.350000|5.50|188</t>
  </si>
  <si>
    <t>Belgaum|India|74.500000|15.866667|5.50|188</t>
  </si>
  <si>
    <t>Bellary|India|76.933334|15.150000|5.50|188</t>
  </si>
  <si>
    <t>Bhagalpur|India|87.000000|25.250000|5.50|188</t>
  </si>
  <si>
    <t>Bharatpur|India|77.483330|27.216667|5.50|188</t>
  </si>
  <si>
    <t>Bhatinda|India|74.949997|30.200001|5.50|188</t>
  </si>
  <si>
    <t>Bhatpara|India|88.408890|22.871389|5.50|188</t>
  </si>
  <si>
    <t>Bhavnagar|India|72.150002|21.766666|5.50|188</t>
  </si>
  <si>
    <t>Bhilai|India|81.433334|21.216667|5.50|188</t>
  </si>
  <si>
    <t>Bhilwara|India|74.633331|25.350000|5.50|188</t>
  </si>
  <si>
    <t>Bhiwandi|India|73.066666|19.299999|5.50|188</t>
  </si>
  <si>
    <t>Bhopal|India|77.400002|23.266666|5.50|188</t>
  </si>
  <si>
    <t>Bhubaneshwar|India|85.833336|20.233334|5.50|188</t>
  </si>
  <si>
    <t>Bidar|India|77.550003|17.900000|5.50|188</t>
  </si>
  <si>
    <t>Bihar Sharif|India|85.516670|25.183332|5.50|188</t>
  </si>
  <si>
    <t>Bijapur|India|75.699997|16.833334|5.50|188</t>
  </si>
  <si>
    <t>Bikaner|India|73.300003|28.016666|5.50|188</t>
  </si>
  <si>
    <t>Bilaspur|India|82.150002|22.083334|5.50|188</t>
  </si>
  <si>
    <t>Bokaro|India|85.966667|23.783333|5.50|188</t>
  </si>
  <si>
    <t>Bombay|India|72.825836|18.975000|5.50|188</t>
  </si>
  <si>
    <t>Brahmapur|India|84.783333|19.316668|5.50|188</t>
  </si>
  <si>
    <t>Burhanpur|India|76.233330|21.299999|5.50|188</t>
  </si>
  <si>
    <t>Calcutta|India|88.369720|22.569723|5.50|188</t>
  </si>
  <si>
    <t>Chandigarh|India|76.787224|30.737223|5.50|188</t>
  </si>
  <si>
    <t>Chandrapur|India|79.300003|19.950001|5.50|188</t>
  </si>
  <si>
    <t>Cochin|India|76.233330|9.966667|5.50|188</t>
  </si>
  <si>
    <t>Coimbatore|India|76.966667|11.000000|5.50|188</t>
  </si>
  <si>
    <t>Cuttack|India|85.879265|20.464973|5.50|188</t>
  </si>
  <si>
    <t>Darbhanga|India|85.900002|26.166666|5.50|188</t>
  </si>
  <si>
    <t>Dehra Dun|India|78.033333|30.316668|5.50|188</t>
  </si>
  <si>
    <t>Delhi|India|77.216667|28.666666|5.50|188</t>
  </si>
  <si>
    <t>Dewas|India|76.066666|22.966667|5.50|188</t>
  </si>
  <si>
    <t>Dhanbad|India|86.449997|23.799999|5.50|188</t>
  </si>
  <si>
    <t>Dhule|India|74.783333|20.900000|5.50|188</t>
  </si>
  <si>
    <t>Dindigul|India|77.949997|10.350000|5.50|188</t>
  </si>
  <si>
    <t>Durg|India|81.283333|21.183332|5.50|188</t>
  </si>
  <si>
    <t>Durgapur|India|87.316666|23.483334|5.50|188</t>
  </si>
  <si>
    <t>Etawah|India|79.033333|26.766666|5.50|188</t>
  </si>
  <si>
    <t>Faridabad|India|77.316666|28.433332|5.50|188</t>
  </si>
  <si>
    <t>Farrukhabad|India|79.566666|27.400000|5.50|188</t>
  </si>
  <si>
    <t>Firozabad|India|78.416664|27.150000|5.50|188</t>
  </si>
  <si>
    <t>Ganganagar|India|73.883331|29.916666|5.50|188</t>
  </si>
  <si>
    <t>Guwahati|India|91.733330|26.183332|5.50|188</t>
  </si>
  <si>
    <t>Gaya|India|85.000000|24.783333|5.50|188</t>
  </si>
  <si>
    <t>Ghaziabad|India|77.433334|28.666666|5.50|188</t>
  </si>
  <si>
    <t>Gorakhpur, Uttar Pradesh|India|83.373886|26.754999|5.50|188</t>
  </si>
  <si>
    <t>Gulbarga|India|76.833336|17.333334|5.50|188</t>
  </si>
  <si>
    <t>Guntur|India|80.449997|16.299999|5.50|188</t>
  </si>
  <si>
    <t>Gwalior|India|78.179169|26.223612|5.50|188</t>
  </si>
  <si>
    <t>Haora|India|88.310280|22.589167|5.50|188</t>
  </si>
  <si>
    <t>Hapur|India|77.783333|28.716667|5.50|188</t>
  </si>
  <si>
    <t>Hisar|India|75.716667|29.166666|5.50|188</t>
  </si>
  <si>
    <t>Hubli|India|75.166664|15.350000|5.50|188</t>
  </si>
  <si>
    <t>Hyderabad|India|78.474442|17.375278|5.50|188</t>
  </si>
  <si>
    <t>Ichalkaranji|India|74.466667|16.700001|5.50|188</t>
  </si>
  <si>
    <t>Imphal|India|93.949997|24.816668|5.50|188</t>
  </si>
  <si>
    <t>Indore|India|75.833305|22.717924|5.50|188</t>
  </si>
  <si>
    <t>Jabalpur|India|79.950066|23.166975|5.50|188</t>
  </si>
  <si>
    <t>Jaipur|India|75.816666|26.916666|5.50|188</t>
  </si>
  <si>
    <t>Jalgaon|India|75.566666|21.016666|5.50|188</t>
  </si>
  <si>
    <t>Jalna|India|75.883331|19.833334|5.50|188</t>
  </si>
  <si>
    <t>Jammu|India|74.866669|32.733334|5.50|188</t>
  </si>
  <si>
    <t>Jamnagar|India|70.066666|22.466667|5.50|188</t>
  </si>
  <si>
    <t>Jamshedpur|India|86.183334|22.799999|5.50|188</t>
  </si>
  <si>
    <t>Jhansi|India|78.583336|25.433332|5.50|188</t>
  </si>
  <si>
    <t>Jodhpur|India|73.029999|26.286667|5.50|188</t>
  </si>
  <si>
    <t>Jalandhar|India|75.579170|31.325556|5.50|188</t>
  </si>
  <si>
    <t>Kakinada|India|82.216667|16.933332|5.50|188</t>
  </si>
  <si>
    <t>Kalyan|India|73.150002|19.250000|5.50|188</t>
  </si>
  <si>
    <t>Kamarhati|India|88.374725|22.671110|5.50|188</t>
  </si>
  <si>
    <t>Kanpur|India|80.349998|26.466667|5.50|188</t>
  </si>
  <si>
    <t>Karimnagar|India|79.150002|18.433332|5.50|188</t>
  </si>
  <si>
    <t>Karnal|India|76.983330|29.683332|5.50|188</t>
  </si>
  <si>
    <t>Kharagpur|India|87.333336|22.333334|5.50|188</t>
  </si>
  <si>
    <t>Kolhapur|India|74.216667|16.700001|5.50|188</t>
  </si>
  <si>
    <t>Korba|India|82.683334|22.350000|5.50|188</t>
  </si>
  <si>
    <t>Kota|India|75.833336|25.183332|5.50|188</t>
  </si>
  <si>
    <t>Calicut|India|75.766670|11.250000|5.50|188</t>
  </si>
  <si>
    <t>Kukatpalli|India|78.416664|17.483334|5.50|188</t>
  </si>
  <si>
    <t>Kulti|India|86.849998|23.733334|5.50|188</t>
  </si>
  <si>
    <t>Latur|India|76.583336|18.400000|5.50|188</t>
  </si>
  <si>
    <t>Lucknow|India|80.916664|26.850000|5.50|188</t>
  </si>
  <si>
    <t>Ludhiana|India|75.849998|30.900000|5.50|188</t>
  </si>
  <si>
    <t>Madras|India|80.278473|13.087838|5.50|188</t>
  </si>
  <si>
    <t>Madurai|India|78.116669|9.933333|5.50|188</t>
  </si>
  <si>
    <t>Malegaon|India|74.533333|20.549999|5.50|188</t>
  </si>
  <si>
    <t>Mangalore|India|74.883331|12.866667|5.50|188</t>
  </si>
  <si>
    <t>Mathura|India|77.683334|27.500000|5.50|188</t>
  </si>
  <si>
    <t>Mau|India|83.550003|25.950001|5.50|188</t>
  </si>
  <si>
    <t>Meerut|India|77.699997|28.983334|5.50|188</t>
  </si>
  <si>
    <t>Mirzapur|India|82.583336|25.150000|5.50|188</t>
  </si>
  <si>
    <t>Moradabad|India|78.783333|28.833334|5.50|188</t>
  </si>
  <si>
    <t>Munger|India|86.466667|25.383333|5.50|188</t>
  </si>
  <si>
    <t>Muzaffarnagar|India|77.683334|29.466667|5.50|188</t>
  </si>
  <si>
    <t>Muzaffarpur|India|85.400002|26.116667|5.50|188</t>
  </si>
  <si>
    <t>Mysore|India|76.649719|12.307222|5.50|188</t>
  </si>
  <si>
    <t>Nadiad|India|72.866669|22.700001|5.50|188</t>
  </si>
  <si>
    <t>Nagercoil|India|77.433334|8.166667|5.50|188</t>
  </si>
  <si>
    <t>Nagpur|India|79.099998|21.150000|5.50|188</t>
  </si>
  <si>
    <t>Naihati|India|88.416946|22.902779|5.50|188</t>
  </si>
  <si>
    <t>Nasik|India|73.800003|19.983334|5.50|188</t>
  </si>
  <si>
    <t>Nellore|India|79.966667|14.433333|5.50|188</t>
  </si>
  <si>
    <t>New Delhi|India|77.199997|28.600000|5.50|188</t>
  </si>
  <si>
    <t>Nizamabad|India|78.116669|18.666666|5.50|188</t>
  </si>
  <si>
    <t>Pali|India|73.333336|25.766666|5.50|188</t>
  </si>
  <si>
    <t>Panihati|India|88.374443|22.694166|5.50|188</t>
  </si>
  <si>
    <t>Panipat|India|76.968056|29.388889|5.50|188</t>
  </si>
  <si>
    <t>Parbhani|India|76.783333|19.266666|5.50|188</t>
  </si>
  <si>
    <t>Patiala|India|76.400276|30.326666|5.50|188</t>
  </si>
  <si>
    <t>Patna|India|85.116669|25.600000|5.50|188</t>
  </si>
  <si>
    <t>Pimpri|India|73.800003|18.616667|5.50|188</t>
  </si>
  <si>
    <t>Pondicherry|India|79.830002|11.930000|5.50|188</t>
  </si>
  <si>
    <t>Punasa|India|76.400002|22.233334|5.50|188</t>
  </si>
  <si>
    <t>Pune|India|73.866669|18.533333|5.50|188</t>
  </si>
  <si>
    <t>Quilon|India|76.599998|8.883333|5.50|188</t>
  </si>
  <si>
    <t>Raichur|India|77.366669|16.200001|5.50|188</t>
  </si>
  <si>
    <t>Raipur|India|81.633331|21.233334|5.50|188</t>
  </si>
  <si>
    <t>Rajahmundry|India|81.783333|16.983334|5.50|188</t>
  </si>
  <si>
    <t>Rajkot|India|70.783333|22.299999|5.50|188</t>
  </si>
  <si>
    <t>Rampur|India|79.033333|28.816668|5.50|188</t>
  </si>
  <si>
    <t>Ranchi|India|85.333336|23.350000|5.50|188</t>
  </si>
  <si>
    <t>Ratlam|India|75.066666|23.316668|5.50|188</t>
  </si>
  <si>
    <t>Rewa|India|81.300003|24.533333|5.50|188</t>
  </si>
  <si>
    <t>Rohtak|India|76.566666|28.900000|5.50|188</t>
  </si>
  <si>
    <t>Sagar|India|78.716667|23.833334|5.50|188</t>
  </si>
  <si>
    <t>Saharanpur|India|77.550003|29.966667|5.50|188</t>
  </si>
  <si>
    <t>Salem|India|78.166664|11.650000|5.50|188</t>
  </si>
  <si>
    <t>Satna|India|80.833336|24.583334|5.50|188</t>
  </si>
  <si>
    <t>Shahjahanpur|India|79.916664|27.883333|5.50|188</t>
  </si>
  <si>
    <t>Shiliguri|India|88.433334|26.700001|5.50|188</t>
  </si>
  <si>
    <t>Shimoga|India|75.566666|13.916667|5.50|188</t>
  </si>
  <si>
    <t>Solapur|India|75.916664|17.683332|5.50|188</t>
  </si>
  <si>
    <t>Shrirampur|India|88.342224|22.752777|5.50|188</t>
  </si>
  <si>
    <t>Sonipat|India|77.016670|28.983334|5.50|188</t>
  </si>
  <si>
    <t>Srinagar|India|74.816666|34.083332|5.50|188</t>
  </si>
  <si>
    <t>Surat|India|72.833336|21.166666|5.50|188</t>
  </si>
  <si>
    <t>Thane|India|72.966667|19.200001|5.50|188</t>
  </si>
  <si>
    <t>Thanjavur|India|79.150002|10.800000|5.50|188</t>
  </si>
  <si>
    <t>Tiruchchirappalli|India|78.683334|10.816667|5.50|188</t>
  </si>
  <si>
    <t>Tirunelveli|India|77.699997|8.733334|5.50|188</t>
  </si>
  <si>
    <t>Tirupati|India|79.416664|13.650000|5.50|188</t>
  </si>
  <si>
    <t>Tiruppur|India|77.349998|11.100000|5.50|188</t>
  </si>
  <si>
    <t>Trichur|India|76.216667|10.516666|5.50|188</t>
  </si>
  <si>
    <t>Thiruvananthapuram|India|76.916664|8.483334|5.50|188</t>
  </si>
  <si>
    <t>Tumkur|India|77.101669|13.342222|5.50|188</t>
  </si>
  <si>
    <t>Udaipur|India|73.683334|24.583334|5.50|188</t>
  </si>
  <si>
    <t>Ujjain|India|75.766670|23.183332|5.50|188</t>
  </si>
  <si>
    <t>Ulhasnagar|India|73.150002|19.216667|5.50|188</t>
  </si>
  <si>
    <t>Vadodara|India|73.199997|22.299999|5.50|188</t>
  </si>
  <si>
    <t>Benares|India|83.000000|25.333334|5.50|188</t>
  </si>
  <si>
    <t>Vijayawada|India|80.616669|16.516666|5.50|188</t>
  </si>
  <si>
    <t>Vishakhapatnam|India|83.300003|17.700001|5.50|188</t>
  </si>
  <si>
    <t>Warangal|India|79.583336|18.000000|5.50|188</t>
  </si>
  <si>
    <t>Yamunanagar|India|77.283333|30.100000|5.50|188</t>
  </si>
  <si>
    <t>Zunheboto|India|94.516670|25.966667|5.50|188</t>
  </si>
  <si>
    <t>Kilakarai|India|78.783333|9.233334|5.50|188</t>
  </si>
  <si>
    <t>Punch|India|74.099998|33.766666|5.50|188</t>
  </si>
  <si>
    <t>Haifa|Israel|34.989166|32.815556|2.00|186</t>
  </si>
  <si>
    <t>Rishon LeZiyyon|Israel|34.804443|31.964167|2.00|186</t>
  </si>
  <si>
    <t>Tel Aviv-Yafo|Israel|34.764721|32.067780|2.00|186</t>
  </si>
  <si>
    <t>Yeroham|Israel|34.931389|30.987223|2.00|186</t>
  </si>
  <si>
    <t>Zefat|Israel|35.494446|32.966667|2.00|186</t>
  </si>
  <si>
    <t>Jerusalem|Israel|35.233334|31.766666|2.00|186</t>
  </si>
  <si>
    <t>Dublin|Ireland|-6.248889|53.333057|0.00|185</t>
  </si>
  <si>
    <t>Cill Mhantain|Ireland|-6.049444|52.974998|0.00|185</t>
  </si>
  <si>
    <t>Eochaill|Ireland|-7.850555|51.950001|0.00|185</t>
  </si>
  <si>
    <t>Bun Cranncha|Ireland|-7.450000|55.133335|0.00|185</t>
  </si>
  <si>
    <t>Kupang|Indonesia|123.583336|-10.166667|8.00|183</t>
  </si>
  <si>
    <t>Ambon|Indonesia|128.199997|-3.716667|9.00|184</t>
  </si>
  <si>
    <t>Balikpapan|Indonesia|116.833336|-1.283333|8.00|183</t>
  </si>
  <si>
    <t>Bandung|Indonesia|107.620552|-6.912778|7.00|181</t>
  </si>
  <si>
    <t>Banjarmasin|Indonesia|114.583336|-3.333333|8.00|183</t>
  </si>
  <si>
    <t>Bekasi|Indonesia|106.991943|-6.236667|7.00|181</t>
  </si>
  <si>
    <t>Bengkulu|Indonesia|102.265541|-3.800443|7.00|181</t>
  </si>
  <si>
    <t>Bogor|Indonesia|106.791389|-6.589722|7.00|181</t>
  </si>
  <si>
    <t>Ciampea|Indonesia|106.710281|-6.540000|7.00|181</t>
  </si>
  <si>
    <t>Cileungsi|Indonesia|106.959167|-6.394722|7.00|181</t>
  </si>
  <si>
    <t>Cimahi|Indonesia|107.542503|-6.872222|7.00|181</t>
  </si>
  <si>
    <t>Ciputat|Indonesia|106.695557|-6.237500|7.00|181</t>
  </si>
  <si>
    <t>Cirebon|Indonesia|108.566666|-6.733333|7.00|181</t>
  </si>
  <si>
    <t>Denpasar|Indonesia|115.216667|-8.650000|8.00|183</t>
  </si>
  <si>
    <t>Depok|Indonesia|106.818611|-6.400000|7.00|181</t>
  </si>
  <si>
    <t>Jakarta|Indonesia|106.829445|-6.174444|7.00|181</t>
  </si>
  <si>
    <t>Jambi|Indonesia|103.616669|-1.600000|7.00|181</t>
  </si>
  <si>
    <t>Jember|Indonesia|113.703171|-8.166039|8.00|183</t>
  </si>
  <si>
    <t>Kediri|Indonesia|112.016670|-7.816667|7.00|181</t>
  </si>
  <si>
    <t>Loa Janan|Indonesia|117.095032|-0.582952|8.00|183</t>
  </si>
  <si>
    <t>Malang|Indonesia|112.628059|-7.977778|7.00|181</t>
  </si>
  <si>
    <t>Manado|Indonesia|124.844170|1.501667|8.00|183</t>
  </si>
  <si>
    <t>Mataram|Indonesia|116.116669|-8.583333|8.00|183</t>
  </si>
  <si>
    <t>Padang|Indonesia|100.354271|-0.949244|7.00|181</t>
  </si>
  <si>
    <t>Palembang|Indonesia|104.745796|-2.916725|7.00|181</t>
  </si>
  <si>
    <t>Palu|Indonesia|119.859726|-0.901667|8.00|183</t>
  </si>
  <si>
    <t>Pekalongan|Indonesia|109.666664|-6.883333|7.00|181</t>
  </si>
  <si>
    <t>Pontianak|Indonesia|109.333336|-0.033333|7.00|182</t>
  </si>
  <si>
    <t>Purwakarta|Indonesia|107.438889|-6.556944|7.00|181</t>
  </si>
  <si>
    <t>Purwokerto|Indonesia|109.234444|-7.421389|7.00|181</t>
  </si>
  <si>
    <t>Rengasdengklok|Indonesia|107.283058|-6.148333|7.00|181</t>
  </si>
  <si>
    <t>Samarinda|Indonesia|117.150002|-0.500000|8.00|183</t>
  </si>
  <si>
    <t>Semarang|Indonesia|110.416664|-6.966667|7.00|181</t>
  </si>
  <si>
    <t>Situbondo|Indonesia|114.009766|-7.706229|8.00|183</t>
  </si>
  <si>
    <t>Sukabumi|Indonesia|106.927223|-6.916667|7.00|181</t>
  </si>
  <si>
    <t>Sumedang Utara|Indonesia|107.916664|-6.850000|7.00|181</t>
  </si>
  <si>
    <t>Surabaya|Indonesia|112.750832|-7.249166|8.00|183</t>
  </si>
  <si>
    <t>Surakarta|Indonesia|110.831665|-7.556111|7.00|181</t>
  </si>
  <si>
    <t>Tangerang|Indonesia|106.629997|-6.178056|7.00|181</t>
  </si>
  <si>
    <t>Tanjungkarang-Telukbetung|Indonesia|105.266670|-5.450000|7.00|181</t>
  </si>
  <si>
    <t>Tasikmalaya|Indonesia|108.199997|-7.333333|7.00|181</t>
  </si>
  <si>
    <t>Tegal|Indonesia|109.133331|-6.866667|7.00|181</t>
  </si>
  <si>
    <t>Makassar|Indonesia|119.438614|-5.146389|8.00|183</t>
  </si>
  <si>
    <t>Yogyakarta|Indonesia|110.360832|-7.782778|7.00|181</t>
  </si>
  <si>
    <t>Banda Aceh|Indonesia|95.325836|5.561666|7.00|182</t>
  </si>
  <si>
    <t>Binjai|Indonesia|98.500000|3.600000|7.00|181</t>
  </si>
  <si>
    <t>Medan|Indonesia|98.666664|3.583333|7.00|181</t>
  </si>
  <si>
    <t>Pematangsiantar|Indonesia|99.050003|2.950000|7.00|181</t>
  </si>
  <si>
    <t>Percut|Indonesia|98.750000|3.683333|7.00|182</t>
  </si>
  <si>
    <t>Tebingtinggi|Indonesia|99.150002|3.333333|7.00|181</t>
  </si>
  <si>
    <t>Teluknibung|Indonesia|99.816666|3.016667|7.00|182</t>
  </si>
  <si>
    <t>Makassar|Indonesia|99.783333|2.450000|8.00|183</t>
  </si>
  <si>
    <t>Budapest|Hungary|19.083334|47.500000|1.00|180</t>
  </si>
  <si>
    <t>Debrecen|Hungary|21.633333|47.533333|1.00|180</t>
  </si>
  <si>
    <t>Vamospercs|Hungary|21.900000|47.533333|1.00|180</t>
  </si>
  <si>
    <t>Vasarosnameny|Hungary|22.316668|48.133335|1.00|180</t>
  </si>
  <si>
    <t>Veszto|Hungary|21.266666|46.916668|1.00|180</t>
  </si>
  <si>
    <t>Carrefour|Haiti|-72.399216|18.541140|-5.00|179</t>
  </si>
  <si>
    <t>Delmas 73|Haiti|-72.302780|18.544722|-5.00|179</t>
  </si>
  <si>
    <t>Port-au-Prince|Haiti|-72.334999|18.539167|-5.00|179</t>
  </si>
  <si>
    <t>Saint-Raphael|Haiti|-72.199997|19.433332|-5.00|179</t>
  </si>
  <si>
    <t>Trou du Nord|Haiti|-72.016670|19.633333|-5.00|179</t>
  </si>
  <si>
    <t>Verrettes|Haiti|-72.466667|19.049999|-5.00|179</t>
  </si>
  <si>
    <t>Zagreb - Centar|Croatia|15.977532|45.813129|1.00|178</t>
  </si>
  <si>
    <t>Zagreb|Croatia|16.000000|45.799999|1.00|178</t>
  </si>
  <si>
    <t>Zapresic|Croatia|15.807777|45.856388|1.00|178</t>
  </si>
  <si>
    <t>Zupanja|Croatia|18.697500|45.077499|1.00|178</t>
  </si>
  <si>
    <t>San Pedro Sula|Honduras|-88.033333|15.500000|-6.00|177</t>
  </si>
  <si>
    <t>Tegucigalpa|Honduras|-87.216667|14.100000|-6.00|177</t>
  </si>
  <si>
    <t>Villanueva|Honduras|-88.000000|15.316667|-6.00|177</t>
  </si>
  <si>
    <t>Yoro|Honduras|-87.133331|15.133333|-6.00|177</t>
  </si>
  <si>
    <t>Puerto Cortez|Honduras|-87.949997|15.833333|-6.00|177</t>
  </si>
  <si>
    <t>Hong Kong|Hong Kong|114.150070|22.284014|8.00|176</t>
  </si>
  <si>
    <t>Kowloon|Hong Kong|114.183334|22.316668|8.00|176</t>
  </si>
  <si>
    <t>Georgetown|Guyana|-58.166668|6.800000|-4.00|175</t>
  </si>
  <si>
    <t>New Amsterdam|Guyana|-57.516666|6.250000|-4.00|175</t>
  </si>
  <si>
    <t>Rosignol|Guyana|-57.533333|6.283333|-4.00|175</t>
  </si>
  <si>
    <t>Skeldon|Guyana|-57.133335|5.883333|-4.00|175</t>
  </si>
  <si>
    <t>Bissau|Guinea-Bissau|-15.583333|11.850000|0.00|174</t>
  </si>
  <si>
    <t>Mansoa|Guinea-Bissau|-15.318889|12.073334|0.00|174</t>
  </si>
  <si>
    <t>Quebo|Guinea-Bissau|-14.933333|11.333333|0.00|174</t>
  </si>
  <si>
    <t>Quinhamel|Guinea-Bissau|-15.850000|11.883333|0.00|174</t>
  </si>
  <si>
    <t>Yigo|Guam|144.885559|13.534445|10.00|173</t>
  </si>
  <si>
    <t>Tamuning|Guam|144.776672|13.483889|10.00|173</t>
  </si>
  <si>
    <t>Guatemala City|Guatemala|-90.526939|14.621110|-6.00|172</t>
  </si>
  <si>
    <t>Mixco|Guatemala|-90.606392|14.633333|-6.00|172</t>
  </si>
  <si>
    <t>Villa Nueva|Guatemala|-90.587502|14.526944|-6.00|172</t>
  </si>
  <si>
    <t>Zacualpa|Guatemala|-90.833336|15.083333|-6.00|172</t>
  </si>
  <si>
    <t>Zaragoza|Guatemala|-90.889442|14.654445|-6.00|172</t>
  </si>
  <si>
    <t>Zunil|Guatemala|-91.483330|14.783333|-6.00|172</t>
  </si>
  <si>
    <t>Thessaloniki|Greece|22.943890|40.640278|2.00|170</t>
  </si>
  <si>
    <t>Athens|Greece|23.733334|37.983334|2.00|170</t>
  </si>
  <si>
    <t>Yiannouli|Greece|22.383333|39.666668|2.00|170</t>
  </si>
  <si>
    <t>Zakharo|Greece|21.650000|37.483334|2.00|170</t>
  </si>
  <si>
    <t>Zakynthos|Greece|20.895277|37.791389|2.00|170</t>
  </si>
  <si>
    <t>Mongomo|Equatorial Guinea|11.316667|1.633333|1.00|169</t>
  </si>
  <si>
    <t>Rebola|Equatorial Guinea|8.833333|3.716667|1.00|169</t>
  </si>
  <si>
    <t>Pale|Equatorial Guinea|5.632500|-1.401389|1.00|169</t>
  </si>
  <si>
    <t>Saint-Francois|Guadeloupe|-61.266666|16.250000|-4.00|168</t>
  </si>
  <si>
    <t>Trois-Rivieres|Guadeloupe|-61.633335|15.966667|-4.00|168</t>
  </si>
  <si>
    <t>Vieux-Habitants|Guadeloupe|-61.750000|16.049999|-4.00|168</t>
  </si>
  <si>
    <t>Camayenne|Guinea|-13.687778|9.535000|0.00|167</t>
  </si>
  <si>
    <t>Conakry|Guinea|-13.712222|9.509167|0.00|167</t>
  </si>
  <si>
    <t>Tougue|Guinea|-11.683333|11.450000|0.00|167</t>
  </si>
  <si>
    <t>Yomou|Guinea|-9.265278|7.560278|0.00|167</t>
  </si>
  <si>
    <t>Youkounkoun|Guinea|-13.133333|12.533333|0.00|167</t>
  </si>
  <si>
    <t>Sabi|Gambia|-14.200000|13.233334|0.00|166</t>
  </si>
  <si>
    <t>Soma|Gambia|-15.533333|13.433333|0.00|166</t>
  </si>
  <si>
    <t>Sukuta|Gambia|-16.708889|13.411389|0.00|166</t>
  </si>
  <si>
    <t>Tasiilaq|Greenland|-37.633335|65.599998|-3.00|162</t>
  </si>
  <si>
    <t>Nuuk|Greenland|-51.750000|64.183334|-3.00|162</t>
  </si>
  <si>
    <t>Sisimiut|Greenland|-53.683334|66.933334|-3.00|162</t>
  </si>
  <si>
    <t>Gibraltar|Gibraltar|-5.350000|36.133335|1.00|161</t>
  </si>
  <si>
    <t>Accra|Ghana|-0.216667|5.550000|0.00|160</t>
  </si>
  <si>
    <t>Achiaman|Ghana|-0.333333|5.700000|0.00|160</t>
  </si>
  <si>
    <t>Kumasi|Ghana|-1.616667|6.683333|0.00|160</t>
  </si>
  <si>
    <t>Takoradi|Ghana|-1.750000|4.883333|0.00|160</t>
  </si>
  <si>
    <t>Tamale|Ghana|-0.833333|9.400000|0.00|160</t>
  </si>
  <si>
    <t>Wenchi|Ghana|-2.100000|7.733333|0.00|160</t>
  </si>
  <si>
    <t>Winneba|Ghana|-0.616667|5.333333|0.00|160</t>
  </si>
  <si>
    <t>Yendi|Ghana|-0.016667|9.433333|0.00|160</t>
  </si>
  <si>
    <t>Matoury|French Guiana|-52.333332|4.850000|-3.00|158</t>
  </si>
  <si>
    <t>Remire-Montjoly|French Guiana|-52.266666|4.916667|-3.00|158</t>
  </si>
  <si>
    <t>Saint-Laurent-du-Maroni|French Guiana|-54.033333|5.500000|-3.00|158</t>
  </si>
  <si>
    <t>Tbilisi|Georgia|44.790833|41.724998|4.00|157</t>
  </si>
  <si>
    <t>Tsalenjikha|Georgia|42.077221|42.604443|4.00|157</t>
  </si>
  <si>
    <t>Tsnori|Georgia|45.971943|41.616943|4.00|157</t>
  </si>
  <si>
    <t>Zugdidi|Georgia|41.869167|42.512222|4.00|157</t>
  </si>
  <si>
    <t>Belfast|United Kingdom|-5.933333|54.583332|0.00|155</t>
  </si>
  <si>
    <t>Birmingham|United Kingdom|-1.916667|52.466667|0.00|155</t>
  </si>
  <si>
    <t>Bradford|United Kingdom|-1.750000|53.783333|0.00|155</t>
  </si>
  <si>
    <t>Bristol|United Kingdom|-2.583333|51.450001|0.00|155</t>
  </si>
  <si>
    <t>Caerdydd|United Kingdom|-3.200000|51.500000|0.00|155</t>
  </si>
  <si>
    <t>Coventry|United Kingdom|-1.550000|52.416668|0.00|155</t>
  </si>
  <si>
    <t>Derby|United Kingdom|-1.500000|52.933334|0.00|155</t>
  </si>
  <si>
    <t>Edinburgh|United Kingdom|-3.200000|55.950001|0.00|155</t>
  </si>
  <si>
    <t>Glasgow|United Kingdom|-4.250000|55.833332|0.00|155</t>
  </si>
  <si>
    <t>Kingston upon Hull|United Kingdom|-0.326157|53.740387|0.00|155</t>
  </si>
  <si>
    <t>Leeds|United Kingdom|-1.553192|53.794163|0.00|155</t>
  </si>
  <si>
    <t>Leicester|United Kingdom|-1.133333|52.633335|0.00|155</t>
  </si>
  <si>
    <t>Liverpool|United Kingdom|-3.000000|53.416668|0.00|155</t>
  </si>
  <si>
    <t>London|United Kingdom|-0.125533|51.508415|0.00|155</t>
  </si>
  <si>
    <t>Manchester|United Kingdom|-2.237434|53.480946|0.00|155</t>
  </si>
  <si>
    <t>Nottingham|United Kingdom|-1.166667|52.966667|0.00|155</t>
  </si>
  <si>
    <t>Plymouth|United Kingdom|-4.140000|50.369999|0.00|155</t>
  </si>
  <si>
    <t>Reading|United Kingdom|-1.000000|51.433334|0.00|155</t>
  </si>
  <si>
    <t>Sheffield|United Kingdom|-1.465902|53.382969|0.00|155</t>
  </si>
  <si>
    <t>Southampton|United Kingdom|-1.400000|50.900002|0.00|155</t>
  </si>
  <si>
    <t>Stoke-on-Trent|United Kingdom|-2.183333|53.000000|0.00|155</t>
  </si>
  <si>
    <t>Wolverhampton|United Kingdom|-2.133333|52.583332|0.00|155</t>
  </si>
  <si>
    <t>Yeovil|United Kingdom|-2.633333|50.950001|0.00|155</t>
  </si>
  <si>
    <t>York|United Kingdom|-1.083333|53.966667|0.00|155</t>
  </si>
  <si>
    <t>Ystalyfera|United Kingdom|-3.783333|51.750000|0.00|155</t>
  </si>
  <si>
    <t>Libreville|Gabon|9.450000|0.383333|1.00|154</t>
  </si>
  <si>
    <t>Oyem|Gabon|11.583333|1.616667|1.00|154</t>
  </si>
  <si>
    <t>Port-Gentil|Gabon|8.783333|-0.716667|1.00|154</t>
  </si>
  <si>
    <t>Tchibanga|Gabon|11.033333|-2.850000|1.00|154</t>
  </si>
  <si>
    <t>Bordeaux|France|-0.566667|44.833332|1.00|153</t>
  </si>
  <si>
    <t>Lille|France|3.066667|50.633335|1.00|153</t>
  </si>
  <si>
    <t>Lyon|France|4.850000|45.750000|1.00|153</t>
  </si>
  <si>
    <t>Marseille|France|5.400000|43.299999|1.00|153</t>
  </si>
  <si>
    <t>Montpellier|France|3.883333|43.599998|1.00|153</t>
  </si>
  <si>
    <t>Nantes|France|-1.550000|47.216667|1.00|153</t>
  </si>
  <si>
    <t>Nice|France|7.250000|43.700001|1.00|153</t>
  </si>
  <si>
    <t>Paris|France|2.333333|48.866665|1.00|153</t>
  </si>
  <si>
    <t>Rennes|France|-1.683333|48.083332|1.00|153</t>
  </si>
  <si>
    <t>Strasbourg|France|7.750000|48.583332|1.00|153</t>
  </si>
  <si>
    <t>Toulouse|France|1.443672|43.604263|1.00|153</t>
  </si>
  <si>
    <t>Yvetot|France|0.766667|49.616665|1.00|153</t>
  </si>
  <si>
    <t>Yzeure|France|3.350000|46.566666|1.00|153</t>
  </si>
  <si>
    <t>Blaye|France|-0.666667|45.133335|1.00|153</t>
  </si>
  <si>
    <t>Torshavn|Faroe|-6.766667|62.016666|0.00|152</t>
  </si>
  <si>
    <t>Toynim|Ponape|163.003616|5.314722|11.00|151</t>
  </si>
  <si>
    <t>Weno|Ponape|151.850006|7.445833|11.00|150</t>
  </si>
  <si>
    <t>Colonia|Ponape|138.129166|9.514444|11.00|150</t>
  </si>
  <si>
    <t>Lambasa|Fiji|179.383331|-16.416666|12.00|147</t>
  </si>
  <si>
    <t>Espoo|Finland|24.666666|60.216667|2.00|146</t>
  </si>
  <si>
    <t>Helsinki|Finland|24.934166|60.175556|2.00|146</t>
  </si>
  <si>
    <t>Tampere|Finland|23.750000|61.500000|2.00|146</t>
  </si>
  <si>
    <t>Ylitornio|Finland|23.666666|66.300003|2.00|146</t>
  </si>
  <si>
    <t>Ylivieska|Finland|24.549999|64.083336|2.00|146</t>
  </si>
  <si>
    <t>Ylojarvi|Finland|23.600000|61.549999|2.00|146</t>
  </si>
  <si>
    <t>Addis Ababa|Ethiopia|38.700001|9.033333|3.00|145</t>
  </si>
  <si>
    <t>Dire Dawa|Ethiopia|41.866112|9.593056|3.00|145</t>
  </si>
  <si>
    <t>Nazret|Ethiopia|39.266666|8.550000|3.00|145</t>
  </si>
  <si>
    <t>Yabelo|Ethiopia|38.083332|4.883333|3.00|145</t>
  </si>
  <si>
    <t>Yirga `Alem|Ethiopia|38.416668|6.750000|3.00|145</t>
  </si>
  <si>
    <t>Ziway|Ethiopia|38.716667|7.933333|3.00|145</t>
  </si>
  <si>
    <t>Sant Marti|Spain|2.199326|41.418144|1.00|142</t>
  </si>
  <si>
    <t>Eixample|Spain|2.161790|41.388954|1.00|142</t>
  </si>
  <si>
    <t>Badalona|Spain|2.247412|41.450047|1.00|142</t>
  </si>
  <si>
    <t>Barcelona|Spain|2.158985|41.388786|1.00|142</t>
  </si>
  <si>
    <t>Bilbao|Spain|-2.925282|43.262707|1.00|142</t>
  </si>
  <si>
    <t>Gijon|Spain|-5.664444|43.541111|1.00|142</t>
  </si>
  <si>
    <t>l'Hospitalet de Llobregat|Spain|2.100277|41.359673|1.00|142</t>
  </si>
  <si>
    <t>A Coruna|Spain|-8.396001|43.371349|1.00|142</t>
  </si>
  <si>
    <t>Madrid|Spain|-3.702564|40.416504|1.00|142</t>
  </si>
  <si>
    <t>Mostoles|Spain|-3.864956|40.322334|1.00|142</t>
  </si>
  <si>
    <t>Oviedo|Spain|-5.833333|43.366665|1.00|142</t>
  </si>
  <si>
    <t>Valladolid|Spain|-4.716667|41.650002|1.00|142</t>
  </si>
  <si>
    <t>Vigo|Spain|-8.716667|42.233334|1.00|142</t>
  </si>
  <si>
    <t>Vitoria-Gasteiz|Spain|-2.666667|42.849998|1.00|142</t>
  </si>
  <si>
    <t>Zaragoza|Spain|-0.877340|41.656063|1.00|142</t>
  </si>
  <si>
    <t>Alacant|Spain|-0.481489|38.345173|1.00|142</t>
  </si>
  <si>
    <t>Cartagena|Spain|-0.983333|37.599998|1.00|142</t>
  </si>
  <si>
    <t>Cordoba|Spain|-4.766667|37.883335|1.00|142</t>
  </si>
  <si>
    <t>Elx|Spain|-0.701065|38.262177|1.00|142</t>
  </si>
  <si>
    <t>Granada|Spain|-3.606670|37.188168|1.00|143</t>
  </si>
  <si>
    <t>Las Palmas de Gran Canaria|Spain|-15.416667|28.100000|0.00|144</t>
  </si>
  <si>
    <t>Malaga|Spain|-4.420345|36.720158|1.00|143</t>
  </si>
  <si>
    <t>Murcia|Spain|-1.116667|37.983334|1.00|142</t>
  </si>
  <si>
    <t>Palma|Spain|2.650237|39.569389|1.00|142</t>
  </si>
  <si>
    <t>Santa Cruz de Tenerife|Spain|-16.254616|28.468239|0.00|144</t>
  </si>
  <si>
    <t>Sevilla|Spain|-5.986944|37.377224|1.00|143</t>
  </si>
  <si>
    <t>Valencia|Spain|-0.377387|39.469753|1.00|142</t>
  </si>
  <si>
    <t>Yecla|Spain|-1.116667|38.616665|1.00|142</t>
  </si>
  <si>
    <t>Zafra|Spain|-6.416667|38.416668|1.00|142</t>
  </si>
  <si>
    <t>Zubia|Spain|-3.583333|37.116665|1.00|143</t>
  </si>
  <si>
    <t>Asmara|Eritrea|38.933334|15.333333|3.00|141</t>
  </si>
  <si>
    <t>Barentu|Eritrea|37.592777|15.113889|3.00|141</t>
  </si>
  <si>
    <t>Dekemhare|Eritrea|39.047501|15.070000|3.00|141</t>
  </si>
  <si>
    <t>Idi|Eritrea|41.692501|13.929722|3.00|141</t>
  </si>
  <si>
    <t>Ejbei Uad el Aabd|Western Sahara|-13.162500|27.135000|0.00|140</t>
  </si>
  <si>
    <t>Bur Sa`id|Egypt|32.300491|31.259769|2.00|139</t>
  </si>
  <si>
    <t>Al Fayyum|Egypt|30.840000|29.307777|2.00|139</t>
  </si>
  <si>
    <t>Alexandria|Egypt|29.919167|31.198055|2.00|139</t>
  </si>
  <si>
    <t>Ismailia|Egypt|32.277222|30.605278|2.00|139</t>
  </si>
  <si>
    <t>Al Jizah|Egypt|31.212223|30.008612|2.00|139</t>
  </si>
  <si>
    <t>Al Mahallah al Kubra|Egypt|31.166945|30.976110|2.00|139</t>
  </si>
  <si>
    <t>Al Mansurah|Egypt|31.376667|31.043056|2.00|139</t>
  </si>
  <si>
    <t>Al Minya|Egypt|30.744444|28.119444|2.00|139</t>
  </si>
  <si>
    <t>Cairo|Egypt|31.250000|30.049999|2.00|139</t>
  </si>
  <si>
    <t>Luxor|Egypt|32.650002|25.683332|2.00|139</t>
  </si>
  <si>
    <t>Suez|Egypt|32.549999|29.966667|2.00|139</t>
  </si>
  <si>
    <t>Aswan|Egypt|32.898888|24.087500|2.00|139</t>
  </si>
  <si>
    <t>Asyut|Egypt|31.182777|27.182777|2.00|139</t>
  </si>
  <si>
    <t>Az Zaqaziq|Egypt|31.510279|30.591389|2.00|139</t>
  </si>
  <si>
    <t>Damanhur|Egypt|30.466667|31.033333|2.00|139</t>
  </si>
  <si>
    <t>Kafr ad Dawwar|Egypt|30.129168|31.139723|2.00|139</t>
  </si>
  <si>
    <t>Qina|Egypt|32.727222|26.170000|2.00|139</t>
  </si>
  <si>
    <t>Suhaj|Egypt|31.700001|26.549999|2.00|139</t>
  </si>
  <si>
    <t>Tanta|Egypt|30.998056|30.791111|2.00|139</t>
  </si>
  <si>
    <t>Tukh|Egypt|31.158056|30.348333|2.00|139</t>
  </si>
  <si>
    <t>Zifta|Egypt|31.243889|30.713612|2.00|139</t>
  </si>
  <si>
    <t>Tallinn|Estonia|24.728056|59.433887|2.00|138</t>
  </si>
  <si>
    <t>Valga|Estonia|26.045279|57.774445|2.00|138</t>
  </si>
  <si>
    <t>Viljandi|Estonia|25.590000|58.363888|2.00|138</t>
  </si>
  <si>
    <t>Voru|Estonia|27.019444|57.833889|2.00|138</t>
  </si>
  <si>
    <t>Cuenca|Ecuador|-78.983330|-2.883333|-5.00|136</t>
  </si>
  <si>
    <t>Guayaquil|Ecuador|-79.900002|-2.166667|-5.00|136</t>
  </si>
  <si>
    <t>Quito|Ecuador|-78.500000|-0.216667|-5.00|136</t>
  </si>
  <si>
    <t>Santo Domingo de los Colorados|Ecuador|-79.150002|-0.250000|-5.00|136</t>
  </si>
  <si>
    <t>Yantzaza|Ecuador|-78.759445|-3.827778|-5.00|136</t>
  </si>
  <si>
    <t>Zamora|Ecuador|-78.956665|-4.069167|-5.00|136</t>
  </si>
  <si>
    <t>Zaruma|Ecuador|-79.616669|-3.683333|-5.00|136</t>
  </si>
  <si>
    <t>Algiers|Algeria|3.050556|36.763054|1.00|135</t>
  </si>
  <si>
    <t>Annaba|Algeria|7.766667|36.900002|1.00|135</t>
  </si>
  <si>
    <t>Bab Ezzouar|Algeria|3.183333|36.716667|1.00|135</t>
  </si>
  <si>
    <t>Batna|Algeria|6.174145|35.555969|1.00|135</t>
  </si>
  <si>
    <t>Constantine|Algeria|6.614722|36.365002|1.00|135</t>
  </si>
  <si>
    <t>Oran|Algeria|-0.641667|35.691113|1.00|135</t>
  </si>
  <si>
    <t>Zemmora|Algeria|0.760000|35.722500|1.00|135</t>
  </si>
  <si>
    <t>Zeralda|Algeria|2.843333|36.714722|1.00|135</t>
  </si>
  <si>
    <t>Zeribet el Oued|Algeria|6.516667|34.683334|1.00|135</t>
  </si>
  <si>
    <t>La Romana|Dominican Republic|-68.966667|18.416666|-4.00|134</t>
  </si>
  <si>
    <t>San Pedro de Macoris|Dominican Republic|-69.300003|18.450001|-4.00|134</t>
  </si>
  <si>
    <t>Santiago de los Caballeros|Dominican Republic|-70.699997|19.450001|-4.00|134</t>
  </si>
  <si>
    <t>Santo Domingo|Dominican Republic|-69.900002|18.466667|-4.00|134</t>
  </si>
  <si>
    <t>Yaguate|Dominican Republic|-70.183334|18.333334|-4.00|134</t>
  </si>
  <si>
    <t>Yamasa|Dominican Republic|-70.016670|18.766666|-4.00|134</t>
  </si>
  <si>
    <t>Yayas de Viajama|Dominican Republic|-70.916664|18.600000|-4.00|134</t>
  </si>
  <si>
    <t>Roseau|Dominica|-61.400002|15.300000|-4.00|133</t>
  </si>
  <si>
    <t>Arhus|Denmark|10.216667|56.150002|1.00|132</t>
  </si>
  <si>
    <t>Copenhagen|Denmark|12.583333|55.666668|1.00|132</t>
  </si>
  <si>
    <t>Vejle|Denmark|9.533333|55.700001|1.00|132</t>
  </si>
  <si>
    <t>Vojens|Denmark|9.316667|55.250000|1.00|132</t>
  </si>
  <si>
    <t>Vordingborg|Denmark|11.916667|55.016666|1.00|132</t>
  </si>
  <si>
    <t>Djibouti|Djibouty|43.148056|11.595000|3.00|131</t>
  </si>
  <si>
    <t>Obock|Djibouty|43.290554|11.963056|3.00|131</t>
  </si>
  <si>
    <t>Tadjoura|Djibouty|42.884445|11.785277|3.00|131</t>
  </si>
  <si>
    <t>Kreisfreie Stadt Aachen|Germany|6.105278|50.770832|1.00|130</t>
  </si>
  <si>
    <t>Augsburg|Germany|10.883333|48.366665|1.00|130</t>
  </si>
  <si>
    <t>Berlin|Germany|13.400000|52.516666|1.00|130</t>
  </si>
  <si>
    <t>Bielefeld|Germany|8.533333|52.033333|1.00|130</t>
  </si>
  <si>
    <t>Bochum|Germany|7.216667|51.483334|1.00|130</t>
  </si>
  <si>
    <t>Bonn|Germany|7.100000|50.733334|1.00|130</t>
  </si>
  <si>
    <t>Braunschweig|Germany|10.533333|52.266666|1.00|130</t>
  </si>
  <si>
    <t>Bremen|Germany|8.807774|53.075157|1.00|130</t>
  </si>
  <si>
    <t>Chemnitz|Germany|12.916667|50.833332|1.00|130</t>
  </si>
  <si>
    <t>Dortmund|Germany|7.450000|51.516666|1.00|130</t>
  </si>
  <si>
    <t>Dresden|Germany|13.738317|51.050892|1.00|130</t>
  </si>
  <si>
    <t>Duisburg|Germany|6.750000|51.433334|1.00|130</t>
  </si>
  <si>
    <t>Dusseldorf|Germany|6.776161|51.221722|1.00|130</t>
  </si>
  <si>
    <t>Erfurt|Germany|11.033333|50.983334|1.00|130</t>
  </si>
  <si>
    <t>Essen|Germany|7.016667|51.450001|1.00|130</t>
  </si>
  <si>
    <t>Frankfurt am Main|Germany|8.683333|50.116665|1.00|130</t>
  </si>
  <si>
    <t>Freiburg|Germany|7.852221|47.995895|1.00|130</t>
  </si>
  <si>
    <t>Gelsenkirchen-Alt|Germany|7.116667|51.516666|1.00|130</t>
  </si>
  <si>
    <t>Halle|Germany|12.000000|51.500000|1.00|130</t>
  </si>
  <si>
    <t>Halle-Neustadt|Germany|11.933333|51.483334|1.00|130</t>
  </si>
  <si>
    <t>Hamburg|Germany|10.000000|53.549999|1.00|130</t>
  </si>
  <si>
    <t>Hannover|Germany|9.733222|52.370518|1.00|130</t>
  </si>
  <si>
    <t>Karlsruhe|Germany|8.385834|49.004723|1.00|130</t>
  </si>
  <si>
    <t>Kiel|Germany|10.133333|54.333332|1.00|130</t>
  </si>
  <si>
    <t>Koeln|Germany|6.950000|50.933334|1.00|130</t>
  </si>
  <si>
    <t>Krefeld|Germany|6.566667|51.333332|1.00|130</t>
  </si>
  <si>
    <t>Leipzig|Germany|12.369919|51.337799|1.00|130</t>
  </si>
  <si>
    <t>Lubeck|Germany|10.687294|53.868927|1.00|130</t>
  </si>
  <si>
    <t>Mannheim|Germany|8.464723|49.488335|1.00|130</t>
  </si>
  <si>
    <t>Monchengladbach|Germany|6.433333|51.200001|1.00|130</t>
  </si>
  <si>
    <t>Munich|Germany|11.574354|48.137684|1.00|130</t>
  </si>
  <si>
    <t>Munster|Germany|7.625713|51.962357|1.00|130</t>
  </si>
  <si>
    <t>Neustadt|Germany|11.633333|52.150002|1.00|130</t>
  </si>
  <si>
    <t>Nuernberg|Germany|11.068334|49.447777|1.00|130</t>
  </si>
  <si>
    <t>Oberhausen|Germany|6.850000|51.466667|1.00|130</t>
  </si>
  <si>
    <t>Stuttgart|Germany|9.183333|48.766666|1.00|130</t>
  </si>
  <si>
    <t>Wahren|Germany|12.333333|51.366665|1.00|130</t>
  </si>
  <si>
    <t>Wiesbaden|Germany|8.250000|50.083332|1.00|130</t>
  </si>
  <si>
    <t>Wuppertal|Germany|7.183333|51.266666|1.00|130</t>
  </si>
  <si>
    <t>Zwiesel|Germany|13.233334|49.016666|1.00|130</t>
  </si>
  <si>
    <t>Zwingenberg|Germany|8.618611|49.726387|1.00|130</t>
  </si>
  <si>
    <t>Zwonitz|Germany|12.800000|50.633335|1.00|130</t>
  </si>
  <si>
    <t>Brno|Czech|16.599689|49.195190|1.00|129</t>
  </si>
  <si>
    <t>Ostrava|Czech|18.282043|49.834644|1.00|129</t>
  </si>
  <si>
    <t>Praha|Czech|14.424132|50.087837|1.00|129</t>
  </si>
  <si>
    <t>Znojmo|Czech|16.048798|48.855499|1.00|129</t>
  </si>
  <si>
    <t>Zubri|Czech|18.092485|49.466026|1.00|129</t>
  </si>
  <si>
    <t>Dvur Kralove nad Labem|Czech|15.814021|50.431721|1.00|129</t>
  </si>
  <si>
    <t>Nicosia|Cyprus|33.366665|35.166668|2.00|128</t>
  </si>
  <si>
    <t>Xeri|Cyprus|33.320835|35.075001|2.00|128</t>
  </si>
  <si>
    <t>Yeri|Cyprus|33.416668|35.099998|2.00|128</t>
  </si>
  <si>
    <t>Ypsonas|Cyprus|32.958332|34.683334|2.00|128</t>
  </si>
  <si>
    <t>Sao Filipe|Cape Verde|-24.516666|14.900000|-1.00|126</t>
  </si>
  <si>
    <t>Tarrafal|Cape Verde|-23.766666|15.283333|-1.00|126</t>
  </si>
  <si>
    <t>Vila da Ribeira Brava|Cape Verde|-24.299999|16.616667|-1.00|126</t>
  </si>
  <si>
    <t>Camaguey|Cuba|-77.916946|21.380833|-5.00|125</t>
  </si>
  <si>
    <t>Guantanamo|Cuba|-75.209167|20.144444|-5.00|125</t>
  </si>
  <si>
    <t>Holguin|Cuba|-76.263054|20.887222|-5.00|125</t>
  </si>
  <si>
    <t>Havana|Cuba|-82.364166|23.131945|-5.00|125</t>
  </si>
  <si>
    <t>Las Tunas|Cuba|-76.951111|20.961666|-5.00|125</t>
  </si>
  <si>
    <t>Santa Clara|Cuba|-79.966667|22.400000|-5.00|125</t>
  </si>
  <si>
    <t>Santiago de Cuba|Cuba|-75.821945|20.024723|-5.00|125</t>
  </si>
  <si>
    <t>Yaguajay|Cuba|-79.237778|22.327223|-5.00|125</t>
  </si>
  <si>
    <t>Yara|Cuba|-76.953331|20.275278|-5.00|125</t>
  </si>
  <si>
    <t>Zaza del Medio|Cuba|-79.366943|21.996111|-5.00|125</t>
  </si>
  <si>
    <t>San Jose|Costa Rica|-84.083336|9.933333|-6.00|124</t>
  </si>
  <si>
    <t>Tilaran|Costa Rica|-84.966667|10.466667|-6.00|124</t>
  </si>
  <si>
    <t>Tres Rios|Costa Rica|-83.983330|9.900000|-6.00|124</t>
  </si>
  <si>
    <t>Turrialba|Costa Rica|-83.683334|9.900000|-6.00|124</t>
  </si>
  <si>
    <t>Armenia|Colombia|-75.681114|4.533889|-5.00|123</t>
  </si>
  <si>
    <t>Barranquilla|Colombia|-74.796387|10.963889|-5.00|123</t>
  </si>
  <si>
    <t>Bello|Colombia|-75.562225|6.338889|-5.00|123</t>
  </si>
  <si>
    <t>Bogota|Colombia|-74.083336|4.600000|-5.00|123</t>
  </si>
  <si>
    <t>Bucaramanga|Colombia|-73.125832|7.129722|-5.00|123</t>
  </si>
  <si>
    <t>Buenaventura|Colombia|-77.000000|3.583333|-5.00|123</t>
  </si>
  <si>
    <t>Buenaventura|Colombia|-77.069725|3.893333|-5.00|123</t>
  </si>
  <si>
    <t>Cali|Colombia|-76.522499|3.437222|-5.00|123</t>
  </si>
  <si>
    <t>Cartagena|Colombia|-75.514442|10.399722|-5.00|123</t>
  </si>
  <si>
    <t>Cucuta|Colombia|-72.505280|7.883333|-5.00|123</t>
  </si>
  <si>
    <t>Floridablanca|Colombia|-73.089722|7.064722|-5.00|123</t>
  </si>
  <si>
    <t>Ibague|Colombia|-75.232224|4.438889|-5.00|123</t>
  </si>
  <si>
    <t>Itagui|Colombia|-75.611389|6.171945|-5.00|123</t>
  </si>
  <si>
    <t>Manizales|Colombia|-75.520554|5.070000|-5.00|123</t>
  </si>
  <si>
    <t>Medellin|Colombia|-75.536110|6.291389|-5.00|123</t>
  </si>
  <si>
    <t>Monteria|Colombia|-75.889999|8.757500|-5.00|123</t>
  </si>
  <si>
    <t>Neiva|Colombia|-75.330276|2.930556|-5.00|123</t>
  </si>
  <si>
    <t>Palmira|Colombia|-76.303612|3.539444|-5.00|123</t>
  </si>
  <si>
    <t>Pasto|Colombia|-77.281113|1.213611|-5.00|123</t>
  </si>
  <si>
    <t>Pereira|Colombia|-75.696114|4.813334|-5.00|123</t>
  </si>
  <si>
    <t>Santa Marta|Colombia|-74.201668|11.247222|-5.00|123</t>
  </si>
  <si>
    <t>Sincelejo|Colombia|-75.397781|9.304722|-5.00|123</t>
  </si>
  <si>
    <t>Soacha|Colombia|-74.221390|4.587222|-5.00|123</t>
  </si>
  <si>
    <t>Soledad|Colombia|-74.766670|10.917222|-5.00|123</t>
  </si>
  <si>
    <t>Valledupar|Colombia|-73.250557|10.476944|-5.00|123</t>
  </si>
  <si>
    <t>Villavicencio|Colombia|-73.635002|4.153333|-5.00|123</t>
  </si>
  <si>
    <t>Zaragoza|Colombia|-74.871109|7.494167|-5.00|123</t>
  </si>
  <si>
    <t>Zarzal|Colombia|-76.077225|4.398333|-5.00|123</t>
  </si>
  <si>
    <t>Zipaquira|Colombia|-74.005836|5.028333|-5.00|123</t>
  </si>
  <si>
    <t>Anshan|China|122.989998|41.123611|8.00|119</t>
  </si>
  <si>
    <t>Baicheng|China|122.816666|45.616665|8.00|119</t>
  </si>
  <si>
    <t>Baotou|China|109.822220|40.652222|8.00|120</t>
  </si>
  <si>
    <t>Benxi|China|123.764999|41.288612|8.00|119</t>
  </si>
  <si>
    <t>Changchun|China|125.322777|43.880001|8.00|119</t>
  </si>
  <si>
    <t>Chaoyang|China|120.458611|41.570278|8.00|119</t>
  </si>
  <si>
    <t>Chengde|China|117.936111|40.972500|8.00|119</t>
  </si>
  <si>
    <t>Chifeng|China|118.963608|42.268333|8.00|119</t>
  </si>
  <si>
    <t>Dandong|China|124.394722|40.129166|8.00|119</t>
  </si>
  <si>
    <t>Daqing|China|125.000000|46.583332|8.00|119</t>
  </si>
  <si>
    <t>Datong|China|113.291389|40.093613|8.00|118</t>
  </si>
  <si>
    <t>Fushun|China|123.923332|41.855835|8.00|119</t>
  </si>
  <si>
    <t>Fuxin|China|121.658890|42.015556|8.00|119</t>
  </si>
  <si>
    <t>Hailar|China|119.699997|49.200001|8.00|119</t>
  </si>
  <si>
    <t>Harbin|China|126.650002|45.750000|8.00|119</t>
  </si>
  <si>
    <t>Hegang|China|130.366669|47.400002|8.00|119</t>
  </si>
  <si>
    <t>Hohhot|China|111.652222|40.810555|8.00|120</t>
  </si>
  <si>
    <t>Hulan Ergi|China|123.633331|47.204166|8.00|119</t>
  </si>
  <si>
    <t>Jiamusi|China|130.350006|46.833332|8.00|119</t>
  </si>
  <si>
    <t>Jilin|China|126.560280|43.850834|8.00|119</t>
  </si>
  <si>
    <t>Jining, Inner Mongolia|China|113.105835|41.027500|8.00|119</t>
  </si>
  <si>
    <t>Jinxi|China|120.833336|40.750000|8.00|119</t>
  </si>
  <si>
    <t>Jinzhou, Liaoning|China|121.141670|41.107777|8.00|119</t>
  </si>
  <si>
    <t>Jixi|China|130.966660|45.299999|8.00|119</t>
  </si>
  <si>
    <t>Liaoyang|China|123.173058|41.271946|8.00|119</t>
  </si>
  <si>
    <t>Liaoyuan|China|125.135834|42.903610|8.00|119</t>
  </si>
  <si>
    <t>Mudanjiang|China|129.600006|44.583332|8.00|119</t>
  </si>
  <si>
    <t>Panshan|China|122.049446|41.188057|8.00|119</t>
  </si>
  <si>
    <t>Qiqihar|China|123.967224|47.340832|8.00|119</t>
  </si>
  <si>
    <t>Qitaihe|China|130.850006|45.799999|8.00|119</t>
  </si>
  <si>
    <t>Ranghulu|China|124.866669|46.650002|8.00|119</t>
  </si>
  <si>
    <t>Shenyang|China|123.432777|41.792221|8.00|119</t>
  </si>
  <si>
    <t>Shuangyashan|China|131.153885|46.636112|8.00|119</t>
  </si>
  <si>
    <t>Siping|China|124.368614|43.163334|8.00|119</t>
  </si>
  <si>
    <t>Suihua|China|126.996941|46.640556|8.00|119</t>
  </si>
  <si>
    <t>Tieling|China|123.841393|42.293056|8.00|119</t>
  </si>
  <si>
    <t>Tongliao|China|122.265274|43.612499|8.00|119</t>
  </si>
  <si>
    <t>Xuanhua|China|115.044724|40.610279|8.00|119</t>
  </si>
  <si>
    <t>Yanji|China|129.507782|42.907501|8.00|119</t>
  </si>
  <si>
    <t>Yingkou|China|122.224724|40.668056|8.00|119</t>
  </si>
  <si>
    <t>Zhangjiakou|China|114.879448|40.810001|8.00|119</t>
  </si>
  <si>
    <t>Suzhou|China|120.618057|31.311388|8.00|118</t>
  </si>
  <si>
    <t>Anqing|China|117.050552|30.509167|8.00|118</t>
  </si>
  <si>
    <t>Anshun|China|105.933334|26.250000|8.00|120</t>
  </si>
  <si>
    <t>Baoding|China|115.490280|38.851112|8.00|118</t>
  </si>
  <si>
    <t>Beihai|China|109.099998|21.483334|8.00|120</t>
  </si>
  <si>
    <t>Beijing|China|116.388336|39.928890|8.00|119</t>
  </si>
  <si>
    <t>Bengbu|China|117.360832|32.940834|8.00|118</t>
  </si>
  <si>
    <t>Cangzhou|China|116.866669|38.316666|8.00|118</t>
  </si>
  <si>
    <t>Changsha|China|112.966667|28.200001|8.00|120</t>
  </si>
  <si>
    <t>Changzhi|China|111.738609|35.208889|8.00|120</t>
  </si>
  <si>
    <t>Changzhou|China|119.966667|31.783333|8.00|118</t>
  </si>
  <si>
    <t>Chaozhou|China|116.639999|23.665833|8.00|118</t>
  </si>
  <si>
    <t>Chengdu|China|104.066666|30.666666|8.00|120</t>
  </si>
  <si>
    <t>Chongqing|China|106.552780|29.562778|8.00|120</t>
  </si>
  <si>
    <t>Chuzhou|China|118.297775|32.321945|8.00|118</t>
  </si>
  <si>
    <t>Dalian|China|121.602219|38.912224|8.00|118</t>
  </si>
  <si>
    <t>Daliang|China|113.245277|22.840834|8.00|120</t>
  </si>
  <si>
    <t>Dezhou|China|116.292503|37.448612|8.00|118</t>
  </si>
  <si>
    <t>Dongguan|China|113.744720|23.048889|8.00|120</t>
  </si>
  <si>
    <t>Dongying|China|118.485558|37.456390|8.00|118</t>
  </si>
  <si>
    <t>Foshan|China|113.116669|23.033333|8.00|120</t>
  </si>
  <si>
    <t>Fuzhou|China|119.306114|26.061388|8.00|118</t>
  </si>
  <si>
    <t>Gaoping|China|106.133331|30.783333|8.00|120</t>
  </si>
  <si>
    <t>Guangzhou|China|113.250000|23.116667|8.00|120</t>
  </si>
  <si>
    <t>Guilin|China|110.286392|25.281944|8.00|120</t>
  </si>
  <si>
    <t>Guiyang|China|106.716667|26.583334|8.00|120</t>
  </si>
  <si>
    <t>Guli|China|120.033333|28.883333|8.00|118</t>
  </si>
  <si>
    <t>Haikou|China|110.341667|20.045834|8.00|120</t>
  </si>
  <si>
    <t>Jiaojiang|China|121.442780|28.680277|8.00|118</t>
  </si>
  <si>
    <t>Handan|China|114.467781|36.600555|8.00|118</t>
  </si>
  <si>
    <t>Hangu|China|117.789169|39.248890|8.00|118</t>
  </si>
  <si>
    <t>Hangzhou|China|120.168892|30.255278|8.00|118</t>
  </si>
  <si>
    <t>Hebi|China|114.192497|35.899166|8.00|118</t>
  </si>
  <si>
    <t>Hefei|China|117.280830|31.863890|8.00|118</t>
  </si>
  <si>
    <t>Hengshui|China|115.701111|37.732224|8.00|118</t>
  </si>
  <si>
    <t>Hengyang|China|112.614998|26.888056|8.00|120</t>
  </si>
  <si>
    <t>Yiyang|China|112.328331|28.589167|8.00|120</t>
  </si>
  <si>
    <t>Heze|China|115.441109|35.243057|8.00|118</t>
  </si>
  <si>
    <t>Huaibei|China|116.791664|33.974445|8.00|118</t>
  </si>
  <si>
    <t>Huainan|China|116.996941|32.626389|8.00|118</t>
  </si>
  <si>
    <t>Huanggang|China|117.003334|23.675278|8.00|118</t>
  </si>
  <si>
    <t>Huangshi|China|115.099998|30.216667|8.00|118</t>
  </si>
  <si>
    <t>Huizhou|China|114.400002|23.083334|8.00|120</t>
  </si>
  <si>
    <t>Guangyuan|China|105.821388|32.440277|8.00|120</t>
  </si>
  <si>
    <t>Ji'an|China|115.000000|27.133333|8.00|118</t>
  </si>
  <si>
    <t>Yangjiang|China|111.966667|21.850000|8.00|120</t>
  </si>
  <si>
    <t>Jiangmen|China|113.083336|22.583334|8.00|120</t>
  </si>
  <si>
    <t>Jiaozuo|China|113.233055|35.239723|8.00|118</t>
  </si>
  <si>
    <t>Jiaxing|China|120.748337|30.765556|8.00|118</t>
  </si>
  <si>
    <t>Jinan|China|116.997223|36.668335|8.00|118</t>
  </si>
  <si>
    <t>Jincheng|China|112.832779|35.502224|8.00|120</t>
  </si>
  <si>
    <t>Jingdezhen|China|117.202225|29.289722|8.00|118</t>
  </si>
  <si>
    <t>Jingling|China|113.099998|30.650000|8.00|120</t>
  </si>
  <si>
    <t>Jining, Shandong|China|116.581390|35.404999|8.00|118</t>
  </si>
  <si>
    <t>Jinzhou|China|121.716667|39.099998|8.00|119</t>
  </si>
  <si>
    <t>Jiujiang|China|115.983330|29.733334|8.00|118</t>
  </si>
  <si>
    <t>Kaifeng|China|114.348335|34.791111|8.00|118</t>
  </si>
  <si>
    <t>Kunming|China|102.718330|25.038889|8.00|120</t>
  </si>
  <si>
    <t>Langfang|China|116.694725|39.509724|8.00|118</t>
  </si>
  <si>
    <t>Lanzhou|China|103.792221|36.056389|8.00|120</t>
  </si>
  <si>
    <t>Laohekou|China|111.667778|32.385834|8.00|120</t>
  </si>
  <si>
    <t>Liaocheng|China|115.964722|36.443890|8.00|118</t>
  </si>
  <si>
    <t>Linfen|China|111.518890|36.088890|8.00|120</t>
  </si>
  <si>
    <t>Linxia|China|103.206390|35.600277|8.00|120</t>
  </si>
  <si>
    <t>Linyi|China|118.342781|35.063057|8.00|118</t>
  </si>
  <si>
    <t>Luancheng|China|114.651665|37.879166|8.00|118</t>
  </si>
  <si>
    <t>Luohe|China|114.035278|33.571667|8.00|118</t>
  </si>
  <si>
    <t>Luoyang|China|112.453613|34.683613|8.00|120</t>
  </si>
  <si>
    <t>Luqiaozhen|China|121.378334|28.578890|8.00|118</t>
  </si>
  <si>
    <t>Mianyang|China|104.766670|31.466667|8.00|120</t>
  </si>
  <si>
    <t>Nanchang|China|115.883331|28.683332|8.00|118</t>
  </si>
  <si>
    <t>Nanchong|China|106.066666|30.799999|8.00|120</t>
  </si>
  <si>
    <t>Nanjing|China|118.777779|32.061668|8.00|118</t>
  </si>
  <si>
    <t>Nanning|China|108.316666|22.816668|8.00|120</t>
  </si>
  <si>
    <t>Nantong|China|120.874725|32.030277|8.00|118</t>
  </si>
  <si>
    <t>Nanyang|China|112.532776|32.994720|8.00|120</t>
  </si>
  <si>
    <t>Neijiang|China|105.059166|29.583611|8.00|120</t>
  </si>
  <si>
    <t>Ningbo|China|121.541946|29.875000|8.00|118</t>
  </si>
  <si>
    <t>Panzhihua|China|101.733330|26.549999|8.00|120</t>
  </si>
  <si>
    <t>Pingdingshan|China|113.306389|33.740833|8.00|120</t>
  </si>
  <si>
    <t>Pingxiang|China|113.849998|27.616667|8.00|120</t>
  </si>
  <si>
    <t>Putian|China|119.010277|25.439444|8.00|118</t>
  </si>
  <si>
    <t>Puyang|China|115.005280|35.702778|8.00|118</t>
  </si>
  <si>
    <t>Qingdao|China|120.371941|36.098610|8.00|118</t>
  </si>
  <si>
    <t>Huaiyin|China|119.019165|33.588612|8.00|118</t>
  </si>
  <si>
    <t>Qinhuangdao|China|119.588333|39.931667|8.00|119</t>
  </si>
  <si>
    <t>Rizhao|China|119.455276|35.427502|8.00|118</t>
  </si>
  <si>
    <t>Jieyang|China|116.365555|23.529722|8.00|118</t>
  </si>
  <si>
    <t>Sanming|China|117.618614|26.248611|8.00|118</t>
  </si>
  <si>
    <t>Shanghai|China|121.458054|31.222221|8.00|118</t>
  </si>
  <si>
    <t>Shantou|China|116.678337|23.360001|8.00|118</t>
  </si>
  <si>
    <t>Shaoguan|China|113.583336|24.799999|8.00|120</t>
  </si>
  <si>
    <t>Shaoxing|China|120.581108|30.001667|8.00|118</t>
  </si>
  <si>
    <t>Shashi|China|112.244720|30.307222|8.00|120</t>
  </si>
  <si>
    <t>Shenzhen|China|114.068298|22.545538|8.00|120</t>
  </si>
  <si>
    <t>Shijiazhuang|China|114.478615|38.041389|8.00|118</t>
  </si>
  <si>
    <t>Tongchuan|China|109.089722|35.080555|8.00|120</t>
  </si>
  <si>
    <t>Shiqi|China|113.366112|22.517500|8.00|120</t>
  </si>
  <si>
    <t>Shiyan|China|110.783333|32.566666|8.00|120</t>
  </si>
  <si>
    <t>Shiyan|China|110.778053|32.647499|8.00|120</t>
  </si>
  <si>
    <t>Suizhou|China|113.363052|31.711111|8.00|120</t>
  </si>
  <si>
    <t>Suzhou|China|116.978889|33.636112|8.00|118</t>
  </si>
  <si>
    <t>Tai'an|China|117.120003|36.185276|8.00|118</t>
  </si>
  <si>
    <t>Taiyuan|China|112.560280|37.869446|8.00|120</t>
  </si>
  <si>
    <t>Taizhou|China|119.908058|32.493332|8.00|118</t>
  </si>
  <si>
    <t>Tanggu|China|117.646942|39.021111|8.00|118</t>
  </si>
  <si>
    <t>Tangshan|China|118.183334|39.633335|8.00|119</t>
  </si>
  <si>
    <t>Tianjin|China|117.176666|39.142223|8.00|118</t>
  </si>
  <si>
    <t>Tongling|China|117.783333|30.950001|8.00|118</t>
  </si>
  <si>
    <t>Wafangdian|China|122.008057|39.618332|8.00|119</t>
  </si>
  <si>
    <t>Weifang|China|119.101944|36.709999|8.00|118</t>
  </si>
  <si>
    <t>Wenzhou|China|120.654442|28.019167|8.00|118</t>
  </si>
  <si>
    <t>Wuhai|China|106.812225|39.664722|8.00|120</t>
  </si>
  <si>
    <t>Wuhan|China|114.266670|30.583334|8.00|118</t>
  </si>
  <si>
    <t>Wuhu|China|118.366669|31.350000|8.00|118</t>
  </si>
  <si>
    <t>Changde|China|111.678055|29.032223|8.00|120</t>
  </si>
  <si>
    <t>Wuxi|China|120.293892|31.577223|8.00|118</t>
  </si>
  <si>
    <t>Wuxue|China|115.550003|29.850000|8.00|118</t>
  </si>
  <si>
    <t>Wuzhou|China|111.316666|23.483334|8.00|120</t>
  </si>
  <si>
    <t>Xiamen|China|118.093056|24.467501|8.00|118</t>
  </si>
  <si>
    <t>Xi'an|China|108.928612|34.258335|8.00|120</t>
  </si>
  <si>
    <t>Xiangfan|China|112.144997|32.041668|8.00|120</t>
  </si>
  <si>
    <t>Xiangtan|China|112.900002|27.850000|8.00|120</t>
  </si>
  <si>
    <t>Zhuhai|China|113.567780|22.276945|8.00|120</t>
  </si>
  <si>
    <t>Xiantao|China|113.400002|30.383333|8.00|120</t>
  </si>
  <si>
    <t>Xianyang|China|108.714722|34.345554|8.00|120</t>
  </si>
  <si>
    <t>Xingtai|China|114.494164|37.063057|8.00|118</t>
  </si>
  <si>
    <t>Xining|China|101.766670|36.616665|8.00|120</t>
  </si>
  <si>
    <t>Xinpu|China|119.159447|34.599724|8.00|118</t>
  </si>
  <si>
    <t>Xintai|China|117.751945|35.900555|8.00|118</t>
  </si>
  <si>
    <t>Xinxiang|China|113.867226|35.308887|8.00|118</t>
  </si>
  <si>
    <t>Xinyang|China|114.065559|32.122776|8.00|118</t>
  </si>
  <si>
    <t>Xuchang|China|113.816666|34.016666|8.00|118</t>
  </si>
  <si>
    <t>Xuri|China|117.966667|28.466667|8.00|118</t>
  </si>
  <si>
    <t>Xuzhou|China|117.191666|34.266945|8.00|118</t>
  </si>
  <si>
    <t>Yancheng|China|120.125275|33.385555|8.00|118</t>
  </si>
  <si>
    <t>Yangquan|China|113.563332|37.857498|8.00|118</t>
  </si>
  <si>
    <t>Yangzhou|China|119.435837|32.397221|8.00|118</t>
  </si>
  <si>
    <t>Yantai|China|121.400002|37.533333|8.00|118</t>
  </si>
  <si>
    <t>Yibin|China|104.566666|28.766666|8.00|120</t>
  </si>
  <si>
    <t>Yichang|China|111.284721|30.714445|8.00|120</t>
  </si>
  <si>
    <t>Yinchuan|China|106.273056|38.468056|8.00|120</t>
  </si>
  <si>
    <t>Yingcheng|China|113.550003|30.950001|8.00|120</t>
  </si>
  <si>
    <t>Yuci|China|112.731941|37.680279|8.00|120</t>
  </si>
  <si>
    <t>Yuncheng|China|110.992775|35.023056|8.00|120</t>
  </si>
  <si>
    <t>Yunfu|China|112.033333|22.933332|8.00|120</t>
  </si>
  <si>
    <t>Anyang|China|114.328888|36.099445|8.00|118</t>
  </si>
  <si>
    <t>Zibo|China|118.063332|36.790554|8.00|118</t>
  </si>
  <si>
    <t>Zhangzhou|China|117.655556|24.513332|8.00|118</t>
  </si>
  <si>
    <t>Zhanjiang|China|110.383331|21.200001|8.00|120</t>
  </si>
  <si>
    <t>Zhaoqing|China|112.449997|23.049999|8.00|120</t>
  </si>
  <si>
    <t>Zhengzhou|China|113.648613|34.757778|8.00|118</t>
  </si>
  <si>
    <t>Zhenjiang|China|119.434166|32.209167|8.00|118</t>
  </si>
  <si>
    <t>Zhoukou|China|114.633331|33.633335|8.00|118</t>
  </si>
  <si>
    <t>Zhumadian|China|114.029442|32.979443|8.00|118</t>
  </si>
  <si>
    <t>Zhuzhou|China|113.150002|27.833334|8.00|120</t>
  </si>
  <si>
    <t>Zigong|China|104.783333|29.400000|8.00|120</t>
  </si>
  <si>
    <t>Zunyi|China|106.907219|27.686666|8.00|120</t>
  </si>
  <si>
    <t>Aksu|China|80.264442|41.123055|8.00|122</t>
  </si>
  <si>
    <t>Aral|China|81.263611|40.515556|8.00|122</t>
  </si>
  <si>
    <t>Shihezi|China|86.033333|44.299999|8.00|121</t>
  </si>
  <si>
    <t>Turpan|China|89.166664|42.933334|8.00|121</t>
  </si>
  <si>
    <t>Urumqi|China|87.583336|43.799999|8.00|121</t>
  </si>
  <si>
    <t>Kashi|China|75.979721|39.454723|8.00|122</t>
  </si>
  <si>
    <t>Lhasa|China|91.099998|29.650000|8.00|120</t>
  </si>
  <si>
    <t>Shache|China|77.240555|38.416668|8.00|122</t>
  </si>
  <si>
    <t>Suzhou|China|98.566666|39.766666|8.00|121</t>
  </si>
  <si>
    <t>Bafoussam|Cameroon|10.416667|5.466667|1.00|117</t>
  </si>
  <si>
    <t>Bamenda|Cameroon|10.166667|5.933333|1.00|117</t>
  </si>
  <si>
    <t>Bertoua|Cameroon|13.683333|4.583333|1.00|117</t>
  </si>
  <si>
    <t>Douala|Cameroon|9.700000|4.050278|1.00|117</t>
  </si>
  <si>
    <t>Edea|Cameroon|10.133333|3.800000|1.00|117</t>
  </si>
  <si>
    <t>Garoua|Cameroon|13.400000|9.300000|1.00|117</t>
  </si>
  <si>
    <t>Kousseri|Cameroon|15.030833|12.078333|1.00|117</t>
  </si>
  <si>
    <t>Maroua|Cameroon|14.324722|10.595555|1.00|117</t>
  </si>
  <si>
    <t>Mokolo|Cameroon|13.802778|10.740278|1.00|117</t>
  </si>
  <si>
    <t>Ngaoundere|Cameroon|13.583333|7.316667|1.00|117</t>
  </si>
  <si>
    <t>Yaounde|Cameroon|11.516666|3.866667|1.00|117</t>
  </si>
  <si>
    <t>Yokadouma|Cameroon|15.050000|3.516667|1.00|117</t>
  </si>
  <si>
    <t>Yoko|Cameroon|12.316667|5.533333|1.00|117</t>
  </si>
  <si>
    <t>Antofagasta|Chile|-70.400002|-23.650000|-4.00|115</t>
  </si>
  <si>
    <t>Concepcion|Chile|-73.050003|-36.833332|-4.00|115</t>
  </si>
  <si>
    <t>Iquique|Chile|-70.166664|-20.216667|-4.00|115</t>
  </si>
  <si>
    <t>vina causino|Chile|-70.583336|-33.616665|-4.00|115</t>
  </si>
  <si>
    <t>Rancagua|Chile|-70.750000|-34.166668|-4.00|115</t>
  </si>
  <si>
    <t>San Bernardo|Chile|-70.716667|-33.599998|-4.00|115</t>
  </si>
  <si>
    <t>Santiago|Chile|-70.666664|-33.450001|-4.00|115</t>
  </si>
  <si>
    <t>Talcahuano|Chile|-73.116669|-36.716667|-4.00|115</t>
  </si>
  <si>
    <t>Temuco|Chile|-72.599998|-38.733334|-4.00|115</t>
  </si>
  <si>
    <t>Valparaiso|Chile|-71.601112|-33.047779|-4.00|115</t>
  </si>
  <si>
    <t>Villarrica|Chile|-72.216667|-39.266666|-4.00|115</t>
  </si>
  <si>
    <t>Vina del Mar|Chile|-71.519722|-33.008057|-4.00|115</t>
  </si>
  <si>
    <t>Yumbel|Chile|-72.566666|-37.083332|-4.00|115</t>
  </si>
  <si>
    <t>Avarua|Cook Islands|-159.774994|-21.207777|-10.00|114</t>
  </si>
  <si>
    <t>Abidjan|Ivory Coast|-4.028056|5.341111|0.00|113</t>
  </si>
  <si>
    <t>Abobo|Ivory Coast|-4.020555|5.418889|0.00|113</t>
  </si>
  <si>
    <t>Bouake|Ivory Coast|-5.033056|7.683333|0.00|113</t>
  </si>
  <si>
    <t>Daloa|Ivory Coast|-6.451944|6.874722|0.00|113</t>
  </si>
  <si>
    <t>Vavoua|Ivory Coast|-6.477778|7.381944|0.00|113</t>
  </si>
  <si>
    <t>Yamoussoukro|Ivory Coast|-5.283333|6.816667|0.00|113</t>
  </si>
  <si>
    <t>Zuenoula|Ivory Coast|-6.043056|7.429167|0.00|113</t>
  </si>
  <si>
    <t>Zuchwil|Switzerland|7.566490|47.201725|1.00|112</t>
  </si>
  <si>
    <t>Zug|Switzerland|8.516666|47.166668|1.00|112</t>
  </si>
  <si>
    <t>Zurich|Switzerland|8.550000|47.366665|1.00|112</t>
  </si>
  <si>
    <t>Brazzaville|Congo|15.284722|-4.259167|1.00|111</t>
  </si>
  <si>
    <t>Owando|Congo|15.908055|-0.486944|1.00|111</t>
  </si>
  <si>
    <t>Pointe-Noire|Congo|11.846111|-4.794722|1.00|111</t>
  </si>
  <si>
    <t>Sibiti|Congo|13.345833|-3.685833|1.00|111</t>
  </si>
  <si>
    <t>Bangui|Central African Republic|18.583334|4.366667|1.00|110</t>
  </si>
  <si>
    <t>Obo|Central African Republic|26.500000|5.400000|1.00|110</t>
  </si>
  <si>
    <t>Ouadda|Central African Republic|22.400000|8.066667|1.00|110</t>
  </si>
  <si>
    <t>Rafai|Central African Republic|23.916666|4.950000|1.00|110</t>
  </si>
  <si>
    <t>Masina|Democratic Republic of the Congo|15.391389|-4.383611|1.00|108</t>
  </si>
  <si>
    <t>Kinshasa|Democratic Republic of the Congo|15.315000|-4.329722|1.00|108</t>
  </si>
  <si>
    <t>Kolwezi|Democratic Republic of the Congo|25.472500|-10.716667|2.00|109</t>
  </si>
  <si>
    <t>Likasi|Democratic Republic of the Congo|26.733334|-10.981389|2.00|109</t>
  </si>
  <si>
    <t>Lubumbashi|Democratic Republic of the Congo|27.466667|-11.666667|2.00|109</t>
  </si>
  <si>
    <t>Bukavu|Democratic Republic of the Congo|28.860834|-2.508333|2.00|109</t>
  </si>
  <si>
    <t>Kananga|Democratic Republic of the Congo|22.417778|-5.895833|2.00|109</t>
  </si>
  <si>
    <t>Kisangani|Democratic Republic of the Congo|25.200001|0.516667|2.00|109</t>
  </si>
  <si>
    <t>Mbuji-Mayi|Democratic Republic of the Congo|23.600000|-6.150000|2.00|109</t>
  </si>
  <si>
    <t>Tshikapa|Democratic Republic of the Congo|20.799999|-6.416667|2.00|109</t>
  </si>
  <si>
    <t>Wamba|Democratic Republic of the Congo|28.000000|2.150000|2.00|109</t>
  </si>
  <si>
    <t>Watsa|Democratic Republic of the Congo|29.533333|3.050000|2.00|109</t>
  </si>
  <si>
    <t>Yangambi|Democratic Republic of the Congo|24.466667|0.783333|2.00|109</t>
  </si>
  <si>
    <t>Quebec|Canada|-71.214539|46.812279|-5.00|86</t>
  </si>
  <si>
    <t>Halifax|Canada|-63.596848|44.651985|-4.00|81</t>
  </si>
  <si>
    <t>Winnipeg|Canada|-97.147041|49.884399|-6.00|95</t>
  </si>
  <si>
    <t>Windsor|Canada|-83.016541|42.300083|-5.00|87</t>
  </si>
  <si>
    <t>Victoria|Canada|-123.369301|48.432938|-8.00|104</t>
  </si>
  <si>
    <t>Vancouver|Canada|-123.119339|49.249657|-8.00|104</t>
  </si>
  <si>
    <t>Toronto|Canada|-79.416306|43.700115|-5.00|87</t>
  </si>
  <si>
    <t>Ottawa|Canada|-75.690285|45.420940|-5.00|86</t>
  </si>
  <si>
    <t>Oshawa|Canada|-78.849571|43.900120|-5.00|87</t>
  </si>
  <si>
    <t>Montreal|Canada|-73.649178|45.516781|-5.00|86</t>
  </si>
  <si>
    <t>London|Canada|-81.233040|42.983391|-5.00|87</t>
  </si>
  <si>
    <t>Kitchener|Canada|-80.482986|43.450096|-5.00|87</t>
  </si>
  <si>
    <t>Hamilton|Canada|-79.949638|43.233410|-5.00|87</t>
  </si>
  <si>
    <t>Edmonton|Canada|-113.468712|53.550137|-7.00|99</t>
  </si>
  <si>
    <t>Calgary|Canada|-114.085281|51.050114|-7.00|99</t>
  </si>
  <si>
    <t>Airdrie|Canada|-114.035286|51.300114|-7.00|99</t>
  </si>
  <si>
    <t>Acton Vale|Canada|-72.565819|45.650070|-5.00|86</t>
  </si>
  <si>
    <t>Abbotsford|Canada|-122.252571|49.057976|-8.00|104</t>
  </si>
  <si>
    <t>Punta Gorda|Belize|-88.800003|16.100000|-6.00|79</t>
  </si>
  <si>
    <t>San Ignacio|Belize|-89.071388|17.156111|-6.00|79</t>
  </si>
  <si>
    <t>San Pedro|Belize|-87.949997|17.916666|-6.00|79</t>
  </si>
  <si>
    <t>Babruysk|Belarus|29.233334|53.150002|2.00|78</t>
  </si>
  <si>
    <t>Brest|Belarus|23.700001|52.099998|2.00|78</t>
  </si>
  <si>
    <t>Homyel'|Belarus|30.983334|52.441666|2.00|78</t>
  </si>
  <si>
    <t>Hrodna|Belarus|23.814722|53.681389|2.00|78</t>
  </si>
  <si>
    <t>Minsk|Belarus|27.566668|53.900002|2.00|78</t>
  </si>
  <si>
    <t>Zhabinka|Belarus|24.023333|52.200554|2.00|78</t>
  </si>
  <si>
    <t>Zhytkavichy|Belarus|27.863611|52.228611|2.00|78</t>
  </si>
  <si>
    <t>Zhodzina|Belarus|28.332500|54.098331|2.00|78</t>
  </si>
  <si>
    <t>Gaborone|Botswana|25.911945|-24.646389|2.00|77</t>
  </si>
  <si>
    <t>Shakawe|Botswana|21.850000|-18.366667|2.00|77</t>
  </si>
  <si>
    <t>Thamaga|Botswana|25.533333|-24.716667|2.00|77</t>
  </si>
  <si>
    <t>Tonota|Botswana|27.483334|-21.483334|2.00|77</t>
  </si>
  <si>
    <t>Phuntsholing|Bhutan|89.383331|26.850000|6.00|76</t>
  </si>
  <si>
    <t>Marsh Harbour|Bahamas|-77.050003|26.549999|-5.00|75</t>
  </si>
  <si>
    <t>Nassau|Bahamas|-77.349998|25.083334|-5.00|75</t>
  </si>
  <si>
    <t>West End|Bahamas|-78.966667|26.683332|-5.00|75</t>
  </si>
  <si>
    <t>Jaboatao dos Guararapes|Brazil|-35.014721|-8.112778|-3.00|63</t>
  </si>
  <si>
    <t>Boa Vista|Brazil|-60.673332|2.819722|-4.00|71</t>
  </si>
  <si>
    <t>Manaus|Brazil|-60.025002|-3.101944|-4.00|72</t>
  </si>
  <si>
    <t>Porto Velho|Brazil|-63.903889|-8.761945|-4.00|70</t>
  </si>
  <si>
    <t>Rio Branco|Brazil|-67.809998|-9.974722|-5.00|74</t>
  </si>
  <si>
    <t>Aracaju|Brazil|-37.071667|-10.911111|-3.00|65</t>
  </si>
  <si>
    <t>Campo Grande|Brazil|-54.646389|-20.442778|-3.00|68</t>
  </si>
  <si>
    <t>Cuiaba|Brazil|-56.096668|-15.596111|-3.00|69</t>
  </si>
  <si>
    <t>Feira de Santana|Brazil|-38.966667|-12.266666|-3.00|66</t>
  </si>
  <si>
    <t>Itabuna|Brazil|-39.280277|-14.785556|-3.00|66</t>
  </si>
  <si>
    <t>Montes Claros|Brazil|-43.861668|-16.735001|-3.00|66</t>
  </si>
  <si>
    <t>Salvador|Brazil|-38.510834|-12.971111|-3.00|66</t>
  </si>
  <si>
    <t>Varzea Grande|Brazil|-56.132500|-15.646667|-3.00|69</t>
  </si>
  <si>
    <t>Vitoria da Conquista|Brazil|-40.839443|-14.866111|-3.00|66</t>
  </si>
  <si>
    <t>Ananindeua|Brazil|-48.372223|-1.365556|-3.00|61</t>
  </si>
  <si>
    <t>Belem|Brazil|-48.504444|-1.455833|-3.00|61</t>
  </si>
  <si>
    <t>Campina Grande|Brazil|-35.881111|-7.230556|-3.00|63</t>
  </si>
  <si>
    <t>Caruaru|Brazil|-35.976112|-8.283334|-3.00|63</t>
  </si>
  <si>
    <t>Caucaia|Brazil|-38.653057|-3.736111|-3.00|62</t>
  </si>
  <si>
    <t>Fortaleza|Brazil|-38.543056|-3.717222|-3.00|62</t>
  </si>
  <si>
    <t>Imperatriz|Brazil|-47.491665|-5.526389|-3.00|64</t>
  </si>
  <si>
    <t>Jaboatao|Brazil|-35.001389|-8.180278|-3.00|63</t>
  </si>
  <si>
    <t>Joao Pessoa|Brazil|-34.863056|-7.115000|-3.00|63</t>
  </si>
  <si>
    <t>Juazeiro do Norte|Brazil|-39.315277|-7.213056|-3.00|62</t>
  </si>
  <si>
    <t>Macapa|Brazil|-51.066387|0.038889|-3.00|61</t>
  </si>
  <si>
    <t>Maceio|Brazil|-35.735279|-9.665833|-3.00|65</t>
  </si>
  <si>
    <t>Mossoro|Brazil|-37.344166|-5.187500|-3.00|62</t>
  </si>
  <si>
    <t>Natal|Brazil|-35.209446|-5.795000|-3.00|63</t>
  </si>
  <si>
    <t>Olinda|Brazil|-34.855278|-8.008889|-3.00|63</t>
  </si>
  <si>
    <t>Paulista|Brazil|-34.873055|-7.940834|-3.00|63</t>
  </si>
  <si>
    <t>Recife|Brazil|-34.881111|-8.053889|-3.00|63</t>
  </si>
  <si>
    <t>Sao Luis|Brazil|-44.302776|-2.529722|-3.00|61</t>
  </si>
  <si>
    <t>Teresina|Brazil|-42.801945|-5.089167|-3.00|62</t>
  </si>
  <si>
    <t>Vitoria de Santo Antao|Brazil|-35.291389|-8.118055|-3.00|63</t>
  </si>
  <si>
    <t>Vitoria do Mearim|Brazil|-44.870556|-3.462222|-3.00|61</t>
  </si>
  <si>
    <t>Vitorino Freire|Brazil|-45.166668|-4.066667|-3.00|61</t>
  </si>
  <si>
    <t>Cochabamba|Bolivia|-66.150002|-17.383333|-4.00|59</t>
  </si>
  <si>
    <t>La Paz|Bolivia|-68.150002|-16.500000|-4.00|59</t>
  </si>
  <si>
    <t>Oruro|Bolivia|-67.150002|-17.983334|-4.00|59</t>
  </si>
  <si>
    <t>Santa Cruz de la Sierra|Bolivia|-63.166668|-17.799999|-4.00|59</t>
  </si>
  <si>
    <t>Sucre|Bolivia|-65.259163|-19.043056|-4.00|59</t>
  </si>
  <si>
    <t>Puerto Quijarro|Bolivia|-57.766666|-17.783333|-4.00|59</t>
  </si>
  <si>
    <t>Robore|Bolivia|-59.750000|-18.333334|-4.00|59</t>
  </si>
  <si>
    <t>San Matias|Bolivia|-58.400002|-16.366667|-4.00|59</t>
  </si>
  <si>
    <t>Kuala Belait|Brunei|114.183334|4.583333|8.00|58</t>
  </si>
  <si>
    <t>Seria|Brunei|114.316666|4.616667|8.00|58</t>
  </si>
  <si>
    <t>Tutong|Brunei|114.650002|4.800000|8.00|58</t>
  </si>
  <si>
    <t>Gustavia|Guadeloupe|-62.849998|17.883333|-4.00|168</t>
  </si>
  <si>
    <t>Abomey-Calavi|Benin|2.350000|6.450000|1.00|55</t>
  </si>
  <si>
    <t>Cotonou|Benin|2.433333|6.350000|1.00|55</t>
  </si>
  <si>
    <t>Djougou|Benin|1.666944|9.705000|1.00|55</t>
  </si>
  <si>
    <t>Porto-Novo|Benin|2.616667|6.483333|1.00|55</t>
  </si>
  <si>
    <t>Save|Benin|2.483333|8.033333|1.00|55</t>
  </si>
  <si>
    <t>Tanguieta|Benin|1.264444|10.619722|1.00|55</t>
  </si>
  <si>
    <t>Tchaourou|Benin|2.600000|8.883333|1.00|55</t>
  </si>
  <si>
    <t>Bujumbura|Burundi|29.360001|-3.376111|2.00|54</t>
  </si>
  <si>
    <t>Rumonge|Burundi|29.438889|-3.972222|2.00|54</t>
  </si>
  <si>
    <t>Bururi|Burundi|29.624376|-3.948773|2.00|54</t>
  </si>
  <si>
    <t>Makamba|Burundi|29.805000|-4.134722|2.00|54</t>
  </si>
  <si>
    <t>Jidd Hafs|Bahrain|50.547779|26.218611|3.00|53</t>
  </si>
  <si>
    <t>Madinat `Isa|Bahrain|50.547779|26.173611|3.00|53</t>
  </si>
  <si>
    <t>Sitrah|Bahrain|50.620556|26.154722|3.00|53</t>
  </si>
  <si>
    <t>Plovdiv|Bulgaria|24.750000|42.150002|2.00|52</t>
  </si>
  <si>
    <t>Sofia|Bulgaria|23.324146|42.697514|2.00|52</t>
  </si>
  <si>
    <t>Varna|Bulgaria|27.916666|43.216667|2.00|52</t>
  </si>
  <si>
    <t>Zlatitsa|Bulgaria|24.133333|42.716667|2.00|52</t>
  </si>
  <si>
    <t>Zlatograd|Bulgaria|25.100000|41.383335|2.00|52</t>
  </si>
  <si>
    <t>Beloslav|Bulgaria|27.700001|43.183334|2.00|52</t>
  </si>
  <si>
    <t>Bobo Dioulasso|Burkina Faso|-4.300000|11.200000|0.00|51</t>
  </si>
  <si>
    <t>Ouagadougou|Burkina Faso|-1.524722|12.370277|0.00|51</t>
  </si>
  <si>
    <t>Yako|Burkina Faso|-2.266667|12.966667|0.00|51</t>
  </si>
  <si>
    <t>Ziniare|Burkina Faso|-1.298333|12.582222|0.00|51</t>
  </si>
  <si>
    <t>Zorgho|Burkina Faso|-0.615833|12.248889|0.00|51</t>
  </si>
  <si>
    <t>Antwerp|Belgium|4.416667|51.216667|1.00|50</t>
  </si>
  <si>
    <t>Brussels|Belgium|4.352775|50.846596|1.00|50</t>
  </si>
  <si>
    <t>Charleroi|Belgium|4.433333|50.416668|1.00|50</t>
  </si>
  <si>
    <t>Gent|Belgium|3.716667|51.049999|1.00|50</t>
  </si>
  <si>
    <t>Zutendaal|Belgium|5.566667|50.933334|1.00|50</t>
  </si>
  <si>
    <t>Zwevegem|Belgium|3.333333|50.799999|1.00|50</t>
  </si>
  <si>
    <t>Zwijndrecht|Belgium|4.333333|51.216667|1.00|50</t>
  </si>
  <si>
    <t>Jessore|Bangladesh|89.216667|23.166666|6.00|49</t>
  </si>
  <si>
    <t>Barisal|Bangladesh|90.371109|22.701944|6.00|49</t>
  </si>
  <si>
    <t>Khulna|Bangladesh|89.550003|22.799999|6.00|49</t>
  </si>
  <si>
    <t>Cox's Bazar|Bangladesh|91.978058|21.442223|6.00|49</t>
  </si>
  <si>
    <t>Chittagong|Bangladesh|91.836388|22.333055|6.00|49</t>
  </si>
  <si>
    <t>Dinajpur|Bangladesh|88.633331|25.633333|6.00|49</t>
  </si>
  <si>
    <t>Dhaka|Bangladesh|90.408607|23.723055|6.00|49</t>
  </si>
  <si>
    <t>Rangpur|Bangladesh|89.250000|25.750000|6.00|49</t>
  </si>
  <si>
    <t>Comilla|Bangladesh|91.204445|23.457777|6.00|49</t>
  </si>
  <si>
    <t>Mymensingh|Bangladesh|90.400002|24.750000|6.00|49</t>
  </si>
  <si>
    <t>Narayanganj|Bangladesh|90.501114|23.623333|6.00|49</t>
  </si>
  <si>
    <t>Rajshahi|Bangladesh|88.599998|24.366667|6.00|49</t>
  </si>
  <si>
    <t>Narsingdi|Bangladesh|90.718056|23.920834|6.00|49</t>
  </si>
  <si>
    <t>Sylhet|Bangladesh|91.871666|24.896667|6.00|49</t>
  </si>
  <si>
    <t>Tungi|Bangladesh|90.405830|23.889999|6.00|49</t>
  </si>
  <si>
    <t>Teknaf|Bangladesh|92.300003|20.866667|6.00|49</t>
  </si>
  <si>
    <t>Thakurgaon|Bangladesh|88.466667|26.033333|6.00|49</t>
  </si>
  <si>
    <t>Bridgetown|Barbados|-59.616665|13.100000|-4.00|48</t>
  </si>
  <si>
    <t>Banja Luka|Bosnia and Herzegovina|17.185556|44.775833|1.00|47</t>
  </si>
  <si>
    <t>Sarajevo|Bosnia and Herzegovina|18.383333|43.849998|1.00|47</t>
  </si>
  <si>
    <t>Zepce|Bosnia and Herzegovina|18.037777|44.426666|1.00|47</t>
  </si>
  <si>
    <t>Zivinice|Bosnia and Herzegovina|18.649723|44.449444|1.00|47</t>
  </si>
  <si>
    <t>Zvornik|Bosnia and Herzegovina|19.101389|44.386944|1.00|47</t>
  </si>
  <si>
    <t>Baku|Azerbaijan|49.882221|40.395279|4.00|46</t>
  </si>
  <si>
    <t>Ganca|Azerbaijan|46.360554|40.682777|4.00|46</t>
  </si>
  <si>
    <t>Sumqayit|Azerbaijan|49.668610|40.589722|4.00|46</t>
  </si>
  <si>
    <t>Xocavand|Azerbaijan|47.113056|39.795277|4.00|46</t>
  </si>
  <si>
    <t>Icari|Azerbaijan|46.654999|39.082222|4.00|46</t>
  </si>
  <si>
    <t>Goytapa|Azerbaijan|48.595280|39.116665|4.00|46</t>
  </si>
  <si>
    <t>Oranjestad|Aruba|-70.033333|12.516666|-4.00|44</t>
  </si>
  <si>
    <t>Brisbane|Australia|153.016663|-27.500000|10.00|38</t>
  </si>
  <si>
    <t>Canberra|Australia|149.128067|-35.283463|10.00|36</t>
  </si>
  <si>
    <t>Wollongong|Australia|150.883331|-34.433334|10.00|36</t>
  </si>
  <si>
    <t>Melbourne|Australia|144.963318|-37.813995|10.00|35</t>
  </si>
  <si>
    <t>Newcastle|Australia|151.750000|-32.916668|10.00|36</t>
  </si>
  <si>
    <t>Murwilumbah|Australia|153.394592|-28.329203|10.00|36</t>
  </si>
  <si>
    <t>Sydney|Australia|151.207321|-33.867851|10.00|36</t>
  </si>
  <si>
    <t>Adelaide|Australia|138.600006|-34.933334|9.50|40</t>
  </si>
  <si>
    <t>Perth|Australia|115.833336|-31.933332|8.00|42</t>
  </si>
  <si>
    <t>Roebourne|Australia|117.133331|-20.783333|8.00|42</t>
  </si>
  <si>
    <t>Victor Harbour|Australia|138.616669|-35.566666|9.50|40</t>
  </si>
  <si>
    <t>Whyalla|Australia|137.583328|-33.033333|9.50|40</t>
  </si>
  <si>
    <t>Graz|Austria|15.450000|47.066666|1.00|31</t>
  </si>
  <si>
    <t>Wien|Austria|16.372076|48.208488|1.00|31</t>
  </si>
  <si>
    <t>Zistersdorf|Austria|16.750000|48.533333|1.00|31</t>
  </si>
  <si>
    <t>Zwettl Stift|Austria|15.200000|48.616665|1.00|31</t>
  </si>
  <si>
    <t>Neu-Guntramsdorf|Austria|16.316668|48.066666|1.00|31</t>
  </si>
  <si>
    <t>Tafuna|American Samoa|-170.720001|-14.335830|-11.00|30</t>
  </si>
  <si>
    <t>Bahia Blanca|Argentina|-62.283333|-38.716667|-3.00|20</t>
  </si>
  <si>
    <t>Cordoba|Argentina|-64.183334|-31.400000|-3.00|21</t>
  </si>
  <si>
    <t>Mendoza|Argentina|-68.816666|-32.883335|-3.00|27</t>
  </si>
  <si>
    <t>Neuquen|Argentina|-68.066666|-38.950001|-3.00|27</t>
  </si>
  <si>
    <t>Parana|Argentina|-60.533333|-31.733334|-3.00|21</t>
  </si>
  <si>
    <t>Rosario|Argentina|-60.666389|-32.951111|-3.00|20</t>
  </si>
  <si>
    <t>Salta|Argentina|-65.416664|-24.783333|-3.00|22</t>
  </si>
  <si>
    <t>San Juan|Argentina|-68.536392|-31.537500|-3.00|26</t>
  </si>
  <si>
    <t>San Miguel de Tucuman|Argentina|-65.216667|-26.816668|-3.00|23</t>
  </si>
  <si>
    <t>San Salvador de Jujuy|Argentina|-65.300003|-24.183332|-3.00|22</t>
  </si>
  <si>
    <t>Santa Fe|Argentina|-60.700001|-31.633333|-3.00|21</t>
  </si>
  <si>
    <t>Santiago del Estero|Argentina|-64.266670|-27.783333|-3.00|23</t>
  </si>
  <si>
    <t>Buenos Aires|Argentina|-58.408813|-34.576126|-3.00|20</t>
  </si>
  <si>
    <t>Corrientes|Argentina|-58.833332|-27.466667|-3.00|23</t>
  </si>
  <si>
    <t>Formosa|Argentina|-58.183334|-26.183332|-3.00|23</t>
  </si>
  <si>
    <t>La Plata|Argentina|-57.948891|-34.931389|-3.00|20</t>
  </si>
  <si>
    <t>Mar del Plata|Argentina|-57.549999|-38.000000|-3.00|20</t>
  </si>
  <si>
    <t>Posadas|Argentina|-55.883335|-27.383333|-3.00|20</t>
  </si>
  <si>
    <t>Quilmes|Argentina|-58.269444|-34.720280|-3.00|20</t>
  </si>
  <si>
    <t>Resistencia|Argentina|-58.983334|-27.450001|-3.00|23</t>
  </si>
  <si>
    <t>San Lorenzo|Argentina|-58.766666|-28.133333|-3.00|21</t>
  </si>
  <si>
    <t>Tandil|Argentina|-59.150002|-37.316666|-3.00|20</t>
  </si>
  <si>
    <t>Zarate|Argentina|-59.035000|-34.092220|-3.00|20</t>
  </si>
  <si>
    <t>Huambo|Angola|15.739166|-12.776111|1.00|9</t>
  </si>
  <si>
    <t>Lobito|Angola|13.545556|-12.348056|1.00|9</t>
  </si>
  <si>
    <t>Luanda|Angola|13.234445|-8.838333|1.00|9</t>
  </si>
  <si>
    <t>Luau|Angola|22.233334|-10.700000|1.00|9</t>
  </si>
  <si>
    <t>Lucapa|Angola|20.750000|-8.416667|1.00|9</t>
  </si>
  <si>
    <t>Saurimo|Angola|20.400000|-9.650000|1.00|9</t>
  </si>
  <si>
    <t>Cul de Sac|Curacao|-63.066666|18.033333|-4.00|8</t>
  </si>
  <si>
    <t>Sint Michiel Liber|Curacao|-68.983330|12.150000|-4.00|8</t>
  </si>
  <si>
    <t>Willemstad|Curacao|-68.916664|12.100000|-4.00|8</t>
  </si>
  <si>
    <t>Yerevan|Armenia|44.513611|40.181110|4.00|7</t>
  </si>
  <si>
    <t>Kapan|Armenia|46.415001|39.201111|4.00|7</t>
  </si>
  <si>
    <t>Vayk'|Armenia|45.465279|39.691666|4.00|7</t>
  </si>
  <si>
    <t>Vedi|Armenia|44.727779|39.910557|4.00|7</t>
  </si>
  <si>
    <t>Tirana|Albania|19.818890|41.327499|1.00|6</t>
  </si>
  <si>
    <t>Polican|Albania|20.098055|40.612221|1.00|6</t>
  </si>
  <si>
    <t>Tepelene|Albania|20.019167|40.295834|1.00|6</t>
  </si>
  <si>
    <t>Sarande|Albania|20.005278|39.875557|1.00|6</t>
  </si>
  <si>
    <t>Saint John's|Antigua|-61.849998|17.116667|-4.00|4</t>
  </si>
  <si>
    <t>Herat|Afghanistan|62.189999|34.340000|4.50|3</t>
  </si>
  <si>
    <t>Jalalabad|Afghanistan|70.449997|34.419998|4.50|3</t>
  </si>
  <si>
    <t>Kabul|Afghanistan|69.183334|34.516666|4.50|3</t>
  </si>
  <si>
    <t>Kandahar|Afghanistan|65.699997|31.610001|4.50|3</t>
  </si>
  <si>
    <t>Mazar-e Sharif|Afghanistan|67.112221|36.706944|4.50|3</t>
  </si>
  <si>
    <t>Zendeh Jan|Afghanistan|61.731667|34.345554|4.50|3</t>
  </si>
  <si>
    <t>Tokzar|Afghanistan|66.419998|35.948891|4.50|3</t>
  </si>
  <si>
    <t>Kuhestan|Afghanistan|61.197777|34.653889|4.50|3</t>
  </si>
  <si>
    <t>Abu Dhabi|United Arab Emirates|54.366665|24.466667|4.00|2</t>
  </si>
  <si>
    <t>Ajman|United Arab Emirates|55.435036|25.411106|4.00|2</t>
  </si>
  <si>
    <t>Al `Ayn|United Arab Emirates|55.760555|24.191668|4.00|2</t>
  </si>
  <si>
    <t>Sharjah|United Arab Emirates|55.391109|25.362223|4.00|2</t>
  </si>
  <si>
    <t>Dubai|United Arab Emirates|55.279999|25.252222|4.00|2</t>
  </si>
  <si>
    <t>Khawr Fakkan|United Arab Emirates|56.356110|25.339167|4.00|2</t>
  </si>
  <si>
    <t>Ra's al Khaymah|United Arab Emirates|55.942780|25.791111|4.00|2</t>
  </si>
  <si>
    <t>Umm al Qaywayn|United Arab Emirates|55.553333|25.565277|4.00|2</t>
  </si>
  <si>
    <t>la Massana|Andorra|1.514826|42.544987|1.00|1</t>
  </si>
  <si>
    <t>les Escaldes|Andorra|1.534138|42.507286|1.00|1</t>
  </si>
  <si>
    <t>Sant Julia de Loria|Andorra|1.491287|42.463722|1.00|1</t>
  </si>
  <si>
    <t>AF|Afghanistan|2</t>
  </si>
  <si>
    <t>AL|Albania|1</t>
  </si>
  <si>
    <t>DZ|Algeria|3</t>
  </si>
  <si>
    <t>AS|American Samoa|5</t>
  </si>
  <si>
    <t>AD|Andorra|1</t>
  </si>
  <si>
    <t>AO|Angola|3</t>
  </si>
  <si>
    <t>AG|Antigua|4</t>
  </si>
  <si>
    <t>AR|Argentina|4</t>
  </si>
  <si>
    <t>AM|Armenia|2</t>
  </si>
  <si>
    <t>AW|Aruba|4</t>
  </si>
  <si>
    <t>AU|Australia|0</t>
  </si>
  <si>
    <t>AT|Austria|1</t>
  </si>
  <si>
    <t>AZ|Azerbaijan|2</t>
  </si>
  <si>
    <t>BS|Bahamas|4</t>
  </si>
  <si>
    <t>BH|Bahrain|2</t>
  </si>
  <si>
    <t>BD|Bangladesh|2</t>
  </si>
  <si>
    <t>BB|Barbados|4</t>
  </si>
  <si>
    <t>BY|Belarus|1</t>
  </si>
  <si>
    <t>BE|Belgium|1</t>
  </si>
  <si>
    <t>BZ|Belize|4</t>
  </si>
  <si>
    <t>BJ|Benin|3</t>
  </si>
  <si>
    <t>BT|Bhutan|2</t>
  </si>
  <si>
    <t>BO|Bolivia|4</t>
  </si>
  <si>
    <t>BA|Bosnia and Herzegovina|1</t>
  </si>
  <si>
    <t>BW|Botswana|3</t>
  </si>
  <si>
    <t>BR|Brazil|4</t>
  </si>
  <si>
    <t>BN|Brunei|2</t>
  </si>
  <si>
    <t>BG|Bulgaria|1</t>
  </si>
  <si>
    <t>BF|Burkina Faso|3</t>
  </si>
  <si>
    <t>MM|Burma|2</t>
  </si>
  <si>
    <t>BI|Burundi|3</t>
  </si>
  <si>
    <t>KH|Cambodia|2</t>
  </si>
  <si>
    <t>CM|Cameroon|3</t>
  </si>
  <si>
    <t>CA|Canada|4</t>
  </si>
  <si>
    <t>CV|Cape Verde|7</t>
  </si>
  <si>
    <t>KY|Cauman|4</t>
  </si>
  <si>
    <t>CF|Central African Republic|3</t>
  </si>
  <si>
    <t>TD|Chad|3</t>
  </si>
  <si>
    <t>CL|Chile|4</t>
  </si>
  <si>
    <t>CN|China|2</t>
  </si>
  <si>
    <t>CO|Colombia|4</t>
  </si>
  <si>
    <t>KM|Comoro|6</t>
  </si>
  <si>
    <t>CG|Congo|3</t>
  </si>
  <si>
    <t>CK|Cook Islands|5</t>
  </si>
  <si>
    <t>CR|Costa Rica|4</t>
  </si>
  <si>
    <t>HR|Croatia|1</t>
  </si>
  <si>
    <t>CU|Cuba|4</t>
  </si>
  <si>
    <t>AN|Curacao|4</t>
  </si>
  <si>
    <t>CY|Cyprus|2</t>
  </si>
  <si>
    <t>CZ|Czech|1</t>
  </si>
  <si>
    <t>CD|Democratic Republic of the Congo|3</t>
  </si>
  <si>
    <t>DK|Denmark|1</t>
  </si>
  <si>
    <t>DJ|Djibouty|3</t>
  </si>
  <si>
    <t>DM|Dominica|4</t>
  </si>
  <si>
    <t>DO|Dominican Republic|4</t>
  </si>
  <si>
    <t>EC|Ecuador|4</t>
  </si>
  <si>
    <t>EG|Egypt|3</t>
  </si>
  <si>
    <t>SV|El Salvador|4</t>
  </si>
  <si>
    <t>GQ|Equatorial Guinea|3</t>
  </si>
  <si>
    <t>ER|Eritrea|3</t>
  </si>
  <si>
    <t>EE|Estonia|1</t>
  </si>
  <si>
    <t>ET|Ethiopia|3</t>
  </si>
  <si>
    <t>FO|Faroe|7</t>
  </si>
  <si>
    <t>FJ|Fiji|5</t>
  </si>
  <si>
    <t>FI|Finland|1</t>
  </si>
  <si>
    <t>FR|France|1</t>
  </si>
  <si>
    <t>GF|French Guiana|4</t>
  </si>
  <si>
    <t>GA|Gabon|3</t>
  </si>
  <si>
    <t>GM|Gambia|3</t>
  </si>
  <si>
    <t>PS|Gaza Strip|2</t>
  </si>
  <si>
    <t>GE|Georgia|2</t>
  </si>
  <si>
    <t>DE|Germany|1</t>
  </si>
  <si>
    <t>GH|Ghana|3</t>
  </si>
  <si>
    <t>GI|Gibraltar|1</t>
  </si>
  <si>
    <t>GR|Greece|1</t>
  </si>
  <si>
    <t>GL|Greenland|4</t>
  </si>
  <si>
    <t>BL|Guadeloupe|4</t>
  </si>
  <si>
    <t>GP|Guadeloupe|4</t>
  </si>
  <si>
    <t>GU|Guam|5</t>
  </si>
  <si>
    <t>GT|Guatemala|4</t>
  </si>
  <si>
    <t>GN|Guinea|3</t>
  </si>
  <si>
    <t>GW|Guinea-Bissau|3</t>
  </si>
  <si>
    <t>GY|Guyana|4</t>
  </si>
  <si>
    <t>HT|Haiti|4</t>
  </si>
  <si>
    <t>HN|Honduras|4</t>
  </si>
  <si>
    <t>HK|Hong Kong|2</t>
  </si>
  <si>
    <t>HU|Hungary|1</t>
  </si>
  <si>
    <t>IS|Iceland|7</t>
  </si>
  <si>
    <t>IN|India|2</t>
  </si>
  <si>
    <t>ID|Indonesia|2</t>
  </si>
  <si>
    <t>IR|Iran|2</t>
  </si>
  <si>
    <t>IQ|Iraq|2</t>
  </si>
  <si>
    <t>IE|Ireland|1</t>
  </si>
  <si>
    <t>IL|Israel|2</t>
  </si>
  <si>
    <t>IT|Italy|1</t>
  </si>
  <si>
    <t>CI|Ivory Coast|3</t>
  </si>
  <si>
    <t>JM|Jamaica|4</t>
  </si>
  <si>
    <t>JP|Japan|2</t>
  </si>
  <si>
    <t>JO|Jordan|2</t>
  </si>
  <si>
    <t>KZ|Kazakhstan|2</t>
  </si>
  <si>
    <t>KE|Kenya|3</t>
  </si>
  <si>
    <t>KI|Kiribati|5</t>
  </si>
  <si>
    <t>KW|Kuwait|2</t>
  </si>
  <si>
    <t>KG|Kyrgyzstan|2</t>
  </si>
  <si>
    <t>LA|Laos|2</t>
  </si>
  <si>
    <t>LV|Latvia|1</t>
  </si>
  <si>
    <t>LB|Lebanon|2</t>
  </si>
  <si>
    <t>LS|Lesotho|3</t>
  </si>
  <si>
    <t>TL|Lesser Sunda Islands|2</t>
  </si>
  <si>
    <t>LR|Liberia|3</t>
  </si>
  <si>
    <t>LY|Libya|3</t>
  </si>
  <si>
    <t>LI|Liechtenstein|1</t>
  </si>
  <si>
    <t>LT|Lithuania|1</t>
  </si>
  <si>
    <t>LU|Luxembourg|1</t>
  </si>
  <si>
    <t>MK|Macedonia|1</t>
  </si>
  <si>
    <t>MG|Madagascar|6</t>
  </si>
  <si>
    <t>SC|Mahe|6</t>
  </si>
  <si>
    <t>MW|Malawi|3</t>
  </si>
  <si>
    <t>MY|Malaysia|2</t>
  </si>
  <si>
    <t>MV|Maldives|6</t>
  </si>
  <si>
    <t>ML|Mali|3</t>
  </si>
  <si>
    <t>MT|Malta|1</t>
  </si>
  <si>
    <t>MH|Marshall Islands|5</t>
  </si>
  <si>
    <t>MQ|Martinique|4</t>
  </si>
  <si>
    <t>MR|Mauritania|3</t>
  </si>
  <si>
    <t>MU|Mauritius|6</t>
  </si>
  <si>
    <t>YT|Mayotte|6</t>
  </si>
  <si>
    <t>MX|Mexico|4</t>
  </si>
  <si>
    <t>PM|Miquelon|4</t>
  </si>
  <si>
    <t>MD|Moldova|1</t>
  </si>
  <si>
    <t>MC|Monaco|1</t>
  </si>
  <si>
    <t>MN|Mongolia|2</t>
  </si>
  <si>
    <t>ME|Montenegro|1</t>
  </si>
  <si>
    <t>MA|Morocco|3</t>
  </si>
  <si>
    <t>MZ|Mozambique|3</t>
  </si>
  <si>
    <t>NA|Nairobi|3</t>
  </si>
  <si>
    <t>NP|Nepal|2</t>
  </si>
  <si>
    <t>NL|Netherlands|1</t>
  </si>
  <si>
    <t>NC|New Caledonia|5</t>
  </si>
  <si>
    <t>NZ|New Zealand|5</t>
  </si>
  <si>
    <t>NI|Nicaragua|4</t>
  </si>
  <si>
    <t>NE|Niger|3</t>
  </si>
  <si>
    <t>NG|Nigeria|3</t>
  </si>
  <si>
    <t>KP|North Korea|2</t>
  </si>
  <si>
    <t>MP|Northern Mariana Islands|5</t>
  </si>
  <si>
    <t>NO|Norway|1</t>
  </si>
  <si>
    <t>OM|Oman|2</t>
  </si>
  <si>
    <t>PK|Pakistan|2</t>
  </si>
  <si>
    <t>PA|Panama|4</t>
  </si>
  <si>
    <t>PG|Papua New Guinea|5</t>
  </si>
  <si>
    <t>PY|Paraguay|4</t>
  </si>
  <si>
    <t>PE|Peru|4</t>
  </si>
  <si>
    <t>PH|Philippines|2</t>
  </si>
  <si>
    <t>PL|Poland|1</t>
  </si>
  <si>
    <t>FM|Ponape|5</t>
  </si>
  <si>
    <t>PT|Portugal|1</t>
  </si>
  <si>
    <t>PR|Puerto Rico|4</t>
  </si>
  <si>
    <t>QA|Qatar|2</t>
  </si>
  <si>
    <t>RE|Reunion|6</t>
  </si>
  <si>
    <t>RO|Romania|1</t>
  </si>
  <si>
    <t>RU|Russia|1</t>
  </si>
  <si>
    <t>RW|Rwanda|3</t>
  </si>
  <si>
    <t>KN|Saint Kitts and Nevis|4</t>
  </si>
  <si>
    <t>LC|Saint Lucia|4</t>
  </si>
  <si>
    <t>VC|Saint Vincent|4</t>
  </si>
  <si>
    <t>WS|Samoa|5</t>
  </si>
  <si>
    <t>SM|San Marino|1</t>
  </si>
  <si>
    <t>ST|Sao Tome|3</t>
  </si>
  <si>
    <t>SA|Saudi Arabia|2</t>
  </si>
  <si>
    <t>SN|Senegal|3</t>
  </si>
  <si>
    <t>RS|Serbia|1</t>
  </si>
  <si>
    <t>SL|Sierra Leone|3</t>
  </si>
  <si>
    <t>SG|Singapore|2</t>
  </si>
  <si>
    <t>SK|Slovakia|1</t>
  </si>
  <si>
    <t>SI|Slovenia|1</t>
  </si>
  <si>
    <t>SB|Solomon Islands|5</t>
  </si>
  <si>
    <t>SO|Somalia|3</t>
  </si>
  <si>
    <t>ZA|South Africa|3</t>
  </si>
  <si>
    <t>KR|South Korea|2</t>
  </si>
  <si>
    <t>ES|Spain|3</t>
  </si>
  <si>
    <t>LK|Sri Lanka|2</t>
  </si>
  <si>
    <t>SD|Sudan|3</t>
  </si>
  <si>
    <t>SR|Suriname|4</t>
  </si>
  <si>
    <t>SZ|Swaziland|3</t>
  </si>
  <si>
    <t>SE|Sweden|1</t>
  </si>
  <si>
    <t>CH|Switzerland|1</t>
  </si>
  <si>
    <t>SY|Syria|2</t>
  </si>
  <si>
    <t>PF|Tahiti|5</t>
  </si>
  <si>
    <t>TW|Taiwan|2</t>
  </si>
  <si>
    <t>TJ|Tajikistan|2</t>
  </si>
  <si>
    <t>TZ|Tanzania|3</t>
  </si>
  <si>
    <t>TH|Thailand|2</t>
  </si>
  <si>
    <t>TG|Togo|3</t>
  </si>
  <si>
    <t>TT|Trinidad and Tobago|4</t>
  </si>
  <si>
    <t>TN|Tunis|3</t>
  </si>
  <si>
    <t>TR|Turkey|1</t>
  </si>
  <si>
    <t>TM|Turkmenistan|2</t>
  </si>
  <si>
    <t>UG|Uganda|3</t>
  </si>
  <si>
    <t>UA|Ukraine|1</t>
  </si>
  <si>
    <t>AE|United Arab Emirates|2</t>
  </si>
  <si>
    <t>GB|United Kingdom|1</t>
  </si>
  <si>
    <t>US|United States of America|4</t>
  </si>
  <si>
    <t>UY|Uruguay|4</t>
  </si>
  <si>
    <t>UZ|Uzbekistan|2</t>
  </si>
  <si>
    <t>VU|Vanuatu|5</t>
  </si>
  <si>
    <t>VE|Venezuela|4</t>
  </si>
  <si>
    <t>VN|Vietnam|2</t>
  </si>
  <si>
    <t>VG|Virgin Islands|4</t>
  </si>
  <si>
    <t>EH|Western Sahara|3</t>
  </si>
  <si>
    <t>YE|Yemen|2</t>
  </si>
  <si>
    <t>ZM|Zambia|3</t>
  </si>
  <si>
    <t>ZW|Zimbabwe|3</t>
  </si>
  <si>
    <t>Aux. País</t>
  </si>
  <si>
    <t>País</t>
  </si>
  <si>
    <t>Aux. Cidade</t>
  </si>
  <si>
    <t>Longitude</t>
  </si>
  <si>
    <t>Aux. Longitude</t>
  </si>
  <si>
    <t>Aux. Latitude</t>
  </si>
  <si>
    <t>Aux. Fuso Horário</t>
  </si>
  <si>
    <t>DST</t>
  </si>
  <si>
    <t>Aksaya Trtiya. Candana Yatra começa. (Continua por 21 dias)</t>
  </si>
  <si>
    <t>Nrsimha Caturdasi: Aparecimento do Senhor Nrsimhadeva</t>
  </si>
  <si>
    <t>Fundação da ISKCON em Nova Iorque</t>
  </si>
  <si>
    <t>Radha Govinda Jhulana Yatra começa</t>
  </si>
  <si>
    <t>Jhulana Yatra termina</t>
  </si>
  <si>
    <t>Partida de Srila Prabhupada para os Estados Unidos</t>
  </si>
  <si>
    <t>Radhastami: Aparecimento de Srimati Radharani</t>
  </si>
  <si>
    <t>Sri Vamana Dvadasi: Aparecimento do Senhor Vamanadeva</t>
  </si>
  <si>
    <t>Aceitação de sannyasa por Srila Prabhupada</t>
  </si>
  <si>
    <t>Chegada de Srila Prabhupada aos Estados Unidos</t>
  </si>
  <si>
    <t>Aparecimento do Radha Kunda, snana dana</t>
  </si>
  <si>
    <t>Tulasi-Saligrama Vivaha (casamento)</t>
  </si>
  <si>
    <t>Katyayani vrata começa</t>
  </si>
  <si>
    <t>Advento do Srimad Bhagavad-gita</t>
  </si>
  <si>
    <t>Katyayani vrata termina</t>
  </si>
  <si>
    <t>Varaha Dvadasi: Aparecimento do Senhor Varahadeva</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</si>
  <si>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</si>
  <si>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</si>
  <si>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</si>
  <si>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</si>
  <si>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</si>
  <si>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Festival de Jagannatha Misra</t>
  </si>
  <si>
    <t>(horário de verão não considerado)</t>
  </si>
  <si>
    <t>Tulasi Jala Dan começa.</t>
  </si>
  <si>
    <t>Tulasi Jala Dan termina.</t>
  </si>
  <si>
    <t>Primeiro dia de Bhisma Pancaka</t>
  </si>
  <si>
    <t>Último dia de Bhisma Pancaka</t>
  </si>
  <si>
    <t>(O jejum foi feito ontem, hoje é a festa)</t>
  </si>
  <si>
    <t>Arunodaya às</t>
  </si>
  <si>
    <t>(Horário de verão não-considerado)</t>
  </si>
  <si>
    <t>Primeiro mês de Caturmasya começa</t>
  </si>
  <si>
    <t>Último dia do primeiro mês de Caturmasya</t>
  </si>
  <si>
    <t>(jejum de vegetais de folhas verdes durante um mês)</t>
  </si>
  <si>
    <t>Primeiro mês de Caturmasya continua</t>
  </si>
  <si>
    <t>Segundo mês de Caturmasya começa</t>
  </si>
  <si>
    <t>Último dia do segundo mês de Caturmasya</t>
  </si>
  <si>
    <t>(jejum de iogurte por um mês)</t>
  </si>
  <si>
    <t>Segundo mês de Caturmasya continua</t>
  </si>
  <si>
    <t>Terceiro mês de Caturmasya começa</t>
  </si>
  <si>
    <t>Último dia do terceiro mês de Caturmasya</t>
  </si>
  <si>
    <t>(jejum de leite por um mês)</t>
  </si>
  <si>
    <t>Terceiro mês de Caturmasya continua</t>
  </si>
  <si>
    <t>Quarto mês de Caturmasya começa</t>
  </si>
  <si>
    <t>Último dia do quarto mês de Caturmasya</t>
  </si>
  <si>
    <t>(jejum de urad dal por um mês)</t>
  </si>
  <si>
    <t>Quarto mês de Caturmasya continua</t>
  </si>
  <si>
    <t>(Caturmasya não é observado durante o Purusottama Adhika Masa).</t>
  </si>
  <si>
    <t>(Jejum até o meio-dia)</t>
  </si>
  <si>
    <t>(Jejum até o pôr do sol)</t>
  </si>
  <si>
    <t>(Jejum até o nascer da lua)</t>
  </si>
  <si>
    <t>(jejum até o anoitecer)</t>
  </si>
  <si>
    <t>(jejum até a meia-noite)</t>
  </si>
  <si>
    <t>(Jejum hoje)</t>
  </si>
  <si>
    <t>(O jejum foi feito ontem)</t>
  </si>
  <si>
    <t>(O jejum foi feito ontem, hoje é festa)</t>
  </si>
  <si>
    <t>(Jejum até o meio-dia, com festa amanhã)</t>
  </si>
  <si>
    <t>Sri Abhirama Thakura -- Disappearance</t>
  </si>
  <si>
    <t>Srila Vrndavana Dasa Thakura -- Disappearance</t>
  </si>
  <si>
    <t>Sri Gadadhara Pandita -- Appearance</t>
  </si>
  <si>
    <t>Aksaya Trtiya. Candana Yatra starts. (Continues for 21 days)</t>
  </si>
  <si>
    <t>Srimati Sita Devi (consort of Lord Sri Rama) -- Appearance</t>
  </si>
  <si>
    <t>Sri Madhu Pandita -- Disappearance</t>
  </si>
  <si>
    <t>Srimati Jahnava Devi -- Appearance</t>
  </si>
  <si>
    <t>Sri Jayananda Prabhu -- Disappearance</t>
  </si>
  <si>
    <t>Nrsimha Caturdasi: Appearance of Lord Nrsimhadeva</t>
  </si>
  <si>
    <t>Sri Paramesvari Dasa Thakura -- Disappearance</t>
  </si>
  <si>
    <t>Sri Sri Radha-Ramana Devaji -- Appearance</t>
  </si>
  <si>
    <t>Sri Madhavendra Puri -- Appearance</t>
  </si>
  <si>
    <t>Sri Srinivasa Acarya -- Appearance</t>
  </si>
  <si>
    <t>Sri Ramananda Raya -- Disappearance</t>
  </si>
  <si>
    <t>Srila Vrndavana Dasa Thakura -- Appearance</t>
  </si>
  <si>
    <t>Sri Baladeva Vidyabhusana -- Disappearance</t>
  </si>
  <si>
    <t>Srimati Gangamata Gosvamini -- Appearance</t>
  </si>
  <si>
    <t>Sri Mukunda Datta -- Disappearance</t>
  </si>
  <si>
    <t>Sri Sridhara Pandita -- Disappearance</t>
  </si>
  <si>
    <t>Sri Syamananda Prabhu -- Disappearance</t>
  </si>
  <si>
    <t>Sri Vakresvara Pandita -- Appearance</t>
  </si>
  <si>
    <t>Sri Srivasa Pandita -- Disappearance</t>
  </si>
  <si>
    <t>Sri Gadadhara Pandita -- Disappearance</t>
  </si>
  <si>
    <t>Srila Bhaktivinoda Thakura -- Disappearance</t>
  </si>
  <si>
    <t>Sri Svarupa Damodara Gosvami -- Disappearance</t>
  </si>
  <si>
    <t>Sri Sivananda Sena -- Disappearance</t>
  </si>
  <si>
    <t>Sri Vakresvara Pandita -- Disappearance</t>
  </si>
  <si>
    <t>Srila Sanatana Gosvami -- Disappearance</t>
  </si>
  <si>
    <t>Srila Gopala Bhatta Gosvami -- Disappearance</t>
  </si>
  <si>
    <t>Srila Lokanatha Gosvami -- Disappearance</t>
  </si>
  <si>
    <t>The incorporation of ISKCON in New York</t>
  </si>
  <si>
    <t>Sri Raghunandana Thakura -- Disappearance</t>
  </si>
  <si>
    <t>Sri Vamsidasa Babaji -- Disappearance</t>
  </si>
  <si>
    <t>Radha Govinda Jhulana Yatra begins</t>
  </si>
  <si>
    <t>Srila Rupa Gosvami -- Disappearance</t>
  </si>
  <si>
    <t>Sri Gauridasa Pandita -- Disappearance</t>
  </si>
  <si>
    <t>Jhulana Yatra ends</t>
  </si>
  <si>
    <t>Lord Balarama -- Appearance</t>
  </si>
  <si>
    <t>Srila Prabhupada's departure for the USA</t>
  </si>
  <si>
    <t>Srimati Sita Thakurani (Sri Advaita's consort) -- Appearance</t>
  </si>
  <si>
    <t>Radhastami: Appearance of Srimati Radharani</t>
  </si>
  <si>
    <t>Sri Vamana Dvadasi: Appearance of Lord Vamanadeva</t>
  </si>
  <si>
    <t>Srila Jiva Gosvami -- Appearance</t>
  </si>
  <si>
    <t>Srila Bhaktivinoda Thakura -- Appearance</t>
  </si>
  <si>
    <t>Srila Haridasa Thakura -- Disappearance</t>
  </si>
  <si>
    <t>Acceptance of sannyasa by Srila Prabhupada</t>
  </si>
  <si>
    <t>Srila Prabhupada's arrival in the USA</t>
  </si>
  <si>
    <t>Sri Madhvacarya -- Appearance</t>
  </si>
  <si>
    <t>Srila Raghunatha Dasa Gosvami -- Disappearance</t>
  </si>
  <si>
    <t>Srila Raghunatha Bhatta Gosvami -- Disappearance</t>
  </si>
  <si>
    <t>Srila Krsnadasa Kaviraja Gosvami -- Disappearance</t>
  </si>
  <si>
    <t>Sri Murari Gupta -- Disappearance</t>
  </si>
  <si>
    <t>Srila Narottama Dasa Thakura -- Disappearance</t>
  </si>
  <si>
    <t>Appearance of Radha Kunda, snana dana</t>
  </si>
  <si>
    <t>Sri Virabhadra -- Appearance</t>
  </si>
  <si>
    <t>Sri Rasikananda -- Appearance</t>
  </si>
  <si>
    <t>Sri Vasudeva Ghosh -- Disappearance</t>
  </si>
  <si>
    <t>Srila Prabhupada -- Disappearance</t>
  </si>
  <si>
    <t>Sri Gadadhara Dasa Gosvami -- Disappearance</t>
  </si>
  <si>
    <t>Sri Dhananjaya Pandita -- Disappearance</t>
  </si>
  <si>
    <t>Sri Srinivasa Acarya -- Disappearance</t>
  </si>
  <si>
    <t>Srila Gaura Kisora Dasa Babaji -- Disappearance</t>
  </si>
  <si>
    <t>Sri Bhugarbha Gosvami -- Disappearance</t>
  </si>
  <si>
    <t>Sri Kasisvara Pandita -- Disappearance</t>
  </si>
  <si>
    <t>Tulasi-Saligrama Vivaha (marriage)</t>
  </si>
  <si>
    <t>Sri Nimbarkacarya -- Appearance</t>
  </si>
  <si>
    <t>Katyayani vrata begins</t>
  </si>
  <si>
    <t>Sri Narahari Sarakara Thakura -- Disappearance</t>
  </si>
  <si>
    <t>Sri Kaliya Krsnadasa -- Disappearance</t>
  </si>
  <si>
    <t>Sri Saranga Thakura -- Disappearance</t>
  </si>
  <si>
    <t>Advent of Srimad Bhagavad-gita</t>
  </si>
  <si>
    <t>Katyayani vrata ends</t>
  </si>
  <si>
    <t>Srila Bhaktisiddhanta Sarasvati Thakura -- Disappearance</t>
  </si>
  <si>
    <t>Sri Devananda Pandita -- Disappearance</t>
  </si>
  <si>
    <t>Sri Mahesa Pandita -- Disappearance</t>
  </si>
  <si>
    <t>Sri Uddharana Datta Thakura -- Disappearance</t>
  </si>
  <si>
    <t>Sri Locana Dasa Thakura -- Appearance</t>
  </si>
  <si>
    <t>Srila Jiva Gosvami -- Disappearance</t>
  </si>
  <si>
    <t>Sri Jagadisa Pandita -- Disappearance</t>
  </si>
  <si>
    <t>Sri Jagadisa Pandita -- Appearance</t>
  </si>
  <si>
    <t>Sri Ramacandra Kaviraja -- Disappearance</t>
  </si>
  <si>
    <t>Srila Gopala Bhatta Gosvami -- Appearance</t>
  </si>
  <si>
    <t>Sri Jayadeva Gosvami -- Disappearance</t>
  </si>
  <si>
    <t>Sri Locana Dasa Thakura -- Disappearance</t>
  </si>
  <si>
    <t>Srimati Visnupriya Devi -- Appearance</t>
  </si>
  <si>
    <t>Srila Visvanatha Cakravarti Thakura -- Disappearance</t>
  </si>
  <si>
    <t>Sri Pundarika Vidyanidhi -- Appearance</t>
  </si>
  <si>
    <t>Sri Raghunandana Thakura -- Appearance</t>
  </si>
  <si>
    <t>Srila Raghunatha Dasa Gosvami -- Appearance</t>
  </si>
  <si>
    <t>Sri Advaita Acarya -- Appearance</t>
  </si>
  <si>
    <t>Sri Madhvacarya -- Disappearance</t>
  </si>
  <si>
    <t>Sri Ramanujacarya -- Disappearance</t>
  </si>
  <si>
    <t>Varaha Dvadasi: Appearance of Lord Varahadeva</t>
  </si>
  <si>
    <t>Nityananda Trayodasi: Appearance of Sri Nityananda Prabhu</t>
  </si>
  <si>
    <t>Srila Narottama Dasa Thakura -- Appearance</t>
  </si>
  <si>
    <t>Sri Purusottama Das Thakura -- Disappearance</t>
  </si>
  <si>
    <t>Srila Bhaktisiddhanta Sarasvati Thakura -- Appearance</t>
  </si>
  <si>
    <t>Sri Isvara Puri -- Disappearance</t>
  </si>
  <si>
    <t>Srila Jagannatha Dasa Babaji -- Disappearance</t>
  </si>
  <si>
    <t>Sri Rasikananda -- Disappearance</t>
  </si>
  <si>
    <t>Sri Purusottama Dasa Thakura -- Appearance</t>
  </si>
  <si>
    <t>Sri Madhavendra Puri -- Disappearance</t>
  </si>
  <si>
    <t>Sri Srivasa Pandita -- Appearance</t>
  </si>
  <si>
    <t>Sri Govinda Ghosh -- Disappearance</t>
  </si>
  <si>
    <t>Sri Ramanujacarya -- Appearance</t>
  </si>
  <si>
    <t>Sri Vamsivadana Thakura -- Appearance</t>
  </si>
  <si>
    <t>Sri Syamananda Prabhu -- Appearance</t>
  </si>
  <si>
    <t>(DST not considered)</t>
  </si>
  <si>
    <t>(Fasting is done yesterday, today is feast)</t>
  </si>
  <si>
    <t>Arunodaya at</t>
  </si>
  <si>
    <t>(Daylight Saving Time not considered)</t>
  </si>
  <si>
    <t>First month of Caturmasya begins</t>
  </si>
  <si>
    <t>Last day of the first Caturmasya month</t>
  </si>
  <si>
    <t>(green leafy vegetable fast for one month)</t>
  </si>
  <si>
    <t>First month of Caturmasya continues</t>
  </si>
  <si>
    <t>Second month of Caturmasya begins</t>
  </si>
  <si>
    <t>Last day of the second Caturmasya month</t>
  </si>
  <si>
    <t>(yogurt fast for one month)</t>
  </si>
  <si>
    <t>Second month of Caturmasya continues</t>
  </si>
  <si>
    <t>Third month of Caturmasya begins</t>
  </si>
  <si>
    <t>Last day of the third Caturmasya month</t>
  </si>
  <si>
    <t>(milk fast for one month)</t>
  </si>
  <si>
    <t>Third month of Caturmasya continues</t>
  </si>
  <si>
    <t>Fourth month of Caturmasya begins</t>
  </si>
  <si>
    <t>Last day of the fourth Caturmasya month</t>
  </si>
  <si>
    <t>(urad dal fast for one month)</t>
  </si>
  <si>
    <t>Fourth month of Caturmasya continues</t>
  </si>
  <si>
    <t>(Caturmasya is not observed during Purusottama Adhika Masa.)</t>
  </si>
  <si>
    <t>(Fast till noon)</t>
  </si>
  <si>
    <t>(Fast till sunset)</t>
  </si>
  <si>
    <t>(Fast till moonrise)</t>
  </si>
  <si>
    <t>(Fast till dusk)</t>
  </si>
  <si>
    <t>(Fast till midnight)</t>
  </si>
  <si>
    <t>(Fasting is done yesterday)</t>
  </si>
  <si>
    <t>(Fasting till noon, with feast tomorrow)</t>
  </si>
  <si>
    <t>Fasting for Parama Ekadasi</t>
  </si>
  <si>
    <t>Fasting for Padmini Ekadasi</t>
  </si>
  <si>
    <t>Jejum por Mohini Ekadasi</t>
  </si>
  <si>
    <t>Jejum por Apara Ekadasi</t>
  </si>
  <si>
    <t>Jejum por Yogini Ekadasi</t>
  </si>
  <si>
    <t>Jejum por Sayana Ekadasi</t>
  </si>
  <si>
    <t>Jejum por Kamika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</si>
  <si>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</si>
  <si>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</si>
  <si>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</si>
  <si>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</si>
  <si>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</si>
  <si>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</si>
  <si>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</si>
  <si>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</si>
  <si>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</si>
  <si>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</si>
  <si>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</si>
  <si>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</si>
  <si>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</si>
  <si>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</si>
  <si>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</si>
  <si>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</si>
  <si>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</si>
  <si>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</si>
  <si>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</si>
  <si>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(Jejum total, até mesmo de água, se tiver quebrado Ekadasi)</t>
  </si>
  <si>
    <t>Jejum por Pandava Nirjala Ekadasi</t>
  </si>
  <si>
    <t>(Fast till noon for Varahadeva, with feast tomorrow)</t>
  </si>
  <si>
    <t>1first</t>
  </si>
  <si>
    <t>1last</t>
  </si>
  <si>
    <t>2first</t>
  </si>
  <si>
    <t>2last</t>
  </si>
  <si>
    <t>3first</t>
  </si>
  <si>
    <t>3last</t>
  </si>
  <si>
    <t>4first</t>
  </si>
  <si>
    <t>4last</t>
  </si>
  <si>
    <t>1cont</t>
  </si>
  <si>
    <t>2cont</t>
  </si>
  <si>
    <t>3cont</t>
  </si>
  <si>
    <t>4cont</t>
  </si>
  <si>
    <t>Caturmasya System</t>
  </si>
  <si>
    <t>Sistema Caturmasya</t>
  </si>
  <si>
    <t>ind_CaturmasyaTides</t>
  </si>
  <si>
    <r>
      <t>(</t>
    </r>
    <r>
      <rPr>
        <sz val="10"/>
        <rFont val="Arial"/>
        <family val="2"/>
      </rPr>
      <t>Jejum até o meio dia por Bhaktivinoda, com festa amanhã)</t>
    </r>
  </si>
  <si>
    <t>(Fast till noon for Bhaktivinoda, with feast tomorrow)</t>
  </si>
  <si>
    <t>si</t>
  </si>
  <si>
    <t>[PURNIMA SYSTEM]</t>
  </si>
  <si>
    <t>[EKADASI SYSTEM]</t>
  </si>
  <si>
    <t>[PRATIPAT SYSTEM]</t>
  </si>
  <si>
    <t>[SISTEMA EKADASI ]</t>
  </si>
  <si>
    <t>[SISTEMA PURNIMA]</t>
  </si>
  <si>
    <t>[SISTEMA PRATIPAT]</t>
  </si>
  <si>
    <t>noCaturmasya</t>
  </si>
  <si>
    <t>3fast</t>
  </si>
  <si>
    <t>1fast</t>
  </si>
  <si>
    <t>2fast</t>
  </si>
  <si>
    <t>4fast</t>
  </si>
  <si>
    <t>(Fast today for Vamanadeva)</t>
  </si>
  <si>
    <t>break_fast_after</t>
  </si>
  <si>
    <t>break_fast_at</t>
  </si>
  <si>
    <t>'Calendar-XML'!$A:$BK</t>
  </si>
  <si>
    <t>DayWID</t>
  </si>
  <si>
    <t>ColRef</t>
  </si>
  <si>
    <t>dayweekid1</t>
  </si>
  <si>
    <t>dayweekid2</t>
  </si>
  <si>
    <t>dayweekid3</t>
  </si>
  <si>
    <t>dayweekid4</t>
  </si>
  <si>
    <t>dayweekid5</t>
  </si>
  <si>
    <t>dayweekid6</t>
  </si>
  <si>
    <t>dayweekid7</t>
  </si>
  <si>
    <t>Gyear</t>
  </si>
  <si>
    <t>Anapolis|Brazil|-48.952778|-16.326666|-3.00|67</t>
  </si>
  <si>
    <t>Barueri|Brazil|-46.876110|-23.510555|-3.00|67</t>
  </si>
  <si>
    <t>Bauru|Brazil|-49.060555|-22.314722|-3.00|67</t>
  </si>
  <si>
    <t>Belford Roxo|Brazil|-43.399445|-22.764166|-3.00|67</t>
  </si>
  <si>
    <t>Belo Horizonte|Brazil|-43.937778|-19.920834|-3.00|67</t>
  </si>
  <si>
    <t>Betim|Brazil|-44.198334|-19.967777|-3.00|67</t>
  </si>
  <si>
    <t>Blumenau|Brazil|-49.066113|-26.919445|-3.00|67</t>
  </si>
  <si>
    <t>Brasilia|Brazil|-47.929722|-15.779720|-3.00|67</t>
  </si>
  <si>
    <t>Campinas|Brazil|-47.060833|-22.905556|-3.00|67</t>
  </si>
  <si>
    <t>Campos|Brazil|-41.299999|-21.750000|-3.00|67</t>
  </si>
  <si>
    <t>Canoas|Brazil|-51.183613|-29.917778|-3.00|67</t>
  </si>
  <si>
    <t>Carapicuiba|Brazil|-46.835556|-23.522499|-3.00|67</t>
  </si>
  <si>
    <t>Cascavel|Brazil|-53.455276|-24.955833|-3.00|67</t>
  </si>
  <si>
    <t>Caxias do Sul|Brazil|-51.179443|-29.168056|-3.00|67</t>
  </si>
  <si>
    <t>Colombo|Brazil|-49.224167|-25.291666|-3.00|67</t>
  </si>
  <si>
    <t>Contagem|Brazil|-44.053612|-19.931667|-3.00|67</t>
  </si>
  <si>
    <t>Curitiba|Brazil|-49.273056|-25.427778|-3.00|67</t>
  </si>
  <si>
    <t>Diadema|Brazil|-46.622776|-23.686111|-3.00|67</t>
  </si>
  <si>
    <t>Duque de Caxias|Brazil|-43.311668|-22.785555|-3.00|67</t>
  </si>
  <si>
    <t>Embu|Brazil|-46.852222|-23.648890|-3.00|67</t>
  </si>
  <si>
    <t>Florianopolis|Brazil|-48.549168|-27.596666|-3.00|67</t>
  </si>
  <si>
    <t>Foz do Iguacu|Brazil|-54.588055|-25.547777|-3.00|67</t>
  </si>
  <si>
    <t>Franca|Brazil|-47.400833|-20.538610|-3.00|67</t>
  </si>
  <si>
    <t>Goiania|Brazil|-49.253887|-16.678612|-3.00|67</t>
  </si>
  <si>
    <t>Governador Valadares|Brazil|-41.949444|-18.851110|-3.00|67</t>
  </si>
  <si>
    <t>Gravatai|Brazil|-50.991943|-29.944445|-3.00|67</t>
  </si>
  <si>
    <t>Guaruja|Brazil|-46.256390|-23.993055|-3.00|67</t>
  </si>
  <si>
    <t>Guarulhos|Brazil|-46.533333|-23.462778|-3.00|67</t>
  </si>
  <si>
    <t>Hortolandia|Brazil|-47.220001|-22.858334|-3.00|67</t>
  </si>
  <si>
    <t>Ipatinga|Brazil|-42.536667|-19.468334|-3.00|67</t>
  </si>
  <si>
    <t>Itapevi|Brazil|-46.934166|-23.548889|-3.00|67</t>
  </si>
  <si>
    <t>Itaquaquecetuba|Brazil|-46.348331|-23.486111|-3.00|67</t>
  </si>
  <si>
    <t>Jacarei|Brazil|-45.965832|-23.305277|-3.00|67</t>
  </si>
  <si>
    <t>Joinville|Brazil|-48.845554|-26.304445|-3.00|67</t>
  </si>
  <si>
    <t>Juiz de Fora|Brazil|-43.350277|-21.764166|-3.00|67</t>
  </si>
  <si>
    <t>Jundiai|Brazil|-46.884167|-23.186388|-3.00|67</t>
  </si>
  <si>
    <t>Limeira|Brazil|-47.401669|-22.564722|-3.00|67</t>
  </si>
  <si>
    <t>Londrina|Brazil|-51.162777|-23.310278|-3.00|67</t>
  </si>
  <si>
    <t>Marilia|Brazil|-49.945835|-22.213888|-3.00|67</t>
  </si>
  <si>
    <t>Maringa|Brazil|-51.938610|-23.425278|-3.00|67</t>
  </si>
  <si>
    <t>Maua|Brazil|-46.461388|-23.667778|-3.00|67</t>
  </si>
  <si>
    <t>Moji das Cruzes|Brazil|-46.188332|-23.522778|-3.00|67</t>
  </si>
  <si>
    <t>Niteroi|Brazil|-43.103611|-22.883333|-3.00|67</t>
  </si>
  <si>
    <t>Nova Iguacu|Brazil|-43.451111|-22.759167|-3.00|67</t>
  </si>
  <si>
    <t>Novo Hamburgo|Brazil|-51.130554|-29.678333|-3.00|67</t>
  </si>
  <si>
    <t>Osasco|Brazil|-46.791668|-23.532499|-3.00|67</t>
  </si>
  <si>
    <t>Pelotas|Brazil|-52.342499|-31.771944|-3.00|67</t>
  </si>
  <si>
    <t>Petropolis|Brazil|-43.178612|-22.504999|-3.00|67</t>
  </si>
  <si>
    <t>Piracicaba|Brazil|-47.649166|-22.725277|-3.00|67</t>
  </si>
  <si>
    <t>Ponta Grossa|Brazil|-50.161945|-25.094999|-3.00|67</t>
  </si>
  <si>
    <t>Porto Alegre|Brazil|-51.230000|-30.033056|-3.00|67</t>
  </si>
  <si>
    <t>Praia Grande|Brazil|-46.402779|-24.005833|-3.00|67</t>
  </si>
  <si>
    <t>Presidente Prudente|Brazil|-51.388889|-22.125555|-3.00|67</t>
  </si>
  <si>
    <t>Ribeirao das Neves|Brazil|-44.086666|-19.766945|-3.00|67</t>
  </si>
  <si>
    <t>Ribeirao Preto|Brazil|-47.810276|-21.177500|-3.00|67</t>
  </si>
  <si>
    <t>Rio de Janeiro|Brazil|-43.207500|-22.902779|-3.00|67</t>
  </si>
  <si>
    <t>Santa Luzia|Brazil|-43.851387|-19.769722|-3.00|67</t>
  </si>
  <si>
    <t>Santa Maria|Brazil|-53.806946|-29.684166|-3.00|67</t>
  </si>
  <si>
    <t>Santo Andre|Brazil|-46.538334|-23.663889|-3.00|67</t>
  </si>
  <si>
    <t>Santos|Brazil|-46.333611|-23.960833|-3.00|67</t>
  </si>
  <si>
    <t>Sao Bernardo do Campo|Brazil|-46.564999|-23.693890|-3.00|67</t>
  </si>
  <si>
    <t>Sao Carlos|Brazil|-47.890835|-22.017500|-3.00|67</t>
  </si>
  <si>
    <t>Sao Joao de Meriti|Brazil|-43.372223|-22.803888|-3.00|67</t>
  </si>
  <si>
    <t>Sao Jose do Rio Preto|Brazil|-49.379444|-20.819723|-3.00|67</t>
  </si>
  <si>
    <t>Sao Jose dos Campos|Brazil|-45.886944|-23.179445|-3.00|67</t>
  </si>
  <si>
    <t>Sao Leopoldo|Brazil|-51.147221|-29.760279|-3.00|67</t>
  </si>
  <si>
    <t>Sao Paulo|Brazil|-46.636112|-23.547501|-3.00|67</t>
  </si>
  <si>
    <t>Sao Vicente|Brazil|-46.391945|-23.963055|-3.00|67</t>
  </si>
  <si>
    <t>Serra|Brazil|-40.307777|-20.128611|-3.00|67</t>
  </si>
  <si>
    <t>Sete Lagoas|Brazil|-44.246666|-19.465834|-3.00|67</t>
  </si>
  <si>
    <t>Sorocaba|Brazil|-47.458057|-23.501667|-3.00|67</t>
  </si>
  <si>
    <t>Sumare|Brazil|-47.266945|-22.821945|-3.00|67</t>
  </si>
  <si>
    <t>Suzano|Brazil|-46.310833|-23.542500|-3.00|67</t>
  </si>
  <si>
    <t>Taboao da Serra|Brazil|-46.791668|-23.626112|-3.00|67</t>
  </si>
  <si>
    <t>Taubate|Brazil|-45.555279|-23.026388|-3.00|67</t>
  </si>
  <si>
    <t>Uberaba|Brazil|-47.931946|-19.748333|-3.00|67</t>
  </si>
  <si>
    <t>Uberlandia|Brazil|-48.277222|-18.918612|-3.00|67</t>
  </si>
  <si>
    <t>Viamao|Brazil|-51.023335|-30.081112|-3.00|67</t>
  </si>
  <si>
    <t>Vila Velha|Brazil|-40.292500|-20.329721|-3.00|67</t>
  </si>
  <si>
    <t>Vitoria|Brazil|-40.337776|-20.319445|-3.00|67</t>
  </si>
  <si>
    <t>Volta Redonda|Brazil|-44.104168|-22.523056|-3.00|67</t>
  </si>
  <si>
    <t>Montevideo|Uruguay|-56.170834|-34.858055|-3.00|382</t>
  </si>
  <si>
    <t>Treinta y Tres|Uruguay|-54.383335|-33.233334|-3.00|382</t>
  </si>
  <si>
    <t>Trinidad|Uruguay|-56.888611|-33.538887|-3.00|382</t>
  </si>
  <si>
    <t>Young|Uruguay|-57.633335|-32.683334|-3.00|382</t>
  </si>
  <si>
    <t>Memo</t>
  </si>
  <si>
    <t>Título Capa</t>
  </si>
  <si>
    <t>Atualização Automática dos Dados do Calendário</t>
  </si>
  <si>
    <t>ind_msAutCalTit</t>
  </si>
  <si>
    <t>Year</t>
  </si>
  <si>
    <t>Month Name</t>
  </si>
  <si>
    <t>Contact</t>
  </si>
  <si>
    <t>(Fast today for Varahadeva)</t>
  </si>
  <si>
    <t>AGENDA VAISHNAVA GPLAN</t>
  </si>
  <si>
    <t>VAISHNAVA PLANNER GPLAN</t>
  </si>
  <si>
    <t>Vaishnava Planner Gplan</t>
  </si>
  <si>
    <t>Agenda Vaishnava Gplan</t>
  </si>
  <si>
    <t>Nityananda Trayodasi: Aparecimento de Sri Nityananda Prabhu</t>
  </si>
  <si>
    <t>Break fast after #hh:mm# (hora local)</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</si>
  <si>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</si>
  <si>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</si>
  <si>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</si>
  <si>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</si>
  <si>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</si>
  <si>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</si>
  <si>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</si>
  <si>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</si>
  <si>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</si>
  <si>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</si>
  <si>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</si>
  <si>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</si>
  <si>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</si>
  <si>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</si>
  <si>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</si>
  <si>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</si>
  <si>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</si>
  <si>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</si>
  <si>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</si>
  <si>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</si>
  <si>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</si>
  <si>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</si>
  <si>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</si>
  <si>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</si>
  <si>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</si>
  <si>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</si>
  <si>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</si>
  <si>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Romper el ayuno  #hh:mm# (hora local)</t>
  </si>
  <si>
    <t>Quebra de jejum após  #hh:mm# (hora local)</t>
  </si>
  <si>
    <t>Pronto</t>
  </si>
  <si>
    <t>Atualizar</t>
  </si>
  <si>
    <t>Devanagari</t>
  </si>
  <si>
    <t>Tamal</t>
  </si>
  <si>
    <t>Fontes</t>
  </si>
  <si>
    <t>Calendário base</t>
  </si>
  <si>
    <t>Opções da agenda</t>
  </si>
  <si>
    <t>Wait: Load calendar data...</t>
  </si>
  <si>
    <t xml:space="preserve">An error has occurred: </t>
  </si>
  <si>
    <t>OK!</t>
  </si>
  <si>
    <t>sys_cstrWaitLoad</t>
  </si>
  <si>
    <t>sys_cstrLoadError</t>
  </si>
  <si>
    <t>sys_cstrLoadOK</t>
  </si>
  <si>
    <t>sys_section</t>
  </si>
  <si>
    <t>Aguarde: carregando dados do calendário</t>
  </si>
  <si>
    <t>Ocorreu um erro:</t>
  </si>
  <si>
    <t>Pronto!</t>
  </si>
  <si>
    <t>WeekNumber</t>
  </si>
  <si>
    <t>WeekId</t>
  </si>
  <si>
    <t>SunRiseTime</t>
  </si>
  <si>
    <t>TithiName</t>
  </si>
  <si>
    <t>TithiIndex</t>
  </si>
  <si>
    <t>TithiElapse</t>
  </si>
  <si>
    <t>YogaName</t>
  </si>
  <si>
    <t>PakshaName</t>
  </si>
  <si>
    <t>PakshaId</t>
  </si>
  <si>
    <t>DstOffset</t>
  </si>
  <si>
    <t>ArunodayaTime</t>
  </si>
  <si>
    <t>ArunodayaTithiName</t>
  </si>
  <si>
    <t>NoonTime</t>
  </si>
  <si>
    <t>SunSetTime</t>
  </si>
  <si>
    <t>MoonSetTime</t>
  </si>
  <si>
    <t>MoonRiseTime</t>
  </si>
  <si>
    <t>SankrantiRasi</t>
  </si>
  <si>
    <t>SankrantiTime</t>
  </si>
  <si>
    <t>KsayaTo</t>
  </si>
  <si>
    <t>KsayaFrom</t>
  </si>
  <si>
    <t>VriddhiSd</t>
  </si>
  <si>
    <t>FastMark</t>
  </si>
  <si>
    <t>FastType</t>
  </si>
  <si>
    <t>ParanaAfter</t>
  </si>
  <si>
    <t>ParanaTo</t>
  </si>
  <si>
    <t>ParanaFrom</t>
  </si>
  <si>
    <t>CaturmasyaSystem1</t>
  </si>
  <si>
    <t>CaturmasyaSystem2</t>
  </si>
  <si>
    <t>CaturmasyaMonth1</t>
  </si>
  <si>
    <t>CaturmasyaMonth2</t>
  </si>
  <si>
    <t>CaturmasyaDay1</t>
  </si>
  <si>
    <t>CaturmasyaDay2</t>
  </si>
  <si>
    <t>CaturmasyaLine1</t>
  </si>
  <si>
    <t>CaturmasyaLine2</t>
  </si>
  <si>
    <t>CaturmasyaLine3</t>
  </si>
  <si>
    <t>CaturmasyaLine4</t>
  </si>
  <si>
    <t>CaturmasyaBySystemLine1</t>
  </si>
  <si>
    <t>CaturmasyaBySystemLine2</t>
  </si>
  <si>
    <t>Festival1Name</t>
  </si>
  <si>
    <t>Festival1Class</t>
  </si>
  <si>
    <t>Festival2Name</t>
  </si>
  <si>
    <t>Festival2Class</t>
  </si>
  <si>
    <t>Festival3Name</t>
  </si>
  <si>
    <t>Festival3Class</t>
  </si>
  <si>
    <t>Festival4Name</t>
  </si>
  <si>
    <t>Festival4Class</t>
  </si>
  <si>
    <t>Festival5Name</t>
  </si>
  <si>
    <t>Festival5Class</t>
  </si>
  <si>
    <t>Festival6Name</t>
  </si>
  <si>
    <t>Festival6Class</t>
  </si>
  <si>
    <t>Festival7Name</t>
  </si>
  <si>
    <t>Festival7Class</t>
  </si>
  <si>
    <t>Festival8Name</t>
  </si>
  <si>
    <t>Festival8Class</t>
  </si>
  <si>
    <t>Festival9Name</t>
  </si>
  <si>
    <t>Festival9Class</t>
  </si>
  <si>
    <t>Festival10Name</t>
  </si>
  <si>
    <t>Festival10Class</t>
  </si>
  <si>
    <t>Festival11Name</t>
  </si>
  <si>
    <t>Festival11Class</t>
  </si>
  <si>
    <t>MoonPhase</t>
  </si>
  <si>
    <t>DayWeek</t>
  </si>
  <si>
    <t>Sankranti</t>
  </si>
  <si>
    <t>Parana</t>
  </si>
  <si>
    <t>sys_cstrWorking</t>
  </si>
  <si>
    <t>Carregando...</t>
  </si>
  <si>
    <t>Event1Name</t>
  </si>
  <si>
    <t>Event1Class</t>
  </si>
  <si>
    <t>Event2Name</t>
  </si>
  <si>
    <t>Event2Class</t>
  </si>
  <si>
    <t>Event3Name</t>
  </si>
  <si>
    <t>Event3Class</t>
  </si>
  <si>
    <t>Event4Name</t>
  </si>
  <si>
    <t>Event4Class</t>
  </si>
  <si>
    <t>Event5Name</t>
  </si>
  <si>
    <t>Event5Class</t>
  </si>
  <si>
    <t>Event6Name</t>
  </si>
  <si>
    <t>Event6Class</t>
  </si>
  <si>
    <t>Event7Name</t>
  </si>
  <si>
    <t>Event7Class</t>
  </si>
  <si>
    <t>Event8Name</t>
  </si>
  <si>
    <t>Event8Class</t>
  </si>
  <si>
    <t>Event9Name</t>
  </si>
  <si>
    <t>Event9Class</t>
  </si>
  <si>
    <t>Event10Name</t>
  </si>
  <si>
    <t>Event10Class</t>
  </si>
  <si>
    <t>Event11Name</t>
  </si>
  <si>
    <t>Event11Class</t>
  </si>
  <si>
    <t>See also: liturgical year</t>
  </si>
  <si>
    <t>Advent</t>
  </si>
  <si>
    <t>All Saints' Day</t>
  </si>
  <si>
    <t>All Souls' Day</t>
  </si>
  <si>
    <t>Candlemas</t>
  </si>
  <si>
    <t>Childermas</t>
  </si>
  <si>
    <t>Easter Triduum</t>
  </si>
  <si>
    <t>Holy Saturday</t>
  </si>
  <si>
    <t>Epiphany</t>
  </si>
  <si>
    <t>Lent (40 days of penance before Easter)</t>
  </si>
  <si>
    <t>Shrove Tuesday or Mardi Gras (last day of Carnival, last day before Ash Wednesday)</t>
  </si>
  <si>
    <t>Winter Lent</t>
  </si>
  <si>
    <t>Watch Night</t>
  </si>
  <si>
    <t>The Catholic patronal feast day or 'name day' are celebrated in each place's patron saint's day, according to the Calendar of saints.</t>
  </si>
  <si>
    <t>Starts on the fourth Sunday before December 25, the Sunday from November 27 to December 3 inclusive.</t>
  </si>
  <si>
    <t>Western Christianity</t>
  </si>
  <si>
    <t>Halloween</t>
  </si>
  <si>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</si>
  <si>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Pentecost is celebrated seven weeks (50 days) after Easter Sunday, hence its name.</t>
    </r>
    <r>
      <rPr>
        <vertAlign val="superscript"/>
        <sz val="10"/>
        <rFont val="Arial"/>
        <family val="2"/>
      </rPr>
      <t>[</t>
    </r>
    <r>
      <rPr>
        <sz val="10"/>
        <rFont val="Arial"/>
        <family val="2"/>
      </rPr>
      <t>1]</t>
    </r>
    <r>
      <rPr>
        <sz val="10"/>
        <rFont val="Arial"/>
        <family val="2"/>
      </rPr>
      <t xml:space="preserve"> Pentecost falls on the tenth day after Ascension Thursday.</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</si>
  <si>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</si>
  <si>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Ash Wednesday</t>
    </r>
    <r>
      <rPr>
        <sz val="10"/>
        <rFont val="Arial"/>
        <family val="2"/>
      </rPr>
      <t>, in the calendar of Western Christianity, is the first day of Lent and occurs 46 days before Easter.</t>
    </r>
  </si>
  <si>
    <t>Ascension Day is traditionally celebrated on a Thursday, the fortieth day of Easter (following the count given in Acts 1:3), although some Roman Catholic provinces have moved the observance to the following Sunday.</t>
  </si>
  <si>
    <t>Carnival</t>
  </si>
  <si>
    <t>The traditional carnival celebrations which precede Lent in many cultures have become associated with the season of fasting if only because they are a last opportunity for excess before Lent begins.</t>
  </si>
  <si>
    <r>
      <t xml:space="preserve">The </t>
    </r>
    <r>
      <rPr>
        <b/>
        <sz val="10"/>
        <rFont val="Arial"/>
        <family val="2"/>
      </rPr>
      <t>Assumption of the Blessed Virgin Mary into Heaven</t>
    </r>
    <r>
      <rPr>
        <sz val="10"/>
        <rFont val="Arial"/>
        <family val="2"/>
      </rPr>
      <t xml:space="preserve">,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t>
    </r>
  </si>
  <si>
    <t>In addition to being known as the Presentation of Jesus at the Temple, other traditional names include Candlemas, the Feast of the Purification of the Virgin, and the Meeting of the Lord. Candlemas occurs 40 days after Christmas.</t>
  </si>
  <si>
    <r>
      <t xml:space="preserve">The </t>
    </r>
    <r>
      <rPr>
        <b/>
        <sz val="10"/>
        <rFont val="Arial"/>
        <family val="2"/>
      </rPr>
      <t>Massacre of the Innocents</t>
    </r>
    <r>
      <rPr>
        <sz val="10"/>
        <rFont val="Arial"/>
        <family val="2"/>
      </rPr>
      <t xml:space="preserve"> was an episode of infanticide and gendercide by Herod the Great, the king of Iudaea Province. According to the Gospel of Matthew</t>
    </r>
    <r>
      <rPr>
        <vertAlign val="superscript"/>
        <sz val="10"/>
        <rFont val="Arial"/>
        <family val="2"/>
      </rPr>
      <t>[</t>
    </r>
    <r>
      <rPr>
        <sz val="10"/>
        <rFont val="Arial"/>
        <family val="2"/>
      </rPr>
      <t>1]</t>
    </r>
    <r>
      <rPr>
        <sz val="10"/>
        <rFont val="Arial"/>
        <family val="2"/>
      </rPr>
      <t xml:space="preserve"> Herod ordered the execution of all young male children in the village of Bethlehem, so as to avoid the loss of his throne to a newborn King of the Jews whose birth had been announced to him by the Magi.</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</si>
  <si>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</si>
  <si>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r>
      <t xml:space="preserve">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tradition and belief in the body and blood of Jesus Christ and his Real Presence in the Eucharist.</t>
    </r>
  </si>
  <si>
    <t>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</si>
  <si>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</si>
  <si>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t xml:space="preserve">   Trinity Sunday</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</si>
  <si>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</si>
  <si>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Holy Week</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</si>
  <si>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</si>
  <si>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</si>
  <si>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</si>
  <si>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</si>
  <si>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</si>
  <si>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</si>
  <si>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</si>
  <si>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</si>
  <si>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r>
      <t>Halloween</t>
    </r>
    <r>
      <rPr>
        <sz val="10"/>
        <rFont val="Arial"/>
        <family val="2"/>
      </rPr>
      <t xml:space="preserve"> (a shortening of </t>
    </r>
    <r>
      <rPr>
        <b/>
        <sz val="10"/>
        <rFont val="Arial"/>
        <family val="2"/>
      </rPr>
      <t>All Hallows’ Evening</t>
    </r>
    <r>
      <rPr>
        <sz val="10"/>
        <rFont val="Arial"/>
        <family val="2"/>
      </rPr>
      <t>),</t>
    </r>
    <r>
      <rPr>
        <vertAlign val="superscript"/>
        <sz val="10"/>
        <rFont val="Arial"/>
        <family val="2"/>
      </rPr>
      <t>[</t>
    </r>
    <r>
      <rPr>
        <sz val="10"/>
        <rFont val="Arial"/>
        <family val="2"/>
      </rPr>
      <t>5]</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vertAlign val="superscript"/>
        <sz val="10"/>
        <rFont val="Arial"/>
        <family val="2"/>
      </rPr>
      <t>[</t>
    </r>
    <r>
      <rPr>
        <sz val="10"/>
        <rFont val="Arial"/>
        <family val="2"/>
      </rPr>
      <t>6]</t>
    </r>
    <r>
      <rPr>
        <sz val="10"/>
        <rFont val="Arial"/>
        <family val="2"/>
      </rPr>
      <t xml:space="preserve"> is a yearly holiday observed around the world on October 31, the night before All Saints' Day.</t>
    </r>
  </si>
  <si>
    <t>Holy Thursday</t>
  </si>
  <si>
    <t>(Celebration of The Last Supper)</t>
  </si>
  <si>
    <t>Good Friday</t>
  </si>
  <si>
    <t>(Death of Jesus)</t>
  </si>
  <si>
    <t>Easter Monday</t>
  </si>
  <si>
    <t>(Monday following Easter Sunday, not part of the Easter Triduum)</t>
  </si>
  <si>
    <t>Christian holidays/celebrations/events</t>
  </si>
  <si>
    <t>Ash Wednesday</t>
  </si>
  <si>
    <t>(beginning of Lent)</t>
  </si>
  <si>
    <t xml:space="preserve">   Easter</t>
  </si>
  <si>
    <t>(Resurrection of Jesus, end of Lent)</t>
  </si>
  <si>
    <t>Ascension Thursday</t>
  </si>
  <si>
    <t>(Ascension of Jesus into Heaven)</t>
  </si>
  <si>
    <t>Christmas</t>
  </si>
  <si>
    <t>(Birth of Jesus)</t>
  </si>
  <si>
    <t>Pentecost or Whitsun</t>
  </si>
  <si>
    <t>(Descent of the Holy Spirit upon the disciples of Jesus)</t>
  </si>
  <si>
    <t>(Sacrifice of Jesus)</t>
  </si>
  <si>
    <t>Assumption of Mary</t>
  </si>
  <si>
    <t>(Assumption of the Virgin Mary)</t>
  </si>
  <si>
    <t>Easter</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</si>
  <si>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</si>
  <si>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Palm Sunday</t>
  </si>
  <si>
    <t>Epifania</t>
  </si>
  <si>
    <t>Ascensão de Jesus</t>
  </si>
  <si>
    <t>Ascensão de Maria</t>
  </si>
  <si>
    <t>Todos os Santos</t>
  </si>
  <si>
    <t>Advento</t>
  </si>
  <si>
    <t>Trindade</t>
  </si>
  <si>
    <t>Santos Inocentes</t>
  </si>
  <si>
    <t>Candelária</t>
  </si>
  <si>
    <t>Quinta-feira Santa</t>
  </si>
  <si>
    <t>Segunda-feira de Páscoa</t>
  </si>
  <si>
    <t>Domingo de Páscoa</t>
  </si>
  <si>
    <t>Réveillon</t>
  </si>
  <si>
    <t>Evento</t>
  </si>
  <si>
    <t>Terça-feira de Carnaval</t>
  </si>
  <si>
    <t>Quarta-feira de Cinzas</t>
  </si>
  <si>
    <t>1-Domingo</t>
  </si>
  <si>
    <t>Holyday</t>
  </si>
  <si>
    <t>Event</t>
  </si>
  <si>
    <t>fer_holyday</t>
  </si>
  <si>
    <t>fer_event</t>
  </si>
  <si>
    <t>1-Feriado</t>
  </si>
  <si>
    <t>2-Evento</t>
  </si>
  <si>
    <t>Dia das Mães (2º domingo de maio)</t>
  </si>
  <si>
    <t>Dia dos Pais (2º domingo de agosto)</t>
  </si>
  <si>
    <t>HOLYDAYS, CELEBRATIONS AND BIRTHDAYS</t>
  </si>
  <si>
    <t>FERIADOS, COMEMORAÇÕES E ANIVERSÁRIOS</t>
  </si>
  <si>
    <t>FIXED</t>
  </si>
  <si>
    <t>FIJOS</t>
  </si>
  <si>
    <t>FIXOS</t>
  </si>
  <si>
    <t>MÓVEIS COM A PÁSCOA</t>
  </si>
  <si>
    <t>MOBILE WITH EASTER</t>
  </si>
  <si>
    <t>MUEBLES CON LA PASCUA</t>
  </si>
  <si>
    <t>MÓVEIS - CERTO DIA DA SEMANA DE CERTO MÊS</t>
  </si>
  <si>
    <t>MOBILE - A PARTICULAR DAY WEEK FOR A PARTICULAR MONTH</t>
  </si>
  <si>
    <t>MUEBLES - UM DÍA  DETERMINADO DE UM DETERMINADO MÊS</t>
  </si>
  <si>
    <t>ESTAÇÕES DO ANO</t>
  </si>
  <si>
    <t>ESTACIONES DEL AÑO</t>
  </si>
  <si>
    <t>SEASONS OF THE YEAR</t>
  </si>
  <si>
    <t>03-Terça-feira de Carnaval</t>
  </si>
  <si>
    <t>04-Quarta-feira de Cinzas</t>
  </si>
  <si>
    <t>05-Domingo de Ramos</t>
  </si>
  <si>
    <t>07-Paixão de Cristo</t>
  </si>
  <si>
    <t>08-Sábado de Aleluia</t>
  </si>
  <si>
    <t>09-Domingo de Páscoa</t>
  </si>
  <si>
    <t>14-Corpus Christi</t>
  </si>
  <si>
    <t>AUXILIAR PÁSCOA</t>
  </si>
  <si>
    <r>
      <t>AUXILIAR</t>
    </r>
    <r>
      <rPr>
        <sz val="10"/>
        <rFont val="Arial"/>
        <family val="2"/>
      </rPr>
      <t xml:space="preserve"> DE PASCUA</t>
    </r>
  </si>
  <si>
    <r>
      <t>AUXILIARY</t>
    </r>
    <r>
      <rPr>
        <sz val="10"/>
        <rFont val="Arial"/>
        <family val="2"/>
      </rPr>
      <t xml:space="preserve"> EASTER</t>
    </r>
  </si>
  <si>
    <t>AUXILIAR WEEKDAY</t>
  </si>
  <si>
    <t>AUXILIAR DIA DA SEMANA</t>
  </si>
  <si>
    <t>AUXILIAR DÍA DE LA SEMANA</t>
  </si>
  <si>
    <t>mhp_section</t>
  </si>
  <si>
    <t>GetWeekDayOfMonth</t>
  </si>
  <si>
    <t>Retorna uma data do tipo 'segundo domingo de maio', fornecidos: o ano, o mês, o 'dia da semana' (domingo, segunda, etc.) e o número de 'dias da semana' contados a partir do primeiro dia do mês, inclusive</t>
  </si>
  <si>
    <t>mhp_strDesc_GetWeekDayOfMonth</t>
  </si>
  <si>
    <t>mhp_strMacr_GetWeekDayOfMonth</t>
  </si>
  <si>
    <t>CalendarXML</t>
  </si>
  <si>
    <t>mhp_strCate_GetWeekDayOfMonth</t>
  </si>
  <si>
    <t>mhp_strArg1_GetWeekDayOfMonth</t>
  </si>
  <si>
    <t>mhp_strArg2_GetWeekDayOfMonth</t>
  </si>
  <si>
    <t>mhp_strArg3_GetWeekDayOfMonth</t>
  </si>
  <si>
    <t>mhp_strArg4_GetWeekDayOfMonth</t>
  </si>
  <si>
    <t>é o ano desejado</t>
  </si>
  <si>
    <t>é o mês desejado, de 1 a 12 (se menor que 1 será considerado 1 e se maior que 12 será considerado 12)</t>
  </si>
  <si>
    <t>é o 'dia da semana' procurado no mês: 1 para domingo, 2 para segunda, 3 para terça, 4 para quarta, 5 para quinta, 6 para sexta e 7 para sábado (se menor que 1 será considerado 1 e se maior que 7 será considerado 7)</t>
  </si>
  <si>
    <t>1 para retornar o primeiro 'dia da semana' (domingo, segunda, etc.) do mês, 2 para segundo, 3 para terceiro, 4 para quarto, e maior que 4 para o último (retorna o quarto se não houver um quinto  'dia da semana' no mês)</t>
  </si>
  <si>
    <t>mhp_intNarg_GetWeekDayOfMonth</t>
  </si>
  <si>
    <t>is the desired year</t>
  </si>
  <si>
    <r>
      <t>es</t>
    </r>
    <r>
      <rPr>
        <sz val="10"/>
        <rFont val="Arial"/>
        <family val="2"/>
      </rPr>
      <t xml:space="preserve"> el año deseado</t>
    </r>
  </si>
  <si>
    <r>
      <t>es el mes</t>
    </r>
    <r>
      <rPr>
        <sz val="10"/>
        <rFont val="Arial"/>
        <family val="2"/>
      </rPr>
      <t xml:space="preserve"> deseado: 1-12 (si es inferior a 1 se considera 1 y más de 12 se considera 12)</t>
    </r>
  </si>
  <si>
    <r>
      <t>is</t>
    </r>
    <r>
      <rPr>
        <sz val="10"/>
        <rFont val="Arial"/>
        <family val="2"/>
      </rPr>
      <t xml:space="preserve"> desired month: 1-12 (if less than 1 is considered 1 and greater than 12 is considered 12)</t>
    </r>
  </si>
  <si>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</si>
  <si>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</si>
  <si>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</si>
  <si>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</si>
  <si>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Date cont</t>
  </si>
  <si>
    <t>Easter Lin</t>
  </si>
  <si>
    <t>WeekDay Lin</t>
  </si>
  <si>
    <t>Seasons Lin</t>
  </si>
  <si>
    <t>Start Lin</t>
  </si>
  <si>
    <t>End Lin</t>
  </si>
  <si>
    <t>(suitable for fasting)</t>
  </si>
  <si>
    <t>(adequado para jejum)</t>
  </si>
  <si>
    <t>Crec</t>
  </si>
  <si>
    <t>Meng</t>
  </si>
  <si>
    <t>EventsQuant</t>
  </si>
  <si>
    <t>CelebrationType</t>
  </si>
  <si>
    <t>Class</t>
  </si>
  <si>
    <r>
      <t>first</t>
    </r>
    <r>
      <rPr>
        <sz val="10"/>
        <rFont val="Arial"/>
        <family val="2"/>
      </rPr>
      <t xml:space="preserve"> sunday of the year</t>
    </r>
  </si>
  <si>
    <t>year considered</t>
  </si>
  <si>
    <t>week considered</t>
  </si>
  <si>
    <t>sunday considered</t>
  </si>
  <si>
    <t>month considered</t>
  </si>
  <si>
    <t>first sunday of the month</t>
  </si>
  <si>
    <t>sunday position on month</t>
  </si>
  <si>
    <t>data of first month considered</t>
  </si>
  <si>
    <t>data of second month considered</t>
  </si>
  <si>
    <t>Month name</t>
  </si>
  <si>
    <t>&lt;- Year ref. -&gt;</t>
  </si>
  <si>
    <t>&lt;- week -&gt;</t>
  </si>
  <si>
    <t>Gaurabda year</t>
  </si>
  <si>
    <t>Selecionado</t>
  </si>
  <si>
    <t>DST System</t>
  </si>
  <si>
    <t>Result</t>
  </si>
  <si>
    <t>Start Date</t>
  </si>
  <si>
    <t>Day Count</t>
  </si>
  <si>
    <t>End Date</t>
  </si>
  <si>
    <t>Hemisphere</t>
  </si>
  <si>
    <t>Gcal Version</t>
  </si>
  <si>
    <t>Line Feed</t>
  </si>
  <si>
    <t>citation number</t>
  </si>
  <si>
    <t>&lt;-CARACT(10)</t>
  </si>
  <si>
    <t>File</t>
  </si>
  <si>
    <t>Salve as</t>
  </si>
  <si>
    <t>Calculado</t>
  </si>
  <si>
    <t>Working...</t>
  </si>
  <si>
    <t>sys_cstrWait</t>
  </si>
  <si>
    <t xml:space="preserve">Wait: </t>
  </si>
  <si>
    <t xml:space="preserve">Aguarde: </t>
  </si>
  <si>
    <t>ind_Validation</t>
  </si>
  <si>
    <t xml:space="preserve"> Validation</t>
  </si>
  <si>
    <t xml:space="preserve"> Validação</t>
  </si>
  <si>
    <t>Contatos</t>
  </si>
  <si>
    <t>Contactos</t>
  </si>
  <si>
    <t>Contacts</t>
  </si>
  <si>
    <t>ind_contact</t>
  </si>
  <si>
    <t>Calcular</t>
  </si>
  <si>
    <t>Update</t>
  </si>
  <si>
    <t>Actualizar</t>
  </si>
  <si>
    <t>Nome da localidade na Capa</t>
  </si>
  <si>
    <t>ind_gcalBase</t>
  </si>
  <si>
    <t>Calendario base</t>
  </si>
  <si>
    <t>Base calendar</t>
  </si>
  <si>
    <t>Country</t>
  </si>
  <si>
    <t>Localidade</t>
  </si>
  <si>
    <t>Localidad</t>
  </si>
  <si>
    <t>Location</t>
  </si>
  <si>
    <t>ind_country</t>
  </si>
  <si>
    <t>ind_location</t>
  </si>
  <si>
    <t>Año</t>
  </si>
  <si>
    <t>ind_year</t>
  </si>
  <si>
    <t>Opciones en la agenda</t>
  </si>
  <si>
    <r>
      <t>Options</t>
    </r>
    <r>
      <rPr>
        <sz val="10"/>
        <rFont val="Arial"/>
        <family val="2"/>
      </rPr>
      <t xml:space="preserve"> of the planner</t>
    </r>
  </si>
  <si>
    <t>ind_options</t>
  </si>
  <si>
    <t>Nombre de la ciudad en la Cubierta</t>
  </si>
  <si>
    <t>ind_cityNameOnCover</t>
  </si>
  <si>
    <t>Editar</t>
  </si>
  <si>
    <t>Edit</t>
  </si>
  <si>
    <t>ind_edit</t>
  </si>
  <si>
    <t>Ready</t>
  </si>
  <si>
    <t>ind_ready</t>
  </si>
  <si>
    <t>Fonts</t>
  </si>
  <si>
    <t>Fuentes</t>
  </si>
  <si>
    <t>ind_fonts</t>
  </si>
  <si>
    <t>MoonSymbol</t>
  </si>
  <si>
    <t>NaksatraElapse</t>
  </si>
  <si>
    <t>NaksatraName</t>
  </si>
  <si>
    <t>DayClass</t>
  </si>
  <si>
    <t>Tritiya</t>
  </si>
  <si>
    <t>K</t>
  </si>
  <si>
    <t>Krsna Paksa</t>
  </si>
  <si>
    <t>Kesava</t>
  </si>
  <si>
    <t>Tritiya Tithi</t>
  </si>
  <si>
    <t>Ardra</t>
  </si>
  <si>
    <t>Subha</t>
  </si>
  <si>
    <t>EventsSerie1</t>
  </si>
  <si>
    <t>EventsSerie2</t>
  </si>
  <si>
    <t>sys_cstrGCalNotFound</t>
  </si>
  <si>
    <t>o arquivo gcal.exe não foi encontrado na pasta atual.</t>
  </si>
  <si>
    <t>el archivo gcal.exe no se encuentra en el directorio actual.</t>
  </si>
  <si>
    <t>the gcal.exe file not found on current folder.</t>
  </si>
  <si>
    <t>sys_cstrGCalDownload</t>
  </si>
  <si>
    <t>sys_cstrGCalWebsite</t>
  </si>
  <si>
    <t>http://www.krishnadays.com</t>
  </si>
  <si>
    <t>Wait: opening GCal...</t>
  </si>
  <si>
    <t>Wait: deleting old files...</t>
  </si>
  <si>
    <t>sys_cstrOldFilesDel</t>
  </si>
  <si>
    <t>sys_cstrGCalOpen</t>
  </si>
  <si>
    <t>Wait: selecting location...</t>
  </si>
  <si>
    <t>Wait: calculating calendar...</t>
  </si>
  <si>
    <t>Wait: saving XML Calendar...</t>
  </si>
  <si>
    <t>Wait: saving HTML Calendar...</t>
  </si>
  <si>
    <t>Wait: closing GCal...</t>
  </si>
  <si>
    <t>sys_cstrLocSelect</t>
  </si>
  <si>
    <t>sys_cstrGCalCalc</t>
  </si>
  <si>
    <t>sys_cstrXMLSave</t>
  </si>
  <si>
    <t>sys_cstrHTMLSave</t>
  </si>
  <si>
    <t>sys_cstrGCalClose</t>
  </si>
  <si>
    <t>Aguarde: abrindo Gcal...</t>
  </si>
  <si>
    <t>Aguarde: excluindo arquivos anteriores...</t>
  </si>
  <si>
    <t>Aguarde: selecionando a localidade...</t>
  </si>
  <si>
    <t>Aguarde: calculando calendário...</t>
  </si>
  <si>
    <r>
      <t>Espere</t>
    </r>
    <r>
      <rPr>
        <sz val="10"/>
        <rFont val="Arial"/>
        <family val="2"/>
      </rPr>
      <t>: eliminar archivos viejos...</t>
    </r>
  </si>
  <si>
    <t>Espere: abriendo GCal...</t>
  </si>
  <si>
    <t>Espere: selección de la localización...</t>
  </si>
  <si>
    <t>Espere: guardar Calendario en el html...</t>
  </si>
  <si>
    <t>Espere: guardar Calendario en el xml...</t>
  </si>
  <si>
    <t>Espere: cálculo del calendario...</t>
  </si>
  <si>
    <t>Aguarde: salvando Calendário em xml...</t>
  </si>
  <si>
    <t>Aguarde: salvando Calendário em html...</t>
  </si>
  <si>
    <t>Aguarde: fechando Gcal...</t>
  </si>
  <si>
    <t>Espera: cerrando GCal ...</t>
  </si>
  <si>
    <t>Ver</t>
  </si>
  <si>
    <t>Show</t>
  </si>
  <si>
    <t>ind_calendarFor</t>
  </si>
  <si>
    <t>Language</t>
  </si>
  <si>
    <t>Lenguaje</t>
  </si>
  <si>
    <t>ind_msAutCalc</t>
  </si>
  <si>
    <t>Calendário atual calculado para</t>
  </si>
  <si>
    <t>Current Calendar calculated for</t>
  </si>
  <si>
    <t>Corriente Calendario calculado para</t>
  </si>
  <si>
    <t>Name of the location on the Cover</t>
  </si>
  <si>
    <t>Caturthi</t>
  </si>
  <si>
    <t>Caturthi Tithi</t>
  </si>
  <si>
    <t>Punarvasu</t>
  </si>
  <si>
    <t>Sukla</t>
  </si>
  <si>
    <t>Pancami</t>
  </si>
  <si>
    <t>Pancami Tithi</t>
  </si>
  <si>
    <t>Pusyami</t>
  </si>
  <si>
    <t>Brahma</t>
  </si>
  <si>
    <t>Sasti</t>
  </si>
  <si>
    <t>Sasti Tithi</t>
  </si>
  <si>
    <t>Aslesa</t>
  </si>
  <si>
    <t>Indra</t>
  </si>
  <si>
    <t>Saptami</t>
  </si>
  <si>
    <t>Saptami Tithi</t>
  </si>
  <si>
    <t>Magha</t>
  </si>
  <si>
    <t>Vaidhriti</t>
  </si>
  <si>
    <t>Astami</t>
  </si>
  <si>
    <t>Astami Tithi</t>
  </si>
  <si>
    <t>Purva-phalguni</t>
  </si>
  <si>
    <t>Viskumba</t>
  </si>
  <si>
    <t>Navami</t>
  </si>
  <si>
    <t>Navami Tithi</t>
  </si>
  <si>
    <t>Uttara-phalguni</t>
  </si>
  <si>
    <t>Priti</t>
  </si>
  <si>
    <t>Dasami</t>
  </si>
  <si>
    <t>Dasami Tithi</t>
  </si>
  <si>
    <t>Hasta</t>
  </si>
  <si>
    <t>Ayusmana</t>
  </si>
  <si>
    <t>Ekadasi</t>
  </si>
  <si>
    <t>Citra</t>
  </si>
  <si>
    <t>Saubhagya</t>
  </si>
  <si>
    <t>*</t>
  </si>
  <si>
    <t>E</t>
  </si>
  <si>
    <t>Dvadasi</t>
  </si>
  <si>
    <t>Dvadasi Tithi</t>
  </si>
  <si>
    <t>Swati</t>
  </si>
  <si>
    <t>Atiganda</t>
  </si>
  <si>
    <t>Trayodasi</t>
  </si>
  <si>
    <t>Trayodasi Tithi</t>
  </si>
  <si>
    <t>Visakha</t>
  </si>
  <si>
    <t>Sukarma</t>
  </si>
  <si>
    <t>Caturdasi</t>
  </si>
  <si>
    <t>Caturdasi Tithi</t>
  </si>
  <si>
    <t>Anuradha</t>
  </si>
  <si>
    <t>Dhriti</t>
  </si>
  <si>
    <t>Amavasya</t>
  </si>
  <si>
    <t>G</t>
  </si>
  <si>
    <t>Gaura Paksa</t>
  </si>
  <si>
    <t>Pratipat Tithi</t>
  </si>
  <si>
    <t>Jyestha</t>
  </si>
  <si>
    <t>Sula</t>
  </si>
  <si>
    <t>Dvitiya</t>
  </si>
  <si>
    <t>Dvitiya Tithi</t>
  </si>
  <si>
    <t>Mula</t>
  </si>
  <si>
    <t>Ganda</t>
  </si>
  <si>
    <t>Uttara-asadha</t>
  </si>
  <si>
    <t>Dhruva</t>
  </si>
  <si>
    <t>Sravana</t>
  </si>
  <si>
    <t>Vyagata</t>
  </si>
  <si>
    <t>Dhanista</t>
  </si>
  <si>
    <t>Harsana</t>
  </si>
  <si>
    <t>Satabhisa</t>
  </si>
  <si>
    <t>Vajra</t>
  </si>
  <si>
    <t>Odana sasthi</t>
  </si>
  <si>
    <t>Purva-bhadra</t>
  </si>
  <si>
    <t>Siddhi</t>
  </si>
  <si>
    <t>Uttara-bhadra</t>
  </si>
  <si>
    <t>Vyatipata</t>
  </si>
  <si>
    <t>Revati</t>
  </si>
  <si>
    <t>Variyana</t>
  </si>
  <si>
    <t>Asvini</t>
  </si>
  <si>
    <t>Parigha</t>
  </si>
  <si>
    <t>Ekadasi (not suitable for fasting) Tithi</t>
  </si>
  <si>
    <t>Siva</t>
  </si>
  <si>
    <t>Bharani</t>
  </si>
  <si>
    <t>Siddha</t>
  </si>
  <si>
    <t>Krittika</t>
  </si>
  <si>
    <t>Sadhya</t>
  </si>
  <si>
    <t>Rohini</t>
  </si>
  <si>
    <t>Purnima Tithi</t>
  </si>
  <si>
    <t>Mrigasira</t>
  </si>
  <si>
    <t>Purnima</t>
  </si>
  <si>
    <t>Pratipat</t>
  </si>
  <si>
    <t>Narayana</t>
  </si>
  <si>
    <t>Sobana</t>
  </si>
  <si>
    <t>Vriddhi</t>
  </si>
  <si>
    <t>Amavasya Tithi</t>
  </si>
  <si>
    <t>Purva-asadha</t>
  </si>
  <si>
    <t>Ganga Sagara Mela</t>
  </si>
  <si>
    <t>Sri Krsna Pusya Abhiseka</t>
  </si>
  <si>
    <t>Madhava</t>
  </si>
  <si>
    <t>Vasanta Pancami</t>
  </si>
  <si>
    <t>Sarasvati Puja</t>
  </si>
  <si>
    <t>Bhismastami</t>
  </si>
  <si>
    <t>Sri Krsna Madhura Utsava</t>
  </si>
  <si>
    <t>Govinda</t>
  </si>
  <si>
    <t>Siva Ratri</t>
  </si>
  <si>
    <t>Visnu</t>
  </si>
  <si>
    <t>Damanakaropana Dvadasi</t>
  </si>
  <si>
    <t>Sri Balarama Rasayatra</t>
  </si>
  <si>
    <t>Sri Krsna Vasanta Rasa</t>
  </si>
  <si>
    <t>Madhusudana</t>
  </si>
  <si>
    <t>Fasting for Varuthini Ekadasi</t>
  </si>
  <si>
    <t>Jahnu Saptami</t>
  </si>
  <si>
    <t>Rukmini Dvadasi</t>
  </si>
  <si>
    <t>Krsna Phula Dola, Salila Vihara</t>
  </si>
  <si>
    <t>Trivikrama</t>
  </si>
  <si>
    <t>Ganga Puja</t>
  </si>
  <si>
    <t>Panihati Cida Dahi Utsava</t>
  </si>
  <si>
    <t>Snana Yatra</t>
  </si>
  <si>
    <t>Vamana</t>
  </si>
  <si>
    <t>Gundica Marjana</t>
  </si>
  <si>
    <t>Ratha Yatra</t>
  </si>
  <si>
    <t>first</t>
  </si>
  <si>
    <t>Guru (Vyasa) Purnima</t>
  </si>
  <si>
    <t>Sridhara</t>
  </si>
  <si>
    <t>last</t>
  </si>
  <si>
    <t>Hrsikesa</t>
  </si>
  <si>
    <t>Nandotsava</t>
  </si>
  <si>
    <t>Lalita sasti</t>
  </si>
  <si>
    <t>Ananta Caturdasi Vrata</t>
  </si>
  <si>
    <t>Sri Visvarupa Mahotsava</t>
  </si>
  <si>
    <t>Padmanabha</t>
  </si>
  <si>
    <t>Durga Puja</t>
  </si>
  <si>
    <t>Ramacandra Vijayotsava</t>
  </si>
  <si>
    <t>Sri Krsna Saradiya Rasayatra</t>
  </si>
  <si>
    <t>Laksmi Puja</t>
  </si>
  <si>
    <t>Damodara</t>
  </si>
  <si>
    <t>Bahulastami</t>
  </si>
  <si>
    <t>Dipa dana, Dipavali, (Kali Puja)</t>
  </si>
  <si>
    <t>Go Puja. Go Krda. Govardhana Puja.</t>
  </si>
  <si>
    <t>Bali Daityaraja Puja</t>
  </si>
  <si>
    <t>Gopastami, Gosthastami</t>
  </si>
  <si>
    <t>Jagaddhatri Puja</t>
  </si>
  <si>
    <t>Sri Krsna Rasayatra</t>
  </si>
  <si>
    <t>Trisprsa Mahadvadasi</t>
  </si>
  <si>
    <t>F</t>
  </si>
  <si>
    <t>Ekadasi Tithi</t>
  </si>
  <si>
    <t xml:space="preserve">Odana sasthi
</t>
  </si>
  <si>
    <t xml:space="preserve">Sri Krsna Pusya Abhiseka
</t>
  </si>
  <si>
    <t xml:space="preserve">Bhismastami
</t>
  </si>
  <si>
    <t xml:space="preserve">Siva Ratri
</t>
  </si>
  <si>
    <t xml:space="preserve">Jahnu Saptami
</t>
  </si>
  <si>
    <t xml:space="preserve">Panihati Cida Dahi Utsava
</t>
  </si>
  <si>
    <t xml:space="preserve">Gundica Marjana
</t>
  </si>
  <si>
    <t xml:space="preserve">Lalita sasti
</t>
  </si>
  <si>
    <t xml:space="preserve">Durga Puja
</t>
  </si>
  <si>
    <t xml:space="preserve">Dipa dana, Dipavali, (Kali Puja)
</t>
  </si>
  <si>
    <t xml:space="preserve">Jagaddhatri Puja
</t>
  </si>
  <si>
    <t xml:space="preserve">Dia dos Namorados
</t>
  </si>
  <si>
    <t xml:space="preserve">Independência
</t>
  </si>
  <si>
    <t xml:space="preserve">Finados
</t>
  </si>
  <si>
    <t xml:space="preserve">Natal
</t>
  </si>
  <si>
    <t xml:space="preserve">Quarta-feira de Cinzas
</t>
  </si>
  <si>
    <t xml:space="preserve">Domingo de Ramos
</t>
  </si>
  <si>
    <t xml:space="preserve">Paixão de Cristo
</t>
  </si>
  <si>
    <t xml:space="preserve">Sábado de Aleluia
</t>
  </si>
  <si>
    <t xml:space="preserve">Domingo de Páscoa
</t>
  </si>
  <si>
    <t xml:space="preserve">Corpus Christi
</t>
  </si>
  <si>
    <t xml:space="preserve">Dia dos Pais (2º domingo de agosto)
</t>
  </si>
  <si>
    <t>Editor</t>
  </si>
  <si>
    <t>Apresentacao 1</t>
  </si>
  <si>
    <t>Apresentacao 2</t>
  </si>
  <si>
    <t>Apresentation 1</t>
  </si>
  <si>
    <t>Apresentation 2</t>
  </si>
  <si>
    <t>Presentacion 1</t>
  </si>
  <si>
    <t>Presentacion 2</t>
  </si>
  <si>
    <t>apr_name1</t>
  </si>
  <si>
    <t>apr_name2</t>
  </si>
  <si>
    <t>ind_msPdfGenerate</t>
  </si>
  <si>
    <t>Gerar a agenda GPlan em formato pdf?</t>
  </si>
  <si>
    <t>Generar la agenda GPlan en formato pdf?</t>
  </si>
  <si>
    <t>Generate the GPlan planner in pdf format?</t>
  </si>
  <si>
    <t>Narayana Masa</t>
  </si>
  <si>
    <t>Madhava Masa</t>
  </si>
  <si>
    <t>Govinda Masa</t>
  </si>
  <si>
    <t>Visnu Masa</t>
  </si>
  <si>
    <t>Madhusudana Masa</t>
  </si>
  <si>
    <t>Trivikrama Masa</t>
  </si>
  <si>
    <t>Vamana Masa</t>
  </si>
  <si>
    <t>Sridhara Masa</t>
  </si>
  <si>
    <t>Hrsikesa Masa</t>
  </si>
  <si>
    <t>Padmanabha Masa</t>
  </si>
  <si>
    <t>Damodara Masa</t>
  </si>
  <si>
    <t>Kesava Masa</t>
  </si>
  <si>
    <t>C</t>
  </si>
  <si>
    <t xml:space="preserve">Kesava Masa
</t>
  </si>
  <si>
    <t xml:space="preserve">Narayana Masa
</t>
  </si>
  <si>
    <t xml:space="preserve">Madhava Masa
</t>
  </si>
  <si>
    <t xml:space="preserve">Govinda Masa
</t>
  </si>
  <si>
    <t xml:space="preserve">Madhusudana Masa
</t>
  </si>
  <si>
    <t xml:space="preserve">Trivikrama Masa
</t>
  </si>
  <si>
    <t xml:space="preserve">Sridhara Masa
</t>
  </si>
  <si>
    <t xml:space="preserve">Padmanabha Masa
</t>
  </si>
  <si>
    <t xml:space="preserve">Damodara Masa
</t>
  </si>
  <si>
    <t>Calcular os dados do calendário para a seguinte localidade e ano?</t>
  </si>
  <si>
    <t>Calcular los datos de calendario a la siguiente localización y año?</t>
  </si>
  <si>
    <t>Calculate the calendar data to the following location and year?</t>
  </si>
  <si>
    <t>ind_wsNotHandle</t>
  </si>
  <si>
    <t>If so, do not handle the mouse or keyboard until Gcal complete the calculation and close.</t>
  </si>
  <si>
    <t>Em caso afirmativo, não mexa no mouse ou no teclado até o Gcal concluir o cálculo e fechar.</t>
  </si>
  <si>
    <t>Si es así, no mueva el ratón o el teclado a la Gcal completa el cálculo y se cierre.</t>
  </si>
  <si>
    <t>Caturmasya Systems</t>
  </si>
  <si>
    <t>btCalculate</t>
  </si>
  <si>
    <t>Sri Srinivasa Acarya - App.</t>
  </si>
  <si>
    <t>Sri Srinivasa Acarya - Ap.</t>
  </si>
  <si>
    <t>Sri Madhavendra Puri - App.</t>
  </si>
  <si>
    <t>Sri Madhavendra Puri - Ap.</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</si>
  <si>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</si>
  <si>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Preparando DB...</t>
  </si>
  <si>
    <t>Carregando dados do GCal...</t>
  </si>
  <si>
    <t>Carregando dados dos Feriados...</t>
  </si>
  <si>
    <r>
      <t>Preparing</t>
    </r>
    <r>
      <rPr>
        <sz val="10"/>
        <rFont val="Arial"/>
        <family val="2"/>
      </rPr>
      <t xml:space="preserve"> DB ...</t>
    </r>
  </si>
  <si>
    <t>Loading data from GCal ...</t>
  </si>
  <si>
    <t>Loading data from Holiday ...</t>
  </si>
  <si>
    <r>
      <t>Preparación de</t>
    </r>
    <r>
      <rPr>
        <sz val="10"/>
        <rFont val="Arial"/>
        <family val="2"/>
      </rPr>
      <t xml:space="preserve"> DB ...</t>
    </r>
  </si>
  <si>
    <t>Carga de datos de GCal ...</t>
  </si>
  <si>
    <t>Carga de datos de las vacaciones ...</t>
  </si>
  <si>
    <t>ind_Dbpreparing</t>
  </si>
  <si>
    <t>ind_GcalDataLoad</t>
  </si>
  <si>
    <t>ind_HolydaysDataLoad</t>
  </si>
  <si>
    <t>Auto Font Instalation</t>
  </si>
  <si>
    <t xml:space="preserve"> font auto instalation</t>
  </si>
  <si>
    <t xml:space="preserve"> font ok!</t>
  </si>
  <si>
    <r>
      <t>Instalación</t>
    </r>
    <r>
      <rPr>
        <sz val="10"/>
        <rFont val="Arial"/>
        <family val="2"/>
      </rPr>
      <t xml:space="preserve"> automática de fuentes</t>
    </r>
  </si>
  <si>
    <r>
      <t>Instalação</t>
    </r>
    <r>
      <rPr>
        <sz val="10"/>
        <rFont val="Arial"/>
        <family val="2"/>
      </rPr>
      <t xml:space="preserve"> automática de fontes</t>
    </r>
  </si>
  <si>
    <t xml:space="preserve"> - instalação automática da fonte</t>
  </si>
  <si>
    <t xml:space="preserve"> - fonte ok!</t>
  </si>
  <si>
    <t xml:space="preserve"> - fuente ok!</t>
  </si>
  <si>
    <t xml:space="preserve"> - instalación automática de la fuente</t>
  </si>
  <si>
    <t>ind_autoFontInstall</t>
  </si>
  <si>
    <t>ind_fontAutoInstalation</t>
  </si>
  <si>
    <t>ind_fontOk</t>
  </si>
  <si>
    <t>Auxiliar Validacao</t>
  </si>
  <si>
    <t>Numero total de cidades</t>
  </si>
  <si>
    <t>Indicador de Localização</t>
  </si>
  <si>
    <t>Linha da Primeira Cidade na Listagem</t>
  </si>
  <si>
    <t>Quantidade de Cidades na Listagem</t>
  </si>
  <si>
    <t xml:space="preserve">Fórmula de Validação de Cidade </t>
  </si>
  <si>
    <t>Fórmula de Validação de Pais</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</si>
  <si>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(Brahma Samhita 5.32)</t>
  </si>
  <si>
    <t>Adoro Govinda, o Senhor primordial, que é perito em tocar Sua flauta, que tem olhos exuberantes como pétalas de lótus e a cabeça ornada com uma pluma de pavão. Sua bela forma apresenta o matiz de nuvens azuladas, e Seu encanto incomparável cativa milhões de cupidos (Brahma Samhita 5.30)</t>
  </si>
  <si>
    <t>(jejum até o meio dia por Varahadeva, com festa amanhã)</t>
  </si>
  <si>
    <t>(Jejum hoje por Vamanadeva)</t>
  </si>
  <si>
    <t>(Jejum hoje por Varahadeva)</t>
  </si>
  <si>
    <t>/</t>
  </si>
  <si>
    <t>Dipa dana, Dipavali</t>
  </si>
  <si>
    <t>Govardhana Puja</t>
  </si>
  <si>
    <t>Rama Navami</t>
  </si>
  <si>
    <t>Nrsimha Caturdasi</t>
  </si>
  <si>
    <t>Pandava Nirjala Ekadasi</t>
  </si>
  <si>
    <t>Jhulana Yatra começa</t>
  </si>
  <si>
    <t>Sri Krsna Janmastami</t>
  </si>
  <si>
    <t>Radhastami</t>
  </si>
  <si>
    <t>Sri Vamana Dvadasi</t>
  </si>
  <si>
    <t>Tulasi-Saligrama Vivaha</t>
  </si>
  <si>
    <t>Nityananda Trayodasi</t>
  </si>
  <si>
    <t>Varaha Dvadasi</t>
  </si>
  <si>
    <t>Gaura Purnima</t>
  </si>
  <si>
    <t>Sri Abhirama Thakura - Disappearance</t>
  </si>
  <si>
    <t>Sri Abhirama Thakura - Desaparecimento</t>
  </si>
  <si>
    <t>Srila Vrndavana Dasa Thakura - Disappearance</t>
  </si>
  <si>
    <t>Srila Vrndavana Dasa Thakura - Desaparecimento</t>
  </si>
  <si>
    <t>Sri Gadadhara Pandita - Appearance</t>
  </si>
  <si>
    <t>Sri Gadadhara Pandita - Aparecimento</t>
  </si>
  <si>
    <t>Srimati Sita Devi (consort of Lord Sri Rama) - Appearance</t>
  </si>
  <si>
    <t>Srimati Sita Devi (consorte do Senhor Sri Rama) - Aparecimento</t>
  </si>
  <si>
    <t>Sri Madhu Pandita - Disappearance</t>
  </si>
  <si>
    <t>Sri Madhu Pandita - Desaparecimento</t>
  </si>
  <si>
    <t>Srimati Jahnava Devi - Appearance</t>
  </si>
  <si>
    <t>Srimati Jahnava Devi - Aparecimento</t>
  </si>
  <si>
    <t>Sri Jayananda Prabhu - Disappearance</t>
  </si>
  <si>
    <t>Sri Jayananda Prabhu - Desaparecimento</t>
  </si>
  <si>
    <t>Sri Paramesvari Dasa Thakura - Disappearance</t>
  </si>
  <si>
    <t>Sri Paramesvari Dasa Thakura -  Desaparecimento</t>
  </si>
  <si>
    <t>Sri Paramesvari Dasa Thakura - Desaparecimento</t>
  </si>
  <si>
    <t>Sri Sri Radha-Ramana Devaji - Appearance</t>
  </si>
  <si>
    <t>Sri Sri Radha-Ramana Devaji - Aparecimento</t>
  </si>
  <si>
    <t>Sri Ramananda Raya - Disappearance</t>
  </si>
  <si>
    <t>Sri Ramananda Raya - Desaparecimento</t>
  </si>
  <si>
    <t>Srila Vrndavana Dasa Thakura - Appearance</t>
  </si>
  <si>
    <t>Srila Vrndavana Dasa Thakura - Aparecimento</t>
  </si>
  <si>
    <t>Sri Baladeva Vidyabhusana - Disappearance</t>
  </si>
  <si>
    <t>Sri Baladeva Vidyabhusana - Desaparecimento</t>
  </si>
  <si>
    <t>Srimati Gangamata Gosvamini - Appearance</t>
  </si>
  <si>
    <t>Srimati Gangamata Gosvamini - Aparecimento</t>
  </si>
  <si>
    <t>Sri Mukunda Datta - Disappearance</t>
  </si>
  <si>
    <t>Sri Mukunda Datta - Desaparecimento</t>
  </si>
  <si>
    <t>Sri Sridhara Pandita - Disappearance</t>
  </si>
  <si>
    <t>Sri Sridhara Pandita - Desaparecimento</t>
  </si>
  <si>
    <t>Sri Syamananda Prabhu - Disappearance</t>
  </si>
  <si>
    <t>Sri Syamananda Prabhu - Desaparecimento</t>
  </si>
  <si>
    <t>Sri Vakresvara Pandita - Appearance</t>
  </si>
  <si>
    <t>Sri Vakresvara Pandita - Aparecimento</t>
  </si>
  <si>
    <t>Sri Srivasa Pandita - Disappearance</t>
  </si>
  <si>
    <t>Sri Srivasa Pandita - Desaparecimento</t>
  </si>
  <si>
    <t>Sri Gadadhara Pandita - Disappearance</t>
  </si>
  <si>
    <t>Sri Gadadhara Pandita - Desaparecimento</t>
  </si>
  <si>
    <t>Srila Bhaktivinoda Thakura - Disappearance</t>
  </si>
  <si>
    <t>Srila Bhaktivinoda Thakura - Desaparecimento</t>
  </si>
  <si>
    <t>Sri Svarupa Damodara Gosvami - Disappearance</t>
  </si>
  <si>
    <t>Sri Svarupa Damodara Gosvami - Desaparecimento</t>
  </si>
  <si>
    <t>Sri Sivananda Sena - Disappearance</t>
  </si>
  <si>
    <t>Sri Sivananda Sena - Desaparecimento</t>
  </si>
  <si>
    <t>Sri Vakresvara Pandita - Disappearance</t>
  </si>
  <si>
    <t>Sri Vakresvara Pandita - Desaparecimento</t>
  </si>
  <si>
    <t>Srila Sanatana Gosvami - Disappearance</t>
  </si>
  <si>
    <t>Srila Sanatana Gosvami - Desaparecimento</t>
  </si>
  <si>
    <t>Srila Gopala Bhatta Gosvami - Disappearance</t>
  </si>
  <si>
    <t>Srila Gopala Bhatta Gosvami - Desaparecimento</t>
  </si>
  <si>
    <t>Srila Lokanatha Gosvami - Disappearance</t>
  </si>
  <si>
    <t>Srila Lokanatha Gosvami - Desaparecimento</t>
  </si>
  <si>
    <t>Sri Raghunandana Thakura - Disappearance</t>
  </si>
  <si>
    <t>Sri Raghunandana Thakura - Desaparecimento</t>
  </si>
  <si>
    <t>Sri Vamsidasa Babaji - Disappearance</t>
  </si>
  <si>
    <t>Sri Vamsidasa Babaji - Desaparecimento</t>
  </si>
  <si>
    <t>Srila Rupa Gosvami - Disappearance</t>
  </si>
  <si>
    <t>Srila Rupa Gosvami - Desaparecimento</t>
  </si>
  <si>
    <t>Sri Gauridasa Pandita - Disappearance</t>
  </si>
  <si>
    <t>Sri Gauridasa Pandita - Desaparecimento</t>
  </si>
  <si>
    <t>Lord Balarama - Appearance</t>
  </si>
  <si>
    <t>Senhor Balarama - Aparecimento</t>
  </si>
  <si>
    <t>Srimati Sita Thakurani (Sri Advaita's consort) - Appearance</t>
  </si>
  <si>
    <t>Srimati Sita Thakurani (Consorte de Sri Advaita) - Aparecimento</t>
  </si>
  <si>
    <t>Srila Jiva Gosvami - Appearance</t>
  </si>
  <si>
    <t>Srila Jiva Gosvami - Aparecimento</t>
  </si>
  <si>
    <t>Srila Bhaktivinoda Thakura - Appearance</t>
  </si>
  <si>
    <t>Srila Bhaktivinoda Thakura - Aparecimento</t>
  </si>
  <si>
    <t>Srila Haridasa Thakura - Disappearance</t>
  </si>
  <si>
    <t>Srila Haridasa Thakura - Desaparecimento</t>
  </si>
  <si>
    <t>Sri Madhvacarya - Appearance</t>
  </si>
  <si>
    <t>Sri Madhvacarya - Aparecimento</t>
  </si>
  <si>
    <t>Srila Raghunatha Dasa Gosvami - Disappearance</t>
  </si>
  <si>
    <t>Srila Raghunatha Dasa Gosvami - Desaparecimento</t>
  </si>
  <si>
    <t>Srila Raghunatha Bhatta Gosvami - Disappearance</t>
  </si>
  <si>
    <t>Srila Raghunatha Bhatta Gosvami - Desaparecimento</t>
  </si>
  <si>
    <t>Srila Krsnadasa Kaviraja Gosvami - Disappearance</t>
  </si>
  <si>
    <t>Srila Krsnadasa Kaviraja Gosvami - Desaparecimento</t>
  </si>
  <si>
    <t>Sri Murari Gupta - Disappearance</t>
  </si>
  <si>
    <t>Sri Murari Gupta - Desaparecimento</t>
  </si>
  <si>
    <t>Srila Narottama Dasa Thakura - Disappearance</t>
  </si>
  <si>
    <t>Srila Narottama Dasa Thakura - Desaparecimento</t>
  </si>
  <si>
    <t>Sri Virabhadra - Appearance</t>
  </si>
  <si>
    <t>Sri Virabhadra - Aparecimento</t>
  </si>
  <si>
    <t>Sri Rasikananda - Appearance</t>
  </si>
  <si>
    <t>Sri Rasikananda - Aparecimento</t>
  </si>
  <si>
    <t>Sri Vasudeva Ghosh - Disappearance</t>
  </si>
  <si>
    <t>Sri Vasudeva Ghosh - Desaparecimento</t>
  </si>
  <si>
    <t>Srila Prabhupada - Disappearance</t>
  </si>
  <si>
    <t>Srila Prabhupada - Desaparecimento</t>
  </si>
  <si>
    <t>Sri Gadadhara Dasa Gosvami - Disappearance</t>
  </si>
  <si>
    <t>Sri Gadadhara Dasa Gosvami - Desaparecimento</t>
  </si>
  <si>
    <t>Sri Dhananjaya Pandita - Disappearance</t>
  </si>
  <si>
    <t>Sri Dhananjaya Pandita - Desaparecimento</t>
  </si>
  <si>
    <t>Sri Srinivasa Acarya - Disappearance</t>
  </si>
  <si>
    <t>Sri Srinivasa Acarya - Desaparecimento</t>
  </si>
  <si>
    <t>Srila Gaura Kisora Dasa Babaji - Disappearance</t>
  </si>
  <si>
    <t>Srila Gaura Kisora Dasa Babaji - Desaparecimento</t>
  </si>
  <si>
    <t>Sri Bhugarbha Gosvami - Disappearance</t>
  </si>
  <si>
    <t>Sri Bhugarbha Gosvami - Desaparecimento</t>
  </si>
  <si>
    <t>Sri Kasisvara Pandita - Disappearance</t>
  </si>
  <si>
    <t>Sri Kasisvara Pandita - Desaparecimento</t>
  </si>
  <si>
    <t>Sri Nimbarkacarya - Appearance</t>
  </si>
  <si>
    <t>Sri Nimbarkacarya - Aparecimento</t>
  </si>
  <si>
    <t>Sri Narahari Sarakara Thakura - Disappearance</t>
  </si>
  <si>
    <t>Sri Narahari Sarakara Thakura - Desaparecimento</t>
  </si>
  <si>
    <t>Sri Kaliya Krsnadasa - Disappearance</t>
  </si>
  <si>
    <t>Sri Kaliya Krsnadasa - Desaparecimento</t>
  </si>
  <si>
    <t>Sri Saranga Thakura - Disappearance</t>
  </si>
  <si>
    <t>Sri Saranga Thakura - Desaparecimento</t>
  </si>
  <si>
    <t>Srila Bhaktisiddhanta Sarasvati Thakura - Disappearance</t>
  </si>
  <si>
    <t>Srila Bhaktisiddhanta Sarasvati Thakura - Desaparecimento</t>
  </si>
  <si>
    <t>Sri Devananda Pandita - Disappearance</t>
  </si>
  <si>
    <t>Sri Devananda Pandita - Desaparecimento</t>
  </si>
  <si>
    <t>Sri Mahesa Pandita - Disappearance</t>
  </si>
  <si>
    <t>Sri Mahesa Pandita - Desaparecimento</t>
  </si>
  <si>
    <t>Sri Uddharana Datta Thakura - Disappearance</t>
  </si>
  <si>
    <t>Sri Uddharana Datta Thakura - Desaparecimento</t>
  </si>
  <si>
    <t>Sri Locana Dasa Thakura - Appearance</t>
  </si>
  <si>
    <t>Sri Locana Dasa Thakura - Aparecimento</t>
  </si>
  <si>
    <t>Srila Jiva Gosvami - Disappearance</t>
  </si>
  <si>
    <t>Srila Jiva Gosvami - Desaparecimento</t>
  </si>
  <si>
    <t>Sri Jagadisa Pandita - Disappearance</t>
  </si>
  <si>
    <t>Sri Jagadisa Pandita - Desaparecimento</t>
  </si>
  <si>
    <t>Sri Jagadisa Pandita - Appearance</t>
  </si>
  <si>
    <t>Sri Jagadisa Pandita - Aparecimento</t>
  </si>
  <si>
    <t>Sri Ramacandra Kaviraja - Disappearance</t>
  </si>
  <si>
    <t>Sri Ramacandra Kaviraja - Desaparecimento</t>
  </si>
  <si>
    <t>Srila Gopala Bhatta Gosvami - Appearance</t>
  </si>
  <si>
    <t>Srila Gopala Bhatta Gosvami - Aparecimento</t>
  </si>
  <si>
    <t>Sri Jayadeva Gosvami - Disappearance</t>
  </si>
  <si>
    <t>Sri Jayadeva Gosvami - Desaparecimento</t>
  </si>
  <si>
    <t>Sri Locana Dasa Thakura - Disappearance</t>
  </si>
  <si>
    <t>Sri Locana Dasa Thakura - Desaparecimento</t>
  </si>
  <si>
    <t>Srimati Visnupriya Devi - Appearance</t>
  </si>
  <si>
    <t>Srimati Visnupriya Devi - Aparecimento</t>
  </si>
  <si>
    <t>Srila Visvanatha Cakravarti Thakura - Disappearance</t>
  </si>
  <si>
    <t>Srila Visvanatha Cakravarti Thakura - Desaparecimento</t>
  </si>
  <si>
    <t>Sri Pundarika Vidyanidhi - Appearance</t>
  </si>
  <si>
    <t>Sri Pundarika Vidyanidhi - Aparecimento</t>
  </si>
  <si>
    <t>Sri Raghunandana Thakura - Appearance</t>
  </si>
  <si>
    <t>Sri Raghunandana Thakura - Aparecimento</t>
  </si>
  <si>
    <t>Srila Raghunatha Dasa Gosvami - Appearance</t>
  </si>
  <si>
    <t>Srila Raghunatha Dasa Gosvami - Aparecimento</t>
  </si>
  <si>
    <t>Sri Advaita Acarya - Appearance</t>
  </si>
  <si>
    <t>Sri Advaita Acarya - Aparecimento</t>
  </si>
  <si>
    <t>Sri Madhvacarya - Disappearance</t>
  </si>
  <si>
    <t>Sri Madhvacarya - Desaparecimento</t>
  </si>
  <si>
    <t>Sri Ramanujacarya - Disappearance</t>
  </si>
  <si>
    <t>Sri Ramanujacarya - Desaparecimento</t>
  </si>
  <si>
    <t>Srila Narottama Dasa Thakura - Appearance</t>
  </si>
  <si>
    <t>Srila Narottama Dasa Thakura - Aparecimento</t>
  </si>
  <si>
    <t>Sri Purusottama Das Thakura - Disappearance</t>
  </si>
  <si>
    <t>Sri Purusottama Das Thakura - Desaparecimento</t>
  </si>
  <si>
    <t>Srila Bhaktisiddhanta Sarasvati Thakura - Appearance</t>
  </si>
  <si>
    <t>Srila Bhaktisiddhanta Sarasvati Thakura - Aparecimento</t>
  </si>
  <si>
    <t>Sri Isvara Puri - Disappearance</t>
  </si>
  <si>
    <t>Sri Isvara Puri - Desaparecimento</t>
  </si>
  <si>
    <t>Srila Jagannatha Dasa Babaji - Disappearance</t>
  </si>
  <si>
    <t>Srila Jagannatha Dasa Babaji - Desaparecimento</t>
  </si>
  <si>
    <t>Sri Rasikananda - Disappearance</t>
  </si>
  <si>
    <t>Sri Rasikananda - Desaparecimento</t>
  </si>
  <si>
    <t>Sri Purusottama Dasa Thakura - Appearance</t>
  </si>
  <si>
    <t>Sri Purusottama Dasa Thakura - Aparecimento</t>
  </si>
  <si>
    <t>Sri Madhavendra Puri - Disappearance</t>
  </si>
  <si>
    <t>Sri Madhavendra Puri - Desaparecimento</t>
  </si>
  <si>
    <t>Sri Srivasa Pandita - Appearance</t>
  </si>
  <si>
    <t>Sri Srivasa Pandita - Aparecimento</t>
  </si>
  <si>
    <t>Sri Govinda Ghosh - Disappearance</t>
  </si>
  <si>
    <t>Sri Govinda Ghosh - Desaparecimento</t>
  </si>
  <si>
    <t>Sri Ramanujacarya - Appearance</t>
  </si>
  <si>
    <t>Sri Ramanujacarya - Aparecimento</t>
  </si>
  <si>
    <t>Sri Vamsivadana Thakura - Appearance</t>
  </si>
  <si>
    <t>Sri Vamsivadana Thakura - Aparecimento</t>
  </si>
  <si>
    <t>Sri Syamananda Prabhu - Appearance</t>
  </si>
  <si>
    <t>Sri Syamananda Prabhu - Aparecimento</t>
  </si>
  <si>
    <t>Srila Prabhupada - Appearance</t>
  </si>
  <si>
    <t>Srila Prabhupada - Aparecimento</t>
  </si>
  <si>
    <t>Prabhupada go to USA</t>
  </si>
  <si>
    <t>Prabhupada - go to USA</t>
  </si>
  <si>
    <t>ISKCON - incorporation in NY</t>
  </si>
  <si>
    <t>ISKCON incorporation in NY</t>
  </si>
  <si>
    <t>ISKCON - fundação em NY</t>
  </si>
  <si>
    <t>Prabhupada sannyasa</t>
  </si>
  <si>
    <t>Prabhupada arrival in USA</t>
  </si>
  <si>
    <t>Prabhupada - vai para EUA</t>
  </si>
  <si>
    <t>Prabhupada - chega aos EUA</t>
  </si>
  <si>
    <t>Prabhupada - aceita sannyasa</t>
  </si>
  <si>
    <t>Prabhupada - accepts sannyasa</t>
  </si>
  <si>
    <t>Prabhupada - arrives in USA</t>
  </si>
  <si>
    <t>Radha Kunda appearance</t>
  </si>
  <si>
    <t>Bhagavad-gita advent</t>
  </si>
  <si>
    <t>Radha Kunda - Aparecimento</t>
  </si>
  <si>
    <t>Radha Kunda - Appearance</t>
  </si>
  <si>
    <t>ind_msPdfCancel</t>
  </si>
  <si>
    <t>A geração da agenda GPlan em formato pdf foi cancelada!</t>
  </si>
  <si>
    <t>Canceled GPlan planner generation in pdf format!</t>
  </si>
  <si>
    <t>La generación de la agenda GPlan en formato pdf fue cancelada!</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</si>
  <si>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</si>
  <si>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</si>
  <si>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A geração automática da Agenda pode levar alguns minutos. O processo pode ser interrompido a qualquer momento, ao manter pressionada a tecla 'Esc'.</t>
  </si>
  <si>
    <t>DÍAS DE FIESTA, CELEBRACIONES, CUMPLEAÑOS</t>
  </si>
  <si>
    <t>Bhagavad-gita - Advento</t>
  </si>
  <si>
    <t>Bhagavad-gita - Advent</t>
  </si>
  <si>
    <t>Recife</t>
  </si>
  <si>
    <t>Brazil</t>
  </si>
  <si>
    <t>-3:00 America/Recife</t>
  </si>
  <si>
    <t xml:space="preserve">(adequado para jejum)
Jejum por Moksada Ekadasi
Advento do Srimad Bhagavad-gita
</t>
  </si>
  <si>
    <t xml:space="preserve">Katyayani vrata termina
</t>
  </si>
  <si>
    <t xml:space="preserve">Srila Bhaktisiddhanta Sarasvati Thakura - Desaparecimento
</t>
  </si>
  <si>
    <t xml:space="preserve">(adequado para jejum)
Jejum por Saphala Ekadasi
Sri Devananda Pandita - Desaparecimento
</t>
  </si>
  <si>
    <t xml:space="preserve">Sri Mahesa Pandita - Desaparecimento
Sri Uddharana Datta Thakura - Desaparecimento
</t>
  </si>
  <si>
    <t xml:space="preserve">Sri Locana Dasa Thakura - Aparecimento
</t>
  </si>
  <si>
    <t xml:space="preserve">Srila Jiva Gosvami - Desaparecimento
Sri Jagadisa Pandita - Desaparecimento
</t>
  </si>
  <si>
    <t xml:space="preserve">(adequado para jejum)
Jejum por Putrada Ekadasi
</t>
  </si>
  <si>
    <t xml:space="preserve">Sri Ramacandra Kaviraja - Desaparecimento
Srila Gopala Bhatta Gosvami - Aparecimento
</t>
  </si>
  <si>
    <t xml:space="preserve">Sri Jayadeva Gosvami - Desaparecimento
</t>
  </si>
  <si>
    <t xml:space="preserve">Sri Locana Dasa Thakura - Desaparecimento
</t>
  </si>
  <si>
    <t xml:space="preserve">(adequado para jejum)
Jejum por Sat-tila Ekadasi
</t>
  </si>
  <si>
    <t xml:space="preserve">Sri Advaita Acarya - Aparecimento
(Jejum hoje)
</t>
  </si>
  <si>
    <t xml:space="preserve">Sri Madhvacarya - Desaparecimento
</t>
  </si>
  <si>
    <t xml:space="preserve">Sri Ramanujacarya - Desaparecimento
</t>
  </si>
  <si>
    <t xml:space="preserve">(adequado para jejum)
Jejum por Bhaimi Ekadasi
(Jejum hoje por Varahadeva)
</t>
  </si>
  <si>
    <t xml:space="preserve">Nityananda Trayodasi: Aparecimento de Sri Nityananda Prabhu
(Jejum hoje)
</t>
  </si>
  <si>
    <t xml:space="preserve">Sri Krsna Madhura Utsava
Srila Narottama Dasa Thakura - Aparecimento
</t>
  </si>
  <si>
    <t xml:space="preserve">Sri Purusottama Das Thakura - Desaparecimento
Srila Bhaktisiddhanta Sarasvati Thakura - Aparecimento
</t>
  </si>
  <si>
    <t xml:space="preserve">(adequado para jejum)
Jejum por Vijaya Ekadasi
</t>
  </si>
  <si>
    <t>Quebra de jejum 05:23 - 07:18 (hora local)</t>
  </si>
  <si>
    <t xml:space="preserve">Srila Jagannatha Dasa Babaji - Desaparecimento
Sri Rasikananda - Desaparecimento
</t>
  </si>
  <si>
    <t xml:space="preserve">Sri Purusottama Dasa Thakura - Aparecimento
</t>
  </si>
  <si>
    <t xml:space="preserve">(adequado para jejum)
Jejum por Amalaki vrata Ekadasi
</t>
  </si>
  <si>
    <t xml:space="preserve">Gaura Purnima: Aparecimento de Sri Caitanya Mahaprabhu
(Jejum hoje)
</t>
  </si>
  <si>
    <t xml:space="preserve">Festival de Jagannatha Misra
Visnu Masa
</t>
  </si>
  <si>
    <t xml:space="preserve">Sri Srivasa Pandita - Aparecimento
</t>
  </si>
  <si>
    <t xml:space="preserve">Sri Ramanujacarya - Aparecimento
</t>
  </si>
  <si>
    <t xml:space="preserve">Rama Navami: Aparecimento do Senhor Sri Ramacandra
(Jejum hoje)
</t>
  </si>
  <si>
    <t xml:space="preserve">(adequado para jejum)
Jejum por Kamada Ekadasi
</t>
  </si>
  <si>
    <t xml:space="preserve">Sri Abhirama Thakura - Desaparecimento
</t>
  </si>
  <si>
    <t xml:space="preserve">(adequado para jejum)
Fasting for Varuthini Ekadasi
</t>
  </si>
  <si>
    <t xml:space="preserve">Sri Gadadhara Pandita - Aparecimento
</t>
  </si>
  <si>
    <t xml:space="preserve">Aksaya Trtiya. Candana Yatra começa. (Continua por 21 dias)
</t>
  </si>
  <si>
    <t xml:space="preserve">Srimati Sita Devi (consorte do Senhor Sri Rama) - Aparecimento
Sri Madhu Pandita - Desaparecimento
Srimati Jahnava Devi - Aparecimento
</t>
  </si>
  <si>
    <t xml:space="preserve">(adequado para jejum)
Jejum por Mohini Ekadasi
</t>
  </si>
  <si>
    <t xml:space="preserve">Sri Jayananda Prabhu - Desaparecimento
</t>
  </si>
  <si>
    <t xml:space="preserve">Nrsimha Caturdasi: Aparecimento do Senhor Nrsimhadeva
(Jejum hoje)
</t>
  </si>
  <si>
    <t xml:space="preserve">Krsna Phula Dola, Salila Vihara
Sri Paramesvari Dasa Thakura - Desaparecimento
Sri Sri Radha-Ramana Devaji - Aparecimento
Sri Madhavendra Puri - Ap.
Sri Srinivasa Acarya - Ap.
</t>
  </si>
  <si>
    <t xml:space="preserve">Sri Ramananda Raya - Desaparecimento
</t>
  </si>
  <si>
    <t xml:space="preserve">Sri Baladeva Vidyabhusana - Desaparecimento
Ganga Puja
Srimati Gangamata Gosvamini - Aparecimento
</t>
  </si>
  <si>
    <t xml:space="preserve">(adequado para jejum)
Jejum por Pandava Nirjala Ekadasi
(Jejum total, até mesmo de água, se tiver quebrado Ekadasi)
</t>
  </si>
  <si>
    <t xml:space="preserve">Snana Yatra
Sri Mukunda Datta - Desaparecimento
Sri Sridhara Pandita - Desaparecimento
</t>
  </si>
  <si>
    <t xml:space="preserve">Sri Syamananda Prabhu - Desaparecimento
Vamana Masa
</t>
  </si>
  <si>
    <t xml:space="preserve">Sri Vakresvara Pandita - Aparecimento
</t>
  </si>
  <si>
    <t xml:space="preserve">Sri Srivasa Pandita - Desaparecimento
</t>
  </si>
  <si>
    <t xml:space="preserve">(adequado para jejum)
Jejum por Yogini Ekadasi
</t>
  </si>
  <si>
    <t>Quebra de jejum 05:29 - 09:22 (hora local)</t>
  </si>
  <si>
    <t xml:space="preserve">Quebra de jejum 05:29 - 09:22 (hora local)
</t>
  </si>
  <si>
    <t xml:space="preserve">Sri Gadadhara Pandita - Desaparecimento
Srila Bhaktivinoda Thakura - Desaparecimento
</t>
  </si>
  <si>
    <t>Purusottama-adhika</t>
  </si>
  <si>
    <t>Purusottama-adhika Masa</t>
  </si>
  <si>
    <t xml:space="preserve">Purusottama-adhika Masa
</t>
  </si>
  <si>
    <t xml:space="preserve">(adequado para jejum)
Jejum por Padmini Ekadasi
</t>
  </si>
  <si>
    <t xml:space="preserve">(adequado para jejum)
Jejum por Parama Ekadasi
</t>
  </si>
  <si>
    <t xml:space="preserve">Retorno do Ratha (8 dias após o Ratha Yatra)
</t>
  </si>
  <si>
    <t>Primeiro mês de Caturmasya começa [SISTEMA EKADASI ]</t>
  </si>
  <si>
    <t xml:space="preserve">(adequado para jejum)
Jejum por Sayana Ekadasi
</t>
  </si>
  <si>
    <t>Primeiro mês de Caturmasya começa [SISTEMA PURNIMA]</t>
  </si>
  <si>
    <t xml:space="preserve">Guru (Vyasa) Purnima
Srila Sanatana Gosvami - Desaparecimento
Primeiro mês de Caturmasya começa [SISTEMA PURNIMA]
(jejum de vegetais de folhas verdes durante um mês)
</t>
  </si>
  <si>
    <t>Primeiro mês de Caturmasya começa [SISTEMA PRATIPAT]</t>
  </si>
  <si>
    <t xml:space="preserve">Srila Gopala Bhatta Gosvami - Desaparecimento
</t>
  </si>
  <si>
    <t xml:space="preserve">Srila Lokanatha Gosvami - Desaparecimento
</t>
  </si>
  <si>
    <t xml:space="preserve">Fundação da ISKCON em Nova Iorque
</t>
  </si>
  <si>
    <t xml:space="preserve">(adequado para jejum)
Jejum por Kamika Ekadasi
</t>
  </si>
  <si>
    <t xml:space="preserve">Sri Raghunandana Thakura - Desaparecimento
Sri Vamsidasa Babaji - Desaparecimento
</t>
  </si>
  <si>
    <t>Último dia do primeiro mês de Caturmasya [SISTEMA EKADASI ]</t>
  </si>
  <si>
    <t>Segundo mês de Caturmasya começa [SISTEMA EKADASI ]</t>
  </si>
  <si>
    <t>Último dia do primeiro mês de Caturmasya [SISTEMA PURNIMA]</t>
  </si>
  <si>
    <t xml:space="preserve">Último dia do primeiro mês de Caturmasya [SISTEMA PURNIMA]
</t>
  </si>
  <si>
    <t>Segundo mês de Caturmasya começa [SISTEMA PURNIMA]</t>
  </si>
  <si>
    <t>Último dia do primeiro mês de Caturmasya [SISTEMA PRATIPAT]</t>
  </si>
  <si>
    <t xml:space="preserve">Jhulana Yatra termina
Senhor Balarama - Aparecimento
(Jejum hoje)
Segundo mês de Caturmasya começa [SISTEMA PURNIMA]
(jejum de iogurte por um mês)
</t>
  </si>
  <si>
    <t>Segundo mês de Caturmasya começa [SISTEMA PRATIPAT]</t>
  </si>
  <si>
    <t xml:space="preserve">Partida de Srila Prabhupada para os Estados Unidos
Hrsikesa Masa
</t>
  </si>
  <si>
    <t xml:space="preserve">Sri Krsna Janmastami: Aparecimento do Senhor Sri Krsna
(Jejum hoje)
</t>
  </si>
  <si>
    <t xml:space="preserve">Nandotsava
Srila Prabhupada - Aparecimento
</t>
  </si>
  <si>
    <t xml:space="preserve">(adequado para jejum)
Jejum por Annada Ekadasi
</t>
  </si>
  <si>
    <t xml:space="preserve">Srimati Sita Thakurani (Consorte de Sri Advaita) - Aparecimento
</t>
  </si>
  <si>
    <t xml:space="preserve">Radhastami: Aparecimento de Srimati Radharani
</t>
  </si>
  <si>
    <t>Último dia do segundo mês de Caturmasya [SISTEMA EKADASI ]</t>
  </si>
  <si>
    <t>Terceiro mês de Caturmasya começa [SISTEMA EKADASI ]</t>
  </si>
  <si>
    <t xml:space="preserve">(adequado para jejum)
Jejum por Parsva Ekadasi
(Jejum hoje por Vamanadeva)
</t>
  </si>
  <si>
    <t>Último dia do segundo mês de Caturmasya [SISTEMA PURNIMA]</t>
  </si>
  <si>
    <t>Terceiro mês de Caturmasya começa [SISTEMA PURNIMA]</t>
  </si>
  <si>
    <t>Último dia do segundo mês de Caturmasya [SISTEMA PRATIPAT]</t>
  </si>
  <si>
    <t>Terceiro mês de Caturmasya começa [SISTEMA PRATIPAT]</t>
  </si>
  <si>
    <t xml:space="preserve">Chegada de Srila Prabhupada aos Estados Unidos
</t>
  </si>
  <si>
    <t xml:space="preserve">(adequado para jejum)
Jejum por Indira Ekadasi
</t>
  </si>
  <si>
    <t>Último dia do terceiro mês de Caturmasya [SISTEMA EKADASI ]</t>
  </si>
  <si>
    <t xml:space="preserve">Ramacandra Vijayotsava
Sri Madhvacarya - Aparecimento
</t>
  </si>
  <si>
    <t>Quarto mês de Caturmasya começa [SISTEMA EKADASI ]</t>
  </si>
  <si>
    <t xml:space="preserve">(adequado para jejum)
Jejum por Pasankusa Ekadasi
</t>
  </si>
  <si>
    <t>Último dia do terceiro mês de Caturmasya [SISTEMA PURNIMA]</t>
  </si>
  <si>
    <t xml:space="preserve">Último dia do terceiro mês de Caturmasya [SISTEMA PURNIMA]
</t>
  </si>
  <si>
    <t>Quarto mês de Caturmasya começa [SISTEMA PURNIMA]</t>
  </si>
  <si>
    <t>Último dia do terceiro mês de Caturmasya [SISTEMA PRATIPAT]</t>
  </si>
  <si>
    <t xml:space="preserve">Sri Krsna Saradiya Rasayatra
Sri Murari Gupta - Desaparecimento
Laksmi Puja
Quarto mês de Caturmasya começa [SISTEMA PURNIMA]
(jejum de urad dal por um mês)
</t>
  </si>
  <si>
    <t>Quarto mês de Caturmasya começa [SISTEMA PRATIPAT]</t>
  </si>
  <si>
    <t xml:space="preserve">Srila Narottama Dasa Thakura - Desaparecimento
</t>
  </si>
  <si>
    <t xml:space="preserve">Aparecimento do Radha Kunda, snana dana
Bahulastami
</t>
  </si>
  <si>
    <t xml:space="preserve">Sri Virabhadra - Aparecimento
</t>
  </si>
  <si>
    <t xml:space="preserve">Go Puja. Go Krda. Govardhana Puja.
Bali Daityaraja Puja
Sri Rasikananda - Aparecimento
</t>
  </si>
  <si>
    <t xml:space="preserve">Sri Vasudeva Ghosh - Desaparecimento
</t>
  </si>
  <si>
    <t xml:space="preserve">Srila Prabhupada - Desaparecimento
</t>
  </si>
  <si>
    <t>Último dia do quarto mês de Caturmasya [SISTEMA EKADASI ]</t>
  </si>
  <si>
    <t>Último dia do quarto mês de Caturmasya [SISTEMA PURNIMA]</t>
  </si>
  <si>
    <t>Último dia do quarto mês de Caturmasya [SISTEMA PRATIPAT]</t>
  </si>
  <si>
    <t xml:space="preserve">Katyayani vrata começa
Kesava Masa
</t>
  </si>
  <si>
    <t xml:space="preserve">Vasanta Pancami
Srimati Visnupriya Devi - Aparecimento
Sarasvati Puja
Srila Visvanatha Cakravarti Thakura - Desaparecimento
Sri Pundarika Vidyanidhi - Aparecimento
Sri Raghunandana Thakura - Aparecimento
Srila Raghunatha Dasa Gosvami - Aparecimento
</t>
  </si>
  <si>
    <t>Quebra de jejum 05:21 - 09:19 (hora local)</t>
  </si>
  <si>
    <t xml:space="preserve">Srila Vrndavana Dasa Thakura - Desaparecimento
</t>
  </si>
  <si>
    <t>Quebra de jejum 05:22 - 09:18 (hora local)</t>
  </si>
  <si>
    <t xml:space="preserve">Tulasi Jala Dan termina.
</t>
  </si>
  <si>
    <t xml:space="preserve">(adequado para jejum)
Jejum por Apara Ekadasi
</t>
  </si>
  <si>
    <t xml:space="preserve">Ratha Yatra
Sri Svarupa Damodara Gosvami - Desaparecimento
Sri Sivananda Sena - Desaparecimento
</t>
  </si>
  <si>
    <t>Quebra de jejum 05:34 - 09:28 (hora local)</t>
  </si>
  <si>
    <t xml:space="preserve">Srila Bhaktivinoda Thakura - Aparecimento
</t>
  </si>
  <si>
    <t xml:space="preserve">Ananta Caturdasi Vrata
Srila Haridasa Thakura - Desaparecimento
Último dia do segundo mês de Caturmasya [SISTEMA PURNIMA]
</t>
  </si>
  <si>
    <t xml:space="preserve">(adequado para jejum)
Jejum por Rama Ekadasi
</t>
  </si>
  <si>
    <t xml:space="preserve">(adequado para jejum)
Jejum por Utthana Ekadasi
Srila Gaura Kisora Dasa Babaji - Desaparecimento
Primeiro dia de Bhisma Pancaka
</t>
  </si>
  <si>
    <t>Quebra de jejum 04:55 - 08:03 (hora local)</t>
  </si>
  <si>
    <t xml:space="preserve">Quebra de jejum 04:55 - 08:03 (hora local)
</t>
  </si>
  <si>
    <t>Dhanus Sankranti (Sol entra em Sagitário 15 dez, às 12:16 hora local)</t>
  </si>
  <si>
    <t xml:space="preserve">Dhanus Sankranti (Sol entra em Sagitário 15 dez, às 12:16 hora local)
</t>
  </si>
  <si>
    <t>Quebra de jejum 05:02 - 09:13 (hora local)</t>
  </si>
  <si>
    <t>Quebra de jejum 05:09 - 09:21 (hora local)</t>
  </si>
  <si>
    <t xml:space="preserve">Quebra de jejum 05:09 - 09:21 (hora local)
Sri Jagadisa Pandita - Aparecimento
</t>
  </si>
  <si>
    <t>Makara Sankranti (Sol entra em Capricórnio 13 jan, às 23:00 hora local)</t>
  </si>
  <si>
    <t xml:space="preserve">Ganga Sagara Mela
Makara Sankranti (Sol entra em Capricórnio 13 jan, às 23:00 hora local)
</t>
  </si>
  <si>
    <t>Quebra de jejum 05:16 - 09:26 (hora local)</t>
  </si>
  <si>
    <t xml:space="preserve">Quebra de jejum 05:16 - 09:26 (hora local)
</t>
  </si>
  <si>
    <t xml:space="preserve">Srila Jiva Gosvami - Desaparecimento
Sri Jagadisa Pandita - Desaparecimento
Confraternização Universal
</t>
  </si>
  <si>
    <t xml:space="preserve">Dia do Trabalho
</t>
  </si>
  <si>
    <t xml:space="preserve">Quebra de jejum 05:02 - 09:13 (hora local)
Natal
</t>
  </si>
  <si>
    <t xml:space="preserve">Terça-feira de Carnaval
</t>
  </si>
  <si>
    <t xml:space="preserve">Sri Balarama Rasayatra
Sri Krsna Vasanta Rasa
Sri Vamsivadana Thakura - Aparecimento
Sri Syamananda Prabhu - Aparecimento
Sábado de Aleluia
</t>
  </si>
  <si>
    <t xml:space="preserve">Madhusudana Masa
Domingo de Páscoa
</t>
  </si>
  <si>
    <t xml:space="preserve">Outono
</t>
  </si>
  <si>
    <t xml:space="preserve">Inverno
</t>
  </si>
  <si>
    <t xml:space="preserve">Primavera
</t>
  </si>
  <si>
    <t xml:space="preserve">Verão
</t>
  </si>
  <si>
    <t>(Fast today for Sri Nityananda)</t>
  </si>
  <si>
    <t xml:space="preserve">(adequado para jejum)
Jejum por Bhaimi Ekadasi
Varaha Dvadasi: Aparecimento do Senhor Varahadeva
(Jejum hoje)
(Fast today for Sri Nityananda)
</t>
  </si>
  <si>
    <t>Quebra de jejum 05:21 - 09:29 (hora local)</t>
  </si>
  <si>
    <t xml:space="preserve">Quebra de jejum 05:21 - 09:29 (hora local)
Nityananda Trayodasi: Aparecimento de Sri Nityananda Prabhu
(O jejum foi feito ontem)
</t>
  </si>
  <si>
    <t>Kumbha Sankranti (Sol entra em Aquário 13 fev, às 11:57 hora local)</t>
  </si>
  <si>
    <t xml:space="preserve">Kumbha Sankranti (Sol entra em Aquário 13 fev, às 11:57 hora local)
</t>
  </si>
  <si>
    <t>Quebra de jejum 05:23 - 09:29 (hora local)</t>
  </si>
  <si>
    <t xml:space="preserve">Quebra de jejum 05:23 - 09:29 (hora local)
Sri Isvara Puri - Desaparecimento
</t>
  </si>
  <si>
    <t>Quebra de jejum 05:24 - 09:28 (hora local)</t>
  </si>
  <si>
    <t xml:space="preserve">Quebra de jejum 05:24 - 09:28 (hora local)
Sri Madhavendra Puri - Desaparecimento
</t>
  </si>
  <si>
    <t>Mina Sankranti (Sol entra em Peixes 14 mar, às 08:50 hora local)</t>
  </si>
  <si>
    <t xml:space="preserve">Mina Sankranti (Sol entra em Peixes 14 mar, às 08:50 hora local)
</t>
  </si>
  <si>
    <t xml:space="preserve">(adequado para jejum)
Trisprsa Mahadvadasi
Jejum por Papamocani Ekadasi
</t>
  </si>
  <si>
    <t>Quebra de jejum 05:23 - 09:24 (hora local)</t>
  </si>
  <si>
    <t xml:space="preserve">Quebra de jejum 05:23 - 09:24 (hora local)
Sri Govinda Ghosh - Desaparecimento
</t>
  </si>
  <si>
    <t>Quebra de jejum 06:28 - 09:21 (hora local)</t>
  </si>
  <si>
    <t xml:space="preserve">Quebra de jejum 06:28 - 09:21 (hora local)
Damanakaropana Dvadasi
</t>
  </si>
  <si>
    <t xml:space="preserve">Sri Balarama Rasayatra
Sri Krsna Vasanta Rasa
Sri Vamsivadana Thakura - Aparecimento
Sri Syamananda Prabhu - Aparecimento
</t>
  </si>
  <si>
    <t>Mesa Sankranti (Sol entra em Áries 13 abr, às 17:19 hora local)</t>
  </si>
  <si>
    <t xml:space="preserve">Quebra de jejum 05:21 - 09:19 (hora local)
</t>
  </si>
  <si>
    <t xml:space="preserve">Quebra de jejum 05:22 - 09:18 (hora local)
Rukmini Dvadasi
</t>
  </si>
  <si>
    <t>Vrsabha Sankranti (Sol entra em Touro 14 mai, às 14:12 hora local)</t>
  </si>
  <si>
    <t xml:space="preserve">Sri Ramananda Raya - Desaparecimento
Vrsabha Sankranti (Sol entra em Touro 14 mai, às 14:12 hora local)
</t>
  </si>
  <si>
    <t xml:space="preserve">(adequado para jejum)
Trisprsa Mahadvadasi
Jejum por Apara Ekadasi
</t>
  </si>
  <si>
    <t>Quebra de jejum 05:24 - 09:19 (hora local)</t>
  </si>
  <si>
    <t xml:space="preserve">Quebra de jejum 05:24 - 09:19 (hora local)
Srila Vrndavana Dasa Thakura - Aparecimento
</t>
  </si>
  <si>
    <t>Quebra de jejum 07:45 - 09:21 (hora local)</t>
  </si>
  <si>
    <t xml:space="preserve">Quebra de jejum 07:45 - 09:21 (hora local)
</t>
  </si>
  <si>
    <t>Mithuna Sankranti (Sol entra em Gêmeos 14 jun, às 20:48 hora local)</t>
  </si>
  <si>
    <t>Quebra de jejum 05:31 - 09:24 (hora local)</t>
  </si>
  <si>
    <t xml:space="preserve">Quebra de jejum 05:31 - 09:24 (hora local)
</t>
  </si>
  <si>
    <t xml:space="preserve">Hera Pancami (4 dias após o Ratha Yatra)
Sri Vakresvara Pandita - Desaparecimento
</t>
  </si>
  <si>
    <t>Quebra de jejum 05:34 - 09:27 (hora local)</t>
  </si>
  <si>
    <t xml:space="preserve">Quebra de jejum 05:34 - 09:27 (hora local)
</t>
  </si>
  <si>
    <t>Karka Sankranti (Sol entra em Câncer 16 jul, às 07:40 hora local)</t>
  </si>
  <si>
    <t xml:space="preserve">Srila Lokanatha Gosvami - Desaparecimento
Karka Sankranti (Sol entra em Câncer 16 jul, às 07:40 hora local)
</t>
  </si>
  <si>
    <t xml:space="preserve">Quebra de jejum 05:34 - 09:28 (hora local)
</t>
  </si>
  <si>
    <t>Quebra de jejum 05:32 - 09:27 (hora local)</t>
  </si>
  <si>
    <t xml:space="preserve">Quebra de jejum 05:32 - 09:27 (hora local)
Srila Rupa Gosvami - Desaparecimento
Sri Gauridasa Pandita - Desaparecimento
</t>
  </si>
  <si>
    <t>Simha Sankranti (Sol entra em Leão 16 ago, às 16:05 hora local)</t>
  </si>
  <si>
    <t xml:space="preserve">Simha Sankranti (Sol entra em Leão 16 ago, às 16:05 hora local)
</t>
  </si>
  <si>
    <t>Quebra de jejum 05:26 - 09:24 (hora local)</t>
  </si>
  <si>
    <t xml:space="preserve">Quebra de jejum 05:26 - 09:24 (hora local)
</t>
  </si>
  <si>
    <t>Quebra de jejum 07:33 - 09:19 (hora local)</t>
  </si>
  <si>
    <t xml:space="preserve">Quebra de jejum 07:33 - 09:19 (hora local)
Sri Vamana Dvadasi: Aparecimento do Senhor Vamanadeva
(O jejum foi feito ontem)
Srila Jiva Gosvami - Aparecimento
</t>
  </si>
  <si>
    <t xml:space="preserve">Sri Visvarupa Mahotsava
Aceitação de sannyasa por Srila Prabhupada
Terceiro mês de Caturmasya começa [SISTEMA PURNIMA]
(jejum de leite por um mês)
</t>
  </si>
  <si>
    <t>Kanya Sankranti (Sol entra em Virgem 16 set, às 16:02 hora local)</t>
  </si>
  <si>
    <t>Quebra de jejum 05:11 - 06:14 (hora local)</t>
  </si>
  <si>
    <t xml:space="preserve">Quebra de jejum 05:11 - 06:14 (hora local)
Kanya Sankranti (Sol entra em Virgem 16 set, às 16:02 hora local)
</t>
  </si>
  <si>
    <t>Quebra de jejum 05:03 - 09:07 (hora local)</t>
  </si>
  <si>
    <t xml:space="preserve">Quebra de jejum 05:03 - 09:07 (hora local)
Srila Raghunatha Dasa Gosvami - Desaparecimento
Srila Raghunatha Bhatta Gosvami - Desaparecimento
Srila Krsnadasa Kaviraja Gosvami - Desaparecimento
</t>
  </si>
  <si>
    <t>Quebra de jejum 04:56 - 09:02 (hora local)</t>
  </si>
  <si>
    <t xml:space="preserve">Quebra de jejum 04:56 - 09:02 (hora local)
</t>
  </si>
  <si>
    <t>Tula Sankranti (Sol entra em Libra 17 out, às 04:00 hora local)</t>
  </si>
  <si>
    <t xml:space="preserve">Tula Sankranti (Sol entra em Libra 17 out, às 04:00 hora local)
</t>
  </si>
  <si>
    <t>Quebra de jejum 04:51 - 08:59 (hora local)</t>
  </si>
  <si>
    <t xml:space="preserve">Sri Bhugarbha Gosvami - Desaparecimento
Sri Kasisvara Pandita - Desaparecimento
Último dia de Bhisma Pancaka
Último dia do quarto mês de Caturmasya [SISTEMA PURNIMA]
</t>
  </si>
  <si>
    <t xml:space="preserve">Sri Krsna Rasayatra
Tulasi-Saligrama Vivaha (casamento)
Sri Nimbarkacarya - Aparecimento
Katyayani vrata começa
Kesava Masa
</t>
  </si>
  <si>
    <t xml:space="preserve">Sri Narahari Sarakara Thakura - Desaparecimento
</t>
  </si>
  <si>
    <t xml:space="preserve">(adequado para jejum)
Jejum por Utpanna Ekadasi
Sri Kaliya Krsnadasa - Desaparecimento
</t>
  </si>
  <si>
    <t>Quebra de jejum 04:49 - 08:59 (hora local)</t>
  </si>
  <si>
    <t>Vrscika Sankranti (Sol entra em Escorpião 16 nov, às 03:47 hora local)</t>
  </si>
  <si>
    <t xml:space="preserve">Vrscika Sankranti (Sol entra em Escorpião 16 nov, às 03:47 hora local)
</t>
  </si>
  <si>
    <t>Quebra de jejum 06:24 - 09:02 (hora local)</t>
  </si>
  <si>
    <t xml:space="preserve">Quebra de jejum 06:24 - 09:02 (hora local)
</t>
  </si>
  <si>
    <t>Quebra de jejum 04:56 - 09:08 (hora local)</t>
  </si>
  <si>
    <t xml:space="preserve">Quebra de jejum 04:56 - 09:08 (hora local)
</t>
  </si>
  <si>
    <t>Dhanus Sankranti (Sol entra em Sagitário 15 dez, às 18:26 hora local)</t>
  </si>
  <si>
    <t xml:space="preserve">Dhanus Sankranti (Sol entra em Sagitário 15 dez, às 18:26 hora local)
</t>
  </si>
  <si>
    <t>Quebra de jejum 05:04 - 09:16 (hora local)</t>
  </si>
  <si>
    <t xml:space="preserve">Quebra de jejum 05:04 - 09:16 (hora local)
Sri Jagadisa Pandita - Aparecimento
</t>
  </si>
  <si>
    <t>Quebra de jejum 05:11 - 09:22 (hora local)</t>
  </si>
  <si>
    <t xml:space="preserve">Quebra de jejum 05:11 - 09:22 (hora local)
</t>
  </si>
  <si>
    <t>Makara Sankranti (Sol entra em Capricórnio 14 jan, às 05:09 hora local)</t>
  </si>
  <si>
    <t xml:space="preserve">Ganga Sagara Mela
Makara Sankranti (Sol entra em Capricórnio 14 jan, às 05:09 hora local)
</t>
  </si>
  <si>
    <t xml:space="preserve">Sri Madhvacarya - Desaparecimento
Sri Ramanujacarya - Desaparecimento
</t>
  </si>
  <si>
    <t>Quebra de jejum 05:18 - 09:27 (hora local)</t>
  </si>
  <si>
    <t xml:space="preserve">Quebra de jejum 05:18 - 09:27 (hora local)
Varaha Dvadasi: Aparecimento do Senhor Varahadeva
(O jejum foi feito ontem)
</t>
  </si>
  <si>
    <t>Quebra de jejum 05:22 - 09:29 (hora local)</t>
  </si>
  <si>
    <t xml:space="preserve">Quebra de jejum 05:22 - 09:29 (hora local)
Sri Isvara Puri - Desaparecimento
</t>
  </si>
  <si>
    <t>Kumbha Sankranti (Sol entra em Aquário 12 fev, às 18:07 hora local)</t>
  </si>
  <si>
    <t>Quebra de jejum 05:24 - 06:11 (hora local)</t>
  </si>
  <si>
    <t xml:space="preserve">Quebra de jejum 05:24 - 06:11 (hora local)
Sri Madhavendra Puri - Desaparecimento
</t>
  </si>
  <si>
    <t>Vyanjuli Mahadvadasi</t>
  </si>
  <si>
    <t xml:space="preserve">(adequado para jejum)
Vyanjuli Mahadvadasi
Jejum por Papamocani Ekadasi
Sri Govinda Ghosh - Desaparecimento
</t>
  </si>
  <si>
    <t xml:space="preserve">Quebra de jejum 05:23 - 07:18 (hora local)
</t>
  </si>
  <si>
    <t>Mina Sankranti (Sol entra em Peixes 14 mar, às 14:58 hora local)</t>
  </si>
  <si>
    <t xml:space="preserve">Mina Sankranti (Sol entra em Peixes 14 mar, às 14:58 hora local)
</t>
  </si>
  <si>
    <t>Quebra de jejum 05:22 - 09:24 (hora local)</t>
  </si>
  <si>
    <t xml:space="preserve">Quebra de jejum 05:22 - 09:24 (hora local)
Damanakaropana Dvadasi
</t>
  </si>
  <si>
    <t>Quebra de jejum 05:58 - 09:20 (hora local)</t>
  </si>
  <si>
    <t xml:space="preserve">Quebra de jejum 05:58 - 09:20 (hora local)
</t>
  </si>
  <si>
    <t>Mesa Sankranti (Sol entra em Áries 13 abr, às 23:27 hora local)</t>
  </si>
  <si>
    <t xml:space="preserve">Tulasi Jala Dan começa.
Mesa Sankranti (Sol entra em Áries 13 abr, às 23:27 hora local)
</t>
  </si>
  <si>
    <t>Quebra de jejum 06:34 - 09:18 (hora local)</t>
  </si>
  <si>
    <t xml:space="preserve">Quebra de jejum 06:34 - 09:18 (hora local)
Rukmini Dvadasi
</t>
  </si>
  <si>
    <t xml:space="preserve">Quebra de jejum 05:22 - 09:18 (hora local)
Srila Vrndavana Dasa Thakura - Aparecimento
</t>
  </si>
  <si>
    <t>Vrsabha Sankranti (Sol entra em Touro 14 mai, às 20:19 hora local)</t>
  </si>
  <si>
    <t xml:space="preserve">Vrsabha Sankranti (Sol entra em Touro 14 mai, às 20:19 hora local)
</t>
  </si>
  <si>
    <t>Quebra de jejum 05:25 - 09:12 (hora local)</t>
  </si>
  <si>
    <t xml:space="preserve">Quebra de jejum 05:25 - 09:12 (hora local)
</t>
  </si>
  <si>
    <t>Trivikrama (Second half)</t>
  </si>
  <si>
    <t>Trivikrama (Second half) Masa</t>
  </si>
  <si>
    <t xml:space="preserve">Trivikrama (Second half) Masa
</t>
  </si>
  <si>
    <t>Mithuna Sankranti (Sol entra em Gêmeos 15 jun, às 02:55 hora local)</t>
  </si>
  <si>
    <t xml:space="preserve">Mithuna Sankranti (Sol entra em Gêmeos 15 jun, às 02:55 hora local)
</t>
  </si>
  <si>
    <t>Quebra de jejum 05:32 - 09:25 (hora local)</t>
  </si>
  <si>
    <t xml:space="preserve">Quebra de jejum 05:32 - 09:25 (hora local)
</t>
  </si>
  <si>
    <t>Karka Sankranti (Sol entra em Câncer 16 jul, às 13:48 hora local)</t>
  </si>
  <si>
    <t xml:space="preserve">Karka Sankranti (Sol entra em Câncer 16 jul, às 13:48 hora local)
</t>
  </si>
  <si>
    <t>Quebra de jejum 05:31 - 09:27 (hora local)</t>
  </si>
  <si>
    <t xml:space="preserve">Quebra de jejum 05:31 - 09:27 (hora local)
</t>
  </si>
  <si>
    <t>Simha Sankranti (Sol entra em Leão 16 ago, às 22:13 hora local)</t>
  </si>
  <si>
    <t xml:space="preserve">Simha Sankranti (Sol entra em Leão 16 ago, às 22:13 hora local)
</t>
  </si>
  <si>
    <t>Quebra de jejum 05:51 - 09:23 (hora local)</t>
  </si>
  <si>
    <t xml:space="preserve">Quebra de jejum 05:51 - 09:23 (hora local)
Srila Rupa Gosvami - Desaparecimento
Sri Gauridasa Pandita - Desaparecimento
</t>
  </si>
  <si>
    <t>Quebra de jejum 05:17 - 09:17 (hora local)</t>
  </si>
  <si>
    <t>Kanya Sankranti (Sol entra em Virgem 16 set, às 22:10 hora local)</t>
  </si>
  <si>
    <t xml:space="preserve">Radhastami: Aparecimento de Srimati Radharani
Kanya Sankranti (Sol entra em Virgem 16 set, às 22:10 hora local)
</t>
  </si>
  <si>
    <t>Quebra de jejum 05:09 - 09:11 (hora local)</t>
  </si>
  <si>
    <t xml:space="preserve">Quebra de jejum 05:09 - 09:11 (hora local)
Sri Vamana Dvadasi: Aparecimento do Senhor Vamanadeva
(O jejum foi feito ontem)
Srila Jiva Gosvami - Aparecimento
</t>
  </si>
  <si>
    <t>Quebra de jejum 05:01 - 08:12 (hora local)</t>
  </si>
  <si>
    <t xml:space="preserve">Quebra de jejum 05:01 - 08:12 (hora local)
</t>
  </si>
  <si>
    <t>Tula Sankranti (Sol entra em Libra 17 out, às 10:08 hora local)</t>
  </si>
  <si>
    <t xml:space="preserve">Tula Sankranti (Sol entra em Libra 17 out, às 10:08 hora local)
</t>
  </si>
  <si>
    <t>Quebra de jejum 04:54 - 09:00 (hora local)</t>
  </si>
  <si>
    <t xml:space="preserve">Quebra de jejum 04:54 - 09:00 (hora local)
Srila Raghunatha Dasa Gosvami - Desaparecimento
Srila Raghunatha Bhatta Gosvami - Desaparecimento
Srila Krsnadasa Kaviraja Gosvami - Desaparecimento
</t>
  </si>
  <si>
    <t>Quebra de jejum 04:50 - 08:58 (hora local)</t>
  </si>
  <si>
    <t xml:space="preserve">Quebra de jejum 04:50 - 08:58 (hora local)
</t>
  </si>
  <si>
    <t>Vrscika Sankranti (Sol entra em Escorpião 16 nov, às 09:55 hora local)</t>
  </si>
  <si>
    <t xml:space="preserve">Jagaddhatri Puja
Vrscika Sankranti (Sol entra em Escorpião 16 nov, às 09:55 hora local)
</t>
  </si>
  <si>
    <t>Quebra de jejum 04:49 - 06:12 (hora local)</t>
  </si>
  <si>
    <t xml:space="preserve">Último dia do quarto mês de Caturmasya [SISTEMA PURNIMA]
</t>
  </si>
  <si>
    <t xml:space="preserve">Sri Bhugarbha Gosvami - Desaparecimento
Sri Kasisvara Pandita - Desaparecimento
Sri Krsna Rasayatra
Tulasi-Saligrama Vivaha (casamento)
Sri Nimbarkacarya - Aparecimento
Último dia de Bhisma Pancaka
</t>
  </si>
  <si>
    <t xml:space="preserve">(adequado para jejum)
Jejum por Utpanna Ekadasi
Sri Narahari Sarakara Thakura - Desaparecimento
Sri Kaliya Krsnadasa - Desaparecimento
</t>
  </si>
  <si>
    <t>Quebra de jejum 04:52 - 09:04 (hora local)</t>
  </si>
  <si>
    <t xml:space="preserve">Quebra de jejum 04:52 - 09:04 (hora local)
Sri Saranga Thakura - Desaparecimento
</t>
  </si>
  <si>
    <t>Dhanus Sankranti (Sol entra em Sagitário 16 dez, às 00:34 hora local)</t>
  </si>
  <si>
    <t xml:space="preserve">Dhanus Sankranti (Sol entra em Sagitário 16 dez, às 00:34 hora local)
</t>
  </si>
  <si>
    <t>Quebra de jejum 04:58 - 09:10 (hora local)</t>
  </si>
  <si>
    <t xml:space="preserve">Quebra de jejum 04:58 - 09:10 (hora local)
</t>
  </si>
  <si>
    <t>Quebra de jejum 05:05 - 09:17 (hora local)</t>
  </si>
  <si>
    <t xml:space="preserve">Quebra de jejum 05:05 - 09:17 (hora local)
</t>
  </si>
  <si>
    <t>Makara Sankranti (Sol entra em Capricórnio 14 jan, às 11:17 hora local)</t>
  </si>
  <si>
    <t xml:space="preserve">Ganga Sagara Mela
Makara Sankranti (Sol entra em Capricórnio 14 jan, às 11:17 hora local)
</t>
  </si>
  <si>
    <t>Quebra de jejum 05:14 - 09:24 (hora local)</t>
  </si>
  <si>
    <t xml:space="preserve">Quebra de jejum 05:14 - 09:24 (hora local)
Sri Jagadisa Pandita - Aparecimento
</t>
  </si>
  <si>
    <t xml:space="preserve">Sri Krsna Pusya Abhiseka
Madhava Masa
</t>
  </si>
  <si>
    <t xml:space="preserve">Sri Krsna Pusya Abhiseka
Confraternização Universal
</t>
  </si>
  <si>
    <t xml:space="preserve">(adequado para jejum)
Jejum por Saphala Ekadasi
Sri Devananda Pandita - Desaparecimento
Confraternização Universal
</t>
  </si>
  <si>
    <t xml:space="preserve">Srila Vrndavana Dasa Thakura - Desaparecimento
Tiradentes
</t>
  </si>
  <si>
    <t xml:space="preserve">Tiradentes
</t>
  </si>
  <si>
    <t xml:space="preserve">Quebra de jejum 05:17 - 09:17 (hora local)
Independência
</t>
  </si>
  <si>
    <t xml:space="preserve">Quebra de jejum 04:49 - 08:59 (hora local)
Sri Saranga Thakura - Desaparecimento
Proc. da República
</t>
  </si>
  <si>
    <t xml:space="preserve">Gopastami, Gosthastami
Sri Gadadhara Dasa Gosvami - Desaparecimento
Sri Dhananjaya Pandita - Desaparecimento
Sri Srinivasa Acarya - Desaparecimento
Proc. da República
</t>
  </si>
  <si>
    <t xml:space="preserve">Kumbha Sankranti (Sol entra em Aquário 12 fev, às 18:07 hora local)
Terça-feira de Carnaval
</t>
  </si>
  <si>
    <t xml:space="preserve">Siva Ratri
Quarta-feira de Cinzas
</t>
  </si>
  <si>
    <t xml:space="preserve">Rama Navami: Aparecimento do Senhor Sri Ramacandra
(Jejum hoje)
Domingo de Ramos
</t>
  </si>
  <si>
    <t xml:space="preserve">Tulasi Jala Dan começa.
Mesa Sankranti (Sol entra em Áries 13 abr, às 17:19 hora local)
Paixão de Cristo
</t>
  </si>
  <si>
    <t xml:space="preserve">Mithuna Sankranti (Sol entra em Gêmeos 14 jun, às 20:48 hora local)
Corpus Christi
</t>
  </si>
  <si>
    <t xml:space="preserve">Tulasi Jala Dan termina.
Dia das Mães (2º domingo de maio)
</t>
  </si>
  <si>
    <t xml:space="preserve">Sri Srivasa Pandita - Aparecimento
Outono
</t>
  </si>
  <si>
    <t xml:space="preserve">(adequado para jejum)
Jejum por Yogini Ekadasi
Inverno
</t>
  </si>
  <si>
    <t xml:space="preserve">Srila Bhaktivinoda Thakura - Aparecimento
Primavera
</t>
  </si>
  <si>
    <t xml:space="preserve">Srila Jiva Gosvami - Desaparecimento
Sri Jagadisa Pandita - Desaparecimento
Verão
</t>
  </si>
  <si>
    <t>GCal 11, Build 2</t>
  </si>
  <si>
    <t>Fasting for Pavitraropana Ekadasi</t>
  </si>
  <si>
    <t xml:space="preserve">(adequado para jejum)
Fasting for Pavitraropana Ekadasi
Radha Govinda Jhulana Yatra começa
</t>
  </si>
  <si>
    <t>Gcal Path</t>
  </si>
  <si>
    <t>Gcal not found</t>
  </si>
  <si>
    <t>Load Error</t>
  </si>
  <si>
    <t>Gcal Download</t>
  </si>
  <si>
    <t>GCalWebsite</t>
  </si>
  <si>
    <t>Baixe o Gcal 11, descompacte, e copie para a mesma pasta deste arquivo.</t>
  </si>
  <si>
    <t>Download Gcal 11, unzip and copy to the same folder of this file.</t>
  </si>
  <si>
    <t>Descargue Gcal 11, descomprima y copie en el mismo directorio de este archivo.</t>
  </si>
  <si>
    <t>Yoga: Ganda
Naksatra: Swati</t>
  </si>
  <si>
    <t>Dia Internacional da Mulher</t>
  </si>
  <si>
    <t>Dia do Amigo</t>
  </si>
  <si>
    <t>Dia do Índio</t>
  </si>
  <si>
    <t>Dia do Descobrimento do Brasil</t>
  </si>
  <si>
    <t>Dia da Abolição da Escravidão</t>
  </si>
  <si>
    <t>Dia da Vovó</t>
  </si>
  <si>
    <t>Dia Nacional do Estudante</t>
  </si>
  <si>
    <t>Dia Internacional do Idoso</t>
  </si>
  <si>
    <t>Dia do Professor</t>
  </si>
  <si>
    <t>Dia do Servidor Público</t>
  </si>
  <si>
    <t>Dia do Comerciário</t>
  </si>
  <si>
    <t>Dia de Todos os Santos</t>
  </si>
  <si>
    <t>Dia da Bandeira</t>
  </si>
  <si>
    <t>Dia da Consciência Negra</t>
  </si>
  <si>
    <t>N. Sra. Aparecida / Dia das Crianças</t>
  </si>
  <si>
    <t xml:space="preserve">(adequado para jejum)
Jejum por Amalaki vrata Ekadasi
Dia Internacional da Mulher
</t>
  </si>
  <si>
    <t xml:space="preserve">Dia Internacional da Mulher
</t>
  </si>
  <si>
    <t xml:space="preserve">Sri Abhirama Thakura - Desaparecimento
Dia do Amigo
</t>
  </si>
  <si>
    <t xml:space="preserve">Aksaya Trtiya. Candana Yatra começa. (Continua por 21 dias)
Dia do Amigo
</t>
  </si>
  <si>
    <t xml:space="preserve">Dia do Índio
</t>
  </si>
  <si>
    <t xml:space="preserve">(adequado para jejum)
Fasting for Varuthini Ekadasi
Dia do Descobrimento do Brasil
</t>
  </si>
  <si>
    <t xml:space="preserve">Jahnu Saptami
Dia do Descobrimento do Brasil
</t>
  </si>
  <si>
    <t xml:space="preserve">Dia da Abolição da Escravidão
</t>
  </si>
  <si>
    <t xml:space="preserve">Sri Raghunandana Thakura - Desaparecimento
Sri Vamsidasa Babaji - Desaparecimento
Dia da Vovó
</t>
  </si>
  <si>
    <t xml:space="preserve">Dia da Vovó
</t>
  </si>
  <si>
    <t xml:space="preserve">Dia Nacional do Estudante
</t>
  </si>
  <si>
    <t xml:space="preserve">(adequado para jejum)
Jejum por Pasankusa Ekadasi
Dia Internacional do Idoso
</t>
  </si>
  <si>
    <t xml:space="preserve">Chegada de Srila Prabhupada aos Estados Unidos
Dia Internacional do Idoso
</t>
  </si>
  <si>
    <t xml:space="preserve">Aparecimento do Radha Kunda, snana dana
Bahulastami
N. Sra. Aparecida / Dia das Crianças
</t>
  </si>
  <si>
    <t xml:space="preserve">N. Sra. Aparecida / Dia das Crianças
</t>
  </si>
  <si>
    <t xml:space="preserve">(adequado para jejum)
Jejum por Rama Ekadasi
Dia do Professor
</t>
  </si>
  <si>
    <t xml:space="preserve">Durga Puja
Dia do Professor
</t>
  </si>
  <si>
    <t xml:space="preserve">Gopastami, Gosthastami
Sri Gadadhara Dasa Gosvami - Desaparecimento
Sri Dhananjaya Pandita - Desaparecimento
Sri Srinivasa Acarya - Desaparecimento
Dia do Servidor Público
</t>
  </si>
  <si>
    <t xml:space="preserve">Dia do Servidor Público
</t>
  </si>
  <si>
    <t xml:space="preserve">Dia do Comerciário
</t>
  </si>
  <si>
    <t xml:space="preserve">Quebra de jejum 04:51 - 08:59 (hora local)
Dia de Todos os Santos
</t>
  </si>
  <si>
    <t xml:space="preserve">Sri Virabhadra - Aparecimento
Dia de Todos os Santos
</t>
  </si>
  <si>
    <t xml:space="preserve">Dia da Bandeira
</t>
  </si>
  <si>
    <t xml:space="preserve">(adequado para jejum)
Jejum por Utthana Ekadasi
Srila Gaura Kisora Dasa Babaji - Desaparecimento
Primeiro dia de Bhisma Pancaka
Dia da Bandeira
</t>
  </si>
  <si>
    <t xml:space="preserve">Dia da Consciência Negra
</t>
  </si>
  <si>
    <t xml:space="preserve">Quebra de jejum 04:49 - 06:12 (hora local)
Dia da Consciência Negra
</t>
  </si>
  <si>
    <t xml:space="preserve">Dia da Abolição da Escravidão
Dia das Mães (2º domingo de maio)
</t>
  </si>
  <si>
    <t>Celebration Type</t>
  </si>
  <si>
    <t>17.2</t>
  </si>
  <si>
    <t>(Última revisão em 25 de dezembro de 2016)</t>
  </si>
  <si>
    <t>(*)Notas, links e outros esclarecimentos na contracapa.</t>
  </si>
  <si>
    <t>Apresentação - Notas e Links</t>
  </si>
  <si>
    <r>
      <t xml:space="preserve">    O arquivo eletrônico no formato da planilha Excel</t>
    </r>
    <r>
      <rPr>
        <vertAlign val="superscript"/>
        <sz val="12"/>
        <rFont val="Verdana"/>
        <family val="2"/>
      </rPr>
      <t>®</t>
    </r>
    <r>
      <rPr>
        <sz val="12"/>
        <rFont val="Verdana"/>
        <family val="2"/>
      </rPr>
      <t xml:space="preserve"> e as amostras em meio</t>
    </r>
  </si>
  <si>
    <t xml:space="preserve">         www.gopala.blog.br</t>
  </si>
  <si>
    <t xml:space="preserve">    "transparente" recomendadas pela licença "GNU FDL" podem ser acessadas em:</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</si>
  <si>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</si>
  <si>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</si>
  <si>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</si>
  <si>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</si>
  <si>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</si>
  <si>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</si>
  <si>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</si>
  <si>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</si>
  <si>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</si>
  <si>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</si>
  <si>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         www.github.com/gopaladasa/Gplan</t>
  </si>
  <si>
    <t xml:space="preserve">         www.gopaladasa.xpg.com.br</t>
  </si>
  <si>
    <t>Copyright (c) 2005-2017 PAULO SERGIO DE ARAUJO.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</si>
</sst>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d"/>
    <numFmt numFmtId="165" formatCode="00"/>
    <numFmt numFmtId="166" formatCode="h:mm;@"/>
    <numFmt numFmtId="167" formatCode="dd"/>
    <numFmt numFmtId="168" formatCode="dd/mm/yyyy;@"/>
    <numFmt numFmtId="169" formatCode="[$-F400]h:mm:ss\ AM/PM"/>
    <numFmt numFmtId="170" formatCode="0.0000"/>
    <numFmt numFmtId="171" formatCode="[$-416]dd\-mmm;@"/>
  </numFmts>
  <fonts count="65">
    <font>
      <sz val="10"/>
      <name val="Arial"/>
    </font>
    <font>
      <sz val="10"/>
      <name val="Arial"/>
      <family val="2"/>
    </font>
    <font>
      <u/>
      <sz val="10"/>
      <color indexed="12"/>
      <name val="Arial"/>
      <family val="2"/>
    </font>
    <font>
      <sz val="10"/>
      <name val="Verdana"/>
      <family val="2"/>
    </font>
    <font>
      <sz val="8"/>
      <name val="Arial"/>
      <family val="2"/>
    </font>
    <font>
      <sz val="12"/>
      <name val="Verdana"/>
      <family val="2"/>
    </font>
    <font>
      <b/>
      <sz val="26"/>
      <name val="Verdana"/>
      <family val="2"/>
    </font>
    <font>
      <b/>
      <sz val="20"/>
      <name val="Verdana"/>
      <family val="2"/>
    </font>
    <font>
      <b/>
      <sz val="16"/>
      <name val="Verdana"/>
      <family val="2"/>
    </font>
    <font>
      <b/>
      <sz val="12"/>
      <name val="Verdana"/>
      <family val="2"/>
    </font>
    <font>
      <sz val="10"/>
      <name val="Verdana"/>
      <family val="2"/>
    </font>
    <font>
      <b/>
      <sz val="22"/>
      <name val="Verdana"/>
      <family val="2"/>
    </font>
    <font>
      <sz val="14"/>
      <name val="Verdana"/>
      <family val="2"/>
    </font>
    <font>
      <b/>
      <sz val="10"/>
      <name val="Verdana"/>
      <family val="2"/>
    </font>
    <font>
      <sz val="10"/>
      <color indexed="8"/>
      <name val="Verdana"/>
      <family val="2"/>
    </font>
    <font>
      <b/>
      <sz val="14"/>
      <name val="Verdana"/>
      <family val="2"/>
    </font>
    <font>
      <vertAlign val="superscript"/>
      <sz val="12"/>
      <name val="Verdana"/>
      <family val="2"/>
    </font>
    <font>
      <sz val="12"/>
      <name val="Arial"/>
      <family val="2"/>
    </font>
    <font>
      <b/>
      <sz val="36"/>
      <name val="Verdana"/>
      <family val="2"/>
    </font>
    <font>
      <sz val="8"/>
      <name val="Verdana"/>
      <family val="2"/>
    </font>
    <font>
      <b/>
      <sz val="14"/>
      <color indexed="9"/>
      <name val="Verdana"/>
      <family val="2"/>
    </font>
    <font>
      <b/>
      <sz val="8"/>
      <color indexed="9"/>
      <name val="Verdana"/>
      <family val="2"/>
    </font>
    <font>
      <b/>
      <sz val="10"/>
      <color indexed="9"/>
      <name val="Verdana"/>
      <family val="2"/>
    </font>
    <font>
      <b/>
      <sz val="11"/>
      <name val="Verdana"/>
      <family val="2"/>
    </font>
    <font>
      <sz val="7"/>
      <name val="Verdana"/>
      <family val="2"/>
    </font>
    <font>
      <sz val="8"/>
      <name val="Verdana"/>
      <family val="2"/>
    </font>
    <font>
      <sz val="14"/>
      <name val="Verdana"/>
      <family val="2"/>
    </font>
    <font>
      <sz val="7"/>
      <name val="Verdana"/>
      <family val="2"/>
    </font>
    <font>
      <sz val="12"/>
      <name val="Verdana"/>
      <family val="2"/>
    </font>
    <font>
      <b/>
      <sz val="10"/>
      <color indexed="23"/>
      <name val="Verdana"/>
      <family val="2"/>
    </font>
    <font>
      <sz val="7"/>
      <color indexed="23"/>
      <name val="Verdana"/>
      <family val="2"/>
    </font>
    <font>
      <sz val="12"/>
      <name val="Symbol"/>
      <family val="1"/>
      <charset val="2"/>
    </font>
    <font>
      <sz val="6"/>
      <name val="Devanagari"/>
      <charset val="2"/>
    </font>
    <font>
      <sz val="7"/>
      <name val="Tamal"/>
    </font>
    <font>
      <b/>
      <sz val="28"/>
      <name val="Verdana"/>
      <family val="2"/>
    </font>
    <font>
      <b/>
      <sz val="9"/>
      <name val="Verdana"/>
      <family val="2"/>
    </font>
    <font>
      <sz val="9"/>
      <name val="Verdana"/>
      <family val="2"/>
    </font>
    <font>
      <b/>
      <sz val="10"/>
      <name val="Arial"/>
      <family val="2"/>
    </font>
    <font>
      <sz val="10"/>
      <name val="Devanagari"/>
      <charset val="2"/>
    </font>
    <font>
      <i/>
      <sz val="10"/>
      <name val="Tamal"/>
    </font>
    <font>
      <sz val="16"/>
      <name val="Verdana"/>
      <family val="2"/>
    </font>
    <font>
      <sz val="10"/>
      <name val="Courier New"/>
      <family val="3"/>
    </font>
    <font>
      <sz val="15"/>
      <name val="Verdana"/>
      <family val="2"/>
    </font>
    <font>
      <sz val="10"/>
      <name val="Arial"/>
      <family val="2"/>
    </font>
    <font>
      <b/>
      <sz val="8"/>
      <name val="Verdana"/>
      <family val="2"/>
    </font>
    <font>
      <sz val="8"/>
      <name val="Devanagari"/>
      <charset val="2"/>
    </font>
    <font>
      <sz val="6.5"/>
      <name val="Verdana"/>
      <family val="2"/>
    </font>
    <font>
      <sz val="10"/>
      <name val="Arial"/>
      <family val="2"/>
    </font>
    <font>
      <sz val="11"/>
      <name val="Verdana"/>
      <family val="2"/>
    </font>
    <font>
      <b/>
      <sz val="11"/>
      <color indexed="60"/>
      <name val="Verdana"/>
      <family val="2"/>
    </font>
    <font>
      <b/>
      <sz val="10"/>
      <name val="Verdana"/>
      <family val="2"/>
    </font>
    <font>
      <b/>
      <sz val="18"/>
      <name val="Verdana"/>
      <family val="2"/>
    </font>
    <font>
      <b/>
      <u/>
      <sz val="10"/>
      <name val="Verdana"/>
      <family val="2"/>
    </font>
    <font>
      <i/>
      <sz val="10"/>
      <name val="Arial"/>
      <family val="2"/>
    </font>
    <font>
      <sz val="10"/>
      <name val="Tamal"/>
    </font>
    <font>
      <b/>
      <sz val="13.5"/>
      <name val="Arial"/>
      <family val="2"/>
    </font>
    <font>
      <vertAlign val="superscript"/>
      <sz val="10"/>
      <name val="Arial"/>
      <family val="2"/>
    </font>
    <font>
      <sz val="14"/>
      <color theme="1" tint="0.499984740745262"/>
      <name val="Verdana"/>
      <family val="2"/>
    </font>
    <font>
      <b/>
      <sz val="17"/>
      <color indexed="23"/>
      <name val="Verdana"/>
      <family val="2"/>
    </font>
    <font>
      <sz val="11"/>
      <name val="Arial"/>
      <family val="2"/>
    </font>
    <font>
      <u/>
      <sz val="11"/>
      <color indexed="12"/>
      <name val="Verdana"/>
      <family val="2"/>
    </font>
    <font>
      <b/>
      <sz val="11"/>
      <color rgb="FFFF0000"/>
      <name val="Verdana"/>
      <family val="2"/>
    </font>
    <font>
      <b/>
      <sz val="14"/>
      <name val="Arial"/>
      <family val="2"/>
    </font>
    <font>
      <sz val="7.5"/>
      <name val="Verdana"/>
      <family val="2"/>
    </font>
    <font>
      <sz val="11"/>
      <color rgb="FF000000"/>
      <name val="Verdana"/>
      <family val="2"/>
    </font>
  </fonts>
  <fills count="16">
    <fill>
      <patternFill patternType="none"/>
    </fill>
    <fill>
      <patternFill patternType="gray125"/>
    </fill>
    <fill>
      <patternFill patternType="solid">
        <fgColor indexed="43"/>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indexed="47"/>
        <bgColor indexed="64"/>
      </patternFill>
    </fill>
    <fill>
      <patternFill patternType="solid">
        <fgColor theme="9" tint="0.79998168889431442"/>
        <bgColor indexed="64"/>
      </patternFill>
    </fill>
    <fill>
      <patternFill patternType="solid">
        <fgColor rgb="FFFAFECA"/>
        <bgColor indexed="64"/>
      </patternFill>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bgColor indexed="64"/>
      </patternFill>
    </fill>
    <fill>
      <patternFill patternType="solid">
        <fgColor theme="5" tint="0.79998168889431442"/>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22"/>
      </bottom>
      <diagonal/>
    </border>
    <border>
      <left/>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22"/>
      </top>
      <bottom/>
      <diagonal/>
    </border>
    <border>
      <left style="medium">
        <color indexed="64"/>
      </left>
      <right/>
      <top/>
      <bottom/>
      <diagonal/>
    </border>
    <border>
      <left style="medium">
        <color indexed="64"/>
      </left>
      <right/>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diagonal/>
    </border>
    <border>
      <left style="thin">
        <color indexed="22"/>
      </left>
      <right/>
      <top/>
      <bottom style="thin">
        <color indexed="22"/>
      </bottom>
      <diagonal/>
    </border>
    <border>
      <left style="thin">
        <color indexed="22"/>
      </left>
      <right/>
      <top style="thin">
        <color indexed="22"/>
      </top>
      <bottom/>
      <diagonal/>
    </border>
    <border>
      <left style="thin">
        <color indexed="22"/>
      </left>
      <right/>
      <top/>
      <bottom/>
      <diagonal/>
    </border>
    <border>
      <left/>
      <right style="thin">
        <color indexed="22"/>
      </right>
      <top/>
      <bottom style="thin">
        <color indexed="22"/>
      </bottom>
      <diagonal/>
    </border>
    <border>
      <left/>
      <right style="thin">
        <color indexed="22"/>
      </right>
      <top style="thin">
        <color indexed="22"/>
      </top>
      <bottom/>
      <diagonal/>
    </border>
    <border>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style="medium">
        <color indexed="22"/>
      </top>
      <bottom/>
      <diagonal/>
    </border>
    <border>
      <left/>
      <right/>
      <top style="medium">
        <color indexed="22"/>
      </top>
      <bottom/>
      <diagonal/>
    </border>
    <border>
      <left style="thin">
        <color indexed="22"/>
      </left>
      <right/>
      <top style="medium">
        <color indexed="22"/>
      </top>
      <bottom style="thin">
        <color indexed="22"/>
      </bottom>
      <diagonal/>
    </border>
    <border>
      <left/>
      <right style="thin">
        <color indexed="22"/>
      </right>
      <top style="medium">
        <color indexed="22"/>
      </top>
      <bottom style="thin">
        <color indexed="22"/>
      </bottom>
      <diagonal/>
    </border>
    <border>
      <left style="thin">
        <color indexed="22"/>
      </left>
      <right style="thin">
        <color indexed="22"/>
      </right>
      <top/>
      <bottom style="medium">
        <color indexed="22"/>
      </bottom>
      <diagonal/>
    </border>
    <border>
      <left/>
      <right/>
      <top/>
      <bottom style="medium">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style="thin">
        <color indexed="22"/>
      </left>
      <right/>
      <top/>
      <bottom style="medium">
        <color indexed="22"/>
      </bottom>
      <diagonal/>
    </border>
    <border>
      <left/>
      <right style="thin">
        <color indexed="22"/>
      </right>
      <top/>
      <bottom style="medium">
        <color indexed="22"/>
      </bottom>
      <diagonal/>
    </border>
    <border>
      <left style="dotted">
        <color indexed="64"/>
      </left>
      <right style="thin">
        <color indexed="64"/>
      </right>
      <top style="dotted">
        <color indexed="64"/>
      </top>
      <bottom/>
      <diagonal/>
    </border>
    <border>
      <left style="dotted">
        <color indexed="64"/>
      </left>
      <right style="thin">
        <color indexed="64"/>
      </right>
      <top/>
      <bottom/>
      <diagonal/>
    </border>
    <border>
      <left style="dotted">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22"/>
      </right>
      <top style="medium">
        <color indexed="22"/>
      </top>
      <bottom style="medium">
        <color indexed="22"/>
      </bottom>
      <diagonal/>
    </border>
    <border>
      <left style="thin">
        <color indexed="64"/>
      </left>
      <right style="medium">
        <color indexed="64"/>
      </right>
      <top/>
      <bottom/>
      <diagonal/>
    </border>
    <border>
      <left style="dashed">
        <color indexed="64"/>
      </left>
      <right style="dotted">
        <color indexed="64"/>
      </right>
      <top style="dashed">
        <color indexed="64"/>
      </top>
      <bottom/>
      <diagonal/>
    </border>
    <border>
      <left style="dashed">
        <color indexed="64"/>
      </left>
      <right style="dotted">
        <color indexed="64"/>
      </right>
      <top/>
      <bottom/>
      <diagonal/>
    </border>
    <border>
      <left style="dashed">
        <color indexed="64"/>
      </left>
      <right style="dotted">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thin">
        <color indexed="64"/>
      </left>
      <right/>
      <top style="medium">
        <color indexed="64"/>
      </top>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diagonalUp="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s>
  <cellStyleXfs count="4">
    <xf numFmtId="0" fontId="0" fillId="0" borderId="0"/>
    <xf numFmtId="0" fontId="2" fillId="0" borderId="0" applyNumberFormat="0" applyFill="0" applyBorder="0" applyAlignment="0" applyProtection="0">
      <alignment vertical="top"/>
      <protection locked="0"/>
    </xf>
    <xf numFmtId="0" fontId="3" fillId="0" borderId="0"/>
    <xf numFmtId="0" fontId="1" fillId="0" borderId="0"/>
  </cellStyleXfs>
  <cellXfs count="743">
    <xf numFmtId="0" fontId="0" fillId="0" borderId="0" xfId="0"/>
    <xf numFmtId="0" fontId="5" fillId="0" borderId="0" xfId="0" applyFont="1"/>
    <xf numFmtId="0" fontId="7" fillId="0" borderId="0" xfId="0" applyFont="1"/>
    <xf numFmtId="0" fontId="9" fillId="0" borderId="0" xfId="0" applyFont="1" applyAlignment="1">
      <alignment horizontal="right"/>
    </xf>
    <xf numFmtId="0" fontId="5" fillId="0" borderId="0" xfId="0" quotePrefix="1" applyFont="1"/>
    <xf numFmtId="0" fontId="10" fillId="0" borderId="0" xfId="0" applyFo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7" fillId="0" borderId="0" xfId="0" applyFont="1"/>
    <xf numFmtId="0" fontId="9" fillId="0" borderId="0" xfId="0" applyFont="1"/>
    <xf numFmtId="0" fontId="5" fillId="0" borderId="0" xfId="0" applyNumberFormat="1" applyFont="1"/>
    <xf numFmtId="0" fontId="8" fillId="0" borderId="0" xfId="2" applyFont="1" applyFill="1" applyBorder="1" applyAlignment="1">
      <alignment horizontal="center" vertical="center"/>
    </xf>
    <xf numFmtId="0" fontId="8" fillId="0" borderId="0" xfId="2" applyFont="1" applyFill="1" applyBorder="1" applyAlignment="1">
      <alignment horizontal="right" vertical="center"/>
    </xf>
    <xf numFmtId="0" fontId="12" fillId="2" borderId="2" xfId="2" applyFont="1" applyFill="1" applyBorder="1" applyAlignment="1">
      <alignment vertical="center"/>
    </xf>
    <xf numFmtId="0" fontId="10" fillId="0" borderId="3" xfId="0" applyFont="1" applyBorder="1"/>
    <xf numFmtId="164" fontId="13" fillId="0" borderId="0" xfId="2" applyNumberFormat="1" applyFont="1" applyFill="1" applyBorder="1" applyAlignment="1">
      <alignment horizontal="left" vertical="center"/>
    </xf>
    <xf numFmtId="14" fontId="10" fillId="0" borderId="0" xfId="2" applyNumberFormat="1" applyFont="1" applyFill="1" applyBorder="1" applyAlignment="1">
      <alignment horizontal="left" vertical="center" wrapText="1"/>
    </xf>
    <xf numFmtId="0" fontId="10" fillId="0" borderId="0" xfId="0" applyFont="1" applyBorder="1"/>
    <xf numFmtId="164" fontId="13" fillId="0" borderId="4" xfId="2" applyNumberFormat="1" applyFont="1" applyFill="1" applyBorder="1" applyAlignment="1">
      <alignment horizontal="left" vertical="center"/>
    </xf>
    <xf numFmtId="14" fontId="10" fillId="0" borderId="4" xfId="2" applyNumberFormat="1" applyFont="1" applyFill="1" applyBorder="1" applyAlignment="1">
      <alignment horizontal="left" vertical="center" wrapText="1"/>
    </xf>
    <xf numFmtId="164" fontId="13" fillId="0" borderId="5" xfId="2" applyNumberFormat="1" applyFont="1" applyFill="1" applyBorder="1" applyAlignment="1">
      <alignment horizontal="left" vertical="center"/>
    </xf>
    <xf numFmtId="14" fontId="10" fillId="0" borderId="5" xfId="2" applyNumberFormat="1" applyFont="1" applyFill="1" applyBorder="1" applyAlignment="1">
      <alignment horizontal="left" vertical="center" wrapText="1"/>
    </xf>
    <xf numFmtId="164" fontId="13" fillId="0" borderId="5" xfId="2" applyNumberFormat="1" applyFont="1" applyFill="1" applyBorder="1" applyAlignment="1">
      <alignment horizontal="right" vertical="center"/>
    </xf>
    <xf numFmtId="164" fontId="13" fillId="0" borderId="5" xfId="2" applyNumberFormat="1" applyFont="1" applyFill="1" applyBorder="1" applyAlignment="1">
      <alignment vertical="center"/>
    </xf>
    <xf numFmtId="0" fontId="8" fillId="0" borderId="0" xfId="2" applyFont="1" applyFill="1" applyBorder="1" applyAlignment="1">
      <alignment horizontal="left" vertical="center"/>
    </xf>
    <xf numFmtId="0" fontId="12" fillId="0" borderId="0" xfId="2" applyFont="1" applyBorder="1" applyAlignment="1">
      <alignment vertical="center"/>
    </xf>
    <xf numFmtId="0" fontId="18" fillId="0" borderId="0" xfId="0" applyFont="1" applyAlignment="1">
      <alignment vertical="center"/>
    </xf>
    <xf numFmtId="0" fontId="12" fillId="0" borderId="0" xfId="2" applyFont="1" applyAlignment="1">
      <alignment vertical="center"/>
    </xf>
    <xf numFmtId="0" fontId="21" fillId="3" borderId="7" xfId="2" applyFont="1" applyFill="1" applyBorder="1" applyAlignment="1">
      <alignment horizontal="center" vertical="center"/>
    </xf>
    <xf numFmtId="0" fontId="23" fillId="4" borderId="8" xfId="2" applyFont="1" applyFill="1" applyBorder="1" applyAlignment="1">
      <alignment horizontal="center" vertical="center"/>
    </xf>
    <xf numFmtId="0" fontId="23" fillId="0" borderId="9" xfId="2" applyFont="1" applyBorder="1" applyAlignment="1">
      <alignment horizontal="center" vertical="center"/>
    </xf>
    <xf numFmtId="0" fontId="23" fillId="4" borderId="10" xfId="2" applyFont="1" applyFill="1" applyBorder="1" applyAlignment="1">
      <alignment horizontal="center" vertical="center"/>
    </xf>
    <xf numFmtId="0" fontId="10" fillId="4" borderId="11" xfId="2" applyFont="1" applyFill="1" applyBorder="1" applyAlignment="1">
      <alignment horizontal="center" vertical="center"/>
    </xf>
    <xf numFmtId="0" fontId="10" fillId="0" borderId="0" xfId="2" applyFont="1" applyBorder="1" applyAlignment="1">
      <alignment horizontal="center" vertical="center"/>
    </xf>
    <xf numFmtId="0" fontId="10" fillId="0" borderId="12" xfId="2" applyFont="1" applyBorder="1" applyAlignment="1">
      <alignment horizontal="center" vertical="center"/>
    </xf>
    <xf numFmtId="0" fontId="22" fillId="3" borderId="6" xfId="2" applyFont="1" applyFill="1" applyBorder="1" applyAlignment="1">
      <alignment horizontal="center" vertical="center"/>
    </xf>
    <xf numFmtId="0" fontId="24" fillId="0" borderId="0" xfId="0" applyFont="1" applyBorder="1" applyAlignment="1">
      <alignment horizontal="left" vertical="center"/>
    </xf>
    <xf numFmtId="0" fontId="19" fillId="0" borderId="0" xfId="0" applyFont="1" applyAlignment="1">
      <alignment horizontal="right"/>
    </xf>
    <xf numFmtId="0" fontId="19" fillId="0" borderId="0" xfId="0" applyFont="1"/>
    <xf numFmtId="0" fontId="8" fillId="0" borderId="0" xfId="2" applyFont="1" applyFill="1" applyBorder="1" applyAlignment="1">
      <alignment vertical="center"/>
    </xf>
    <xf numFmtId="0" fontId="10" fillId="0" borderId="0" xfId="0" applyFont="1" applyAlignment="1">
      <alignment horizontal="right"/>
    </xf>
    <xf numFmtId="0" fontId="10" fillId="0" borderId="3" xfId="2" applyFont="1" applyFill="1" applyBorder="1" applyAlignment="1">
      <alignment horizontal="center" vertical="center"/>
    </xf>
    <xf numFmtId="0" fontId="10" fillId="0" borderId="0" xfId="0" applyFont="1" applyAlignment="1">
      <alignment horizontal="left" vertical="center"/>
    </xf>
    <xf numFmtId="0" fontId="10" fillId="0" borderId="0" xfId="0" applyFont="1" applyAlignment="1">
      <alignment horizontal="right" vertical="center"/>
    </xf>
    <xf numFmtId="14" fontId="10" fillId="0" borderId="3" xfId="2" applyNumberFormat="1" applyFont="1" applyFill="1" applyBorder="1" applyAlignment="1">
      <alignment horizontal="center" vertical="center"/>
    </xf>
    <xf numFmtId="0" fontId="23" fillId="4" borderId="16" xfId="2" applyFont="1" applyFill="1" applyBorder="1" applyAlignment="1">
      <alignment horizontal="center" vertical="center"/>
    </xf>
    <xf numFmtId="0" fontId="23" fillId="0" borderId="17" xfId="2" applyFont="1" applyBorder="1" applyAlignment="1">
      <alignment horizontal="center" vertical="center"/>
    </xf>
    <xf numFmtId="0" fontId="23" fillId="4" borderId="18" xfId="2" applyFont="1" applyFill="1" applyBorder="1" applyAlignment="1">
      <alignment horizontal="center" vertical="center"/>
    </xf>
    <xf numFmtId="164" fontId="10" fillId="4" borderId="15" xfId="2" applyNumberFormat="1" applyFont="1" applyFill="1" applyBorder="1" applyAlignment="1">
      <alignment horizontal="center" vertical="center"/>
    </xf>
    <xf numFmtId="164" fontId="10" fillId="0" borderId="19" xfId="2" applyNumberFormat="1" applyFont="1" applyBorder="1" applyAlignment="1">
      <alignment horizontal="center" vertical="center"/>
    </xf>
    <xf numFmtId="164" fontId="10" fillId="4" borderId="20" xfId="2" applyNumberFormat="1" applyFont="1" applyFill="1" applyBorder="1" applyAlignment="1">
      <alignment horizontal="center" vertical="center"/>
    </xf>
    <xf numFmtId="164" fontId="10" fillId="4" borderId="21" xfId="2" applyNumberFormat="1" applyFont="1" applyFill="1" applyBorder="1" applyAlignment="1">
      <alignment horizontal="center" vertical="center"/>
    </xf>
    <xf numFmtId="164" fontId="10" fillId="0" borderId="0" xfId="2" applyNumberFormat="1" applyFont="1" applyBorder="1" applyAlignment="1">
      <alignment horizontal="center" vertical="center"/>
    </xf>
    <xf numFmtId="164" fontId="10" fillId="4" borderId="14" xfId="2" applyNumberFormat="1" applyFont="1" applyFill="1" applyBorder="1" applyAlignment="1">
      <alignment horizontal="center" vertical="center"/>
    </xf>
    <xf numFmtId="164" fontId="10" fillId="4" borderId="22" xfId="2" applyNumberFormat="1" applyFont="1" applyFill="1" applyBorder="1" applyAlignment="1">
      <alignment horizontal="center" vertical="center"/>
    </xf>
    <xf numFmtId="164" fontId="10" fillId="0" borderId="9" xfId="2" applyNumberFormat="1" applyFont="1" applyBorder="1" applyAlignment="1">
      <alignment horizontal="center" vertical="center"/>
    </xf>
    <xf numFmtId="164" fontId="10" fillId="4" borderId="23" xfId="2" applyNumberFormat="1" applyFont="1" applyFill="1" applyBorder="1" applyAlignment="1">
      <alignment horizontal="center" vertical="center"/>
    </xf>
    <xf numFmtId="0" fontId="10" fillId="4" borderId="2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2" xfId="2" applyFont="1" applyFill="1" applyBorder="1" applyAlignment="1">
      <alignment horizontal="center" vertical="center"/>
    </xf>
    <xf numFmtId="0" fontId="10" fillId="0" borderId="9" xfId="2" applyFont="1" applyBorder="1" applyAlignment="1">
      <alignment horizontal="center" vertical="center"/>
    </xf>
    <xf numFmtId="0" fontId="10" fillId="4" borderId="23" xfId="2" applyFont="1" applyFill="1" applyBorder="1" applyAlignment="1">
      <alignment horizontal="center" vertical="center"/>
    </xf>
    <xf numFmtId="0" fontId="26" fillId="0" borderId="14" xfId="2" applyFont="1" applyBorder="1" applyAlignment="1">
      <alignment vertical="center"/>
    </xf>
    <xf numFmtId="0" fontId="26" fillId="0" borderId="0" xfId="2" applyFont="1" applyBorder="1" applyAlignment="1">
      <alignment vertical="center"/>
    </xf>
    <xf numFmtId="0" fontId="26" fillId="2" borderId="2" xfId="2" applyFont="1" applyFill="1" applyBorder="1" applyAlignment="1">
      <alignment vertical="center"/>
    </xf>
    <xf numFmtId="0" fontId="26" fillId="0" borderId="0" xfId="2" applyFont="1" applyAlignment="1">
      <alignment vertical="center"/>
    </xf>
    <xf numFmtId="0" fontId="3" fillId="0" borderId="5" xfId="2" applyFont="1" applyBorder="1" applyAlignment="1">
      <alignment vertical="center"/>
    </xf>
    <xf numFmtId="0" fontId="28" fillId="0" borderId="0" xfId="2" applyFont="1" applyBorder="1" applyAlignment="1">
      <alignment vertical="center"/>
    </xf>
    <xf numFmtId="0" fontId="3" fillId="0" borderId="24" xfId="2" applyFont="1" applyBorder="1" applyAlignment="1">
      <alignment vertical="center"/>
    </xf>
    <xf numFmtId="0" fontId="23" fillId="4" borderId="25" xfId="2" applyFont="1" applyFill="1" applyBorder="1" applyAlignment="1">
      <alignment horizontal="center" vertical="center"/>
    </xf>
    <xf numFmtId="0" fontId="23" fillId="0" borderId="0" xfId="2" applyFont="1" applyBorder="1" applyAlignment="1">
      <alignment horizontal="center" vertical="center"/>
    </xf>
    <xf numFmtId="0" fontId="23" fillId="4" borderId="11" xfId="2" applyFont="1" applyFill="1" applyBorder="1" applyAlignment="1">
      <alignment horizontal="center" vertical="center"/>
    </xf>
    <xf numFmtId="0" fontId="3" fillId="0" borderId="4" xfId="2" applyFont="1" applyBorder="1" applyAlignment="1">
      <alignment vertical="center"/>
    </xf>
    <xf numFmtId="0" fontId="3" fillId="4" borderId="25" xfId="2" applyFont="1" applyFill="1" applyBorder="1" applyAlignment="1">
      <alignment horizontal="center" vertical="center"/>
    </xf>
    <xf numFmtId="0" fontId="3" fillId="4" borderId="11" xfId="2" applyFont="1" applyFill="1" applyBorder="1" applyAlignment="1">
      <alignment horizontal="center" vertical="center"/>
    </xf>
    <xf numFmtId="0" fontId="3" fillId="0" borderId="0" xfId="2" applyFont="1" applyBorder="1" applyAlignment="1">
      <alignment horizontal="center" vertical="center"/>
    </xf>
    <xf numFmtId="0" fontId="3" fillId="0" borderId="0" xfId="2" applyFont="1" applyBorder="1" applyAlignment="1">
      <alignment vertical="center"/>
    </xf>
    <xf numFmtId="0" fontId="3" fillId="4" borderId="26" xfId="2" applyFont="1" applyFill="1" applyBorder="1" applyAlignment="1">
      <alignment horizontal="center" vertical="center"/>
    </xf>
    <xf numFmtId="0" fontId="3" fillId="0" borderId="12" xfId="2" applyFont="1" applyBorder="1" applyAlignment="1">
      <alignment horizontal="center" vertical="center"/>
    </xf>
    <xf numFmtId="0" fontId="3" fillId="4" borderId="13" xfId="2" applyFont="1" applyFill="1" applyBorder="1" applyAlignment="1">
      <alignment horizontal="center" vertical="center"/>
    </xf>
    <xf numFmtId="0" fontId="12" fillId="0" borderId="0" xfId="2" applyNumberFormat="1" applyFont="1" applyBorder="1" applyAlignment="1">
      <alignment vertical="center"/>
    </xf>
    <xf numFmtId="0" fontId="36" fillId="0" borderId="4" xfId="2" applyFont="1" applyBorder="1" applyAlignment="1">
      <alignment vertical="center"/>
    </xf>
    <xf numFmtId="0" fontId="36" fillId="0" borderId="5" xfId="2" applyFont="1" applyBorder="1" applyAlignment="1">
      <alignment vertical="center"/>
    </xf>
    <xf numFmtId="0" fontId="8" fillId="0" borderId="0" xfId="2" applyFont="1" applyFill="1" applyBorder="1" applyAlignment="1" applyProtection="1">
      <alignment horizontal="center" vertical="center"/>
      <protection locked="0"/>
    </xf>
    <xf numFmtId="14" fontId="12" fillId="0" borderId="27" xfId="2" applyNumberFormat="1" applyFont="1" applyFill="1" applyBorder="1" applyAlignment="1">
      <alignment horizontal="left" vertical="center" wrapText="1"/>
    </xf>
    <xf numFmtId="14" fontId="12" fillId="0" borderId="28" xfId="2" applyNumberFormat="1" applyFont="1" applyFill="1" applyBorder="1" applyAlignment="1">
      <alignment horizontal="left" vertical="center" wrapText="1"/>
    </xf>
    <xf numFmtId="0" fontId="37" fillId="0" borderId="3" xfId="0" applyFont="1" applyFill="1" applyBorder="1" applyAlignment="1">
      <alignment horizontal="center" vertical="center" wrapText="1"/>
    </xf>
    <xf numFmtId="0" fontId="37" fillId="0" borderId="3" xfId="0" applyFont="1" applyFill="1" applyBorder="1" applyAlignment="1">
      <alignment horizontal="center" vertical="center"/>
    </xf>
    <xf numFmtId="0" fontId="1" fillId="0" borderId="0" xfId="0" applyFont="1" applyFill="1" applyAlignment="1"/>
    <xf numFmtId="0" fontId="38" fillId="0" borderId="3" xfId="0" applyFont="1" applyFill="1" applyBorder="1" applyAlignment="1">
      <alignment horizontal="center" vertical="center" wrapText="1"/>
    </xf>
    <xf numFmtId="0" fontId="39" fillId="0" borderId="3" xfId="0" applyFont="1" applyFill="1" applyBorder="1" applyAlignment="1">
      <alignment horizontal="center" vertical="center" wrapText="1"/>
    </xf>
    <xf numFmtId="0" fontId="10" fillId="0" borderId="3" xfId="0" applyFont="1" applyFill="1" applyBorder="1" applyAlignment="1">
      <alignment vertical="center" wrapText="1"/>
    </xf>
    <xf numFmtId="0" fontId="1" fillId="0" borderId="0" xfId="0" applyFont="1" applyFill="1" applyAlignment="1">
      <alignment horizontal="center"/>
    </xf>
    <xf numFmtId="0" fontId="5" fillId="0" borderId="0" xfId="0" applyFont="1" applyFill="1"/>
    <xf numFmtId="0" fontId="0" fillId="0" borderId="0" xfId="0" applyFill="1"/>
    <xf numFmtId="0" fontId="26" fillId="0" borderId="0" xfId="2" applyFont="1" applyFill="1" applyAlignment="1">
      <alignment vertical="center"/>
    </xf>
    <xf numFmtId="0" fontId="10" fillId="0" borderId="0" xfId="0" applyFont="1" applyFill="1" applyBorder="1"/>
    <xf numFmtId="0" fontId="10" fillId="0" borderId="0" xfId="2" applyFont="1" applyFill="1" applyBorder="1" applyAlignment="1">
      <alignment horizontal="left" vertical="center" wrapText="1"/>
    </xf>
    <xf numFmtId="0" fontId="8" fillId="0" borderId="0" xfId="0" applyFont="1" applyFill="1" applyBorder="1"/>
    <xf numFmtId="0" fontId="40" fillId="0" borderId="0" xfId="0" applyFont="1" applyFill="1" applyBorder="1"/>
    <xf numFmtId="0" fontId="10" fillId="0" borderId="3" xfId="0" applyFont="1" applyFill="1" applyBorder="1" applyAlignment="1">
      <alignment horizontal="center" vertical="center" wrapText="1"/>
    </xf>
    <xf numFmtId="164" fontId="13" fillId="0" borderId="24" xfId="2" applyNumberFormat="1" applyFont="1" applyFill="1" applyBorder="1" applyAlignment="1">
      <alignment horizontal="left" vertical="center"/>
    </xf>
    <xf numFmtId="0" fontId="42" fillId="2" borderId="0" xfId="0" applyFont="1" applyFill="1"/>
    <xf numFmtId="0" fontId="12" fillId="6" borderId="0" xfId="0" applyFont="1" applyFill="1"/>
    <xf numFmtId="0" fontId="27" fillId="0" borderId="0" xfId="2" applyFont="1" applyBorder="1" applyAlignment="1">
      <alignment vertical="center" wrapText="1"/>
    </xf>
    <xf numFmtId="14" fontId="12" fillId="0" borderId="5" xfId="2" applyNumberFormat="1" applyFont="1" applyFill="1" applyBorder="1" applyAlignment="1">
      <alignment horizontal="left" vertical="center" wrapText="1"/>
    </xf>
    <xf numFmtId="0" fontId="26" fillId="0" borderId="5" xfId="2" applyFont="1" applyBorder="1" applyAlignment="1">
      <alignment vertical="center"/>
    </xf>
    <xf numFmtId="0" fontId="26" fillId="0" borderId="24" xfId="2" applyFont="1" applyBorder="1" applyAlignment="1">
      <alignment vertical="center"/>
    </xf>
    <xf numFmtId="0" fontId="26" fillId="0" borderId="4" xfId="2" applyFont="1" applyBorder="1" applyAlignment="1">
      <alignment vertical="center"/>
    </xf>
    <xf numFmtId="14" fontId="27" fillId="0" borderId="0" xfId="2" applyNumberFormat="1" applyFont="1" applyBorder="1" applyAlignment="1">
      <alignment horizontal="center" vertical="center"/>
    </xf>
    <xf numFmtId="0" fontId="3" fillId="0" borderId="29" xfId="2" applyFont="1" applyBorder="1" applyAlignment="1">
      <alignment vertical="center"/>
    </xf>
    <xf numFmtId="0" fontId="26" fillId="0" borderId="28" xfId="2" applyFont="1" applyBorder="1" applyAlignment="1">
      <alignment vertical="center"/>
    </xf>
    <xf numFmtId="0" fontId="26" fillId="0" borderId="30" xfId="2" applyFont="1" applyBorder="1" applyAlignment="1">
      <alignment vertical="center"/>
    </xf>
    <xf numFmtId="0" fontId="26" fillId="0" borderId="31" xfId="2" applyFont="1" applyBorder="1" applyAlignment="1">
      <alignment vertical="center"/>
    </xf>
    <xf numFmtId="0" fontId="26" fillId="0" borderId="32" xfId="2" applyFont="1" applyBorder="1" applyAlignment="1">
      <alignment vertical="center"/>
    </xf>
    <xf numFmtId="0" fontId="26" fillId="0" borderId="27" xfId="2" applyFont="1" applyBorder="1" applyAlignment="1">
      <alignment vertical="center"/>
    </xf>
    <xf numFmtId="0" fontId="26" fillId="0" borderId="33" xfId="2" applyFont="1" applyBorder="1" applyAlignment="1">
      <alignment vertical="center"/>
    </xf>
    <xf numFmtId="0" fontId="26" fillId="0" borderId="34" xfId="2" applyFont="1" applyBorder="1" applyAlignment="1">
      <alignment vertical="center"/>
    </xf>
    <xf numFmtId="0" fontId="26" fillId="0" borderId="35" xfId="2" applyFont="1" applyBorder="1" applyAlignment="1">
      <alignment vertical="center"/>
    </xf>
    <xf numFmtId="0" fontId="26" fillId="0" borderId="29" xfId="2" applyFont="1" applyBorder="1" applyAlignment="1">
      <alignment vertical="center"/>
    </xf>
    <xf numFmtId="0" fontId="13" fillId="0" borderId="0" xfId="2" applyFont="1" applyBorder="1" applyAlignment="1">
      <alignment horizontal="left" vertical="center"/>
    </xf>
    <xf numFmtId="0" fontId="27" fillId="0" borderId="24" xfId="2" applyFont="1" applyBorder="1" applyAlignment="1">
      <alignment horizontal="right" vertical="center" wrapText="1"/>
    </xf>
    <xf numFmtId="0" fontId="27" fillId="0" borderId="5" xfId="2" applyFont="1" applyBorder="1" applyAlignment="1">
      <alignment horizontal="left" vertical="center"/>
    </xf>
    <xf numFmtId="0" fontId="27" fillId="0" borderId="24" xfId="2" applyFont="1" applyBorder="1" applyAlignment="1">
      <alignment vertical="center"/>
    </xf>
    <xf numFmtId="0" fontId="27" fillId="0" borderId="4" xfId="2" applyFont="1" applyBorder="1" applyAlignment="1">
      <alignment horizontal="left" vertical="center"/>
    </xf>
    <xf numFmtId="0" fontId="27" fillId="0" borderId="0" xfId="2" applyFont="1" applyBorder="1" applyAlignment="1">
      <alignment horizontal="left" vertical="center"/>
    </xf>
    <xf numFmtId="0" fontId="27" fillId="0" borderId="4" xfId="2" applyFont="1" applyBorder="1" applyAlignment="1">
      <alignment vertical="center"/>
    </xf>
    <xf numFmtId="0" fontId="36" fillId="0" borderId="24" xfId="2" applyFont="1" applyBorder="1" applyAlignment="1">
      <alignment vertical="center"/>
    </xf>
    <xf numFmtId="0" fontId="26" fillId="0" borderId="37" xfId="2" applyFont="1" applyBorder="1" applyAlignment="1">
      <alignment vertical="center"/>
    </xf>
    <xf numFmtId="0" fontId="26" fillId="0" borderId="38" xfId="2" applyFont="1" applyBorder="1" applyAlignment="1">
      <alignment vertical="center"/>
    </xf>
    <xf numFmtId="0" fontId="3" fillId="0" borderId="37" xfId="2" applyFont="1" applyBorder="1" applyAlignment="1">
      <alignment vertical="center"/>
    </xf>
    <xf numFmtId="0" fontId="26" fillId="0" borderId="39" xfId="2" applyFont="1" applyBorder="1" applyAlignment="1">
      <alignment vertical="center"/>
    </xf>
    <xf numFmtId="0" fontId="26" fillId="0" borderId="40" xfId="2" applyFont="1" applyBorder="1" applyAlignment="1">
      <alignment vertical="center"/>
    </xf>
    <xf numFmtId="0" fontId="26" fillId="0" borderId="41" xfId="2" applyFont="1" applyBorder="1" applyAlignment="1">
      <alignment vertical="center"/>
    </xf>
    <xf numFmtId="0" fontId="26" fillId="0" borderId="42" xfId="2" applyFont="1" applyBorder="1" applyAlignment="1">
      <alignment vertical="center"/>
    </xf>
    <xf numFmtId="0" fontId="3" fillId="0" borderId="41" xfId="2" applyFont="1" applyBorder="1" applyAlignment="1">
      <alignment vertical="center"/>
    </xf>
    <xf numFmtId="0" fontId="26" fillId="0" borderId="43" xfId="2" applyFont="1" applyBorder="1" applyAlignment="1">
      <alignment vertical="center"/>
    </xf>
    <xf numFmtId="0" fontId="26" fillId="0" borderId="44" xfId="2" applyFont="1" applyBorder="1" applyAlignment="1">
      <alignment vertical="center"/>
    </xf>
    <xf numFmtId="0" fontId="26" fillId="0" borderId="45" xfId="2" applyFont="1" applyBorder="1" applyAlignment="1">
      <alignment vertical="center"/>
    </xf>
    <xf numFmtId="0" fontId="26" fillId="0" borderId="46" xfId="2" applyFont="1" applyBorder="1" applyAlignment="1">
      <alignment vertical="center"/>
    </xf>
    <xf numFmtId="0" fontId="10" fillId="0" borderId="9" xfId="2" applyFont="1" applyFill="1" applyBorder="1" applyAlignment="1">
      <alignment horizontal="center" vertical="center"/>
    </xf>
    <xf numFmtId="0" fontId="23" fillId="0" borderId="4" xfId="2" applyFont="1" applyBorder="1" applyAlignment="1">
      <alignment horizontal="center" vertical="center"/>
    </xf>
    <xf numFmtId="164" fontId="13" fillId="0" borderId="28" xfId="2" applyNumberFormat="1" applyFont="1" applyFill="1" applyBorder="1" applyAlignment="1">
      <alignment horizontal="left" vertical="center"/>
    </xf>
    <xf numFmtId="164" fontId="13" fillId="0" borderId="27" xfId="2" applyNumberFormat="1" applyFont="1" applyFill="1" applyBorder="1" applyAlignment="1">
      <alignment horizontal="left" vertical="center"/>
    </xf>
    <xf numFmtId="164" fontId="13" fillId="0" borderId="28" xfId="2" applyNumberFormat="1" applyFont="1" applyFill="1" applyBorder="1" applyAlignment="1">
      <alignment vertical="center"/>
    </xf>
    <xf numFmtId="164" fontId="13" fillId="0" borderId="31" xfId="2" applyNumberFormat="1" applyFont="1" applyFill="1" applyBorder="1" applyAlignment="1">
      <alignment horizontal="left" vertical="center"/>
    </xf>
    <xf numFmtId="14" fontId="13" fillId="0" borderId="4" xfId="2" applyNumberFormat="1" applyFont="1" applyFill="1" applyBorder="1" applyAlignment="1">
      <alignment horizontal="left" vertical="center" wrapText="1"/>
    </xf>
    <xf numFmtId="0" fontId="8" fillId="0" borderId="4" xfId="2" applyFont="1" applyFill="1" applyBorder="1" applyAlignment="1">
      <alignment vertical="center"/>
    </xf>
    <xf numFmtId="0" fontId="18" fillId="0" borderId="0" xfId="2" applyFont="1" applyFill="1" applyBorder="1" applyAlignment="1">
      <alignment horizontal="left"/>
    </xf>
    <xf numFmtId="0" fontId="15" fillId="0" borderId="0" xfId="2" applyFont="1" applyFill="1" applyBorder="1" applyAlignment="1">
      <alignment horizontal="left" vertical="top"/>
    </xf>
    <xf numFmtId="0" fontId="15" fillId="0" borderId="0" xfId="2" applyFont="1" applyFill="1" applyBorder="1" applyAlignment="1">
      <alignment vertical="top"/>
    </xf>
    <xf numFmtId="0" fontId="15" fillId="0" borderId="0" xfId="2" applyFont="1" applyFill="1" applyBorder="1" applyAlignment="1">
      <alignment horizontal="center" vertical="top"/>
    </xf>
    <xf numFmtId="0" fontId="12" fillId="0" borderId="5" xfId="2" applyFont="1" applyFill="1" applyBorder="1" applyAlignment="1">
      <alignment horizontal="left" vertical="center" wrapText="1"/>
    </xf>
    <xf numFmtId="0" fontId="12" fillId="0" borderId="27" xfId="2" applyFont="1" applyFill="1" applyBorder="1" applyAlignment="1">
      <alignment horizontal="left" vertical="center" wrapText="1"/>
    </xf>
    <xf numFmtId="0" fontId="12" fillId="0" borderId="28" xfId="2" applyFont="1" applyFill="1" applyBorder="1" applyAlignment="1">
      <alignment horizontal="left" vertical="center" wrapText="1"/>
    </xf>
    <xf numFmtId="0" fontId="23" fillId="0" borderId="47" xfId="2" applyFont="1" applyFill="1" applyBorder="1" applyAlignment="1">
      <alignment horizontal="center" vertical="center"/>
    </xf>
    <xf numFmtId="0" fontId="10" fillId="0" borderId="0" xfId="0" applyFont="1" applyAlignment="1">
      <alignment horizontal="left"/>
    </xf>
    <xf numFmtId="0" fontId="12" fillId="2" borderId="14" xfId="2" applyFont="1" applyFill="1" applyBorder="1" applyAlignment="1">
      <alignment vertical="center"/>
    </xf>
    <xf numFmtId="0" fontId="12" fillId="2" borderId="14" xfId="2" applyFont="1" applyFill="1" applyBorder="1" applyAlignment="1">
      <alignment horizontal="center" vertical="center"/>
    </xf>
    <xf numFmtId="0" fontId="12" fillId="0" borderId="0" xfId="2" applyFont="1" applyBorder="1" applyAlignment="1">
      <alignment horizontal="center" vertical="center"/>
    </xf>
    <xf numFmtId="0" fontId="10" fillId="0" borderId="0" xfId="0" applyFont="1" applyAlignment="1">
      <alignment horizontal="center" vertical="center"/>
    </xf>
    <xf numFmtId="0" fontId="9" fillId="0" borderId="50" xfId="0" applyFont="1" applyBorder="1" applyAlignment="1">
      <alignment horizontal="center" vertical="center"/>
    </xf>
    <xf numFmtId="14" fontId="30" fillId="0" borderId="38" xfId="2" applyNumberFormat="1" applyFont="1" applyBorder="1" applyAlignment="1">
      <alignment horizontal="center" vertical="center"/>
    </xf>
    <xf numFmtId="14" fontId="12" fillId="0" borderId="5" xfId="2" applyNumberFormat="1" applyFont="1" applyFill="1" applyBorder="1" applyAlignment="1">
      <alignment horizontal="left" vertical="center"/>
    </xf>
    <xf numFmtId="14" fontId="12" fillId="0" borderId="4" xfId="2" applyNumberFormat="1" applyFont="1" applyFill="1" applyBorder="1" applyAlignment="1">
      <alignment horizontal="left" vertical="center" wrapText="1"/>
    </xf>
    <xf numFmtId="0" fontId="24" fillId="0" borderId="0" xfId="2" applyFont="1" applyBorder="1" applyAlignment="1">
      <alignment horizontal="left" wrapText="1"/>
    </xf>
    <xf numFmtId="0" fontId="15" fillId="0" borderId="4" xfId="2" applyFont="1" applyBorder="1" applyAlignment="1">
      <alignment horizontal="center" wrapText="1"/>
    </xf>
    <xf numFmtId="0" fontId="15" fillId="0" borderId="4" xfId="2" applyFont="1" applyFill="1" applyBorder="1" applyAlignment="1">
      <alignment horizontal="left" vertical="top"/>
    </xf>
    <xf numFmtId="0" fontId="15" fillId="0" borderId="33" xfId="2" applyFont="1" applyFill="1" applyBorder="1" applyAlignment="1">
      <alignment vertical="top"/>
    </xf>
    <xf numFmtId="0" fontId="15" fillId="0" borderId="30" xfId="2" applyFont="1" applyFill="1" applyBorder="1" applyAlignment="1">
      <alignment vertical="top"/>
    </xf>
    <xf numFmtId="0" fontId="15" fillId="0" borderId="4" xfId="2" applyFont="1" applyFill="1" applyBorder="1" applyAlignment="1">
      <alignment horizontal="right" vertical="top"/>
    </xf>
    <xf numFmtId="0" fontId="7" fillId="0" borderId="0" xfId="2" applyFont="1" applyFill="1" applyBorder="1" applyAlignment="1" applyProtection="1">
      <alignment horizontal="center" vertical="center"/>
      <protection locked="0"/>
    </xf>
    <xf numFmtId="0" fontId="7" fillId="0" borderId="0" xfId="2" applyFont="1" applyFill="1" applyBorder="1" applyAlignment="1">
      <alignment horizontal="right" vertical="center"/>
    </xf>
    <xf numFmtId="0" fontId="7" fillId="0" borderId="0" xfId="2" applyFont="1" applyFill="1" applyBorder="1" applyAlignment="1" applyProtection="1">
      <alignment horizontal="right" vertical="center"/>
      <protection locked="0"/>
    </xf>
    <xf numFmtId="0" fontId="7" fillId="0" borderId="0" xfId="2" applyFont="1" applyFill="1" applyBorder="1" applyAlignment="1">
      <alignment vertical="center"/>
    </xf>
    <xf numFmtId="165" fontId="5" fillId="0" borderId="1" xfId="0" applyNumberFormat="1" applyFont="1" applyFill="1" applyBorder="1" applyAlignment="1" applyProtection="1">
      <alignment horizontal="center"/>
      <protection locked="0"/>
    </xf>
    <xf numFmtId="0" fontId="5" fillId="0" borderId="1" xfId="0" applyFont="1" applyFill="1" applyBorder="1" applyProtection="1"/>
    <xf numFmtId="0" fontId="5" fillId="0" borderId="1" xfId="0" applyFont="1" applyFill="1" applyBorder="1"/>
    <xf numFmtId="0" fontId="5" fillId="0" borderId="1" xfId="0" applyFont="1" applyFill="1" applyBorder="1" applyProtection="1">
      <protection locked="0"/>
    </xf>
    <xf numFmtId="0" fontId="46" fillId="0" borderId="0" xfId="2" applyFont="1" applyBorder="1" applyAlignment="1">
      <alignment horizontal="right" vertical="center" wrapText="1"/>
    </xf>
    <xf numFmtId="0" fontId="46" fillId="0" borderId="42" xfId="2" applyFont="1" applyBorder="1" applyAlignment="1">
      <alignment horizontal="right" vertical="center" wrapText="1"/>
    </xf>
    <xf numFmtId="0" fontId="37" fillId="0" borderId="3" xfId="0" applyFont="1" applyFill="1" applyBorder="1" applyAlignment="1" applyProtection="1">
      <alignment horizontal="center" vertical="center"/>
      <protection locked="0"/>
    </xf>
    <xf numFmtId="0" fontId="47" fillId="0" borderId="0" xfId="0" applyFont="1" applyAlignment="1" applyProtection="1">
      <alignment vertical="center"/>
      <protection locked="0"/>
    </xf>
    <xf numFmtId="0" fontId="41" fillId="0" borderId="0" xfId="0" applyFont="1" applyAlignment="1" applyProtection="1">
      <alignment vertical="center"/>
      <protection locked="0"/>
    </xf>
    <xf numFmtId="0" fontId="48" fillId="0" borderId="0" xfId="0" applyFont="1"/>
    <xf numFmtId="0" fontId="0" fillId="0" borderId="3" xfId="0" applyBorder="1"/>
    <xf numFmtId="0" fontId="48" fillId="0" borderId="0" xfId="0" applyFont="1" applyBorder="1"/>
    <xf numFmtId="0" fontId="47" fillId="0" borderId="0" xfId="0" applyNumberFormat="1" applyFont="1" applyAlignment="1" applyProtection="1"/>
    <xf numFmtId="0" fontId="47" fillId="0" borderId="0" xfId="0" applyNumberFormat="1" applyFont="1" applyAlignment="1"/>
    <xf numFmtId="0" fontId="48" fillId="0" borderId="19" xfId="0" applyFont="1" applyBorder="1"/>
    <xf numFmtId="0" fontId="48" fillId="0" borderId="20" xfId="0" applyFont="1" applyBorder="1"/>
    <xf numFmtId="0" fontId="48" fillId="0" borderId="21" xfId="0" applyFont="1" applyBorder="1"/>
    <xf numFmtId="0" fontId="48" fillId="0" borderId="14" xfId="0" applyFont="1" applyBorder="1"/>
    <xf numFmtId="0" fontId="48" fillId="0" borderId="22" xfId="0" applyFont="1" applyBorder="1"/>
    <xf numFmtId="0" fontId="48" fillId="0" borderId="9" xfId="0" applyFont="1" applyBorder="1"/>
    <xf numFmtId="0" fontId="48" fillId="0" borderId="23" xfId="0" applyFont="1" applyBorder="1"/>
    <xf numFmtId="0" fontId="9" fillId="0" borderId="1" xfId="0" applyFont="1" applyFill="1" applyBorder="1" applyAlignment="1">
      <alignment horizontal="center" vertical="center"/>
    </xf>
    <xf numFmtId="0" fontId="9" fillId="0" borderId="1" xfId="0" applyFont="1" applyFill="1" applyBorder="1" applyAlignment="1">
      <alignment horizontal="center" vertical="center" wrapText="1"/>
    </xf>
    <xf numFmtId="168" fontId="5" fillId="0" borderId="1" xfId="0" applyNumberFormat="1" applyFont="1" applyFill="1" applyBorder="1" applyAlignment="1" applyProtection="1">
      <alignment horizontal="center"/>
    </xf>
    <xf numFmtId="0" fontId="28" fillId="0" borderId="0" xfId="2" applyFont="1" applyFill="1" applyAlignment="1">
      <alignment vertical="center"/>
    </xf>
    <xf numFmtId="0" fontId="0" fillId="0" borderId="0" xfId="0" quotePrefix="1"/>
    <xf numFmtId="0" fontId="3" fillId="0" borderId="0" xfId="2" applyFont="1" applyAlignment="1">
      <alignment vertical="center"/>
    </xf>
    <xf numFmtId="0" fontId="50" fillId="0" borderId="3" xfId="2" applyFont="1" applyBorder="1" applyAlignment="1">
      <alignment vertical="center"/>
    </xf>
    <xf numFmtId="14" fontId="3" fillId="0" borderId="3" xfId="2" applyNumberFormat="1" applyFont="1" applyBorder="1" applyAlignment="1">
      <alignment vertical="center"/>
    </xf>
    <xf numFmtId="0" fontId="3" fillId="0" borderId="3" xfId="2" applyFont="1" applyBorder="1" applyAlignment="1">
      <alignment horizontal="center" vertical="center"/>
    </xf>
    <xf numFmtId="0" fontId="13" fillId="0" borderId="3" xfId="2" applyFont="1" applyBorder="1" applyAlignment="1">
      <alignment vertical="center"/>
    </xf>
    <xf numFmtId="14" fontId="10" fillId="0" borderId="3" xfId="2" applyNumberFormat="1" applyFont="1" applyBorder="1" applyAlignment="1">
      <alignment vertical="center"/>
    </xf>
    <xf numFmtId="0" fontId="10" fillId="0" borderId="3" xfId="2" applyFont="1" applyBorder="1" applyAlignment="1">
      <alignment horizontal="center" vertical="center"/>
    </xf>
    <xf numFmtId="0" fontId="47" fillId="0" borderId="0" xfId="0" applyNumberFormat="1" applyFont="1" applyFill="1" applyAlignment="1" applyProtection="1"/>
    <xf numFmtId="0" fontId="0" fillId="0" borderId="0" xfId="0" applyNumberFormat="1" applyFont="1" applyFill="1" applyBorder="1" applyAlignment="1" applyProtection="1"/>
    <xf numFmtId="0" fontId="0" fillId="0" borderId="0" xfId="0" applyNumberFormat="1" applyFont="1" applyFill="1" applyBorder="1" applyAlignment="1"/>
    <xf numFmtId="0" fontId="0" fillId="0" borderId="50" xfId="2" applyNumberFormat="1" applyFont="1" applyFill="1" applyBorder="1" applyAlignment="1"/>
    <xf numFmtId="0" fontId="0" fillId="0" borderId="2" xfId="2" applyNumberFormat="1" applyFont="1" applyFill="1" applyBorder="1" applyAlignment="1"/>
    <xf numFmtId="0" fontId="0" fillId="0" borderId="51" xfId="2" applyNumberFormat="1" applyFont="1" applyFill="1" applyBorder="1" applyAlignment="1"/>
    <xf numFmtId="0" fontId="0" fillId="0" borderId="0" xfId="0" applyAlignment="1">
      <alignment horizontal="right"/>
    </xf>
    <xf numFmtId="0" fontId="37" fillId="0" borderId="0" xfId="0" applyFont="1"/>
    <xf numFmtId="167" fontId="3" fillId="4" borderId="3" xfId="2" applyNumberFormat="1" applyFont="1" applyFill="1" applyBorder="1" applyAlignment="1">
      <alignment horizontal="center" vertical="center"/>
    </xf>
    <xf numFmtId="0" fontId="26" fillId="3" borderId="53" xfId="2" applyFont="1" applyFill="1" applyBorder="1" applyAlignment="1">
      <alignment horizontal="center" vertical="center"/>
    </xf>
    <xf numFmtId="0" fontId="31" fillId="3" borderId="53" xfId="2" applyNumberFormat="1" applyFont="1" applyFill="1" applyBorder="1" applyAlignment="1">
      <alignment horizontal="center" vertical="center"/>
    </xf>
    <xf numFmtId="14" fontId="26" fillId="0" borderId="21" xfId="2" applyNumberFormat="1" applyFont="1" applyBorder="1" applyAlignment="1">
      <alignment vertical="center"/>
    </xf>
    <xf numFmtId="0" fontId="7" fillId="0" borderId="0" xfId="2" applyFont="1" applyFill="1" applyBorder="1" applyAlignment="1">
      <alignment horizontal="left" vertical="top"/>
    </xf>
    <xf numFmtId="0" fontId="5" fillId="0" borderId="21" xfId="2" applyFont="1" applyFill="1" applyBorder="1" applyAlignment="1">
      <alignment horizontal="center" vertical="center"/>
    </xf>
    <xf numFmtId="0" fontId="10" fillId="0" borderId="0" xfId="2" applyFont="1" applyBorder="1" applyAlignment="1">
      <alignment horizontal="right" vertical="center"/>
    </xf>
    <xf numFmtId="0" fontId="19" fillId="0" borderId="0" xfId="2" applyFont="1" applyBorder="1" applyAlignment="1">
      <alignment horizontal="right" vertical="center"/>
    </xf>
    <xf numFmtId="165" fontId="19" fillId="0" borderId="0" xfId="0" applyNumberFormat="1" applyFont="1" applyAlignment="1">
      <alignment horizontal="left" vertical="center"/>
    </xf>
    <xf numFmtId="165" fontId="19" fillId="0" borderId="0" xfId="0" applyNumberFormat="1" applyFont="1" applyAlignment="1">
      <alignment horizontal="left"/>
    </xf>
    <xf numFmtId="0" fontId="19" fillId="0" borderId="0" xfId="0" applyFont="1" applyAlignment="1">
      <alignment horizontal="left" vertical="center"/>
    </xf>
    <xf numFmtId="0" fontId="19" fillId="0" borderId="0" xfId="0" applyFont="1" applyAlignment="1">
      <alignment horizontal="left"/>
    </xf>
    <xf numFmtId="0" fontId="43" fillId="0" borderId="0" xfId="0" applyNumberFormat="1" applyFont="1" applyFill="1" applyBorder="1" applyAlignment="1" applyProtection="1"/>
    <xf numFmtId="0" fontId="43" fillId="0" borderId="0" xfId="0" applyFont="1"/>
    <xf numFmtId="0" fontId="3" fillId="0" borderId="0" xfId="2" applyFont="1" applyBorder="1" applyAlignment="1">
      <alignment horizontal="center"/>
    </xf>
    <xf numFmtId="166" fontId="3" fillId="0" borderId="0" xfId="2" applyNumberFormat="1" applyFont="1" applyBorder="1" applyAlignment="1">
      <alignment vertical="center"/>
    </xf>
    <xf numFmtId="0" fontId="43" fillId="0" borderId="0" xfId="0" applyNumberFormat="1" applyFont="1" applyAlignment="1" applyProtection="1"/>
    <xf numFmtId="0" fontId="47" fillId="0" borderId="3" xfId="0" applyNumberFormat="1" applyFont="1" applyBorder="1" applyAlignment="1" applyProtection="1"/>
    <xf numFmtId="0" fontId="47" fillId="0" borderId="0" xfId="0" applyNumberFormat="1" applyFont="1" applyBorder="1" applyAlignment="1" applyProtection="1"/>
    <xf numFmtId="0" fontId="3" fillId="0" borderId="5" xfId="2" applyFont="1" applyBorder="1" applyAlignment="1">
      <alignment horizontal="left" vertical="center"/>
    </xf>
    <xf numFmtId="0" fontId="3" fillId="0" borderId="14" xfId="2" applyFont="1" applyBorder="1" applyAlignment="1">
      <alignment vertical="center"/>
    </xf>
    <xf numFmtId="0" fontId="3" fillId="2" borderId="2" xfId="2" applyFont="1" applyFill="1" applyBorder="1" applyAlignment="1">
      <alignment vertical="center"/>
    </xf>
    <xf numFmtId="0" fontId="3" fillId="0" borderId="0" xfId="2" applyNumberFormat="1" applyFont="1" applyBorder="1" applyAlignment="1">
      <alignment vertical="center"/>
    </xf>
    <xf numFmtId="0" fontId="13" fillId="0" borderId="0" xfId="2" applyFont="1" applyBorder="1" applyAlignment="1">
      <alignment horizontal="right" vertical="center"/>
    </xf>
    <xf numFmtId="0" fontId="47" fillId="0" borderId="21" xfId="0" applyNumberFormat="1" applyFont="1" applyBorder="1" applyAlignment="1" applyProtection="1"/>
    <xf numFmtId="0" fontId="47" fillId="0" borderId="14" xfId="0" applyNumberFormat="1" applyFont="1" applyBorder="1" applyAlignment="1" applyProtection="1"/>
    <xf numFmtId="0" fontId="47" fillId="0" borderId="22" xfId="0" applyNumberFormat="1" applyFont="1" applyBorder="1" applyAlignment="1" applyProtection="1"/>
    <xf numFmtId="0" fontId="47" fillId="0" borderId="23" xfId="0" applyNumberFormat="1" applyFont="1" applyBorder="1" applyAlignment="1" applyProtection="1"/>
    <xf numFmtId="0" fontId="23" fillId="0" borderId="32" xfId="2" applyFont="1" applyBorder="1" applyAlignment="1">
      <alignment horizontal="center" vertical="center"/>
    </xf>
    <xf numFmtId="0" fontId="23" fillId="0" borderId="35" xfId="2" applyFont="1" applyFill="1" applyBorder="1" applyAlignment="1">
      <alignment horizontal="center" vertical="center"/>
    </xf>
    <xf numFmtId="0" fontId="23" fillId="0" borderId="8" xfId="2" applyFont="1" applyBorder="1" applyAlignment="1">
      <alignment horizontal="center" vertical="center"/>
    </xf>
    <xf numFmtId="0" fontId="23" fillId="0" borderId="30" xfId="2" applyFont="1" applyBorder="1" applyAlignment="1">
      <alignment horizontal="center" vertical="center"/>
    </xf>
    <xf numFmtId="164" fontId="10" fillId="0" borderId="0" xfId="0" applyNumberFormat="1" applyFont="1"/>
    <xf numFmtId="0" fontId="23" fillId="0" borderId="16" xfId="2" applyFont="1" applyBorder="1" applyAlignment="1">
      <alignment horizontal="center" vertical="center"/>
    </xf>
    <xf numFmtId="164" fontId="10" fillId="0" borderId="15" xfId="2" applyNumberFormat="1" applyFont="1" applyBorder="1" applyAlignment="1">
      <alignment horizontal="center" vertical="center"/>
    </xf>
    <xf numFmtId="164" fontId="10" fillId="0" borderId="21" xfId="2" applyNumberFormat="1" applyFont="1" applyBorder="1" applyAlignment="1">
      <alignment horizontal="center" vertical="center"/>
    </xf>
    <xf numFmtId="164" fontId="10" fillId="0" borderId="22" xfId="2" applyNumberFormat="1" applyFont="1" applyBorder="1" applyAlignment="1">
      <alignment horizontal="center" vertical="center"/>
    </xf>
    <xf numFmtId="0" fontId="10" fillId="0" borderId="21" xfId="2" applyFont="1" applyBorder="1" applyAlignment="1">
      <alignment horizontal="center" vertical="center"/>
    </xf>
    <xf numFmtId="0" fontId="10" fillId="0" borderId="22" xfId="2" applyFont="1" applyBorder="1" applyAlignment="1">
      <alignment horizontal="center" vertical="center"/>
    </xf>
    <xf numFmtId="0" fontId="23" fillId="0" borderId="54" xfId="2" applyFont="1" applyBorder="1" applyAlignment="1">
      <alignment horizontal="center" vertical="center"/>
    </xf>
    <xf numFmtId="0" fontId="23" fillId="0" borderId="21" xfId="2" applyFont="1" applyFill="1" applyBorder="1" applyAlignment="1">
      <alignment horizontal="center" vertical="center"/>
    </xf>
    <xf numFmtId="0" fontId="23" fillId="4" borderId="9" xfId="2" applyFont="1" applyFill="1" applyBorder="1" applyAlignment="1">
      <alignment horizontal="center" vertical="center"/>
    </xf>
    <xf numFmtId="0" fontId="10" fillId="4" borderId="0" xfId="2" applyFont="1" applyFill="1" applyBorder="1" applyAlignment="1">
      <alignment horizontal="center" vertical="center"/>
    </xf>
    <xf numFmtId="0" fontId="10" fillId="0" borderId="25" xfId="2" applyFont="1" applyBorder="1" applyAlignment="1">
      <alignment horizontal="center" vertical="center"/>
    </xf>
    <xf numFmtId="0" fontId="10" fillId="0" borderId="26" xfId="2" applyFont="1" applyBorder="1" applyAlignment="1">
      <alignment horizontal="center" vertical="center"/>
    </xf>
    <xf numFmtId="0" fontId="3" fillId="0" borderId="0" xfId="0" applyFont="1"/>
    <xf numFmtId="0" fontId="4" fillId="0" borderId="0" xfId="2" applyFont="1" applyBorder="1" applyAlignment="1">
      <alignment horizontal="right" vertical="center"/>
    </xf>
    <xf numFmtId="0" fontId="47" fillId="0" borderId="3" xfId="0" applyNumberFormat="1" applyFont="1" applyBorder="1" applyAlignment="1"/>
    <xf numFmtId="0" fontId="23" fillId="0" borderId="31" xfId="2" applyFont="1" applyFill="1" applyBorder="1" applyAlignment="1">
      <alignment horizontal="center" vertical="center"/>
    </xf>
    <xf numFmtId="0" fontId="23" fillId="0" borderId="34" xfId="2" applyFont="1" applyFill="1" applyBorder="1" applyAlignment="1">
      <alignment horizontal="center" vertical="center"/>
    </xf>
    <xf numFmtId="0" fontId="23" fillId="0" borderId="8" xfId="2" applyFont="1" applyFill="1" applyBorder="1" applyAlignment="1">
      <alignment horizontal="center" vertical="center"/>
    </xf>
    <xf numFmtId="0" fontId="23" fillId="0" borderId="25" xfId="2" applyFont="1" applyFill="1" applyBorder="1" applyAlignment="1">
      <alignment horizontal="center" vertical="center"/>
    </xf>
    <xf numFmtId="0" fontId="3" fillId="0" borderId="25" xfId="2" applyFont="1" applyFill="1" applyBorder="1" applyAlignment="1">
      <alignment horizontal="center" vertical="center"/>
    </xf>
    <xf numFmtId="0" fontId="3" fillId="0" borderId="26" xfId="2" applyFont="1" applyFill="1" applyBorder="1" applyAlignment="1">
      <alignment horizontal="center" vertical="center"/>
    </xf>
    <xf numFmtId="0" fontId="8" fillId="0" borderId="0" xfId="0" applyFont="1" applyAlignment="1">
      <alignment vertical="center" wrapText="1"/>
    </xf>
    <xf numFmtId="0" fontId="23" fillId="0" borderId="32" xfId="2" applyFont="1" applyFill="1" applyBorder="1" applyAlignment="1">
      <alignment horizontal="center" vertical="center"/>
    </xf>
    <xf numFmtId="0" fontId="48" fillId="0" borderId="3" xfId="0" applyFont="1" applyBorder="1"/>
    <xf numFmtId="0" fontId="24" fillId="2" borderId="2" xfId="2" applyFont="1" applyFill="1" applyBorder="1" applyAlignment="1">
      <alignment vertical="center"/>
    </xf>
    <xf numFmtId="0" fontId="0" fillId="0" borderId="14" xfId="0" applyBorder="1"/>
    <xf numFmtId="0" fontId="0" fillId="0" borderId="15" xfId="0" applyBorder="1"/>
    <xf numFmtId="0" fontId="0" fillId="0" borderId="19" xfId="0" applyBorder="1"/>
    <xf numFmtId="0" fontId="0" fillId="0" borderId="20" xfId="0" applyBorder="1"/>
    <xf numFmtId="0" fontId="0" fillId="0" borderId="21" xfId="0" applyBorder="1"/>
    <xf numFmtId="0" fontId="0" fillId="0" borderId="0" xfId="0" applyBorder="1"/>
    <xf numFmtId="0" fontId="0" fillId="0" borderId="22" xfId="0" applyBorder="1"/>
    <xf numFmtId="0" fontId="0" fillId="0" borderId="9" xfId="0" applyBorder="1"/>
    <xf numFmtId="0" fontId="0" fillId="0" borderId="23" xfId="0" applyBorder="1"/>
    <xf numFmtId="0" fontId="43" fillId="0" borderId="14" xfId="0" applyFont="1" applyBorder="1"/>
    <xf numFmtId="0" fontId="47" fillId="0" borderId="3" xfId="0" applyNumberFormat="1" applyFont="1" applyFill="1" applyBorder="1" applyAlignment="1" applyProtection="1"/>
    <xf numFmtId="0" fontId="52" fillId="0" borderId="4" xfId="2" applyFont="1" applyBorder="1" applyAlignment="1">
      <alignment horizontal="right"/>
    </xf>
    <xf numFmtId="0" fontId="13" fillId="0" borderId="0" xfId="2" applyFont="1" applyBorder="1" applyAlignment="1">
      <alignment horizontal="center"/>
    </xf>
    <xf numFmtId="0" fontId="52" fillId="0" borderId="24" xfId="2" applyFont="1" applyBorder="1" applyAlignment="1">
      <alignment horizontal="right"/>
    </xf>
    <xf numFmtId="0" fontId="52" fillId="0" borderId="0" xfId="2" applyFont="1" applyBorder="1" applyAlignment="1">
      <alignment horizontal="right"/>
    </xf>
    <xf numFmtId="0" fontId="1" fillId="0" borderId="0" xfId="0" applyNumberFormat="1" applyFont="1" applyAlignment="1" applyProtection="1"/>
    <xf numFmtId="0" fontId="1" fillId="0" borderId="0" xfId="0" applyNumberFormat="1" applyFont="1" applyAlignment="1" applyProtection="1">
      <alignment horizontal="right"/>
    </xf>
    <xf numFmtId="0" fontId="8" fillId="0" borderId="0" xfId="0" applyFont="1" applyAlignment="1">
      <alignment horizontal="center" vertical="center" wrapText="1"/>
    </xf>
    <xf numFmtId="0" fontId="0" fillId="0" borderId="0" xfId="0"/>
    <xf numFmtId="0" fontId="36" fillId="0" borderId="0" xfId="0" applyFont="1" applyBorder="1" applyAlignment="1">
      <alignment vertical="top"/>
    </xf>
    <xf numFmtId="0" fontId="0" fillId="0" borderId="0" xfId="0"/>
    <xf numFmtId="0" fontId="1" fillId="0" borderId="0" xfId="0" applyFont="1" applyFill="1" applyAlignment="1">
      <alignment vertical="center"/>
    </xf>
    <xf numFmtId="0" fontId="3" fillId="0" borderId="3" xfId="0" applyFont="1" applyFill="1" applyBorder="1" applyAlignment="1">
      <alignment horizontal="center" vertical="center" wrapText="1"/>
    </xf>
    <xf numFmtId="0" fontId="1" fillId="0" borderId="0" xfId="0" applyFont="1"/>
    <xf numFmtId="0" fontId="0" fillId="0" borderId="0" xfId="0" applyFont="1"/>
    <xf numFmtId="0" fontId="1" fillId="0" borderId="0" xfId="0" applyNumberFormat="1" applyFont="1" applyFill="1" applyBorder="1" applyAlignment="1" applyProtection="1"/>
    <xf numFmtId="165" fontId="5" fillId="0" borderId="1" xfId="0" applyNumberFormat="1" applyFont="1" applyFill="1" applyBorder="1" applyAlignment="1" applyProtection="1">
      <alignment horizontal="center"/>
    </xf>
    <xf numFmtId="0" fontId="0" fillId="0" borderId="0" xfId="0" applyProtection="1"/>
    <xf numFmtId="0" fontId="48" fillId="0" borderId="3" xfId="0" applyFont="1" applyBorder="1" applyAlignment="1">
      <alignment horizontal="right"/>
    </xf>
    <xf numFmtId="0" fontId="37"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vertical="center" wrapText="1"/>
      <protection locked="0"/>
    </xf>
    <xf numFmtId="0" fontId="3" fillId="0" borderId="0" xfId="0" applyFont="1" applyFill="1" applyBorder="1" applyAlignment="1" applyProtection="1">
      <alignment vertical="center" wrapText="1"/>
      <protection locked="0"/>
    </xf>
    <xf numFmtId="0" fontId="10" fillId="0" borderId="0" xfId="0" applyFont="1" applyFill="1" applyBorder="1" applyAlignment="1" applyProtection="1">
      <alignment vertical="center" wrapText="1"/>
      <protection locked="0"/>
    </xf>
    <xf numFmtId="0" fontId="3" fillId="0" borderId="0" xfId="0" applyNumberFormat="1" applyFont="1" applyFill="1" applyBorder="1" applyAlignment="1" applyProtection="1">
      <alignment vertical="center" wrapText="1"/>
      <protection locked="0"/>
    </xf>
    <xf numFmtId="14" fontId="3" fillId="0" borderId="3" xfId="2" applyNumberFormat="1" applyFont="1" applyBorder="1" applyAlignment="1">
      <alignment horizontal="center" vertical="center"/>
    </xf>
    <xf numFmtId="0" fontId="1" fillId="0" borderId="0" xfId="0" applyNumberFormat="1" applyFont="1" applyFill="1" applyBorder="1" applyAlignment="1" applyProtection="1">
      <alignment horizontal="right"/>
    </xf>
    <xf numFmtId="0" fontId="13" fillId="0" borderId="0" xfId="2" applyFont="1" applyBorder="1" applyAlignment="1">
      <alignment horizontal="left" vertical="center"/>
    </xf>
    <xf numFmtId="0" fontId="27" fillId="0" borderId="0" xfId="2" applyFont="1" applyBorder="1" applyAlignment="1">
      <alignment vertical="center" wrapText="1"/>
    </xf>
    <xf numFmtId="0" fontId="24" fillId="0" borderId="0" xfId="2" applyFont="1" applyBorder="1" applyAlignment="1">
      <alignment horizontal="left" wrapText="1"/>
    </xf>
    <xf numFmtId="0" fontId="13" fillId="0" borderId="0" xfId="2" applyFont="1" applyBorder="1" applyAlignment="1">
      <alignment horizontal="right" vertical="center"/>
    </xf>
    <xf numFmtId="0" fontId="0" fillId="0" borderId="0" xfId="0"/>
    <xf numFmtId="0" fontId="48" fillId="0" borderId="0" xfId="0" applyFont="1" applyBorder="1" applyAlignment="1">
      <alignment horizontal="right"/>
    </xf>
    <xf numFmtId="0" fontId="36" fillId="0" borderId="0" xfId="0" applyFont="1" applyBorder="1" applyAlignment="1">
      <alignment horizontal="right" vertical="top"/>
    </xf>
    <xf numFmtId="0" fontId="23" fillId="0" borderId="0" xfId="0" applyFont="1" applyAlignment="1">
      <alignment vertical="top" wrapText="1"/>
    </xf>
    <xf numFmtId="0" fontId="48" fillId="0" borderId="51" xfId="0" applyFont="1" applyBorder="1"/>
    <xf numFmtId="0" fontId="1" fillId="0" borderId="15" xfId="0" applyNumberFormat="1" applyFont="1" applyBorder="1" applyAlignment="1" applyProtection="1"/>
    <xf numFmtId="0" fontId="0" fillId="0" borderId="0" xfId="0"/>
    <xf numFmtId="0" fontId="0" fillId="0" borderId="0" xfId="0"/>
    <xf numFmtId="0" fontId="0" fillId="0" borderId="0" xfId="0"/>
    <xf numFmtId="164" fontId="10" fillId="0" borderId="48" xfId="2" applyNumberFormat="1" applyFont="1" applyFill="1" applyBorder="1" applyAlignment="1">
      <alignment horizontal="center" vertical="center"/>
    </xf>
    <xf numFmtId="164" fontId="10" fillId="0" borderId="21" xfId="2" applyNumberFormat="1" applyFont="1" applyFill="1" applyBorder="1" applyAlignment="1">
      <alignment horizontal="center" vertical="center"/>
    </xf>
    <xf numFmtId="164" fontId="10" fillId="0" borderId="0" xfId="2" applyNumberFormat="1" applyFont="1" applyFill="1" applyBorder="1" applyAlignment="1">
      <alignment horizontal="center" vertical="center"/>
    </xf>
    <xf numFmtId="164" fontId="10" fillId="0" borderId="55" xfId="2" applyNumberFormat="1" applyFont="1" applyFill="1" applyBorder="1" applyAlignment="1">
      <alignment horizontal="center" vertical="center"/>
    </xf>
    <xf numFmtId="164" fontId="10" fillId="0" borderId="22" xfId="2" applyNumberFormat="1" applyFont="1" applyFill="1" applyBorder="1" applyAlignment="1">
      <alignment horizontal="center" vertical="center"/>
    </xf>
    <xf numFmtId="164" fontId="10" fillId="0" borderId="9" xfId="2" applyNumberFormat="1" applyFont="1" applyFill="1" applyBorder="1" applyAlignment="1">
      <alignment horizontal="center" vertical="center"/>
    </xf>
    <xf numFmtId="164" fontId="10" fillId="0" borderId="56" xfId="2" applyNumberFormat="1" applyFont="1" applyFill="1" applyBorder="1" applyAlignment="1">
      <alignment horizontal="center" vertical="center"/>
    </xf>
    <xf numFmtId="164" fontId="10" fillId="0" borderId="49" xfId="2" applyNumberFormat="1" applyFont="1" applyFill="1" applyBorder="1" applyAlignment="1">
      <alignment horizontal="center" vertical="center"/>
    </xf>
    <xf numFmtId="164" fontId="21" fillId="3" borderId="7" xfId="2" applyNumberFormat="1" applyFont="1" applyFill="1" applyBorder="1" applyAlignment="1">
      <alignment vertical="center"/>
    </xf>
    <xf numFmtId="164" fontId="25" fillId="0" borderId="32" xfId="2" applyNumberFormat="1" applyFont="1" applyFill="1" applyBorder="1" applyAlignment="1">
      <alignment horizontal="center" vertical="center"/>
    </xf>
    <xf numFmtId="164" fontId="25" fillId="0" borderId="0" xfId="2" applyNumberFormat="1" applyFont="1" applyFill="1" applyBorder="1" applyAlignment="1">
      <alignment horizontal="center" vertical="center"/>
    </xf>
    <xf numFmtId="164" fontId="44" fillId="0" borderId="32" xfId="2" applyNumberFormat="1" applyFont="1" applyBorder="1" applyAlignment="1">
      <alignment horizontal="center" vertical="center"/>
    </xf>
    <xf numFmtId="164" fontId="44" fillId="0" borderId="0" xfId="2" applyNumberFormat="1" applyFont="1" applyBorder="1" applyAlignment="1">
      <alignment horizontal="center" vertical="center"/>
    </xf>
    <xf numFmtId="14" fontId="19" fillId="0" borderId="12" xfId="0" applyNumberFormat="1" applyFont="1" applyBorder="1"/>
    <xf numFmtId="0" fontId="20" fillId="3" borderId="6" xfId="2" applyFont="1" applyFill="1" applyBorder="1" applyAlignment="1">
      <alignment horizontal="center" vertical="center"/>
    </xf>
    <xf numFmtId="0" fontId="0" fillId="0" borderId="0" xfId="0"/>
    <xf numFmtId="14" fontId="3" fillId="0" borderId="12" xfId="0" applyNumberFormat="1" applyFont="1" applyBorder="1"/>
    <xf numFmtId="0" fontId="3" fillId="0" borderId="0" xfId="2" applyFont="1" applyBorder="1" applyAlignment="1">
      <alignment horizontal="right" vertical="center"/>
    </xf>
    <xf numFmtId="0" fontId="1" fillId="0" borderId="21" xfId="0" applyFont="1" applyBorder="1" applyAlignment="1" applyProtection="1">
      <alignment vertical="center"/>
      <protection locked="0"/>
    </xf>
    <xf numFmtId="0" fontId="1" fillId="0" borderId="15" xfId="0" applyFont="1" applyBorder="1" applyAlignment="1" applyProtection="1">
      <alignment vertical="center"/>
      <protection locked="0"/>
    </xf>
    <xf numFmtId="0" fontId="47" fillId="0" borderId="21" xfId="0" applyFont="1" applyBorder="1" applyAlignment="1" applyProtection="1">
      <alignment vertical="center"/>
      <protection locked="0"/>
    </xf>
    <xf numFmtId="0" fontId="47" fillId="0" borderId="21" xfId="0" applyNumberFormat="1" applyFont="1" applyBorder="1" applyAlignment="1"/>
    <xf numFmtId="0" fontId="1" fillId="0" borderId="0" xfId="0" applyNumberFormat="1" applyFont="1" applyAlignment="1"/>
    <xf numFmtId="0" fontId="1" fillId="0" borderId="3" xfId="0" applyNumberFormat="1" applyFont="1" applyBorder="1" applyAlignment="1"/>
    <xf numFmtId="0" fontId="23" fillId="0" borderId="33" xfId="2" applyFont="1" applyBorder="1" applyAlignment="1">
      <alignment horizontal="center" vertical="center"/>
    </xf>
    <xf numFmtId="14" fontId="10" fillId="0" borderId="3" xfId="2" applyNumberFormat="1" applyFont="1" applyBorder="1" applyAlignment="1">
      <alignment horizontal="center" vertical="center"/>
    </xf>
    <xf numFmtId="164" fontId="25" fillId="0" borderId="35" xfId="2" applyNumberFormat="1" applyFont="1" applyFill="1" applyBorder="1" applyAlignment="1">
      <alignment horizontal="center" vertical="center"/>
    </xf>
    <xf numFmtId="164" fontId="44" fillId="0" borderId="32" xfId="2" applyNumberFormat="1" applyFont="1" applyFill="1" applyBorder="1" applyAlignment="1">
      <alignment horizontal="center" vertical="center"/>
    </xf>
    <xf numFmtId="164" fontId="44" fillId="0" borderId="35" xfId="2" applyNumberFormat="1" applyFont="1" applyFill="1" applyBorder="1" applyAlignment="1">
      <alignment horizontal="center" vertical="center"/>
    </xf>
    <xf numFmtId="0" fontId="26" fillId="0" borderId="24" xfId="2" applyNumberFormat="1" applyFont="1" applyBorder="1" applyAlignment="1">
      <alignment vertical="center"/>
    </xf>
    <xf numFmtId="0" fontId="3" fillId="0" borderId="24" xfId="2" applyNumberFormat="1" applyFont="1" applyBorder="1" applyAlignment="1">
      <alignment vertical="center"/>
    </xf>
    <xf numFmtId="0" fontId="0" fillId="0" borderId="0" xfId="0"/>
    <xf numFmtId="0" fontId="47" fillId="0" borderId="3" xfId="0" applyNumberFormat="1" applyFont="1" applyBorder="1" applyAlignment="1" applyProtection="1">
      <alignment horizontal="right"/>
    </xf>
    <xf numFmtId="0" fontId="47" fillId="10" borderId="3" xfId="0" applyNumberFormat="1" applyFont="1" applyFill="1" applyBorder="1" applyAlignment="1" applyProtection="1"/>
    <xf numFmtId="0" fontId="1" fillId="0" borderId="21" xfId="0" applyNumberFormat="1" applyFont="1" applyFill="1" applyBorder="1" applyAlignment="1" applyProtection="1">
      <alignment vertical="center"/>
      <protection locked="0"/>
    </xf>
    <xf numFmtId="0" fontId="1" fillId="0" borderId="22" xfId="0" applyNumberFormat="1" applyFont="1" applyFill="1" applyBorder="1" applyAlignment="1" applyProtection="1">
      <alignment vertical="center"/>
      <protection locked="0"/>
    </xf>
    <xf numFmtId="0" fontId="1" fillId="10" borderId="3" xfId="0" applyNumberFormat="1" applyFont="1" applyFill="1" applyBorder="1" applyAlignment="1" applyProtection="1"/>
    <xf numFmtId="0" fontId="1" fillId="0" borderId="0" xfId="0" applyNumberFormat="1" applyFont="1" applyAlignment="1">
      <alignment horizontal="right"/>
    </xf>
    <xf numFmtId="0" fontId="0" fillId="0" borderId="0" xfId="0"/>
    <xf numFmtId="0" fontId="33" fillId="0" borderId="14" xfId="2" applyFont="1" applyBorder="1" applyAlignment="1">
      <alignment horizontal="center" vertical="top" wrapText="1"/>
    </xf>
    <xf numFmtId="0" fontId="24" fillId="0" borderId="0" xfId="2" applyFont="1" applyBorder="1" applyAlignment="1">
      <alignment horizontal="justify" vertical="top" wrapText="1"/>
    </xf>
    <xf numFmtId="0" fontId="48" fillId="0" borderId="0" xfId="0" applyFont="1" applyBorder="1" applyAlignment="1">
      <alignment horizontal="right" vertical="center"/>
    </xf>
    <xf numFmtId="0" fontId="23" fillId="0" borderId="0" xfId="0" applyFont="1" applyBorder="1" applyAlignment="1">
      <alignment vertical="top" wrapText="1"/>
    </xf>
    <xf numFmtId="0" fontId="48" fillId="0" borderId="14" xfId="0" applyFont="1" applyBorder="1" applyAlignment="1"/>
    <xf numFmtId="0" fontId="23" fillId="0" borderId="0" xfId="0" applyFont="1" applyBorder="1" applyAlignment="1">
      <alignment horizontal="right" vertical="center"/>
    </xf>
    <xf numFmtId="0" fontId="2" fillId="0" borderId="0" xfId="1" applyAlignment="1" applyProtection="1">
      <alignment horizontal="left" indent="1"/>
    </xf>
    <xf numFmtId="0" fontId="13" fillId="0" borderId="28" xfId="0" applyFont="1" applyFill="1" applyBorder="1" applyAlignment="1"/>
    <xf numFmtId="0" fontId="13" fillId="0" borderId="5" xfId="0" applyFont="1" applyFill="1" applyBorder="1" applyAlignment="1"/>
    <xf numFmtId="0" fontId="13" fillId="0" borderId="27" xfId="0" applyFont="1" applyFill="1" applyBorder="1" applyAlignment="1"/>
    <xf numFmtId="14" fontId="0" fillId="0" borderId="0" xfId="0" applyNumberFormat="1" applyFill="1"/>
    <xf numFmtId="0" fontId="55" fillId="0" borderId="0" xfId="0" applyFont="1" applyAlignment="1">
      <alignment vertical="center"/>
    </xf>
    <xf numFmtId="0" fontId="2" fillId="0" borderId="0" xfId="1" applyAlignment="1" applyProtection="1"/>
    <xf numFmtId="0" fontId="1" fillId="0" borderId="0" xfId="0" applyFont="1" applyAlignment="1">
      <alignment horizontal="left" vertical="center" indent="1"/>
    </xf>
    <xf numFmtId="0" fontId="2" fillId="0" borderId="0" xfId="1" applyAlignment="1" applyProtection="1">
      <alignment horizontal="left" vertical="center" indent="1"/>
    </xf>
    <xf numFmtId="0" fontId="2" fillId="0" borderId="0" xfId="1" applyAlignment="1" applyProtection="1">
      <alignment horizontal="left" vertical="center" indent="2"/>
    </xf>
    <xf numFmtId="0" fontId="1" fillId="0" borderId="0" xfId="0" applyFont="1" applyFill="1"/>
    <xf numFmtId="0" fontId="2" fillId="0" borderId="0" xfId="1" applyFill="1" applyAlignment="1" applyProtection="1"/>
    <xf numFmtId="0" fontId="37" fillId="0" borderId="0" xfId="0" applyFont="1" applyFill="1"/>
    <xf numFmtId="0" fontId="0" fillId="0" borderId="0" xfId="0" applyNumberFormat="1" applyFill="1"/>
    <xf numFmtId="0" fontId="0" fillId="0" borderId="0" xfId="0" applyFont="1" applyFill="1"/>
    <xf numFmtId="0" fontId="0" fillId="11" borderId="0" xfId="0" applyFill="1"/>
    <xf numFmtId="14" fontId="0" fillId="0" borderId="0" xfId="0" applyNumberFormat="1" applyFill="1" applyBorder="1"/>
    <xf numFmtId="0" fontId="0" fillId="9" borderId="0" xfId="0" applyFill="1"/>
    <xf numFmtId="0" fontId="5" fillId="0" borderId="1" xfId="0" applyFont="1" applyFill="1" applyBorder="1" applyAlignment="1">
      <alignment horizontal="center"/>
    </xf>
    <xf numFmtId="0" fontId="5" fillId="0" borderId="1" xfId="0" applyFont="1" applyFill="1" applyBorder="1" applyAlignment="1" applyProtection="1">
      <alignment horizontal="center"/>
      <protection locked="0"/>
    </xf>
    <xf numFmtId="168" fontId="5" fillId="0" borderId="1" xfId="0" applyNumberFormat="1" applyFont="1" applyFill="1" applyBorder="1" applyAlignment="1" applyProtection="1">
      <alignment horizontal="center"/>
      <protection locked="0"/>
    </xf>
    <xf numFmtId="14" fontId="0" fillId="0" borderId="15" xfId="0" applyNumberFormat="1" applyFill="1" applyBorder="1"/>
    <xf numFmtId="0" fontId="0" fillId="0" borderId="20" xfId="0" applyFill="1" applyBorder="1"/>
    <xf numFmtId="14" fontId="0" fillId="0" borderId="21" xfId="0" applyNumberFormat="1" applyFill="1" applyBorder="1"/>
    <xf numFmtId="0" fontId="0" fillId="0" borderId="14" xfId="0" applyFill="1" applyBorder="1"/>
    <xf numFmtId="14" fontId="0" fillId="0" borderId="22" xfId="0" applyNumberFormat="1" applyFill="1" applyBorder="1"/>
    <xf numFmtId="0" fontId="0" fillId="0" borderId="23" xfId="0" applyFill="1" applyBorder="1"/>
    <xf numFmtId="0" fontId="1" fillId="0" borderId="15" xfId="0" applyFont="1" applyFill="1" applyBorder="1"/>
    <xf numFmtId="0" fontId="1" fillId="0" borderId="22" xfId="0" applyFont="1" applyFill="1" applyBorder="1"/>
    <xf numFmtId="0" fontId="3" fillId="0" borderId="0" xfId="0" applyFont="1" applyFill="1"/>
    <xf numFmtId="0" fontId="1" fillId="0" borderId="0" xfId="0" applyFont="1" applyFill="1" applyAlignment="1">
      <alignment horizontal="right"/>
    </xf>
    <xf numFmtId="0" fontId="0" fillId="0" borderId="3" xfId="0" applyFill="1" applyBorder="1"/>
    <xf numFmtId="0" fontId="1" fillId="0" borderId="0" xfId="0" applyFont="1" applyFill="1" applyBorder="1" applyAlignment="1">
      <alignment horizontal="right"/>
    </xf>
    <xf numFmtId="0" fontId="0" fillId="0" borderId="50" xfId="0" applyFill="1" applyBorder="1"/>
    <xf numFmtId="0" fontId="0" fillId="0" borderId="2" xfId="0" applyFill="1" applyBorder="1"/>
    <xf numFmtId="0" fontId="0" fillId="0" borderId="51" xfId="0" applyFill="1" applyBorder="1"/>
    <xf numFmtId="0" fontId="1" fillId="0" borderId="50" xfId="0" applyFont="1" applyBorder="1"/>
    <xf numFmtId="0" fontId="1" fillId="0" borderId="2" xfId="0" applyFont="1" applyBorder="1"/>
    <xf numFmtId="0" fontId="1" fillId="0" borderId="51" xfId="0" applyFont="1" applyBorder="1"/>
    <xf numFmtId="164" fontId="27" fillId="0" borderId="24" xfId="2" applyNumberFormat="1" applyFont="1" applyBorder="1" applyAlignment="1">
      <alignment horizontal="right" vertical="center" wrapText="1"/>
    </xf>
    <xf numFmtId="0" fontId="57" fillId="0" borderId="4" xfId="2" applyFont="1" applyBorder="1" applyAlignment="1">
      <alignment horizontal="center" vertical="center" wrapText="1"/>
    </xf>
    <xf numFmtId="0" fontId="3" fillId="0" borderId="0" xfId="2" applyFont="1" applyBorder="1" applyAlignment="1"/>
    <xf numFmtId="0" fontId="1" fillId="0" borderId="0" xfId="0" applyFont="1" applyAlignment="1"/>
    <xf numFmtId="0" fontId="3" fillId="0" borderId="0" xfId="2" applyNumberFormat="1" applyFont="1" applyBorder="1" applyAlignment="1">
      <alignment horizontal="center" vertical="center"/>
    </xf>
    <xf numFmtId="0" fontId="3" fillId="0" borderId="15" xfId="2" applyFont="1" applyBorder="1" applyAlignment="1">
      <alignment vertical="center"/>
    </xf>
    <xf numFmtId="0" fontId="5" fillId="0" borderId="20" xfId="2" applyFont="1" applyBorder="1" applyAlignment="1">
      <alignment vertical="center"/>
    </xf>
    <xf numFmtId="0" fontId="3" fillId="0" borderId="21" xfId="2" applyFont="1" applyBorder="1" applyAlignment="1">
      <alignment vertical="center"/>
    </xf>
    <xf numFmtId="0" fontId="5" fillId="0" borderId="14" xfId="2" applyFont="1" applyBorder="1" applyAlignment="1">
      <alignment vertical="center"/>
    </xf>
    <xf numFmtId="0" fontId="3" fillId="0" borderId="22" xfId="2" applyFont="1" applyBorder="1" applyAlignment="1">
      <alignment vertical="center"/>
    </xf>
    <xf numFmtId="0" fontId="5" fillId="0" borderId="23" xfId="2" applyFont="1" applyBorder="1" applyAlignment="1">
      <alignment vertical="center"/>
    </xf>
    <xf numFmtId="0" fontId="3" fillId="0" borderId="3" xfId="2" applyFont="1" applyBorder="1" applyAlignment="1"/>
    <xf numFmtId="14" fontId="3" fillId="0" borderId="3" xfId="2" applyNumberFormat="1" applyFont="1" applyBorder="1" applyAlignment="1"/>
    <xf numFmtId="0" fontId="3" fillId="0" borderId="3" xfId="2" applyNumberFormat="1" applyFont="1" applyBorder="1" applyAlignment="1"/>
    <xf numFmtId="14" fontId="3" fillId="0" borderId="50" xfId="2" applyNumberFormat="1" applyFont="1" applyBorder="1" applyAlignment="1"/>
    <xf numFmtId="0" fontId="3" fillId="0" borderId="16" xfId="2" applyFont="1" applyBorder="1" applyAlignment="1"/>
    <xf numFmtId="0" fontId="3" fillId="0" borderId="17" xfId="2" applyFont="1" applyBorder="1" applyAlignment="1"/>
    <xf numFmtId="14" fontId="3" fillId="0" borderId="17" xfId="2" applyNumberFormat="1" applyFont="1" applyBorder="1" applyAlignment="1"/>
    <xf numFmtId="14" fontId="3" fillId="0" borderId="18" xfId="2" applyNumberFormat="1" applyFont="1" applyBorder="1" applyAlignment="1"/>
    <xf numFmtId="0" fontId="12" fillId="3" borderId="57" xfId="2" applyFont="1" applyFill="1" applyBorder="1" applyAlignment="1">
      <alignment vertical="center"/>
    </xf>
    <xf numFmtId="0" fontId="3" fillId="0" borderId="3" xfId="2" applyFont="1" applyBorder="1" applyAlignment="1">
      <alignment vertical="center"/>
    </xf>
    <xf numFmtId="0" fontId="3" fillId="0" borderId="20" xfId="2" applyFont="1" applyBorder="1" applyAlignment="1">
      <alignment vertical="center"/>
    </xf>
    <xf numFmtId="0" fontId="3" fillId="0" borderId="23" xfId="2" applyFont="1" applyBorder="1" applyAlignment="1">
      <alignment vertical="center"/>
    </xf>
    <xf numFmtId="0" fontId="3" fillId="0" borderId="3" xfId="2" applyFont="1" applyBorder="1" applyAlignment="1">
      <alignment horizontal="right" vertical="center"/>
    </xf>
    <xf numFmtId="0" fontId="3" fillId="12" borderId="3" xfId="2" applyFont="1" applyFill="1" applyBorder="1" applyAlignment="1"/>
    <xf numFmtId="0" fontId="3" fillId="7" borderId="3" xfId="2" applyFont="1" applyFill="1" applyBorder="1" applyAlignment="1" applyProtection="1">
      <protection locked="0"/>
    </xf>
    <xf numFmtId="0" fontId="0" fillId="0" borderId="3" xfId="0" applyBorder="1" applyAlignment="1">
      <alignment horizontal="center"/>
    </xf>
    <xf numFmtId="14" fontId="0" fillId="0" borderId="3" xfId="0" applyNumberFormat="1" applyBorder="1"/>
    <xf numFmtId="0" fontId="0" fillId="12" borderId="3" xfId="0" applyFill="1" applyBorder="1" applyAlignment="1">
      <alignment horizontal="center"/>
    </xf>
    <xf numFmtId="0" fontId="0" fillId="0" borderId="3" xfId="0" applyBorder="1" applyAlignment="1">
      <alignment horizontal="left"/>
    </xf>
    <xf numFmtId="0" fontId="0" fillId="7" borderId="3" xfId="0" applyFill="1" applyBorder="1" applyAlignment="1" applyProtection="1">
      <alignment horizontal="center"/>
      <protection locked="0"/>
    </xf>
    <xf numFmtId="0" fontId="10" fillId="0" borderId="22" xfId="0" applyFont="1" applyBorder="1"/>
    <xf numFmtId="0" fontId="10" fillId="0" borderId="0" xfId="0" applyFont="1" applyBorder="1" applyAlignment="1"/>
    <xf numFmtId="0" fontId="10" fillId="0" borderId="0" xfId="0" applyFont="1" applyAlignment="1">
      <alignment vertical="top"/>
    </xf>
    <xf numFmtId="0" fontId="10" fillId="0" borderId="0" xfId="0" applyFont="1" applyBorder="1" applyAlignment="1">
      <alignment horizontal="center" vertical="top"/>
    </xf>
    <xf numFmtId="0" fontId="24" fillId="0" borderId="21"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21" xfId="2" applyFont="1" applyFill="1" applyBorder="1" applyAlignment="1">
      <alignment horizontal="left" vertical="center" wrapText="1"/>
    </xf>
    <xf numFmtId="0" fontId="24" fillId="0" borderId="14"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15" xfId="2" applyFont="1" applyFill="1" applyBorder="1" applyAlignment="1">
      <alignment horizontal="left" vertical="center" wrapText="1"/>
    </xf>
    <xf numFmtId="0" fontId="10" fillId="0" borderId="21" xfId="0" applyFont="1" applyBorder="1"/>
    <xf numFmtId="0" fontId="9" fillId="0" borderId="15" xfId="2" applyFont="1" applyFill="1" applyBorder="1" applyAlignment="1">
      <alignment horizontal="center" vertical="center"/>
    </xf>
    <xf numFmtId="0" fontId="9" fillId="0" borderId="20" xfId="2" applyFont="1" applyFill="1" applyBorder="1" applyAlignment="1">
      <alignment horizontal="center" vertical="center"/>
    </xf>
    <xf numFmtId="0" fontId="10" fillId="0" borderId="14" xfId="0" applyFont="1" applyBorder="1"/>
    <xf numFmtId="0" fontId="9" fillId="0" borderId="15" xfId="2" applyFont="1" applyBorder="1" applyAlignment="1">
      <alignment horizontal="center" vertical="center"/>
    </xf>
    <xf numFmtId="0" fontId="9" fillId="0" borderId="20" xfId="2" applyFont="1" applyBorder="1" applyAlignment="1">
      <alignment horizontal="center" vertical="center"/>
    </xf>
    <xf numFmtId="0" fontId="9" fillId="0" borderId="19" xfId="2" applyFont="1" applyBorder="1" applyAlignment="1">
      <alignment horizontal="center" vertical="center"/>
    </xf>
    <xf numFmtId="0" fontId="24" fillId="0" borderId="22" xfId="2" applyFont="1" applyFill="1" applyBorder="1" applyAlignment="1">
      <alignment horizontal="left" vertical="top" wrapText="1"/>
    </xf>
    <xf numFmtId="164" fontId="9" fillId="0" borderId="3" xfId="2" applyNumberFormat="1" applyFont="1" applyFill="1" applyBorder="1" applyAlignment="1">
      <alignment horizontal="left" vertical="center"/>
    </xf>
    <xf numFmtId="164" fontId="9" fillId="0" borderId="3" xfId="2" applyNumberFormat="1" applyFont="1" applyFill="1" applyBorder="1" applyAlignment="1">
      <alignment horizontal="center" vertical="center"/>
    </xf>
    <xf numFmtId="0" fontId="10" fillId="0" borderId="0" xfId="0" applyFont="1" applyBorder="1" applyAlignment="1">
      <alignment horizontal="right"/>
    </xf>
    <xf numFmtId="0" fontId="9" fillId="0" borderId="21" xfId="2" applyFont="1" applyBorder="1" applyAlignment="1">
      <alignment horizontal="center" vertical="center"/>
    </xf>
    <xf numFmtId="0" fontId="9" fillId="0" borderId="14" xfId="2" applyFont="1" applyBorder="1" applyAlignment="1">
      <alignment horizontal="center" vertical="center"/>
    </xf>
    <xf numFmtId="164" fontId="9" fillId="0" borderId="21" xfId="2" applyNumberFormat="1" applyFont="1" applyFill="1" applyBorder="1" applyAlignment="1">
      <alignment horizontal="left" vertical="center"/>
    </xf>
    <xf numFmtId="164" fontId="9" fillId="0" borderId="14" xfId="2" applyNumberFormat="1" applyFont="1" applyFill="1" applyBorder="1" applyAlignment="1">
      <alignment horizontal="left" vertical="center"/>
    </xf>
    <xf numFmtId="0" fontId="5" fillId="0" borderId="14" xfId="2" applyFont="1" applyFill="1" applyBorder="1" applyAlignment="1">
      <alignment horizontal="center" vertical="center"/>
    </xf>
    <xf numFmtId="0" fontId="47" fillId="0" borderId="20" xfId="0" applyFont="1" applyBorder="1" applyAlignment="1" applyProtection="1">
      <alignment horizontal="center" vertical="center"/>
      <protection locked="0"/>
    </xf>
    <xf numFmtId="0" fontId="47" fillId="0" borderId="14" xfId="0" applyFont="1" applyBorder="1" applyAlignment="1" applyProtection="1">
      <alignment horizontal="center" vertical="center"/>
      <protection locked="0"/>
    </xf>
    <xf numFmtId="14" fontId="47" fillId="0" borderId="20" xfId="0" applyNumberFormat="1" applyFont="1" applyBorder="1" applyAlignment="1" applyProtection="1">
      <alignment horizontal="center" vertical="center"/>
      <protection locked="0"/>
    </xf>
    <xf numFmtId="0" fontId="47" fillId="0" borderId="23" xfId="0" applyNumberFormat="1" applyFont="1" applyBorder="1" applyAlignment="1">
      <alignment horizontal="center"/>
    </xf>
    <xf numFmtId="0" fontId="47" fillId="13" borderId="14" xfId="0" applyNumberFormat="1" applyFont="1" applyFill="1" applyBorder="1" applyAlignment="1" applyProtection="1">
      <alignment horizontal="center"/>
    </xf>
    <xf numFmtId="0" fontId="1" fillId="0" borderId="9" xfId="0" applyNumberFormat="1" applyFont="1" applyBorder="1" applyAlignment="1" applyProtection="1">
      <alignment vertical="center"/>
      <protection locked="0"/>
    </xf>
    <xf numFmtId="0" fontId="47" fillId="0" borderId="9" xfId="0" applyNumberFormat="1" applyFont="1" applyBorder="1" applyAlignment="1" applyProtection="1">
      <alignment horizontal="center" vertical="center"/>
      <protection locked="0"/>
    </xf>
    <xf numFmtId="0" fontId="1" fillId="0" borderId="22" xfId="0" applyFont="1" applyBorder="1" applyAlignment="1" applyProtection="1">
      <alignment vertical="center"/>
      <protection locked="0"/>
    </xf>
    <xf numFmtId="0" fontId="0" fillId="7" borderId="23" xfId="2" applyNumberFormat="1" applyFont="1" applyFill="1" applyBorder="1" applyAlignment="1" applyProtection="1">
      <alignment horizontal="center"/>
      <protection locked="0"/>
    </xf>
    <xf numFmtId="0" fontId="48" fillId="7" borderId="2" xfId="0" applyNumberFormat="1" applyFont="1" applyFill="1" applyBorder="1" applyAlignment="1" applyProtection="1">
      <alignment horizontal="left"/>
      <protection locked="0"/>
    </xf>
    <xf numFmtId="0" fontId="48" fillId="0" borderId="0" xfId="0" applyNumberFormat="1" applyFont="1" applyBorder="1" applyAlignment="1" applyProtection="1">
      <alignment horizontal="left"/>
    </xf>
    <xf numFmtId="0" fontId="48" fillId="7" borderId="51" xfId="0" applyNumberFormat="1" applyFont="1" applyFill="1" applyBorder="1" applyAlignment="1" applyProtection="1">
      <protection locked="0"/>
    </xf>
    <xf numFmtId="0" fontId="48" fillId="7" borderId="2" xfId="0" applyNumberFormat="1" applyFont="1" applyFill="1" applyBorder="1" applyAlignment="1" applyProtection="1">
      <protection locked="0"/>
    </xf>
    <xf numFmtId="0" fontId="48" fillId="0" borderId="50" xfId="0" applyFont="1" applyBorder="1"/>
    <xf numFmtId="0" fontId="48" fillId="0" borderId="2" xfId="0" applyFont="1" applyBorder="1"/>
    <xf numFmtId="0" fontId="48" fillId="7" borderId="51" xfId="0" applyNumberFormat="1" applyFont="1" applyFill="1" applyBorder="1" applyAlignment="1" applyProtection="1">
      <alignment horizontal="left"/>
      <protection locked="0"/>
    </xf>
    <xf numFmtId="0" fontId="48" fillId="0" borderId="0" xfId="0" applyFont="1" applyAlignment="1">
      <alignment horizontal="left"/>
    </xf>
    <xf numFmtId="0" fontId="48" fillId="0" borderId="2" xfId="0" applyFont="1" applyBorder="1" applyAlignment="1">
      <alignment horizontal="left"/>
    </xf>
    <xf numFmtId="0" fontId="48" fillId="0" borderId="15" xfId="0" applyFont="1" applyBorder="1" applyAlignment="1">
      <alignment horizontal="right"/>
    </xf>
    <xf numFmtId="0" fontId="48" fillId="0" borderId="22" xfId="0" applyFont="1" applyBorder="1" applyAlignment="1">
      <alignment horizontal="right"/>
    </xf>
    <xf numFmtId="0" fontId="47" fillId="0" borderId="16" xfId="0" applyNumberFormat="1" applyFont="1" applyBorder="1" applyAlignment="1" applyProtection="1"/>
    <xf numFmtId="0" fontId="43" fillId="0" borderId="16" xfId="0" applyNumberFormat="1" applyFont="1" applyBorder="1" applyAlignment="1" applyProtection="1"/>
    <xf numFmtId="0" fontId="48" fillId="0" borderId="16" xfId="0" applyFont="1" applyBorder="1"/>
    <xf numFmtId="0" fontId="48" fillId="0" borderId="17" xfId="0" applyFont="1" applyBorder="1"/>
    <xf numFmtId="0" fontId="48" fillId="0" borderId="62" xfId="0" applyFont="1" applyBorder="1" applyAlignment="1">
      <alignment horizontal="right"/>
    </xf>
    <xf numFmtId="0" fontId="48" fillId="0" borderId="63" xfId="0" applyFont="1" applyBorder="1" applyAlignment="1">
      <alignment horizontal="right"/>
    </xf>
    <xf numFmtId="0" fontId="48" fillId="7" borderId="50" xfId="0" applyNumberFormat="1" applyFont="1" applyFill="1" applyBorder="1" applyAlignment="1" applyProtection="1">
      <protection locked="0"/>
    </xf>
    <xf numFmtId="0" fontId="48" fillId="7" borderId="2" xfId="0" applyNumberFormat="1" applyFont="1" applyFill="1" applyBorder="1" applyAlignment="1" applyProtection="1">
      <alignment horizontal="right"/>
      <protection locked="0"/>
    </xf>
    <xf numFmtId="0" fontId="48" fillId="9" borderId="2" xfId="0" applyNumberFormat="1" applyFont="1" applyFill="1" applyBorder="1" applyAlignment="1" applyProtection="1"/>
    <xf numFmtId="0" fontId="2" fillId="0" borderId="0" xfId="1" applyBorder="1" applyAlignment="1" applyProtection="1">
      <alignment vertical="center"/>
    </xf>
    <xf numFmtId="0" fontId="48" fillId="0" borderId="3" xfId="0" applyFont="1" applyBorder="1" applyAlignment="1"/>
    <xf numFmtId="14" fontId="47" fillId="0" borderId="3" xfId="0" applyNumberFormat="1" applyFont="1" applyFill="1" applyBorder="1" applyAlignment="1" applyProtection="1"/>
    <xf numFmtId="167" fontId="19" fillId="5" borderId="12" xfId="2" applyNumberFormat="1" applyFont="1" applyFill="1" applyBorder="1" applyAlignment="1">
      <alignment horizontal="center" vertical="center"/>
    </xf>
    <xf numFmtId="167" fontId="10" fillId="5" borderId="13" xfId="2" applyNumberFormat="1" applyFont="1" applyFill="1" applyBorder="1" applyAlignment="1">
      <alignment horizontal="center" vertical="center"/>
    </xf>
    <xf numFmtId="167" fontId="24" fillId="0" borderId="0" xfId="0" applyNumberFormat="1" applyFont="1" applyBorder="1" applyAlignment="1">
      <alignment horizontal="left" vertical="center"/>
    </xf>
    <xf numFmtId="167" fontId="24" fillId="0" borderId="0" xfId="0" applyNumberFormat="1" applyFont="1" applyAlignment="1">
      <alignment horizontal="left" vertical="center"/>
    </xf>
    <xf numFmtId="0" fontId="20" fillId="3" borderId="6" xfId="2" applyFont="1" applyFill="1" applyBorder="1" applyAlignment="1">
      <alignment horizontal="center" vertical="center"/>
    </xf>
    <xf numFmtId="0" fontId="20" fillId="3" borderId="7" xfId="2" applyFont="1" applyFill="1" applyBorder="1" applyAlignment="1">
      <alignment horizontal="center" vertical="center"/>
    </xf>
    <xf numFmtId="0" fontId="20" fillId="3" borderId="58" xfId="2" applyFont="1" applyFill="1" applyBorder="1" applyAlignment="1">
      <alignment horizontal="center" vertical="center"/>
    </xf>
    <xf numFmtId="0" fontId="20" fillId="3" borderId="59" xfId="2" applyFont="1" applyFill="1" applyBorder="1" applyAlignment="1">
      <alignment horizontal="center" vertical="center"/>
    </xf>
    <xf numFmtId="0" fontId="3" fillId="0" borderId="0" xfId="0" quotePrefix="1" applyFont="1"/>
    <xf numFmtId="0" fontId="48" fillId="13" borderId="3" xfId="0" applyFont="1" applyFill="1" applyBorder="1"/>
    <xf numFmtId="0" fontId="2" fillId="0" borderId="3" xfId="1" applyNumberFormat="1" applyBorder="1" applyAlignment="1" applyProtection="1"/>
    <xf numFmtId="0" fontId="47" fillId="0" borderId="16" xfId="0" applyNumberFormat="1" applyFont="1" applyBorder="1" applyAlignment="1" applyProtection="1">
      <alignment horizontal="right"/>
    </xf>
    <xf numFmtId="169" fontId="3" fillId="0" borderId="0" xfId="2" applyNumberFormat="1" applyFont="1" applyBorder="1" applyAlignment="1">
      <alignment vertical="center"/>
    </xf>
    <xf numFmtId="169" fontId="3" fillId="0" borderId="0" xfId="2" applyNumberFormat="1" applyFont="1" applyAlignment="1">
      <alignment vertical="center"/>
    </xf>
    <xf numFmtId="0" fontId="23" fillId="14" borderId="17" xfId="2" applyFont="1" applyFill="1" applyBorder="1" applyAlignment="1">
      <alignment horizontal="center" vertical="center"/>
    </xf>
    <xf numFmtId="0" fontId="23" fillId="14" borderId="16" xfId="2" applyFont="1" applyFill="1" applyBorder="1" applyAlignment="1">
      <alignment horizontal="center" vertical="center"/>
    </xf>
    <xf numFmtId="0" fontId="23" fillId="14" borderId="18" xfId="2" applyFont="1" applyFill="1" applyBorder="1" applyAlignment="1">
      <alignment horizontal="center" vertical="center"/>
    </xf>
    <xf numFmtId="0" fontId="10" fillId="14" borderId="0" xfId="2" applyFont="1" applyFill="1" applyBorder="1" applyAlignment="1">
      <alignment horizontal="center" vertical="center"/>
    </xf>
    <xf numFmtId="0" fontId="10" fillId="14" borderId="21" xfId="2" applyFont="1" applyFill="1" applyBorder="1" applyAlignment="1">
      <alignment horizontal="center" vertical="center"/>
    </xf>
    <xf numFmtId="0" fontId="10" fillId="14" borderId="14" xfId="2" applyFont="1" applyFill="1" applyBorder="1" applyAlignment="1">
      <alignment horizontal="center" vertical="center"/>
    </xf>
    <xf numFmtId="0" fontId="10" fillId="14" borderId="9" xfId="2" applyFont="1" applyFill="1" applyBorder="1" applyAlignment="1">
      <alignment horizontal="center" vertical="center"/>
    </xf>
    <xf numFmtId="0" fontId="10" fillId="14" borderId="22" xfId="2" applyFont="1" applyFill="1" applyBorder="1" applyAlignment="1">
      <alignment horizontal="center" vertical="center"/>
    </xf>
    <xf numFmtId="0" fontId="10" fillId="14" borderId="23" xfId="2" applyFont="1" applyFill="1" applyBorder="1" applyAlignment="1">
      <alignment horizontal="center" vertical="center"/>
    </xf>
    <xf numFmtId="1" fontId="43" fillId="0" borderId="18" xfId="0" applyNumberFormat="1" applyFont="1" applyBorder="1" applyAlignment="1" applyProtection="1">
      <alignment horizontal="right"/>
    </xf>
    <xf numFmtId="0" fontId="1" fillId="0" borderId="18" xfId="0" applyFont="1" applyBorder="1" applyAlignment="1">
      <alignment horizontal="right"/>
    </xf>
    <xf numFmtId="0" fontId="1" fillId="0" borderId="3" xfId="0" applyNumberFormat="1" applyFont="1" applyBorder="1" applyAlignment="1" applyProtection="1"/>
    <xf numFmtId="0" fontId="1" fillId="0" borderId="3" xfId="0" applyNumberFormat="1" applyFont="1" applyFill="1" applyBorder="1" applyAlignment="1" applyProtection="1"/>
    <xf numFmtId="0" fontId="0" fillId="13" borderId="3" xfId="2" applyNumberFormat="1" applyFont="1" applyFill="1" applyBorder="1" applyAlignment="1" applyProtection="1">
      <alignment horizontal="center"/>
    </xf>
    <xf numFmtId="0" fontId="47" fillId="13" borderId="3" xfId="0" applyNumberFormat="1" applyFont="1" applyFill="1" applyBorder="1" applyAlignment="1" applyProtection="1">
      <alignment horizontal="center"/>
    </xf>
    <xf numFmtId="0" fontId="59" fillId="0" borderId="0" xfId="0" applyNumberFormat="1" applyFont="1" applyAlignment="1" applyProtection="1"/>
    <xf numFmtId="0" fontId="48" fillId="7" borderId="3" xfId="0" applyNumberFormat="1" applyFont="1" applyFill="1" applyBorder="1" applyAlignment="1" applyProtection="1">
      <protection locked="0"/>
    </xf>
    <xf numFmtId="14" fontId="48" fillId="7" borderId="2" xfId="0" applyNumberFormat="1" applyFont="1" applyFill="1" applyBorder="1" applyAlignment="1" applyProtection="1">
      <alignment horizontal="left"/>
      <protection locked="0"/>
    </xf>
    <xf numFmtId="0" fontId="48" fillId="0" borderId="0" xfId="0" applyFont="1" applyAlignment="1"/>
    <xf numFmtId="170" fontId="48" fillId="7" borderId="2" xfId="0" applyNumberFormat="1" applyFont="1" applyFill="1" applyBorder="1" applyAlignment="1" applyProtection="1">
      <protection locked="0"/>
    </xf>
    <xf numFmtId="170" fontId="48" fillId="0" borderId="2" xfId="0" applyNumberFormat="1" applyFont="1" applyBorder="1" applyAlignment="1"/>
    <xf numFmtId="0" fontId="47" fillId="9" borderId="3" xfId="0" applyNumberFormat="1" applyFont="1" applyFill="1" applyBorder="1" applyAlignment="1" applyProtection="1"/>
    <xf numFmtId="14" fontId="0" fillId="0" borderId="0" xfId="0" applyNumberFormat="1"/>
    <xf numFmtId="15" fontId="0" fillId="0" borderId="0" xfId="0" applyNumberFormat="1"/>
    <xf numFmtId="21" fontId="0" fillId="0" borderId="0" xfId="0" applyNumberFormat="1"/>
    <xf numFmtId="0" fontId="60" fillId="0" borderId="0" xfId="1" applyFont="1" applyBorder="1" applyAlignment="1" applyProtection="1"/>
    <xf numFmtId="0" fontId="48" fillId="0" borderId="0" xfId="0" applyFont="1" applyBorder="1" applyAlignment="1">
      <alignment horizontal="left"/>
    </xf>
    <xf numFmtId="0" fontId="48" fillId="0" borderId="14" xfId="0" applyFont="1" applyBorder="1" applyAlignment="1">
      <alignment horizontal="left"/>
    </xf>
    <xf numFmtId="0" fontId="2" fillId="0" borderId="21" xfId="1" applyBorder="1" applyAlignment="1" applyProtection="1"/>
    <xf numFmtId="0" fontId="2" fillId="0" borderId="0" xfId="1" applyBorder="1" applyAlignment="1" applyProtection="1"/>
    <xf numFmtId="0" fontId="60" fillId="0" borderId="21" xfId="1" applyFont="1" applyBorder="1" applyAlignment="1" applyProtection="1"/>
    <xf numFmtId="0" fontId="48" fillId="0" borderId="3" xfId="0" applyFont="1" applyBorder="1" applyAlignment="1" applyProtection="1">
      <alignment horizontal="center" vertical="center"/>
      <protection locked="0"/>
    </xf>
    <xf numFmtId="0" fontId="48" fillId="0" borderId="0" xfId="0" applyFont="1" applyBorder="1" applyAlignment="1"/>
    <xf numFmtId="0" fontId="60" fillId="0" borderId="0" xfId="1" applyFont="1" applyBorder="1" applyAlignment="1" applyProtection="1">
      <alignment vertical="center"/>
    </xf>
    <xf numFmtId="0" fontId="23" fillId="0" borderId="20" xfId="0" applyFont="1" applyBorder="1" applyAlignment="1">
      <alignment horizontal="right"/>
    </xf>
    <xf numFmtId="0" fontId="48" fillId="0" borderId="15" xfId="0" applyFont="1" applyBorder="1"/>
    <xf numFmtId="0" fontId="23" fillId="0" borderId="21" xfId="0" applyFont="1" applyBorder="1" applyAlignment="1"/>
    <xf numFmtId="14" fontId="48" fillId="9" borderId="2" xfId="0" applyNumberFormat="1" applyFont="1" applyFill="1" applyBorder="1" applyAlignment="1" applyProtection="1">
      <alignment horizontal="left"/>
    </xf>
    <xf numFmtId="20" fontId="0" fillId="0" borderId="0" xfId="0" applyNumberFormat="1"/>
    <xf numFmtId="0" fontId="0" fillId="0" borderId="0" xfId="0" applyAlignment="1">
      <alignment wrapText="1"/>
    </xf>
    <xf numFmtId="0" fontId="48" fillId="9" borderId="3" xfId="0" applyNumberFormat="1" applyFont="1" applyFill="1" applyBorder="1" applyAlignment="1" applyProtection="1"/>
    <xf numFmtId="0" fontId="47" fillId="15" borderId="3" xfId="0" applyNumberFormat="1" applyFont="1" applyFill="1" applyBorder="1" applyAlignment="1" applyProtection="1">
      <protection locked="0"/>
    </xf>
    <xf numFmtId="0" fontId="62" fillId="0" borderId="0" xfId="0" applyFont="1"/>
    <xf numFmtId="0" fontId="0" fillId="0" borderId="0" xfId="0" applyAlignment="1"/>
    <xf numFmtId="0" fontId="9" fillId="0" borderId="0" xfId="0" applyFont="1" applyAlignment="1" applyProtection="1">
      <alignment horizontal="left"/>
      <protection locked="0"/>
    </xf>
    <xf numFmtId="0" fontId="47" fillId="0" borderId="16" xfId="0" applyNumberFormat="1" applyFont="1" applyBorder="1" applyAlignment="1" applyProtection="1">
      <alignment horizontal="left"/>
    </xf>
    <xf numFmtId="14" fontId="3" fillId="0" borderId="3" xfId="0" applyNumberFormat="1" applyFont="1" applyBorder="1"/>
    <xf numFmtId="0" fontId="3" fillId="0" borderId="3" xfId="0" applyFont="1" applyBorder="1"/>
    <xf numFmtId="167" fontId="3" fillId="0" borderId="3" xfId="2" applyNumberFormat="1" applyFont="1" applyBorder="1" applyAlignment="1">
      <alignment horizontal="right" vertical="center"/>
    </xf>
    <xf numFmtId="0" fontId="23" fillId="0" borderId="31" xfId="2" applyFont="1" applyBorder="1" applyAlignment="1">
      <alignment horizontal="center" vertical="center"/>
    </xf>
    <xf numFmtId="0" fontId="23" fillId="0" borderId="24" xfId="2" applyFont="1" applyBorder="1" applyAlignment="1">
      <alignment horizontal="center" vertical="center"/>
    </xf>
    <xf numFmtId="164" fontId="25" fillId="0" borderId="30" xfId="2" applyNumberFormat="1" applyFont="1" applyFill="1" applyBorder="1" applyAlignment="1">
      <alignment horizontal="center" vertical="center"/>
    </xf>
    <xf numFmtId="164" fontId="25" fillId="0" borderId="4" xfId="2" applyNumberFormat="1" applyFont="1" applyFill="1" applyBorder="1" applyAlignment="1">
      <alignment horizontal="center" vertical="center"/>
    </xf>
    <xf numFmtId="164" fontId="25" fillId="0" borderId="33" xfId="2" applyNumberFormat="1" applyFont="1" applyFill="1" applyBorder="1" applyAlignment="1">
      <alignment horizontal="center" vertical="center"/>
    </xf>
    <xf numFmtId="164" fontId="3" fillId="0" borderId="0" xfId="2" applyNumberFormat="1" applyFont="1" applyBorder="1" applyAlignment="1">
      <alignment vertical="center"/>
    </xf>
    <xf numFmtId="0" fontId="12" fillId="3" borderId="53" xfId="2" applyFont="1" applyFill="1" applyBorder="1" applyAlignment="1">
      <alignment horizontal="center" vertical="center"/>
    </xf>
    <xf numFmtId="0" fontId="13" fillId="0" borderId="4" xfId="2" applyFont="1" applyBorder="1" applyAlignment="1">
      <alignment horizontal="right"/>
    </xf>
    <xf numFmtId="164" fontId="13" fillId="0" borderId="28" xfId="2" applyNumberFormat="1" applyFont="1" applyFill="1" applyBorder="1" applyAlignment="1">
      <alignment horizontal="right" vertical="center"/>
    </xf>
    <xf numFmtId="14" fontId="13" fillId="0" borderId="4" xfId="2" applyNumberFormat="1" applyFont="1" applyFill="1" applyBorder="1" applyAlignment="1">
      <alignment horizontal="left" vertical="center"/>
    </xf>
    <xf numFmtId="164" fontId="13" fillId="0" borderId="5" xfId="2" applyNumberFormat="1" applyFont="1" applyFill="1" applyBorder="1" applyAlignment="1" applyProtection="1">
      <alignment horizontal="left" vertical="center"/>
      <protection locked="0"/>
    </xf>
    <xf numFmtId="14" fontId="10" fillId="0" borderId="5" xfId="2" applyNumberFormat="1" applyFont="1" applyFill="1" applyBorder="1" applyAlignment="1" applyProtection="1">
      <alignment horizontal="left" vertical="center" wrapText="1"/>
      <protection locked="0"/>
    </xf>
    <xf numFmtId="164" fontId="13" fillId="0" borderId="27" xfId="2" applyNumberFormat="1" applyFont="1" applyFill="1" applyBorder="1" applyAlignment="1" applyProtection="1">
      <alignment horizontal="left" vertical="center"/>
      <protection locked="0"/>
    </xf>
    <xf numFmtId="0" fontId="10" fillId="0" borderId="0" xfId="0" applyFont="1" applyBorder="1" applyProtection="1">
      <protection locked="0"/>
    </xf>
    <xf numFmtId="164" fontId="13" fillId="0" borderId="5" xfId="2" applyNumberFormat="1" applyFont="1" applyFill="1" applyBorder="1" applyAlignment="1" applyProtection="1">
      <alignment horizontal="right" vertical="center"/>
      <protection locked="0"/>
    </xf>
    <xf numFmtId="0" fontId="10" fillId="0" borderId="0" xfId="0" applyFont="1" applyProtection="1">
      <protection locked="0"/>
    </xf>
    <xf numFmtId="14" fontId="3" fillId="0" borderId="5" xfId="2" applyNumberFormat="1" applyFont="1" applyFill="1" applyBorder="1" applyAlignment="1" applyProtection="1">
      <alignment horizontal="left" vertical="center" wrapText="1"/>
      <protection locked="0"/>
    </xf>
    <xf numFmtId="164" fontId="13" fillId="0" borderId="0" xfId="2" applyNumberFormat="1" applyFont="1" applyFill="1" applyBorder="1" applyAlignment="1" applyProtection="1">
      <alignment horizontal="left" vertical="center"/>
      <protection locked="0"/>
    </xf>
    <xf numFmtId="0" fontId="10" fillId="0" borderId="35" xfId="0" applyFont="1" applyBorder="1" applyProtection="1">
      <protection locked="0"/>
    </xf>
    <xf numFmtId="164" fontId="13" fillId="0" borderId="5" xfId="2" applyNumberFormat="1" applyFont="1" applyFill="1" applyBorder="1" applyAlignment="1" applyProtection="1">
      <alignment vertical="center"/>
      <protection locked="0"/>
    </xf>
    <xf numFmtId="164" fontId="13" fillId="0" borderId="27" xfId="2" applyNumberFormat="1" applyFont="1" applyFill="1" applyBorder="1" applyAlignment="1" applyProtection="1">
      <alignment vertical="center"/>
      <protection locked="0"/>
    </xf>
    <xf numFmtId="164" fontId="13" fillId="0" borderId="5" xfId="2" applyNumberFormat="1" applyFont="1" applyFill="1" applyBorder="1" applyAlignment="1" applyProtection="1">
      <alignment horizontal="center" vertical="center"/>
      <protection locked="0"/>
    </xf>
    <xf numFmtId="164" fontId="13" fillId="0" borderId="24" xfId="2" applyNumberFormat="1" applyFont="1" applyFill="1" applyBorder="1" applyAlignment="1" applyProtection="1">
      <alignment horizontal="left" vertical="center"/>
      <protection locked="0"/>
    </xf>
    <xf numFmtId="14" fontId="10" fillId="0" borderId="24" xfId="2" applyNumberFormat="1" applyFont="1" applyFill="1" applyBorder="1" applyAlignment="1" applyProtection="1">
      <alignment horizontal="left" vertical="center" wrapText="1"/>
      <protection locked="0"/>
    </xf>
    <xf numFmtId="164" fontId="13" fillId="0" borderId="34" xfId="2" applyNumberFormat="1" applyFont="1" applyFill="1" applyBorder="1" applyAlignment="1" applyProtection="1">
      <alignment vertical="center"/>
      <protection locked="0"/>
    </xf>
    <xf numFmtId="14" fontId="13" fillId="0" borderId="4" xfId="2" applyNumberFormat="1" applyFont="1" applyFill="1" applyBorder="1" applyAlignment="1" applyProtection="1">
      <alignment horizontal="left" vertical="center" wrapText="1"/>
      <protection locked="0"/>
    </xf>
    <xf numFmtId="164" fontId="13" fillId="0" borderId="5" xfId="2" applyNumberFormat="1" applyFont="1" applyFill="1" applyBorder="1" applyAlignment="1" applyProtection="1">
      <alignment horizontal="left" vertical="top"/>
      <protection locked="0"/>
    </xf>
    <xf numFmtId="0" fontId="10" fillId="0" borderId="5" xfId="2" applyFont="1" applyFill="1" applyBorder="1" applyAlignment="1" applyProtection="1">
      <alignment horizontal="left" vertical="center"/>
      <protection locked="0"/>
    </xf>
    <xf numFmtId="0" fontId="10" fillId="0" borderId="27" xfId="2" applyFont="1" applyFill="1" applyBorder="1" applyAlignment="1" applyProtection="1">
      <alignment horizontal="left" vertical="center"/>
      <protection locked="0"/>
    </xf>
    <xf numFmtId="0" fontId="8" fillId="0" borderId="0" xfId="2" applyFont="1" applyFill="1" applyBorder="1" applyAlignment="1">
      <alignment vertical="top"/>
    </xf>
    <xf numFmtId="164" fontId="13" fillId="0" borderId="5" xfId="2" quotePrefix="1" applyNumberFormat="1" applyFont="1" applyFill="1" applyBorder="1" applyAlignment="1">
      <alignment horizontal="center" vertical="center"/>
    </xf>
    <xf numFmtId="0" fontId="3" fillId="0" borderId="0" xfId="0" applyFont="1" applyAlignment="1">
      <alignment horizontal="right"/>
    </xf>
    <xf numFmtId="0" fontId="10" fillId="0" borderId="3" xfId="0" applyFont="1" applyBorder="1" applyAlignment="1">
      <alignment vertical="top"/>
    </xf>
    <xf numFmtId="171" fontId="19" fillId="0" borderId="0" xfId="0" applyNumberFormat="1" applyFont="1" applyAlignment="1">
      <alignment horizontal="center"/>
    </xf>
    <xf numFmtId="0" fontId="36" fillId="0" borderId="0" xfId="0" applyFont="1" applyBorder="1" applyAlignment="1">
      <alignment horizontal="right" vertical="center"/>
    </xf>
    <xf numFmtId="0" fontId="60" fillId="0" borderId="0" xfId="1" applyFont="1" applyBorder="1" applyAlignment="1" applyProtection="1">
      <alignment vertical="center"/>
    </xf>
    <xf numFmtId="0" fontId="3" fillId="0" borderId="37" xfId="2" applyFont="1" applyBorder="1" applyAlignment="1">
      <alignment vertical="center"/>
    </xf>
    <xf numFmtId="0" fontId="3" fillId="0" borderId="29" xfId="2" applyFont="1" applyBorder="1" applyAlignment="1">
      <alignment vertical="center"/>
    </xf>
    <xf numFmtId="0" fontId="26" fillId="0" borderId="37" xfId="2" applyFont="1" applyBorder="1" applyAlignment="1">
      <alignment vertical="center"/>
    </xf>
    <xf numFmtId="0" fontId="26" fillId="0" borderId="29" xfId="2" applyFont="1" applyBorder="1" applyAlignment="1">
      <alignment vertical="center"/>
    </xf>
    <xf numFmtId="0" fontId="24" fillId="0" borderId="0" xfId="2" applyFont="1" applyBorder="1" applyAlignment="1">
      <alignment horizontal="left" wrapText="1"/>
    </xf>
    <xf numFmtId="0" fontId="13" fillId="0" borderId="0" xfId="2" applyFont="1" applyBorder="1" applyAlignment="1">
      <alignment horizontal="left" vertical="center"/>
    </xf>
    <xf numFmtId="0" fontId="48" fillId="0" borderId="20" xfId="0" applyFont="1" applyBorder="1" applyAlignment="1">
      <alignment horizontal="right"/>
    </xf>
    <xf numFmtId="0" fontId="2" fillId="0" borderId="19" xfId="1" applyBorder="1" applyAlignment="1" applyProtection="1">
      <alignment vertical="top"/>
      <protection locked="0"/>
    </xf>
    <xf numFmtId="0" fontId="48" fillId="0" borderId="19" xfId="0" applyFont="1" applyBorder="1" applyAlignment="1">
      <alignment horizontal="left"/>
    </xf>
    <xf numFmtId="0" fontId="48" fillId="0" borderId="20" xfId="0" applyFont="1" applyBorder="1" applyAlignment="1">
      <alignment horizontal="left"/>
    </xf>
    <xf numFmtId="0" fontId="9" fillId="0" borderId="14" xfId="0" applyFont="1" applyBorder="1" applyAlignment="1">
      <alignment horizontal="right" vertical="top"/>
    </xf>
    <xf numFmtId="0" fontId="8" fillId="0" borderId="0" xfId="0" applyFont="1" applyAlignment="1">
      <alignment vertical="center"/>
    </xf>
    <xf numFmtId="0" fontId="49" fillId="8" borderId="3" xfId="0" applyFont="1" applyFill="1" applyBorder="1" applyAlignment="1" applyProtection="1">
      <alignment horizontal="center" vertical="center"/>
      <protection locked="0"/>
    </xf>
    <xf numFmtId="0" fontId="48" fillId="0" borderId="0" xfId="0" applyFont="1" applyBorder="1" applyAlignment="1">
      <alignment horizontal="center"/>
    </xf>
    <xf numFmtId="0" fontId="2" fillId="0" borderId="0" xfId="1" applyFont="1" applyBorder="1" applyAlignment="1" applyProtection="1">
      <alignment vertical="center"/>
    </xf>
    <xf numFmtId="0" fontId="27" fillId="0" borderId="0" xfId="2" applyFont="1" applyBorder="1" applyAlignment="1">
      <alignment vertical="center"/>
    </xf>
    <xf numFmtId="0" fontId="23" fillId="0" borderId="35" xfId="2" applyFont="1" applyBorder="1" applyAlignment="1">
      <alignment horizontal="center" vertical="center"/>
    </xf>
    <xf numFmtId="0" fontId="23" fillId="0" borderId="25" xfId="2" applyFont="1" applyBorder="1" applyAlignment="1">
      <alignment horizontal="center" vertical="center"/>
    </xf>
    <xf numFmtId="0" fontId="31" fillId="3" borderId="22" xfId="2" applyNumberFormat="1" applyFont="1" applyFill="1" applyBorder="1" applyAlignment="1">
      <alignment horizontal="center" vertical="center"/>
    </xf>
    <xf numFmtId="164" fontId="44" fillId="0" borderId="35" xfId="2" applyNumberFormat="1" applyFont="1" applyBorder="1" applyAlignment="1">
      <alignment horizontal="center" vertical="center"/>
    </xf>
    <xf numFmtId="164" fontId="44" fillId="0" borderId="30" xfId="2" applyNumberFormat="1" applyFont="1" applyBorder="1" applyAlignment="1">
      <alignment horizontal="center" vertical="center"/>
    </xf>
    <xf numFmtId="164" fontId="44" fillId="0" borderId="4" xfId="2" applyNumberFormat="1" applyFont="1" applyBorder="1" applyAlignment="1">
      <alignment horizontal="center" vertical="center"/>
    </xf>
    <xf numFmtId="164" fontId="44" fillId="0" borderId="33" xfId="2" applyNumberFormat="1" applyFont="1" applyBorder="1" applyAlignment="1">
      <alignment horizontal="center" vertical="center"/>
    </xf>
    <xf numFmtId="0" fontId="5" fillId="0" borderId="0" xfId="0" applyFont="1" applyAlignment="1"/>
    <xf numFmtId="0" fontId="48" fillId="8" borderId="16" xfId="0" applyFont="1" applyFill="1" applyBorder="1" applyAlignment="1" applyProtection="1">
      <alignment vertical="center"/>
    </xf>
    <xf numFmtId="0" fontId="48" fillId="8" borderId="17" xfId="0" applyFont="1" applyFill="1" applyBorder="1" applyAlignment="1" applyProtection="1">
      <alignment vertical="center"/>
    </xf>
    <xf numFmtId="0" fontId="48" fillId="8" borderId="18" xfId="0" applyFont="1" applyFill="1" applyBorder="1" applyAlignment="1" applyProtection="1">
      <alignment vertical="center"/>
    </xf>
    <xf numFmtId="0" fontId="48" fillId="8" borderId="16" xfId="0" applyFont="1" applyFill="1" applyBorder="1" applyAlignment="1" applyProtection="1">
      <alignment vertical="center"/>
      <protection locked="0"/>
    </xf>
    <xf numFmtId="0" fontId="48" fillId="8" borderId="17" xfId="0" applyFont="1" applyFill="1" applyBorder="1" applyAlignment="1" applyProtection="1">
      <alignment vertical="center"/>
      <protection locked="0"/>
    </xf>
    <xf numFmtId="0" fontId="48" fillId="8" borderId="18" xfId="0" applyFont="1" applyFill="1" applyBorder="1" applyAlignment="1" applyProtection="1">
      <alignment vertical="center"/>
      <protection locked="0"/>
    </xf>
    <xf numFmtId="0" fontId="61" fillId="0" borderId="0" xfId="0" applyFont="1" applyBorder="1" applyAlignment="1">
      <alignment horizontal="left" vertical="top" indent="1"/>
    </xf>
    <xf numFmtId="0" fontId="48" fillId="0" borderId="16" xfId="0" applyFont="1" applyBorder="1" applyAlignment="1">
      <alignment horizontal="center"/>
    </xf>
    <xf numFmtId="0" fontId="48" fillId="0" borderId="18" xfId="0" applyFont="1" applyBorder="1" applyAlignment="1">
      <alignment horizontal="center"/>
    </xf>
    <xf numFmtId="0" fontId="48" fillId="0" borderId="16" xfId="0" applyFont="1" applyBorder="1" applyAlignment="1" applyProtection="1">
      <alignment vertical="center"/>
      <protection locked="0"/>
    </xf>
    <xf numFmtId="0" fontId="48" fillId="0" borderId="17" xfId="0" applyFont="1" applyBorder="1" applyAlignment="1" applyProtection="1">
      <alignment vertical="center"/>
      <protection locked="0"/>
    </xf>
    <xf numFmtId="0" fontId="48" fillId="0" borderId="18" xfId="0" applyFont="1" applyBorder="1" applyAlignment="1" applyProtection="1">
      <alignment vertical="center"/>
      <protection locked="0"/>
    </xf>
    <xf numFmtId="0" fontId="36" fillId="8" borderId="16" xfId="0" applyFont="1" applyFill="1" applyBorder="1" applyAlignment="1" applyProtection="1">
      <alignment vertical="center"/>
      <protection locked="0"/>
    </xf>
    <xf numFmtId="0" fontId="36" fillId="8" borderId="17" xfId="0" applyFont="1" applyFill="1" applyBorder="1" applyAlignment="1" applyProtection="1">
      <alignment vertical="center"/>
      <protection locked="0"/>
    </xf>
    <xf numFmtId="0" fontId="36" fillId="8" borderId="18" xfId="0" applyFont="1" applyFill="1" applyBorder="1" applyAlignment="1" applyProtection="1">
      <alignment vertical="center"/>
      <protection locked="0"/>
    </xf>
    <xf numFmtId="0" fontId="18" fillId="0" borderId="0" xfId="2" applyFont="1" applyFill="1" applyBorder="1" applyAlignment="1">
      <alignment horizontal="right" vertical="top"/>
    </xf>
    <xf numFmtId="0" fontId="18" fillId="0" borderId="4" xfId="2" applyFont="1" applyFill="1" applyBorder="1" applyAlignment="1">
      <alignment horizontal="right" vertical="top"/>
    </xf>
    <xf numFmtId="164" fontId="13" fillId="0" borderId="5" xfId="2" applyNumberFormat="1" applyFont="1" applyFill="1" applyBorder="1" applyAlignment="1" applyProtection="1">
      <alignment horizontal="center" vertical="center"/>
      <protection locked="0"/>
    </xf>
    <xf numFmtId="0" fontId="37" fillId="0" borderId="5" xfId="0" applyFont="1" applyBorder="1" applyAlignment="1" applyProtection="1">
      <alignment horizontal="center" vertical="center"/>
      <protection locked="0"/>
    </xf>
    <xf numFmtId="0" fontId="13" fillId="0" borderId="5" xfId="2" applyNumberFormat="1" applyFont="1" applyFill="1" applyBorder="1" applyAlignment="1" applyProtection="1">
      <alignment horizontal="center" vertical="center"/>
      <protection locked="0"/>
    </xf>
    <xf numFmtId="0" fontId="37" fillId="0" borderId="27" xfId="0" applyNumberFormat="1" applyFont="1" applyBorder="1" applyAlignment="1" applyProtection="1">
      <alignment horizontal="center" vertical="center"/>
      <protection locked="0"/>
    </xf>
    <xf numFmtId="0" fontId="54" fillId="0" borderId="0" xfId="0" applyFont="1" applyFill="1" applyBorder="1" applyAlignment="1">
      <alignment horizontal="center" vertical="center" wrapText="1"/>
    </xf>
    <xf numFmtId="0" fontId="3" fillId="0" borderId="0" xfId="0" applyFont="1" applyBorder="1" applyAlignment="1">
      <alignment horizontal="justify" wrapText="1"/>
    </xf>
    <xf numFmtId="0" fontId="45" fillId="0" borderId="0" xfId="0" applyFont="1" applyFill="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justify" vertical="center" wrapText="1"/>
    </xf>
    <xf numFmtId="0" fontId="51" fillId="0" borderId="0" xfId="0" applyFont="1" applyAlignment="1">
      <alignment horizontal="center"/>
    </xf>
    <xf numFmtId="0" fontId="6" fillId="0" borderId="0" xfId="0" applyFont="1" applyAlignment="1" applyProtection="1">
      <alignment horizontal="center" vertical="center" wrapText="1"/>
    </xf>
    <xf numFmtId="0" fontId="10" fillId="0" borderId="0" xfId="0" applyNumberFormat="1" applyFont="1" applyAlignment="1">
      <alignment horizontal="justify" vertical="top" wrapText="1"/>
    </xf>
    <xf numFmtId="0" fontId="10" fillId="0" borderId="0" xfId="0" applyFont="1" applyAlignment="1">
      <alignment horizontal="justify" vertical="top" wrapText="1"/>
    </xf>
    <xf numFmtId="0" fontId="12" fillId="0" borderId="0" xfId="0" applyFont="1" applyAlignment="1">
      <alignment horizontal="justify" vertical="center" wrapText="1"/>
    </xf>
    <xf numFmtId="0" fontId="15" fillId="0" borderId="15" xfId="2" applyFont="1" applyFill="1" applyBorder="1" applyAlignment="1">
      <alignment horizontal="center" vertical="center"/>
    </xf>
    <xf numFmtId="0" fontId="15" fillId="0" borderId="19" xfId="2" applyFont="1" applyFill="1" applyBorder="1" applyAlignment="1">
      <alignment horizontal="center" vertical="center"/>
    </xf>
    <xf numFmtId="0" fontId="15" fillId="0" borderId="20" xfId="2" applyFont="1" applyFill="1" applyBorder="1" applyAlignment="1">
      <alignment horizontal="center" vertical="center"/>
    </xf>
    <xf numFmtId="0" fontId="22" fillId="3" borderId="7" xfId="2" applyFont="1" applyFill="1" applyBorder="1" applyAlignment="1">
      <alignment horizontal="center" vertical="center"/>
    </xf>
    <xf numFmtId="0" fontId="22" fillId="3" borderId="58" xfId="2" applyFont="1" applyFill="1" applyBorder="1" applyAlignment="1">
      <alignment horizontal="center" vertical="center"/>
    </xf>
    <xf numFmtId="0" fontId="18" fillId="0" borderId="0" xfId="0" applyFont="1" applyAlignment="1" applyProtection="1">
      <alignment horizontal="right" vertical="center"/>
    </xf>
    <xf numFmtId="0" fontId="0" fillId="0" borderId="0" xfId="0" applyAlignment="1" applyProtection="1"/>
    <xf numFmtId="164" fontId="19" fillId="0" borderId="9" xfId="2" applyNumberFormat="1" applyFont="1" applyFill="1" applyBorder="1" applyAlignment="1">
      <alignment horizontal="left"/>
    </xf>
    <xf numFmtId="164" fontId="19" fillId="0" borderId="23" xfId="2" applyNumberFormat="1" applyFont="1" applyFill="1" applyBorder="1" applyAlignment="1">
      <alignment horizontal="left"/>
    </xf>
    <xf numFmtId="0" fontId="19" fillId="0" borderId="9" xfId="2" applyFont="1" applyFill="1" applyBorder="1" applyAlignment="1">
      <alignment horizontal="left"/>
    </xf>
    <xf numFmtId="0" fontId="19" fillId="0" borderId="23" xfId="2" applyFont="1" applyFill="1" applyBorder="1" applyAlignment="1">
      <alignment horizontal="left"/>
    </xf>
    <xf numFmtId="0" fontId="10" fillId="0" borderId="3" xfId="0" applyFont="1" applyBorder="1" applyAlignment="1">
      <alignment horizontal="center" vertical="top"/>
    </xf>
    <xf numFmtId="171" fontId="19" fillId="0" borderId="0" xfId="0" applyNumberFormat="1" applyFont="1" applyAlignment="1">
      <alignment horizontal="center"/>
    </xf>
    <xf numFmtId="0" fontId="6" fillId="0" borderId="14" xfId="0" applyFont="1" applyBorder="1" applyAlignment="1">
      <alignment horizontal="right" textRotation="90"/>
    </xf>
    <xf numFmtId="0" fontId="18" fillId="0" borderId="14" xfId="2" applyFont="1" applyFill="1" applyBorder="1" applyAlignment="1" applyProtection="1">
      <alignment horizontal="left" vertical="top" textRotation="90"/>
      <protection locked="0"/>
    </xf>
    <xf numFmtId="0" fontId="18" fillId="0" borderId="14" xfId="2" applyFont="1" applyFill="1" applyBorder="1" applyAlignment="1">
      <alignment horizontal="left" textRotation="90"/>
    </xf>
    <xf numFmtId="164" fontId="3" fillId="0" borderId="15" xfId="2" applyNumberFormat="1" applyFont="1" applyFill="1" applyBorder="1" applyAlignment="1">
      <alignment horizontal="left" vertical="top" wrapText="1"/>
    </xf>
    <xf numFmtId="0" fontId="3" fillId="0" borderId="20" xfId="2" applyNumberFormat="1" applyFont="1" applyFill="1" applyBorder="1" applyAlignment="1">
      <alignment horizontal="left" vertical="top" wrapText="1"/>
    </xf>
    <xf numFmtId="0" fontId="3" fillId="0" borderId="21" xfId="2" applyNumberFormat="1" applyFont="1" applyFill="1" applyBorder="1" applyAlignment="1">
      <alignment horizontal="left" vertical="top" wrapText="1"/>
    </xf>
    <xf numFmtId="0" fontId="3" fillId="0" borderId="14" xfId="2" applyNumberFormat="1" applyFont="1" applyFill="1" applyBorder="1" applyAlignment="1">
      <alignment horizontal="left" vertical="top" wrapText="1"/>
    </xf>
    <xf numFmtId="0" fontId="6" fillId="0" borderId="21" xfId="0" applyFont="1" applyBorder="1" applyAlignment="1">
      <alignment horizontal="left" textRotation="180"/>
    </xf>
    <xf numFmtId="164" fontId="3" fillId="0" borderId="20" xfId="2" applyNumberFormat="1" applyFont="1" applyFill="1" applyBorder="1" applyAlignment="1">
      <alignment horizontal="left" vertical="top" wrapText="1"/>
    </xf>
    <xf numFmtId="164" fontId="3" fillId="0" borderId="21" xfId="2" applyNumberFormat="1" applyFont="1" applyFill="1" applyBorder="1" applyAlignment="1">
      <alignment horizontal="left" vertical="top" wrapText="1"/>
    </xf>
    <xf numFmtId="164" fontId="3" fillId="0" borderId="14" xfId="2" applyNumberFormat="1" applyFont="1" applyFill="1" applyBorder="1" applyAlignment="1">
      <alignment horizontal="left" vertical="top" wrapText="1"/>
    </xf>
    <xf numFmtId="0" fontId="18" fillId="0" borderId="21" xfId="2" applyFont="1" applyFill="1" applyBorder="1" applyAlignment="1">
      <alignment horizontal="right" textRotation="180"/>
    </xf>
    <xf numFmtId="164" fontId="3" fillId="0" borderId="15" xfId="2" applyNumberFormat="1" applyFont="1" applyFill="1" applyBorder="1" applyAlignment="1">
      <alignment vertical="top" wrapText="1"/>
    </xf>
    <xf numFmtId="0" fontId="3" fillId="0" borderId="20" xfId="2" applyNumberFormat="1" applyFont="1" applyFill="1" applyBorder="1" applyAlignment="1">
      <alignment vertical="top" wrapText="1"/>
    </xf>
    <xf numFmtId="0" fontId="3" fillId="0" borderId="21" xfId="2" applyNumberFormat="1" applyFont="1" applyFill="1" applyBorder="1" applyAlignment="1">
      <alignment vertical="top" wrapText="1"/>
    </xf>
    <xf numFmtId="0" fontId="3" fillId="0" borderId="14" xfId="2" applyNumberFormat="1" applyFont="1" applyFill="1" applyBorder="1" applyAlignment="1">
      <alignment vertical="top" wrapText="1"/>
    </xf>
    <xf numFmtId="0" fontId="18" fillId="0" borderId="21" xfId="2" applyFont="1" applyFill="1" applyBorder="1" applyAlignment="1" applyProtection="1">
      <alignment horizontal="right" vertical="top" textRotation="180"/>
      <protection locked="0"/>
    </xf>
    <xf numFmtId="0" fontId="19" fillId="0" borderId="24" xfId="2" applyFont="1" applyBorder="1" applyAlignment="1">
      <alignment vertical="top" wrapText="1"/>
    </xf>
    <xf numFmtId="0" fontId="19" fillId="0" borderId="0" xfId="2" applyFont="1" applyBorder="1" applyAlignment="1">
      <alignment vertical="top" wrapText="1"/>
    </xf>
    <xf numFmtId="0" fontId="19" fillId="0" borderId="42" xfId="2" applyFont="1" applyBorder="1" applyAlignment="1">
      <alignment vertical="top" wrapText="1"/>
    </xf>
    <xf numFmtId="14" fontId="27" fillId="0" borderId="5" xfId="2" applyNumberFormat="1" applyFont="1" applyBorder="1" applyAlignment="1">
      <alignment vertical="center"/>
    </xf>
    <xf numFmtId="0" fontId="27" fillId="0" borderId="5" xfId="2" applyFont="1" applyBorder="1" applyAlignment="1">
      <alignment vertical="center"/>
    </xf>
    <xf numFmtId="14" fontId="27" fillId="0" borderId="4" xfId="2" applyNumberFormat="1" applyFont="1" applyBorder="1" applyAlignment="1">
      <alignment vertical="center" wrapText="1"/>
    </xf>
    <xf numFmtId="0" fontId="27" fillId="0" borderId="4" xfId="2" applyFont="1" applyBorder="1" applyAlignment="1">
      <alignment vertical="center" wrapText="1"/>
    </xf>
    <xf numFmtId="0" fontId="27" fillId="0" borderId="24" xfId="2" applyFont="1" applyBorder="1" applyAlignment="1">
      <alignment horizontal="left" vertical="center" wrapText="1"/>
    </xf>
    <xf numFmtId="0" fontId="15" fillId="0" borderId="60" xfId="2" applyFont="1" applyBorder="1" applyAlignment="1">
      <alignment horizontal="center" vertical="center"/>
    </xf>
    <xf numFmtId="0" fontId="15" fillId="0" borderId="61" xfId="2" applyFont="1" applyBorder="1" applyAlignment="1">
      <alignment horizontal="center" vertical="center"/>
    </xf>
    <xf numFmtId="0" fontId="15" fillId="0" borderId="52" xfId="2" applyFont="1" applyBorder="1" applyAlignment="1">
      <alignment horizontal="center" vertical="center"/>
    </xf>
    <xf numFmtId="0" fontId="3" fillId="0" borderId="37" xfId="2" applyFont="1" applyBorder="1" applyAlignment="1">
      <alignment vertical="center"/>
    </xf>
    <xf numFmtId="0" fontId="3" fillId="0" borderId="29" xfId="2" applyFont="1" applyBorder="1" applyAlignment="1">
      <alignment vertical="center"/>
    </xf>
    <xf numFmtId="0" fontId="3" fillId="0" borderId="36" xfId="2" applyFont="1" applyBorder="1" applyAlignment="1">
      <alignment vertical="center"/>
    </xf>
    <xf numFmtId="0" fontId="26" fillId="0" borderId="37" xfId="2" applyFont="1" applyBorder="1" applyAlignment="1">
      <alignment horizontal="center" vertical="center"/>
    </xf>
    <xf numFmtId="0" fontId="26" fillId="0" borderId="29" xfId="2" applyFont="1" applyBorder="1" applyAlignment="1">
      <alignment horizontal="center" vertical="center"/>
    </xf>
    <xf numFmtId="0" fontId="26" fillId="0" borderId="36" xfId="2" applyFont="1" applyBorder="1" applyAlignment="1">
      <alignment horizontal="center" vertical="center"/>
    </xf>
    <xf numFmtId="0" fontId="26" fillId="0" borderId="37" xfId="2" applyFont="1" applyBorder="1" applyAlignment="1">
      <alignment vertical="center"/>
    </xf>
    <xf numFmtId="0" fontId="26" fillId="0" borderId="29" xfId="2" applyFont="1" applyBorder="1" applyAlignment="1">
      <alignment vertical="center"/>
    </xf>
    <xf numFmtId="0" fontId="26" fillId="0" borderId="36" xfId="2" applyFont="1" applyBorder="1" applyAlignment="1">
      <alignment vertical="center"/>
    </xf>
    <xf numFmtId="0" fontId="19" fillId="0" borderId="4" xfId="2" applyFont="1" applyBorder="1" applyAlignment="1">
      <alignment horizontal="left" vertical="center" wrapText="1"/>
    </xf>
    <xf numFmtId="0" fontId="36" fillId="0" borderId="30" xfId="2" applyFont="1" applyBorder="1" applyAlignment="1">
      <alignment horizontal="left" vertical="center"/>
    </xf>
    <xf numFmtId="0" fontId="36" fillId="0" borderId="4" xfId="2" applyFont="1" applyBorder="1" applyAlignment="1">
      <alignment horizontal="left" vertical="center"/>
    </xf>
    <xf numFmtId="0" fontId="36" fillId="0" borderId="28" xfId="2" applyFont="1" applyBorder="1" applyAlignment="1">
      <alignment horizontal="left" vertical="center"/>
    </xf>
    <xf numFmtId="0" fontId="36" fillId="0" borderId="5" xfId="2" applyFont="1" applyBorder="1" applyAlignment="1">
      <alignment horizontal="left" vertical="center"/>
    </xf>
    <xf numFmtId="0" fontId="34" fillId="0" borderId="0" xfId="2" applyFont="1" applyBorder="1" applyAlignment="1">
      <alignment horizontal="center" vertical="center"/>
    </xf>
    <xf numFmtId="0" fontId="9" fillId="0" borderId="0" xfId="2" applyFont="1" applyBorder="1" applyAlignment="1">
      <alignment horizontal="center" vertical="center"/>
    </xf>
    <xf numFmtId="164" fontId="11" fillId="0" borderId="0" xfId="2" applyNumberFormat="1" applyFont="1" applyBorder="1" applyAlignment="1">
      <alignment horizontal="center" vertical="center"/>
    </xf>
    <xf numFmtId="0" fontId="13" fillId="0" borderId="0" xfId="2" applyFont="1" applyBorder="1" applyAlignment="1">
      <alignment horizontal="center" vertical="center"/>
    </xf>
    <xf numFmtId="0" fontId="0" fillId="0" borderId="0" xfId="0" applyBorder="1" applyAlignment="1">
      <alignment horizontal="center"/>
    </xf>
    <xf numFmtId="0" fontId="8" fillId="0" borderId="0" xfId="2" applyFont="1" applyBorder="1" applyAlignment="1">
      <alignment horizontal="center" vertical="center" wrapText="1"/>
    </xf>
    <xf numFmtId="0" fontId="8" fillId="0" borderId="42" xfId="2" applyFont="1" applyBorder="1" applyAlignment="1">
      <alignment horizontal="center" vertical="center" wrapText="1"/>
    </xf>
    <xf numFmtId="0" fontId="35" fillId="0" borderId="0" xfId="2" applyFont="1" applyBorder="1" applyAlignment="1">
      <alignment horizontal="center" vertical="center" wrapText="1"/>
    </xf>
    <xf numFmtId="0" fontId="35" fillId="0" borderId="42" xfId="2" applyFont="1" applyBorder="1" applyAlignment="1">
      <alignment horizontal="center" vertical="center" wrapText="1"/>
    </xf>
    <xf numFmtId="0" fontId="15" fillId="0" borderId="0" xfId="2" applyFont="1" applyBorder="1" applyAlignment="1">
      <alignment horizontal="center" vertical="center" textRotation="90"/>
    </xf>
    <xf numFmtId="0" fontId="36" fillId="0" borderId="31" xfId="2" applyFont="1" applyBorder="1" applyAlignment="1">
      <alignment horizontal="left" vertical="center"/>
    </xf>
    <xf numFmtId="0" fontId="36" fillId="0" borderId="24" xfId="2" applyFont="1" applyBorder="1" applyAlignment="1">
      <alignment horizontal="left" vertical="center"/>
    </xf>
    <xf numFmtId="0" fontId="27" fillId="0" borderId="4" xfId="2" applyNumberFormat="1" applyFont="1" applyBorder="1" applyAlignment="1">
      <alignment vertical="center" wrapText="1"/>
    </xf>
    <xf numFmtId="0" fontId="27" fillId="0" borderId="5" xfId="2" applyNumberFormat="1" applyFont="1" applyBorder="1" applyAlignment="1">
      <alignment vertical="center" wrapText="1"/>
    </xf>
    <xf numFmtId="0" fontId="24" fillId="0" borderId="5" xfId="2" applyNumberFormat="1" applyFont="1" applyBorder="1" applyAlignment="1">
      <alignment vertical="center"/>
    </xf>
    <xf numFmtId="0" fontId="24" fillId="0" borderId="4" xfId="2" applyNumberFormat="1" applyFont="1" applyBorder="1" applyAlignment="1">
      <alignment vertical="center"/>
    </xf>
    <xf numFmtId="0" fontId="27" fillId="0" borderId="24" xfId="2" applyFont="1" applyBorder="1" applyAlignment="1">
      <alignment vertical="center" wrapText="1"/>
    </xf>
    <xf numFmtId="0" fontId="43" fillId="0" borderId="24" xfId="0" applyFont="1" applyBorder="1" applyAlignment="1">
      <alignment vertical="center"/>
    </xf>
    <xf numFmtId="0" fontId="24" fillId="0" borderId="0" xfId="2" applyNumberFormat="1" applyFont="1" applyBorder="1" applyAlignment="1">
      <alignment vertical="center"/>
    </xf>
    <xf numFmtId="0" fontId="63" fillId="0" borderId="0" xfId="2" applyFont="1" applyBorder="1" applyAlignment="1">
      <alignment horizontal="justify" vertical="top" wrapText="1"/>
    </xf>
    <xf numFmtId="0" fontId="27" fillId="0" borderId="42" xfId="2" applyFont="1" applyBorder="1" applyAlignment="1">
      <alignment vertical="center" wrapText="1"/>
    </xf>
    <xf numFmtId="0" fontId="30" fillId="0" borderId="4" xfId="2" applyFont="1" applyBorder="1" applyAlignment="1">
      <alignment horizontal="left" vertical="top" wrapText="1"/>
    </xf>
    <xf numFmtId="0" fontId="29" fillId="0" borderId="38" xfId="2" applyFont="1" applyBorder="1" applyAlignment="1">
      <alignment horizontal="left" vertical="center"/>
    </xf>
    <xf numFmtId="164" fontId="58" fillId="0" borderId="38" xfId="2" applyNumberFormat="1" applyFont="1" applyBorder="1" applyAlignment="1">
      <alignment horizontal="center" vertical="center"/>
    </xf>
    <xf numFmtId="0" fontId="13" fillId="0" borderId="0" xfId="2" applyFont="1" applyBorder="1" applyAlignment="1">
      <alignment horizontal="left" vertical="center"/>
    </xf>
    <xf numFmtId="0" fontId="24" fillId="0" borderId="0" xfId="2" applyFont="1" applyBorder="1" applyAlignment="1">
      <alignment horizontal="left" wrapText="1"/>
    </xf>
    <xf numFmtId="0" fontId="15" fillId="0" borderId="31" xfId="2" applyFont="1" applyFill="1" applyBorder="1" applyAlignment="1">
      <alignment horizontal="center" vertical="center"/>
    </xf>
    <xf numFmtId="0" fontId="15" fillId="0" borderId="24" xfId="2" applyFont="1" applyFill="1" applyBorder="1" applyAlignment="1">
      <alignment horizontal="center" vertical="center"/>
    </xf>
    <xf numFmtId="0" fontId="15" fillId="0" borderId="34" xfId="2" applyFont="1" applyFill="1" applyBorder="1" applyAlignment="1">
      <alignment horizontal="center" vertical="center"/>
    </xf>
    <xf numFmtId="0" fontId="33" fillId="0" borderId="0" xfId="2" applyFont="1" applyBorder="1" applyAlignment="1">
      <alignment horizontal="center" vertical="center" wrapText="1"/>
    </xf>
    <xf numFmtId="0" fontId="32" fillId="0" borderId="24" xfId="2" applyFont="1" applyBorder="1" applyAlignment="1">
      <alignment horizontal="center" shrinkToFit="1"/>
    </xf>
    <xf numFmtId="0" fontId="32" fillId="0" borderId="0" xfId="2" applyFont="1" applyBorder="1" applyAlignment="1">
      <alignment horizontal="center" vertical="top" shrinkToFit="1"/>
    </xf>
    <xf numFmtId="0" fontId="0" fillId="0" borderId="0" xfId="0" applyBorder="1" applyAlignment="1">
      <alignment vertical="top" shrinkToFit="1"/>
    </xf>
    <xf numFmtId="0" fontId="7" fillId="0" borderId="0" xfId="2" applyFont="1" applyFill="1" applyBorder="1" applyAlignment="1">
      <alignment horizontal="right" vertical="top"/>
    </xf>
  </cellXfs>
  <cellStyles count="4">
    <cellStyle name="Hiperlink" xfId="1" builtinId="8"/>
    <cellStyle name="Normal" xfId="0" builtinId="0"/>
    <cellStyle name="Normal 2" xfId="3"/>
    <cellStyle name="Normal_Agenda" xfId="2"/>
  </cellStyles>
  <dxfs count="204">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strike val="0"/>
        <u/>
        <color rgb="FFFF0000"/>
      </font>
    </dxf>
    <dxf>
      <font>
        <b/>
        <i val="0"/>
        <strike val="0"/>
        <color rgb="FFFF0000"/>
      </font>
    </dxf>
    <dxf>
      <fill>
        <patternFill>
          <bgColor rgb="FF00B050"/>
        </patternFill>
      </fill>
    </dxf>
    <dxf>
      <fill>
        <patternFill patternType="solid">
          <fgColor theme="0"/>
          <bgColor rgb="FFFF3B3B"/>
        </patternFill>
      </fill>
    </dxf>
  </dxfs>
  <tableStyles count="0" defaultTableStyle="TableStyleMedium9" defaultPivotStyle="PivotStyleLight16"/>
  <colors>
    <mruColors>
      <color rgb="FFCC0000"/>
      <color rgb="FF000000"/>
      <color rgb="FFFF3B3B"/>
      <color rgb="FFFAFE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5">
    <xsd:schema xmlns:xsd="http://www.w3.org/2001/XMLSchema" xmlns="">
      <xsd:element nillable="true" name="request">
        <xsd:complexType>
          <xsd:sequence minOccurs="0">
            <xsd:element minOccurs="0" maxOccurs="unbounded" nillable="true" name="arg" form="unqualified">
              <xsd:complexType>
                <xsd:attribute name="name" form="unqualified" type="xsd:string"/>
                <xsd:attribute name="val" form="unqualified" type="xsd:string"/>
              </xsd:complexType>
            </xsd:element>
            <xsd:element minOccurs="0" nillable="true" name="result" form="unqualified">
              <xsd:complexType>
                <xsd:sequence minOccurs="0">
                  <xsd:element minOccurs="0" nillable="true" name="dstsystem" form="unqualified">
                    <xsd:complexType>
                      <xsd:attribute name="name" form="unqualified" type="xsd:string"/>
                    </xsd:complexType>
                  </xsd:element>
                  <xsd:element minOccurs="0" maxOccurs="unbounded" nillable="true" name="masa" form="unqualified">
                    <xsd:complexType>
                      <xsd:sequence minOccurs="0">
                        <xsd:element minOccurs="0" maxOccurs="unbounded" nillable="true" name="day" form="unqualified">
                          <xsd:complexType>
                            <xsd:sequence minOccurs="0" maxOccurs="unbounded">
                              <xsd:element minOccurs="0" nillable="true" name="sunrise" form="unqualified">
                                <xsd:complexType>
                                  <xsd:sequence minOccurs="0">
                                    <xsd:element minOccurs="0" nillable="true" name="tithi" form="unqualified">
                                      <xsd:complexType>
                                        <xsd:attribute name="name" form="unqualified" type="xsd:string"/>
                                        <xsd:attribute name="elapse" form="unqualified" type="xsd:double"/>
                                        <xsd:attribute name="index" form="unqualified" type="xsd:integer"/>
                                      </xsd:complexType>
                                    </xsd:element>
                                    <xsd:element minOccurs="0" nillable="true" name="naksatra" form="unqualified">
                                      <xsd:complexType>
                                        <xsd:attribute name="name" form="unqualified" type="xsd:string"/>
                                        <xsd:attribute name="elapse" form="unqualified" type="xsd:double"/>
                                      </xsd:complexType>
                                    </xsd:element>
                                    <xsd:element minOccurs="0" nillable="true" name="yoga" form="unqualified">
                                      <xsd:complexType>
                                        <xsd:attribute name="name" form="unqualified" type="xsd:string"/>
                                      </xsd:complexType>
                                    </xsd:element>
                                    <xsd:element minOccurs="0" nillable="true" name="paksa" form="unqualified">
                                      <xsd:complexType>
                                        <xsd:attribute name="id" form="unqualified" type="xsd:string"/>
                                        <xsd:attribute name="name" form="unqualified" type="xsd:string"/>
                                      </xsd:complexType>
                                    </xsd:element>
                                  </xsd:sequence>
                                  <xsd:attribute name="time" form="unqualified" type="xsd:time"/>
                                </xsd:complexType>
                              </xsd:element>
                              <xsd:element minOccurs="0" nillable="true" name="dst" form="unqualified">
                                <xsd:complexType>
                                  <xsd:attribute name="offset" form="unqualified" type="xsd:integer"/>
                                </xsd:complexType>
                              </xsd:element>
                              <xsd:element minOccurs="0" nillable="true" name="arunodaya" form="unqualified">
                                <xsd:complexType>
                                  <xsd:sequence minOccurs="0">
                                    <xsd:element minOccurs="0" nillable="true" name="tithi" form="unqualified">
                                      <xsd:complexType>
                                        <xsd:attribute name="name" form="unqualified" type="xsd:string"/>
                                      </xsd:complexType>
                                    </xsd:element>
                                  </xsd:sequence>
                                  <xsd:attribute name="time" form="unqualified" type="xsd:time"/>
                                </xsd:complexType>
                              </xsd:element>
                              <xsd:element minOccurs="0" nillable="true" name="noon" form="unqualified">
                                <xsd:complexType>
                                  <xsd:attribute name="time" form="unqualified" type="xsd:time"/>
                                </xsd:complexType>
                              </xsd:element>
                              <xsd:element minOccurs="0" nillable="true" name="sunset" form="unqualified">
                                <xsd:complexType>
                                  <xsd:attribute name="time" form="unqualified" type="xsd:time"/>
                                </xsd:complexType>
                              </xsd:element>
                              <xsd:element minOccurs="0" nillable="true" name="moon" form="unqualified">
                                <xsd:complexType>
                                  <xsd:attribute name="rise" form="unqualified" type="xsd:string"/>
                                  <xsd:attribute name="set" form="unqualified" type="xsd:string"/>
                                </xsd:complexType>
                              </xsd:element>
                              <xsd:element minOccurs="0" nillable="true" name="vriddhi" form="unqualified">
                                <xsd:complexType>
                                  <xsd:attribute name="sd" form="unqualified" type="xsd:string"/>
                                </xsd:complexType>
                              </xsd:element>
                              <xsd:element minOccurs="0" maxOccurs="unbounded" nillable="true" name="festival" form="unqualified">
                                <xsd:complexType>
                                  <xsd:attribute name="name" form="unqualified" type="xsd:string"/>
                                  <xsd:attribute name="class" form="unqualified" type="xsd:integer"/>
                                </xsd:complexType>
                              </xsd:element>
                              <xsd:element minOccurs="0" nillable="true" name="fast" form="unqualified">
                                <xsd:complexType>
                                  <xsd:attribute name="type" form="unqualified" type="xsd:string"/>
                                  <xsd:attribute name="mark" form="unqualified" type="xsd:string"/>
                                </xsd:complexType>
                              </xsd:element>
                              <xsd:element minOccurs="0" nillable="true" name="parana" form="unqualified">
                                <xsd:complexType>
                                  <xsd:attribute name="from" form="unqualified" type="xsd:string"/>
                                  <xsd:attribute name="to" form="unqualified" type="xsd:string"/>
                                  <xsd:attribute name="after" form="unqualified" type="xsd:string"/>
                                </xsd:complexType>
                              </xsd:element>
                              <xsd:element minOccurs="0" nillable="true" name="ksaya" form="unqualified">
                                <xsd:complexType>
                                  <xsd:attribute name="from" form="unqualified" type="xsd:string"/>
                                  <xsd:attribute name="to" form="unqualified" type="xsd:string"/>
                                </xsd:complexType>
                              </xsd:element>
                              <xsd:element minOccurs="0" nillable="true" name="sankranti" form="unqualified">
                                <xsd:complexType>
                                  <xsd:attribute name="rasi" form="unqualified" type="xsd:string"/>
                                  <xsd:attribute name="time" form="unqualified" type="xsd:time"/>
                                </xsd:complexType>
                              </xsd:element>
                              <xsd:element minOccurs="0" maxOccurs="unbounded" nillable="true" name="caturmasya" form="unqualified">
                                <xsd:complexType>
                                  <xsd:attribute name="day" form="unqualified" type="xsd:string"/>
                                  <xsd:attribute name="month" form="unqualified" type="xsd:integer"/>
                                  <xsd:attribute name="system" form="unqualified" type="xsd:string"/>
                                </xsd:complexType>
                              </xsd:element>
                            </xsd:sequence>
                            <xsd:attribute name="date" form="unqualified" type="xsd:integer"/>
                            <xsd:attribute name="dayweekid" form="unqualified" type="xsd:integer"/>
                            <xsd:attribute name="dayweek" form="unqualified" type="xsd:string"/>
                          </xsd:complexType>
                        </xsd:element>
                      </xsd:sequence>
                      <xsd:attribute name="name" form="unqualified" type="xsd:string"/>
                      <xsd:attribute name="gyear" form="unqualified" type="xsd:string"/>
                    </xsd:complexType>
                  </xsd:element>
                </xsd:sequence>
                <xsd:attribute name="name" form="unqualified" type="xsd:string"/>
              </xsd:complexType>
            </xsd:element>
          </xsd:sequence>
          <xsd:attribute name="name" form="unqualified" type="xsd:string"/>
          <xsd:attribute name="version" form="unqualified" type="xsd:string"/>
        </xsd:complexType>
      </xsd:element>
    </xsd:schema>
  </Schema>
  <Map ID="8" Name="request_Mapa" RootElement="request"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16" fmlaLink="Index!$E$10" max="2099" min="2000" page="10" val="2017"/>
</file>

<file path=xl/ctrlProps/ctrlProp2.xml><?xml version="1.0" encoding="utf-8"?>
<formControlPr xmlns="http://schemas.microsoft.com/office/spreadsheetml/2009/9/main" objectType="Spin" dx="16" fmlaLink="Index!$S$20" max="3" min="1" page="10" val="3"/>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Spin" dx="16" fmlaLink="Calendar!$BH$1" max="2" min="1" page="10"/>
</file>

<file path=xl/ctrlProps/ctrlProp6.xml><?xml version="1.0" encoding="utf-8"?>
<formControlPr xmlns="http://schemas.microsoft.com/office/spreadsheetml/2009/9/main" objectType="Spin" dx="16" fmlaLink="'Monthly-Left'!$AB$3" max="12" min="1" page="10"/>
</file>

<file path=xl/ctrlProps/ctrlProp7.xml><?xml version="1.0" encoding="utf-8"?>
<formControlPr xmlns="http://schemas.microsoft.com/office/spreadsheetml/2009/9/main" objectType="Spin" dx="16" fmlaLink="'Monthly-Left'!$AB$3" max="12" min="1" page="10"/>
</file>

<file path=xl/ctrlProps/ctrlProp8.xml><?xml version="1.0" encoding="utf-8"?>
<formControlPr xmlns="http://schemas.microsoft.com/office/spreadsheetml/2009/9/main" objectType="Spin" dx="16" fmlaLink="'Weekly-Right'!$AE$9" max="53" min="1" page="10"/>
</file>

<file path=xl/ctrlProps/ctrlProp9.xml><?xml version="1.0" encoding="utf-8"?>
<formControlPr xmlns="http://schemas.microsoft.com/office/spreadsheetml/2009/9/main" objectType="Spin" dx="16" fmlaLink="'Weekly-Left'!$U$6" max="2" min="1" page="10"/>
</file>

<file path=xl/ctrlProps/ctrlProp10.xml><?xml version="1.0" encoding="utf-8"?>
<formControlPr xmlns="http://schemas.microsoft.com/office/spreadsheetml/2009/9/main" objectType="Spin" dx="16" fmlaLink="'Weekly-Right'!$AE$9" max="53" min="1" page="10"/>
</file>

<file path=xl/ctrlProps/ctrlProp11.xml><?xml version="1.0" encoding="utf-8"?>
<formControlPr xmlns="http://schemas.microsoft.com/office/spreadsheetml/2009/9/main" objectType="Spin" dx="16" fmlaLink="Index!$S$18" max="3" min="1" page="10"/>
</file>

<file path=xl/ctrlProps/ctrlProp12.xml><?xml version="1.0" encoding="utf-8"?>
<formControlPr xmlns="http://schemas.microsoft.com/office/spreadsheetml/2009/9/main" objectType="Spin" dx="16" fmlaLink="Index!$S$18" max="3" min="1" page="10"/>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F8"/></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8</xdr:row>
          <xdr:rowOff>104775</xdr:rowOff>
        </xdr:from>
        <xdr:to>
          <xdr:col>7</xdr:col>
          <xdr:colOff>171450</xdr:colOff>
          <xdr:row>10</xdr:row>
          <xdr:rowOff>9525</xdr:rowOff>
        </xdr:to>
        <xdr:sp macro="" textlink="">
          <xdr:nvSpPr>
            <xdr:cNvPr id="45090" name="YearSelect1" hidden="1">
              <a:extLst>
                <a:ext uri="{63B3BB69-23CF-44E3-9099-C40C66FF867C}">
                  <a14:compatExt spid="_x0000_s4509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11</xdr:col>
          <xdr:colOff>571500</xdr:colOff>
          <xdr:row>3</xdr:row>
          <xdr:rowOff>47625</xdr:rowOff>
        </xdr:to>
        <xdr:sp macro="" textlink="">
          <xdr:nvSpPr>
            <xdr:cNvPr id="45103" name="SpinnerControlLaguaje" hidden="1">
              <a:extLst>
                <a:ext uri="{63B3BB69-23CF-44E3-9099-C40C66FF867C}">
                  <a14:compatExt spid="_x0000_s4510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xdr:row>
          <xdr:rowOff>95250</xdr:rowOff>
        </xdr:from>
        <xdr:to>
          <xdr:col>12</xdr:col>
          <xdr:colOff>0</xdr:colOff>
          <xdr:row>10</xdr:row>
          <xdr:rowOff>19050</xdr:rowOff>
        </xdr:to>
        <xdr:sp macro="" textlink="">
          <xdr:nvSpPr>
            <xdr:cNvPr id="45111" name="btCalculate" hidden="1">
              <a:extLst>
                <a:ext uri="{63B3BB69-23CF-44E3-9099-C40C66FF867C}">
                  <a14:compatExt spid="_x0000_s4511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5- Calcular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23</xdr:row>
          <xdr:rowOff>38100</xdr:rowOff>
        </xdr:from>
        <xdr:to>
          <xdr:col>7</xdr:col>
          <xdr:colOff>0</xdr:colOff>
          <xdr:row>24</xdr:row>
          <xdr:rowOff>171450</xdr:rowOff>
        </xdr:to>
        <xdr:sp macro="" textlink="">
          <xdr:nvSpPr>
            <xdr:cNvPr id="45112" name="btFontsInstall" hidden="1">
              <a:extLst>
                <a:ext uri="{63B3BB69-23CF-44E3-9099-C40C66FF867C}">
                  <a14:compatExt spid="_x0000_s4511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11- Instalar Fontes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21</xdr:row>
          <xdr:rowOff>76200</xdr:rowOff>
        </xdr:from>
        <xdr:to>
          <xdr:col>14</xdr:col>
          <xdr:colOff>971550</xdr:colOff>
          <xdr:row>25</xdr:row>
          <xdr:rowOff>9525</xdr:rowOff>
        </xdr:to>
        <xdr:sp macro="" textlink="">
          <xdr:nvSpPr>
            <xdr:cNvPr id="45220" name="btPlannerCreate" hidden="1">
              <a:extLst>
                <a:ext uri="{63B3BB69-23CF-44E3-9099-C40C66FF867C}">
                  <a14:compatExt spid="_x0000_s45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19051</xdr:colOff>
      <xdr:row>14</xdr:row>
      <xdr:rowOff>66674</xdr:rowOff>
    </xdr:from>
    <xdr:to>
      <xdr:col>14</xdr:col>
      <xdr:colOff>952501</xdr:colOff>
      <xdr:row>20</xdr:row>
      <xdr:rowOff>79606</xdr:rowOff>
    </xdr:to>
    <xdr:pic>
      <xdr:nvPicPr>
        <xdr:cNvPr id="2" name="Imagem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1076" y="2581274"/>
          <a:ext cx="1504950" cy="1013057"/>
        </a:xfrm>
        <a:prstGeom prst="rect">
          <a:avLst/>
        </a:prstGeom>
        <a:ln w="19050">
          <a:solidFill>
            <a:schemeClr val="tx1">
              <a:lumMod val="50000"/>
              <a:lumOff val="50000"/>
            </a:schemeClr>
          </a:solidFill>
        </a:ln>
      </xdr:spPr>
    </xdr:pic>
    <xdr:clientData/>
  </xdr:twoCellAnchor>
  <xdr:twoCellAnchor editAs="oneCell">
    <xdr:from>
      <xdr:col>13</xdr:col>
      <xdr:colOff>28575</xdr:colOff>
      <xdr:row>1</xdr:row>
      <xdr:rowOff>66676</xdr:rowOff>
    </xdr:from>
    <xdr:to>
      <xdr:col>14</xdr:col>
      <xdr:colOff>951284</xdr:colOff>
      <xdr:row>6</xdr:row>
      <xdr:rowOff>142876</xdr:rowOff>
    </xdr:to>
    <xdr:pic>
      <xdr:nvPicPr>
        <xdr:cNvPr id="3" name="Imagem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00600" y="419101"/>
          <a:ext cx="1494209" cy="838200"/>
        </a:xfrm>
        <a:prstGeom prst="rect">
          <a:avLst/>
        </a:prstGeom>
        <a:ln w="19050">
          <a:solidFill>
            <a:schemeClr val="tx1">
              <a:lumMod val="50000"/>
              <a:lumOff val="5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893" name="Picture 4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0</xdr:row>
      <xdr:rowOff>76200</xdr:rowOff>
    </xdr:from>
    <xdr:to>
      <xdr:col>1</xdr:col>
      <xdr:colOff>152400</xdr:colOff>
      <xdr:row>0</xdr:row>
      <xdr:rowOff>247650</xdr:rowOff>
    </xdr:to>
    <xdr:pic>
      <xdr:nvPicPr>
        <xdr:cNvPr id="30527" name="Picture 4">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52425" y="76200"/>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38742"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123825</xdr:colOff>
      <xdr:row>1</xdr:row>
      <xdr:rowOff>47625</xdr:rowOff>
    </xdr:from>
    <xdr:to>
      <xdr:col>0</xdr:col>
      <xdr:colOff>266700</xdr:colOff>
      <xdr:row>1</xdr:row>
      <xdr:rowOff>219075</xdr:rowOff>
    </xdr:to>
    <xdr:pic>
      <xdr:nvPicPr>
        <xdr:cNvPr id="31549" name="Picture 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23825" y="2381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3257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5644"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176133" name="Picture 9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1432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76200</xdr:rowOff>
        </xdr:from>
        <xdr:to>
          <xdr:col>19</xdr:col>
          <xdr:colOff>152400</xdr:colOff>
          <xdr:row>0</xdr:row>
          <xdr:rowOff>495300</xdr:rowOff>
        </xdr:to>
        <xdr:sp macro="" textlink="">
          <xdr:nvSpPr>
            <xdr:cNvPr id="2049" name="YearSelect2"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66675</xdr:colOff>
          <xdr:row>18</xdr:row>
          <xdr:rowOff>9525</xdr:rowOff>
        </xdr:from>
        <xdr:to>
          <xdr:col>2</xdr:col>
          <xdr:colOff>590550</xdr:colOff>
          <xdr:row>19</xdr:row>
          <xdr:rowOff>285750</xdr:rowOff>
        </xdr:to>
        <xdr:sp macro="" textlink="">
          <xdr:nvSpPr>
            <xdr:cNvPr id="185346" name="MonthSelect2" hidden="1">
              <a:extLst>
                <a:ext uri="{63B3BB69-23CF-44E3-9099-C40C66FF867C}">
                  <a14:compatExt spid="_x0000_s1853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3</xdr:col>
      <xdr:colOff>63500</xdr:colOff>
      <xdr:row>0</xdr:row>
      <xdr:rowOff>63500</xdr:rowOff>
    </xdr:from>
    <xdr:to>
      <xdr:col>3</xdr:col>
      <xdr:colOff>296333</xdr:colOff>
      <xdr:row>1</xdr:row>
      <xdr:rowOff>114300</xdr:rowOff>
    </xdr:to>
    <xdr:pic>
      <xdr:nvPicPr>
        <xdr:cNvPr id="4"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63500"/>
          <a:ext cx="232833" cy="279400"/>
        </a:xfrm>
        <a:prstGeom prst="rect">
          <a:avLst/>
        </a:prstGeom>
        <a:noFill/>
        <a:ln w="9525">
          <a:noFill/>
          <a:miter lim="800000"/>
          <a:headEnd/>
          <a:tailEnd/>
        </a:ln>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38100</xdr:colOff>
      <xdr:row>0</xdr:row>
      <xdr:rowOff>25400</xdr:rowOff>
    </xdr:from>
    <xdr:to>
      <xdr:col>2</xdr:col>
      <xdr:colOff>270933</xdr:colOff>
      <xdr:row>1</xdr:row>
      <xdr:rowOff>76200</xdr:rowOff>
    </xdr:to>
    <xdr:pic>
      <xdr:nvPicPr>
        <xdr:cNvPr id="2"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absolute">
        <xdr:from>
          <xdr:col>11</xdr:col>
          <xdr:colOff>66675</xdr:colOff>
          <xdr:row>17</xdr:row>
          <xdr:rowOff>238125</xdr:rowOff>
        </xdr:from>
        <xdr:to>
          <xdr:col>11</xdr:col>
          <xdr:colOff>590550</xdr:colOff>
          <xdr:row>19</xdr:row>
          <xdr:rowOff>209550</xdr:rowOff>
        </xdr:to>
        <xdr:sp macro="" textlink="">
          <xdr:nvSpPr>
            <xdr:cNvPr id="203778" name="MonthSelect1" hidden="1">
              <a:extLst>
                <a:ext uri="{63B3BB69-23CF-44E3-9099-C40C66FF867C}">
                  <a14:compatExt spid="_x0000_s20377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57150</xdr:colOff>
      <xdr:row>4</xdr:row>
      <xdr:rowOff>0</xdr:rowOff>
    </xdr:from>
    <xdr:to>
      <xdr:col>0</xdr:col>
      <xdr:colOff>200025</xdr:colOff>
      <xdr:row>4</xdr:row>
      <xdr:rowOff>161925</xdr:rowOff>
    </xdr:to>
    <xdr:pic>
      <xdr:nvPicPr>
        <xdr:cNvPr id="2" name="Picture 9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933450"/>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5</xdr:col>
          <xdr:colOff>76200</xdr:colOff>
          <xdr:row>0</xdr:row>
          <xdr:rowOff>66675</xdr:rowOff>
        </xdr:from>
        <xdr:to>
          <xdr:col>6</xdr:col>
          <xdr:colOff>19050</xdr:colOff>
          <xdr:row>1</xdr:row>
          <xdr:rowOff>180975</xdr:rowOff>
        </xdr:to>
        <xdr:sp macro="" textlink="">
          <xdr:nvSpPr>
            <xdr:cNvPr id="157698" name="WeekSelect2" hidden="1">
              <a:extLst>
                <a:ext uri="{63B3BB69-23CF-44E3-9099-C40C66FF867C}">
                  <a14:compatExt spid="_x0000_s15769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47625</xdr:rowOff>
        </xdr:from>
        <xdr:to>
          <xdr:col>1</xdr:col>
          <xdr:colOff>95250</xdr:colOff>
          <xdr:row>1</xdr:row>
          <xdr:rowOff>180975</xdr:rowOff>
        </xdr:to>
        <xdr:sp macro="" textlink="">
          <xdr:nvSpPr>
            <xdr:cNvPr id="157699" name="YearSelect3" hidden="1">
              <a:extLst>
                <a:ext uri="{63B3BB69-23CF-44E3-9099-C40C66FF867C}">
                  <a14:compatExt spid="_x0000_s15769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0</xdr:colOff>
      <xdr:row>0</xdr:row>
      <xdr:rowOff>219075</xdr:rowOff>
    </xdr:to>
    <xdr:pic>
      <xdr:nvPicPr>
        <xdr:cNvPr id="8049"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1</xdr:row>
          <xdr:rowOff>171450</xdr:rowOff>
        </xdr:from>
        <xdr:to>
          <xdr:col>1</xdr:col>
          <xdr:colOff>19050</xdr:colOff>
          <xdr:row>3</xdr:row>
          <xdr:rowOff>57150</xdr:rowOff>
        </xdr:to>
        <xdr:sp macro="" textlink="">
          <xdr:nvSpPr>
            <xdr:cNvPr id="168961" name="WeekSelect1" hidden="1">
              <a:extLst>
                <a:ext uri="{63B3BB69-23CF-44E3-9099-C40C66FF867C}">
                  <a14:compatExt spid="_x0000_s16896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10069"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9242" name="ContactSelect1" hidden="1">
              <a:extLst>
                <a:ext uri="{63B3BB69-23CF-44E3-9099-C40C66FF867C}">
                  <a14:compatExt spid="_x0000_s9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1094" name="Picture 26">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10267" name="ContactSelect2" hidden="1">
              <a:extLst>
                <a:ext uri="{63B3BB69-23CF-44E3-9099-C40C66FF867C}">
                  <a14:compatExt spid="_x0000_s1026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4156"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5180"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_GPlan/Desenvolvimento/GPlan-10-D/vaishnava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ishnava"/>
    </sheetNames>
    <sheetDataSet>
      <sheetData sheetId="0"/>
    </sheetDataSet>
  </externalBook>
</externalLink>
</file>

<file path=xl/queryTables/queryTable1.xml><?xml version="1.0" encoding="utf-8"?>
<queryTable xmlns="http://schemas.openxmlformats.org/spreadsheetml/2006/main" name="loc.rl_1"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trs.rl" connectionId="2"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queryTable" Target="../queryTables/queryTable2.xml"/><Relationship Id="rId5" Type="http://schemas.openxmlformats.org/officeDocument/2006/relationships/image" Target="../media/image1.emf"/><Relationship Id="rId10" Type="http://schemas.openxmlformats.org/officeDocument/2006/relationships/queryTable" Target="../queryTables/queryTable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Western_Christianity" TargetMode="External"/><Relationship Id="rId18" Type="http://schemas.openxmlformats.org/officeDocument/2006/relationships/hyperlink" Target="http://en.wikipedia.org/wiki/Trinity_Sunday" TargetMode="External"/><Relationship Id="rId26" Type="http://schemas.openxmlformats.org/officeDocument/2006/relationships/printerSettings" Target="../printerSettings/printerSettings5.bin"/><Relationship Id="rId3" Type="http://schemas.openxmlformats.org/officeDocument/2006/relationships/hyperlink" Target="http://en.wikipedia.org/wiki/All_Saints%27_Day" TargetMode="External"/><Relationship Id="rId21" Type="http://schemas.openxmlformats.org/officeDocument/2006/relationships/hyperlink" Target="http://en.wikipedia.org/wiki/Good_Fri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atch_Night" TargetMode="External"/><Relationship Id="rId17" Type="http://schemas.openxmlformats.org/officeDocument/2006/relationships/hyperlink" Target="http://en.wikipedia.org/wiki/Christmas" TargetMode="External"/><Relationship Id="rId25" Type="http://schemas.openxmlformats.org/officeDocument/2006/relationships/hyperlink" Target="http://en.wikipedia.org/wiki/Palm_Sunday"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arnival" TargetMode="External"/><Relationship Id="rId20" Type="http://schemas.openxmlformats.org/officeDocument/2006/relationships/hyperlink" Target="http://en.wikipedia.org/wiki/Holy_Saturday" TargetMode="Externa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inter_Lent" TargetMode="External"/><Relationship Id="rId24" Type="http://schemas.openxmlformats.org/officeDocument/2006/relationships/hyperlink" Target="http://en.wikipedia.org/wiki/Shrove_Tues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Pentecost" TargetMode="External"/><Relationship Id="rId23" Type="http://schemas.openxmlformats.org/officeDocument/2006/relationships/hyperlink" Target="http://en.wikipedia.org/wiki/Lent" TargetMode="External"/><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Week"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Halloween" TargetMode="External"/><Relationship Id="rId22" Type="http://schemas.openxmlformats.org/officeDocument/2006/relationships/hyperlink" Target="http://en.wikipedia.org/wiki/Easter_Monday" TargetMode="External"/><Relationship Id="rId27"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 Id="rId4" Type="http://schemas.openxmlformats.org/officeDocument/2006/relationships/ctrlProp" Target="../ctrlProps/ctrlProp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Options">
    <pageSetUpPr fitToPage="1"/>
  </sheetPr>
  <dimension ref="A1:AG2387"/>
  <sheetViews>
    <sheetView showGridLines="0" showRowColHeaders="0" tabSelected="1" zoomScaleNormal="100" workbookViewId="0">
      <selection activeCell="E8" sqref="E8:L8"/>
    </sheetView>
  </sheetViews>
  <sheetFormatPr defaultColWidth="0" defaultRowHeight="14.25"/>
  <cols>
    <col min="1" max="1" width="2.85546875" style="187" customWidth="1"/>
    <col min="2" max="2" width="1.42578125" style="187" customWidth="1"/>
    <col min="3" max="3" width="15.5703125" style="187" customWidth="1"/>
    <col min="4" max="4" width="1.42578125" style="187" customWidth="1"/>
    <col min="5" max="5" width="12.5703125" style="187" customWidth="1"/>
    <col min="6" max="6" width="1.42578125" style="187" customWidth="1"/>
    <col min="7" max="7" width="4.5703125" style="187" customWidth="1"/>
    <col min="8" max="9" width="5" style="187" customWidth="1"/>
    <col min="10" max="10" width="4.5703125" style="189" customWidth="1"/>
    <col min="11" max="11" width="4.5703125" style="187" customWidth="1"/>
    <col min="12" max="12" width="9.140625" style="187" customWidth="1"/>
    <col min="13" max="13" width="3.42578125" style="187" customWidth="1"/>
    <col min="14" max="14" width="8.5703125" style="187" customWidth="1"/>
    <col min="15" max="15" width="14.85546875" style="187" customWidth="1"/>
    <col min="16" max="16" width="1.42578125" style="189" customWidth="1"/>
    <col min="17" max="17" width="2.85546875" style="187" customWidth="1"/>
    <col min="18" max="18" width="2.85546875" style="187" hidden="1" customWidth="1"/>
    <col min="19" max="20" width="15.42578125" style="187" hidden="1" customWidth="1"/>
    <col min="21" max="21" width="16" style="187" hidden="1" customWidth="1"/>
    <col min="22" max="22" width="9" style="187" hidden="1" customWidth="1"/>
    <col min="23" max="23" width="12.28515625" style="187" hidden="1" customWidth="1"/>
    <col min="24" max="24" width="10.85546875" style="187" hidden="1" customWidth="1"/>
    <col min="25" max="25" width="11" style="187" hidden="1" customWidth="1"/>
    <col min="26" max="26" width="5.42578125" style="187" hidden="1" customWidth="1"/>
    <col min="27" max="27" width="9.140625" style="187" hidden="1" customWidth="1"/>
    <col min="28" max="30" width="9.140625" hidden="1" customWidth="1"/>
    <col min="31" max="31" width="45.140625" style="187" hidden="1" customWidth="1"/>
    <col min="32" max="32" width="11" style="187" hidden="1" customWidth="1"/>
    <col min="33" max="33" width="81.140625" style="187" hidden="1" customWidth="1"/>
    <col min="34" max="16384" width="9.140625" style="187" hidden="1"/>
  </cols>
  <sheetData>
    <row r="1" spans="1:33" ht="27.75" customHeight="1">
      <c r="B1" s="610" t="str">
        <f ca="1">'GPlan-Translations'!C26</f>
        <v>Agenda Vaishnava Gplan</v>
      </c>
      <c r="C1" s="610"/>
      <c r="D1" s="610"/>
      <c r="E1" s="610"/>
      <c r="F1" s="610"/>
      <c r="G1" s="610"/>
      <c r="H1" s="610"/>
      <c r="I1" s="610"/>
      <c r="J1" s="610"/>
      <c r="P1" s="371" t="str">
        <f ca="1">'GPlan-Translations'!C72</f>
        <v>Geração Automática</v>
      </c>
      <c r="Q1" s="610"/>
      <c r="S1" s="187" t="s">
        <v>4519</v>
      </c>
      <c r="T1" s="187" t="s">
        <v>4532</v>
      </c>
      <c r="V1" s="484">
        <v>1</v>
      </c>
      <c r="AC1" s="365"/>
      <c r="AE1" s="187" t="s">
        <v>3636</v>
      </c>
      <c r="AF1" s="187" t="str">
        <f t="shared" ref="AF1:AF32" si="0">IF(ISERROR(SEARCH($S$47,AG1)),"",$S$48)</f>
        <v/>
      </c>
      <c r="AG1" s="187" t="s">
        <v>3617</v>
      </c>
    </row>
    <row r="2" spans="1:33" ht="7.5" customHeight="1">
      <c r="B2" s="549"/>
      <c r="C2" s="192"/>
      <c r="D2" s="192"/>
      <c r="E2" s="192"/>
      <c r="F2" s="192"/>
      <c r="G2" s="192"/>
      <c r="H2" s="192"/>
      <c r="I2" s="192"/>
      <c r="J2" s="192"/>
      <c r="K2" s="192"/>
      <c r="L2" s="192"/>
      <c r="M2" s="192"/>
      <c r="N2" s="192"/>
      <c r="O2" s="192"/>
      <c r="P2" s="605"/>
      <c r="Q2" s="194"/>
      <c r="S2" s="481" t="str">
        <f>MID($E$8,1,W2-1)</f>
        <v>Recife</v>
      </c>
      <c r="T2" s="494" t="s">
        <v>5094</v>
      </c>
      <c r="U2" s="189" t="s">
        <v>217</v>
      </c>
      <c r="V2" s="484">
        <v>2</v>
      </c>
      <c r="W2" s="189">
        <f>SEARCH("|",$E$8,1)</f>
        <v>7</v>
      </c>
      <c r="X2" s="540" t="s">
        <v>3850</v>
      </c>
      <c r="AB2" s="365"/>
      <c r="AC2" s="365"/>
      <c r="AE2" s="187" t="s">
        <v>3637</v>
      </c>
      <c r="AF2" s="187" t="str">
        <f t="shared" si="0"/>
        <v/>
      </c>
      <c r="AG2" s="187" t="s">
        <v>3618</v>
      </c>
    </row>
    <row r="3" spans="1:33" ht="18.75" customHeight="1">
      <c r="B3" s="194"/>
      <c r="C3" s="189"/>
      <c r="D3" s="368" t="str">
        <f ca="1">"1- " &amp; 'GPlan-Translations'!C27 &amp; ":"</f>
        <v>1- Linguagem:</v>
      </c>
      <c r="E3" s="623" t="str">
        <f ca="1">'GPlan-Translations'!D1</f>
        <v>Português</v>
      </c>
      <c r="F3" s="624"/>
      <c r="G3" s="624"/>
      <c r="H3" s="624"/>
      <c r="I3" s="624"/>
      <c r="J3" s="624"/>
      <c r="K3" s="625"/>
      <c r="L3" s="189"/>
      <c r="M3" s="189"/>
      <c r="N3" s="189"/>
      <c r="O3" s="189"/>
      <c r="P3" s="195"/>
      <c r="Q3" s="194"/>
      <c r="S3" s="482" t="str">
        <f>MID($E$8,W2+1,W3-W2-1)</f>
        <v>Brazil</v>
      </c>
      <c r="T3" s="480" t="s">
        <v>5095</v>
      </c>
      <c r="U3" s="189" t="s">
        <v>3849</v>
      </c>
      <c r="V3" s="484">
        <v>3</v>
      </c>
      <c r="W3" s="189">
        <f>SEARCH("|",$E$8,W2+1)</f>
        <v>14</v>
      </c>
      <c r="X3" s="540" t="s">
        <v>3848</v>
      </c>
      <c r="AB3" s="365"/>
      <c r="AC3" s="365"/>
      <c r="AE3" s="187" t="s">
        <v>3638</v>
      </c>
      <c r="AF3" s="187" t="str">
        <f t="shared" si="0"/>
        <v/>
      </c>
      <c r="AG3" s="187" t="s">
        <v>3619</v>
      </c>
    </row>
    <row r="4" spans="1:33" ht="7.5" customHeight="1">
      <c r="A4" s="321"/>
      <c r="B4" s="194"/>
      <c r="M4" s="189"/>
      <c r="N4" s="189"/>
      <c r="O4" s="189"/>
      <c r="P4" s="370"/>
      <c r="Q4" s="194"/>
      <c r="S4" s="534">
        <f>ROUND(VALUE(SUBSTITUTE(MID($E$8,W3+1,W4-W3-1),".",",")),4)</f>
        <v>-34.881100000000004</v>
      </c>
      <c r="T4" s="533">
        <v>-34.881099700927734</v>
      </c>
      <c r="U4" s="189" t="s">
        <v>3851</v>
      </c>
      <c r="V4" s="484">
        <v>4</v>
      </c>
      <c r="W4" s="189">
        <f>SEARCH("|",$E$8,W3+1)</f>
        <v>25</v>
      </c>
      <c r="X4" s="540" t="s">
        <v>3852</v>
      </c>
      <c r="AB4" s="365"/>
      <c r="AC4" s="365"/>
      <c r="AE4" s="187" t="s">
        <v>3639</v>
      </c>
      <c r="AF4" s="187" t="str">
        <f t="shared" si="0"/>
        <v/>
      </c>
      <c r="AG4" s="187" t="s">
        <v>3620</v>
      </c>
    </row>
    <row r="5" spans="1:33" ht="7.5" customHeight="1">
      <c r="B5" s="549"/>
      <c r="C5" s="192"/>
      <c r="D5" s="192"/>
      <c r="E5" s="192"/>
      <c r="F5" s="192"/>
      <c r="G5" s="192"/>
      <c r="H5" s="192"/>
      <c r="I5" s="192"/>
      <c r="J5" s="192"/>
      <c r="K5" s="192"/>
      <c r="L5" s="192"/>
      <c r="M5" s="192"/>
      <c r="N5" s="192"/>
      <c r="O5" s="192"/>
      <c r="P5" s="548"/>
      <c r="Q5" s="194"/>
      <c r="S5" s="534">
        <f>ROUND(VALUE(SUBSTITUTE(MID($E$8,W4+1,W5-W4-1),".",",")),4)</f>
        <v>-8.0539000000000005</v>
      </c>
      <c r="T5" s="533">
        <v>-8.0538997650146484</v>
      </c>
      <c r="U5" s="189" t="s">
        <v>836</v>
      </c>
      <c r="V5" s="484">
        <v>5</v>
      </c>
      <c r="W5" s="189">
        <f>SEARCH("|",$E$8,W4+1)</f>
        <v>35</v>
      </c>
      <c r="X5" s="540" t="s">
        <v>3853</v>
      </c>
      <c r="AB5" s="365"/>
      <c r="AC5" s="365"/>
      <c r="AE5" s="187" t="s">
        <v>3640</v>
      </c>
      <c r="AF5" s="187" t="str">
        <f t="shared" si="0"/>
        <v/>
      </c>
      <c r="AG5" s="187" t="s">
        <v>3624</v>
      </c>
    </row>
    <row r="6" spans="1:33" ht="18.75" customHeight="1">
      <c r="B6" s="194"/>
      <c r="C6" s="189"/>
      <c r="D6" s="368" t="str">
        <f ca="1">"2- " &amp; 'GPlan-Translations'!C29 &amp; ":"</f>
        <v>2- País:</v>
      </c>
      <c r="E6" s="626" t="s">
        <v>3661</v>
      </c>
      <c r="F6" s="627"/>
      <c r="G6" s="627"/>
      <c r="H6" s="627"/>
      <c r="I6" s="627"/>
      <c r="J6" s="627"/>
      <c r="K6" s="627"/>
      <c r="L6" s="628"/>
      <c r="M6" s="189"/>
      <c r="O6" s="189"/>
      <c r="P6" s="195"/>
      <c r="Q6" s="194"/>
      <c r="S6" s="482">
        <f>VALUE(SUBSTITUTE(MID($E$8,W5+1,W6-W5-1),".",","))</f>
        <v>-3</v>
      </c>
      <c r="T6" s="480">
        <v>-3</v>
      </c>
      <c r="U6" s="189" t="s">
        <v>1294</v>
      </c>
      <c r="V6" s="484">
        <v>6</v>
      </c>
      <c r="W6" s="189">
        <f>SEARCH("|",$E$8,W5+1)</f>
        <v>41</v>
      </c>
      <c r="X6" s="540" t="s">
        <v>3854</v>
      </c>
      <c r="AB6" s="365"/>
      <c r="AC6" s="365"/>
      <c r="AE6" s="187" t="s">
        <v>3641</v>
      </c>
      <c r="AF6" s="187" t="str">
        <f t="shared" si="0"/>
        <v/>
      </c>
      <c r="AG6" s="187" t="s">
        <v>3621</v>
      </c>
    </row>
    <row r="7" spans="1:33" ht="14.25" customHeight="1">
      <c r="A7" s="372"/>
      <c r="B7" s="194"/>
      <c r="C7" s="189"/>
      <c r="D7" s="189"/>
      <c r="E7" s="369"/>
      <c r="F7" s="369"/>
      <c r="G7" s="189"/>
      <c r="H7" s="189"/>
      <c r="I7" s="189"/>
      <c r="K7" s="189"/>
      <c r="L7" s="597" t="str">
        <f ca="1">'GPlan-Translations'!C74</f>
        <v>(selecione)</v>
      </c>
      <c r="M7" s="189"/>
      <c r="N7" s="189"/>
      <c r="O7" s="189"/>
      <c r="P7" s="195"/>
      <c r="Q7" s="194"/>
      <c r="S7" s="322">
        <f>VALUE(MID($E$8,W6+1,W7-W6))</f>
        <v>63</v>
      </c>
      <c r="T7" s="479">
        <v>63</v>
      </c>
      <c r="U7" s="189" t="s">
        <v>3855</v>
      </c>
      <c r="V7" s="484">
        <v>7</v>
      </c>
      <c r="W7" s="189">
        <f>LEN($E$8)</f>
        <v>43</v>
      </c>
      <c r="X7" s="540" t="s">
        <v>3854</v>
      </c>
      <c r="AB7" s="365"/>
      <c r="AC7" s="365"/>
      <c r="AE7" s="187" t="s">
        <v>3642</v>
      </c>
      <c r="AF7" s="187" t="str">
        <f t="shared" si="0"/>
        <v/>
      </c>
      <c r="AG7" s="187" t="s">
        <v>3623</v>
      </c>
    </row>
    <row r="8" spans="1:33" ht="18.75" customHeight="1">
      <c r="B8" s="194"/>
      <c r="C8" s="189"/>
      <c r="D8" s="368" t="str">
        <f ca="1">"3- " &amp; 'GPlan-Translations'!C30 &amp; ":"</f>
        <v>3- Localidade:</v>
      </c>
      <c r="E8" s="626" t="s">
        <v>3478</v>
      </c>
      <c r="F8" s="627"/>
      <c r="G8" s="627"/>
      <c r="H8" s="627"/>
      <c r="I8" s="627"/>
      <c r="J8" s="627"/>
      <c r="K8" s="627"/>
      <c r="L8" s="628"/>
      <c r="M8" s="189"/>
      <c r="N8" s="612" t="str">
        <f ca="1">'GPlan-Translations'!C45 &amp; ":"</f>
        <v>Ver:</v>
      </c>
      <c r="O8" s="613" t="str">
        <f>HYPERLINK(S53,"Google Maps")</f>
        <v>Google Maps</v>
      </c>
      <c r="P8" s="195"/>
      <c r="Q8" s="194"/>
      <c r="T8" s="494" t="s">
        <v>727</v>
      </c>
      <c r="U8" s="478" t="s">
        <v>4521</v>
      </c>
      <c r="V8" s="484">
        <v>8</v>
      </c>
      <c r="AB8" s="365"/>
      <c r="AC8" s="365"/>
      <c r="AE8" s="187" t="s">
        <v>3643</v>
      </c>
      <c r="AF8" s="187" t="str">
        <f t="shared" si="0"/>
        <v/>
      </c>
      <c r="AG8" s="187" t="s">
        <v>3622</v>
      </c>
    </row>
    <row r="9" spans="1:33" ht="14.25" customHeight="1">
      <c r="B9" s="194"/>
      <c r="E9" s="189"/>
      <c r="F9" s="189"/>
      <c r="G9" s="189"/>
      <c r="H9" s="189"/>
      <c r="I9" s="189"/>
      <c r="K9" s="189"/>
      <c r="M9" s="189"/>
      <c r="O9" s="497" t="str">
        <f ca="1">HYPERLINK(T24&amp;"calendar.htm","calendar.htm")</f>
        <v>calendar.htm</v>
      </c>
      <c r="P9" s="195"/>
      <c r="Q9" s="194"/>
      <c r="S9" s="492"/>
      <c r="T9" s="531">
        <v>42705</v>
      </c>
      <c r="U9" s="478" t="s">
        <v>4522</v>
      </c>
      <c r="V9" s="484">
        <v>9</v>
      </c>
      <c r="W9" s="560">
        <f>StartDate()</f>
        <v>42705</v>
      </c>
      <c r="Y9" s="486" t="str">
        <f ca="1">'GPlan-Translations'!C35</f>
        <v>Pronto</v>
      </c>
      <c r="Z9" s="193">
        <v>1</v>
      </c>
      <c r="AB9" s="365"/>
      <c r="AC9" s="365"/>
      <c r="AE9" s="187" t="s">
        <v>3644</v>
      </c>
      <c r="AF9" s="187" t="str">
        <f t="shared" si="0"/>
        <v/>
      </c>
      <c r="AG9" s="187" t="s">
        <v>3613</v>
      </c>
    </row>
    <row r="10" spans="1:33" ht="18.75" customHeight="1">
      <c r="B10" s="194"/>
      <c r="C10" s="189"/>
      <c r="D10" s="368" t="str">
        <f ca="1">"4- " &amp; 'GPlan-Translations'!C31 &amp; ":"</f>
        <v>4- Ano:</v>
      </c>
      <c r="E10" s="611">
        <v>2017</v>
      </c>
      <c r="F10" s="189"/>
      <c r="G10" s="189"/>
      <c r="H10" s="189"/>
      <c r="I10" s="189"/>
      <c r="K10" s="189"/>
      <c r="L10" s="189"/>
      <c r="M10" s="189"/>
      <c r="O10" s="497" t="str">
        <f ca="1">HYPERLINK(T24&amp;"calendar.xml","calendar.xml")</f>
        <v>calendar.xml</v>
      </c>
      <c r="P10" s="195"/>
      <c r="Q10" s="194"/>
      <c r="S10" s="485">
        <f>E10</f>
        <v>2017</v>
      </c>
      <c r="T10" s="477">
        <v>792</v>
      </c>
      <c r="U10" s="478" t="s">
        <v>4523</v>
      </c>
      <c r="V10" s="484">
        <v>10</v>
      </c>
      <c r="Y10" s="487" t="str">
        <f ca="1">'GPlan-Translations'!C36</f>
        <v>Atualizar</v>
      </c>
      <c r="Z10" s="198">
        <v>0</v>
      </c>
      <c r="AB10" s="365"/>
      <c r="AC10" s="365"/>
      <c r="AE10" s="187" t="s">
        <v>3645</v>
      </c>
      <c r="AF10" s="187" t="str">
        <f t="shared" si="0"/>
        <v/>
      </c>
      <c r="AG10" s="187" t="s">
        <v>3615</v>
      </c>
    </row>
    <row r="11" spans="1:33" ht="7.5" customHeight="1">
      <c r="B11" s="542"/>
      <c r="C11" s="189"/>
      <c r="D11" s="189"/>
      <c r="E11" s="296"/>
      <c r="F11" s="296"/>
      <c r="G11" s="296"/>
      <c r="H11" s="296"/>
      <c r="I11" s="189"/>
      <c r="K11" s="189"/>
      <c r="L11" s="189"/>
      <c r="M11" s="543"/>
      <c r="N11" s="189"/>
      <c r="O11" s="189"/>
      <c r="P11" s="195"/>
      <c r="Q11" s="542"/>
      <c r="S11" s="493"/>
      <c r="T11" s="551">
        <f>T9+T10-1</f>
        <v>43496</v>
      </c>
      <c r="U11" s="478" t="s">
        <v>4524</v>
      </c>
      <c r="V11" s="484">
        <v>11</v>
      </c>
      <c r="W11" s="560">
        <f>Enddate()</f>
        <v>43496</v>
      </c>
      <c r="AB11" s="365"/>
      <c r="AC11" s="365"/>
      <c r="AE11" s="187" t="s">
        <v>3646</v>
      </c>
      <c r="AF11" s="187" t="str">
        <f t="shared" si="0"/>
        <v/>
      </c>
      <c r="AG11" s="187" t="s">
        <v>3614</v>
      </c>
    </row>
    <row r="12" spans="1:33" ht="7.5" customHeight="1">
      <c r="B12" s="549"/>
      <c r="C12" s="606"/>
      <c r="D12" s="606"/>
      <c r="E12" s="192"/>
      <c r="F12" s="192"/>
      <c r="G12" s="192"/>
      <c r="H12" s="192"/>
      <c r="I12" s="192"/>
      <c r="J12" s="192"/>
      <c r="K12" s="192"/>
      <c r="L12" s="192"/>
      <c r="M12" s="192"/>
      <c r="N12" s="192"/>
      <c r="O12" s="607"/>
      <c r="P12" s="608"/>
      <c r="Q12" s="194"/>
      <c r="T12" s="495" t="s">
        <v>5096</v>
      </c>
      <c r="U12" s="478" t="s">
        <v>4520</v>
      </c>
      <c r="V12" s="484">
        <v>12</v>
      </c>
      <c r="W12" s="292" t="s">
        <v>417</v>
      </c>
      <c r="AB12" s="365"/>
      <c r="AC12" s="365"/>
      <c r="AE12" s="187" t="s">
        <v>3647</v>
      </c>
      <c r="AF12" s="187" t="str">
        <f t="shared" si="0"/>
        <v/>
      </c>
      <c r="AG12" s="187" t="s">
        <v>3612</v>
      </c>
    </row>
    <row r="13" spans="1:33" ht="15" customHeight="1">
      <c r="B13" s="194"/>
      <c r="C13" s="546" t="str">
        <f ca="1">"6- " &amp; IF(NOT(T29), 'GPlan-Translations'!C44 &amp; ":",T30)</f>
        <v>6- Calendário atual calculado para:</v>
      </c>
      <c r="D13" s="189"/>
      <c r="E13" s="189"/>
      <c r="F13" s="189"/>
      <c r="H13" s="189"/>
      <c r="I13" s="546"/>
      <c r="K13" s="189"/>
      <c r="L13" s="189"/>
      <c r="M13" s="189"/>
      <c r="N13" s="189"/>
      <c r="O13" s="189"/>
      <c r="P13" s="609"/>
      <c r="Q13" s="194"/>
      <c r="T13" s="496" t="str">
        <f>IF(LEFT(T5,1)="-","south","north")</f>
        <v>south</v>
      </c>
      <c r="U13" s="478" t="s">
        <v>4525</v>
      </c>
      <c r="V13" s="484">
        <v>13</v>
      </c>
      <c r="W13" s="236">
        <v>1</v>
      </c>
      <c r="X13" s="535">
        <f>YEAR(T9)+1</f>
        <v>2017</v>
      </c>
      <c r="Y13" s="499">
        <f>DATE(X13,1,1)</f>
        <v>42736</v>
      </c>
      <c r="Z13" s="266">
        <f>Gyear(Y13)</f>
        <v>530</v>
      </c>
      <c r="AB13" s="365"/>
      <c r="AC13" s="365"/>
      <c r="AE13" s="187" t="s">
        <v>3648</v>
      </c>
      <c r="AF13" s="187" t="str">
        <f t="shared" si="0"/>
        <v/>
      </c>
      <c r="AG13" s="187" t="s">
        <v>3022</v>
      </c>
    </row>
    <row r="14" spans="1:33">
      <c r="B14" s="194"/>
      <c r="C14" s="629" t="str">
        <f ca="1">IF(NOT(T29),HYPERLINK(T24&amp;"calendar.htm",T15),HYPERLINK(T32,T31))</f>
        <v>Recife - Brazil - 2017</v>
      </c>
      <c r="D14" s="629"/>
      <c r="E14" s="629"/>
      <c r="F14" s="629"/>
      <c r="G14" s="629"/>
      <c r="H14" s="629"/>
      <c r="I14" s="629"/>
      <c r="J14" s="629"/>
      <c r="K14" s="629"/>
      <c r="L14" s="629"/>
      <c r="M14" s="629"/>
      <c r="N14" s="629"/>
      <c r="O14" s="629"/>
      <c r="P14" s="195"/>
      <c r="Q14" s="194"/>
      <c r="T14" s="483" t="s">
        <v>5404</v>
      </c>
      <c r="U14" s="478" t="s">
        <v>4526</v>
      </c>
      <c r="V14" s="484">
        <v>14</v>
      </c>
      <c r="W14" s="236">
        <v>2</v>
      </c>
      <c r="X14" s="535">
        <f>X13+1</f>
        <v>2018</v>
      </c>
      <c r="Y14" s="499">
        <f>DATE(X14,1,1)</f>
        <v>43101</v>
      </c>
      <c r="Z14" s="266">
        <f>Gyear(Y14)</f>
        <v>531</v>
      </c>
      <c r="AB14" s="365"/>
      <c r="AC14" s="365"/>
      <c r="AE14" s="187" t="s">
        <v>3649</v>
      </c>
      <c r="AF14" s="187" t="str">
        <f t="shared" si="0"/>
        <v/>
      </c>
      <c r="AG14" s="187" t="s">
        <v>3023</v>
      </c>
    </row>
    <row r="15" spans="1:33" ht="7.5" customHeight="1">
      <c r="B15" s="194"/>
      <c r="C15" s="189"/>
      <c r="D15" s="189"/>
      <c r="E15" s="189"/>
      <c r="F15" s="189"/>
      <c r="G15" s="189"/>
      <c r="H15" s="189"/>
      <c r="I15" s="189"/>
      <c r="K15" s="189"/>
      <c r="L15" s="189"/>
      <c r="M15" s="189"/>
      <c r="N15" s="189"/>
      <c r="O15" s="189"/>
      <c r="P15" s="195"/>
      <c r="Q15" s="194"/>
      <c r="S15" s="275" t="str">
        <f>H18</f>
        <v>PURNIMA</v>
      </c>
      <c r="T15" s="554" t="str">
        <f>T2 &amp; " - " &amp; T3  &amp; " - " &amp; X13</f>
        <v>Recife - Brazil - 2017</v>
      </c>
      <c r="U15" s="187" t="s">
        <v>4088</v>
      </c>
      <c r="V15" s="484">
        <v>15</v>
      </c>
      <c r="W15" s="293" t="s">
        <v>4205</v>
      </c>
      <c r="X15" s="490"/>
      <c r="Y15" s="491"/>
      <c r="Z15" s="359" t="str">
        <f>"Gaurabda " &amp; Z13 &amp; " / " &amp; RIGHT(Z14,3)</f>
        <v>Gaurabda 530 / 531</v>
      </c>
      <c r="AB15" s="365"/>
      <c r="AC15" s="365"/>
      <c r="AE15" s="187" t="s">
        <v>3650</v>
      </c>
      <c r="AF15" s="187" t="str">
        <f t="shared" si="0"/>
        <v/>
      </c>
      <c r="AG15" s="187" t="s">
        <v>3024</v>
      </c>
    </row>
    <row r="16" spans="1:33" ht="18.75" customHeight="1">
      <c r="B16" s="194"/>
      <c r="C16" s="189"/>
      <c r="D16" s="189"/>
      <c r="E16" s="189"/>
      <c r="F16" s="189"/>
      <c r="G16" s="368" t="str">
        <f ca="1">"7- " &amp; 'GPlan-Translations'!C33 &amp; ":"</f>
        <v>7- Nome da localidade na Capa:</v>
      </c>
      <c r="H16" s="632" t="s">
        <v>5094</v>
      </c>
      <c r="I16" s="633"/>
      <c r="J16" s="633"/>
      <c r="K16" s="633"/>
      <c r="L16" s="634"/>
      <c r="M16" s="189"/>
      <c r="N16" s="189"/>
      <c r="O16" s="540"/>
      <c r="P16" s="541"/>
      <c r="Q16" s="194"/>
      <c r="T16" s="554" t="str">
        <f>"GPlan-" &amp; X13 &amp; "-" &amp; SUBSTITUTE(T2," ","_")</f>
        <v>GPlan-2017-Recife</v>
      </c>
      <c r="V16" s="484">
        <v>16</v>
      </c>
      <c r="AB16" s="365"/>
      <c r="AC16" s="365"/>
      <c r="AE16" s="187" t="s">
        <v>3651</v>
      </c>
      <c r="AF16" s="187" t="str">
        <f t="shared" si="0"/>
        <v/>
      </c>
      <c r="AG16" s="187" t="s">
        <v>3025</v>
      </c>
    </row>
    <row r="17" spans="1:33" ht="7.5" customHeight="1">
      <c r="B17" s="194"/>
      <c r="C17" s="189"/>
      <c r="D17" s="189"/>
      <c r="E17" s="189"/>
      <c r="F17" s="189"/>
      <c r="G17" s="189"/>
      <c r="H17" s="189"/>
      <c r="I17" s="189"/>
      <c r="K17" s="189"/>
      <c r="L17" s="189"/>
      <c r="M17" s="189"/>
      <c r="N17" s="189"/>
      <c r="O17" s="189"/>
      <c r="P17" s="195"/>
      <c r="Q17" s="194"/>
      <c r="S17" s="509" t="str">
        <f>CHAR(10)</f>
        <v xml:space="preserve">
</v>
      </c>
      <c r="T17" s="508" t="s">
        <v>4529</v>
      </c>
      <c r="U17" s="187" t="s">
        <v>4527</v>
      </c>
      <c r="X17" s="187" t="s">
        <v>4204</v>
      </c>
      <c r="AB17" s="365"/>
      <c r="AC17" s="365"/>
      <c r="AE17" s="187" t="s">
        <v>3652</v>
      </c>
      <c r="AF17" s="187" t="str">
        <f t="shared" si="0"/>
        <v/>
      </c>
      <c r="AG17" s="187" t="s">
        <v>3026</v>
      </c>
    </row>
    <row r="18" spans="1:33" ht="18.75" customHeight="1">
      <c r="B18" s="194"/>
      <c r="C18" s="189"/>
      <c r="D18" s="189"/>
      <c r="E18" s="189"/>
      <c r="F18" s="189"/>
      <c r="G18" s="368" t="str">
        <f ca="1">"8- " &amp; 'GPlan-Translations'!C62 &amp; ":"</f>
        <v>8- Sistema Caturmasya:</v>
      </c>
      <c r="H18" s="635" t="s">
        <v>852</v>
      </c>
      <c r="I18" s="636"/>
      <c r="J18" s="636"/>
      <c r="K18" s="636"/>
      <c r="L18" s="637"/>
      <c r="M18" s="189"/>
      <c r="N18" s="189"/>
      <c r="O18" s="540"/>
      <c r="P18" s="541"/>
      <c r="Q18" s="194"/>
      <c r="S18" s="530">
        <v>1</v>
      </c>
      <c r="T18" s="529" t="s">
        <v>4210</v>
      </c>
      <c r="X18" s="275" t="s">
        <v>3661</v>
      </c>
      <c r="AB18" s="365"/>
      <c r="AC18" s="365"/>
      <c r="AE18" s="187" t="s">
        <v>3653</v>
      </c>
      <c r="AF18" s="187" t="str">
        <f t="shared" si="0"/>
        <v/>
      </c>
      <c r="AG18" s="187" t="s">
        <v>3027</v>
      </c>
    </row>
    <row r="19" spans="1:33" ht="7.5" customHeight="1">
      <c r="B19" s="194"/>
      <c r="C19" s="189"/>
      <c r="D19" s="189"/>
      <c r="E19" s="189"/>
      <c r="F19" s="189"/>
      <c r="G19" s="189"/>
      <c r="H19" s="189"/>
      <c r="I19" s="189"/>
      <c r="K19" s="189"/>
      <c r="L19" s="320"/>
      <c r="M19" s="189"/>
      <c r="N19" s="189"/>
      <c r="O19" s="189"/>
      <c r="P19" s="195"/>
      <c r="Q19" s="194"/>
      <c r="S19" s="302" t="s">
        <v>1018</v>
      </c>
      <c r="X19" s="275" t="s">
        <v>3478</v>
      </c>
      <c r="AB19" s="365"/>
      <c r="AC19" s="365"/>
      <c r="AE19" s="187" t="s">
        <v>3654</v>
      </c>
      <c r="AF19" s="187" t="str">
        <f t="shared" si="0"/>
        <v/>
      </c>
      <c r="AG19" s="187" t="s">
        <v>3028</v>
      </c>
    </row>
    <row r="20" spans="1:33" ht="18.75" customHeight="1">
      <c r="B20" s="194"/>
      <c r="D20" s="189"/>
      <c r="E20" s="189"/>
      <c r="F20" s="189"/>
      <c r="G20" s="189"/>
      <c r="H20" s="189"/>
      <c r="I20" s="189"/>
      <c r="K20" s="368" t="str">
        <f ca="1">"9- " &amp; 'GPlan-Translations'!C71 &amp; ":"</f>
        <v>9- Hora Inicial (na agenda semanal):</v>
      </c>
      <c r="L20" s="545">
        <v>4</v>
      </c>
      <c r="M20" s="189"/>
      <c r="N20" s="189"/>
      <c r="O20" s="540"/>
      <c r="P20" s="541"/>
      <c r="Q20" s="194"/>
      <c r="S20" s="555">
        <v>3</v>
      </c>
      <c r="T20" s="287" t="str">
        <f ca="1">'GPlan-Translations'!D1</f>
        <v>Português</v>
      </c>
      <c r="U20" s="287" t="str">
        <f ca="1">'GPlan-Translations'!C6</f>
        <v>ISO-8859-1</v>
      </c>
      <c r="AB20" s="365"/>
      <c r="AC20" s="365"/>
      <c r="AE20" s="187" t="s">
        <v>3655</v>
      </c>
      <c r="AF20" s="187" t="str">
        <f t="shared" si="0"/>
        <v/>
      </c>
      <c r="AG20" s="187" t="s">
        <v>3029</v>
      </c>
    </row>
    <row r="21" spans="1:33" ht="7.5" customHeight="1">
      <c r="B21" s="194"/>
      <c r="C21" s="189"/>
      <c r="D21" s="189"/>
      <c r="E21" s="189"/>
      <c r="F21" s="189"/>
      <c r="G21" s="189"/>
      <c r="H21" s="189"/>
      <c r="I21" s="189"/>
      <c r="K21" s="189"/>
      <c r="L21" s="189"/>
      <c r="M21" s="189"/>
      <c r="N21" s="189"/>
      <c r="O21" s="189"/>
      <c r="P21" s="195"/>
      <c r="Q21" s="194"/>
      <c r="U21" s="190"/>
      <c r="X21" s="236">
        <f ca="1">SEARCH("[",Z25,1)</f>
        <v>41</v>
      </c>
      <c r="Y21" s="236">
        <f ca="1">SEARCH("]",Z25,X21)</f>
        <v>52</v>
      </c>
      <c r="Z21" s="561">
        <f ca="1">LEN(Z25)</f>
        <v>57</v>
      </c>
      <c r="AB21" s="365"/>
      <c r="AC21" s="365"/>
      <c r="AE21" s="187" t="s">
        <v>3656</v>
      </c>
      <c r="AF21" s="187" t="str">
        <f t="shared" si="0"/>
        <v/>
      </c>
      <c r="AG21" s="187" t="s">
        <v>3030</v>
      </c>
    </row>
    <row r="22" spans="1:33" ht="13.5" customHeight="1">
      <c r="B22" s="544"/>
      <c r="C22" s="189"/>
      <c r="D22" s="189"/>
      <c r="E22" s="189"/>
      <c r="F22" s="189"/>
      <c r="G22" s="368" t="str">
        <f ca="1">"10- " &amp; 'GPlan-Translations'!C34 &amp; ":"</f>
        <v>10- Editar:</v>
      </c>
      <c r="H22" s="547" t="str">
        <f ca="1">HYPERLINK(AA55,'GPlan-Translations'!C38)</f>
        <v>Feriados</v>
      </c>
      <c r="J22" s="539"/>
      <c r="K22" s="539"/>
      <c r="L22" s="539"/>
      <c r="M22" s="189"/>
      <c r="N22" s="189"/>
      <c r="O22" s="189"/>
      <c r="P22" s="195"/>
      <c r="Q22" s="194"/>
      <c r="S22" s="235" t="s">
        <v>1038</v>
      </c>
      <c r="T22" s="235" t="s">
        <v>1039</v>
      </c>
      <c r="U22" s="187" t="e">
        <f ca="1">OFFSET(AG1,S49,0,S50,1)</f>
        <v>#VALUE!</v>
      </c>
      <c r="V22" s="532"/>
      <c r="X22" s="236">
        <f ca="1">SEARCH("Documents",Z25,1)</f>
        <v>17</v>
      </c>
      <c r="Y22" s="236">
        <f ca="1">X22+ 9</f>
        <v>26</v>
      </c>
      <c r="Z22" s="561">
        <f ca="1">LEN(T23)</f>
        <v>26</v>
      </c>
      <c r="AB22" s="365"/>
      <c r="AC22" s="365"/>
      <c r="AE22" s="187" t="s">
        <v>3657</v>
      </c>
      <c r="AF22" s="187" t="str">
        <f t="shared" si="0"/>
        <v/>
      </c>
      <c r="AG22" s="187" t="s">
        <v>3575</v>
      </c>
    </row>
    <row r="23" spans="1:33" ht="7.5" customHeight="1">
      <c r="B23" s="194"/>
      <c r="C23" s="189"/>
      <c r="D23" s="189"/>
      <c r="E23" s="189"/>
      <c r="F23" s="189"/>
      <c r="G23" s="189"/>
      <c r="H23" s="189"/>
      <c r="I23" s="189"/>
      <c r="K23" s="189"/>
      <c r="L23" s="189"/>
      <c r="M23" s="189"/>
      <c r="N23" s="189"/>
      <c r="O23" s="189"/>
      <c r="P23" s="195"/>
      <c r="Q23" s="194"/>
      <c r="S23" s="510" t="str">
        <f ca="1">HYPERLINK(T23,"Documents")</f>
        <v>Documents</v>
      </c>
      <c r="T23" s="559" t="str">
        <f ca="1">LEFT(Z25,Y22)</f>
        <v>C:\Users\gopala\Documents\</v>
      </c>
      <c r="X23" s="490"/>
      <c r="Y23" s="491"/>
      <c r="Z23" s="524" t="str">
        <f ca="1">MID(Z25,X21,Z21-X21+1)</f>
        <v>[GPlan.xlsm]Index</v>
      </c>
      <c r="AB23" s="365"/>
      <c r="AC23" s="365"/>
      <c r="AE23" s="187" t="s">
        <v>3658</v>
      </c>
      <c r="AF23" s="187" t="str">
        <f t="shared" si="0"/>
        <v/>
      </c>
      <c r="AG23" s="187" t="s">
        <v>3633</v>
      </c>
    </row>
    <row r="24" spans="1:33">
      <c r="B24" s="550"/>
      <c r="C24" s="189"/>
      <c r="D24" s="598"/>
      <c r="I24" s="189"/>
      <c r="J24" s="319" t="s">
        <v>4250</v>
      </c>
      <c r="K24" s="630" t="str">
        <f ca="1">IF(CheckFont(J24),Y9,Y10)</f>
        <v>Pronto</v>
      </c>
      <c r="L24" s="631"/>
      <c r="M24" s="189"/>
      <c r="N24" s="189"/>
      <c r="O24" s="189"/>
      <c r="P24" s="195"/>
      <c r="Q24" s="550"/>
      <c r="S24" s="510" t="str">
        <f ca="1">HYPERLINK(T24,"Folder")</f>
        <v>Folder</v>
      </c>
      <c r="T24" s="414" t="str">
        <f ca="1">SUBSTITUTE(Z25,Z23,"",1)</f>
        <v>C:\Users\gopala\Documents\GPlan\gplan17\</v>
      </c>
      <c r="U24" s="190"/>
      <c r="AB24" s="365"/>
      <c r="AC24" s="365"/>
      <c r="AE24" s="187" t="s">
        <v>3659</v>
      </c>
      <c r="AF24" s="187" t="str">
        <f t="shared" si="0"/>
        <v/>
      </c>
      <c r="AG24" s="187" t="s">
        <v>3634</v>
      </c>
    </row>
    <row r="25" spans="1:33">
      <c r="A25" s="365"/>
      <c r="B25" s="194"/>
      <c r="C25" s="189"/>
      <c r="D25" s="598"/>
      <c r="E25" s="189"/>
      <c r="F25" s="189"/>
      <c r="G25" s="189"/>
      <c r="H25" s="189"/>
      <c r="I25" s="189"/>
      <c r="J25" s="319" t="s">
        <v>4249</v>
      </c>
      <c r="K25" s="630" t="str">
        <f ca="1">IF(CheckFont(J25),Y9,Y10)</f>
        <v>Pronto</v>
      </c>
      <c r="L25" s="631"/>
      <c r="P25" s="195"/>
      <c r="Q25" s="194"/>
      <c r="S25" s="525" t="s">
        <v>4530</v>
      </c>
      <c r="T25" s="511" t="str">
        <f ca="1">MID(Z25,X21+1,Y21-X21-1)</f>
        <v>GPlan.xlsm</v>
      </c>
      <c r="W25" s="187" t="s">
        <v>537</v>
      </c>
      <c r="X25" s="490"/>
      <c r="Y25" s="491"/>
      <c r="Z25" s="523" t="str">
        <f ca="1">CELL("nome.arquivo",Z25)</f>
        <v>C:\Users\gopala\Documents\GPlan\gplan17\[GPlan.xlsm]Index</v>
      </c>
      <c r="AB25" s="365"/>
      <c r="AC25" s="365"/>
      <c r="AE25" s="187" t="s">
        <v>3660</v>
      </c>
      <c r="AF25" s="187" t="str">
        <f t="shared" si="0"/>
        <v/>
      </c>
      <c r="AG25" s="187" t="s">
        <v>3635</v>
      </c>
    </row>
    <row r="26" spans="1:33" ht="7.5" customHeight="1">
      <c r="B26" s="196"/>
      <c r="C26" s="197"/>
      <c r="D26" s="197"/>
      <c r="E26" s="197"/>
      <c r="F26" s="197"/>
      <c r="G26" s="197"/>
      <c r="H26" s="197"/>
      <c r="I26" s="197"/>
      <c r="J26" s="197"/>
      <c r="K26" s="197"/>
      <c r="L26" s="197"/>
      <c r="M26" s="197"/>
      <c r="N26" s="197"/>
      <c r="O26" s="197"/>
      <c r="P26" s="198"/>
      <c r="Q26" s="194"/>
      <c r="S26" s="525" t="s">
        <v>954</v>
      </c>
      <c r="T26" s="488" t="e">
        <f ca="1">MID(T25,X26+1,Z26-X26-1)</f>
        <v>#VALUE!</v>
      </c>
      <c r="X26" s="236" t="e">
        <f ca="1">SEARCH("-",T25,1)</f>
        <v>#VALUE!</v>
      </c>
      <c r="Y26" s="236">
        <f ca="1">LEN(T25)</f>
        <v>10</v>
      </c>
      <c r="Z26" s="236">
        <f ca="1">SEARCH(".",T25,Y26-4)</f>
        <v>6</v>
      </c>
      <c r="AB26" s="365"/>
      <c r="AC26" s="365"/>
      <c r="AE26" s="187" t="s">
        <v>3661</v>
      </c>
      <c r="AF26" s="187" t="str">
        <f t="shared" si="0"/>
        <v/>
      </c>
      <c r="AG26" s="187" t="s">
        <v>3599</v>
      </c>
    </row>
    <row r="27" spans="1:33" ht="7.5" customHeight="1">
      <c r="S27" s="526" t="s">
        <v>4531</v>
      </c>
      <c r="T27" s="489" t="str">
        <f ca="1">T24&amp;T25</f>
        <v>C:\Users\gopala\Documents\GPlan\gplan17\GPlan.xlsm</v>
      </c>
      <c r="AB27" s="365"/>
      <c r="AC27" s="365"/>
      <c r="AE27" s="187" t="s">
        <v>3662</v>
      </c>
      <c r="AF27" s="187" t="str">
        <f t="shared" si="0"/>
        <v/>
      </c>
      <c r="AG27" s="187" t="s">
        <v>3600</v>
      </c>
    </row>
    <row r="28" spans="1:33">
      <c r="S28" s="275" t="s">
        <v>5407</v>
      </c>
      <c r="T28" s="275" t="str">
        <f ca="1">T24 &amp; "gcal.exe"</f>
        <v>C:\Users\gopala\Documents\GPlan\gplan17\gcal.exe</v>
      </c>
      <c r="AB28" s="365"/>
      <c r="AC28" s="365"/>
      <c r="AE28" s="187" t="s">
        <v>3663</v>
      </c>
      <c r="AF28" s="187" t="str">
        <f t="shared" si="0"/>
        <v/>
      </c>
      <c r="AG28" s="187" t="s">
        <v>3601</v>
      </c>
    </row>
    <row r="29" spans="1:33">
      <c r="S29" s="275" t="s">
        <v>5408</v>
      </c>
      <c r="T29" s="530"/>
      <c r="AB29" s="365"/>
      <c r="AC29" s="365"/>
      <c r="AE29" s="187" t="s">
        <v>3664</v>
      </c>
      <c r="AF29" s="187" t="str">
        <f t="shared" si="0"/>
        <v/>
      </c>
      <c r="AG29" s="187" t="s">
        <v>3602</v>
      </c>
    </row>
    <row r="30" spans="1:33">
      <c r="R30" s="187" t="s">
        <v>537</v>
      </c>
      <c r="S30" s="187" t="s">
        <v>5409</v>
      </c>
      <c r="T30" s="187" t="str">
        <f ca="1">GplanTranslation("sys_cstrLoadError")</f>
        <v>Ocorreu um erro:</v>
      </c>
      <c r="W30" s="187" t="s">
        <v>1277</v>
      </c>
      <c r="X30" s="187" t="s">
        <v>1278</v>
      </c>
      <c r="Y30" s="187" t="s">
        <v>1281</v>
      </c>
      <c r="Z30" s="187" t="s">
        <v>1279</v>
      </c>
      <c r="AB30" s="365"/>
      <c r="AC30" s="365"/>
      <c r="AE30" s="187" t="s">
        <v>3665</v>
      </c>
      <c r="AF30" s="187" t="str">
        <f t="shared" si="0"/>
        <v/>
      </c>
      <c r="AG30" s="187" t="s">
        <v>3603</v>
      </c>
    </row>
    <row r="31" spans="1:33">
      <c r="R31" s="187" t="s">
        <v>537</v>
      </c>
      <c r="S31" s="187" t="s">
        <v>5410</v>
      </c>
      <c r="T31" s="187" t="str">
        <f ca="1">GplanTranslation("sys_cstrGCalDownload")</f>
        <v>Baixe o Gcal 11, descompacte, e copie para a mesma pasta deste arquivo.</v>
      </c>
      <c r="W31" s="305" t="s">
        <v>4833</v>
      </c>
      <c r="X31" s="275" t="str">
        <f ca="1">"5- " &amp; 'GPlan-Translations'!C55</f>
        <v>5- Calcular</v>
      </c>
      <c r="Y31" s="275" t="str">
        <f ca="1">'GPlan-Translations'!C66</f>
        <v>Atualização Automática dos Dados do Calendário</v>
      </c>
      <c r="Z31" s="275" t="str">
        <f ca="1">'GPlan-Translations'!C65</f>
        <v>Calcular os dados do calendário para a seguinte localidade e ano?</v>
      </c>
      <c r="AB31" s="365"/>
      <c r="AC31" s="365"/>
      <c r="AE31" s="187" t="s">
        <v>3666</v>
      </c>
      <c r="AF31" s="187" t="str">
        <f t="shared" si="0"/>
        <v/>
      </c>
      <c r="AG31" s="187" t="s">
        <v>3604</v>
      </c>
    </row>
    <row r="32" spans="1:33">
      <c r="R32" s="187" t="s">
        <v>537</v>
      </c>
      <c r="S32" s="187" t="s">
        <v>5411</v>
      </c>
      <c r="T32" s="187" t="str">
        <f ca="1">GplanTranslation("sys_cstrGCalWebsite")</f>
        <v>http://www.krishnadays.com</v>
      </c>
      <c r="W32" s="305" t="s">
        <v>1272</v>
      </c>
      <c r="X32" s="275" t="str">
        <f ca="1">"11- " &amp;  'GPlan-Translations'!C56</f>
        <v>11- Instalar Fontes</v>
      </c>
      <c r="Y32" s="275"/>
      <c r="Z32" s="275"/>
      <c r="AB32" s="365"/>
      <c r="AC32" s="365"/>
      <c r="AE32" s="187" t="s">
        <v>3667</v>
      </c>
      <c r="AF32" s="187" t="str">
        <f t="shared" si="0"/>
        <v/>
      </c>
      <c r="AG32" s="187" t="s">
        <v>3616</v>
      </c>
    </row>
    <row r="33" spans="19:33">
      <c r="W33" s="305" t="s">
        <v>1275</v>
      </c>
      <c r="X33" s="275" t="str">
        <f ca="1">"12- " &amp; 'GPlan-Translations'!C57</f>
        <v>12- Gerar</v>
      </c>
      <c r="Y33" s="275" t="str">
        <f ca="1">'GPlan-Translations'!C64</f>
        <v>Geração Automática da Agenda</v>
      </c>
      <c r="Z33" s="275" t="str">
        <f ca="1">'GPlan-Translations'!C63</f>
        <v>A geração automática da Agenda pode levar alguns minutos. O processo pode ser interrompido a qualquer momento, ao manter pressionada a tecla 'Esc'.</v>
      </c>
      <c r="AB33" s="365"/>
      <c r="AC33" s="365"/>
      <c r="AE33" s="187" t="s">
        <v>3668</v>
      </c>
      <c r="AF33" s="187" t="str">
        <f t="shared" ref="AF33:AF64" si="1">IF(ISERROR(SEARCH($S$47,AG33)),"",$S$48)</f>
        <v/>
      </c>
      <c r="AG33" s="187" t="s">
        <v>3576</v>
      </c>
    </row>
    <row r="34" spans="19:33">
      <c r="S34" s="187" t="s">
        <v>4832</v>
      </c>
      <c r="T34" s="212"/>
      <c r="W34" s="305" t="s">
        <v>1276</v>
      </c>
      <c r="X34" s="275" t="str">
        <f ca="1">'GPlan-Translations'!C58</f>
        <v>Gerar a agenda GPlan em formato pdf?</v>
      </c>
      <c r="Y34" s="189"/>
      <c r="Z34" s="195"/>
      <c r="AA34" s="187" t="s">
        <v>537</v>
      </c>
      <c r="AB34" s="365"/>
      <c r="AC34" s="365"/>
      <c r="AE34" s="187" t="s">
        <v>3669</v>
      </c>
      <c r="AF34" s="187" t="str">
        <f t="shared" si="1"/>
        <v/>
      </c>
      <c r="AG34" s="187" t="s">
        <v>3588</v>
      </c>
    </row>
    <row r="35" spans="19:33">
      <c r="S35" s="350" t="s">
        <v>851</v>
      </c>
      <c r="T35" s="304"/>
      <c r="W35" s="305" t="s">
        <v>1282</v>
      </c>
      <c r="X35" s="275" t="str">
        <f ca="1">'GPlan-Translations'!C59</f>
        <v>Em caso afirmativo, não mexa no mouse ou no teclado até o Gcal concluir o cálculo e fechar.</v>
      </c>
      <c r="Y35" s="189"/>
      <c r="Z35" s="195"/>
      <c r="AB35" s="365"/>
      <c r="AC35" s="365"/>
      <c r="AE35" s="187" t="s">
        <v>3670</v>
      </c>
      <c r="AF35" s="187" t="str">
        <f t="shared" si="1"/>
        <v/>
      </c>
      <c r="AG35" s="187" t="s">
        <v>3577</v>
      </c>
    </row>
    <row r="36" spans="19:33">
      <c r="S36" s="350" t="s">
        <v>852</v>
      </c>
      <c r="T36" s="304"/>
      <c r="AB36" s="365"/>
      <c r="AC36" s="365"/>
      <c r="AE36" s="187" t="s">
        <v>3671</v>
      </c>
      <c r="AF36" s="187" t="str">
        <f t="shared" si="1"/>
        <v/>
      </c>
      <c r="AG36" s="187" t="s">
        <v>3589</v>
      </c>
    </row>
    <row r="37" spans="19:33">
      <c r="S37" s="350" t="s">
        <v>853</v>
      </c>
      <c r="T37" s="304"/>
      <c r="AB37" s="365"/>
      <c r="AC37" s="365"/>
      <c r="AE37" s="187" t="s">
        <v>3672</v>
      </c>
      <c r="AF37" s="187" t="str">
        <f t="shared" si="1"/>
        <v/>
      </c>
      <c r="AG37" s="187" t="s">
        <v>3590</v>
      </c>
    </row>
    <row r="38" spans="19:33">
      <c r="S38" s="237"/>
      <c r="T38" s="304"/>
      <c r="U38" s="211"/>
      <c r="W38" s="349" t="s">
        <v>32</v>
      </c>
      <c r="X38" s="212"/>
      <c r="Y38" s="302" t="s">
        <v>34</v>
      </c>
      <c r="Z38" s="191"/>
      <c r="AB38" s="365"/>
      <c r="AC38" s="365"/>
      <c r="AE38" s="187" t="s">
        <v>3673</v>
      </c>
      <c r="AF38" s="187" t="str">
        <f t="shared" si="1"/>
        <v/>
      </c>
      <c r="AG38" s="187" t="s">
        <v>3591</v>
      </c>
    </row>
    <row r="39" spans="19:33">
      <c r="S39" s="231"/>
      <c r="T39" s="304"/>
      <c r="U39" s="293" t="s">
        <v>4210</v>
      </c>
      <c r="W39" s="17">
        <v>1</v>
      </c>
      <c r="X39" s="17" t="s">
        <v>477</v>
      </c>
      <c r="Y39" s="17">
        <v>1</v>
      </c>
      <c r="Z39" s="17" t="s">
        <v>478</v>
      </c>
      <c r="AB39" s="365"/>
      <c r="AC39" s="365"/>
      <c r="AE39" s="187" t="s">
        <v>3674</v>
      </c>
      <c r="AF39" s="187" t="str">
        <f t="shared" si="1"/>
        <v/>
      </c>
      <c r="AG39" s="187" t="s">
        <v>3592</v>
      </c>
    </row>
    <row r="40" spans="19:33">
      <c r="S40" s="231"/>
      <c r="T40" s="304"/>
      <c r="U40" s="364" t="s">
        <v>32</v>
      </c>
      <c r="V40" s="363" t="str">
        <f>VLOOKUP(S18,W39:X41,2,FALSE)</f>
        <v>A B C D</v>
      </c>
      <c r="W40" s="17">
        <v>2</v>
      </c>
      <c r="X40" s="17" t="s">
        <v>479</v>
      </c>
      <c r="Y40" s="17">
        <v>2</v>
      </c>
      <c r="Z40" s="17" t="s">
        <v>480</v>
      </c>
      <c r="AB40" s="365"/>
      <c r="AC40" s="365"/>
      <c r="AE40" s="187" t="s">
        <v>3675</v>
      </c>
      <c r="AF40" s="187" t="str">
        <f t="shared" si="1"/>
        <v/>
      </c>
      <c r="AG40" s="187" t="s">
        <v>3578</v>
      </c>
    </row>
    <row r="41" spans="19:33">
      <c r="S41" s="231"/>
      <c r="T41" s="304"/>
      <c r="U41" s="313" t="s">
        <v>34</v>
      </c>
      <c r="V41" s="360" t="str">
        <f>VLOOKUP(S18,Y39:Z41,2,FALSE)</f>
        <v>E F G H</v>
      </c>
      <c r="W41" s="17">
        <v>3</v>
      </c>
      <c r="X41" s="17" t="s">
        <v>481</v>
      </c>
      <c r="Y41" s="17">
        <v>3</v>
      </c>
      <c r="Z41" s="17" t="s">
        <v>476</v>
      </c>
      <c r="AB41" s="365"/>
      <c r="AC41" s="365"/>
      <c r="AE41" s="187" t="s">
        <v>3676</v>
      </c>
      <c r="AF41" s="187" t="str">
        <f t="shared" si="1"/>
        <v/>
      </c>
      <c r="AG41" s="187" t="s">
        <v>3579</v>
      </c>
    </row>
    <row r="42" spans="19:33">
      <c r="S42" s="237"/>
      <c r="T42" s="304"/>
      <c r="AB42" s="365"/>
      <c r="AC42" s="365"/>
      <c r="AE42" s="187" t="s">
        <v>3677</v>
      </c>
      <c r="AF42" s="187" t="str">
        <f t="shared" si="1"/>
        <v/>
      </c>
      <c r="AG42" s="187" t="s">
        <v>3580</v>
      </c>
    </row>
    <row r="43" spans="19:33">
      <c r="S43" s="187" t="s">
        <v>4863</v>
      </c>
      <c r="AB43" s="365"/>
      <c r="AC43" s="365"/>
      <c r="AE43" s="187" t="s">
        <v>3678</v>
      </c>
      <c r="AF43" s="187" t="str">
        <f t="shared" si="1"/>
        <v/>
      </c>
      <c r="AG43" s="187" t="s">
        <v>3593</v>
      </c>
    </row>
    <row r="44" spans="19:33">
      <c r="S44" s="275">
        <f>COUNTA(AG:AG)</f>
        <v>2387</v>
      </c>
      <c r="T44" s="484" t="s">
        <v>4864</v>
      </c>
      <c r="AB44" s="365"/>
      <c r="AC44" s="365"/>
      <c r="AE44" s="187" t="s">
        <v>3679</v>
      </c>
      <c r="AF44" s="187" t="str">
        <f t="shared" si="1"/>
        <v/>
      </c>
      <c r="AG44" s="187" t="s">
        <v>3594</v>
      </c>
    </row>
    <row r="45" spans="19:33">
      <c r="S45" s="275">
        <f>SEARCH("|",E6,1)</f>
        <v>3</v>
      </c>
      <c r="T45" s="484" t="s">
        <v>3848</v>
      </c>
      <c r="U45" s="211"/>
      <c r="V45" s="191"/>
      <c r="W45" s="212"/>
      <c r="X45" s="213"/>
      <c r="Y45" s="212"/>
      <c r="Z45" s="191"/>
      <c r="AB45" s="365"/>
      <c r="AC45" s="365"/>
      <c r="AE45" s="187" t="s">
        <v>3680</v>
      </c>
      <c r="AF45" s="187" t="str">
        <f t="shared" si="1"/>
        <v/>
      </c>
      <c r="AG45" s="187" t="s">
        <v>3595</v>
      </c>
    </row>
    <row r="46" spans="19:33">
      <c r="S46" s="275">
        <f>SEARCH("|",E6,S45+1)</f>
        <v>10</v>
      </c>
      <c r="T46" s="484" t="s">
        <v>3848</v>
      </c>
      <c r="AB46" s="365"/>
      <c r="AC46" s="365"/>
      <c r="AE46" s="187" t="s">
        <v>3681</v>
      </c>
      <c r="AF46" s="187" t="str">
        <f t="shared" si="1"/>
        <v/>
      </c>
      <c r="AG46" s="187" t="s">
        <v>3581</v>
      </c>
    </row>
    <row r="47" spans="19:33">
      <c r="S47" s="275" t="str">
        <f>MID(E6,S45,S46-S45+1)</f>
        <v>|Brazil|</v>
      </c>
      <c r="T47" s="484" t="s">
        <v>3849</v>
      </c>
      <c r="AB47" s="365"/>
      <c r="AC47" s="365"/>
      <c r="AE47" s="187" t="s">
        <v>3682</v>
      </c>
      <c r="AF47" s="187" t="str">
        <f t="shared" si="1"/>
        <v/>
      </c>
      <c r="AG47" s="187" t="s">
        <v>3582</v>
      </c>
    </row>
    <row r="48" spans="19:33">
      <c r="S48" s="275">
        <v>1</v>
      </c>
      <c r="T48" s="484" t="s">
        <v>4865</v>
      </c>
      <c r="AB48" s="365"/>
      <c r="AC48" s="365"/>
      <c r="AE48" s="187" t="s">
        <v>3683</v>
      </c>
      <c r="AF48" s="187" t="str">
        <f t="shared" si="1"/>
        <v/>
      </c>
      <c r="AG48" s="187" t="s">
        <v>3583</v>
      </c>
    </row>
    <row r="49" spans="19:33">
      <c r="S49" s="275">
        <f>IF(ISERROR(MATCH(S48,AF:AF,0)),0,MATCH(S48,AF:AF,0)-1)</f>
        <v>151</v>
      </c>
      <c r="T49" s="484" t="s">
        <v>4866</v>
      </c>
      <c r="AB49" s="365"/>
      <c r="AC49" s="365"/>
      <c r="AE49" s="187" t="s">
        <v>3684</v>
      </c>
      <c r="AF49" s="187" t="str">
        <f t="shared" si="1"/>
        <v/>
      </c>
      <c r="AG49" s="187" t="s">
        <v>3596</v>
      </c>
    </row>
    <row r="50" spans="19:33">
      <c r="S50" s="275">
        <f>IF(COUNTIF(AF:AF,S48)&lt;1,S44,COUNTIF(AF:AF,S48))</f>
        <v>117</v>
      </c>
      <c r="T50" s="484" t="s">
        <v>4867</v>
      </c>
      <c r="AB50" s="365"/>
      <c r="AC50" s="365"/>
      <c r="AE50" s="187" t="s">
        <v>3685</v>
      </c>
      <c r="AF50" s="187" t="str">
        <f t="shared" si="1"/>
        <v/>
      </c>
      <c r="AG50" s="187" t="s">
        <v>3584</v>
      </c>
    </row>
    <row r="51" spans="19:33">
      <c r="S51" s="305" t="e">
        <f ca="1">OFFSET(AG1,S49,0,S50,1)</f>
        <v>#VALUE!</v>
      </c>
      <c r="T51" s="484" t="s">
        <v>4868</v>
      </c>
      <c r="AB51" s="365"/>
      <c r="AC51" s="365"/>
      <c r="AE51" s="187" t="s">
        <v>3686</v>
      </c>
      <c r="AF51" s="187" t="str">
        <f t="shared" si="1"/>
        <v/>
      </c>
      <c r="AG51" s="187" t="s">
        <v>3585</v>
      </c>
    </row>
    <row r="52" spans="19:33">
      <c r="S52" s="275" t="str">
        <f ca="1">OFFSET(AE1,0,0,COUNTA(AE:AE),1)</f>
        <v>DK|Denmark|1</v>
      </c>
      <c r="T52" s="484" t="s">
        <v>4869</v>
      </c>
      <c r="AB52" s="365"/>
      <c r="AC52" s="365"/>
      <c r="AE52" s="187" t="s">
        <v>3687</v>
      </c>
      <c r="AF52" s="187" t="str">
        <f t="shared" si="1"/>
        <v/>
      </c>
      <c r="AG52" s="187" t="s">
        <v>3586</v>
      </c>
    </row>
    <row r="53" spans="19:33">
      <c r="S53" s="498" t="str">
        <f>"http://maps.google.com.br/maps?q=" &amp; S2 &amp; "-" &amp; S3 &amp; "&amp;bav=on.2,or.r_gc.r_pw.r_qf.,cf.osb&amp;biw=1138&amp;bih=553&amp;um=1&amp;ie=UTF-8&amp;sa=N&amp;tab=wl"</f>
        <v>http://maps.google.com.br/maps?q=Recife-Brazil&amp;bav=on.2,or.r_gc.r_pw.r_qf.,cf.osb&amp;biw=1138&amp;bih=553&amp;um=1&amp;ie=UTF-8&amp;sa=N&amp;tab=wl</v>
      </c>
      <c r="T53" s="484"/>
      <c r="AB53" s="365"/>
      <c r="AC53" s="365"/>
      <c r="AD53" s="300" t="s">
        <v>537</v>
      </c>
      <c r="AE53" s="187" t="s">
        <v>3688</v>
      </c>
      <c r="AF53" s="187" t="str">
        <f t="shared" si="1"/>
        <v/>
      </c>
      <c r="AG53" s="187" t="s">
        <v>3587</v>
      </c>
    </row>
    <row r="54" spans="19:33">
      <c r="AB54" s="365"/>
      <c r="AC54" s="365"/>
      <c r="AE54" s="187" t="s">
        <v>3689</v>
      </c>
      <c r="AF54" s="187" t="str">
        <f t="shared" si="1"/>
        <v/>
      </c>
      <c r="AG54" s="187" t="s">
        <v>3597</v>
      </c>
    </row>
    <row r="55" spans="19:33">
      <c r="U55" s="187" t="s">
        <v>537</v>
      </c>
      <c r="W55" s="305" t="str">
        <f ca="1">CELL("nome.arquivo",Holydays!A1)</f>
        <v>C:\Users\gopala\Documents\GPlan\gplan17\[GPlan.xlsm]Holydays</v>
      </c>
      <c r="X55" s="275">
        <f ca="1">SEARCH("]",W55)</f>
        <v>52</v>
      </c>
      <c r="Y55" s="275">
        <f ca="1">LEN(W55)</f>
        <v>60</v>
      </c>
      <c r="Z55" s="275" t="str">
        <f ca="1">RIGHT(W55,Y55-X55)</f>
        <v>Holydays</v>
      </c>
      <c r="AA55" s="275" t="str">
        <f ca="1">"["&amp;$T$25&amp;"]"&amp;"'"&amp;Z55&amp;"'!"&amp;"A1"</f>
        <v>[GPlan.xlsm]'Holydays'!A1</v>
      </c>
      <c r="AB55" s="365"/>
      <c r="AC55" s="365"/>
      <c r="AE55" s="187" t="s">
        <v>3690</v>
      </c>
      <c r="AF55" s="187" t="str">
        <f t="shared" si="1"/>
        <v/>
      </c>
      <c r="AG55" s="187" t="s">
        <v>3598</v>
      </c>
    </row>
    <row r="56" spans="19:33">
      <c r="U56" s="187" t="s">
        <v>537</v>
      </c>
      <c r="W56" s="305" t="str">
        <f ca="1">CELL("nome.arquivo",'Personal Data'!A1)</f>
        <v>C:\Users\gopala\Documents\GPlan\gplan17\[GPlan.xlsm]Personal Data</v>
      </c>
      <c r="X56" s="275">
        <f ca="1">SEARCH("]",W56)</f>
        <v>52</v>
      </c>
      <c r="Y56" s="275">
        <f ca="1">LEN(W56)</f>
        <v>65</v>
      </c>
      <c r="Z56" s="275" t="str">
        <f ca="1">RIGHT(W56,Y56-X56)</f>
        <v>Personal Data</v>
      </c>
      <c r="AA56" s="275" t="str">
        <f ca="1">"["&amp;$T$25&amp;"]"&amp;"'"&amp;Z56&amp;"'!"&amp;"A1"</f>
        <v>[GPlan.xlsm]'Personal Data'!A1</v>
      </c>
      <c r="AB56" s="365"/>
      <c r="AC56" s="365"/>
      <c r="AE56" s="187" t="s">
        <v>3691</v>
      </c>
      <c r="AF56" s="187" t="str">
        <f t="shared" si="1"/>
        <v/>
      </c>
      <c r="AG56" s="187" t="s">
        <v>3609</v>
      </c>
    </row>
    <row r="57" spans="19:33">
      <c r="AB57" s="365"/>
      <c r="AC57" s="365"/>
      <c r="AE57" s="187" t="s">
        <v>3692</v>
      </c>
      <c r="AF57" s="187" t="str">
        <f t="shared" si="1"/>
        <v/>
      </c>
      <c r="AG57" s="187" t="s">
        <v>3610</v>
      </c>
    </row>
    <row r="58" spans="19:33">
      <c r="AB58" s="365"/>
      <c r="AC58" s="365"/>
      <c r="AE58" s="187" t="s">
        <v>3693</v>
      </c>
      <c r="AF58" s="187" t="str">
        <f t="shared" si="1"/>
        <v/>
      </c>
      <c r="AG58" s="187" t="s">
        <v>3611</v>
      </c>
    </row>
    <row r="59" spans="19:33">
      <c r="AB59" s="365"/>
      <c r="AC59" s="365"/>
      <c r="AE59" s="187" t="s">
        <v>3694</v>
      </c>
      <c r="AF59" s="187" t="str">
        <f t="shared" si="1"/>
        <v/>
      </c>
      <c r="AG59" s="187" t="s">
        <v>3608</v>
      </c>
    </row>
    <row r="60" spans="19:33">
      <c r="AB60" s="365"/>
      <c r="AC60" s="365"/>
      <c r="AE60" s="187" t="s">
        <v>3695</v>
      </c>
      <c r="AF60" s="187" t="str">
        <f t="shared" si="1"/>
        <v/>
      </c>
      <c r="AG60" s="187" t="s">
        <v>3557</v>
      </c>
    </row>
    <row r="61" spans="19:33">
      <c r="AB61" s="365"/>
      <c r="AC61" s="365"/>
      <c r="AE61" s="187" t="s">
        <v>3696</v>
      </c>
      <c r="AF61" s="187" t="str">
        <f t="shared" si="1"/>
        <v/>
      </c>
      <c r="AG61" s="187" t="s">
        <v>3565</v>
      </c>
    </row>
    <row r="62" spans="19:33">
      <c r="AB62" s="365"/>
      <c r="AC62" s="365"/>
      <c r="AE62" s="187" t="s">
        <v>3697</v>
      </c>
      <c r="AF62" s="187" t="str">
        <f t="shared" si="1"/>
        <v/>
      </c>
      <c r="AG62" s="187" t="s">
        <v>3558</v>
      </c>
    </row>
    <row r="63" spans="19:33">
      <c r="AB63" s="365"/>
      <c r="AC63" s="365"/>
      <c r="AE63" s="187" t="s">
        <v>3698</v>
      </c>
      <c r="AF63" s="187" t="str">
        <f t="shared" si="1"/>
        <v/>
      </c>
      <c r="AG63" s="187" t="s">
        <v>3559</v>
      </c>
    </row>
    <row r="64" spans="19:33">
      <c r="AB64" s="365"/>
      <c r="AC64" s="365"/>
      <c r="AE64" s="187" t="s">
        <v>3699</v>
      </c>
      <c r="AF64" s="187" t="str">
        <f t="shared" si="1"/>
        <v/>
      </c>
      <c r="AG64" s="187" t="s">
        <v>3561</v>
      </c>
    </row>
    <row r="65" spans="20:33">
      <c r="T65" s="190"/>
      <c r="U65" s="190"/>
      <c r="V65" s="186"/>
      <c r="W65" s="185"/>
      <c r="AB65" s="365"/>
      <c r="AC65" s="365"/>
      <c r="AE65" s="187" t="s">
        <v>3700</v>
      </c>
      <c r="AF65" s="187" t="str">
        <f t="shared" ref="AF65" si="2">IF(ISERROR(SEARCH($S$47,AG65)),"",$S$48)</f>
        <v/>
      </c>
      <c r="AG65" s="187" t="s">
        <v>3563</v>
      </c>
    </row>
    <row r="66" spans="20:33">
      <c r="T66" s="190"/>
      <c r="U66" s="186"/>
      <c r="V66" s="185"/>
      <c r="W66" s="185"/>
      <c r="X66" s="185"/>
      <c r="AB66" s="365"/>
      <c r="AC66" s="365"/>
      <c r="AE66" s="187" t="s">
        <v>3701</v>
      </c>
      <c r="AF66" s="187" t="str">
        <f t="shared" ref="AF66:AF129" si="3">IF(ISERROR(SEARCH($S$47,AG66)),"",$S$48)</f>
        <v/>
      </c>
      <c r="AG66" s="187" t="s">
        <v>3562</v>
      </c>
    </row>
    <row r="67" spans="20:33">
      <c r="T67" s="190"/>
      <c r="U67" s="186"/>
      <c r="V67" s="185"/>
      <c r="W67" s="185"/>
      <c r="X67" s="185"/>
      <c r="AB67" s="365"/>
      <c r="AC67" s="365"/>
      <c r="AE67" s="187" t="s">
        <v>3702</v>
      </c>
      <c r="AF67" s="187" t="str">
        <f t="shared" si="3"/>
        <v/>
      </c>
      <c r="AG67" s="187" t="s">
        <v>3566</v>
      </c>
    </row>
    <row r="68" spans="20:33">
      <c r="T68" s="190"/>
      <c r="U68" s="186"/>
      <c r="V68" s="185"/>
      <c r="W68" s="185"/>
      <c r="X68" s="185"/>
      <c r="AB68" s="365"/>
      <c r="AC68" s="365"/>
      <c r="AE68" s="187" t="s">
        <v>3703</v>
      </c>
      <c r="AF68" s="187" t="str">
        <f t="shared" si="3"/>
        <v/>
      </c>
      <c r="AG68" s="187" t="s">
        <v>3567</v>
      </c>
    </row>
    <row r="69" spans="20:33">
      <c r="T69" s="190"/>
      <c r="U69" s="186"/>
      <c r="V69" s="185"/>
      <c r="W69" s="185"/>
      <c r="X69" s="185"/>
      <c r="AB69" s="365"/>
      <c r="AC69" s="365"/>
      <c r="AE69" s="187" t="s">
        <v>3704</v>
      </c>
      <c r="AF69" s="187" t="str">
        <f t="shared" si="3"/>
        <v/>
      </c>
      <c r="AG69" s="187" t="s">
        <v>3564</v>
      </c>
    </row>
    <row r="70" spans="20:33">
      <c r="T70" s="190"/>
      <c r="U70" s="186"/>
      <c r="V70" s="185"/>
      <c r="W70" s="185"/>
      <c r="X70" s="185"/>
      <c r="AB70" s="365"/>
      <c r="AC70" s="365"/>
      <c r="AE70" s="187" t="s">
        <v>3705</v>
      </c>
      <c r="AF70" s="187" t="str">
        <f t="shared" si="3"/>
        <v/>
      </c>
      <c r="AG70" s="187" t="s">
        <v>3568</v>
      </c>
    </row>
    <row r="71" spans="20:33">
      <c r="T71" s="190"/>
      <c r="U71" s="186"/>
      <c r="V71" s="185"/>
      <c r="W71" s="185"/>
      <c r="X71" s="185"/>
      <c r="AB71" s="365"/>
      <c r="AC71" s="365"/>
      <c r="AE71" s="187" t="s">
        <v>3706</v>
      </c>
      <c r="AF71" s="187" t="str">
        <f t="shared" si="3"/>
        <v/>
      </c>
      <c r="AG71" s="187" t="s">
        <v>3569</v>
      </c>
    </row>
    <row r="72" spans="20:33">
      <c r="T72" s="190"/>
      <c r="U72" s="186"/>
      <c r="V72" s="185"/>
      <c r="W72" s="185"/>
      <c r="X72" s="185"/>
      <c r="AB72" s="365"/>
      <c r="AC72" s="365"/>
      <c r="AE72" s="187" t="s">
        <v>3707</v>
      </c>
      <c r="AF72" s="187" t="str">
        <f t="shared" si="3"/>
        <v/>
      </c>
      <c r="AG72" s="187" t="s">
        <v>3560</v>
      </c>
    </row>
    <row r="73" spans="20:33">
      <c r="AB73" s="365"/>
      <c r="AC73" s="365"/>
      <c r="AE73" s="187" t="s">
        <v>3708</v>
      </c>
      <c r="AF73" s="187" t="str">
        <f t="shared" si="3"/>
        <v/>
      </c>
      <c r="AG73" s="187" t="s">
        <v>3570</v>
      </c>
    </row>
    <row r="74" spans="20:33">
      <c r="AB74" s="365"/>
      <c r="AC74" s="365"/>
      <c r="AE74" s="187" t="s">
        <v>3709</v>
      </c>
      <c r="AF74" s="187" t="str">
        <f t="shared" si="3"/>
        <v/>
      </c>
      <c r="AG74" s="187" t="s">
        <v>3574</v>
      </c>
    </row>
    <row r="75" spans="20:33">
      <c r="AB75" s="365"/>
      <c r="AC75" s="365"/>
      <c r="AE75" s="187" t="s">
        <v>3710</v>
      </c>
      <c r="AF75" s="187" t="str">
        <f t="shared" si="3"/>
        <v/>
      </c>
      <c r="AG75" s="187" t="s">
        <v>3571</v>
      </c>
    </row>
    <row r="76" spans="20:33">
      <c r="AB76" s="365"/>
      <c r="AC76" s="365"/>
      <c r="AE76" s="187" t="s">
        <v>3711</v>
      </c>
      <c r="AF76" s="187" t="str">
        <f t="shared" si="3"/>
        <v/>
      </c>
      <c r="AG76" s="187" t="s">
        <v>3572</v>
      </c>
    </row>
    <row r="77" spans="20:33">
      <c r="Y77" s="237"/>
      <c r="Z77"/>
      <c r="AB77" s="365"/>
      <c r="AC77" s="365"/>
      <c r="AE77" s="187" t="s">
        <v>3712</v>
      </c>
      <c r="AF77" s="187" t="str">
        <f t="shared" si="3"/>
        <v/>
      </c>
      <c r="AG77" s="187" t="s">
        <v>3573</v>
      </c>
    </row>
    <row r="78" spans="20:33">
      <c r="AB78" s="365"/>
      <c r="AC78" s="365"/>
      <c r="AE78" s="187" t="s">
        <v>3713</v>
      </c>
      <c r="AF78" s="187" t="str">
        <f t="shared" si="3"/>
        <v/>
      </c>
      <c r="AG78" s="187" t="s">
        <v>3551</v>
      </c>
    </row>
    <row r="79" spans="20:33">
      <c r="AB79" s="365"/>
      <c r="AC79" s="365"/>
      <c r="AE79" s="187" t="s">
        <v>3714</v>
      </c>
      <c r="AF79" s="187" t="str">
        <f t="shared" si="3"/>
        <v/>
      </c>
      <c r="AG79" s="187" t="s">
        <v>3552</v>
      </c>
    </row>
    <row r="80" spans="20:33">
      <c r="AB80" s="365"/>
      <c r="AC80" s="365"/>
      <c r="AE80" s="187" t="s">
        <v>3715</v>
      </c>
      <c r="AF80" s="187" t="str">
        <f t="shared" si="3"/>
        <v/>
      </c>
      <c r="AG80" s="187" t="s">
        <v>3556</v>
      </c>
    </row>
    <row r="81" spans="28:33">
      <c r="AB81" s="365"/>
      <c r="AC81" s="365"/>
      <c r="AE81" s="187" t="s">
        <v>3716</v>
      </c>
      <c r="AF81" s="187" t="str">
        <f t="shared" si="3"/>
        <v/>
      </c>
      <c r="AG81" s="187" t="s">
        <v>3555</v>
      </c>
    </row>
    <row r="82" spans="28:33">
      <c r="AB82" s="365"/>
      <c r="AC82" s="365"/>
      <c r="AE82" s="187" t="s">
        <v>3717</v>
      </c>
      <c r="AF82" s="187" t="str">
        <f t="shared" si="3"/>
        <v/>
      </c>
      <c r="AG82" s="187" t="s">
        <v>3553</v>
      </c>
    </row>
    <row r="83" spans="28:33">
      <c r="AB83" s="365"/>
      <c r="AC83" s="365"/>
      <c r="AE83" s="187" t="s">
        <v>3718</v>
      </c>
      <c r="AF83" s="187" t="str">
        <f t="shared" si="3"/>
        <v/>
      </c>
      <c r="AG83" s="187" t="s">
        <v>3554</v>
      </c>
    </row>
    <row r="84" spans="28:33">
      <c r="AB84" s="365"/>
      <c r="AC84" s="365"/>
      <c r="AE84" s="187" t="s">
        <v>3719</v>
      </c>
      <c r="AF84" s="187" t="str">
        <f t="shared" si="3"/>
        <v/>
      </c>
      <c r="AG84" s="187" t="s">
        <v>3445</v>
      </c>
    </row>
    <row r="85" spans="28:33">
      <c r="AB85" s="365"/>
      <c r="AC85" s="365"/>
      <c r="AE85" s="187" t="s">
        <v>3720</v>
      </c>
      <c r="AF85" s="187" t="str">
        <f t="shared" si="3"/>
        <v/>
      </c>
      <c r="AG85" s="187" t="s">
        <v>3446</v>
      </c>
    </row>
    <row r="86" spans="28:33">
      <c r="AB86" s="365"/>
      <c r="AC86" s="365"/>
      <c r="AE86" s="187" t="s">
        <v>3721</v>
      </c>
      <c r="AF86" s="187" t="str">
        <f t="shared" si="3"/>
        <v/>
      </c>
      <c r="AG86" s="187" t="s">
        <v>3447</v>
      </c>
    </row>
    <row r="87" spans="28:33">
      <c r="AB87" s="365"/>
      <c r="AC87" s="365"/>
      <c r="AE87" s="187" t="s">
        <v>3722</v>
      </c>
      <c r="AF87" s="187" t="str">
        <f t="shared" si="3"/>
        <v/>
      </c>
      <c r="AG87" s="187" t="s">
        <v>3507</v>
      </c>
    </row>
    <row r="88" spans="28:33">
      <c r="AB88" s="365"/>
      <c r="AC88" s="365"/>
      <c r="AE88" s="187" t="s">
        <v>3723</v>
      </c>
      <c r="AF88" s="187" t="str">
        <f t="shared" si="3"/>
        <v/>
      </c>
      <c r="AG88" s="187" t="s">
        <v>3508</v>
      </c>
    </row>
    <row r="89" spans="28:33">
      <c r="AB89" s="365"/>
      <c r="AC89" s="365"/>
      <c r="AE89" s="187" t="s">
        <v>3724</v>
      </c>
      <c r="AF89" s="187" t="str">
        <f t="shared" si="3"/>
        <v/>
      </c>
      <c r="AG89" s="187" t="s">
        <v>1337</v>
      </c>
    </row>
    <row r="90" spans="28:33">
      <c r="AB90" s="365"/>
      <c r="AC90" s="365"/>
      <c r="AE90" s="187" t="s">
        <v>3725</v>
      </c>
      <c r="AF90" s="187" t="str">
        <f t="shared" si="3"/>
        <v/>
      </c>
      <c r="AG90" s="187" t="s">
        <v>3509</v>
      </c>
    </row>
    <row r="91" spans="28:33">
      <c r="AB91" s="365"/>
      <c r="AC91" s="365"/>
      <c r="AE91" s="187" t="s">
        <v>3726</v>
      </c>
      <c r="AF91" s="187" t="str">
        <f t="shared" si="3"/>
        <v/>
      </c>
      <c r="AG91" s="187" t="s">
        <v>3529</v>
      </c>
    </row>
    <row r="92" spans="28:33">
      <c r="AB92" s="365"/>
      <c r="AC92" s="365"/>
      <c r="AE92" s="187" t="s">
        <v>3727</v>
      </c>
      <c r="AF92" s="187" t="str">
        <f t="shared" si="3"/>
        <v/>
      </c>
      <c r="AG92" s="187" t="s">
        <v>3532</v>
      </c>
    </row>
    <row r="93" spans="28:33">
      <c r="AB93" s="365"/>
      <c r="AC93" s="365"/>
      <c r="AE93" s="187" t="s">
        <v>3728</v>
      </c>
      <c r="AF93" s="187" t="str">
        <f t="shared" si="3"/>
        <v/>
      </c>
      <c r="AG93" s="187" t="s">
        <v>3536</v>
      </c>
    </row>
    <row r="94" spans="28:33">
      <c r="AB94" s="365"/>
      <c r="AC94" s="365"/>
      <c r="AE94" s="187" t="s">
        <v>3729</v>
      </c>
      <c r="AF94" s="187" t="str">
        <f t="shared" si="3"/>
        <v/>
      </c>
      <c r="AG94" s="187" t="s">
        <v>3531</v>
      </c>
    </row>
    <row r="95" spans="28:33">
      <c r="AB95" s="365"/>
      <c r="AC95" s="365"/>
      <c r="AE95" s="187" t="s">
        <v>3730</v>
      </c>
      <c r="AF95" s="187" t="str">
        <f t="shared" si="3"/>
        <v/>
      </c>
      <c r="AG95" s="187" t="s">
        <v>3534</v>
      </c>
    </row>
    <row r="96" spans="28:33">
      <c r="AB96" s="365"/>
      <c r="AC96" s="365"/>
      <c r="AE96" s="187" t="s">
        <v>3731</v>
      </c>
      <c r="AF96" s="187" t="str">
        <f t="shared" si="3"/>
        <v/>
      </c>
      <c r="AG96" s="187" t="s">
        <v>3533</v>
      </c>
    </row>
    <row r="97" spans="20:33">
      <c r="AE97" s="187" t="s">
        <v>3732</v>
      </c>
      <c r="AF97" s="187" t="str">
        <f t="shared" si="3"/>
        <v/>
      </c>
      <c r="AG97" s="187" t="s">
        <v>3528</v>
      </c>
    </row>
    <row r="98" spans="20:33">
      <c r="AE98" s="187" t="s">
        <v>3733</v>
      </c>
      <c r="AF98" s="187" t="str">
        <f t="shared" si="3"/>
        <v/>
      </c>
      <c r="AG98" s="187" t="s">
        <v>3530</v>
      </c>
    </row>
    <row r="99" spans="20:33">
      <c r="AE99" s="187" t="s">
        <v>3734</v>
      </c>
      <c r="AF99" s="187" t="str">
        <f t="shared" si="3"/>
        <v/>
      </c>
      <c r="AG99" s="187" t="s">
        <v>3537</v>
      </c>
    </row>
    <row r="100" spans="20:33">
      <c r="AE100" s="187" t="s">
        <v>3735</v>
      </c>
      <c r="AF100" s="187" t="str">
        <f t="shared" si="3"/>
        <v/>
      </c>
      <c r="AG100" s="187" t="s">
        <v>3538</v>
      </c>
    </row>
    <row r="101" spans="20:33">
      <c r="T101" s="212"/>
      <c r="U101" s="190"/>
      <c r="V101" s="190"/>
      <c r="W101" s="211"/>
      <c r="X101" s="191"/>
      <c r="Y101" s="212"/>
      <c r="AE101" s="187" t="s">
        <v>3736</v>
      </c>
      <c r="AF101" s="187" t="str">
        <f t="shared" si="3"/>
        <v/>
      </c>
      <c r="AG101" s="187" t="s">
        <v>3540</v>
      </c>
    </row>
    <row r="102" spans="20:33">
      <c r="T102" s="212"/>
      <c r="U102" s="190"/>
      <c r="V102" s="190"/>
      <c r="W102" s="211"/>
      <c r="X102" s="191"/>
      <c r="Y102" s="212"/>
      <c r="AE102" s="187" t="s">
        <v>3737</v>
      </c>
      <c r="AF102" s="187" t="str">
        <f t="shared" si="3"/>
        <v/>
      </c>
      <c r="AG102" s="187" t="s">
        <v>3539</v>
      </c>
    </row>
    <row r="103" spans="20:33">
      <c r="AE103" s="187" t="s">
        <v>3738</v>
      </c>
      <c r="AF103" s="187" t="str">
        <f t="shared" si="3"/>
        <v/>
      </c>
      <c r="AG103" s="187" t="s">
        <v>3535</v>
      </c>
    </row>
    <row r="104" spans="20:33">
      <c r="AE104" s="187" t="s">
        <v>3739</v>
      </c>
      <c r="AF104" s="187" t="str">
        <f t="shared" si="3"/>
        <v/>
      </c>
      <c r="AG104" s="187" t="s">
        <v>3541</v>
      </c>
    </row>
    <row r="105" spans="20:33">
      <c r="AE105" s="187" t="s">
        <v>3740</v>
      </c>
      <c r="AF105" s="187" t="str">
        <f t="shared" si="3"/>
        <v/>
      </c>
      <c r="AG105" s="187" t="s">
        <v>3543</v>
      </c>
    </row>
    <row r="106" spans="20:33">
      <c r="AE106" s="187" t="s">
        <v>3741</v>
      </c>
      <c r="AF106" s="187" t="str">
        <f t="shared" si="3"/>
        <v/>
      </c>
      <c r="AG106" s="187" t="s">
        <v>3544</v>
      </c>
    </row>
    <row r="107" spans="20:33">
      <c r="AE107" s="187" t="s">
        <v>3742</v>
      </c>
      <c r="AF107" s="187" t="str">
        <f t="shared" si="3"/>
        <v/>
      </c>
      <c r="AG107" s="187" t="s">
        <v>3542</v>
      </c>
    </row>
    <row r="108" spans="20:33">
      <c r="AE108" s="187" t="s">
        <v>3743</v>
      </c>
      <c r="AF108" s="187" t="str">
        <f t="shared" si="3"/>
        <v/>
      </c>
      <c r="AG108" s="187" t="s">
        <v>3545</v>
      </c>
    </row>
    <row r="109" spans="20:33">
      <c r="AE109" s="187" t="s">
        <v>3744</v>
      </c>
      <c r="AF109" s="187" t="str">
        <f t="shared" si="3"/>
        <v/>
      </c>
      <c r="AG109" s="187" t="s">
        <v>3432</v>
      </c>
    </row>
    <row r="110" spans="20:33">
      <c r="AE110" s="187" t="s">
        <v>3745</v>
      </c>
      <c r="AF110" s="187" t="str">
        <f t="shared" si="3"/>
        <v/>
      </c>
      <c r="AG110" s="187" t="s">
        <v>3433</v>
      </c>
    </row>
    <row r="111" spans="20:33">
      <c r="AE111" s="187" t="s">
        <v>3746</v>
      </c>
      <c r="AF111" s="187" t="str">
        <f t="shared" si="3"/>
        <v/>
      </c>
      <c r="AG111" s="187" t="s">
        <v>3434</v>
      </c>
    </row>
    <row r="112" spans="20:33">
      <c r="AE112" s="187" t="s">
        <v>3747</v>
      </c>
      <c r="AF112" s="187" t="str">
        <f t="shared" si="3"/>
        <v/>
      </c>
      <c r="AG112" s="187" t="s">
        <v>3435</v>
      </c>
    </row>
    <row r="113" spans="20:33">
      <c r="AE113" s="187" t="s">
        <v>3748</v>
      </c>
      <c r="AF113" s="187" t="str">
        <f t="shared" si="3"/>
        <v/>
      </c>
      <c r="AG113" s="187" t="s">
        <v>3436</v>
      </c>
    </row>
    <row r="114" spans="20:33">
      <c r="T114" s="212"/>
      <c r="U114" s="190"/>
      <c r="V114" s="190"/>
      <c r="W114" s="211"/>
      <c r="X114" s="191"/>
      <c r="Y114" s="212"/>
      <c r="AE114" s="187" t="s">
        <v>3749</v>
      </c>
      <c r="AF114" s="187" t="str">
        <f t="shared" si="3"/>
        <v/>
      </c>
      <c r="AG114" s="187" t="s">
        <v>3437</v>
      </c>
    </row>
    <row r="115" spans="20:33">
      <c r="T115" s="212"/>
      <c r="U115" s="190"/>
      <c r="V115" s="190"/>
      <c r="W115" s="211"/>
      <c r="X115" s="191"/>
      <c r="Y115" s="212"/>
      <c r="AE115" s="187" t="s">
        <v>3750</v>
      </c>
      <c r="AF115" s="187" t="str">
        <f t="shared" si="3"/>
        <v/>
      </c>
      <c r="AG115" s="187" t="s">
        <v>3439</v>
      </c>
    </row>
    <row r="116" spans="20:33">
      <c r="T116" s="212"/>
      <c r="U116" s="190"/>
      <c r="V116" s="190"/>
      <c r="W116" s="211"/>
      <c r="X116" s="191"/>
      <c r="Y116" s="212"/>
      <c r="AE116" s="187" t="s">
        <v>3751</v>
      </c>
      <c r="AF116" s="187" t="str">
        <f t="shared" si="3"/>
        <v/>
      </c>
      <c r="AG116" s="187" t="s">
        <v>3438</v>
      </c>
    </row>
    <row r="117" spans="20:33">
      <c r="T117" s="212"/>
      <c r="U117" s="190"/>
      <c r="V117" s="190"/>
      <c r="W117" s="211"/>
      <c r="X117" s="191"/>
      <c r="Y117" s="212"/>
      <c r="AE117" s="187" t="s">
        <v>3752</v>
      </c>
      <c r="AF117" s="187" t="str">
        <f t="shared" si="3"/>
        <v/>
      </c>
      <c r="AG117" s="187" t="s">
        <v>3521</v>
      </c>
    </row>
    <row r="118" spans="20:33">
      <c r="T118" s="212"/>
      <c r="U118" s="190"/>
      <c r="V118" s="190"/>
      <c r="W118" s="211"/>
      <c r="X118" s="191"/>
      <c r="Y118" s="212"/>
      <c r="AE118" s="187" t="s">
        <v>3753</v>
      </c>
      <c r="AF118" s="187" t="str">
        <f t="shared" si="3"/>
        <v/>
      </c>
      <c r="AG118" s="187" t="s">
        <v>3522</v>
      </c>
    </row>
    <row r="119" spans="20:33">
      <c r="T119" s="212"/>
      <c r="U119" s="190"/>
      <c r="V119" s="190"/>
      <c r="W119" s="211"/>
      <c r="X119" s="191"/>
      <c r="Y119" s="212"/>
      <c r="AE119" s="187" t="s">
        <v>3754</v>
      </c>
      <c r="AF119" s="187" t="str">
        <f t="shared" si="3"/>
        <v/>
      </c>
      <c r="AG119" s="187" t="s">
        <v>3523</v>
      </c>
    </row>
    <row r="120" spans="20:33">
      <c r="T120" s="212"/>
      <c r="U120" s="190"/>
      <c r="V120" s="190"/>
      <c r="W120" s="211"/>
      <c r="X120" s="191"/>
      <c r="Y120" s="212"/>
      <c r="AE120" s="187" t="s">
        <v>3755</v>
      </c>
      <c r="AF120" s="187" t="str">
        <f t="shared" si="3"/>
        <v/>
      </c>
      <c r="AG120" s="187" t="s">
        <v>3524</v>
      </c>
    </row>
    <row r="121" spans="20:33">
      <c r="T121" s="212"/>
      <c r="U121" s="190"/>
      <c r="V121" s="190"/>
      <c r="W121" s="211"/>
      <c r="X121" s="191"/>
      <c r="Y121" s="212"/>
      <c r="AE121" s="187" t="s">
        <v>3756</v>
      </c>
      <c r="AF121" s="187" t="str">
        <f t="shared" si="3"/>
        <v/>
      </c>
      <c r="AG121" s="187" t="s">
        <v>3525</v>
      </c>
    </row>
    <row r="122" spans="20:33">
      <c r="T122" s="212"/>
      <c r="U122" s="190"/>
      <c r="V122" s="190"/>
      <c r="W122" s="211"/>
      <c r="X122" s="191"/>
      <c r="Y122" s="212"/>
      <c r="AE122" s="187" t="s">
        <v>3757</v>
      </c>
      <c r="AF122" s="187" t="str">
        <f t="shared" si="3"/>
        <v/>
      </c>
      <c r="AG122" s="187" t="s">
        <v>3526</v>
      </c>
    </row>
    <row r="123" spans="20:33">
      <c r="T123" s="212"/>
      <c r="U123" s="190"/>
      <c r="V123" s="190"/>
      <c r="W123" s="211"/>
      <c r="X123" s="191"/>
      <c r="Y123" s="212"/>
      <c r="AE123" s="187" t="s">
        <v>3758</v>
      </c>
      <c r="AF123" s="187" t="str">
        <f t="shared" si="3"/>
        <v/>
      </c>
      <c r="AG123" s="187" t="s">
        <v>3527</v>
      </c>
    </row>
    <row r="124" spans="20:33">
      <c r="T124" s="212"/>
      <c r="U124" s="190"/>
      <c r="V124" s="190"/>
      <c r="W124" s="211"/>
      <c r="X124" s="191"/>
      <c r="Y124" s="212"/>
      <c r="AE124" s="187" t="s">
        <v>3759</v>
      </c>
      <c r="AF124" s="187" t="str">
        <f t="shared" si="3"/>
        <v/>
      </c>
      <c r="AG124" s="187" t="s">
        <v>3429</v>
      </c>
    </row>
    <row r="125" spans="20:33">
      <c r="T125" s="212"/>
      <c r="U125" s="190"/>
      <c r="V125" s="190"/>
      <c r="W125" s="211"/>
      <c r="X125" s="191"/>
      <c r="Y125" s="212"/>
      <c r="AE125" s="187" t="s">
        <v>3760</v>
      </c>
      <c r="AF125" s="187" t="str">
        <f t="shared" si="3"/>
        <v/>
      </c>
      <c r="AG125" s="187" t="s">
        <v>3430</v>
      </c>
    </row>
    <row r="126" spans="20:33">
      <c r="T126" s="212"/>
      <c r="U126" s="190"/>
      <c r="V126" s="190"/>
      <c r="W126" s="211"/>
      <c r="X126" s="191"/>
      <c r="Y126" s="212"/>
      <c r="AE126" s="187" t="s">
        <v>3761</v>
      </c>
      <c r="AF126" s="187" t="str">
        <f t="shared" si="3"/>
        <v/>
      </c>
      <c r="AG126" s="187" t="s">
        <v>3431</v>
      </c>
    </row>
    <row r="127" spans="20:33">
      <c r="T127" s="212"/>
      <c r="U127" s="190"/>
      <c r="V127" s="190"/>
      <c r="W127" s="211"/>
      <c r="X127" s="191"/>
      <c r="Y127" s="212"/>
      <c r="AE127" s="187" t="s">
        <v>3762</v>
      </c>
      <c r="AF127" s="187" t="str">
        <f t="shared" si="3"/>
        <v/>
      </c>
      <c r="AG127" s="187" t="s">
        <v>3496</v>
      </c>
    </row>
    <row r="128" spans="20:33">
      <c r="T128" s="212"/>
      <c r="U128" s="190"/>
      <c r="V128" s="190"/>
      <c r="W128" s="211"/>
      <c r="X128" s="191"/>
      <c r="Y128" s="212"/>
      <c r="AE128" s="187" t="s">
        <v>3763</v>
      </c>
      <c r="AF128" s="187" t="str">
        <f t="shared" si="3"/>
        <v/>
      </c>
      <c r="AG128" s="187" t="s">
        <v>3497</v>
      </c>
    </row>
    <row r="129" spans="20:33">
      <c r="T129" s="212"/>
      <c r="U129" s="190"/>
      <c r="V129" s="190"/>
      <c r="W129" s="211"/>
      <c r="X129" s="191"/>
      <c r="Y129" s="212"/>
      <c r="AE129" s="187" t="s">
        <v>3764</v>
      </c>
      <c r="AF129" s="187" t="str">
        <f t="shared" si="3"/>
        <v/>
      </c>
      <c r="AG129" s="187" t="s">
        <v>3498</v>
      </c>
    </row>
    <row r="130" spans="20:33">
      <c r="T130" s="212"/>
      <c r="U130" s="190"/>
      <c r="V130" s="190"/>
      <c r="W130" s="211"/>
      <c r="X130" s="191"/>
      <c r="Y130" s="212"/>
      <c r="AE130" s="187" t="s">
        <v>3765</v>
      </c>
      <c r="AF130" s="187" t="str">
        <f t="shared" ref="AF130:AF193" si="4">IF(ISERROR(SEARCH($S$47,AG130)),"",$S$48)</f>
        <v/>
      </c>
      <c r="AG130" s="187" t="s">
        <v>3499</v>
      </c>
    </row>
    <row r="131" spans="20:33">
      <c r="T131" s="212"/>
      <c r="U131" s="190"/>
      <c r="V131" s="190"/>
      <c r="W131" s="211"/>
      <c r="X131" s="191"/>
      <c r="Y131" s="212"/>
      <c r="AE131" s="187" t="s">
        <v>3766</v>
      </c>
      <c r="AF131" s="187" t="str">
        <f t="shared" si="4"/>
        <v/>
      </c>
      <c r="AG131" s="187" t="s">
        <v>3500</v>
      </c>
    </row>
    <row r="132" spans="20:33">
      <c r="AE132" s="187" t="s">
        <v>3767</v>
      </c>
      <c r="AF132" s="187" t="str">
        <f t="shared" si="4"/>
        <v/>
      </c>
      <c r="AG132" s="187" t="s">
        <v>3501</v>
      </c>
    </row>
    <row r="133" spans="20:33">
      <c r="AE133" s="187" t="s">
        <v>3768</v>
      </c>
      <c r="AF133" s="187" t="str">
        <f t="shared" si="4"/>
        <v/>
      </c>
      <c r="AG133" s="187" t="s">
        <v>3502</v>
      </c>
    </row>
    <row r="134" spans="20:33">
      <c r="AE134" s="187" t="s">
        <v>3769</v>
      </c>
      <c r="AF134" s="187" t="str">
        <f t="shared" si="4"/>
        <v/>
      </c>
      <c r="AG134" s="187" t="s">
        <v>3444</v>
      </c>
    </row>
    <row r="135" spans="20:33">
      <c r="AE135" s="187" t="s">
        <v>3770</v>
      </c>
      <c r="AF135" s="187" t="str">
        <f t="shared" si="4"/>
        <v/>
      </c>
      <c r="AG135" s="187" t="s">
        <v>3484</v>
      </c>
    </row>
    <row r="136" spans="20:33">
      <c r="AE136" s="187" t="s">
        <v>3771</v>
      </c>
      <c r="AF136" s="187" t="str">
        <f t="shared" si="4"/>
        <v/>
      </c>
      <c r="AG136" s="187" t="s">
        <v>3485</v>
      </c>
    </row>
    <row r="137" spans="20:33">
      <c r="AE137" s="187" t="s">
        <v>3772</v>
      </c>
      <c r="AF137" s="187" t="str">
        <f t="shared" si="4"/>
        <v/>
      </c>
      <c r="AG137" s="187" t="s">
        <v>3486</v>
      </c>
    </row>
    <row r="138" spans="20:33">
      <c r="AE138" s="187" t="s">
        <v>3773</v>
      </c>
      <c r="AF138" s="187" t="str">
        <f t="shared" si="4"/>
        <v/>
      </c>
      <c r="AG138" s="187" t="s">
        <v>3489</v>
      </c>
    </row>
    <row r="139" spans="20:33">
      <c r="AE139" s="187" t="s">
        <v>3774</v>
      </c>
      <c r="AF139" s="187" t="str">
        <f t="shared" si="4"/>
        <v/>
      </c>
      <c r="AG139" s="187" t="s">
        <v>3490</v>
      </c>
    </row>
    <row r="140" spans="20:33">
      <c r="AE140" s="187" t="s">
        <v>3775</v>
      </c>
      <c r="AF140" s="187" t="str">
        <f t="shared" si="4"/>
        <v/>
      </c>
      <c r="AG140" s="187" t="s">
        <v>3491</v>
      </c>
    </row>
    <row r="141" spans="20:33">
      <c r="AE141" s="187" t="s">
        <v>3776</v>
      </c>
      <c r="AF141" s="187" t="str">
        <f t="shared" si="4"/>
        <v/>
      </c>
      <c r="AG141" s="187" t="s">
        <v>3487</v>
      </c>
    </row>
    <row r="142" spans="20:33">
      <c r="AE142" s="187" t="s">
        <v>3777</v>
      </c>
      <c r="AF142" s="187" t="str">
        <f t="shared" si="4"/>
        <v/>
      </c>
      <c r="AG142" s="187" t="s">
        <v>3488</v>
      </c>
    </row>
    <row r="143" spans="20:33">
      <c r="AE143" s="187" t="s">
        <v>3778</v>
      </c>
      <c r="AF143" s="187" t="str">
        <f t="shared" si="4"/>
        <v/>
      </c>
      <c r="AG143" s="187" t="s">
        <v>3546</v>
      </c>
    </row>
    <row r="144" spans="20:33">
      <c r="AE144" s="187" t="s">
        <v>3779</v>
      </c>
      <c r="AF144" s="187" t="str">
        <f t="shared" si="4"/>
        <v/>
      </c>
      <c r="AG144" s="187" t="s">
        <v>3547</v>
      </c>
    </row>
    <row r="145" spans="31:33">
      <c r="AE145" s="187" t="s">
        <v>3780</v>
      </c>
      <c r="AF145" s="187" t="str">
        <f t="shared" si="4"/>
        <v/>
      </c>
      <c r="AG145" s="187" t="s">
        <v>3548</v>
      </c>
    </row>
    <row r="146" spans="31:33">
      <c r="AE146" s="187" t="s">
        <v>3781</v>
      </c>
      <c r="AF146" s="187" t="str">
        <f t="shared" si="4"/>
        <v/>
      </c>
      <c r="AG146" s="187" t="s">
        <v>3549</v>
      </c>
    </row>
    <row r="147" spans="31:33">
      <c r="AE147" s="187" t="s">
        <v>3782</v>
      </c>
      <c r="AF147" s="187" t="str">
        <f t="shared" si="4"/>
        <v/>
      </c>
      <c r="AG147" s="187" t="s">
        <v>3550</v>
      </c>
    </row>
    <row r="148" spans="31:33">
      <c r="AE148" s="187" t="s">
        <v>3783</v>
      </c>
      <c r="AF148" s="187" t="str">
        <f t="shared" si="4"/>
        <v/>
      </c>
      <c r="AG148" s="187" t="s">
        <v>3440</v>
      </c>
    </row>
    <row r="149" spans="31:33">
      <c r="AE149" s="187" t="s">
        <v>3784</v>
      </c>
      <c r="AF149" s="187" t="str">
        <f t="shared" si="4"/>
        <v/>
      </c>
      <c r="AG149" s="187" t="s">
        <v>3441</v>
      </c>
    </row>
    <row r="150" spans="31:33">
      <c r="AE150" s="187" t="s">
        <v>3785</v>
      </c>
      <c r="AF150" s="187" t="str">
        <f t="shared" si="4"/>
        <v/>
      </c>
      <c r="AG150" s="187" t="s">
        <v>3442</v>
      </c>
    </row>
    <row r="151" spans="31:33">
      <c r="AE151" s="187" t="s">
        <v>3786</v>
      </c>
      <c r="AF151" s="187" t="str">
        <f t="shared" si="4"/>
        <v/>
      </c>
      <c r="AG151" s="187" t="s">
        <v>3443</v>
      </c>
    </row>
    <row r="152" spans="31:33">
      <c r="AE152" s="187" t="s">
        <v>3787</v>
      </c>
      <c r="AF152" s="187">
        <f t="shared" si="4"/>
        <v>1</v>
      </c>
      <c r="AG152" s="187" t="s">
        <v>3462</v>
      </c>
    </row>
    <row r="153" spans="31:33">
      <c r="AE153" s="187" t="s">
        <v>3788</v>
      </c>
      <c r="AF153" s="187">
        <f t="shared" si="4"/>
        <v>1</v>
      </c>
      <c r="AG153" s="187" t="s">
        <v>4119</v>
      </c>
    </row>
    <row r="154" spans="31:33">
      <c r="AE154" s="187" t="s">
        <v>3789</v>
      </c>
      <c r="AF154" s="187">
        <f t="shared" si="4"/>
        <v>1</v>
      </c>
      <c r="AG154" s="187" t="s">
        <v>3453</v>
      </c>
    </row>
    <row r="155" spans="31:33">
      <c r="AE155" s="187" t="s">
        <v>3790</v>
      </c>
      <c r="AF155" s="187">
        <f t="shared" si="4"/>
        <v>1</v>
      </c>
      <c r="AG155" s="187" t="s">
        <v>4120</v>
      </c>
    </row>
    <row r="156" spans="31:33">
      <c r="AE156" s="187" t="s">
        <v>3791</v>
      </c>
      <c r="AF156" s="187">
        <f t="shared" si="4"/>
        <v>1</v>
      </c>
      <c r="AG156" s="187" t="s">
        <v>4121</v>
      </c>
    </row>
    <row r="157" spans="31:33">
      <c r="AE157" s="187" t="s">
        <v>3792</v>
      </c>
      <c r="AF157" s="187">
        <f t="shared" si="4"/>
        <v>1</v>
      </c>
      <c r="AG157" s="187" t="s">
        <v>3463</v>
      </c>
    </row>
    <row r="158" spans="31:33">
      <c r="AE158" s="187" t="s">
        <v>3793</v>
      </c>
      <c r="AF158" s="187">
        <f t="shared" si="4"/>
        <v>1</v>
      </c>
      <c r="AG158" s="187" t="s">
        <v>4122</v>
      </c>
    </row>
    <row r="159" spans="31:33">
      <c r="AE159" s="187" t="s">
        <v>3794</v>
      </c>
      <c r="AF159" s="187">
        <f t="shared" si="4"/>
        <v>1</v>
      </c>
      <c r="AG159" s="187" t="s">
        <v>4123</v>
      </c>
    </row>
    <row r="160" spans="31:33">
      <c r="AE160" s="187" t="s">
        <v>3795</v>
      </c>
      <c r="AF160" s="187">
        <f t="shared" si="4"/>
        <v>1</v>
      </c>
      <c r="AG160" s="187" t="s">
        <v>4124</v>
      </c>
    </row>
    <row r="161" spans="31:33">
      <c r="AE161" s="187" t="s">
        <v>3796</v>
      </c>
      <c r="AF161" s="187">
        <f t="shared" si="4"/>
        <v>1</v>
      </c>
      <c r="AG161" s="187" t="s">
        <v>4125</v>
      </c>
    </row>
    <row r="162" spans="31:33">
      <c r="AE162" s="187" t="s">
        <v>3797</v>
      </c>
      <c r="AF162" s="187">
        <f t="shared" si="4"/>
        <v>1</v>
      </c>
      <c r="AG162" s="187" t="s">
        <v>3449</v>
      </c>
    </row>
    <row r="163" spans="31:33">
      <c r="AE163" s="187" t="s">
        <v>3798</v>
      </c>
      <c r="AF163" s="187">
        <f t="shared" si="4"/>
        <v>1</v>
      </c>
      <c r="AG163" s="187" t="s">
        <v>4126</v>
      </c>
    </row>
    <row r="164" spans="31:33">
      <c r="AE164" s="187" t="s">
        <v>3799</v>
      </c>
      <c r="AF164" s="187">
        <f t="shared" si="4"/>
        <v>1</v>
      </c>
      <c r="AG164" s="187" t="s">
        <v>3464</v>
      </c>
    </row>
    <row r="165" spans="31:33">
      <c r="AE165" s="187" t="s">
        <v>3800</v>
      </c>
      <c r="AF165" s="187">
        <f t="shared" si="4"/>
        <v>1</v>
      </c>
      <c r="AG165" s="187" t="s">
        <v>4127</v>
      </c>
    </row>
    <row r="166" spans="31:33">
      <c r="AE166" s="187" t="s">
        <v>3801</v>
      </c>
      <c r="AF166" s="187">
        <f t="shared" si="4"/>
        <v>1</v>
      </c>
      <c r="AG166" s="187" t="s">
        <v>3454</v>
      </c>
    </row>
    <row r="167" spans="31:33">
      <c r="AE167" s="187" t="s">
        <v>3802</v>
      </c>
      <c r="AF167" s="187">
        <f t="shared" si="4"/>
        <v>1</v>
      </c>
      <c r="AG167" s="187" t="s">
        <v>4128</v>
      </c>
    </row>
    <row r="168" spans="31:33">
      <c r="AE168" s="187" t="s">
        <v>3803</v>
      </c>
      <c r="AF168" s="187">
        <f t="shared" si="4"/>
        <v>1</v>
      </c>
      <c r="AG168" s="187" t="s">
        <v>4129</v>
      </c>
    </row>
    <row r="169" spans="31:33">
      <c r="AE169" s="187" t="s">
        <v>3804</v>
      </c>
      <c r="AF169" s="187">
        <f t="shared" si="4"/>
        <v>1</v>
      </c>
      <c r="AG169" s="187" t="s">
        <v>4130</v>
      </c>
    </row>
    <row r="170" spans="31:33">
      <c r="AE170" s="187" t="s">
        <v>3805</v>
      </c>
      <c r="AF170" s="187">
        <f t="shared" si="4"/>
        <v>1</v>
      </c>
      <c r="AG170" s="187" t="s">
        <v>3465</v>
      </c>
    </row>
    <row r="171" spans="31:33">
      <c r="AE171" s="187" t="s">
        <v>3806</v>
      </c>
      <c r="AF171" s="187">
        <f t="shared" si="4"/>
        <v>1</v>
      </c>
      <c r="AG171" s="187" t="s">
        <v>4131</v>
      </c>
    </row>
    <row r="172" spans="31:33">
      <c r="AE172" s="187" t="s">
        <v>3807</v>
      </c>
      <c r="AF172" s="187">
        <f t="shared" si="4"/>
        <v>1</v>
      </c>
      <c r="AG172" s="187" t="s">
        <v>3466</v>
      </c>
    </row>
    <row r="173" spans="31:33">
      <c r="AE173" s="187" t="s">
        <v>3808</v>
      </c>
      <c r="AF173" s="187">
        <f t="shared" si="4"/>
        <v>1</v>
      </c>
      <c r="AG173" s="187" t="s">
        <v>4132</v>
      </c>
    </row>
    <row r="174" spans="31:33">
      <c r="AE174" s="187" t="s">
        <v>3809</v>
      </c>
      <c r="AF174" s="187">
        <f t="shared" si="4"/>
        <v>1</v>
      </c>
      <c r="AG174" s="187" t="s">
        <v>4133</v>
      </c>
    </row>
    <row r="175" spans="31:33">
      <c r="AE175" s="187" t="s">
        <v>3810</v>
      </c>
      <c r="AF175" s="187">
        <f t="shared" si="4"/>
        <v>1</v>
      </c>
      <c r="AG175" s="187" t="s">
        <v>4134</v>
      </c>
    </row>
    <row r="176" spans="31:33">
      <c r="AE176" s="187" t="s">
        <v>3811</v>
      </c>
      <c r="AF176" s="187">
        <f t="shared" si="4"/>
        <v>1</v>
      </c>
      <c r="AG176" s="187" t="s">
        <v>3455</v>
      </c>
    </row>
    <row r="177" spans="31:33">
      <c r="AE177" s="187" t="s">
        <v>3812</v>
      </c>
      <c r="AF177" s="187">
        <f t="shared" si="4"/>
        <v>1</v>
      </c>
      <c r="AG177" s="187" t="s">
        <v>4135</v>
      </c>
    </row>
    <row r="178" spans="31:33">
      <c r="AE178" s="187" t="s">
        <v>3813</v>
      </c>
      <c r="AF178" s="187">
        <f t="shared" si="4"/>
        <v>1</v>
      </c>
      <c r="AG178" s="187" t="s">
        <v>4136</v>
      </c>
    </row>
    <row r="179" spans="31:33">
      <c r="AE179" s="187" t="s">
        <v>3814</v>
      </c>
      <c r="AF179" s="187">
        <f t="shared" si="4"/>
        <v>1</v>
      </c>
      <c r="AG179" s="187" t="s">
        <v>4137</v>
      </c>
    </row>
    <row r="180" spans="31:33">
      <c r="AE180" s="187" t="s">
        <v>3815</v>
      </c>
      <c r="AF180" s="187">
        <f t="shared" si="4"/>
        <v>1</v>
      </c>
      <c r="AG180" s="187" t="s">
        <v>4138</v>
      </c>
    </row>
    <row r="181" spans="31:33">
      <c r="AE181" s="187" t="s">
        <v>3816</v>
      </c>
      <c r="AF181" s="187">
        <f t="shared" si="4"/>
        <v>1</v>
      </c>
      <c r="AG181" s="187" t="s">
        <v>3456</v>
      </c>
    </row>
    <row r="182" spans="31:33">
      <c r="AE182" s="187" t="s">
        <v>3817</v>
      </c>
      <c r="AF182" s="187">
        <f t="shared" si="4"/>
        <v>1</v>
      </c>
      <c r="AG182" s="187" t="s">
        <v>4139</v>
      </c>
    </row>
    <row r="183" spans="31:33">
      <c r="AE183" s="187" t="s">
        <v>3818</v>
      </c>
      <c r="AF183" s="187">
        <f t="shared" si="4"/>
        <v>1</v>
      </c>
      <c r="AG183" s="187" t="s">
        <v>3467</v>
      </c>
    </row>
    <row r="184" spans="31:33">
      <c r="AE184" s="187" t="s">
        <v>3819</v>
      </c>
      <c r="AF184" s="187">
        <f t="shared" si="4"/>
        <v>1</v>
      </c>
      <c r="AG184" s="187" t="s">
        <v>4140</v>
      </c>
    </row>
    <row r="185" spans="31:33">
      <c r="AE185" s="187" t="s">
        <v>3820</v>
      </c>
      <c r="AF185" s="187">
        <f t="shared" si="4"/>
        <v>1</v>
      </c>
      <c r="AG185" s="187" t="s">
        <v>4141</v>
      </c>
    </row>
    <row r="186" spans="31:33">
      <c r="AE186" s="187" t="s">
        <v>3821</v>
      </c>
      <c r="AF186" s="187">
        <f t="shared" si="4"/>
        <v>1</v>
      </c>
      <c r="AG186" s="187" t="s">
        <v>4142</v>
      </c>
    </row>
    <row r="187" spans="31:33">
      <c r="AE187" s="187" t="s">
        <v>3822</v>
      </c>
      <c r="AF187" s="187">
        <f t="shared" si="4"/>
        <v>1</v>
      </c>
      <c r="AG187" s="187" t="s">
        <v>4143</v>
      </c>
    </row>
    <row r="188" spans="31:33">
      <c r="AE188" s="187" t="s">
        <v>3823</v>
      </c>
      <c r="AF188" s="187">
        <f t="shared" si="4"/>
        <v>1</v>
      </c>
      <c r="AG188" s="187" t="s">
        <v>4144</v>
      </c>
    </row>
    <row r="189" spans="31:33">
      <c r="AE189" s="187" t="s">
        <v>3824</v>
      </c>
      <c r="AF189" s="187">
        <f t="shared" si="4"/>
        <v>1</v>
      </c>
      <c r="AG189" s="187" t="s">
        <v>4145</v>
      </c>
    </row>
    <row r="190" spans="31:33">
      <c r="AE190" s="187" t="s">
        <v>3825</v>
      </c>
      <c r="AF190" s="187">
        <f t="shared" si="4"/>
        <v>1</v>
      </c>
      <c r="AG190" s="187" t="s">
        <v>4146</v>
      </c>
    </row>
    <row r="191" spans="31:33">
      <c r="AE191" s="187" t="s">
        <v>3826</v>
      </c>
      <c r="AF191" s="187">
        <f t="shared" si="4"/>
        <v>1</v>
      </c>
      <c r="AG191" s="187" t="s">
        <v>4147</v>
      </c>
    </row>
    <row r="192" spans="31:33">
      <c r="AE192" s="187" t="s">
        <v>3827</v>
      </c>
      <c r="AF192" s="187">
        <f t="shared" si="4"/>
        <v>1</v>
      </c>
      <c r="AG192" s="187" t="s">
        <v>3468</v>
      </c>
    </row>
    <row r="193" spans="31:33">
      <c r="AE193" s="187" t="s">
        <v>3828</v>
      </c>
      <c r="AF193" s="187">
        <f t="shared" si="4"/>
        <v>1</v>
      </c>
      <c r="AG193" s="187" t="s">
        <v>4148</v>
      </c>
    </row>
    <row r="194" spans="31:33">
      <c r="AE194" s="187" t="s">
        <v>3829</v>
      </c>
      <c r="AF194" s="187">
        <f t="shared" ref="AF194:AF257" si="5">IF(ISERROR(SEARCH($S$47,AG194)),"",$S$48)</f>
        <v>1</v>
      </c>
      <c r="AG194" s="187" t="s">
        <v>3457</v>
      </c>
    </row>
    <row r="195" spans="31:33">
      <c r="AE195" s="187" t="s">
        <v>3830</v>
      </c>
      <c r="AF195" s="187">
        <f t="shared" si="5"/>
        <v>1</v>
      </c>
      <c r="AG195" s="187" t="s">
        <v>4149</v>
      </c>
    </row>
    <row r="196" spans="31:33">
      <c r="AE196" s="187" t="s">
        <v>3831</v>
      </c>
      <c r="AF196" s="187">
        <f t="shared" si="5"/>
        <v>1</v>
      </c>
      <c r="AG196" s="187" t="s">
        <v>4150</v>
      </c>
    </row>
    <row r="197" spans="31:33">
      <c r="AE197" s="187" t="s">
        <v>3832</v>
      </c>
      <c r="AF197" s="187">
        <f t="shared" si="5"/>
        <v>1</v>
      </c>
      <c r="AG197" s="187" t="s">
        <v>3469</v>
      </c>
    </row>
    <row r="198" spans="31:33">
      <c r="AE198" s="187" t="s">
        <v>3833</v>
      </c>
      <c r="AF198" s="187">
        <f t="shared" si="5"/>
        <v>1</v>
      </c>
      <c r="AG198" s="187" t="s">
        <v>3448</v>
      </c>
    </row>
    <row r="199" spans="31:33">
      <c r="AE199" s="187" t="s">
        <v>3834</v>
      </c>
      <c r="AF199" s="187">
        <f t="shared" si="5"/>
        <v>1</v>
      </c>
      <c r="AG199" s="187" t="s">
        <v>4151</v>
      </c>
    </row>
    <row r="200" spans="31:33">
      <c r="AE200" s="187" t="s">
        <v>3835</v>
      </c>
      <c r="AF200" s="187">
        <f t="shared" si="5"/>
        <v>1</v>
      </c>
      <c r="AG200" s="187" t="s">
        <v>3470</v>
      </c>
    </row>
    <row r="201" spans="31:33">
      <c r="AE201" s="187" t="s">
        <v>3836</v>
      </c>
      <c r="AF201" s="187">
        <f t="shared" si="5"/>
        <v>1</v>
      </c>
      <c r="AG201" s="187" t="s">
        <v>4152</v>
      </c>
    </row>
    <row r="202" spans="31:33">
      <c r="AE202" s="187" t="s">
        <v>3837</v>
      </c>
      <c r="AF202" s="187">
        <f t="shared" si="5"/>
        <v>1</v>
      </c>
      <c r="AG202" s="187" t="s">
        <v>3471</v>
      </c>
    </row>
    <row r="203" spans="31:33">
      <c r="AE203" s="187" t="s">
        <v>3838</v>
      </c>
      <c r="AF203" s="187">
        <f t="shared" si="5"/>
        <v>1</v>
      </c>
      <c r="AG203" s="187" t="s">
        <v>4153</v>
      </c>
    </row>
    <row r="204" spans="31:33">
      <c r="AE204" s="187" t="s">
        <v>3839</v>
      </c>
      <c r="AF204" s="187">
        <f t="shared" si="5"/>
        <v>1</v>
      </c>
      <c r="AG204" s="187" t="s">
        <v>4154</v>
      </c>
    </row>
    <row r="205" spans="31:33">
      <c r="AE205" s="187" t="s">
        <v>3840</v>
      </c>
      <c r="AF205" s="187">
        <f t="shared" si="5"/>
        <v>1</v>
      </c>
      <c r="AG205" s="187" t="s">
        <v>4155</v>
      </c>
    </row>
    <row r="206" spans="31:33">
      <c r="AE206" s="187" t="s">
        <v>3841</v>
      </c>
      <c r="AF206" s="187">
        <f t="shared" si="5"/>
        <v>1</v>
      </c>
      <c r="AG206" s="187" t="s">
        <v>4156</v>
      </c>
    </row>
    <row r="207" spans="31:33">
      <c r="AE207" s="187" t="s">
        <v>3842</v>
      </c>
      <c r="AF207" s="187">
        <f t="shared" si="5"/>
        <v>1</v>
      </c>
      <c r="AG207" s="187" t="s">
        <v>3472</v>
      </c>
    </row>
    <row r="208" spans="31:33">
      <c r="AE208" s="187" t="s">
        <v>3843</v>
      </c>
      <c r="AF208" s="187">
        <f t="shared" si="5"/>
        <v>1</v>
      </c>
      <c r="AG208" s="187" t="s">
        <v>3473</v>
      </c>
    </row>
    <row r="209" spans="31:33">
      <c r="AE209" s="187" t="s">
        <v>3844</v>
      </c>
      <c r="AF209" s="187">
        <f t="shared" si="5"/>
        <v>1</v>
      </c>
      <c r="AG209" s="187" t="s">
        <v>3450</v>
      </c>
    </row>
    <row r="210" spans="31:33">
      <c r="AE210" s="187" t="s">
        <v>3845</v>
      </c>
      <c r="AF210" s="187">
        <f t="shared" si="5"/>
        <v>1</v>
      </c>
      <c r="AG210" s="187" t="s">
        <v>4157</v>
      </c>
    </row>
    <row r="211" spans="31:33">
      <c r="AE211" s="187" t="s">
        <v>3846</v>
      </c>
      <c r="AF211" s="187">
        <f t="shared" si="5"/>
        <v>1</v>
      </c>
      <c r="AG211" s="187" t="s">
        <v>4158</v>
      </c>
    </row>
    <row r="212" spans="31:33">
      <c r="AE212" s="187" t="s">
        <v>3847</v>
      </c>
      <c r="AF212" s="187">
        <f t="shared" si="5"/>
        <v>1</v>
      </c>
      <c r="AG212" s="187" t="s">
        <v>4159</v>
      </c>
    </row>
    <row r="213" spans="31:33">
      <c r="AF213" s="187">
        <f t="shared" si="5"/>
        <v>1</v>
      </c>
      <c r="AG213" s="187" t="s">
        <v>4160</v>
      </c>
    </row>
    <row r="214" spans="31:33">
      <c r="AF214" s="187">
        <f t="shared" si="5"/>
        <v>1</v>
      </c>
      <c r="AG214" s="187" t="s">
        <v>3458</v>
      </c>
    </row>
    <row r="215" spans="31:33">
      <c r="AF215" s="187">
        <f t="shared" si="5"/>
        <v>1</v>
      </c>
      <c r="AG215" s="187" t="s">
        <v>3474</v>
      </c>
    </row>
    <row r="216" spans="31:33">
      <c r="AF216" s="187">
        <f t="shared" si="5"/>
        <v>1</v>
      </c>
      <c r="AG216" s="187" t="s">
        <v>3475</v>
      </c>
    </row>
    <row r="217" spans="31:33">
      <c r="AF217" s="187">
        <f t="shared" si="5"/>
        <v>1</v>
      </c>
      <c r="AG217" s="187" t="s">
        <v>4161</v>
      </c>
    </row>
    <row r="218" spans="31:33">
      <c r="AF218" s="187">
        <f t="shared" si="5"/>
        <v>1</v>
      </c>
      <c r="AG218" s="187" t="s">
        <v>4162</v>
      </c>
    </row>
    <row r="219" spans="31:33">
      <c r="AF219" s="187">
        <f t="shared" si="5"/>
        <v>1</v>
      </c>
      <c r="AG219" s="187" t="s">
        <v>4163</v>
      </c>
    </row>
    <row r="220" spans="31:33">
      <c r="AF220" s="187">
        <f t="shared" si="5"/>
        <v>1</v>
      </c>
      <c r="AG220" s="187" t="s">
        <v>3476</v>
      </c>
    </row>
    <row r="221" spans="31:33">
      <c r="AF221" s="187">
        <f t="shared" si="5"/>
        <v>1</v>
      </c>
      <c r="AG221" s="187" t="s">
        <v>4164</v>
      </c>
    </row>
    <row r="222" spans="31:33">
      <c r="AF222" s="187">
        <f t="shared" si="5"/>
        <v>1</v>
      </c>
      <c r="AG222" s="187" t="s">
        <v>3477</v>
      </c>
    </row>
    <row r="223" spans="31:33">
      <c r="AF223" s="187">
        <f t="shared" si="5"/>
        <v>1</v>
      </c>
      <c r="AG223" s="187" t="s">
        <v>4165</v>
      </c>
    </row>
    <row r="224" spans="31:33">
      <c r="AF224" s="187">
        <f t="shared" si="5"/>
        <v>1</v>
      </c>
      <c r="AG224" s="187" t="s">
        <v>4166</v>
      </c>
    </row>
    <row r="225" spans="32:33">
      <c r="AF225" s="187">
        <f t="shared" si="5"/>
        <v>1</v>
      </c>
      <c r="AG225" s="187" t="s">
        <v>4167</v>
      </c>
    </row>
    <row r="226" spans="32:33">
      <c r="AF226" s="187">
        <f t="shared" si="5"/>
        <v>1</v>
      </c>
      <c r="AG226" s="187" t="s">
        <v>4168</v>
      </c>
    </row>
    <row r="227" spans="32:33">
      <c r="AF227" s="187">
        <f t="shared" si="5"/>
        <v>1</v>
      </c>
      <c r="AG227" s="187" t="s">
        <v>4169</v>
      </c>
    </row>
    <row r="228" spans="32:33">
      <c r="AF228" s="187">
        <f t="shared" si="5"/>
        <v>1</v>
      </c>
      <c r="AG228" s="187" t="s">
        <v>3451</v>
      </c>
    </row>
    <row r="229" spans="32:33">
      <c r="AF229" s="187">
        <f t="shared" si="5"/>
        <v>1</v>
      </c>
      <c r="AG229" s="187" t="s">
        <v>4170</v>
      </c>
    </row>
    <row r="230" spans="32:33">
      <c r="AF230" s="187">
        <f t="shared" si="5"/>
        <v>1</v>
      </c>
      <c r="AG230" s="187" t="s">
        <v>4171</v>
      </c>
    </row>
    <row r="231" spans="32:33">
      <c r="AF231" s="187">
        <f t="shared" si="5"/>
        <v>1</v>
      </c>
      <c r="AG231" s="187" t="s">
        <v>3478</v>
      </c>
    </row>
    <row r="232" spans="32:33">
      <c r="AF232" s="187">
        <f t="shared" si="5"/>
        <v>1</v>
      </c>
      <c r="AG232" s="187" t="s">
        <v>4172</v>
      </c>
    </row>
    <row r="233" spans="32:33">
      <c r="AF233" s="187">
        <f t="shared" si="5"/>
        <v>1</v>
      </c>
      <c r="AG233" s="187" t="s">
        <v>4173</v>
      </c>
    </row>
    <row r="234" spans="32:33">
      <c r="AF234" s="187">
        <f t="shared" si="5"/>
        <v>1</v>
      </c>
      <c r="AG234" s="187" t="s">
        <v>3452</v>
      </c>
    </row>
    <row r="235" spans="32:33">
      <c r="AF235" s="187">
        <f t="shared" si="5"/>
        <v>1</v>
      </c>
      <c r="AG235" s="187" t="s">
        <v>4174</v>
      </c>
    </row>
    <row r="236" spans="32:33">
      <c r="AF236" s="187">
        <f t="shared" si="5"/>
        <v>1</v>
      </c>
      <c r="AG236" s="187" t="s">
        <v>3459</v>
      </c>
    </row>
    <row r="237" spans="32:33">
      <c r="AF237" s="187">
        <f t="shared" si="5"/>
        <v>1</v>
      </c>
      <c r="AG237" s="187" t="s">
        <v>4175</v>
      </c>
    </row>
    <row r="238" spans="32:33">
      <c r="AF238" s="187">
        <f t="shared" si="5"/>
        <v>1</v>
      </c>
      <c r="AG238" s="187" t="s">
        <v>4176</v>
      </c>
    </row>
    <row r="239" spans="32:33">
      <c r="AF239" s="187">
        <f t="shared" si="5"/>
        <v>1</v>
      </c>
      <c r="AG239" s="187" t="s">
        <v>4177</v>
      </c>
    </row>
    <row r="240" spans="32:33">
      <c r="AF240" s="187">
        <f t="shared" si="5"/>
        <v>1</v>
      </c>
      <c r="AG240" s="187" t="s">
        <v>4178</v>
      </c>
    </row>
    <row r="241" spans="32:33">
      <c r="AF241" s="187">
        <f t="shared" si="5"/>
        <v>1</v>
      </c>
      <c r="AG241" s="187" t="s">
        <v>4179</v>
      </c>
    </row>
    <row r="242" spans="32:33">
      <c r="AF242" s="187">
        <f t="shared" si="5"/>
        <v>1</v>
      </c>
      <c r="AG242" s="187" t="s">
        <v>4180</v>
      </c>
    </row>
    <row r="243" spans="32:33">
      <c r="AF243" s="187">
        <f t="shared" si="5"/>
        <v>1</v>
      </c>
      <c r="AG243" s="187" t="s">
        <v>4181</v>
      </c>
    </row>
    <row r="244" spans="32:33">
      <c r="AF244" s="187">
        <f t="shared" si="5"/>
        <v>1</v>
      </c>
      <c r="AG244" s="187" t="s">
        <v>4182</v>
      </c>
    </row>
    <row r="245" spans="32:33">
      <c r="AF245" s="187">
        <f t="shared" si="5"/>
        <v>1</v>
      </c>
      <c r="AG245" s="187" t="s">
        <v>4183</v>
      </c>
    </row>
    <row r="246" spans="32:33">
      <c r="AF246" s="187">
        <f t="shared" si="5"/>
        <v>1</v>
      </c>
      <c r="AG246" s="187" t="s">
        <v>4184</v>
      </c>
    </row>
    <row r="247" spans="32:33">
      <c r="AF247" s="187">
        <f t="shared" si="5"/>
        <v>1</v>
      </c>
      <c r="AG247" s="187" t="s">
        <v>3479</v>
      </c>
    </row>
    <row r="248" spans="32:33">
      <c r="AF248" s="187">
        <f t="shared" si="5"/>
        <v>1</v>
      </c>
      <c r="AG248" s="187" t="s">
        <v>4185</v>
      </c>
    </row>
    <row r="249" spans="32:33">
      <c r="AF249" s="187">
        <f t="shared" si="5"/>
        <v>1</v>
      </c>
      <c r="AG249" s="187" t="s">
        <v>4186</v>
      </c>
    </row>
    <row r="250" spans="32:33">
      <c r="AF250" s="187">
        <f t="shared" si="5"/>
        <v>1</v>
      </c>
      <c r="AG250" s="187" t="s">
        <v>4187</v>
      </c>
    </row>
    <row r="251" spans="32:33">
      <c r="AF251" s="187">
        <f t="shared" si="5"/>
        <v>1</v>
      </c>
      <c r="AG251" s="187" t="s">
        <v>4188</v>
      </c>
    </row>
    <row r="252" spans="32:33">
      <c r="AF252" s="187">
        <f t="shared" si="5"/>
        <v>1</v>
      </c>
      <c r="AG252" s="187" t="s">
        <v>4189</v>
      </c>
    </row>
    <row r="253" spans="32:33">
      <c r="AF253" s="187">
        <f t="shared" si="5"/>
        <v>1</v>
      </c>
      <c r="AG253" s="187" t="s">
        <v>4190</v>
      </c>
    </row>
    <row r="254" spans="32:33">
      <c r="AF254" s="187">
        <f t="shared" si="5"/>
        <v>1</v>
      </c>
      <c r="AG254" s="187" t="s">
        <v>4191</v>
      </c>
    </row>
    <row r="255" spans="32:33">
      <c r="AF255" s="187">
        <f t="shared" si="5"/>
        <v>1</v>
      </c>
      <c r="AG255" s="187" t="s">
        <v>4192</v>
      </c>
    </row>
    <row r="256" spans="32:33">
      <c r="AF256" s="187">
        <f t="shared" si="5"/>
        <v>1</v>
      </c>
      <c r="AG256" s="187" t="s">
        <v>4193</v>
      </c>
    </row>
    <row r="257" spans="32:33">
      <c r="AF257" s="187">
        <f t="shared" si="5"/>
        <v>1</v>
      </c>
      <c r="AG257" s="187" t="s">
        <v>3480</v>
      </c>
    </row>
    <row r="258" spans="32:33">
      <c r="AF258" s="187">
        <f t="shared" ref="AF258:AF321" si="6">IF(ISERROR(SEARCH($S$47,AG258)),"",$S$48)</f>
        <v>1</v>
      </c>
      <c r="AG258" s="187" t="s">
        <v>4194</v>
      </c>
    </row>
    <row r="259" spans="32:33">
      <c r="AF259" s="187">
        <f t="shared" si="6"/>
        <v>1</v>
      </c>
      <c r="AG259" s="187" t="s">
        <v>4195</v>
      </c>
    </row>
    <row r="260" spans="32:33">
      <c r="AF260" s="187">
        <f t="shared" si="6"/>
        <v>1</v>
      </c>
      <c r="AG260" s="187" t="s">
        <v>3460</v>
      </c>
    </row>
    <row r="261" spans="32:33">
      <c r="AF261" s="187">
        <f t="shared" si="6"/>
        <v>1</v>
      </c>
      <c r="AG261" s="187" t="s">
        <v>4196</v>
      </c>
    </row>
    <row r="262" spans="32:33">
      <c r="AF262" s="187">
        <f t="shared" si="6"/>
        <v>1</v>
      </c>
      <c r="AG262" s="187" t="s">
        <v>4197</v>
      </c>
    </row>
    <row r="263" spans="32:33">
      <c r="AF263" s="187">
        <f t="shared" si="6"/>
        <v>1</v>
      </c>
      <c r="AG263" s="187" t="s">
        <v>4198</v>
      </c>
    </row>
    <row r="264" spans="32:33">
      <c r="AF264" s="187">
        <f t="shared" si="6"/>
        <v>1</v>
      </c>
      <c r="AG264" s="187" t="s">
        <v>3461</v>
      </c>
    </row>
    <row r="265" spans="32:33">
      <c r="AF265" s="187">
        <f t="shared" si="6"/>
        <v>1</v>
      </c>
      <c r="AG265" s="187" t="s">
        <v>3481</v>
      </c>
    </row>
    <row r="266" spans="32:33">
      <c r="AF266" s="187">
        <f t="shared" si="6"/>
        <v>1</v>
      </c>
      <c r="AG266" s="187" t="s">
        <v>3482</v>
      </c>
    </row>
    <row r="267" spans="32:33">
      <c r="AF267" s="187">
        <f t="shared" si="6"/>
        <v>1</v>
      </c>
      <c r="AG267" s="187" t="s">
        <v>3483</v>
      </c>
    </row>
    <row r="268" spans="32:33">
      <c r="AF268" s="187">
        <f t="shared" si="6"/>
        <v>1</v>
      </c>
      <c r="AG268" s="187" t="s">
        <v>4199</v>
      </c>
    </row>
    <row r="269" spans="32:33">
      <c r="AF269" s="187" t="str">
        <f t="shared" si="6"/>
        <v/>
      </c>
      <c r="AG269" s="187" t="s">
        <v>3492</v>
      </c>
    </row>
    <row r="270" spans="32:33">
      <c r="AF270" s="187" t="str">
        <f t="shared" si="6"/>
        <v/>
      </c>
      <c r="AG270" s="187" t="s">
        <v>3493</v>
      </c>
    </row>
    <row r="271" spans="32:33">
      <c r="AF271" s="187" t="str">
        <f t="shared" si="6"/>
        <v/>
      </c>
      <c r="AG271" s="187" t="s">
        <v>3494</v>
      </c>
    </row>
    <row r="272" spans="32:33">
      <c r="AF272" s="187" t="str">
        <f t="shared" si="6"/>
        <v/>
      </c>
      <c r="AG272" s="187" t="s">
        <v>3515</v>
      </c>
    </row>
    <row r="273" spans="32:33">
      <c r="AF273" s="187" t="str">
        <f t="shared" si="6"/>
        <v/>
      </c>
      <c r="AG273" s="187" t="s">
        <v>3510</v>
      </c>
    </row>
    <row r="274" spans="32:33">
      <c r="AF274" s="187" t="str">
        <f t="shared" si="6"/>
        <v/>
      </c>
      <c r="AG274" s="187" t="s">
        <v>3511</v>
      </c>
    </row>
    <row r="275" spans="32:33">
      <c r="AF275" s="187" t="str">
        <f t="shared" si="6"/>
        <v/>
      </c>
      <c r="AG275" s="187" t="s">
        <v>3512</v>
      </c>
    </row>
    <row r="276" spans="32:33">
      <c r="AF276" s="187" t="str">
        <f t="shared" si="6"/>
        <v/>
      </c>
      <c r="AG276" s="187" t="s">
        <v>3513</v>
      </c>
    </row>
    <row r="277" spans="32:33">
      <c r="AF277" s="187" t="str">
        <f t="shared" si="6"/>
        <v/>
      </c>
      <c r="AG277" s="187" t="s">
        <v>3514</v>
      </c>
    </row>
    <row r="278" spans="32:33">
      <c r="AF278" s="187" t="str">
        <f t="shared" si="6"/>
        <v/>
      </c>
      <c r="AG278" s="187" t="s">
        <v>3516</v>
      </c>
    </row>
    <row r="279" spans="32:33">
      <c r="AF279" s="187" t="str">
        <f t="shared" si="6"/>
        <v/>
      </c>
      <c r="AG279" s="187" t="s">
        <v>3517</v>
      </c>
    </row>
    <row r="280" spans="32:33">
      <c r="AF280" s="187" t="str">
        <f t="shared" si="6"/>
        <v/>
      </c>
      <c r="AG280" s="187" t="s">
        <v>3518</v>
      </c>
    </row>
    <row r="281" spans="32:33">
      <c r="AF281" s="187" t="str">
        <f t="shared" si="6"/>
        <v/>
      </c>
      <c r="AG281" s="187" t="s">
        <v>3519</v>
      </c>
    </row>
    <row r="282" spans="32:33">
      <c r="AF282" s="187" t="str">
        <f t="shared" si="6"/>
        <v/>
      </c>
      <c r="AG282" s="187" t="s">
        <v>3520</v>
      </c>
    </row>
    <row r="283" spans="32:33">
      <c r="AF283" s="187" t="str">
        <f t="shared" si="6"/>
        <v/>
      </c>
      <c r="AG283" s="187" t="s">
        <v>2216</v>
      </c>
    </row>
    <row r="284" spans="32:33">
      <c r="AF284" s="187" t="str">
        <f t="shared" si="6"/>
        <v/>
      </c>
      <c r="AG284" s="187" t="s">
        <v>2214</v>
      </c>
    </row>
    <row r="285" spans="32:33">
      <c r="AF285" s="187" t="str">
        <f t="shared" si="6"/>
        <v/>
      </c>
      <c r="AG285" s="187" t="s">
        <v>2215</v>
      </c>
    </row>
    <row r="286" spans="32:33">
      <c r="AF286" s="187" t="str">
        <f t="shared" si="6"/>
        <v/>
      </c>
      <c r="AG286" s="187" t="s">
        <v>2219</v>
      </c>
    </row>
    <row r="287" spans="32:33">
      <c r="AF287" s="187" t="str">
        <f t="shared" si="6"/>
        <v/>
      </c>
      <c r="AG287" s="187" t="s">
        <v>2213</v>
      </c>
    </row>
    <row r="288" spans="32:33">
      <c r="AF288" s="187" t="str">
        <f t="shared" si="6"/>
        <v/>
      </c>
      <c r="AG288" s="187" t="s">
        <v>2217</v>
      </c>
    </row>
    <row r="289" spans="32:33">
      <c r="AF289" s="187" t="str">
        <f t="shared" si="6"/>
        <v/>
      </c>
      <c r="AG289" s="187" t="s">
        <v>2218</v>
      </c>
    </row>
    <row r="290" spans="32:33">
      <c r="AF290" s="187" t="str">
        <f t="shared" si="6"/>
        <v/>
      </c>
      <c r="AG290" s="187" t="s">
        <v>2220</v>
      </c>
    </row>
    <row r="291" spans="32:33">
      <c r="AF291" s="187" t="str">
        <f t="shared" si="6"/>
        <v/>
      </c>
      <c r="AG291" s="187" t="s">
        <v>3503</v>
      </c>
    </row>
    <row r="292" spans="32:33">
      <c r="AF292" s="187" t="str">
        <f t="shared" si="6"/>
        <v/>
      </c>
      <c r="AG292" s="187" t="s">
        <v>3505</v>
      </c>
    </row>
    <row r="293" spans="32:33">
      <c r="AF293" s="187" t="str">
        <f t="shared" si="6"/>
        <v/>
      </c>
      <c r="AG293" s="187" t="s">
        <v>3506</v>
      </c>
    </row>
    <row r="294" spans="32:33">
      <c r="AF294" s="187" t="str">
        <f t="shared" si="6"/>
        <v/>
      </c>
      <c r="AG294" s="187" t="s">
        <v>3504</v>
      </c>
    </row>
    <row r="295" spans="32:33">
      <c r="AF295" s="187" t="str">
        <f t="shared" si="6"/>
        <v/>
      </c>
      <c r="AG295" s="187" t="s">
        <v>2370</v>
      </c>
    </row>
    <row r="296" spans="32:33">
      <c r="AF296" s="187" t="str">
        <f t="shared" si="6"/>
        <v/>
      </c>
      <c r="AG296" s="187" t="s">
        <v>2368</v>
      </c>
    </row>
    <row r="297" spans="32:33">
      <c r="AF297" s="187" t="str">
        <f t="shared" si="6"/>
        <v/>
      </c>
      <c r="AG297" s="187" t="s">
        <v>2369</v>
      </c>
    </row>
    <row r="298" spans="32:33">
      <c r="AF298" s="187" t="str">
        <f t="shared" si="6"/>
        <v/>
      </c>
      <c r="AG298" s="187" t="s">
        <v>3353</v>
      </c>
    </row>
    <row r="299" spans="32:33">
      <c r="AF299" s="187" t="str">
        <f t="shared" si="6"/>
        <v/>
      </c>
      <c r="AG299" s="187" t="s">
        <v>3354</v>
      </c>
    </row>
    <row r="300" spans="32:33">
      <c r="AF300" s="187" t="str">
        <f t="shared" si="6"/>
        <v/>
      </c>
      <c r="AG300" s="187" t="s">
        <v>3355</v>
      </c>
    </row>
    <row r="301" spans="32:33">
      <c r="AF301" s="187" t="str">
        <f t="shared" si="6"/>
        <v/>
      </c>
      <c r="AG301" s="187" t="s">
        <v>3356</v>
      </c>
    </row>
    <row r="302" spans="32:33">
      <c r="AF302" s="187" t="str">
        <f t="shared" si="6"/>
        <v/>
      </c>
      <c r="AG302" s="187" t="s">
        <v>3357</v>
      </c>
    </row>
    <row r="303" spans="32:33">
      <c r="AF303" s="187" t="str">
        <f t="shared" si="6"/>
        <v/>
      </c>
      <c r="AG303" s="187" t="s">
        <v>3358</v>
      </c>
    </row>
    <row r="304" spans="32:33">
      <c r="AF304" s="187" t="str">
        <f t="shared" si="6"/>
        <v/>
      </c>
      <c r="AG304" s="187" t="s">
        <v>3359</v>
      </c>
    </row>
    <row r="305" spans="32:33">
      <c r="AF305" s="187" t="str">
        <f t="shared" si="6"/>
        <v/>
      </c>
      <c r="AG305" s="187" t="s">
        <v>3360</v>
      </c>
    </row>
    <row r="306" spans="32:33">
      <c r="AF306" s="187" t="str">
        <f t="shared" si="6"/>
        <v/>
      </c>
      <c r="AG306" s="187" t="s">
        <v>3361</v>
      </c>
    </row>
    <row r="307" spans="32:33">
      <c r="AF307" s="187" t="str">
        <f t="shared" si="6"/>
        <v/>
      </c>
      <c r="AG307" s="187" t="s">
        <v>3362</v>
      </c>
    </row>
    <row r="308" spans="32:33">
      <c r="AF308" s="187" t="str">
        <f t="shared" si="6"/>
        <v/>
      </c>
      <c r="AG308" s="187" t="s">
        <v>3363</v>
      </c>
    </row>
    <row r="309" spans="32:33">
      <c r="AF309" s="187" t="str">
        <f t="shared" si="6"/>
        <v/>
      </c>
      <c r="AG309" s="187" t="s">
        <v>3364</v>
      </c>
    </row>
    <row r="310" spans="32:33">
      <c r="AF310" s="187" t="str">
        <f t="shared" si="6"/>
        <v/>
      </c>
      <c r="AG310" s="187" t="s">
        <v>3365</v>
      </c>
    </row>
    <row r="311" spans="32:33">
      <c r="AF311" s="187" t="str">
        <f t="shared" si="6"/>
        <v/>
      </c>
      <c r="AG311" s="187" t="s">
        <v>3428</v>
      </c>
    </row>
    <row r="312" spans="32:33">
      <c r="AF312" s="187" t="str">
        <f t="shared" si="6"/>
        <v/>
      </c>
      <c r="AG312" s="187" t="s">
        <v>3427</v>
      </c>
    </row>
    <row r="313" spans="32:33">
      <c r="AF313" s="187" t="str">
        <f t="shared" si="6"/>
        <v/>
      </c>
      <c r="AG313" s="187" t="s">
        <v>3426</v>
      </c>
    </row>
    <row r="314" spans="32:33">
      <c r="AF314" s="187" t="str">
        <f t="shared" si="6"/>
        <v/>
      </c>
      <c r="AG314" s="187" t="s">
        <v>3425</v>
      </c>
    </row>
    <row r="315" spans="32:33">
      <c r="AF315" s="187" t="str">
        <f t="shared" si="6"/>
        <v/>
      </c>
      <c r="AG315" s="187" t="s">
        <v>3424</v>
      </c>
    </row>
    <row r="316" spans="32:33">
      <c r="AF316" s="187" t="str">
        <f t="shared" si="6"/>
        <v/>
      </c>
      <c r="AG316" s="187" t="s">
        <v>3412</v>
      </c>
    </row>
    <row r="317" spans="32:33">
      <c r="AF317" s="187" t="str">
        <f t="shared" si="6"/>
        <v/>
      </c>
      <c r="AG317" s="187" t="s">
        <v>3423</v>
      </c>
    </row>
    <row r="318" spans="32:33">
      <c r="AF318" s="187" t="str">
        <f t="shared" si="6"/>
        <v/>
      </c>
      <c r="AG318" s="187" t="s">
        <v>3422</v>
      </c>
    </row>
    <row r="319" spans="32:33">
      <c r="AF319" s="187" t="str">
        <f t="shared" si="6"/>
        <v/>
      </c>
      <c r="AG319" s="187" t="s">
        <v>3421</v>
      </c>
    </row>
    <row r="320" spans="32:33">
      <c r="AF320" s="187" t="str">
        <f t="shared" si="6"/>
        <v/>
      </c>
      <c r="AG320" s="187" t="s">
        <v>3420</v>
      </c>
    </row>
    <row r="321" spans="32:33">
      <c r="AF321" s="187" t="str">
        <f t="shared" si="6"/>
        <v/>
      </c>
      <c r="AG321" s="187" t="s">
        <v>3419</v>
      </c>
    </row>
    <row r="322" spans="32:33">
      <c r="AF322" s="187" t="str">
        <f t="shared" ref="AF322:AF385" si="7">IF(ISERROR(SEARCH($S$47,AG322)),"",$S$48)</f>
        <v/>
      </c>
      <c r="AG322" s="187" t="s">
        <v>3418</v>
      </c>
    </row>
    <row r="323" spans="32:33">
      <c r="AF323" s="187" t="str">
        <f t="shared" si="7"/>
        <v/>
      </c>
      <c r="AG323" s="187" t="s">
        <v>3411</v>
      </c>
    </row>
    <row r="324" spans="32:33">
      <c r="AF324" s="187" t="str">
        <f t="shared" si="7"/>
        <v/>
      </c>
      <c r="AG324" s="187" t="s">
        <v>3417</v>
      </c>
    </row>
    <row r="325" spans="32:33">
      <c r="AF325" s="187" t="str">
        <f t="shared" si="7"/>
        <v/>
      </c>
      <c r="AG325" s="187" t="s">
        <v>3416</v>
      </c>
    </row>
    <row r="326" spans="32:33">
      <c r="AF326" s="187" t="str">
        <f t="shared" si="7"/>
        <v/>
      </c>
      <c r="AG326" s="187" t="s">
        <v>3415</v>
      </c>
    </row>
    <row r="327" spans="32:33">
      <c r="AF327" s="187" t="str">
        <f t="shared" si="7"/>
        <v/>
      </c>
      <c r="AG327" s="187" t="s">
        <v>3414</v>
      </c>
    </row>
    <row r="328" spans="32:33">
      <c r="AF328" s="187" t="str">
        <f t="shared" si="7"/>
        <v/>
      </c>
      <c r="AG328" s="187" t="s">
        <v>3413</v>
      </c>
    </row>
    <row r="329" spans="32:33">
      <c r="AF329" s="187" t="str">
        <f t="shared" si="7"/>
        <v/>
      </c>
      <c r="AG329" s="187" t="s">
        <v>3099</v>
      </c>
    </row>
    <row r="330" spans="32:33">
      <c r="AF330" s="187" t="str">
        <f t="shared" si="7"/>
        <v/>
      </c>
      <c r="AG330" s="187" t="s">
        <v>3100</v>
      </c>
    </row>
    <row r="331" spans="32:33">
      <c r="AF331" s="187" t="str">
        <f t="shared" si="7"/>
        <v/>
      </c>
      <c r="AG331" s="187" t="s">
        <v>3101</v>
      </c>
    </row>
    <row r="332" spans="32:33">
      <c r="AF332" s="187" t="str">
        <f t="shared" si="7"/>
        <v/>
      </c>
      <c r="AG332" s="187" t="s">
        <v>2313</v>
      </c>
    </row>
    <row r="333" spans="32:33">
      <c r="AF333" s="187" t="str">
        <f t="shared" si="7"/>
        <v/>
      </c>
      <c r="AG333" s="187" t="s">
        <v>2314</v>
      </c>
    </row>
    <row r="334" spans="32:33">
      <c r="AF334" s="187" t="str">
        <f t="shared" si="7"/>
        <v/>
      </c>
      <c r="AG334" s="187" t="s">
        <v>2315</v>
      </c>
    </row>
    <row r="335" spans="32:33">
      <c r="AF335" s="187" t="str">
        <f t="shared" si="7"/>
        <v/>
      </c>
      <c r="AG335" s="187" t="s">
        <v>3394</v>
      </c>
    </row>
    <row r="336" spans="32:33">
      <c r="AF336" s="187" t="str">
        <f t="shared" si="7"/>
        <v/>
      </c>
      <c r="AG336" s="187" t="s">
        <v>3395</v>
      </c>
    </row>
    <row r="337" spans="32:33">
      <c r="AF337" s="187" t="str">
        <f t="shared" si="7"/>
        <v/>
      </c>
      <c r="AG337" s="187" t="s">
        <v>3396</v>
      </c>
    </row>
    <row r="338" spans="32:33">
      <c r="AF338" s="187" t="str">
        <f t="shared" si="7"/>
        <v/>
      </c>
      <c r="AG338" s="187" t="s">
        <v>3397</v>
      </c>
    </row>
    <row r="339" spans="32:33">
      <c r="AF339" s="187" t="str">
        <f t="shared" si="7"/>
        <v/>
      </c>
      <c r="AG339" s="187" t="s">
        <v>1661</v>
      </c>
    </row>
    <row r="340" spans="32:33">
      <c r="AF340" s="187" t="str">
        <f t="shared" si="7"/>
        <v/>
      </c>
      <c r="AG340" s="187" t="s">
        <v>1662</v>
      </c>
    </row>
    <row r="341" spans="32:33">
      <c r="AF341" s="187" t="str">
        <f t="shared" si="7"/>
        <v/>
      </c>
      <c r="AG341" s="187" t="s">
        <v>1663</v>
      </c>
    </row>
    <row r="342" spans="32:33">
      <c r="AF342" s="187" t="str">
        <f t="shared" si="7"/>
        <v/>
      </c>
      <c r="AG342" s="187" t="s">
        <v>1660</v>
      </c>
    </row>
    <row r="343" spans="32:33">
      <c r="AF343" s="187" t="str">
        <f t="shared" si="7"/>
        <v/>
      </c>
      <c r="AG343" s="187" t="s">
        <v>3366</v>
      </c>
    </row>
    <row r="344" spans="32:33">
      <c r="AF344" s="187" t="str">
        <f t="shared" si="7"/>
        <v/>
      </c>
      <c r="AG344" s="187" t="s">
        <v>3367</v>
      </c>
    </row>
    <row r="345" spans="32:33">
      <c r="AF345" s="187" t="str">
        <f t="shared" si="7"/>
        <v/>
      </c>
      <c r="AG345" s="187" t="s">
        <v>3368</v>
      </c>
    </row>
    <row r="346" spans="32:33">
      <c r="AF346" s="187" t="str">
        <f t="shared" si="7"/>
        <v/>
      </c>
      <c r="AG346" s="187" t="s">
        <v>3370</v>
      </c>
    </row>
    <row r="347" spans="32:33">
      <c r="AF347" s="187" t="str">
        <f t="shared" si="7"/>
        <v/>
      </c>
      <c r="AG347" s="187" t="s">
        <v>3371</v>
      </c>
    </row>
    <row r="348" spans="32:33">
      <c r="AF348" s="187" t="str">
        <f t="shared" si="7"/>
        <v/>
      </c>
      <c r="AG348" s="187" t="s">
        <v>3372</v>
      </c>
    </row>
    <row r="349" spans="32:33">
      <c r="AF349" s="187" t="str">
        <f t="shared" si="7"/>
        <v/>
      </c>
      <c r="AG349" s="187" t="s">
        <v>3373</v>
      </c>
    </row>
    <row r="350" spans="32:33">
      <c r="AF350" s="187" t="str">
        <f t="shared" si="7"/>
        <v/>
      </c>
      <c r="AG350" s="187" t="s">
        <v>3374</v>
      </c>
    </row>
    <row r="351" spans="32:33">
      <c r="AF351" s="187" t="str">
        <f t="shared" si="7"/>
        <v/>
      </c>
      <c r="AG351" s="187" t="s">
        <v>3375</v>
      </c>
    </row>
    <row r="352" spans="32:33">
      <c r="AF352" s="187" t="str">
        <f t="shared" si="7"/>
        <v/>
      </c>
      <c r="AG352" s="187" t="s">
        <v>3376</v>
      </c>
    </row>
    <row r="353" spans="32:33">
      <c r="AF353" s="187" t="str">
        <f t="shared" si="7"/>
        <v/>
      </c>
      <c r="AG353" s="187" t="s">
        <v>3369</v>
      </c>
    </row>
    <row r="354" spans="32:33">
      <c r="AF354" s="187" t="str">
        <f t="shared" si="7"/>
        <v/>
      </c>
      <c r="AG354" s="187" t="s">
        <v>3377</v>
      </c>
    </row>
    <row r="355" spans="32:33">
      <c r="AF355" s="187" t="str">
        <f t="shared" si="7"/>
        <v/>
      </c>
      <c r="AG355" s="187" t="s">
        <v>3378</v>
      </c>
    </row>
    <row r="356" spans="32:33">
      <c r="AF356" s="187" t="str">
        <f t="shared" si="7"/>
        <v/>
      </c>
      <c r="AG356" s="187" t="s">
        <v>3344</v>
      </c>
    </row>
    <row r="357" spans="32:33">
      <c r="AF357" s="187" t="str">
        <f t="shared" si="7"/>
        <v/>
      </c>
      <c r="AG357" s="187" t="s">
        <v>3187</v>
      </c>
    </row>
    <row r="358" spans="32:33">
      <c r="AF358" s="187" t="str">
        <f t="shared" si="7"/>
        <v/>
      </c>
      <c r="AG358" s="187" t="s">
        <v>3145</v>
      </c>
    </row>
    <row r="359" spans="32:33">
      <c r="AF359" s="187" t="str">
        <f t="shared" si="7"/>
        <v/>
      </c>
      <c r="AG359" s="187" t="s">
        <v>3188</v>
      </c>
    </row>
    <row r="360" spans="32:33">
      <c r="AF360" s="187" t="str">
        <f t="shared" si="7"/>
        <v/>
      </c>
      <c r="AG360" s="187" t="s">
        <v>3332</v>
      </c>
    </row>
    <row r="361" spans="32:33">
      <c r="AF361" s="187" t="str">
        <f t="shared" si="7"/>
        <v/>
      </c>
      <c r="AG361" s="187" t="s">
        <v>3345</v>
      </c>
    </row>
    <row r="362" spans="32:33">
      <c r="AF362" s="187" t="str">
        <f t="shared" si="7"/>
        <v/>
      </c>
      <c r="AG362" s="187" t="s">
        <v>3146</v>
      </c>
    </row>
    <row r="363" spans="32:33">
      <c r="AF363" s="187" t="str">
        <f t="shared" si="7"/>
        <v/>
      </c>
      <c r="AG363" s="187" t="s">
        <v>3189</v>
      </c>
    </row>
    <row r="364" spans="32:33">
      <c r="AF364" s="187" t="str">
        <f t="shared" si="7"/>
        <v/>
      </c>
      <c r="AG364" s="187" t="s">
        <v>3147</v>
      </c>
    </row>
    <row r="365" spans="32:33">
      <c r="AF365" s="187" t="str">
        <f t="shared" si="7"/>
        <v/>
      </c>
      <c r="AG365" s="187" t="s">
        <v>3190</v>
      </c>
    </row>
    <row r="366" spans="32:33">
      <c r="AF366" s="187" t="str">
        <f t="shared" si="7"/>
        <v/>
      </c>
      <c r="AG366" s="187" t="s">
        <v>3191</v>
      </c>
    </row>
    <row r="367" spans="32:33">
      <c r="AF367" s="187" t="str">
        <f t="shared" si="7"/>
        <v/>
      </c>
      <c r="AG367" s="187" t="s">
        <v>3192</v>
      </c>
    </row>
    <row r="368" spans="32:33">
      <c r="AF368" s="187" t="str">
        <f t="shared" si="7"/>
        <v/>
      </c>
      <c r="AG368" s="187" t="s">
        <v>3148</v>
      </c>
    </row>
    <row r="369" spans="32:33">
      <c r="AF369" s="187" t="str">
        <f t="shared" si="7"/>
        <v/>
      </c>
      <c r="AG369" s="187" t="s">
        <v>3193</v>
      </c>
    </row>
    <row r="370" spans="32:33">
      <c r="AF370" s="187" t="str">
        <f t="shared" si="7"/>
        <v/>
      </c>
      <c r="AG370" s="187" t="s">
        <v>3149</v>
      </c>
    </row>
    <row r="371" spans="32:33">
      <c r="AF371" s="187" t="str">
        <f t="shared" si="7"/>
        <v/>
      </c>
      <c r="AG371" s="187" t="s">
        <v>3301</v>
      </c>
    </row>
    <row r="372" spans="32:33">
      <c r="AF372" s="187" t="str">
        <f t="shared" si="7"/>
        <v/>
      </c>
      <c r="AG372" s="187" t="s">
        <v>3194</v>
      </c>
    </row>
    <row r="373" spans="32:33">
      <c r="AF373" s="187" t="str">
        <f t="shared" si="7"/>
        <v/>
      </c>
      <c r="AG373" s="187" t="s">
        <v>3195</v>
      </c>
    </row>
    <row r="374" spans="32:33">
      <c r="AF374" s="187" t="str">
        <f t="shared" si="7"/>
        <v/>
      </c>
      <c r="AG374" s="187" t="s">
        <v>3196</v>
      </c>
    </row>
    <row r="375" spans="32:33">
      <c r="AF375" s="187" t="str">
        <f t="shared" si="7"/>
        <v/>
      </c>
      <c r="AG375" s="187" t="s">
        <v>3150</v>
      </c>
    </row>
    <row r="376" spans="32:33">
      <c r="AF376" s="187" t="str">
        <f t="shared" si="7"/>
        <v/>
      </c>
      <c r="AG376" s="187" t="s">
        <v>3197</v>
      </c>
    </row>
    <row r="377" spans="32:33">
      <c r="AF377" s="187" t="str">
        <f t="shared" si="7"/>
        <v/>
      </c>
      <c r="AG377" s="187" t="s">
        <v>3151</v>
      </c>
    </row>
    <row r="378" spans="32:33">
      <c r="AF378" s="187" t="str">
        <f t="shared" si="7"/>
        <v/>
      </c>
      <c r="AG378" s="187" t="s">
        <v>3198</v>
      </c>
    </row>
    <row r="379" spans="32:33">
      <c r="AF379" s="187" t="str">
        <f t="shared" si="7"/>
        <v/>
      </c>
      <c r="AG379" s="187" t="s">
        <v>3152</v>
      </c>
    </row>
    <row r="380" spans="32:33">
      <c r="AF380" s="187" t="str">
        <f t="shared" si="7"/>
        <v/>
      </c>
      <c r="AG380" s="187" t="s">
        <v>3199</v>
      </c>
    </row>
    <row r="381" spans="32:33">
      <c r="AF381" s="187" t="str">
        <f t="shared" si="7"/>
        <v/>
      </c>
      <c r="AG381" s="187" t="s">
        <v>3200</v>
      </c>
    </row>
    <row r="382" spans="32:33">
      <c r="AF382" s="187" t="str">
        <f t="shared" si="7"/>
        <v/>
      </c>
      <c r="AG382" s="187" t="s">
        <v>3201</v>
      </c>
    </row>
    <row r="383" spans="32:33">
      <c r="AF383" s="187" t="str">
        <f t="shared" si="7"/>
        <v/>
      </c>
      <c r="AG383" s="187" t="s">
        <v>3202</v>
      </c>
    </row>
    <row r="384" spans="32:33">
      <c r="AF384" s="187" t="str">
        <f t="shared" si="7"/>
        <v/>
      </c>
      <c r="AG384" s="187" t="s">
        <v>3153</v>
      </c>
    </row>
    <row r="385" spans="32:33">
      <c r="AF385" s="187" t="str">
        <f t="shared" si="7"/>
        <v/>
      </c>
      <c r="AG385" s="187" t="s">
        <v>3154</v>
      </c>
    </row>
    <row r="386" spans="32:33">
      <c r="AF386" s="187" t="str">
        <f t="shared" ref="AF386:AF449" si="8">IF(ISERROR(SEARCH($S$47,AG386)),"",$S$48)</f>
        <v/>
      </c>
      <c r="AG386" s="187" t="s">
        <v>3155</v>
      </c>
    </row>
    <row r="387" spans="32:33">
      <c r="AF387" s="187" t="str">
        <f t="shared" si="8"/>
        <v/>
      </c>
      <c r="AG387" s="187" t="s">
        <v>3203</v>
      </c>
    </row>
    <row r="388" spans="32:33">
      <c r="AF388" s="187" t="str">
        <f t="shared" si="8"/>
        <v/>
      </c>
      <c r="AG388" s="187" t="s">
        <v>3204</v>
      </c>
    </row>
    <row r="389" spans="32:33">
      <c r="AF389" s="187" t="str">
        <f t="shared" si="8"/>
        <v/>
      </c>
      <c r="AG389" s="187" t="s">
        <v>3205</v>
      </c>
    </row>
    <row r="390" spans="32:33">
      <c r="AF390" s="187" t="str">
        <f t="shared" si="8"/>
        <v/>
      </c>
      <c r="AG390" s="187" t="s">
        <v>3206</v>
      </c>
    </row>
    <row r="391" spans="32:33">
      <c r="AF391" s="187" t="str">
        <f t="shared" si="8"/>
        <v/>
      </c>
      <c r="AG391" s="187" t="s">
        <v>3156</v>
      </c>
    </row>
    <row r="392" spans="32:33">
      <c r="AF392" s="187" t="str">
        <f t="shared" si="8"/>
        <v/>
      </c>
      <c r="AG392" s="187" t="s">
        <v>3157</v>
      </c>
    </row>
    <row r="393" spans="32:33">
      <c r="AF393" s="187" t="str">
        <f t="shared" si="8"/>
        <v/>
      </c>
      <c r="AG393" s="187" t="s">
        <v>3207</v>
      </c>
    </row>
    <row r="394" spans="32:33">
      <c r="AF394" s="187" t="str">
        <f t="shared" si="8"/>
        <v/>
      </c>
      <c r="AG394" s="187" t="s">
        <v>3208</v>
      </c>
    </row>
    <row r="395" spans="32:33">
      <c r="AF395" s="187" t="str">
        <f t="shared" si="8"/>
        <v/>
      </c>
      <c r="AG395" s="187" t="s">
        <v>3229</v>
      </c>
    </row>
    <row r="396" spans="32:33">
      <c r="AF396" s="187" t="str">
        <f t="shared" si="8"/>
        <v/>
      </c>
      <c r="AG396" s="187" t="s">
        <v>3209</v>
      </c>
    </row>
    <row r="397" spans="32:33">
      <c r="AF397" s="187" t="str">
        <f t="shared" si="8"/>
        <v/>
      </c>
      <c r="AG397" s="187" t="s">
        <v>3210</v>
      </c>
    </row>
    <row r="398" spans="32:33">
      <c r="AF398" s="187" t="str">
        <f t="shared" si="8"/>
        <v/>
      </c>
      <c r="AG398" s="187" t="s">
        <v>3211</v>
      </c>
    </row>
    <row r="399" spans="32:33">
      <c r="AF399" s="187" t="str">
        <f t="shared" si="8"/>
        <v/>
      </c>
      <c r="AG399" s="187" t="s">
        <v>3212</v>
      </c>
    </row>
    <row r="400" spans="32:33">
      <c r="AF400" s="187" t="str">
        <f t="shared" si="8"/>
        <v/>
      </c>
      <c r="AG400" s="187" t="s">
        <v>3213</v>
      </c>
    </row>
    <row r="401" spans="32:33">
      <c r="AF401" s="187" t="str">
        <f t="shared" si="8"/>
        <v/>
      </c>
      <c r="AG401" s="187" t="s">
        <v>3158</v>
      </c>
    </row>
    <row r="402" spans="32:33">
      <c r="AF402" s="187" t="str">
        <f t="shared" si="8"/>
        <v/>
      </c>
      <c r="AG402" s="187" t="s">
        <v>3215</v>
      </c>
    </row>
    <row r="403" spans="32:33">
      <c r="AF403" s="187" t="str">
        <f t="shared" si="8"/>
        <v/>
      </c>
      <c r="AG403" s="187" t="s">
        <v>3216</v>
      </c>
    </row>
    <row r="404" spans="32:33">
      <c r="AF404" s="187" t="str">
        <f t="shared" si="8"/>
        <v/>
      </c>
      <c r="AG404" s="187" t="s">
        <v>3217</v>
      </c>
    </row>
    <row r="405" spans="32:33">
      <c r="AF405" s="187" t="str">
        <f t="shared" si="8"/>
        <v/>
      </c>
      <c r="AG405" s="187" t="s">
        <v>3159</v>
      </c>
    </row>
    <row r="406" spans="32:33">
      <c r="AF406" s="187" t="str">
        <f t="shared" si="8"/>
        <v/>
      </c>
      <c r="AG406" s="187" t="s">
        <v>3218</v>
      </c>
    </row>
    <row r="407" spans="32:33">
      <c r="AF407" s="187" t="str">
        <f t="shared" si="8"/>
        <v/>
      </c>
      <c r="AG407" s="187" t="s">
        <v>3219</v>
      </c>
    </row>
    <row r="408" spans="32:33">
      <c r="AF408" s="187" t="str">
        <f t="shared" si="8"/>
        <v/>
      </c>
      <c r="AG408" s="187" t="s">
        <v>3160</v>
      </c>
    </row>
    <row r="409" spans="32:33">
      <c r="AF409" s="187" t="str">
        <f t="shared" si="8"/>
        <v/>
      </c>
      <c r="AG409" s="187" t="s">
        <v>3220</v>
      </c>
    </row>
    <row r="410" spans="32:33">
      <c r="AF410" s="187" t="str">
        <f t="shared" si="8"/>
        <v/>
      </c>
      <c r="AG410" s="187" t="s">
        <v>3221</v>
      </c>
    </row>
    <row r="411" spans="32:33">
      <c r="AF411" s="187" t="str">
        <f t="shared" si="8"/>
        <v/>
      </c>
      <c r="AG411" s="187" t="s">
        <v>3223</v>
      </c>
    </row>
    <row r="412" spans="32:33">
      <c r="AF412" s="187" t="str">
        <f t="shared" si="8"/>
        <v/>
      </c>
      <c r="AG412" s="187" t="s">
        <v>3161</v>
      </c>
    </row>
    <row r="413" spans="32:33">
      <c r="AF413" s="187" t="str">
        <f t="shared" si="8"/>
        <v/>
      </c>
      <c r="AG413" s="187" t="s">
        <v>3224</v>
      </c>
    </row>
    <row r="414" spans="32:33">
      <c r="AF414" s="187" t="str">
        <f t="shared" si="8"/>
        <v/>
      </c>
      <c r="AG414" s="187" t="s">
        <v>3225</v>
      </c>
    </row>
    <row r="415" spans="32:33">
      <c r="AF415" s="187" t="str">
        <f t="shared" si="8"/>
        <v/>
      </c>
      <c r="AG415" s="187" t="s">
        <v>3270</v>
      </c>
    </row>
    <row r="416" spans="32:33">
      <c r="AF416" s="187" t="str">
        <f t="shared" si="8"/>
        <v/>
      </c>
      <c r="AG416" s="187" t="s">
        <v>3226</v>
      </c>
    </row>
    <row r="417" spans="32:33">
      <c r="AF417" s="187" t="str">
        <f t="shared" si="8"/>
        <v/>
      </c>
      <c r="AG417" s="187" t="s">
        <v>3227</v>
      </c>
    </row>
    <row r="418" spans="32:33">
      <c r="AF418" s="187" t="str">
        <f t="shared" si="8"/>
        <v/>
      </c>
      <c r="AG418" s="187" t="s">
        <v>3228</v>
      </c>
    </row>
    <row r="419" spans="32:33">
      <c r="AF419" s="187" t="str">
        <f t="shared" si="8"/>
        <v/>
      </c>
      <c r="AG419" s="187" t="s">
        <v>3162</v>
      </c>
    </row>
    <row r="420" spans="32:33">
      <c r="AF420" s="187" t="str">
        <f t="shared" si="8"/>
        <v/>
      </c>
      <c r="AG420" s="187" t="s">
        <v>3163</v>
      </c>
    </row>
    <row r="421" spans="32:33">
      <c r="AF421" s="187" t="str">
        <f t="shared" si="8"/>
        <v/>
      </c>
      <c r="AG421" s="187" t="s">
        <v>3230</v>
      </c>
    </row>
    <row r="422" spans="32:33">
      <c r="AF422" s="187" t="str">
        <f t="shared" si="8"/>
        <v/>
      </c>
      <c r="AG422" s="187" t="s">
        <v>3232</v>
      </c>
    </row>
    <row r="423" spans="32:33">
      <c r="AF423" s="187" t="str">
        <f t="shared" si="8"/>
        <v/>
      </c>
      <c r="AG423" s="187" t="s">
        <v>3214</v>
      </c>
    </row>
    <row r="424" spans="32:33">
      <c r="AF424" s="187" t="str">
        <f t="shared" si="8"/>
        <v/>
      </c>
      <c r="AG424" s="187" t="s">
        <v>3233</v>
      </c>
    </row>
    <row r="425" spans="32:33">
      <c r="AF425" s="187" t="str">
        <f t="shared" si="8"/>
        <v/>
      </c>
      <c r="AG425" s="187" t="s">
        <v>3234</v>
      </c>
    </row>
    <row r="426" spans="32:33">
      <c r="AF426" s="187" t="str">
        <f t="shared" si="8"/>
        <v/>
      </c>
      <c r="AG426" s="187" t="s">
        <v>3273</v>
      </c>
    </row>
    <row r="427" spans="32:33">
      <c r="AF427" s="187" t="str">
        <f t="shared" si="8"/>
        <v/>
      </c>
      <c r="AG427" s="187" t="s">
        <v>3164</v>
      </c>
    </row>
    <row r="428" spans="32:33">
      <c r="AF428" s="187" t="str">
        <f t="shared" si="8"/>
        <v/>
      </c>
      <c r="AG428" s="187" t="s">
        <v>3235</v>
      </c>
    </row>
    <row r="429" spans="32:33">
      <c r="AF429" s="187" t="str">
        <f t="shared" si="8"/>
        <v/>
      </c>
      <c r="AG429" s="187" t="s">
        <v>3236</v>
      </c>
    </row>
    <row r="430" spans="32:33">
      <c r="AF430" s="187" t="str">
        <f t="shared" si="8"/>
        <v/>
      </c>
      <c r="AG430" s="187" t="s">
        <v>3237</v>
      </c>
    </row>
    <row r="431" spans="32:33">
      <c r="AF431" s="187" t="str">
        <f t="shared" si="8"/>
        <v/>
      </c>
      <c r="AG431" s="187" t="s">
        <v>3238</v>
      </c>
    </row>
    <row r="432" spans="32:33">
      <c r="AF432" s="187" t="str">
        <f t="shared" si="8"/>
        <v/>
      </c>
      <c r="AG432" s="187" t="s">
        <v>3165</v>
      </c>
    </row>
    <row r="433" spans="32:33">
      <c r="AF433" s="187" t="str">
        <f t="shared" si="8"/>
        <v/>
      </c>
      <c r="AG433" s="187" t="s">
        <v>3239</v>
      </c>
    </row>
    <row r="434" spans="32:33">
      <c r="AF434" s="187" t="str">
        <f t="shared" si="8"/>
        <v/>
      </c>
      <c r="AG434" s="187" t="s">
        <v>3166</v>
      </c>
    </row>
    <row r="435" spans="32:33">
      <c r="AF435" s="187" t="str">
        <f t="shared" si="8"/>
        <v/>
      </c>
      <c r="AG435" s="187" t="s">
        <v>3240</v>
      </c>
    </row>
    <row r="436" spans="32:33">
      <c r="AF436" s="187" t="str">
        <f t="shared" si="8"/>
        <v/>
      </c>
      <c r="AG436" s="187" t="s">
        <v>3167</v>
      </c>
    </row>
    <row r="437" spans="32:33">
      <c r="AF437" s="187" t="str">
        <f t="shared" si="8"/>
        <v/>
      </c>
      <c r="AG437" s="187" t="s">
        <v>3241</v>
      </c>
    </row>
    <row r="438" spans="32:33">
      <c r="AF438" s="187" t="str">
        <f t="shared" si="8"/>
        <v/>
      </c>
      <c r="AG438" s="187" t="s">
        <v>3168</v>
      </c>
    </row>
    <row r="439" spans="32:33">
      <c r="AF439" s="187" t="str">
        <f t="shared" si="8"/>
        <v/>
      </c>
      <c r="AG439" s="187" t="s">
        <v>3242</v>
      </c>
    </row>
    <row r="440" spans="32:33">
      <c r="AF440" s="187" t="str">
        <f t="shared" si="8"/>
        <v/>
      </c>
      <c r="AG440" s="187" t="s">
        <v>3349</v>
      </c>
    </row>
    <row r="441" spans="32:33">
      <c r="AF441" s="187" t="str">
        <f t="shared" si="8"/>
        <v/>
      </c>
      <c r="AG441" s="187" t="s">
        <v>3243</v>
      </c>
    </row>
    <row r="442" spans="32:33">
      <c r="AF442" s="187" t="str">
        <f t="shared" si="8"/>
        <v/>
      </c>
      <c r="AG442" s="187" t="s">
        <v>3244</v>
      </c>
    </row>
    <row r="443" spans="32:33">
      <c r="AF443" s="187" t="str">
        <f t="shared" si="8"/>
        <v/>
      </c>
      <c r="AG443" s="187" t="s">
        <v>3245</v>
      </c>
    </row>
    <row r="444" spans="32:33">
      <c r="AF444" s="187" t="str">
        <f t="shared" si="8"/>
        <v/>
      </c>
      <c r="AG444" s="187" t="s">
        <v>3246</v>
      </c>
    </row>
    <row r="445" spans="32:33">
      <c r="AF445" s="187" t="str">
        <f t="shared" si="8"/>
        <v/>
      </c>
      <c r="AG445" s="187" t="s">
        <v>3350</v>
      </c>
    </row>
    <row r="446" spans="32:33">
      <c r="AF446" s="187" t="str">
        <f t="shared" si="8"/>
        <v/>
      </c>
      <c r="AG446" s="187" t="s">
        <v>3247</v>
      </c>
    </row>
    <row r="447" spans="32:33">
      <c r="AF447" s="187" t="str">
        <f t="shared" si="8"/>
        <v/>
      </c>
      <c r="AG447" s="187" t="s">
        <v>3169</v>
      </c>
    </row>
    <row r="448" spans="32:33">
      <c r="AF448" s="187" t="str">
        <f t="shared" si="8"/>
        <v/>
      </c>
      <c r="AG448" s="187" t="s">
        <v>3170</v>
      </c>
    </row>
    <row r="449" spans="32:33">
      <c r="AF449" s="187" t="str">
        <f t="shared" si="8"/>
        <v/>
      </c>
      <c r="AG449" s="187" t="s">
        <v>3248</v>
      </c>
    </row>
    <row r="450" spans="32:33">
      <c r="AF450" s="187" t="str">
        <f t="shared" ref="AF450:AF513" si="9">IF(ISERROR(SEARCH($S$47,AG450)),"",$S$48)</f>
        <v/>
      </c>
      <c r="AG450" s="187" t="s">
        <v>3249</v>
      </c>
    </row>
    <row r="451" spans="32:33">
      <c r="AF451" s="187" t="str">
        <f t="shared" si="9"/>
        <v/>
      </c>
      <c r="AG451" s="187" t="s">
        <v>3250</v>
      </c>
    </row>
    <row r="452" spans="32:33">
      <c r="AF452" s="187" t="str">
        <f t="shared" si="9"/>
        <v/>
      </c>
      <c r="AG452" s="187" t="s">
        <v>3251</v>
      </c>
    </row>
    <row r="453" spans="32:33">
      <c r="AF453" s="187" t="str">
        <f t="shared" si="9"/>
        <v/>
      </c>
      <c r="AG453" s="187" t="s">
        <v>3252</v>
      </c>
    </row>
    <row r="454" spans="32:33">
      <c r="AF454" s="187" t="str">
        <f t="shared" si="9"/>
        <v/>
      </c>
      <c r="AG454" s="187" t="s">
        <v>3253</v>
      </c>
    </row>
    <row r="455" spans="32:33">
      <c r="AF455" s="187" t="str">
        <f t="shared" si="9"/>
        <v/>
      </c>
      <c r="AG455" s="187" t="s">
        <v>3254</v>
      </c>
    </row>
    <row r="456" spans="32:33">
      <c r="AF456" s="187" t="str">
        <f t="shared" si="9"/>
        <v/>
      </c>
      <c r="AG456" s="187" t="s">
        <v>3255</v>
      </c>
    </row>
    <row r="457" spans="32:33">
      <c r="AF457" s="187" t="str">
        <f t="shared" si="9"/>
        <v/>
      </c>
      <c r="AG457" s="187" t="s">
        <v>3171</v>
      </c>
    </row>
    <row r="458" spans="32:33">
      <c r="AF458" s="187" t="str">
        <f t="shared" si="9"/>
        <v/>
      </c>
      <c r="AG458" s="187" t="s">
        <v>3256</v>
      </c>
    </row>
    <row r="459" spans="32:33">
      <c r="AF459" s="187" t="str">
        <f t="shared" si="9"/>
        <v/>
      </c>
      <c r="AG459" s="187" t="s">
        <v>3257</v>
      </c>
    </row>
    <row r="460" spans="32:33">
      <c r="AF460" s="187" t="str">
        <f t="shared" si="9"/>
        <v/>
      </c>
      <c r="AG460" s="187" t="s">
        <v>3258</v>
      </c>
    </row>
    <row r="461" spans="32:33">
      <c r="AF461" s="187" t="str">
        <f t="shared" si="9"/>
        <v/>
      </c>
      <c r="AG461" s="187" t="s">
        <v>3259</v>
      </c>
    </row>
    <row r="462" spans="32:33">
      <c r="AF462" s="187" t="str">
        <f t="shared" si="9"/>
        <v/>
      </c>
      <c r="AG462" s="187" t="s">
        <v>3260</v>
      </c>
    </row>
    <row r="463" spans="32:33">
      <c r="AF463" s="187" t="str">
        <f t="shared" si="9"/>
        <v/>
      </c>
      <c r="AG463" s="187" t="s">
        <v>3261</v>
      </c>
    </row>
    <row r="464" spans="32:33">
      <c r="AF464" s="187" t="str">
        <f t="shared" si="9"/>
        <v/>
      </c>
      <c r="AG464" s="187" t="s">
        <v>3262</v>
      </c>
    </row>
    <row r="465" spans="32:33">
      <c r="AF465" s="187" t="str">
        <f t="shared" si="9"/>
        <v/>
      </c>
      <c r="AG465" s="187" t="s">
        <v>3263</v>
      </c>
    </row>
    <row r="466" spans="32:33">
      <c r="AF466" s="187" t="str">
        <f t="shared" si="9"/>
        <v/>
      </c>
      <c r="AG466" s="187" t="s">
        <v>3172</v>
      </c>
    </row>
    <row r="467" spans="32:33">
      <c r="AF467" s="187" t="str">
        <f t="shared" si="9"/>
        <v/>
      </c>
      <c r="AG467" s="187" t="s">
        <v>3264</v>
      </c>
    </row>
    <row r="468" spans="32:33">
      <c r="AF468" s="187" t="str">
        <f t="shared" si="9"/>
        <v/>
      </c>
      <c r="AG468" s="187" t="s">
        <v>3265</v>
      </c>
    </row>
    <row r="469" spans="32:33">
      <c r="AF469" s="187" t="str">
        <f t="shared" si="9"/>
        <v/>
      </c>
      <c r="AG469" s="187" t="s">
        <v>3266</v>
      </c>
    </row>
    <row r="470" spans="32:33">
      <c r="AF470" s="187" t="str">
        <f t="shared" si="9"/>
        <v/>
      </c>
      <c r="AG470" s="187" t="s">
        <v>3267</v>
      </c>
    </row>
    <row r="471" spans="32:33">
      <c r="AF471" s="187" t="str">
        <f t="shared" si="9"/>
        <v/>
      </c>
      <c r="AG471" s="187" t="s">
        <v>3268</v>
      </c>
    </row>
    <row r="472" spans="32:33">
      <c r="AF472" s="187" t="str">
        <f t="shared" si="9"/>
        <v/>
      </c>
      <c r="AG472" s="187" t="s">
        <v>3269</v>
      </c>
    </row>
    <row r="473" spans="32:33">
      <c r="AF473" s="187" t="str">
        <f t="shared" si="9"/>
        <v/>
      </c>
      <c r="AG473" s="187" t="s">
        <v>3271</v>
      </c>
    </row>
    <row r="474" spans="32:33">
      <c r="AF474" s="187" t="str">
        <f t="shared" si="9"/>
        <v/>
      </c>
      <c r="AG474" s="187" t="s">
        <v>3173</v>
      </c>
    </row>
    <row r="475" spans="32:33">
      <c r="AF475" s="187" t="str">
        <f t="shared" si="9"/>
        <v/>
      </c>
      <c r="AG475" s="187" t="s">
        <v>3174</v>
      </c>
    </row>
    <row r="476" spans="32:33">
      <c r="AF476" s="187" t="str">
        <f t="shared" si="9"/>
        <v/>
      </c>
      <c r="AG476" s="187" t="s">
        <v>3175</v>
      </c>
    </row>
    <row r="477" spans="32:33">
      <c r="AF477" s="187" t="str">
        <f t="shared" si="9"/>
        <v/>
      </c>
      <c r="AG477" s="187" t="s">
        <v>3272</v>
      </c>
    </row>
    <row r="478" spans="32:33">
      <c r="AF478" s="187" t="str">
        <f t="shared" si="9"/>
        <v/>
      </c>
      <c r="AG478" s="187" t="s">
        <v>3274</v>
      </c>
    </row>
    <row r="479" spans="32:33">
      <c r="AF479" s="187" t="str">
        <f t="shared" si="9"/>
        <v/>
      </c>
      <c r="AG479" s="187" t="s">
        <v>3351</v>
      </c>
    </row>
    <row r="480" spans="32:33">
      <c r="AF480" s="187" t="str">
        <f t="shared" si="9"/>
        <v/>
      </c>
      <c r="AG480" s="187" t="s">
        <v>3275</v>
      </c>
    </row>
    <row r="481" spans="32:33">
      <c r="AF481" s="187" t="str">
        <f t="shared" si="9"/>
        <v/>
      </c>
      <c r="AG481" s="187" t="s">
        <v>3276</v>
      </c>
    </row>
    <row r="482" spans="32:33">
      <c r="AF482" s="187" t="str">
        <f t="shared" si="9"/>
        <v/>
      </c>
      <c r="AG482" s="187" t="s">
        <v>3277</v>
      </c>
    </row>
    <row r="483" spans="32:33">
      <c r="AF483" s="187" t="str">
        <f t="shared" si="9"/>
        <v/>
      </c>
      <c r="AG483" s="187" t="s">
        <v>3278</v>
      </c>
    </row>
    <row r="484" spans="32:33">
      <c r="AF484" s="187" t="str">
        <f t="shared" si="9"/>
        <v/>
      </c>
      <c r="AG484" s="187" t="s">
        <v>3279</v>
      </c>
    </row>
    <row r="485" spans="32:33">
      <c r="AF485" s="187" t="str">
        <f t="shared" si="9"/>
        <v/>
      </c>
      <c r="AG485" s="187" t="s">
        <v>3176</v>
      </c>
    </row>
    <row r="486" spans="32:33">
      <c r="AF486" s="187" t="str">
        <f t="shared" si="9"/>
        <v/>
      </c>
      <c r="AG486" s="187" t="s">
        <v>3280</v>
      </c>
    </row>
    <row r="487" spans="32:33">
      <c r="AF487" s="187" t="str">
        <f t="shared" si="9"/>
        <v/>
      </c>
      <c r="AG487" s="187" t="s">
        <v>3346</v>
      </c>
    </row>
    <row r="488" spans="32:33">
      <c r="AF488" s="187" t="str">
        <f t="shared" si="9"/>
        <v/>
      </c>
      <c r="AG488" s="187" t="s">
        <v>3281</v>
      </c>
    </row>
    <row r="489" spans="32:33">
      <c r="AF489" s="187" t="str">
        <f t="shared" si="9"/>
        <v/>
      </c>
      <c r="AG489" s="187" t="s">
        <v>3283</v>
      </c>
    </row>
    <row r="490" spans="32:33">
      <c r="AF490" s="187" t="str">
        <f t="shared" si="9"/>
        <v/>
      </c>
      <c r="AG490" s="187" t="s">
        <v>3284</v>
      </c>
    </row>
    <row r="491" spans="32:33">
      <c r="AF491" s="187" t="str">
        <f t="shared" si="9"/>
        <v/>
      </c>
      <c r="AG491" s="187" t="s">
        <v>3285</v>
      </c>
    </row>
    <row r="492" spans="32:33">
      <c r="AF492" s="187" t="str">
        <f t="shared" si="9"/>
        <v/>
      </c>
      <c r="AG492" s="187" t="s">
        <v>3177</v>
      </c>
    </row>
    <row r="493" spans="32:33">
      <c r="AF493" s="187" t="str">
        <f t="shared" si="9"/>
        <v/>
      </c>
      <c r="AG493" s="187" t="s">
        <v>3178</v>
      </c>
    </row>
    <row r="494" spans="32:33">
      <c r="AF494" s="187" t="str">
        <f t="shared" si="9"/>
        <v/>
      </c>
      <c r="AG494" s="187" t="s">
        <v>3179</v>
      </c>
    </row>
    <row r="495" spans="32:33">
      <c r="AF495" s="187" t="str">
        <f t="shared" si="9"/>
        <v/>
      </c>
      <c r="AG495" s="187" t="s">
        <v>3286</v>
      </c>
    </row>
    <row r="496" spans="32:33">
      <c r="AF496" s="187" t="str">
        <f t="shared" si="9"/>
        <v/>
      </c>
      <c r="AG496" s="187" t="s">
        <v>3186</v>
      </c>
    </row>
    <row r="497" spans="32:33">
      <c r="AF497" s="187" t="str">
        <f t="shared" si="9"/>
        <v/>
      </c>
      <c r="AG497" s="187" t="s">
        <v>3287</v>
      </c>
    </row>
    <row r="498" spans="32:33">
      <c r="AF498" s="187" t="str">
        <f t="shared" si="9"/>
        <v/>
      </c>
      <c r="AG498" s="187" t="s">
        <v>3352</v>
      </c>
    </row>
    <row r="499" spans="32:33">
      <c r="AF499" s="187" t="str">
        <f t="shared" si="9"/>
        <v/>
      </c>
      <c r="AG499" s="187" t="s">
        <v>3288</v>
      </c>
    </row>
    <row r="500" spans="32:33">
      <c r="AF500" s="187" t="str">
        <f t="shared" si="9"/>
        <v/>
      </c>
      <c r="AG500" s="187" t="s">
        <v>3289</v>
      </c>
    </row>
    <row r="501" spans="32:33">
      <c r="AF501" s="187" t="str">
        <f t="shared" si="9"/>
        <v/>
      </c>
      <c r="AG501" s="187" t="s">
        <v>3290</v>
      </c>
    </row>
    <row r="502" spans="32:33">
      <c r="AF502" s="187" t="str">
        <f t="shared" si="9"/>
        <v/>
      </c>
      <c r="AG502" s="187" t="s">
        <v>3291</v>
      </c>
    </row>
    <row r="503" spans="32:33">
      <c r="AF503" s="187" t="str">
        <f t="shared" si="9"/>
        <v/>
      </c>
      <c r="AG503" s="187" t="s">
        <v>3292</v>
      </c>
    </row>
    <row r="504" spans="32:33">
      <c r="AF504" s="187" t="str">
        <f t="shared" si="9"/>
        <v/>
      </c>
      <c r="AG504" s="187" t="s">
        <v>3293</v>
      </c>
    </row>
    <row r="505" spans="32:33">
      <c r="AF505" s="187" t="str">
        <f t="shared" si="9"/>
        <v/>
      </c>
      <c r="AG505" s="187" t="s">
        <v>3180</v>
      </c>
    </row>
    <row r="506" spans="32:33">
      <c r="AF506" s="187" t="str">
        <f t="shared" si="9"/>
        <v/>
      </c>
      <c r="AG506" s="187" t="s">
        <v>3282</v>
      </c>
    </row>
    <row r="507" spans="32:33">
      <c r="AF507" s="187" t="str">
        <f t="shared" si="9"/>
        <v/>
      </c>
      <c r="AG507" s="187" t="s">
        <v>3181</v>
      </c>
    </row>
    <row r="508" spans="32:33">
      <c r="AF508" s="187" t="str">
        <f t="shared" si="9"/>
        <v/>
      </c>
      <c r="AG508" s="187" t="s">
        <v>3294</v>
      </c>
    </row>
    <row r="509" spans="32:33">
      <c r="AF509" s="187" t="str">
        <f t="shared" si="9"/>
        <v/>
      </c>
      <c r="AG509" s="187" t="s">
        <v>3347</v>
      </c>
    </row>
    <row r="510" spans="32:33">
      <c r="AF510" s="187" t="str">
        <f t="shared" si="9"/>
        <v/>
      </c>
      <c r="AG510" s="187" t="s">
        <v>3348</v>
      </c>
    </row>
    <row r="511" spans="32:33">
      <c r="AF511" s="187" t="str">
        <f t="shared" si="9"/>
        <v/>
      </c>
      <c r="AG511" s="187" t="s">
        <v>3295</v>
      </c>
    </row>
    <row r="512" spans="32:33">
      <c r="AF512" s="187" t="str">
        <f t="shared" si="9"/>
        <v/>
      </c>
      <c r="AG512" s="187" t="s">
        <v>3296</v>
      </c>
    </row>
    <row r="513" spans="32:33">
      <c r="AF513" s="187" t="str">
        <f t="shared" si="9"/>
        <v/>
      </c>
      <c r="AG513" s="187" t="s">
        <v>3297</v>
      </c>
    </row>
    <row r="514" spans="32:33">
      <c r="AF514" s="187" t="str">
        <f t="shared" ref="AF514:AF577" si="10">IF(ISERROR(SEARCH($S$47,AG514)),"",$S$48)</f>
        <v/>
      </c>
      <c r="AG514" s="187" t="s">
        <v>3298</v>
      </c>
    </row>
    <row r="515" spans="32:33">
      <c r="AF515" s="187" t="str">
        <f t="shared" si="10"/>
        <v/>
      </c>
      <c r="AG515" s="187" t="s">
        <v>3299</v>
      </c>
    </row>
    <row r="516" spans="32:33">
      <c r="AF516" s="187" t="str">
        <f t="shared" si="10"/>
        <v/>
      </c>
      <c r="AG516" s="187" t="s">
        <v>3300</v>
      </c>
    </row>
    <row r="517" spans="32:33">
      <c r="AF517" s="187" t="str">
        <f t="shared" si="10"/>
        <v/>
      </c>
      <c r="AG517" s="187" t="s">
        <v>3302</v>
      </c>
    </row>
    <row r="518" spans="32:33">
      <c r="AF518" s="187" t="str">
        <f t="shared" si="10"/>
        <v/>
      </c>
      <c r="AG518" s="187" t="s">
        <v>3303</v>
      </c>
    </row>
    <row r="519" spans="32:33">
      <c r="AF519" s="187" t="str">
        <f t="shared" si="10"/>
        <v/>
      </c>
      <c r="AG519" s="187" t="s">
        <v>3304</v>
      </c>
    </row>
    <row r="520" spans="32:33">
      <c r="AF520" s="187" t="str">
        <f t="shared" si="10"/>
        <v/>
      </c>
      <c r="AG520" s="187" t="s">
        <v>3305</v>
      </c>
    </row>
    <row r="521" spans="32:33">
      <c r="AF521" s="187" t="str">
        <f t="shared" si="10"/>
        <v/>
      </c>
      <c r="AG521" s="187" t="s">
        <v>3306</v>
      </c>
    </row>
    <row r="522" spans="32:33">
      <c r="AF522" s="187" t="str">
        <f t="shared" si="10"/>
        <v/>
      </c>
      <c r="AG522" s="187" t="s">
        <v>3307</v>
      </c>
    </row>
    <row r="523" spans="32:33">
      <c r="AF523" s="187" t="str">
        <f t="shared" si="10"/>
        <v/>
      </c>
      <c r="AG523" s="187" t="s">
        <v>3308</v>
      </c>
    </row>
    <row r="524" spans="32:33">
      <c r="AF524" s="187" t="str">
        <f t="shared" si="10"/>
        <v/>
      </c>
      <c r="AG524" s="187" t="s">
        <v>3310</v>
      </c>
    </row>
    <row r="525" spans="32:33">
      <c r="AF525" s="187" t="str">
        <f t="shared" si="10"/>
        <v/>
      </c>
      <c r="AG525" s="187" t="s">
        <v>3311</v>
      </c>
    </row>
    <row r="526" spans="32:33">
      <c r="AF526" s="187" t="str">
        <f t="shared" si="10"/>
        <v/>
      </c>
      <c r="AG526" s="187" t="s">
        <v>3312</v>
      </c>
    </row>
    <row r="527" spans="32:33">
      <c r="AF527" s="187" t="str">
        <f t="shared" si="10"/>
        <v/>
      </c>
      <c r="AG527" s="187" t="s">
        <v>3313</v>
      </c>
    </row>
    <row r="528" spans="32:33">
      <c r="AF528" s="187" t="str">
        <f t="shared" si="10"/>
        <v/>
      </c>
      <c r="AG528" s="187" t="s">
        <v>3314</v>
      </c>
    </row>
    <row r="529" spans="32:33">
      <c r="AF529" s="187" t="str">
        <f t="shared" si="10"/>
        <v/>
      </c>
      <c r="AG529" s="187" t="s">
        <v>3315</v>
      </c>
    </row>
    <row r="530" spans="32:33">
      <c r="AF530" s="187" t="str">
        <f t="shared" si="10"/>
        <v/>
      </c>
      <c r="AG530" s="187" t="s">
        <v>3316</v>
      </c>
    </row>
    <row r="531" spans="32:33">
      <c r="AF531" s="187" t="str">
        <f t="shared" si="10"/>
        <v/>
      </c>
      <c r="AG531" s="187" t="s">
        <v>3317</v>
      </c>
    </row>
    <row r="532" spans="32:33">
      <c r="AF532" s="187" t="str">
        <f t="shared" si="10"/>
        <v/>
      </c>
      <c r="AG532" s="187" t="s">
        <v>3182</v>
      </c>
    </row>
    <row r="533" spans="32:33">
      <c r="AF533" s="187" t="str">
        <f t="shared" si="10"/>
        <v/>
      </c>
      <c r="AG533" s="187" t="s">
        <v>3318</v>
      </c>
    </row>
    <row r="534" spans="32:33">
      <c r="AF534" s="187" t="str">
        <f t="shared" si="10"/>
        <v/>
      </c>
      <c r="AG534" s="187" t="s">
        <v>3319</v>
      </c>
    </row>
    <row r="535" spans="32:33">
      <c r="AF535" s="187" t="str">
        <f t="shared" si="10"/>
        <v/>
      </c>
      <c r="AG535" s="187" t="s">
        <v>3320</v>
      </c>
    </row>
    <row r="536" spans="32:33">
      <c r="AF536" s="187" t="str">
        <f t="shared" si="10"/>
        <v/>
      </c>
      <c r="AG536" s="187" t="s">
        <v>3321</v>
      </c>
    </row>
    <row r="537" spans="32:33">
      <c r="AF537" s="187" t="str">
        <f t="shared" si="10"/>
        <v/>
      </c>
      <c r="AG537" s="187" t="s">
        <v>3231</v>
      </c>
    </row>
    <row r="538" spans="32:33">
      <c r="AF538" s="187" t="str">
        <f t="shared" si="10"/>
        <v/>
      </c>
      <c r="AG538" s="187" t="s">
        <v>3322</v>
      </c>
    </row>
    <row r="539" spans="32:33">
      <c r="AF539" s="187" t="str">
        <f t="shared" si="10"/>
        <v/>
      </c>
      <c r="AG539" s="187" t="s">
        <v>3323</v>
      </c>
    </row>
    <row r="540" spans="32:33">
      <c r="AF540" s="187" t="str">
        <f t="shared" si="10"/>
        <v/>
      </c>
      <c r="AG540" s="187" t="s">
        <v>3183</v>
      </c>
    </row>
    <row r="541" spans="32:33">
      <c r="AF541" s="187" t="str">
        <f t="shared" si="10"/>
        <v/>
      </c>
      <c r="AG541" s="187" t="s">
        <v>3324</v>
      </c>
    </row>
    <row r="542" spans="32:33">
      <c r="AF542" s="187" t="str">
        <f t="shared" si="10"/>
        <v/>
      </c>
      <c r="AG542" s="187" t="s">
        <v>3325</v>
      </c>
    </row>
    <row r="543" spans="32:33">
      <c r="AF543" s="187" t="str">
        <f t="shared" si="10"/>
        <v/>
      </c>
      <c r="AG543" s="187" t="s">
        <v>3326</v>
      </c>
    </row>
    <row r="544" spans="32:33">
      <c r="AF544" s="187" t="str">
        <f t="shared" si="10"/>
        <v/>
      </c>
      <c r="AG544" s="187" t="s">
        <v>3327</v>
      </c>
    </row>
    <row r="545" spans="32:33">
      <c r="AF545" s="187" t="str">
        <f t="shared" si="10"/>
        <v/>
      </c>
      <c r="AG545" s="187" t="s">
        <v>3328</v>
      </c>
    </row>
    <row r="546" spans="32:33">
      <c r="AF546" s="187" t="str">
        <f t="shared" si="10"/>
        <v/>
      </c>
      <c r="AG546" s="187" t="s">
        <v>3184</v>
      </c>
    </row>
    <row r="547" spans="32:33">
      <c r="AF547" s="187" t="str">
        <f t="shared" si="10"/>
        <v/>
      </c>
      <c r="AG547" s="187" t="s">
        <v>3222</v>
      </c>
    </row>
    <row r="548" spans="32:33">
      <c r="AF548" s="187" t="str">
        <f t="shared" si="10"/>
        <v/>
      </c>
      <c r="AG548" s="187" t="s">
        <v>3329</v>
      </c>
    </row>
    <row r="549" spans="32:33">
      <c r="AF549" s="187" t="str">
        <f t="shared" si="10"/>
        <v/>
      </c>
      <c r="AG549" s="187" t="s">
        <v>3330</v>
      </c>
    </row>
    <row r="550" spans="32:33">
      <c r="AF550" s="187" t="str">
        <f t="shared" si="10"/>
        <v/>
      </c>
      <c r="AG550" s="187" t="s">
        <v>3331</v>
      </c>
    </row>
    <row r="551" spans="32:33">
      <c r="AF551" s="187" t="str">
        <f t="shared" si="10"/>
        <v/>
      </c>
      <c r="AG551" s="187" t="s">
        <v>3185</v>
      </c>
    </row>
    <row r="552" spans="32:33">
      <c r="AF552" s="187" t="str">
        <f t="shared" si="10"/>
        <v/>
      </c>
      <c r="AG552" s="187" t="s">
        <v>3334</v>
      </c>
    </row>
    <row r="553" spans="32:33">
      <c r="AF553" s="187" t="str">
        <f t="shared" si="10"/>
        <v/>
      </c>
      <c r="AG553" s="187" t="s">
        <v>3335</v>
      </c>
    </row>
    <row r="554" spans="32:33">
      <c r="AF554" s="187" t="str">
        <f t="shared" si="10"/>
        <v/>
      </c>
      <c r="AG554" s="187" t="s">
        <v>3336</v>
      </c>
    </row>
    <row r="555" spans="32:33">
      <c r="AF555" s="187" t="str">
        <f t="shared" si="10"/>
        <v/>
      </c>
      <c r="AG555" s="187" t="s">
        <v>3337</v>
      </c>
    </row>
    <row r="556" spans="32:33">
      <c r="AF556" s="187" t="str">
        <f t="shared" si="10"/>
        <v/>
      </c>
      <c r="AG556" s="187" t="s">
        <v>3338</v>
      </c>
    </row>
    <row r="557" spans="32:33">
      <c r="AF557" s="187" t="str">
        <f t="shared" si="10"/>
        <v/>
      </c>
      <c r="AG557" s="187" t="s">
        <v>3339</v>
      </c>
    </row>
    <row r="558" spans="32:33">
      <c r="AF558" s="187" t="str">
        <f t="shared" si="10"/>
        <v/>
      </c>
      <c r="AG558" s="187" t="s">
        <v>3309</v>
      </c>
    </row>
    <row r="559" spans="32:33">
      <c r="AF559" s="187" t="str">
        <f t="shared" si="10"/>
        <v/>
      </c>
      <c r="AG559" s="187" t="s">
        <v>3340</v>
      </c>
    </row>
    <row r="560" spans="32:33">
      <c r="AF560" s="187" t="str">
        <f t="shared" si="10"/>
        <v/>
      </c>
      <c r="AG560" s="187" t="s">
        <v>3341</v>
      </c>
    </row>
    <row r="561" spans="32:33">
      <c r="AF561" s="187" t="str">
        <f t="shared" si="10"/>
        <v/>
      </c>
      <c r="AG561" s="187" t="s">
        <v>3333</v>
      </c>
    </row>
    <row r="562" spans="32:33">
      <c r="AF562" s="187" t="str">
        <f t="shared" si="10"/>
        <v/>
      </c>
      <c r="AG562" s="187" t="s">
        <v>3342</v>
      </c>
    </row>
    <row r="563" spans="32:33">
      <c r="AF563" s="187" t="str">
        <f t="shared" si="10"/>
        <v/>
      </c>
      <c r="AG563" s="187" t="s">
        <v>3343</v>
      </c>
    </row>
    <row r="564" spans="32:33">
      <c r="AF564" s="187" t="str">
        <f t="shared" si="10"/>
        <v/>
      </c>
      <c r="AG564" s="187" t="s">
        <v>3116</v>
      </c>
    </row>
    <row r="565" spans="32:33">
      <c r="AF565" s="187" t="str">
        <f t="shared" si="10"/>
        <v/>
      </c>
      <c r="AG565" s="187" t="s">
        <v>3117</v>
      </c>
    </row>
    <row r="566" spans="32:33">
      <c r="AF566" s="187" t="str">
        <f t="shared" si="10"/>
        <v/>
      </c>
      <c r="AG566" s="187" t="s">
        <v>3118</v>
      </c>
    </row>
    <row r="567" spans="32:33">
      <c r="AF567" s="187" t="str">
        <f t="shared" si="10"/>
        <v/>
      </c>
      <c r="AG567" s="187" t="s">
        <v>3119</v>
      </c>
    </row>
    <row r="568" spans="32:33">
      <c r="AF568" s="187" t="str">
        <f t="shared" si="10"/>
        <v/>
      </c>
      <c r="AG568" s="187" t="s">
        <v>3120</v>
      </c>
    </row>
    <row r="569" spans="32:33">
      <c r="AF569" s="187" t="str">
        <f t="shared" si="10"/>
        <v/>
      </c>
      <c r="AG569" s="187" t="s">
        <v>3121</v>
      </c>
    </row>
    <row r="570" spans="32:33">
      <c r="AF570" s="187" t="str">
        <f t="shared" si="10"/>
        <v/>
      </c>
      <c r="AG570" s="187" t="s">
        <v>3122</v>
      </c>
    </row>
    <row r="571" spans="32:33">
      <c r="AF571" s="187" t="str">
        <f t="shared" si="10"/>
        <v/>
      </c>
      <c r="AG571" s="187" t="s">
        <v>3123</v>
      </c>
    </row>
    <row r="572" spans="32:33">
      <c r="AF572" s="187" t="str">
        <f t="shared" si="10"/>
        <v/>
      </c>
      <c r="AG572" s="187" t="s">
        <v>3124</v>
      </c>
    </row>
    <row r="573" spans="32:33">
      <c r="AF573" s="187" t="str">
        <f t="shared" si="10"/>
        <v/>
      </c>
      <c r="AG573" s="187" t="s">
        <v>3125</v>
      </c>
    </row>
    <row r="574" spans="32:33">
      <c r="AF574" s="187" t="str">
        <f t="shared" si="10"/>
        <v/>
      </c>
      <c r="AG574" s="187" t="s">
        <v>3126</v>
      </c>
    </row>
    <row r="575" spans="32:33">
      <c r="AF575" s="187" t="str">
        <f t="shared" si="10"/>
        <v/>
      </c>
      <c r="AG575" s="187" t="s">
        <v>3127</v>
      </c>
    </row>
    <row r="576" spans="32:33">
      <c r="AF576" s="187" t="str">
        <f t="shared" si="10"/>
        <v/>
      </c>
      <c r="AG576" s="187" t="s">
        <v>3128</v>
      </c>
    </row>
    <row r="577" spans="32:33">
      <c r="AF577" s="187" t="str">
        <f t="shared" si="10"/>
        <v/>
      </c>
      <c r="AG577" s="187" t="s">
        <v>3129</v>
      </c>
    </row>
    <row r="578" spans="32:33">
      <c r="AF578" s="187" t="str">
        <f t="shared" ref="AF578:AF641" si="11">IF(ISERROR(SEARCH($S$47,AG578)),"",$S$48)</f>
        <v/>
      </c>
      <c r="AG578" s="187" t="s">
        <v>3130</v>
      </c>
    </row>
    <row r="579" spans="32:33">
      <c r="AF579" s="187" t="str">
        <f t="shared" si="11"/>
        <v/>
      </c>
      <c r="AG579" s="187" t="s">
        <v>3131</v>
      </c>
    </row>
    <row r="580" spans="32:33">
      <c r="AF580" s="187" t="str">
        <f t="shared" si="11"/>
        <v/>
      </c>
      <c r="AG580" s="187" t="s">
        <v>3132</v>
      </c>
    </row>
    <row r="581" spans="32:33">
      <c r="AF581" s="187" t="str">
        <f t="shared" si="11"/>
        <v/>
      </c>
      <c r="AG581" s="187" t="s">
        <v>3133</v>
      </c>
    </row>
    <row r="582" spans="32:33">
      <c r="AF582" s="187" t="str">
        <f t="shared" si="11"/>
        <v/>
      </c>
      <c r="AG582" s="187" t="s">
        <v>3134</v>
      </c>
    </row>
    <row r="583" spans="32:33">
      <c r="AF583" s="187" t="str">
        <f t="shared" si="11"/>
        <v/>
      </c>
      <c r="AG583" s="187" t="s">
        <v>3135</v>
      </c>
    </row>
    <row r="584" spans="32:33">
      <c r="AF584" s="187" t="str">
        <f t="shared" si="11"/>
        <v/>
      </c>
      <c r="AG584" s="187" t="s">
        <v>3136</v>
      </c>
    </row>
    <row r="585" spans="32:33">
      <c r="AF585" s="187" t="str">
        <f t="shared" si="11"/>
        <v/>
      </c>
      <c r="AG585" s="187" t="s">
        <v>3137</v>
      </c>
    </row>
    <row r="586" spans="32:33">
      <c r="AF586" s="187" t="str">
        <f t="shared" si="11"/>
        <v/>
      </c>
      <c r="AG586" s="187" t="s">
        <v>3138</v>
      </c>
    </row>
    <row r="587" spans="32:33">
      <c r="AF587" s="187" t="str">
        <f t="shared" si="11"/>
        <v/>
      </c>
      <c r="AG587" s="187" t="s">
        <v>3139</v>
      </c>
    </row>
    <row r="588" spans="32:33">
      <c r="AF588" s="187" t="str">
        <f t="shared" si="11"/>
        <v/>
      </c>
      <c r="AG588" s="187" t="s">
        <v>3140</v>
      </c>
    </row>
    <row r="589" spans="32:33">
      <c r="AF589" s="187" t="str">
        <f t="shared" si="11"/>
        <v/>
      </c>
      <c r="AG589" s="187" t="s">
        <v>3141</v>
      </c>
    </row>
    <row r="590" spans="32:33">
      <c r="AF590" s="187" t="str">
        <f t="shared" si="11"/>
        <v/>
      </c>
      <c r="AG590" s="187" t="s">
        <v>3142</v>
      </c>
    </row>
    <row r="591" spans="32:33">
      <c r="AF591" s="187" t="str">
        <f t="shared" si="11"/>
        <v/>
      </c>
      <c r="AG591" s="187" t="s">
        <v>3143</v>
      </c>
    </row>
    <row r="592" spans="32:33">
      <c r="AF592" s="187" t="str">
        <f t="shared" si="11"/>
        <v/>
      </c>
      <c r="AG592" s="187" t="s">
        <v>3144</v>
      </c>
    </row>
    <row r="593" spans="32:33">
      <c r="AF593" s="187" t="str">
        <f t="shared" si="11"/>
        <v/>
      </c>
      <c r="AG593" s="187" t="s">
        <v>2364</v>
      </c>
    </row>
    <row r="594" spans="32:33">
      <c r="AF594" s="187" t="str">
        <f t="shared" si="11"/>
        <v/>
      </c>
      <c r="AG594" s="187" t="s">
        <v>2365</v>
      </c>
    </row>
    <row r="595" spans="32:33">
      <c r="AF595" s="187" t="str">
        <f t="shared" si="11"/>
        <v/>
      </c>
      <c r="AG595" s="187" t="s">
        <v>2366</v>
      </c>
    </row>
    <row r="596" spans="32:33">
      <c r="AF596" s="187" t="str">
        <f t="shared" si="11"/>
        <v/>
      </c>
      <c r="AG596" s="187" t="s">
        <v>3390</v>
      </c>
    </row>
    <row r="597" spans="32:33">
      <c r="AF597" s="187" t="str">
        <f t="shared" si="11"/>
        <v/>
      </c>
      <c r="AG597" s="187" t="s">
        <v>3391</v>
      </c>
    </row>
    <row r="598" spans="32:33">
      <c r="AF598" s="187" t="str">
        <f t="shared" si="11"/>
        <v/>
      </c>
      <c r="AG598" s="187" t="s">
        <v>3392</v>
      </c>
    </row>
    <row r="599" spans="32:33">
      <c r="AF599" s="187" t="str">
        <f t="shared" si="11"/>
        <v/>
      </c>
      <c r="AG599" s="187" t="s">
        <v>3393</v>
      </c>
    </row>
    <row r="600" spans="32:33">
      <c r="AF600" s="187" t="str">
        <f t="shared" si="11"/>
        <v/>
      </c>
      <c r="AG600" s="187" t="s">
        <v>3379</v>
      </c>
    </row>
    <row r="601" spans="32:33">
      <c r="AF601" s="187" t="str">
        <f t="shared" si="11"/>
        <v/>
      </c>
      <c r="AG601" s="187" t="s">
        <v>3112</v>
      </c>
    </row>
    <row r="602" spans="32:33">
      <c r="AF602" s="187" t="str">
        <f t="shared" si="11"/>
        <v/>
      </c>
      <c r="AG602" s="187" t="s">
        <v>3113</v>
      </c>
    </row>
    <row r="603" spans="32:33">
      <c r="AF603" s="187" t="str">
        <f t="shared" si="11"/>
        <v/>
      </c>
      <c r="AG603" s="187" t="s">
        <v>3114</v>
      </c>
    </row>
    <row r="604" spans="32:33">
      <c r="AF604" s="187" t="str">
        <f t="shared" si="11"/>
        <v/>
      </c>
      <c r="AG604" s="187" t="s">
        <v>3115</v>
      </c>
    </row>
    <row r="605" spans="32:33">
      <c r="AF605" s="187" t="str">
        <f t="shared" si="11"/>
        <v/>
      </c>
      <c r="AG605" s="187" t="s">
        <v>2831</v>
      </c>
    </row>
    <row r="606" spans="32:33">
      <c r="AF606" s="187" t="str">
        <f t="shared" si="11"/>
        <v/>
      </c>
      <c r="AG606" s="187" t="s">
        <v>2830</v>
      </c>
    </row>
    <row r="607" spans="32:33">
      <c r="AF607" s="187" t="str">
        <f t="shared" si="11"/>
        <v/>
      </c>
      <c r="AG607" s="187" t="s">
        <v>2832</v>
      </c>
    </row>
    <row r="608" spans="32:33">
      <c r="AF608" s="187" t="str">
        <f t="shared" si="11"/>
        <v/>
      </c>
      <c r="AG608" s="187" t="s">
        <v>2833</v>
      </c>
    </row>
    <row r="609" spans="32:33">
      <c r="AF609" s="187" t="str">
        <f t="shared" si="11"/>
        <v/>
      </c>
      <c r="AG609" s="187" t="s">
        <v>3102</v>
      </c>
    </row>
    <row r="610" spans="32:33">
      <c r="AF610" s="187" t="str">
        <f t="shared" si="11"/>
        <v/>
      </c>
      <c r="AG610" s="187" t="s">
        <v>3103</v>
      </c>
    </row>
    <row r="611" spans="32:33">
      <c r="AF611" s="187" t="str">
        <f t="shared" si="11"/>
        <v/>
      </c>
      <c r="AG611" s="187" t="s">
        <v>3105</v>
      </c>
    </row>
    <row r="612" spans="32:33">
      <c r="AF612" s="187" t="str">
        <f t="shared" si="11"/>
        <v/>
      </c>
      <c r="AG612" s="187" t="s">
        <v>3104</v>
      </c>
    </row>
    <row r="613" spans="32:33">
      <c r="AF613" s="187" t="str">
        <f t="shared" si="11"/>
        <v/>
      </c>
      <c r="AG613" s="187" t="s">
        <v>3106</v>
      </c>
    </row>
    <row r="614" spans="32:33">
      <c r="AF614" s="187" t="str">
        <f t="shared" si="11"/>
        <v/>
      </c>
      <c r="AG614" s="187" t="s">
        <v>3107</v>
      </c>
    </row>
    <row r="615" spans="32:33">
      <c r="AF615" s="187" t="str">
        <f t="shared" si="11"/>
        <v/>
      </c>
      <c r="AG615" s="187" t="s">
        <v>3108</v>
      </c>
    </row>
    <row r="616" spans="32:33">
      <c r="AF616" s="187" t="str">
        <f t="shared" si="11"/>
        <v/>
      </c>
      <c r="AG616" s="187" t="s">
        <v>3109</v>
      </c>
    </row>
    <row r="617" spans="32:33">
      <c r="AF617" s="187" t="str">
        <f t="shared" si="11"/>
        <v/>
      </c>
      <c r="AG617" s="187" t="s">
        <v>3110</v>
      </c>
    </row>
    <row r="618" spans="32:33">
      <c r="AF618" s="187" t="str">
        <f t="shared" si="11"/>
        <v/>
      </c>
      <c r="AG618" s="187" t="s">
        <v>3111</v>
      </c>
    </row>
    <row r="619" spans="32:33">
      <c r="AF619" s="187" t="str">
        <f t="shared" si="11"/>
        <v/>
      </c>
      <c r="AG619" s="187" t="s">
        <v>3605</v>
      </c>
    </row>
    <row r="620" spans="32:33">
      <c r="AF620" s="187" t="str">
        <f t="shared" si="11"/>
        <v/>
      </c>
      <c r="AG620" s="187" t="s">
        <v>3606</v>
      </c>
    </row>
    <row r="621" spans="32:33">
      <c r="AF621" s="187" t="str">
        <f t="shared" si="11"/>
        <v/>
      </c>
      <c r="AG621" s="187" t="s">
        <v>3607</v>
      </c>
    </row>
    <row r="622" spans="32:33">
      <c r="AF622" s="187" t="str">
        <f t="shared" si="11"/>
        <v/>
      </c>
      <c r="AG622" s="187" t="s">
        <v>3095</v>
      </c>
    </row>
    <row r="623" spans="32:33">
      <c r="AF623" s="187" t="str">
        <f t="shared" si="11"/>
        <v/>
      </c>
      <c r="AG623" s="187" t="s">
        <v>3096</v>
      </c>
    </row>
    <row r="624" spans="32:33">
      <c r="AF624" s="187" t="str">
        <f t="shared" si="11"/>
        <v/>
      </c>
      <c r="AG624" s="187" t="s">
        <v>3097</v>
      </c>
    </row>
    <row r="625" spans="32:33">
      <c r="AF625" s="187" t="str">
        <f t="shared" si="11"/>
        <v/>
      </c>
      <c r="AG625" s="187" t="s">
        <v>3098</v>
      </c>
    </row>
    <row r="626" spans="32:33">
      <c r="AF626" s="187" t="str">
        <f t="shared" si="11"/>
        <v/>
      </c>
      <c r="AG626" s="187" t="s">
        <v>3089</v>
      </c>
    </row>
    <row r="627" spans="32:33">
      <c r="AF627" s="187" t="str">
        <f t="shared" si="11"/>
        <v/>
      </c>
      <c r="AG627" s="187" t="s">
        <v>3094</v>
      </c>
    </row>
    <row r="628" spans="32:33">
      <c r="AF628" s="187" t="str">
        <f t="shared" si="11"/>
        <v/>
      </c>
      <c r="AG628" s="187" t="s">
        <v>3090</v>
      </c>
    </row>
    <row r="629" spans="32:33">
      <c r="AF629" s="187" t="str">
        <f t="shared" si="11"/>
        <v/>
      </c>
      <c r="AG629" s="187" t="s">
        <v>3091</v>
      </c>
    </row>
    <row r="630" spans="32:33">
      <c r="AF630" s="187" t="str">
        <f t="shared" si="11"/>
        <v/>
      </c>
      <c r="AG630" s="187" t="s">
        <v>3092</v>
      </c>
    </row>
    <row r="631" spans="32:33">
      <c r="AF631" s="187" t="str">
        <f t="shared" si="11"/>
        <v/>
      </c>
      <c r="AG631" s="187" t="s">
        <v>3093</v>
      </c>
    </row>
    <row r="632" spans="32:33">
      <c r="AF632" s="187" t="str">
        <f t="shared" si="11"/>
        <v/>
      </c>
      <c r="AG632" s="187" t="s">
        <v>3403</v>
      </c>
    </row>
    <row r="633" spans="32:33">
      <c r="AF633" s="187" t="str">
        <f t="shared" si="11"/>
        <v/>
      </c>
      <c r="AG633" s="187" t="s">
        <v>3404</v>
      </c>
    </row>
    <row r="634" spans="32:33">
      <c r="AF634" s="187" t="str">
        <f t="shared" si="11"/>
        <v/>
      </c>
      <c r="AG634" s="187" t="s">
        <v>3399</v>
      </c>
    </row>
    <row r="635" spans="32:33">
      <c r="AF635" s="187" t="str">
        <f t="shared" si="11"/>
        <v/>
      </c>
      <c r="AG635" s="187" t="s">
        <v>3405</v>
      </c>
    </row>
    <row r="636" spans="32:33">
      <c r="AF636" s="187" t="str">
        <f t="shared" si="11"/>
        <v/>
      </c>
      <c r="AG636" s="187" t="s">
        <v>3400</v>
      </c>
    </row>
    <row r="637" spans="32:33">
      <c r="AF637" s="187" t="str">
        <f t="shared" si="11"/>
        <v/>
      </c>
      <c r="AG637" s="187" t="s">
        <v>3401</v>
      </c>
    </row>
    <row r="638" spans="32:33">
      <c r="AF638" s="187" t="str">
        <f t="shared" si="11"/>
        <v/>
      </c>
      <c r="AG638" s="187" t="s">
        <v>3402</v>
      </c>
    </row>
    <row r="639" spans="32:33">
      <c r="AF639" s="187" t="str">
        <f t="shared" si="11"/>
        <v/>
      </c>
      <c r="AG639" s="187" t="s">
        <v>3398</v>
      </c>
    </row>
    <row r="640" spans="32:33">
      <c r="AF640" s="187" t="str">
        <f t="shared" si="11"/>
        <v/>
      </c>
      <c r="AG640" s="187" t="s">
        <v>3406</v>
      </c>
    </row>
    <row r="641" spans="32:33">
      <c r="AF641" s="187" t="str">
        <f t="shared" si="11"/>
        <v/>
      </c>
      <c r="AG641" s="187" t="s">
        <v>3407</v>
      </c>
    </row>
    <row r="642" spans="32:33">
      <c r="AF642" s="187" t="str">
        <f t="shared" ref="AF642:AF705" si="12">IF(ISERROR(SEARCH($S$47,AG642)),"",$S$48)</f>
        <v/>
      </c>
      <c r="AG642" s="187" t="s">
        <v>3408</v>
      </c>
    </row>
    <row r="643" spans="32:33">
      <c r="AF643" s="187" t="str">
        <f t="shared" si="12"/>
        <v/>
      </c>
      <c r="AG643" s="187" t="s">
        <v>3409</v>
      </c>
    </row>
    <row r="644" spans="32:33">
      <c r="AF644" s="187" t="str">
        <f t="shared" si="12"/>
        <v/>
      </c>
      <c r="AG644" s="187" t="s">
        <v>3410</v>
      </c>
    </row>
    <row r="645" spans="32:33">
      <c r="AF645" s="187" t="str">
        <f t="shared" si="12"/>
        <v/>
      </c>
      <c r="AG645" s="187" t="s">
        <v>3039</v>
      </c>
    </row>
    <row r="646" spans="32:33">
      <c r="AF646" s="187" t="str">
        <f t="shared" si="12"/>
        <v/>
      </c>
      <c r="AG646" s="187" t="s">
        <v>3040</v>
      </c>
    </row>
    <row r="647" spans="32:33">
      <c r="AF647" s="187" t="str">
        <f t="shared" si="12"/>
        <v/>
      </c>
      <c r="AG647" s="187" t="s">
        <v>3041</v>
      </c>
    </row>
    <row r="648" spans="32:33">
      <c r="AF648" s="187" t="str">
        <f t="shared" si="12"/>
        <v/>
      </c>
      <c r="AG648" s="187" t="s">
        <v>3042</v>
      </c>
    </row>
    <row r="649" spans="32:33">
      <c r="AF649" s="187" t="str">
        <f t="shared" si="12"/>
        <v/>
      </c>
      <c r="AG649" s="187" t="s">
        <v>3043</v>
      </c>
    </row>
    <row r="650" spans="32:33">
      <c r="AF650" s="187" t="str">
        <f t="shared" si="12"/>
        <v/>
      </c>
      <c r="AG650" s="187" t="s">
        <v>3044</v>
      </c>
    </row>
    <row r="651" spans="32:33">
      <c r="AF651" s="187" t="str">
        <f t="shared" si="12"/>
        <v/>
      </c>
      <c r="AG651" s="187" t="s">
        <v>3045</v>
      </c>
    </row>
    <row r="652" spans="32:33">
      <c r="AF652" s="187" t="str">
        <f t="shared" si="12"/>
        <v/>
      </c>
      <c r="AG652" s="187" t="s">
        <v>3046</v>
      </c>
    </row>
    <row r="653" spans="32:33">
      <c r="AF653" s="187" t="str">
        <f t="shared" si="12"/>
        <v/>
      </c>
      <c r="AG653" s="187" t="s">
        <v>3038</v>
      </c>
    </row>
    <row r="654" spans="32:33">
      <c r="AF654" s="187" t="str">
        <f t="shared" si="12"/>
        <v/>
      </c>
      <c r="AG654" s="187" t="s">
        <v>3031</v>
      </c>
    </row>
    <row r="655" spans="32:33">
      <c r="AF655" s="187" t="str">
        <f t="shared" si="12"/>
        <v/>
      </c>
      <c r="AG655" s="187" t="s">
        <v>3032</v>
      </c>
    </row>
    <row r="656" spans="32:33">
      <c r="AF656" s="187" t="str">
        <f t="shared" si="12"/>
        <v/>
      </c>
      <c r="AG656" s="187" t="s">
        <v>3033</v>
      </c>
    </row>
    <row r="657" spans="32:33">
      <c r="AF657" s="187" t="str">
        <f t="shared" si="12"/>
        <v/>
      </c>
      <c r="AG657" s="187" t="s">
        <v>3034</v>
      </c>
    </row>
    <row r="658" spans="32:33">
      <c r="AF658" s="187" t="str">
        <f t="shared" si="12"/>
        <v/>
      </c>
      <c r="AG658" s="187" t="s">
        <v>3035</v>
      </c>
    </row>
    <row r="659" spans="32:33">
      <c r="AF659" s="187" t="str">
        <f t="shared" si="12"/>
        <v/>
      </c>
      <c r="AG659" s="187" t="s">
        <v>3036</v>
      </c>
    </row>
    <row r="660" spans="32:33">
      <c r="AF660" s="187" t="str">
        <f t="shared" si="12"/>
        <v/>
      </c>
      <c r="AG660" s="187" t="s">
        <v>3037</v>
      </c>
    </row>
    <row r="661" spans="32:33">
      <c r="AF661" s="187" t="str">
        <f t="shared" si="12"/>
        <v/>
      </c>
      <c r="AG661" s="187" t="s">
        <v>3015</v>
      </c>
    </row>
    <row r="662" spans="32:33">
      <c r="AF662" s="187" t="str">
        <f t="shared" si="12"/>
        <v/>
      </c>
      <c r="AG662" s="187" t="s">
        <v>3016</v>
      </c>
    </row>
    <row r="663" spans="32:33">
      <c r="AF663" s="187" t="str">
        <f t="shared" si="12"/>
        <v/>
      </c>
      <c r="AG663" s="187" t="s">
        <v>3017</v>
      </c>
    </row>
    <row r="664" spans="32:33">
      <c r="AF664" s="187" t="str">
        <f t="shared" si="12"/>
        <v/>
      </c>
      <c r="AG664" s="187" t="s">
        <v>3018</v>
      </c>
    </row>
    <row r="665" spans="32:33">
      <c r="AF665" s="187" t="str">
        <f t="shared" si="12"/>
        <v/>
      </c>
      <c r="AG665" s="187" t="s">
        <v>3019</v>
      </c>
    </row>
    <row r="666" spans="32:33">
      <c r="AF666" s="187" t="str">
        <f t="shared" si="12"/>
        <v/>
      </c>
      <c r="AG666" s="187" t="s">
        <v>3020</v>
      </c>
    </row>
    <row r="667" spans="32:33">
      <c r="AF667" s="187" t="str">
        <f t="shared" si="12"/>
        <v/>
      </c>
      <c r="AG667" s="187" t="s">
        <v>3021</v>
      </c>
    </row>
    <row r="668" spans="32:33">
      <c r="AF668" s="187" t="str">
        <f t="shared" si="12"/>
        <v/>
      </c>
      <c r="AG668" s="187" t="s">
        <v>2991</v>
      </c>
    </row>
    <row r="669" spans="32:33">
      <c r="AF669" s="187" t="str">
        <f t="shared" si="12"/>
        <v/>
      </c>
      <c r="AG669" s="187" t="s">
        <v>2994</v>
      </c>
    </row>
    <row r="670" spans="32:33">
      <c r="AF670" s="187" t="str">
        <f t="shared" si="12"/>
        <v/>
      </c>
      <c r="AG670" s="187" t="s">
        <v>2995</v>
      </c>
    </row>
    <row r="671" spans="32:33">
      <c r="AF671" s="187" t="str">
        <f t="shared" si="12"/>
        <v/>
      </c>
      <c r="AG671" s="187" t="s">
        <v>2996</v>
      </c>
    </row>
    <row r="672" spans="32:33">
      <c r="AF672" s="187" t="str">
        <f t="shared" si="12"/>
        <v/>
      </c>
      <c r="AG672" s="187" t="s">
        <v>2997</v>
      </c>
    </row>
    <row r="673" spans="32:33">
      <c r="AF673" s="187" t="str">
        <f t="shared" si="12"/>
        <v/>
      </c>
      <c r="AG673" s="187" t="s">
        <v>2992</v>
      </c>
    </row>
    <row r="674" spans="32:33">
      <c r="AF674" s="187" t="str">
        <f t="shared" si="12"/>
        <v/>
      </c>
      <c r="AG674" s="187" t="s">
        <v>3001</v>
      </c>
    </row>
    <row r="675" spans="32:33">
      <c r="AF675" s="187" t="str">
        <f t="shared" si="12"/>
        <v/>
      </c>
      <c r="AG675" s="187" t="s">
        <v>3002</v>
      </c>
    </row>
    <row r="676" spans="32:33">
      <c r="AF676" s="187" t="str">
        <f t="shared" si="12"/>
        <v/>
      </c>
      <c r="AG676" s="187" t="s">
        <v>3003</v>
      </c>
    </row>
    <row r="677" spans="32:33">
      <c r="AF677" s="187" t="str">
        <f t="shared" si="12"/>
        <v/>
      </c>
      <c r="AG677" s="187" t="s">
        <v>2990</v>
      </c>
    </row>
    <row r="678" spans="32:33">
      <c r="AF678" s="187" t="str">
        <f t="shared" si="12"/>
        <v/>
      </c>
      <c r="AG678" s="187" t="s">
        <v>2998</v>
      </c>
    </row>
    <row r="679" spans="32:33">
      <c r="AF679" s="187" t="str">
        <f t="shared" si="12"/>
        <v/>
      </c>
      <c r="AG679" s="187" t="s">
        <v>3004</v>
      </c>
    </row>
    <row r="680" spans="32:33">
      <c r="AF680" s="187" t="str">
        <f t="shared" si="12"/>
        <v/>
      </c>
      <c r="AG680" s="187" t="s">
        <v>2993</v>
      </c>
    </row>
    <row r="681" spans="32:33">
      <c r="AF681" s="187" t="str">
        <f t="shared" si="12"/>
        <v/>
      </c>
      <c r="AG681" s="187" t="s">
        <v>3005</v>
      </c>
    </row>
    <row r="682" spans="32:33">
      <c r="AF682" s="187" t="str">
        <f t="shared" si="12"/>
        <v/>
      </c>
      <c r="AG682" s="187" t="s">
        <v>2999</v>
      </c>
    </row>
    <row r="683" spans="32:33">
      <c r="AF683" s="187" t="str">
        <f t="shared" si="12"/>
        <v/>
      </c>
      <c r="AG683" s="187" t="s">
        <v>3006</v>
      </c>
    </row>
    <row r="684" spans="32:33">
      <c r="AF684" s="187" t="str">
        <f t="shared" si="12"/>
        <v/>
      </c>
      <c r="AG684" s="187" t="s">
        <v>3000</v>
      </c>
    </row>
    <row r="685" spans="32:33">
      <c r="AF685" s="187" t="str">
        <f t="shared" si="12"/>
        <v/>
      </c>
      <c r="AG685" s="187" t="s">
        <v>3007</v>
      </c>
    </row>
    <row r="686" spans="32:33">
      <c r="AF686" s="187" t="str">
        <f t="shared" si="12"/>
        <v/>
      </c>
      <c r="AG686" s="187" t="s">
        <v>3008</v>
      </c>
    </row>
    <row r="687" spans="32:33">
      <c r="AF687" s="187" t="str">
        <f t="shared" si="12"/>
        <v/>
      </c>
      <c r="AG687" s="187" t="s">
        <v>3009</v>
      </c>
    </row>
    <row r="688" spans="32:33">
      <c r="AF688" s="187" t="str">
        <f t="shared" si="12"/>
        <v/>
      </c>
      <c r="AG688" s="187" t="s">
        <v>3010</v>
      </c>
    </row>
    <row r="689" spans="32:33">
      <c r="AF689" s="187" t="str">
        <f t="shared" si="12"/>
        <v/>
      </c>
      <c r="AG689" s="187" t="s">
        <v>1676</v>
      </c>
    </row>
    <row r="690" spans="32:33">
      <c r="AF690" s="187" t="str">
        <f t="shared" si="12"/>
        <v/>
      </c>
      <c r="AG690" s="187" t="s">
        <v>1677</v>
      </c>
    </row>
    <row r="691" spans="32:33">
      <c r="AF691" s="187" t="str">
        <f t="shared" si="12"/>
        <v/>
      </c>
      <c r="AG691" s="187" t="s">
        <v>1678</v>
      </c>
    </row>
    <row r="692" spans="32:33">
      <c r="AF692" s="187" t="str">
        <f t="shared" si="12"/>
        <v/>
      </c>
      <c r="AG692" s="187" t="s">
        <v>1679</v>
      </c>
    </row>
    <row r="693" spans="32:33">
      <c r="AF693" s="187" t="str">
        <f t="shared" si="12"/>
        <v/>
      </c>
      <c r="AG693" s="187" t="s">
        <v>1680</v>
      </c>
    </row>
    <row r="694" spans="32:33">
      <c r="AF694" s="187" t="str">
        <f t="shared" si="12"/>
        <v/>
      </c>
      <c r="AG694" s="187" t="s">
        <v>2862</v>
      </c>
    </row>
    <row r="695" spans="32:33">
      <c r="AF695" s="187" t="str">
        <f t="shared" si="12"/>
        <v/>
      </c>
      <c r="AG695" s="187" t="s">
        <v>2864</v>
      </c>
    </row>
    <row r="696" spans="32:33">
      <c r="AF696" s="187" t="str">
        <f t="shared" si="12"/>
        <v/>
      </c>
      <c r="AG696" s="187" t="s">
        <v>2863</v>
      </c>
    </row>
    <row r="697" spans="32:33">
      <c r="AF697" s="187" t="str">
        <f t="shared" si="12"/>
        <v/>
      </c>
      <c r="AG697" s="187" t="s">
        <v>2985</v>
      </c>
    </row>
    <row r="698" spans="32:33">
      <c r="AF698" s="187" t="str">
        <f t="shared" si="12"/>
        <v/>
      </c>
      <c r="AG698" s="187" t="s">
        <v>2986</v>
      </c>
    </row>
    <row r="699" spans="32:33">
      <c r="AF699" s="187" t="str">
        <f t="shared" si="12"/>
        <v/>
      </c>
      <c r="AG699" s="187" t="s">
        <v>2987</v>
      </c>
    </row>
    <row r="700" spans="32:33">
      <c r="AF700" s="187" t="str">
        <f t="shared" si="12"/>
        <v/>
      </c>
      <c r="AG700" s="187" t="s">
        <v>2988</v>
      </c>
    </row>
    <row r="701" spans="32:33">
      <c r="AF701" s="187" t="str">
        <f t="shared" si="12"/>
        <v/>
      </c>
      <c r="AG701" s="187" t="s">
        <v>3011</v>
      </c>
    </row>
    <row r="702" spans="32:33">
      <c r="AF702" s="187" t="str">
        <f t="shared" si="12"/>
        <v/>
      </c>
      <c r="AG702" s="187" t="s">
        <v>3012</v>
      </c>
    </row>
    <row r="703" spans="32:33">
      <c r="AF703" s="187" t="str">
        <f t="shared" si="12"/>
        <v/>
      </c>
      <c r="AG703" s="187" t="s">
        <v>3013</v>
      </c>
    </row>
    <row r="704" spans="32:33">
      <c r="AF704" s="187" t="str">
        <f t="shared" si="12"/>
        <v/>
      </c>
      <c r="AG704" s="187" t="s">
        <v>3014</v>
      </c>
    </row>
    <row r="705" spans="32:33">
      <c r="AF705" s="187" t="str">
        <f t="shared" si="12"/>
        <v/>
      </c>
      <c r="AG705" s="187" t="s">
        <v>2949</v>
      </c>
    </row>
    <row r="706" spans="32:33">
      <c r="AF706" s="187" t="str">
        <f t="shared" ref="AF706:AF769" si="13">IF(ISERROR(SEARCH($S$47,AG706)),"",$S$48)</f>
        <v/>
      </c>
      <c r="AG706" s="187" t="s">
        <v>2950</v>
      </c>
    </row>
    <row r="707" spans="32:33">
      <c r="AF707" s="187" t="str">
        <f t="shared" si="13"/>
        <v/>
      </c>
      <c r="AG707" s="187" t="s">
        <v>2951</v>
      </c>
    </row>
    <row r="708" spans="32:33">
      <c r="AF708" s="187" t="str">
        <f t="shared" si="13"/>
        <v/>
      </c>
      <c r="AG708" s="187" t="s">
        <v>2952</v>
      </c>
    </row>
    <row r="709" spans="32:33">
      <c r="AF709" s="187" t="str">
        <f t="shared" si="13"/>
        <v/>
      </c>
      <c r="AG709" s="187" t="s">
        <v>2953</v>
      </c>
    </row>
    <row r="710" spans="32:33">
      <c r="AF710" s="187" t="str">
        <f t="shared" si="13"/>
        <v/>
      </c>
      <c r="AG710" s="187" t="s">
        <v>2954</v>
      </c>
    </row>
    <row r="711" spans="32:33">
      <c r="AF711" s="187" t="str">
        <f t="shared" si="13"/>
        <v/>
      </c>
      <c r="AG711" s="187" t="s">
        <v>2938</v>
      </c>
    </row>
    <row r="712" spans="32:33">
      <c r="AF712" s="187" t="str">
        <f t="shared" si="13"/>
        <v/>
      </c>
      <c r="AG712" s="187" t="s">
        <v>2942</v>
      </c>
    </row>
    <row r="713" spans="32:33">
      <c r="AF713" s="187" t="str">
        <f t="shared" si="13"/>
        <v/>
      </c>
      <c r="AG713" s="187" t="s">
        <v>2943</v>
      </c>
    </row>
    <row r="714" spans="32:33">
      <c r="AF714" s="187" t="str">
        <f t="shared" si="13"/>
        <v/>
      </c>
      <c r="AG714" s="187" t="s">
        <v>2944</v>
      </c>
    </row>
    <row r="715" spans="32:33">
      <c r="AF715" s="187" t="str">
        <f t="shared" si="13"/>
        <v/>
      </c>
      <c r="AG715" s="187" t="s">
        <v>2945</v>
      </c>
    </row>
    <row r="716" spans="32:33">
      <c r="AF716" s="187" t="str">
        <f t="shared" si="13"/>
        <v/>
      </c>
      <c r="AG716" s="187" t="s">
        <v>2946</v>
      </c>
    </row>
    <row r="717" spans="32:33">
      <c r="AF717" s="187" t="str">
        <f t="shared" si="13"/>
        <v/>
      </c>
      <c r="AG717" s="187" t="s">
        <v>2947</v>
      </c>
    </row>
    <row r="718" spans="32:33">
      <c r="AF718" s="187" t="str">
        <f t="shared" si="13"/>
        <v/>
      </c>
      <c r="AG718" s="187" t="s">
        <v>2948</v>
      </c>
    </row>
    <row r="719" spans="32:33">
      <c r="AF719" s="187" t="str">
        <f t="shared" si="13"/>
        <v/>
      </c>
      <c r="AG719" s="187" t="s">
        <v>2937</v>
      </c>
    </row>
    <row r="720" spans="32:33">
      <c r="AF720" s="187" t="str">
        <f t="shared" si="13"/>
        <v/>
      </c>
      <c r="AG720" s="187" t="s">
        <v>2924</v>
      </c>
    </row>
    <row r="721" spans="32:33">
      <c r="AF721" s="187" t="str">
        <f t="shared" si="13"/>
        <v/>
      </c>
      <c r="AG721" s="187" t="s">
        <v>2925</v>
      </c>
    </row>
    <row r="722" spans="32:33">
      <c r="AF722" s="187" t="str">
        <f t="shared" si="13"/>
        <v/>
      </c>
      <c r="AG722" s="187" t="s">
        <v>2926</v>
      </c>
    </row>
    <row r="723" spans="32:33">
      <c r="AF723" s="187" t="str">
        <f t="shared" si="13"/>
        <v/>
      </c>
      <c r="AG723" s="187" t="s">
        <v>2927</v>
      </c>
    </row>
    <row r="724" spans="32:33">
      <c r="AF724" s="187" t="str">
        <f t="shared" si="13"/>
        <v/>
      </c>
      <c r="AG724" s="187" t="s">
        <v>2928</v>
      </c>
    </row>
    <row r="725" spans="32:33">
      <c r="AF725" s="187" t="str">
        <f t="shared" si="13"/>
        <v/>
      </c>
      <c r="AG725" s="187" t="s">
        <v>2929</v>
      </c>
    </row>
    <row r="726" spans="32:33">
      <c r="AF726" s="187" t="str">
        <f t="shared" si="13"/>
        <v/>
      </c>
      <c r="AG726" s="187" t="s">
        <v>2930</v>
      </c>
    </row>
    <row r="727" spans="32:33">
      <c r="AF727" s="187" t="str">
        <f t="shared" si="13"/>
        <v/>
      </c>
      <c r="AG727" s="187" t="s">
        <v>2931</v>
      </c>
    </row>
    <row r="728" spans="32:33">
      <c r="AF728" s="187" t="str">
        <f t="shared" si="13"/>
        <v/>
      </c>
      <c r="AG728" s="187" t="s">
        <v>2932</v>
      </c>
    </row>
    <row r="729" spans="32:33">
      <c r="AF729" s="187" t="str">
        <f t="shared" si="13"/>
        <v/>
      </c>
      <c r="AG729" s="187" t="s">
        <v>2933</v>
      </c>
    </row>
    <row r="730" spans="32:33">
      <c r="AF730" s="187" t="str">
        <f t="shared" si="13"/>
        <v/>
      </c>
      <c r="AG730" s="187" t="s">
        <v>2934</v>
      </c>
    </row>
    <row r="731" spans="32:33">
      <c r="AF731" s="187" t="str">
        <f t="shared" si="13"/>
        <v/>
      </c>
      <c r="AG731" s="187" t="s">
        <v>2935</v>
      </c>
    </row>
    <row r="732" spans="32:33">
      <c r="AF732" s="187" t="str">
        <f t="shared" si="13"/>
        <v/>
      </c>
      <c r="AG732" s="187" t="s">
        <v>2936</v>
      </c>
    </row>
    <row r="733" spans="32:33">
      <c r="AF733" s="187" t="str">
        <f t="shared" si="13"/>
        <v/>
      </c>
      <c r="AG733" s="187" t="s">
        <v>2888</v>
      </c>
    </row>
    <row r="734" spans="32:33">
      <c r="AF734" s="187" t="str">
        <f t="shared" si="13"/>
        <v/>
      </c>
      <c r="AG734" s="187" t="s">
        <v>2889</v>
      </c>
    </row>
    <row r="735" spans="32:33">
      <c r="AF735" s="187" t="str">
        <f t="shared" si="13"/>
        <v/>
      </c>
      <c r="AG735" s="187" t="s">
        <v>2890</v>
      </c>
    </row>
    <row r="736" spans="32:33">
      <c r="AF736" s="187" t="str">
        <f t="shared" si="13"/>
        <v/>
      </c>
      <c r="AG736" s="187" t="s">
        <v>2920</v>
      </c>
    </row>
    <row r="737" spans="32:33">
      <c r="AF737" s="187" t="str">
        <f t="shared" si="13"/>
        <v/>
      </c>
      <c r="AG737" s="187" t="s">
        <v>2921</v>
      </c>
    </row>
    <row r="738" spans="32:33">
      <c r="AF738" s="187" t="str">
        <f t="shared" si="13"/>
        <v/>
      </c>
      <c r="AG738" s="187" t="s">
        <v>2922</v>
      </c>
    </row>
    <row r="739" spans="32:33">
      <c r="AF739" s="187" t="str">
        <f t="shared" si="13"/>
        <v/>
      </c>
      <c r="AG739" s="187" t="s">
        <v>2923</v>
      </c>
    </row>
    <row r="740" spans="32:33">
      <c r="AF740" s="187" t="str">
        <f t="shared" si="13"/>
        <v/>
      </c>
      <c r="AG740" s="187" t="s">
        <v>2873</v>
      </c>
    </row>
    <row r="741" spans="32:33">
      <c r="AF741" s="187" t="str">
        <f t="shared" si="13"/>
        <v/>
      </c>
      <c r="AG741" s="187" t="s">
        <v>2874</v>
      </c>
    </row>
    <row r="742" spans="32:33">
      <c r="AF742" s="187" t="str">
        <f t="shared" si="13"/>
        <v/>
      </c>
      <c r="AG742" s="187" t="s">
        <v>2875</v>
      </c>
    </row>
    <row r="743" spans="32:33">
      <c r="AF743" s="187" t="str">
        <f t="shared" si="13"/>
        <v/>
      </c>
      <c r="AG743" s="187" t="s">
        <v>1882</v>
      </c>
    </row>
    <row r="744" spans="32:33">
      <c r="AF744" s="187" t="str">
        <f t="shared" si="13"/>
        <v/>
      </c>
      <c r="AG744" s="187" t="s">
        <v>1883</v>
      </c>
    </row>
    <row r="745" spans="32:33">
      <c r="AF745" s="187" t="str">
        <f t="shared" si="13"/>
        <v/>
      </c>
      <c r="AG745" s="187" t="s">
        <v>1884</v>
      </c>
    </row>
    <row r="746" spans="32:33">
      <c r="AF746" s="187" t="str">
        <f t="shared" si="13"/>
        <v/>
      </c>
      <c r="AG746" s="187" t="s">
        <v>2891</v>
      </c>
    </row>
    <row r="747" spans="32:33">
      <c r="AF747" s="187" t="str">
        <f t="shared" si="13"/>
        <v/>
      </c>
      <c r="AG747" s="187" t="s">
        <v>2892</v>
      </c>
    </row>
    <row r="748" spans="32:33">
      <c r="AF748" s="187" t="str">
        <f t="shared" si="13"/>
        <v/>
      </c>
      <c r="AG748" s="187" t="s">
        <v>2893</v>
      </c>
    </row>
    <row r="749" spans="32:33">
      <c r="AF749" s="187" t="str">
        <f t="shared" si="13"/>
        <v/>
      </c>
      <c r="AG749" s="187" t="s">
        <v>2894</v>
      </c>
    </row>
    <row r="750" spans="32:33">
      <c r="AF750" s="187" t="str">
        <f t="shared" si="13"/>
        <v/>
      </c>
      <c r="AG750" s="187" t="s">
        <v>3048</v>
      </c>
    </row>
    <row r="751" spans="32:33">
      <c r="AF751" s="187" t="str">
        <f t="shared" si="13"/>
        <v/>
      </c>
      <c r="AG751" s="187" t="s">
        <v>3049</v>
      </c>
    </row>
    <row r="752" spans="32:33">
      <c r="AF752" s="187" t="str">
        <f t="shared" si="13"/>
        <v/>
      </c>
      <c r="AG752" s="187" t="s">
        <v>3050</v>
      </c>
    </row>
    <row r="753" spans="32:33">
      <c r="AF753" s="187" t="str">
        <f t="shared" si="13"/>
        <v/>
      </c>
      <c r="AG753" s="187" t="s">
        <v>3051</v>
      </c>
    </row>
    <row r="754" spans="32:33">
      <c r="AF754" s="187" t="str">
        <f t="shared" si="13"/>
        <v/>
      </c>
      <c r="AG754" s="187" t="s">
        <v>3052</v>
      </c>
    </row>
    <row r="755" spans="32:33">
      <c r="AF755" s="187" t="str">
        <f t="shared" si="13"/>
        <v/>
      </c>
      <c r="AG755" s="187" t="s">
        <v>3053</v>
      </c>
    </row>
    <row r="756" spans="32:33">
      <c r="AF756" s="187" t="str">
        <f t="shared" si="13"/>
        <v/>
      </c>
      <c r="AG756" s="187" t="s">
        <v>3054</v>
      </c>
    </row>
    <row r="757" spans="32:33">
      <c r="AF757" s="187" t="str">
        <f t="shared" si="13"/>
        <v/>
      </c>
      <c r="AG757" s="187" t="s">
        <v>3055</v>
      </c>
    </row>
    <row r="758" spans="32:33">
      <c r="AF758" s="187" t="str">
        <f t="shared" si="13"/>
        <v/>
      </c>
      <c r="AG758" s="187" t="s">
        <v>3056</v>
      </c>
    </row>
    <row r="759" spans="32:33">
      <c r="AF759" s="187" t="str">
        <f t="shared" si="13"/>
        <v/>
      </c>
      <c r="AG759" s="187" t="s">
        <v>3057</v>
      </c>
    </row>
    <row r="760" spans="32:33">
      <c r="AF760" s="187" t="str">
        <f t="shared" si="13"/>
        <v/>
      </c>
      <c r="AG760" s="187" t="s">
        <v>3058</v>
      </c>
    </row>
    <row r="761" spans="32:33">
      <c r="AF761" s="187" t="str">
        <f t="shared" si="13"/>
        <v/>
      </c>
      <c r="AG761" s="187" t="s">
        <v>3059</v>
      </c>
    </row>
    <row r="762" spans="32:33">
      <c r="AF762" s="187" t="str">
        <f t="shared" si="13"/>
        <v/>
      </c>
      <c r="AG762" s="187" t="s">
        <v>3060</v>
      </c>
    </row>
    <row r="763" spans="32:33">
      <c r="AF763" s="187" t="str">
        <f t="shared" si="13"/>
        <v/>
      </c>
      <c r="AG763" s="187" t="s">
        <v>3061</v>
      </c>
    </row>
    <row r="764" spans="32:33">
      <c r="AF764" s="187" t="str">
        <f t="shared" si="13"/>
        <v/>
      </c>
      <c r="AG764" s="187" t="s">
        <v>3062</v>
      </c>
    </row>
    <row r="765" spans="32:33">
      <c r="AF765" s="187" t="str">
        <f t="shared" si="13"/>
        <v/>
      </c>
      <c r="AG765" s="187" t="s">
        <v>3063</v>
      </c>
    </row>
    <row r="766" spans="32:33">
      <c r="AF766" s="187" t="str">
        <f t="shared" si="13"/>
        <v/>
      </c>
      <c r="AG766" s="187" t="s">
        <v>3064</v>
      </c>
    </row>
    <row r="767" spans="32:33">
      <c r="AF767" s="187" t="str">
        <f t="shared" si="13"/>
        <v/>
      </c>
      <c r="AG767" s="187" t="s">
        <v>3065</v>
      </c>
    </row>
    <row r="768" spans="32:33">
      <c r="AF768" s="187" t="str">
        <f t="shared" si="13"/>
        <v/>
      </c>
      <c r="AG768" s="187" t="s">
        <v>3066</v>
      </c>
    </row>
    <row r="769" spans="32:33">
      <c r="AF769" s="187" t="str">
        <f t="shared" si="13"/>
        <v/>
      </c>
      <c r="AG769" s="187" t="s">
        <v>3067</v>
      </c>
    </row>
    <row r="770" spans="32:33">
      <c r="AF770" s="187" t="str">
        <f t="shared" ref="AF770:AF833" si="14">IF(ISERROR(SEARCH($S$47,AG770)),"",$S$48)</f>
        <v/>
      </c>
      <c r="AG770" s="187" t="s">
        <v>3068</v>
      </c>
    </row>
    <row r="771" spans="32:33">
      <c r="AF771" s="187" t="str">
        <f t="shared" si="14"/>
        <v/>
      </c>
      <c r="AG771" s="187" t="s">
        <v>3069</v>
      </c>
    </row>
    <row r="772" spans="32:33">
      <c r="AF772" s="187" t="str">
        <f t="shared" si="14"/>
        <v/>
      </c>
      <c r="AG772" s="187" t="s">
        <v>3070</v>
      </c>
    </row>
    <row r="773" spans="32:33">
      <c r="AF773" s="187" t="str">
        <f t="shared" si="14"/>
        <v/>
      </c>
      <c r="AG773" s="187" t="s">
        <v>3071</v>
      </c>
    </row>
    <row r="774" spans="32:33">
      <c r="AF774" s="187" t="str">
        <f t="shared" si="14"/>
        <v/>
      </c>
      <c r="AG774" s="187" t="s">
        <v>3072</v>
      </c>
    </row>
    <row r="775" spans="32:33">
      <c r="AF775" s="187" t="str">
        <f t="shared" si="14"/>
        <v/>
      </c>
      <c r="AG775" s="187" t="s">
        <v>3047</v>
      </c>
    </row>
    <row r="776" spans="32:33">
      <c r="AF776" s="187" t="str">
        <f t="shared" si="14"/>
        <v/>
      </c>
      <c r="AG776" s="187" t="s">
        <v>3073</v>
      </c>
    </row>
    <row r="777" spans="32:33">
      <c r="AF777" s="187" t="str">
        <f t="shared" si="14"/>
        <v/>
      </c>
      <c r="AG777" s="187" t="s">
        <v>3074</v>
      </c>
    </row>
    <row r="778" spans="32:33">
      <c r="AF778" s="187" t="str">
        <f t="shared" si="14"/>
        <v/>
      </c>
      <c r="AG778" s="187" t="s">
        <v>3075</v>
      </c>
    </row>
    <row r="779" spans="32:33">
      <c r="AF779" s="187" t="str">
        <f t="shared" si="14"/>
        <v/>
      </c>
      <c r="AG779" s="187" t="s">
        <v>3076</v>
      </c>
    </row>
    <row r="780" spans="32:33">
      <c r="AF780" s="187" t="str">
        <f t="shared" si="14"/>
        <v/>
      </c>
      <c r="AG780" s="187" t="s">
        <v>3077</v>
      </c>
    </row>
    <row r="781" spans="32:33">
      <c r="AF781" s="187" t="str">
        <f t="shared" si="14"/>
        <v/>
      </c>
      <c r="AG781" s="187" t="s">
        <v>3078</v>
      </c>
    </row>
    <row r="782" spans="32:33">
      <c r="AF782" s="187" t="str">
        <f t="shared" si="14"/>
        <v/>
      </c>
      <c r="AG782" s="187" t="s">
        <v>3079</v>
      </c>
    </row>
    <row r="783" spans="32:33">
      <c r="AF783" s="187" t="str">
        <f t="shared" si="14"/>
        <v/>
      </c>
      <c r="AG783" s="187" t="s">
        <v>3080</v>
      </c>
    </row>
    <row r="784" spans="32:33">
      <c r="AF784" s="187" t="str">
        <f t="shared" si="14"/>
        <v/>
      </c>
      <c r="AG784" s="187" t="s">
        <v>3081</v>
      </c>
    </row>
    <row r="785" spans="32:33">
      <c r="AF785" s="187" t="str">
        <f t="shared" si="14"/>
        <v/>
      </c>
      <c r="AG785" s="187" t="s">
        <v>3082</v>
      </c>
    </row>
    <row r="786" spans="32:33">
      <c r="AF786" s="187" t="str">
        <f t="shared" si="14"/>
        <v/>
      </c>
      <c r="AG786" s="187" t="s">
        <v>3083</v>
      </c>
    </row>
    <row r="787" spans="32:33">
      <c r="AF787" s="187" t="str">
        <f t="shared" si="14"/>
        <v/>
      </c>
      <c r="AG787" s="187" t="s">
        <v>3084</v>
      </c>
    </row>
    <row r="788" spans="32:33">
      <c r="AF788" s="187" t="str">
        <f t="shared" si="14"/>
        <v/>
      </c>
      <c r="AG788" s="187" t="s">
        <v>3085</v>
      </c>
    </row>
    <row r="789" spans="32:33">
      <c r="AF789" s="187" t="str">
        <f t="shared" si="14"/>
        <v/>
      </c>
      <c r="AG789" s="187" t="s">
        <v>3086</v>
      </c>
    </row>
    <row r="790" spans="32:33">
      <c r="AF790" s="187" t="str">
        <f t="shared" si="14"/>
        <v/>
      </c>
      <c r="AG790" s="187" t="s">
        <v>3087</v>
      </c>
    </row>
    <row r="791" spans="32:33">
      <c r="AF791" s="187" t="str">
        <f t="shared" si="14"/>
        <v/>
      </c>
      <c r="AG791" s="187" t="s">
        <v>3088</v>
      </c>
    </row>
    <row r="792" spans="32:33">
      <c r="AF792" s="187" t="str">
        <f t="shared" si="14"/>
        <v/>
      </c>
      <c r="AG792" s="187" t="s">
        <v>2880</v>
      </c>
    </row>
    <row r="793" spans="32:33">
      <c r="AF793" s="187" t="str">
        <f t="shared" si="14"/>
        <v/>
      </c>
      <c r="AG793" s="187" t="s">
        <v>2881</v>
      </c>
    </row>
    <row r="794" spans="32:33">
      <c r="AF794" s="187" t="str">
        <f t="shared" si="14"/>
        <v/>
      </c>
      <c r="AG794" s="187" t="s">
        <v>2882</v>
      </c>
    </row>
    <row r="795" spans="32:33">
      <c r="AF795" s="187" t="str">
        <f t="shared" si="14"/>
        <v/>
      </c>
      <c r="AG795" s="187" t="s">
        <v>2883</v>
      </c>
    </row>
    <row r="796" spans="32:33">
      <c r="AF796" s="187" t="str">
        <f t="shared" si="14"/>
        <v/>
      </c>
      <c r="AG796" s="187" t="s">
        <v>2884</v>
      </c>
    </row>
    <row r="797" spans="32:33">
      <c r="AF797" s="187" t="str">
        <f t="shared" si="14"/>
        <v/>
      </c>
      <c r="AG797" s="187" t="s">
        <v>2885</v>
      </c>
    </row>
    <row r="798" spans="32:33">
      <c r="AF798" s="187" t="str">
        <f t="shared" si="14"/>
        <v/>
      </c>
      <c r="AG798" s="187" t="s">
        <v>2886</v>
      </c>
    </row>
    <row r="799" spans="32:33">
      <c r="AF799" s="187" t="str">
        <f t="shared" si="14"/>
        <v/>
      </c>
      <c r="AG799" s="187" t="s">
        <v>2887</v>
      </c>
    </row>
    <row r="800" spans="32:33">
      <c r="AF800" s="187" t="str">
        <f t="shared" si="14"/>
        <v/>
      </c>
      <c r="AG800" s="187" t="s">
        <v>2879</v>
      </c>
    </row>
    <row r="801" spans="32:33">
      <c r="AF801" s="187" t="str">
        <f t="shared" si="14"/>
        <v/>
      </c>
      <c r="AG801" s="187" t="s">
        <v>2858</v>
      </c>
    </row>
    <row r="802" spans="32:33">
      <c r="AF802" s="187" t="str">
        <f t="shared" si="14"/>
        <v/>
      </c>
      <c r="AG802" s="187" t="s">
        <v>2857</v>
      </c>
    </row>
    <row r="803" spans="32:33">
      <c r="AF803" s="187" t="str">
        <f t="shared" si="14"/>
        <v/>
      </c>
      <c r="AG803" s="187" t="s">
        <v>2859</v>
      </c>
    </row>
    <row r="804" spans="32:33">
      <c r="AF804" s="187" t="str">
        <f t="shared" si="14"/>
        <v/>
      </c>
      <c r="AG804" s="187" t="s">
        <v>2860</v>
      </c>
    </row>
    <row r="805" spans="32:33">
      <c r="AF805" s="187" t="str">
        <f t="shared" si="14"/>
        <v/>
      </c>
      <c r="AG805" s="187" t="s">
        <v>2861</v>
      </c>
    </row>
    <row r="806" spans="32:33">
      <c r="AF806" s="187" t="str">
        <f t="shared" si="14"/>
        <v/>
      </c>
      <c r="AG806" s="187" t="s">
        <v>2877</v>
      </c>
    </row>
    <row r="807" spans="32:33">
      <c r="AF807" s="187" t="str">
        <f t="shared" si="14"/>
        <v/>
      </c>
      <c r="AG807" s="187" t="s">
        <v>2878</v>
      </c>
    </row>
    <row r="808" spans="32:33">
      <c r="AF808" s="187" t="str">
        <f t="shared" si="14"/>
        <v/>
      </c>
      <c r="AG808" s="187" t="s">
        <v>2876</v>
      </c>
    </row>
    <row r="809" spans="32:33">
      <c r="AF809" s="187" t="str">
        <f t="shared" si="14"/>
        <v/>
      </c>
      <c r="AG809" s="187" t="s">
        <v>3495</v>
      </c>
    </row>
    <row r="810" spans="32:33">
      <c r="AF810" s="187" t="str">
        <f t="shared" si="14"/>
        <v/>
      </c>
      <c r="AG810" s="187" t="s">
        <v>2865</v>
      </c>
    </row>
    <row r="811" spans="32:33">
      <c r="AF811" s="187" t="str">
        <f t="shared" si="14"/>
        <v/>
      </c>
      <c r="AG811" s="187" t="s">
        <v>2866</v>
      </c>
    </row>
    <row r="812" spans="32:33">
      <c r="AF812" s="187" t="str">
        <f t="shared" si="14"/>
        <v/>
      </c>
      <c r="AG812" s="187" t="s">
        <v>2867</v>
      </c>
    </row>
    <row r="813" spans="32:33">
      <c r="AF813" s="187" t="str">
        <f t="shared" si="14"/>
        <v/>
      </c>
      <c r="AG813" s="187" t="s">
        <v>2850</v>
      </c>
    </row>
    <row r="814" spans="32:33">
      <c r="AF814" s="187" t="str">
        <f t="shared" si="14"/>
        <v/>
      </c>
      <c r="AG814" s="187" t="s">
        <v>2849</v>
      </c>
    </row>
    <row r="815" spans="32:33">
      <c r="AF815" s="187" t="str">
        <f t="shared" si="14"/>
        <v/>
      </c>
      <c r="AG815" s="187" t="s">
        <v>2851</v>
      </c>
    </row>
    <row r="816" spans="32:33">
      <c r="AF816" s="187" t="str">
        <f t="shared" si="14"/>
        <v/>
      </c>
      <c r="AG816" s="187" t="s">
        <v>2852</v>
      </c>
    </row>
    <row r="817" spans="32:33">
      <c r="AF817" s="187" t="str">
        <f t="shared" si="14"/>
        <v/>
      </c>
      <c r="AG817" s="187" t="s">
        <v>2853</v>
      </c>
    </row>
    <row r="818" spans="32:33">
      <c r="AF818" s="187" t="str">
        <f t="shared" si="14"/>
        <v/>
      </c>
      <c r="AG818" s="187" t="s">
        <v>2854</v>
      </c>
    </row>
    <row r="819" spans="32:33">
      <c r="AF819" s="187" t="str">
        <f t="shared" si="14"/>
        <v/>
      </c>
      <c r="AG819" s="187" t="s">
        <v>2855</v>
      </c>
    </row>
    <row r="820" spans="32:33">
      <c r="AF820" s="187" t="str">
        <f t="shared" si="14"/>
        <v/>
      </c>
      <c r="AG820" s="187" t="s">
        <v>2856</v>
      </c>
    </row>
    <row r="821" spans="32:33">
      <c r="AF821" s="187" t="str">
        <f t="shared" si="14"/>
        <v/>
      </c>
      <c r="AG821" s="187" t="s">
        <v>2868</v>
      </c>
    </row>
    <row r="822" spans="32:33">
      <c r="AF822" s="187" t="str">
        <f t="shared" si="14"/>
        <v/>
      </c>
      <c r="AG822" s="187" t="s">
        <v>2869</v>
      </c>
    </row>
    <row r="823" spans="32:33">
      <c r="AF823" s="187" t="str">
        <f t="shared" si="14"/>
        <v/>
      </c>
      <c r="AG823" s="187" t="s">
        <v>2870</v>
      </c>
    </row>
    <row r="824" spans="32:33">
      <c r="AF824" s="187" t="str">
        <f t="shared" si="14"/>
        <v/>
      </c>
      <c r="AG824" s="187" t="s">
        <v>2871</v>
      </c>
    </row>
    <row r="825" spans="32:33">
      <c r="AF825" s="187" t="str">
        <f t="shared" si="14"/>
        <v/>
      </c>
      <c r="AG825" s="187" t="s">
        <v>2872</v>
      </c>
    </row>
    <row r="826" spans="32:33">
      <c r="AF826" s="187" t="str">
        <f t="shared" si="14"/>
        <v/>
      </c>
      <c r="AG826" s="187" t="s">
        <v>2845</v>
      </c>
    </row>
    <row r="827" spans="32:33">
      <c r="AF827" s="187" t="str">
        <f t="shared" si="14"/>
        <v/>
      </c>
      <c r="AG827" s="187" t="s">
        <v>2846</v>
      </c>
    </row>
    <row r="828" spans="32:33">
      <c r="AF828" s="187" t="str">
        <f t="shared" si="14"/>
        <v/>
      </c>
      <c r="AG828" s="187" t="s">
        <v>2847</v>
      </c>
    </row>
    <row r="829" spans="32:33">
      <c r="AF829" s="187" t="str">
        <f t="shared" si="14"/>
        <v/>
      </c>
      <c r="AG829" s="187" t="s">
        <v>2848</v>
      </c>
    </row>
    <row r="830" spans="32:33">
      <c r="AF830" s="187" t="str">
        <f t="shared" si="14"/>
        <v/>
      </c>
      <c r="AG830" s="187" t="s">
        <v>2841</v>
      </c>
    </row>
    <row r="831" spans="32:33">
      <c r="AF831" s="187" t="str">
        <f t="shared" si="14"/>
        <v/>
      </c>
      <c r="AG831" s="187" t="s">
        <v>2842</v>
      </c>
    </row>
    <row r="832" spans="32:33">
      <c r="AF832" s="187" t="str">
        <f t="shared" si="14"/>
        <v/>
      </c>
      <c r="AG832" s="187" t="s">
        <v>2843</v>
      </c>
    </row>
    <row r="833" spans="32:33">
      <c r="AF833" s="187" t="str">
        <f t="shared" si="14"/>
        <v/>
      </c>
      <c r="AG833" s="187" t="s">
        <v>2844</v>
      </c>
    </row>
    <row r="834" spans="32:33">
      <c r="AF834" s="187" t="str">
        <f t="shared" ref="AF834:AF897" si="15">IF(ISERROR(SEARCH($S$47,AG834)),"",$S$48)</f>
        <v/>
      </c>
      <c r="AG834" s="187" t="s">
        <v>2824</v>
      </c>
    </row>
    <row r="835" spans="32:33">
      <c r="AF835" s="187" t="str">
        <f t="shared" si="15"/>
        <v/>
      </c>
      <c r="AG835" s="187" t="s">
        <v>2825</v>
      </c>
    </row>
    <row r="836" spans="32:33">
      <c r="AF836" s="187" t="str">
        <f t="shared" si="15"/>
        <v/>
      </c>
      <c r="AG836" s="187" t="s">
        <v>2826</v>
      </c>
    </row>
    <row r="837" spans="32:33">
      <c r="AF837" s="187" t="str">
        <f t="shared" si="15"/>
        <v/>
      </c>
      <c r="AG837" s="187" t="s">
        <v>2827</v>
      </c>
    </row>
    <row r="838" spans="32:33">
      <c r="AF838" s="187" t="str">
        <f t="shared" si="15"/>
        <v/>
      </c>
      <c r="AG838" s="187" t="s">
        <v>2828</v>
      </c>
    </row>
    <row r="839" spans="32:33">
      <c r="AF839" s="187" t="str">
        <f t="shared" si="15"/>
        <v/>
      </c>
      <c r="AG839" s="187" t="s">
        <v>2829</v>
      </c>
    </row>
    <row r="840" spans="32:33">
      <c r="AF840" s="187" t="str">
        <f t="shared" si="15"/>
        <v/>
      </c>
      <c r="AG840" s="187" t="s">
        <v>2838</v>
      </c>
    </row>
    <row r="841" spans="32:33">
      <c r="AF841" s="187" t="str">
        <f t="shared" si="15"/>
        <v/>
      </c>
      <c r="AG841" s="187" t="s">
        <v>2834</v>
      </c>
    </row>
    <row r="842" spans="32:33">
      <c r="AF842" s="187" t="str">
        <f t="shared" si="15"/>
        <v/>
      </c>
      <c r="AG842" s="187" t="s">
        <v>2835</v>
      </c>
    </row>
    <row r="843" spans="32:33">
      <c r="AF843" s="187" t="str">
        <f t="shared" si="15"/>
        <v/>
      </c>
      <c r="AG843" s="187" t="s">
        <v>2836</v>
      </c>
    </row>
    <row r="844" spans="32:33">
      <c r="AF844" s="187" t="str">
        <f t="shared" si="15"/>
        <v/>
      </c>
      <c r="AG844" s="187" t="s">
        <v>2837</v>
      </c>
    </row>
    <row r="845" spans="32:33">
      <c r="AF845" s="187" t="str">
        <f t="shared" si="15"/>
        <v/>
      </c>
      <c r="AG845" s="187" t="s">
        <v>2839</v>
      </c>
    </row>
    <row r="846" spans="32:33">
      <c r="AF846" s="187" t="str">
        <f t="shared" si="15"/>
        <v/>
      </c>
      <c r="AG846" s="187" t="s">
        <v>2840</v>
      </c>
    </row>
    <row r="847" spans="32:33">
      <c r="AF847" s="187" t="str">
        <f t="shared" si="15"/>
        <v/>
      </c>
      <c r="AG847" s="187" t="s">
        <v>2819</v>
      </c>
    </row>
    <row r="848" spans="32:33">
      <c r="AF848" s="187" t="str">
        <f t="shared" si="15"/>
        <v/>
      </c>
      <c r="AG848" s="187" t="s">
        <v>2820</v>
      </c>
    </row>
    <row r="849" spans="32:33">
      <c r="AF849" s="187" t="str">
        <f t="shared" si="15"/>
        <v/>
      </c>
      <c r="AG849" s="187" t="s">
        <v>2821</v>
      </c>
    </row>
    <row r="850" spans="32:33">
      <c r="AF850" s="187" t="str">
        <f t="shared" si="15"/>
        <v/>
      </c>
      <c r="AG850" s="187" t="s">
        <v>2822</v>
      </c>
    </row>
    <row r="851" spans="32:33">
      <c r="AF851" s="187" t="str">
        <f t="shared" si="15"/>
        <v/>
      </c>
      <c r="AG851" s="187" t="s">
        <v>2823</v>
      </c>
    </row>
    <row r="852" spans="32:33">
      <c r="AF852" s="187" t="str">
        <f t="shared" si="15"/>
        <v/>
      </c>
      <c r="AG852" s="187" t="s">
        <v>2517</v>
      </c>
    </row>
    <row r="853" spans="32:33">
      <c r="AF853" s="187" t="str">
        <f t="shared" si="15"/>
        <v/>
      </c>
      <c r="AG853" s="187" t="s">
        <v>2515</v>
      </c>
    </row>
    <row r="854" spans="32:33">
      <c r="AF854" s="187" t="str">
        <f t="shared" si="15"/>
        <v/>
      </c>
      <c r="AG854" s="187" t="s">
        <v>2516</v>
      </c>
    </row>
    <row r="855" spans="32:33">
      <c r="AF855" s="187" t="str">
        <f t="shared" si="15"/>
        <v/>
      </c>
      <c r="AG855" s="187" t="s">
        <v>2575</v>
      </c>
    </row>
    <row r="856" spans="32:33">
      <c r="AF856" s="187" t="str">
        <f t="shared" si="15"/>
        <v/>
      </c>
      <c r="AG856" s="187" t="s">
        <v>2576</v>
      </c>
    </row>
    <row r="857" spans="32:33">
      <c r="AF857" s="187" t="str">
        <f t="shared" si="15"/>
        <v/>
      </c>
      <c r="AG857" s="187" t="s">
        <v>2577</v>
      </c>
    </row>
    <row r="858" spans="32:33">
      <c r="AF858" s="187" t="str">
        <f t="shared" si="15"/>
        <v/>
      </c>
      <c r="AG858" s="187" t="s">
        <v>2578</v>
      </c>
    </row>
    <row r="859" spans="32:33">
      <c r="AF859" s="187" t="str">
        <f t="shared" si="15"/>
        <v/>
      </c>
      <c r="AG859" s="187" t="s">
        <v>2579</v>
      </c>
    </row>
    <row r="860" spans="32:33">
      <c r="AF860" s="187" t="str">
        <f t="shared" si="15"/>
        <v/>
      </c>
      <c r="AG860" s="187" t="s">
        <v>2580</v>
      </c>
    </row>
    <row r="861" spans="32:33">
      <c r="AF861" s="187" t="str">
        <f t="shared" si="15"/>
        <v/>
      </c>
      <c r="AG861" s="187" t="s">
        <v>2581</v>
      </c>
    </row>
    <row r="862" spans="32:33">
      <c r="AF862" s="187" t="str">
        <f t="shared" si="15"/>
        <v/>
      </c>
      <c r="AG862" s="187" t="s">
        <v>2582</v>
      </c>
    </row>
    <row r="863" spans="32:33">
      <c r="AF863" s="187" t="str">
        <f t="shared" si="15"/>
        <v/>
      </c>
      <c r="AG863" s="187" t="s">
        <v>2583</v>
      </c>
    </row>
    <row r="864" spans="32:33">
      <c r="AF864" s="187" t="str">
        <f t="shared" si="15"/>
        <v/>
      </c>
      <c r="AG864" s="187" t="s">
        <v>2584</v>
      </c>
    </row>
    <row r="865" spans="32:33">
      <c r="AF865" s="187" t="str">
        <f t="shared" si="15"/>
        <v/>
      </c>
      <c r="AG865" s="187" t="s">
        <v>2585</v>
      </c>
    </row>
    <row r="866" spans="32:33">
      <c r="AF866" s="187" t="str">
        <f t="shared" si="15"/>
        <v/>
      </c>
      <c r="AG866" s="187" t="s">
        <v>2586</v>
      </c>
    </row>
    <row r="867" spans="32:33">
      <c r="AF867" s="187" t="str">
        <f t="shared" si="15"/>
        <v/>
      </c>
      <c r="AG867" s="187" t="s">
        <v>2587</v>
      </c>
    </row>
    <row r="868" spans="32:33">
      <c r="AF868" s="187" t="str">
        <f t="shared" si="15"/>
        <v/>
      </c>
      <c r="AG868" s="187" t="s">
        <v>2588</v>
      </c>
    </row>
    <row r="869" spans="32:33">
      <c r="AF869" s="187" t="str">
        <f t="shared" si="15"/>
        <v/>
      </c>
      <c r="AG869" s="187" t="s">
        <v>2589</v>
      </c>
    </row>
    <row r="870" spans="32:33">
      <c r="AF870" s="187" t="str">
        <f t="shared" si="15"/>
        <v/>
      </c>
      <c r="AG870" s="187" t="s">
        <v>2590</v>
      </c>
    </row>
    <row r="871" spans="32:33">
      <c r="AF871" s="187" t="str">
        <f t="shared" si="15"/>
        <v/>
      </c>
      <c r="AG871" s="187" t="s">
        <v>2591</v>
      </c>
    </row>
    <row r="872" spans="32:33">
      <c r="AF872" s="187" t="str">
        <f t="shared" si="15"/>
        <v/>
      </c>
      <c r="AG872" s="187" t="s">
        <v>2592</v>
      </c>
    </row>
    <row r="873" spans="32:33">
      <c r="AF873" s="187" t="str">
        <f t="shared" si="15"/>
        <v/>
      </c>
      <c r="AG873" s="187" t="s">
        <v>2593</v>
      </c>
    </row>
    <row r="874" spans="32:33">
      <c r="AF874" s="187" t="str">
        <f t="shared" si="15"/>
        <v/>
      </c>
      <c r="AG874" s="187" t="s">
        <v>2594</v>
      </c>
    </row>
    <row r="875" spans="32:33">
      <c r="AF875" s="187" t="str">
        <f t="shared" si="15"/>
        <v/>
      </c>
      <c r="AG875" s="187" t="s">
        <v>2595</v>
      </c>
    </row>
    <row r="876" spans="32:33">
      <c r="AF876" s="187" t="str">
        <f t="shared" si="15"/>
        <v/>
      </c>
      <c r="AG876" s="187" t="s">
        <v>2597</v>
      </c>
    </row>
    <row r="877" spans="32:33">
      <c r="AF877" s="187" t="str">
        <f t="shared" si="15"/>
        <v/>
      </c>
      <c r="AG877" s="187" t="s">
        <v>2598</v>
      </c>
    </row>
    <row r="878" spans="32:33">
      <c r="AF878" s="187" t="str">
        <f t="shared" si="15"/>
        <v/>
      </c>
      <c r="AG878" s="187" t="s">
        <v>2599</v>
      </c>
    </row>
    <row r="879" spans="32:33">
      <c r="AF879" s="187" t="str">
        <f t="shared" si="15"/>
        <v/>
      </c>
      <c r="AG879" s="187" t="s">
        <v>2600</v>
      </c>
    </row>
    <row r="880" spans="32:33">
      <c r="AF880" s="187" t="str">
        <f t="shared" si="15"/>
        <v/>
      </c>
      <c r="AG880" s="187" t="s">
        <v>2601</v>
      </c>
    </row>
    <row r="881" spans="32:33">
      <c r="AF881" s="187" t="str">
        <f t="shared" si="15"/>
        <v/>
      </c>
      <c r="AG881" s="187" t="s">
        <v>2602</v>
      </c>
    </row>
    <row r="882" spans="32:33">
      <c r="AF882" s="187" t="str">
        <f t="shared" si="15"/>
        <v/>
      </c>
      <c r="AG882" s="187" t="s">
        <v>2749</v>
      </c>
    </row>
    <row r="883" spans="32:33">
      <c r="AF883" s="187" t="str">
        <f t="shared" si="15"/>
        <v/>
      </c>
      <c r="AG883" s="187" t="s">
        <v>2596</v>
      </c>
    </row>
    <row r="884" spans="32:33">
      <c r="AF884" s="187" t="str">
        <f t="shared" si="15"/>
        <v/>
      </c>
      <c r="AG884" s="187" t="s">
        <v>2603</v>
      </c>
    </row>
    <row r="885" spans="32:33">
      <c r="AF885" s="187" t="str">
        <f t="shared" si="15"/>
        <v/>
      </c>
      <c r="AG885" s="187" t="s">
        <v>2604</v>
      </c>
    </row>
    <row r="886" spans="32:33">
      <c r="AF886" s="187" t="str">
        <f t="shared" si="15"/>
        <v/>
      </c>
      <c r="AG886" s="187" t="s">
        <v>2605</v>
      </c>
    </row>
    <row r="887" spans="32:33">
      <c r="AF887" s="187" t="str">
        <f t="shared" si="15"/>
        <v/>
      </c>
      <c r="AG887" s="187" t="s">
        <v>2606</v>
      </c>
    </row>
    <row r="888" spans="32:33">
      <c r="AF888" s="187" t="str">
        <f t="shared" si="15"/>
        <v/>
      </c>
      <c r="AG888" s="187" t="s">
        <v>2607</v>
      </c>
    </row>
    <row r="889" spans="32:33">
      <c r="AF889" s="187" t="str">
        <f t="shared" si="15"/>
        <v/>
      </c>
      <c r="AG889" s="187" t="s">
        <v>2608</v>
      </c>
    </row>
    <row r="890" spans="32:33">
      <c r="AF890" s="187" t="str">
        <f t="shared" si="15"/>
        <v/>
      </c>
      <c r="AG890" s="187" t="s">
        <v>2609</v>
      </c>
    </row>
    <row r="891" spans="32:33">
      <c r="AF891" s="187" t="str">
        <f t="shared" si="15"/>
        <v/>
      </c>
      <c r="AG891" s="187" t="s">
        <v>2610</v>
      </c>
    </row>
    <row r="892" spans="32:33">
      <c r="AF892" s="187" t="str">
        <f t="shared" si="15"/>
        <v/>
      </c>
      <c r="AG892" s="187" t="s">
        <v>2611</v>
      </c>
    </row>
    <row r="893" spans="32:33">
      <c r="AF893" s="187" t="str">
        <f t="shared" si="15"/>
        <v/>
      </c>
      <c r="AG893" s="187" t="s">
        <v>2612</v>
      </c>
    </row>
    <row r="894" spans="32:33">
      <c r="AF894" s="187" t="str">
        <f t="shared" si="15"/>
        <v/>
      </c>
      <c r="AG894" s="187" t="s">
        <v>2613</v>
      </c>
    </row>
    <row r="895" spans="32:33">
      <c r="AF895" s="187" t="str">
        <f t="shared" si="15"/>
        <v/>
      </c>
      <c r="AG895" s="187" t="s">
        <v>2614</v>
      </c>
    </row>
    <row r="896" spans="32:33">
      <c r="AF896" s="187" t="str">
        <f t="shared" si="15"/>
        <v/>
      </c>
      <c r="AG896" s="187" t="s">
        <v>2615</v>
      </c>
    </row>
    <row r="897" spans="32:33">
      <c r="AF897" s="187" t="str">
        <f t="shared" si="15"/>
        <v/>
      </c>
      <c r="AG897" s="187" t="s">
        <v>2616</v>
      </c>
    </row>
    <row r="898" spans="32:33">
      <c r="AF898" s="187" t="str">
        <f t="shared" ref="AF898:AF961" si="16">IF(ISERROR(SEARCH($S$47,AG898)),"",$S$48)</f>
        <v/>
      </c>
      <c r="AG898" s="187" t="s">
        <v>2617</v>
      </c>
    </row>
    <row r="899" spans="32:33">
      <c r="AF899" s="187" t="str">
        <f t="shared" si="16"/>
        <v/>
      </c>
      <c r="AG899" s="187" t="s">
        <v>2618</v>
      </c>
    </row>
    <row r="900" spans="32:33">
      <c r="AF900" s="187" t="str">
        <f t="shared" si="16"/>
        <v/>
      </c>
      <c r="AG900" s="187" t="s">
        <v>2619</v>
      </c>
    </row>
    <row r="901" spans="32:33">
      <c r="AF901" s="187" t="str">
        <f t="shared" si="16"/>
        <v/>
      </c>
      <c r="AG901" s="187" t="s">
        <v>2620</v>
      </c>
    </row>
    <row r="902" spans="32:33">
      <c r="AF902" s="187" t="str">
        <f t="shared" si="16"/>
        <v/>
      </c>
      <c r="AG902" s="187" t="s">
        <v>2621</v>
      </c>
    </row>
    <row r="903" spans="32:33">
      <c r="AF903" s="187" t="str">
        <f t="shared" si="16"/>
        <v/>
      </c>
      <c r="AG903" s="187" t="s">
        <v>2622</v>
      </c>
    </row>
    <row r="904" spans="32:33">
      <c r="AF904" s="187" t="str">
        <f t="shared" si="16"/>
        <v/>
      </c>
      <c r="AG904" s="187" t="s">
        <v>2677</v>
      </c>
    </row>
    <row r="905" spans="32:33">
      <c r="AF905" s="187" t="str">
        <f t="shared" si="16"/>
        <v/>
      </c>
      <c r="AG905" s="187" t="s">
        <v>2623</v>
      </c>
    </row>
    <row r="906" spans="32:33">
      <c r="AF906" s="187" t="str">
        <f t="shared" si="16"/>
        <v/>
      </c>
      <c r="AG906" s="187" t="s">
        <v>2624</v>
      </c>
    </row>
    <row r="907" spans="32:33">
      <c r="AF907" s="187" t="str">
        <f t="shared" si="16"/>
        <v/>
      </c>
      <c r="AG907" s="187" t="s">
        <v>2625</v>
      </c>
    </row>
    <row r="908" spans="32:33">
      <c r="AF908" s="187" t="str">
        <f t="shared" si="16"/>
        <v/>
      </c>
      <c r="AG908" s="187" t="s">
        <v>2626</v>
      </c>
    </row>
    <row r="909" spans="32:33">
      <c r="AF909" s="187" t="str">
        <f t="shared" si="16"/>
        <v/>
      </c>
      <c r="AG909" s="187" t="s">
        <v>2627</v>
      </c>
    </row>
    <row r="910" spans="32:33">
      <c r="AF910" s="187" t="str">
        <f t="shared" si="16"/>
        <v/>
      </c>
      <c r="AG910" s="187" t="s">
        <v>2628</v>
      </c>
    </row>
    <row r="911" spans="32:33">
      <c r="AF911" s="187" t="str">
        <f t="shared" si="16"/>
        <v/>
      </c>
      <c r="AG911" s="187" t="s">
        <v>2629</v>
      </c>
    </row>
    <row r="912" spans="32:33">
      <c r="AF912" s="187" t="str">
        <f t="shared" si="16"/>
        <v/>
      </c>
      <c r="AG912" s="187" t="s">
        <v>2630</v>
      </c>
    </row>
    <row r="913" spans="32:33">
      <c r="AF913" s="187" t="str">
        <f t="shared" si="16"/>
        <v/>
      </c>
      <c r="AG913" s="187" t="s">
        <v>2631</v>
      </c>
    </row>
    <row r="914" spans="32:33">
      <c r="AF914" s="187" t="str">
        <f t="shared" si="16"/>
        <v/>
      </c>
      <c r="AG914" s="187" t="s">
        <v>2632</v>
      </c>
    </row>
    <row r="915" spans="32:33">
      <c r="AF915" s="187" t="str">
        <f t="shared" si="16"/>
        <v/>
      </c>
      <c r="AG915" s="187" t="s">
        <v>2633</v>
      </c>
    </row>
    <row r="916" spans="32:33">
      <c r="AF916" s="187" t="str">
        <f t="shared" si="16"/>
        <v/>
      </c>
      <c r="AG916" s="187" t="s">
        <v>2634</v>
      </c>
    </row>
    <row r="917" spans="32:33">
      <c r="AF917" s="187" t="str">
        <f t="shared" si="16"/>
        <v/>
      </c>
      <c r="AG917" s="187" t="s">
        <v>2635</v>
      </c>
    </row>
    <row r="918" spans="32:33">
      <c r="AF918" s="187" t="str">
        <f t="shared" si="16"/>
        <v/>
      </c>
      <c r="AG918" s="187" t="s">
        <v>2636</v>
      </c>
    </row>
    <row r="919" spans="32:33">
      <c r="AF919" s="187" t="str">
        <f t="shared" si="16"/>
        <v/>
      </c>
      <c r="AG919" s="187" t="s">
        <v>2637</v>
      </c>
    </row>
    <row r="920" spans="32:33">
      <c r="AF920" s="187" t="str">
        <f t="shared" si="16"/>
        <v/>
      </c>
      <c r="AG920" s="187" t="s">
        <v>2638</v>
      </c>
    </row>
    <row r="921" spans="32:33">
      <c r="AF921" s="187" t="str">
        <f t="shared" si="16"/>
        <v/>
      </c>
      <c r="AG921" s="187" t="s">
        <v>2639</v>
      </c>
    </row>
    <row r="922" spans="32:33">
      <c r="AF922" s="187" t="str">
        <f t="shared" si="16"/>
        <v/>
      </c>
      <c r="AG922" s="187" t="s">
        <v>2640</v>
      </c>
    </row>
    <row r="923" spans="32:33">
      <c r="AF923" s="187" t="str">
        <f t="shared" si="16"/>
        <v/>
      </c>
      <c r="AG923" s="187" t="s">
        <v>2641</v>
      </c>
    </row>
    <row r="924" spans="32:33">
      <c r="AF924" s="187" t="str">
        <f t="shared" si="16"/>
        <v/>
      </c>
      <c r="AG924" s="187" t="s">
        <v>2643</v>
      </c>
    </row>
    <row r="925" spans="32:33">
      <c r="AF925" s="187" t="str">
        <f t="shared" si="16"/>
        <v/>
      </c>
      <c r="AG925" s="187" t="s">
        <v>2644</v>
      </c>
    </row>
    <row r="926" spans="32:33">
      <c r="AF926" s="187" t="str">
        <f t="shared" si="16"/>
        <v/>
      </c>
      <c r="AG926" s="187" t="s">
        <v>2645</v>
      </c>
    </row>
    <row r="927" spans="32:33">
      <c r="AF927" s="187" t="str">
        <f t="shared" si="16"/>
        <v/>
      </c>
      <c r="AG927" s="187" t="s">
        <v>2646</v>
      </c>
    </row>
    <row r="928" spans="32:33">
      <c r="AF928" s="187" t="str">
        <f t="shared" si="16"/>
        <v/>
      </c>
      <c r="AG928" s="187" t="s">
        <v>2647</v>
      </c>
    </row>
    <row r="929" spans="32:33">
      <c r="AF929" s="187" t="str">
        <f t="shared" si="16"/>
        <v/>
      </c>
      <c r="AG929" s="187" t="s">
        <v>2642</v>
      </c>
    </row>
    <row r="930" spans="32:33">
      <c r="AF930" s="187" t="str">
        <f t="shared" si="16"/>
        <v/>
      </c>
      <c r="AG930" s="187" t="s">
        <v>2648</v>
      </c>
    </row>
    <row r="931" spans="32:33">
      <c r="AF931" s="187" t="str">
        <f t="shared" si="16"/>
        <v/>
      </c>
      <c r="AG931" s="187" t="s">
        <v>2649</v>
      </c>
    </row>
    <row r="932" spans="32:33">
      <c r="AF932" s="187" t="str">
        <f t="shared" si="16"/>
        <v/>
      </c>
      <c r="AG932" s="187" t="s">
        <v>2650</v>
      </c>
    </row>
    <row r="933" spans="32:33">
      <c r="AF933" s="187" t="str">
        <f t="shared" si="16"/>
        <v/>
      </c>
      <c r="AG933" s="187" t="s">
        <v>2651</v>
      </c>
    </row>
    <row r="934" spans="32:33">
      <c r="AF934" s="187" t="str">
        <f t="shared" si="16"/>
        <v/>
      </c>
      <c r="AG934" s="187" t="s">
        <v>2652</v>
      </c>
    </row>
    <row r="935" spans="32:33">
      <c r="AF935" s="187" t="str">
        <f t="shared" si="16"/>
        <v/>
      </c>
      <c r="AG935" s="187" t="s">
        <v>2653</v>
      </c>
    </row>
    <row r="936" spans="32:33">
      <c r="AF936" s="187" t="str">
        <f t="shared" si="16"/>
        <v/>
      </c>
      <c r="AG936" s="187" t="s">
        <v>2654</v>
      </c>
    </row>
    <row r="937" spans="32:33">
      <c r="AF937" s="187" t="str">
        <f t="shared" si="16"/>
        <v/>
      </c>
      <c r="AG937" s="187" t="s">
        <v>2655</v>
      </c>
    </row>
    <row r="938" spans="32:33">
      <c r="AF938" s="187" t="str">
        <f t="shared" si="16"/>
        <v/>
      </c>
      <c r="AG938" s="187" t="s">
        <v>2656</v>
      </c>
    </row>
    <row r="939" spans="32:33">
      <c r="AF939" s="187" t="str">
        <f t="shared" si="16"/>
        <v/>
      </c>
      <c r="AG939" s="187" t="s">
        <v>2657</v>
      </c>
    </row>
    <row r="940" spans="32:33">
      <c r="AF940" s="187" t="str">
        <f t="shared" si="16"/>
        <v/>
      </c>
      <c r="AG940" s="187" t="s">
        <v>2658</v>
      </c>
    </row>
    <row r="941" spans="32:33">
      <c r="AF941" s="187" t="str">
        <f t="shared" si="16"/>
        <v/>
      </c>
      <c r="AG941" s="187" t="s">
        <v>2666</v>
      </c>
    </row>
    <row r="942" spans="32:33">
      <c r="AF942" s="187" t="str">
        <f t="shared" si="16"/>
        <v/>
      </c>
      <c r="AG942" s="187" t="s">
        <v>2659</v>
      </c>
    </row>
    <row r="943" spans="32:33">
      <c r="AF943" s="187" t="str">
        <f t="shared" si="16"/>
        <v/>
      </c>
      <c r="AG943" s="187" t="s">
        <v>2660</v>
      </c>
    </row>
    <row r="944" spans="32:33">
      <c r="AF944" s="187" t="str">
        <f t="shared" si="16"/>
        <v/>
      </c>
      <c r="AG944" s="187" t="s">
        <v>2661</v>
      </c>
    </row>
    <row r="945" spans="32:33">
      <c r="AF945" s="187" t="str">
        <f t="shared" si="16"/>
        <v/>
      </c>
      <c r="AG945" s="187" t="s">
        <v>2662</v>
      </c>
    </row>
    <row r="946" spans="32:33">
      <c r="AF946" s="187" t="str">
        <f t="shared" si="16"/>
        <v/>
      </c>
      <c r="AG946" s="187" t="s">
        <v>2663</v>
      </c>
    </row>
    <row r="947" spans="32:33">
      <c r="AF947" s="187" t="str">
        <f t="shared" si="16"/>
        <v/>
      </c>
      <c r="AG947" s="187" t="s">
        <v>2664</v>
      </c>
    </row>
    <row r="948" spans="32:33">
      <c r="AF948" s="187" t="str">
        <f t="shared" si="16"/>
        <v/>
      </c>
      <c r="AG948" s="187" t="s">
        <v>2665</v>
      </c>
    </row>
    <row r="949" spans="32:33">
      <c r="AF949" s="187" t="str">
        <f t="shared" si="16"/>
        <v/>
      </c>
      <c r="AG949" s="187" t="s">
        <v>2667</v>
      </c>
    </row>
    <row r="950" spans="32:33">
      <c r="AF950" s="187" t="str">
        <f t="shared" si="16"/>
        <v/>
      </c>
      <c r="AG950" s="187" t="s">
        <v>2668</v>
      </c>
    </row>
    <row r="951" spans="32:33">
      <c r="AF951" s="187" t="str">
        <f t="shared" si="16"/>
        <v/>
      </c>
      <c r="AG951" s="187" t="s">
        <v>2669</v>
      </c>
    </row>
    <row r="952" spans="32:33">
      <c r="AF952" s="187" t="str">
        <f t="shared" si="16"/>
        <v/>
      </c>
      <c r="AG952" s="187" t="s">
        <v>2670</v>
      </c>
    </row>
    <row r="953" spans="32:33">
      <c r="AF953" s="187" t="str">
        <f t="shared" si="16"/>
        <v/>
      </c>
      <c r="AG953" s="187" t="s">
        <v>2671</v>
      </c>
    </row>
    <row r="954" spans="32:33">
      <c r="AF954" s="187" t="str">
        <f t="shared" si="16"/>
        <v/>
      </c>
      <c r="AG954" s="187" t="s">
        <v>2672</v>
      </c>
    </row>
    <row r="955" spans="32:33">
      <c r="AF955" s="187" t="str">
        <f t="shared" si="16"/>
        <v/>
      </c>
      <c r="AG955" s="187" t="s">
        <v>2673</v>
      </c>
    </row>
    <row r="956" spans="32:33">
      <c r="AF956" s="187" t="str">
        <f t="shared" si="16"/>
        <v/>
      </c>
      <c r="AG956" s="187" t="s">
        <v>2755</v>
      </c>
    </row>
    <row r="957" spans="32:33">
      <c r="AF957" s="187" t="str">
        <f t="shared" si="16"/>
        <v/>
      </c>
      <c r="AG957" s="187" t="s">
        <v>2674</v>
      </c>
    </row>
    <row r="958" spans="32:33">
      <c r="AF958" s="187" t="str">
        <f t="shared" si="16"/>
        <v/>
      </c>
      <c r="AG958" s="187" t="s">
        <v>2675</v>
      </c>
    </row>
    <row r="959" spans="32:33">
      <c r="AF959" s="187" t="str">
        <f t="shared" si="16"/>
        <v/>
      </c>
      <c r="AG959" s="187" t="s">
        <v>2676</v>
      </c>
    </row>
    <row r="960" spans="32:33">
      <c r="AF960" s="187" t="str">
        <f t="shared" si="16"/>
        <v/>
      </c>
      <c r="AG960" s="187" t="s">
        <v>2678</v>
      </c>
    </row>
    <row r="961" spans="32:33">
      <c r="AF961" s="187" t="str">
        <f t="shared" si="16"/>
        <v/>
      </c>
      <c r="AG961" s="187" t="s">
        <v>2679</v>
      </c>
    </row>
    <row r="962" spans="32:33">
      <c r="AF962" s="187" t="str">
        <f t="shared" ref="AF962:AF1025" si="17">IF(ISERROR(SEARCH($S$47,AG962)),"",$S$48)</f>
        <v/>
      </c>
      <c r="AG962" s="187" t="s">
        <v>2680</v>
      </c>
    </row>
    <row r="963" spans="32:33">
      <c r="AF963" s="187" t="str">
        <f t="shared" si="17"/>
        <v/>
      </c>
      <c r="AG963" s="187" t="s">
        <v>2681</v>
      </c>
    </row>
    <row r="964" spans="32:33">
      <c r="AF964" s="187" t="str">
        <f t="shared" si="17"/>
        <v/>
      </c>
      <c r="AG964" s="187" t="s">
        <v>2682</v>
      </c>
    </row>
    <row r="965" spans="32:33">
      <c r="AF965" s="187" t="str">
        <f t="shared" si="17"/>
        <v/>
      </c>
      <c r="AG965" s="187" t="s">
        <v>2683</v>
      </c>
    </row>
    <row r="966" spans="32:33">
      <c r="AF966" s="187" t="str">
        <f t="shared" si="17"/>
        <v/>
      </c>
      <c r="AG966" s="187" t="s">
        <v>2684</v>
      </c>
    </row>
    <row r="967" spans="32:33">
      <c r="AF967" s="187" t="str">
        <f t="shared" si="17"/>
        <v/>
      </c>
      <c r="AG967" s="187" t="s">
        <v>2685</v>
      </c>
    </row>
    <row r="968" spans="32:33">
      <c r="AF968" s="187" t="str">
        <f t="shared" si="17"/>
        <v/>
      </c>
      <c r="AG968" s="187" t="s">
        <v>2686</v>
      </c>
    </row>
    <row r="969" spans="32:33">
      <c r="AF969" s="187" t="str">
        <f t="shared" si="17"/>
        <v/>
      </c>
      <c r="AG969" s="187" t="s">
        <v>2687</v>
      </c>
    </row>
    <row r="970" spans="32:33">
      <c r="AF970" s="187" t="str">
        <f t="shared" si="17"/>
        <v/>
      </c>
      <c r="AG970" s="187" t="s">
        <v>2688</v>
      </c>
    </row>
    <row r="971" spans="32:33">
      <c r="AF971" s="187" t="str">
        <f t="shared" si="17"/>
        <v/>
      </c>
      <c r="AG971" s="187" t="s">
        <v>1334</v>
      </c>
    </row>
    <row r="972" spans="32:33">
      <c r="AF972" s="187" t="str">
        <f t="shared" si="17"/>
        <v/>
      </c>
      <c r="AG972" s="187" t="s">
        <v>2689</v>
      </c>
    </row>
    <row r="973" spans="32:33">
      <c r="AF973" s="187" t="str">
        <f t="shared" si="17"/>
        <v/>
      </c>
      <c r="AG973" s="187" t="s">
        <v>2690</v>
      </c>
    </row>
    <row r="974" spans="32:33">
      <c r="AF974" s="187" t="str">
        <f t="shared" si="17"/>
        <v/>
      </c>
      <c r="AG974" s="187" t="s">
        <v>2691</v>
      </c>
    </row>
    <row r="975" spans="32:33">
      <c r="AF975" s="187" t="str">
        <f t="shared" si="17"/>
        <v/>
      </c>
      <c r="AG975" s="187" t="s">
        <v>2692</v>
      </c>
    </row>
    <row r="976" spans="32:33">
      <c r="AF976" s="187" t="str">
        <f t="shared" si="17"/>
        <v/>
      </c>
      <c r="AG976" s="187" t="s">
        <v>2693</v>
      </c>
    </row>
    <row r="977" spans="32:33">
      <c r="AF977" s="187" t="str">
        <f t="shared" si="17"/>
        <v/>
      </c>
      <c r="AG977" s="187" t="s">
        <v>2694</v>
      </c>
    </row>
    <row r="978" spans="32:33">
      <c r="AF978" s="187" t="str">
        <f t="shared" si="17"/>
        <v/>
      </c>
      <c r="AG978" s="187" t="s">
        <v>2695</v>
      </c>
    </row>
    <row r="979" spans="32:33">
      <c r="AF979" s="187" t="str">
        <f t="shared" si="17"/>
        <v/>
      </c>
      <c r="AG979" s="187" t="s">
        <v>2696</v>
      </c>
    </row>
    <row r="980" spans="32:33">
      <c r="AF980" s="187" t="str">
        <f t="shared" si="17"/>
        <v/>
      </c>
      <c r="AG980" s="187" t="s">
        <v>2697</v>
      </c>
    </row>
    <row r="981" spans="32:33">
      <c r="AF981" s="187" t="str">
        <f t="shared" si="17"/>
        <v/>
      </c>
      <c r="AG981" s="187" t="s">
        <v>2698</v>
      </c>
    </row>
    <row r="982" spans="32:33">
      <c r="AF982" s="187" t="str">
        <f t="shared" si="17"/>
        <v/>
      </c>
      <c r="AG982" s="187" t="s">
        <v>2699</v>
      </c>
    </row>
    <row r="983" spans="32:33">
      <c r="AF983" s="187" t="str">
        <f t="shared" si="17"/>
        <v/>
      </c>
      <c r="AG983" s="187" t="s">
        <v>2574</v>
      </c>
    </row>
    <row r="984" spans="32:33">
      <c r="AF984" s="187" t="str">
        <f t="shared" si="17"/>
        <v/>
      </c>
      <c r="AG984" s="187" t="s">
        <v>2700</v>
      </c>
    </row>
    <row r="985" spans="32:33">
      <c r="AF985" s="187" t="str">
        <f t="shared" si="17"/>
        <v/>
      </c>
      <c r="AG985" s="187" t="s">
        <v>2701</v>
      </c>
    </row>
    <row r="986" spans="32:33">
      <c r="AF986" s="187" t="str">
        <f t="shared" si="17"/>
        <v/>
      </c>
      <c r="AG986" s="187" t="s">
        <v>2702</v>
      </c>
    </row>
    <row r="987" spans="32:33">
      <c r="AF987" s="187" t="str">
        <f t="shared" si="17"/>
        <v/>
      </c>
      <c r="AG987" s="187" t="s">
        <v>2703</v>
      </c>
    </row>
    <row r="988" spans="32:33">
      <c r="AF988" s="187" t="str">
        <f t="shared" si="17"/>
        <v/>
      </c>
      <c r="AG988" s="187" t="s">
        <v>2704</v>
      </c>
    </row>
    <row r="989" spans="32:33">
      <c r="AF989" s="187" t="str">
        <f t="shared" si="17"/>
        <v/>
      </c>
      <c r="AG989" s="187" t="s">
        <v>2705</v>
      </c>
    </row>
    <row r="990" spans="32:33">
      <c r="AF990" s="187" t="str">
        <f t="shared" si="17"/>
        <v/>
      </c>
      <c r="AG990" s="187" t="s">
        <v>2706</v>
      </c>
    </row>
    <row r="991" spans="32:33">
      <c r="AF991" s="187" t="str">
        <f t="shared" si="17"/>
        <v/>
      </c>
      <c r="AG991" s="187" t="s">
        <v>2707</v>
      </c>
    </row>
    <row r="992" spans="32:33">
      <c r="AF992" s="187" t="str">
        <f t="shared" si="17"/>
        <v/>
      </c>
      <c r="AG992" s="187" t="s">
        <v>2708</v>
      </c>
    </row>
    <row r="993" spans="32:33">
      <c r="AF993" s="187" t="str">
        <f t="shared" si="17"/>
        <v/>
      </c>
      <c r="AG993" s="187" t="s">
        <v>2709</v>
      </c>
    </row>
    <row r="994" spans="32:33">
      <c r="AF994" s="187" t="str">
        <f t="shared" si="17"/>
        <v/>
      </c>
      <c r="AG994" s="187" t="s">
        <v>2710</v>
      </c>
    </row>
    <row r="995" spans="32:33">
      <c r="AF995" s="187" t="str">
        <f t="shared" si="17"/>
        <v/>
      </c>
      <c r="AG995" s="187" t="s">
        <v>2711</v>
      </c>
    </row>
    <row r="996" spans="32:33">
      <c r="AF996" s="187" t="str">
        <f t="shared" si="17"/>
        <v/>
      </c>
      <c r="AG996" s="187" t="s">
        <v>2712</v>
      </c>
    </row>
    <row r="997" spans="32:33">
      <c r="AF997" s="187" t="str">
        <f t="shared" si="17"/>
        <v/>
      </c>
      <c r="AG997" s="187" t="s">
        <v>2756</v>
      </c>
    </row>
    <row r="998" spans="32:33">
      <c r="AF998" s="187" t="str">
        <f t="shared" si="17"/>
        <v/>
      </c>
      <c r="AG998" s="187" t="s">
        <v>2713</v>
      </c>
    </row>
    <row r="999" spans="32:33">
      <c r="AF999" s="187" t="str">
        <f t="shared" si="17"/>
        <v/>
      </c>
      <c r="AG999" s="187" t="s">
        <v>2714</v>
      </c>
    </row>
    <row r="1000" spans="32:33">
      <c r="AF1000" s="187" t="str">
        <f t="shared" si="17"/>
        <v/>
      </c>
      <c r="AG1000" s="187" t="s">
        <v>2715</v>
      </c>
    </row>
    <row r="1001" spans="32:33">
      <c r="AF1001" s="187" t="str">
        <f t="shared" si="17"/>
        <v/>
      </c>
      <c r="AG1001" s="187" t="s">
        <v>2716</v>
      </c>
    </row>
    <row r="1002" spans="32:33">
      <c r="AF1002" s="187" t="str">
        <f t="shared" si="17"/>
        <v/>
      </c>
      <c r="AG1002" s="187" t="s">
        <v>2717</v>
      </c>
    </row>
    <row r="1003" spans="32:33">
      <c r="AF1003" s="187" t="str">
        <f t="shared" si="17"/>
        <v/>
      </c>
      <c r="AG1003" s="187" t="s">
        <v>2718</v>
      </c>
    </row>
    <row r="1004" spans="32:33">
      <c r="AF1004" s="187" t="str">
        <f t="shared" si="17"/>
        <v/>
      </c>
      <c r="AG1004" s="187" t="s">
        <v>2719</v>
      </c>
    </row>
    <row r="1005" spans="32:33">
      <c r="AF1005" s="187" t="str">
        <f t="shared" si="17"/>
        <v/>
      </c>
      <c r="AG1005" s="187" t="s">
        <v>2720</v>
      </c>
    </row>
    <row r="1006" spans="32:33">
      <c r="AF1006" s="187" t="str">
        <f t="shared" si="17"/>
        <v/>
      </c>
      <c r="AG1006" s="187" t="s">
        <v>2721</v>
      </c>
    </row>
    <row r="1007" spans="32:33">
      <c r="AF1007" s="187" t="str">
        <f t="shared" si="17"/>
        <v/>
      </c>
      <c r="AG1007" s="187" t="s">
        <v>2722</v>
      </c>
    </row>
    <row r="1008" spans="32:33">
      <c r="AF1008" s="187" t="str">
        <f t="shared" si="17"/>
        <v/>
      </c>
      <c r="AG1008" s="187" t="s">
        <v>2723</v>
      </c>
    </row>
    <row r="1009" spans="32:33">
      <c r="AF1009" s="187" t="str">
        <f t="shared" si="17"/>
        <v/>
      </c>
      <c r="AG1009" s="187" t="s">
        <v>2724</v>
      </c>
    </row>
    <row r="1010" spans="32:33">
      <c r="AF1010" s="187" t="str">
        <f t="shared" si="17"/>
        <v/>
      </c>
      <c r="AG1010" s="187" t="s">
        <v>2725</v>
      </c>
    </row>
    <row r="1011" spans="32:33">
      <c r="AF1011" s="187" t="str">
        <f t="shared" si="17"/>
        <v/>
      </c>
      <c r="AG1011" s="187" t="s">
        <v>2726</v>
      </c>
    </row>
    <row r="1012" spans="32:33">
      <c r="AF1012" s="187" t="str">
        <f t="shared" si="17"/>
        <v/>
      </c>
      <c r="AG1012" s="187" t="s">
        <v>2727</v>
      </c>
    </row>
    <row r="1013" spans="32:33">
      <c r="AF1013" s="187" t="str">
        <f t="shared" si="17"/>
        <v/>
      </c>
      <c r="AG1013" s="187" t="s">
        <v>2728</v>
      </c>
    </row>
    <row r="1014" spans="32:33">
      <c r="AF1014" s="187" t="str">
        <f t="shared" si="17"/>
        <v/>
      </c>
      <c r="AG1014" s="187" t="s">
        <v>2729</v>
      </c>
    </row>
    <row r="1015" spans="32:33">
      <c r="AF1015" s="187" t="str">
        <f t="shared" si="17"/>
        <v/>
      </c>
      <c r="AG1015" s="187" t="s">
        <v>2730</v>
      </c>
    </row>
    <row r="1016" spans="32:33">
      <c r="AF1016" s="187" t="str">
        <f t="shared" si="17"/>
        <v/>
      </c>
      <c r="AG1016" s="187" t="s">
        <v>2732</v>
      </c>
    </row>
    <row r="1017" spans="32:33">
      <c r="AF1017" s="187" t="str">
        <f t="shared" si="17"/>
        <v/>
      </c>
      <c r="AG1017" s="187" t="s">
        <v>2731</v>
      </c>
    </row>
    <row r="1018" spans="32:33">
      <c r="AF1018" s="187" t="str">
        <f t="shared" si="17"/>
        <v/>
      </c>
      <c r="AG1018" s="187" t="s">
        <v>2733</v>
      </c>
    </row>
    <row r="1019" spans="32:33">
      <c r="AF1019" s="187" t="str">
        <f t="shared" si="17"/>
        <v/>
      </c>
      <c r="AG1019" s="187" t="s">
        <v>2734</v>
      </c>
    </row>
    <row r="1020" spans="32:33">
      <c r="AF1020" s="187" t="str">
        <f t="shared" si="17"/>
        <v/>
      </c>
      <c r="AG1020" s="187" t="s">
        <v>2735</v>
      </c>
    </row>
    <row r="1021" spans="32:33">
      <c r="AF1021" s="187" t="str">
        <f t="shared" si="17"/>
        <v/>
      </c>
      <c r="AG1021" s="187" t="s">
        <v>2736</v>
      </c>
    </row>
    <row r="1022" spans="32:33">
      <c r="AF1022" s="187" t="str">
        <f t="shared" si="17"/>
        <v/>
      </c>
      <c r="AG1022" s="187" t="s">
        <v>2737</v>
      </c>
    </row>
    <row r="1023" spans="32:33">
      <c r="AF1023" s="187" t="str">
        <f t="shared" si="17"/>
        <v/>
      </c>
      <c r="AG1023" s="187" t="s">
        <v>2743</v>
      </c>
    </row>
    <row r="1024" spans="32:33">
      <c r="AF1024" s="187" t="str">
        <f t="shared" si="17"/>
        <v/>
      </c>
      <c r="AG1024" s="187" t="s">
        <v>2738</v>
      </c>
    </row>
    <row r="1025" spans="32:33">
      <c r="AF1025" s="187" t="str">
        <f t="shared" si="17"/>
        <v/>
      </c>
      <c r="AG1025" s="187" t="s">
        <v>2739</v>
      </c>
    </row>
    <row r="1026" spans="32:33">
      <c r="AF1026" s="187" t="str">
        <f t="shared" ref="AF1026:AF1089" si="18">IF(ISERROR(SEARCH($S$47,AG1026)),"",$S$48)</f>
        <v/>
      </c>
      <c r="AG1026" s="187" t="s">
        <v>2740</v>
      </c>
    </row>
    <row r="1027" spans="32:33">
      <c r="AF1027" s="187" t="str">
        <f t="shared" si="18"/>
        <v/>
      </c>
      <c r="AG1027" s="187" t="s">
        <v>2741</v>
      </c>
    </row>
    <row r="1028" spans="32:33">
      <c r="AF1028" s="187" t="str">
        <f t="shared" si="18"/>
        <v/>
      </c>
      <c r="AG1028" s="187" t="s">
        <v>2742</v>
      </c>
    </row>
    <row r="1029" spans="32:33">
      <c r="AF1029" s="187" t="str">
        <f t="shared" si="18"/>
        <v/>
      </c>
      <c r="AG1029" s="187" t="s">
        <v>2744</v>
      </c>
    </row>
    <row r="1030" spans="32:33">
      <c r="AF1030" s="187" t="str">
        <f t="shared" si="18"/>
        <v/>
      </c>
      <c r="AG1030" s="187" t="s">
        <v>2745</v>
      </c>
    </row>
    <row r="1031" spans="32:33">
      <c r="AF1031" s="187" t="str">
        <f t="shared" si="18"/>
        <v/>
      </c>
      <c r="AG1031" s="187" t="s">
        <v>2746</v>
      </c>
    </row>
    <row r="1032" spans="32:33">
      <c r="AF1032" s="187" t="str">
        <f t="shared" si="18"/>
        <v/>
      </c>
      <c r="AG1032" s="187" t="s">
        <v>2747</v>
      </c>
    </row>
    <row r="1033" spans="32:33">
      <c r="AF1033" s="187" t="str">
        <f t="shared" si="18"/>
        <v/>
      </c>
      <c r="AG1033" s="187" t="s">
        <v>2748</v>
      </c>
    </row>
    <row r="1034" spans="32:33">
      <c r="AF1034" s="187" t="str">
        <f t="shared" si="18"/>
        <v/>
      </c>
      <c r="AG1034" s="187" t="s">
        <v>1336</v>
      </c>
    </row>
    <row r="1035" spans="32:33">
      <c r="AF1035" s="187" t="str">
        <f t="shared" si="18"/>
        <v/>
      </c>
      <c r="AG1035" s="187" t="s">
        <v>2750</v>
      </c>
    </row>
    <row r="1036" spans="32:33">
      <c r="AF1036" s="187" t="str">
        <f t="shared" si="18"/>
        <v/>
      </c>
      <c r="AG1036" s="187" t="s">
        <v>2751</v>
      </c>
    </row>
    <row r="1037" spans="32:33">
      <c r="AF1037" s="187" t="str">
        <f t="shared" si="18"/>
        <v/>
      </c>
      <c r="AG1037" s="187" t="s">
        <v>1335</v>
      </c>
    </row>
    <row r="1038" spans="32:33">
      <c r="AF1038" s="187" t="str">
        <f t="shared" si="18"/>
        <v/>
      </c>
      <c r="AG1038" s="187" t="s">
        <v>2752</v>
      </c>
    </row>
    <row r="1039" spans="32:33">
      <c r="AF1039" s="187" t="str">
        <f t="shared" si="18"/>
        <v/>
      </c>
      <c r="AG1039" s="187" t="s">
        <v>2753</v>
      </c>
    </row>
    <row r="1040" spans="32:33">
      <c r="AF1040" s="187" t="str">
        <f t="shared" si="18"/>
        <v/>
      </c>
      <c r="AG1040" s="187" t="s">
        <v>2754</v>
      </c>
    </row>
    <row r="1041" spans="32:33">
      <c r="AF1041" s="187" t="str">
        <f t="shared" si="18"/>
        <v/>
      </c>
      <c r="AG1041" s="187" t="s">
        <v>2768</v>
      </c>
    </row>
    <row r="1042" spans="32:33">
      <c r="AF1042" s="187" t="str">
        <f t="shared" si="18"/>
        <v/>
      </c>
      <c r="AG1042" s="187" t="s">
        <v>2769</v>
      </c>
    </row>
    <row r="1043" spans="32:33">
      <c r="AF1043" s="187" t="str">
        <f t="shared" si="18"/>
        <v/>
      </c>
      <c r="AG1043" s="187" t="s">
        <v>2811</v>
      </c>
    </row>
    <row r="1044" spans="32:33">
      <c r="AF1044" s="187" t="str">
        <f t="shared" si="18"/>
        <v/>
      </c>
      <c r="AG1044" s="187" t="s">
        <v>2770</v>
      </c>
    </row>
    <row r="1045" spans="32:33">
      <c r="AF1045" s="187" t="str">
        <f t="shared" si="18"/>
        <v/>
      </c>
      <c r="AG1045" s="187" t="s">
        <v>2771</v>
      </c>
    </row>
    <row r="1046" spans="32:33">
      <c r="AF1046" s="187" t="str">
        <f t="shared" si="18"/>
        <v/>
      </c>
      <c r="AG1046" s="187" t="s">
        <v>2772</v>
      </c>
    </row>
    <row r="1047" spans="32:33">
      <c r="AF1047" s="187" t="str">
        <f t="shared" si="18"/>
        <v/>
      </c>
      <c r="AG1047" s="187" t="s">
        <v>2773</v>
      </c>
    </row>
    <row r="1048" spans="32:33">
      <c r="AF1048" s="187" t="str">
        <f t="shared" si="18"/>
        <v/>
      </c>
      <c r="AG1048" s="187" t="s">
        <v>2812</v>
      </c>
    </row>
    <row r="1049" spans="32:33">
      <c r="AF1049" s="187" t="str">
        <f t="shared" si="18"/>
        <v/>
      </c>
      <c r="AG1049" s="187" t="s">
        <v>2774</v>
      </c>
    </row>
    <row r="1050" spans="32:33">
      <c r="AF1050" s="187" t="str">
        <f t="shared" si="18"/>
        <v/>
      </c>
      <c r="AG1050" s="187" t="s">
        <v>2775</v>
      </c>
    </row>
    <row r="1051" spans="32:33">
      <c r="AF1051" s="187" t="str">
        <f t="shared" si="18"/>
        <v/>
      </c>
      <c r="AG1051" s="187" t="s">
        <v>2776</v>
      </c>
    </row>
    <row r="1052" spans="32:33">
      <c r="AF1052" s="187" t="str">
        <f t="shared" si="18"/>
        <v/>
      </c>
      <c r="AG1052" s="187" t="s">
        <v>2777</v>
      </c>
    </row>
    <row r="1053" spans="32:33">
      <c r="AF1053" s="187" t="str">
        <f t="shared" si="18"/>
        <v/>
      </c>
      <c r="AG1053" s="187" t="s">
        <v>2778</v>
      </c>
    </row>
    <row r="1054" spans="32:33">
      <c r="AF1054" s="187" t="str">
        <f t="shared" si="18"/>
        <v/>
      </c>
      <c r="AG1054" s="187" t="s">
        <v>2779</v>
      </c>
    </row>
    <row r="1055" spans="32:33">
      <c r="AF1055" s="187" t="str">
        <f t="shared" si="18"/>
        <v/>
      </c>
      <c r="AG1055" s="187" t="s">
        <v>2780</v>
      </c>
    </row>
    <row r="1056" spans="32:33">
      <c r="AF1056" s="187" t="str">
        <f t="shared" si="18"/>
        <v/>
      </c>
      <c r="AG1056" s="187" t="s">
        <v>2781</v>
      </c>
    </row>
    <row r="1057" spans="32:33">
      <c r="AF1057" s="187" t="str">
        <f t="shared" si="18"/>
        <v/>
      </c>
      <c r="AG1057" s="187" t="s">
        <v>2782</v>
      </c>
    </row>
    <row r="1058" spans="32:33">
      <c r="AF1058" s="187" t="str">
        <f t="shared" si="18"/>
        <v/>
      </c>
      <c r="AG1058" s="187" t="s">
        <v>2783</v>
      </c>
    </row>
    <row r="1059" spans="32:33">
      <c r="AF1059" s="187" t="str">
        <f t="shared" si="18"/>
        <v/>
      </c>
      <c r="AG1059" s="187" t="s">
        <v>2784</v>
      </c>
    </row>
    <row r="1060" spans="32:33">
      <c r="AF1060" s="187" t="str">
        <f t="shared" si="18"/>
        <v/>
      </c>
      <c r="AG1060" s="187" t="s">
        <v>2785</v>
      </c>
    </row>
    <row r="1061" spans="32:33">
      <c r="AF1061" s="187" t="str">
        <f t="shared" si="18"/>
        <v/>
      </c>
      <c r="AG1061" s="187" t="s">
        <v>2767</v>
      </c>
    </row>
    <row r="1062" spans="32:33">
      <c r="AF1062" s="187" t="str">
        <f t="shared" si="18"/>
        <v/>
      </c>
      <c r="AG1062" s="187" t="s">
        <v>2786</v>
      </c>
    </row>
    <row r="1063" spans="32:33">
      <c r="AF1063" s="187" t="str">
        <f t="shared" si="18"/>
        <v/>
      </c>
      <c r="AG1063" s="187" t="s">
        <v>2809</v>
      </c>
    </row>
    <row r="1064" spans="32:33">
      <c r="AF1064" s="187" t="str">
        <f t="shared" si="18"/>
        <v/>
      </c>
      <c r="AG1064" s="187" t="s">
        <v>2818</v>
      </c>
    </row>
    <row r="1065" spans="32:33">
      <c r="AF1065" s="187" t="str">
        <f t="shared" si="18"/>
        <v/>
      </c>
      <c r="AG1065" s="187" t="s">
        <v>2787</v>
      </c>
    </row>
    <row r="1066" spans="32:33">
      <c r="AF1066" s="187" t="str">
        <f t="shared" si="18"/>
        <v/>
      </c>
      <c r="AG1066" s="187" t="s">
        <v>2788</v>
      </c>
    </row>
    <row r="1067" spans="32:33">
      <c r="AF1067" s="187" t="str">
        <f t="shared" si="18"/>
        <v/>
      </c>
      <c r="AG1067" s="187" t="s">
        <v>2789</v>
      </c>
    </row>
    <row r="1068" spans="32:33">
      <c r="AF1068" s="187" t="str">
        <f t="shared" si="18"/>
        <v/>
      </c>
      <c r="AG1068" s="187" t="s">
        <v>2813</v>
      </c>
    </row>
    <row r="1069" spans="32:33">
      <c r="AF1069" s="187" t="str">
        <f t="shared" si="18"/>
        <v/>
      </c>
      <c r="AG1069" s="187" t="s">
        <v>2790</v>
      </c>
    </row>
    <row r="1070" spans="32:33">
      <c r="AF1070" s="187" t="str">
        <f t="shared" si="18"/>
        <v/>
      </c>
      <c r="AG1070" s="187" t="s">
        <v>2791</v>
      </c>
    </row>
    <row r="1071" spans="32:33">
      <c r="AF1071" s="187" t="str">
        <f t="shared" si="18"/>
        <v/>
      </c>
      <c r="AG1071" s="187" t="s">
        <v>2792</v>
      </c>
    </row>
    <row r="1072" spans="32:33">
      <c r="AF1072" s="187" t="str">
        <f t="shared" si="18"/>
        <v/>
      </c>
      <c r="AG1072" s="187" t="s">
        <v>2793</v>
      </c>
    </row>
    <row r="1073" spans="32:33">
      <c r="AF1073" s="187" t="str">
        <f t="shared" si="18"/>
        <v/>
      </c>
      <c r="AG1073" s="187" t="s">
        <v>2814</v>
      </c>
    </row>
    <row r="1074" spans="32:33">
      <c r="AF1074" s="187" t="str">
        <f t="shared" si="18"/>
        <v/>
      </c>
      <c r="AG1074" s="187" t="s">
        <v>2815</v>
      </c>
    </row>
    <row r="1075" spans="32:33">
      <c r="AF1075" s="187" t="str">
        <f t="shared" si="18"/>
        <v/>
      </c>
      <c r="AG1075" s="187" t="s">
        <v>2794</v>
      </c>
    </row>
    <row r="1076" spans="32:33">
      <c r="AF1076" s="187" t="str">
        <f t="shared" si="18"/>
        <v/>
      </c>
      <c r="AG1076" s="187" t="s">
        <v>2795</v>
      </c>
    </row>
    <row r="1077" spans="32:33">
      <c r="AF1077" s="187" t="str">
        <f t="shared" si="18"/>
        <v/>
      </c>
      <c r="AG1077" s="187" t="s">
        <v>2796</v>
      </c>
    </row>
    <row r="1078" spans="32:33">
      <c r="AF1078" s="187" t="str">
        <f t="shared" si="18"/>
        <v/>
      </c>
      <c r="AG1078" s="187" t="s">
        <v>2797</v>
      </c>
    </row>
    <row r="1079" spans="32:33">
      <c r="AF1079" s="187" t="str">
        <f t="shared" si="18"/>
        <v/>
      </c>
      <c r="AG1079" s="187" t="s">
        <v>2798</v>
      </c>
    </row>
    <row r="1080" spans="32:33">
      <c r="AF1080" s="187" t="str">
        <f t="shared" si="18"/>
        <v/>
      </c>
      <c r="AG1080" s="187" t="s">
        <v>2799</v>
      </c>
    </row>
    <row r="1081" spans="32:33">
      <c r="AF1081" s="187" t="str">
        <f t="shared" si="18"/>
        <v/>
      </c>
      <c r="AG1081" s="187" t="s">
        <v>2800</v>
      </c>
    </row>
    <row r="1082" spans="32:33">
      <c r="AF1082" s="187" t="str">
        <f t="shared" si="18"/>
        <v/>
      </c>
      <c r="AG1082" s="187" t="s">
        <v>2801</v>
      </c>
    </row>
    <row r="1083" spans="32:33">
      <c r="AF1083" s="187" t="str">
        <f t="shared" si="18"/>
        <v/>
      </c>
      <c r="AG1083" s="187" t="s">
        <v>2802</v>
      </c>
    </row>
    <row r="1084" spans="32:33">
      <c r="AF1084" s="187" t="str">
        <f t="shared" si="18"/>
        <v/>
      </c>
      <c r="AG1084" s="187" t="s">
        <v>2803</v>
      </c>
    </row>
    <row r="1085" spans="32:33">
      <c r="AF1085" s="187" t="str">
        <f t="shared" si="18"/>
        <v/>
      </c>
      <c r="AG1085" s="187" t="s">
        <v>2804</v>
      </c>
    </row>
    <row r="1086" spans="32:33">
      <c r="AF1086" s="187" t="str">
        <f t="shared" si="18"/>
        <v/>
      </c>
      <c r="AG1086" s="187" t="s">
        <v>2805</v>
      </c>
    </row>
    <row r="1087" spans="32:33">
      <c r="AF1087" s="187" t="str">
        <f t="shared" si="18"/>
        <v/>
      </c>
      <c r="AG1087" s="187" t="s">
        <v>2806</v>
      </c>
    </row>
    <row r="1088" spans="32:33">
      <c r="AF1088" s="187" t="str">
        <f t="shared" si="18"/>
        <v/>
      </c>
      <c r="AG1088" s="187" t="s">
        <v>2807</v>
      </c>
    </row>
    <row r="1089" spans="32:33">
      <c r="AF1089" s="187" t="str">
        <f t="shared" si="18"/>
        <v/>
      </c>
      <c r="AG1089" s="187" t="s">
        <v>2816</v>
      </c>
    </row>
    <row r="1090" spans="32:33">
      <c r="AF1090" s="187" t="str">
        <f t="shared" ref="AF1090:AF1153" si="19">IF(ISERROR(SEARCH($S$47,AG1090)),"",$S$48)</f>
        <v/>
      </c>
      <c r="AG1090" s="187" t="s">
        <v>2808</v>
      </c>
    </row>
    <row r="1091" spans="32:33">
      <c r="AF1091" s="187" t="str">
        <f t="shared" si="19"/>
        <v/>
      </c>
      <c r="AG1091" s="187" t="s">
        <v>2817</v>
      </c>
    </row>
    <row r="1092" spans="32:33">
      <c r="AF1092" s="187" t="str">
        <f t="shared" si="19"/>
        <v/>
      </c>
      <c r="AG1092" s="187" t="s">
        <v>2810</v>
      </c>
    </row>
    <row r="1093" spans="32:33">
      <c r="AF1093" s="187" t="str">
        <f t="shared" si="19"/>
        <v/>
      </c>
      <c r="AG1093" s="187" t="s">
        <v>2522</v>
      </c>
    </row>
    <row r="1094" spans="32:33">
      <c r="AF1094" s="187" t="str">
        <f t="shared" si="19"/>
        <v/>
      </c>
      <c r="AG1094" s="187" t="s">
        <v>2523</v>
      </c>
    </row>
    <row r="1095" spans="32:33">
      <c r="AF1095" s="187" t="str">
        <f t="shared" si="19"/>
        <v/>
      </c>
      <c r="AG1095" s="187" t="s">
        <v>2524</v>
      </c>
    </row>
    <row r="1096" spans="32:33">
      <c r="AF1096" s="187" t="str">
        <f t="shared" si="19"/>
        <v/>
      </c>
      <c r="AG1096" s="187" t="s">
        <v>2525</v>
      </c>
    </row>
    <row r="1097" spans="32:33">
      <c r="AF1097" s="187" t="str">
        <f t="shared" si="19"/>
        <v/>
      </c>
      <c r="AG1097" s="187" t="s">
        <v>2553</v>
      </c>
    </row>
    <row r="1098" spans="32:33">
      <c r="AF1098" s="187" t="str">
        <f t="shared" si="19"/>
        <v/>
      </c>
      <c r="AG1098" s="187" t="s">
        <v>2526</v>
      </c>
    </row>
    <row r="1099" spans="32:33">
      <c r="AF1099" s="187" t="str">
        <f t="shared" si="19"/>
        <v/>
      </c>
      <c r="AG1099" s="187" t="s">
        <v>2527</v>
      </c>
    </row>
    <row r="1100" spans="32:33">
      <c r="AF1100" s="187" t="str">
        <f t="shared" si="19"/>
        <v/>
      </c>
      <c r="AG1100" s="187" t="s">
        <v>2528</v>
      </c>
    </row>
    <row r="1101" spans="32:33">
      <c r="AF1101" s="187" t="str">
        <f t="shared" si="19"/>
        <v/>
      </c>
      <c r="AG1101" s="187" t="s">
        <v>2519</v>
      </c>
    </row>
    <row r="1102" spans="32:33">
      <c r="AF1102" s="187" t="str">
        <f t="shared" si="19"/>
        <v/>
      </c>
      <c r="AG1102" s="187" t="s">
        <v>2529</v>
      </c>
    </row>
    <row r="1103" spans="32:33">
      <c r="AF1103" s="187" t="str">
        <f t="shared" si="19"/>
        <v/>
      </c>
      <c r="AG1103" s="187" t="s">
        <v>2530</v>
      </c>
    </row>
    <row r="1104" spans="32:33">
      <c r="AF1104" s="187" t="str">
        <f t="shared" si="19"/>
        <v/>
      </c>
      <c r="AG1104" s="187" t="s">
        <v>2520</v>
      </c>
    </row>
    <row r="1105" spans="32:33">
      <c r="AF1105" s="187" t="str">
        <f t="shared" si="19"/>
        <v/>
      </c>
      <c r="AG1105" s="187" t="s">
        <v>2552</v>
      </c>
    </row>
    <row r="1106" spans="32:33">
      <c r="AF1106" s="187" t="str">
        <f t="shared" si="19"/>
        <v/>
      </c>
      <c r="AG1106" s="187" t="s">
        <v>2531</v>
      </c>
    </row>
    <row r="1107" spans="32:33">
      <c r="AF1107" s="187" t="str">
        <f t="shared" si="19"/>
        <v/>
      </c>
      <c r="AG1107" s="187" t="s">
        <v>2532</v>
      </c>
    </row>
    <row r="1108" spans="32:33">
      <c r="AF1108" s="187" t="str">
        <f t="shared" si="19"/>
        <v/>
      </c>
      <c r="AG1108" s="187" t="s">
        <v>2533</v>
      </c>
    </row>
    <row r="1109" spans="32:33">
      <c r="AF1109" s="187" t="str">
        <f t="shared" si="19"/>
        <v/>
      </c>
      <c r="AG1109" s="187" t="s">
        <v>2534</v>
      </c>
    </row>
    <row r="1110" spans="32:33">
      <c r="AF1110" s="187" t="str">
        <f t="shared" si="19"/>
        <v/>
      </c>
      <c r="AG1110" s="187" t="s">
        <v>2535</v>
      </c>
    </row>
    <row r="1111" spans="32:33">
      <c r="AF1111" s="187" t="str">
        <f t="shared" si="19"/>
        <v/>
      </c>
      <c r="AG1111" s="187" t="s">
        <v>2521</v>
      </c>
    </row>
    <row r="1112" spans="32:33">
      <c r="AF1112" s="187" t="str">
        <f t="shared" si="19"/>
        <v/>
      </c>
      <c r="AG1112" s="187" t="s">
        <v>2536</v>
      </c>
    </row>
    <row r="1113" spans="32:33">
      <c r="AF1113" s="187" t="str">
        <f t="shared" si="19"/>
        <v/>
      </c>
      <c r="AG1113" s="187" t="s">
        <v>2537</v>
      </c>
    </row>
    <row r="1114" spans="32:33">
      <c r="AF1114" s="187" t="str">
        <f t="shared" si="19"/>
        <v/>
      </c>
      <c r="AG1114" s="187" t="s">
        <v>2551</v>
      </c>
    </row>
    <row r="1115" spans="32:33">
      <c r="AF1115" s="187" t="str">
        <f t="shared" si="19"/>
        <v/>
      </c>
      <c r="AG1115" s="187" t="s">
        <v>2550</v>
      </c>
    </row>
    <row r="1116" spans="32:33">
      <c r="AF1116" s="187" t="str">
        <f t="shared" si="19"/>
        <v/>
      </c>
      <c r="AG1116" s="187" t="s">
        <v>2538</v>
      </c>
    </row>
    <row r="1117" spans="32:33">
      <c r="AF1117" s="187" t="str">
        <f t="shared" si="19"/>
        <v/>
      </c>
      <c r="AG1117" s="187" t="s">
        <v>2539</v>
      </c>
    </row>
    <row r="1118" spans="32:33">
      <c r="AF1118" s="187" t="str">
        <f t="shared" si="19"/>
        <v/>
      </c>
      <c r="AG1118" s="187" t="s">
        <v>2540</v>
      </c>
    </row>
    <row r="1119" spans="32:33">
      <c r="AF1119" s="187" t="str">
        <f t="shared" si="19"/>
        <v/>
      </c>
      <c r="AG1119" s="187" t="s">
        <v>2541</v>
      </c>
    </row>
    <row r="1120" spans="32:33">
      <c r="AF1120" s="187" t="str">
        <f t="shared" si="19"/>
        <v/>
      </c>
      <c r="AG1120" s="187" t="s">
        <v>2542</v>
      </c>
    </row>
    <row r="1121" spans="32:33">
      <c r="AF1121" s="187" t="str">
        <f t="shared" si="19"/>
        <v/>
      </c>
      <c r="AG1121" s="187" t="s">
        <v>2543</v>
      </c>
    </row>
    <row r="1122" spans="32:33">
      <c r="AF1122" s="187" t="str">
        <f t="shared" si="19"/>
        <v/>
      </c>
      <c r="AG1122" s="187" t="s">
        <v>2544</v>
      </c>
    </row>
    <row r="1123" spans="32:33">
      <c r="AF1123" s="187" t="str">
        <f t="shared" si="19"/>
        <v/>
      </c>
      <c r="AG1123" s="187" t="s">
        <v>2545</v>
      </c>
    </row>
    <row r="1124" spans="32:33">
      <c r="AF1124" s="187" t="str">
        <f t="shared" si="19"/>
        <v/>
      </c>
      <c r="AG1124" s="187" t="s">
        <v>2546</v>
      </c>
    </row>
    <row r="1125" spans="32:33">
      <c r="AF1125" s="187" t="str">
        <f t="shared" si="19"/>
        <v/>
      </c>
      <c r="AG1125" s="187" t="s">
        <v>2547</v>
      </c>
    </row>
    <row r="1126" spans="32:33">
      <c r="AF1126" s="187" t="str">
        <f t="shared" si="19"/>
        <v/>
      </c>
      <c r="AG1126" s="187" t="s">
        <v>2548</v>
      </c>
    </row>
    <row r="1127" spans="32:33">
      <c r="AF1127" s="187" t="str">
        <f t="shared" si="19"/>
        <v/>
      </c>
      <c r="AG1127" s="187" t="s">
        <v>2518</v>
      </c>
    </row>
    <row r="1128" spans="32:33">
      <c r="AF1128" s="187" t="str">
        <f t="shared" si="19"/>
        <v/>
      </c>
      <c r="AG1128" s="187" t="s">
        <v>2549</v>
      </c>
    </row>
    <row r="1129" spans="32:33">
      <c r="AF1129" s="187" t="str">
        <f t="shared" si="19"/>
        <v/>
      </c>
      <c r="AG1129" s="187" t="s">
        <v>2555</v>
      </c>
    </row>
    <row r="1130" spans="32:33">
      <c r="AF1130" s="187" t="str">
        <f t="shared" si="19"/>
        <v/>
      </c>
      <c r="AG1130" s="187" t="s">
        <v>2556</v>
      </c>
    </row>
    <row r="1131" spans="32:33">
      <c r="AF1131" s="187" t="str">
        <f t="shared" si="19"/>
        <v/>
      </c>
      <c r="AG1131" s="187" t="s">
        <v>2557</v>
      </c>
    </row>
    <row r="1132" spans="32:33">
      <c r="AF1132" s="187" t="str">
        <f t="shared" si="19"/>
        <v/>
      </c>
      <c r="AG1132" s="187" t="s">
        <v>2558</v>
      </c>
    </row>
    <row r="1133" spans="32:33">
      <c r="AF1133" s="187" t="str">
        <f t="shared" si="19"/>
        <v/>
      </c>
      <c r="AG1133" s="187" t="s">
        <v>2554</v>
      </c>
    </row>
    <row r="1134" spans="32:33">
      <c r="AF1134" s="187" t="str">
        <f t="shared" si="19"/>
        <v/>
      </c>
      <c r="AG1134" s="187" t="s">
        <v>2559</v>
      </c>
    </row>
    <row r="1135" spans="32:33">
      <c r="AF1135" s="187" t="str">
        <f t="shared" si="19"/>
        <v/>
      </c>
      <c r="AG1135" s="187" t="s">
        <v>2560</v>
      </c>
    </row>
    <row r="1136" spans="32:33">
      <c r="AF1136" s="187" t="str">
        <f t="shared" si="19"/>
        <v/>
      </c>
      <c r="AG1136" s="187" t="s">
        <v>2562</v>
      </c>
    </row>
    <row r="1137" spans="32:33">
      <c r="AF1137" s="187" t="str">
        <f t="shared" si="19"/>
        <v/>
      </c>
      <c r="AG1137" s="187" t="s">
        <v>2563</v>
      </c>
    </row>
    <row r="1138" spans="32:33">
      <c r="AF1138" s="187" t="str">
        <f t="shared" si="19"/>
        <v/>
      </c>
      <c r="AG1138" s="187" t="s">
        <v>2564</v>
      </c>
    </row>
    <row r="1139" spans="32:33">
      <c r="AF1139" s="187" t="str">
        <f t="shared" si="19"/>
        <v/>
      </c>
      <c r="AG1139" s="187" t="s">
        <v>2565</v>
      </c>
    </row>
    <row r="1140" spans="32:33">
      <c r="AF1140" s="187" t="str">
        <f t="shared" si="19"/>
        <v/>
      </c>
      <c r="AG1140" s="187" t="s">
        <v>2568</v>
      </c>
    </row>
    <row r="1141" spans="32:33">
      <c r="AF1141" s="187" t="str">
        <f t="shared" si="19"/>
        <v/>
      </c>
      <c r="AG1141" s="187" t="s">
        <v>2566</v>
      </c>
    </row>
    <row r="1142" spans="32:33">
      <c r="AF1142" s="187" t="str">
        <f t="shared" si="19"/>
        <v/>
      </c>
      <c r="AG1142" s="187" t="s">
        <v>2567</v>
      </c>
    </row>
    <row r="1143" spans="32:33">
      <c r="AF1143" s="187" t="str">
        <f t="shared" si="19"/>
        <v/>
      </c>
      <c r="AG1143" s="187" t="s">
        <v>2569</v>
      </c>
    </row>
    <row r="1144" spans="32:33">
      <c r="AF1144" s="187" t="str">
        <f t="shared" si="19"/>
        <v/>
      </c>
      <c r="AG1144" s="187" t="s">
        <v>2570</v>
      </c>
    </row>
    <row r="1145" spans="32:33">
      <c r="AF1145" s="187" t="str">
        <f t="shared" si="19"/>
        <v/>
      </c>
      <c r="AG1145" s="187" t="s">
        <v>2561</v>
      </c>
    </row>
    <row r="1146" spans="32:33">
      <c r="AF1146" s="187" t="str">
        <f t="shared" si="19"/>
        <v/>
      </c>
      <c r="AG1146" s="187" t="s">
        <v>2571</v>
      </c>
    </row>
    <row r="1147" spans="32:33">
      <c r="AF1147" s="187" t="str">
        <f t="shared" si="19"/>
        <v/>
      </c>
      <c r="AG1147" s="187" t="s">
        <v>2572</v>
      </c>
    </row>
    <row r="1148" spans="32:33">
      <c r="AF1148" s="187" t="str">
        <f t="shared" si="19"/>
        <v/>
      </c>
      <c r="AG1148" s="187" t="s">
        <v>2573</v>
      </c>
    </row>
    <row r="1149" spans="32:33">
      <c r="AF1149" s="187" t="str">
        <f t="shared" si="19"/>
        <v/>
      </c>
      <c r="AG1149" s="187" t="s">
        <v>2766</v>
      </c>
    </row>
    <row r="1150" spans="32:33">
      <c r="AF1150" s="187" t="str">
        <f t="shared" si="19"/>
        <v/>
      </c>
      <c r="AG1150" s="187" t="s">
        <v>2764</v>
      </c>
    </row>
    <row r="1151" spans="32:33">
      <c r="AF1151" s="187" t="str">
        <f t="shared" si="19"/>
        <v/>
      </c>
      <c r="AG1151" s="187" t="s">
        <v>2763</v>
      </c>
    </row>
    <row r="1152" spans="32:33">
      <c r="AF1152" s="187" t="str">
        <f t="shared" si="19"/>
        <v/>
      </c>
      <c r="AG1152" s="187" t="s">
        <v>2765</v>
      </c>
    </row>
    <row r="1153" spans="32:33">
      <c r="AF1153" s="187" t="str">
        <f t="shared" si="19"/>
        <v/>
      </c>
      <c r="AG1153" s="187" t="s">
        <v>2757</v>
      </c>
    </row>
    <row r="1154" spans="32:33">
      <c r="AF1154" s="187" t="str">
        <f t="shared" ref="AF1154:AF1217" si="20">IF(ISERROR(SEARCH($S$47,AG1154)),"",$S$48)</f>
        <v/>
      </c>
      <c r="AG1154" s="187" t="s">
        <v>2762</v>
      </c>
    </row>
    <row r="1155" spans="32:33">
      <c r="AF1155" s="187" t="str">
        <f t="shared" si="20"/>
        <v/>
      </c>
      <c r="AG1155" s="187" t="s">
        <v>2758</v>
      </c>
    </row>
    <row r="1156" spans="32:33">
      <c r="AF1156" s="187" t="str">
        <f t="shared" si="20"/>
        <v/>
      </c>
      <c r="AG1156" s="187" t="s">
        <v>2759</v>
      </c>
    </row>
    <row r="1157" spans="32:33">
      <c r="AF1157" s="187" t="str">
        <f t="shared" si="20"/>
        <v/>
      </c>
      <c r="AG1157" s="187" t="s">
        <v>2760</v>
      </c>
    </row>
    <row r="1158" spans="32:33">
      <c r="AF1158" s="187" t="str">
        <f t="shared" si="20"/>
        <v/>
      </c>
      <c r="AG1158" s="187" t="s">
        <v>2761</v>
      </c>
    </row>
    <row r="1159" spans="32:33">
      <c r="AF1159" s="187" t="str">
        <f t="shared" si="20"/>
        <v/>
      </c>
      <c r="AG1159" s="187" t="s">
        <v>2496</v>
      </c>
    </row>
    <row r="1160" spans="32:33">
      <c r="AF1160" s="187" t="str">
        <f t="shared" si="20"/>
        <v/>
      </c>
      <c r="AG1160" s="187" t="s">
        <v>2497</v>
      </c>
    </row>
    <row r="1161" spans="32:33">
      <c r="AF1161" s="187" t="str">
        <f t="shared" si="20"/>
        <v/>
      </c>
      <c r="AG1161" s="187" t="s">
        <v>2509</v>
      </c>
    </row>
    <row r="1162" spans="32:33">
      <c r="AF1162" s="187" t="str">
        <f t="shared" si="20"/>
        <v/>
      </c>
      <c r="AG1162" s="187" t="s">
        <v>2498</v>
      </c>
    </row>
    <row r="1163" spans="32:33">
      <c r="AF1163" s="187" t="str">
        <f t="shared" si="20"/>
        <v/>
      </c>
      <c r="AG1163" s="187" t="s">
        <v>2499</v>
      </c>
    </row>
    <row r="1164" spans="32:33">
      <c r="AF1164" s="187" t="str">
        <f t="shared" si="20"/>
        <v/>
      </c>
      <c r="AG1164" s="187" t="s">
        <v>2510</v>
      </c>
    </row>
    <row r="1165" spans="32:33">
      <c r="AF1165" s="187" t="str">
        <f t="shared" si="20"/>
        <v/>
      </c>
      <c r="AG1165" s="187" t="s">
        <v>2500</v>
      </c>
    </row>
    <row r="1166" spans="32:33">
      <c r="AF1166" s="187" t="str">
        <f t="shared" si="20"/>
        <v/>
      </c>
      <c r="AG1166" s="187" t="s">
        <v>2501</v>
      </c>
    </row>
    <row r="1167" spans="32:33">
      <c r="AF1167" s="187" t="str">
        <f t="shared" si="20"/>
        <v/>
      </c>
      <c r="AG1167" s="187" t="s">
        <v>2502</v>
      </c>
    </row>
    <row r="1168" spans="32:33">
      <c r="AF1168" s="187" t="str">
        <f t="shared" si="20"/>
        <v/>
      </c>
      <c r="AG1168" s="187" t="s">
        <v>2511</v>
      </c>
    </row>
    <row r="1169" spans="32:33">
      <c r="AF1169" s="187" t="str">
        <f t="shared" si="20"/>
        <v/>
      </c>
      <c r="AG1169" s="187" t="s">
        <v>2503</v>
      </c>
    </row>
    <row r="1170" spans="32:33">
      <c r="AF1170" s="187" t="str">
        <f t="shared" si="20"/>
        <v/>
      </c>
      <c r="AG1170" s="187" t="s">
        <v>2504</v>
      </c>
    </row>
    <row r="1171" spans="32:33">
      <c r="AF1171" s="187" t="str">
        <f t="shared" si="20"/>
        <v/>
      </c>
      <c r="AG1171" s="187" t="s">
        <v>2506</v>
      </c>
    </row>
    <row r="1172" spans="32:33">
      <c r="AF1172" s="187" t="str">
        <f t="shared" si="20"/>
        <v/>
      </c>
      <c r="AG1172" s="187" t="s">
        <v>2505</v>
      </c>
    </row>
    <row r="1173" spans="32:33">
      <c r="AF1173" s="187" t="str">
        <f t="shared" si="20"/>
        <v/>
      </c>
      <c r="AG1173" s="187" t="s">
        <v>2507</v>
      </c>
    </row>
    <row r="1174" spans="32:33">
      <c r="AF1174" s="187" t="str">
        <f t="shared" si="20"/>
        <v/>
      </c>
      <c r="AG1174" s="187" t="s">
        <v>2508</v>
      </c>
    </row>
    <row r="1175" spans="32:33">
      <c r="AF1175" s="187" t="str">
        <f t="shared" si="20"/>
        <v/>
      </c>
      <c r="AG1175" s="187" t="s">
        <v>2512</v>
      </c>
    </row>
    <row r="1176" spans="32:33">
      <c r="AF1176" s="187" t="str">
        <f t="shared" si="20"/>
        <v/>
      </c>
      <c r="AG1176" s="187" t="s">
        <v>2513</v>
      </c>
    </row>
    <row r="1177" spans="32:33">
      <c r="AF1177" s="187" t="str">
        <f t="shared" si="20"/>
        <v/>
      </c>
      <c r="AG1177" s="187" t="s">
        <v>2514</v>
      </c>
    </row>
    <row r="1178" spans="32:33">
      <c r="AF1178" s="187" t="str">
        <f t="shared" si="20"/>
        <v/>
      </c>
      <c r="AG1178" s="187" t="s">
        <v>3380</v>
      </c>
    </row>
    <row r="1179" spans="32:33">
      <c r="AF1179" s="187" t="str">
        <f t="shared" si="20"/>
        <v/>
      </c>
      <c r="AG1179" s="187" t="s">
        <v>3381</v>
      </c>
    </row>
    <row r="1180" spans="32:33">
      <c r="AF1180" s="187" t="str">
        <f t="shared" si="20"/>
        <v/>
      </c>
      <c r="AG1180" s="187" t="s">
        <v>3382</v>
      </c>
    </row>
    <row r="1181" spans="32:33">
      <c r="AF1181" s="187" t="str">
        <f t="shared" si="20"/>
        <v/>
      </c>
      <c r="AG1181" s="187" t="s">
        <v>3383</v>
      </c>
    </row>
    <row r="1182" spans="32:33">
      <c r="AF1182" s="187" t="str">
        <f t="shared" si="20"/>
        <v/>
      </c>
      <c r="AG1182" s="187" t="s">
        <v>3384</v>
      </c>
    </row>
    <row r="1183" spans="32:33">
      <c r="AF1183" s="187" t="str">
        <f t="shared" si="20"/>
        <v/>
      </c>
      <c r="AG1183" s="187" t="s">
        <v>3385</v>
      </c>
    </row>
    <row r="1184" spans="32:33">
      <c r="AF1184" s="187" t="str">
        <f t="shared" si="20"/>
        <v/>
      </c>
      <c r="AG1184" s="187" t="s">
        <v>3386</v>
      </c>
    </row>
    <row r="1185" spans="32:33">
      <c r="AF1185" s="187" t="str">
        <f t="shared" si="20"/>
        <v/>
      </c>
      <c r="AG1185" s="187" t="s">
        <v>2491</v>
      </c>
    </row>
    <row r="1186" spans="32:33">
      <c r="AF1186" s="187" t="str">
        <f t="shared" si="20"/>
        <v/>
      </c>
      <c r="AG1186" s="187" t="s">
        <v>2492</v>
      </c>
    </row>
    <row r="1187" spans="32:33">
      <c r="AF1187" s="187" t="str">
        <f t="shared" si="20"/>
        <v/>
      </c>
      <c r="AG1187" s="187" t="s">
        <v>2493</v>
      </c>
    </row>
    <row r="1188" spans="32:33">
      <c r="AF1188" s="187" t="str">
        <f t="shared" si="20"/>
        <v/>
      </c>
      <c r="AG1188" s="187" t="s">
        <v>2494</v>
      </c>
    </row>
    <row r="1189" spans="32:33">
      <c r="AF1189" s="187" t="str">
        <f t="shared" si="20"/>
        <v/>
      </c>
      <c r="AG1189" s="187" t="s">
        <v>2495</v>
      </c>
    </row>
    <row r="1190" spans="32:33">
      <c r="AF1190" s="187" t="str">
        <f t="shared" si="20"/>
        <v/>
      </c>
      <c r="AG1190" s="187" t="s">
        <v>2398</v>
      </c>
    </row>
    <row r="1191" spans="32:33">
      <c r="AF1191" s="187" t="str">
        <f t="shared" si="20"/>
        <v/>
      </c>
      <c r="AG1191" s="187" t="s">
        <v>2483</v>
      </c>
    </row>
    <row r="1192" spans="32:33">
      <c r="AF1192" s="187" t="str">
        <f t="shared" si="20"/>
        <v/>
      </c>
      <c r="AG1192" s="187" t="s">
        <v>2388</v>
      </c>
    </row>
    <row r="1193" spans="32:33">
      <c r="AF1193" s="187" t="str">
        <f t="shared" si="20"/>
        <v/>
      </c>
      <c r="AG1193" s="187" t="s">
        <v>2399</v>
      </c>
    </row>
    <row r="1194" spans="32:33">
      <c r="AF1194" s="187" t="str">
        <f t="shared" si="20"/>
        <v/>
      </c>
      <c r="AG1194" s="187" t="s">
        <v>2383</v>
      </c>
    </row>
    <row r="1195" spans="32:33">
      <c r="AF1195" s="187" t="str">
        <f t="shared" si="20"/>
        <v/>
      </c>
      <c r="AG1195" s="187" t="s">
        <v>2384</v>
      </c>
    </row>
    <row r="1196" spans="32:33">
      <c r="AF1196" s="187" t="str">
        <f t="shared" si="20"/>
        <v/>
      </c>
      <c r="AG1196" s="187" t="s">
        <v>2484</v>
      </c>
    </row>
    <row r="1197" spans="32:33">
      <c r="AF1197" s="187" t="str">
        <f t="shared" si="20"/>
        <v/>
      </c>
      <c r="AG1197" s="187" t="s">
        <v>2389</v>
      </c>
    </row>
    <row r="1198" spans="32:33">
      <c r="AF1198" s="187" t="str">
        <f t="shared" si="20"/>
        <v/>
      </c>
      <c r="AG1198" s="187" t="s">
        <v>2400</v>
      </c>
    </row>
    <row r="1199" spans="32:33">
      <c r="AF1199" s="187" t="str">
        <f t="shared" si="20"/>
        <v/>
      </c>
      <c r="AG1199" s="187" t="s">
        <v>2401</v>
      </c>
    </row>
    <row r="1200" spans="32:33">
      <c r="AF1200" s="187" t="str">
        <f t="shared" si="20"/>
        <v/>
      </c>
      <c r="AG1200" s="187" t="s">
        <v>2402</v>
      </c>
    </row>
    <row r="1201" spans="32:33">
      <c r="AF1201" s="187" t="str">
        <f t="shared" si="20"/>
        <v/>
      </c>
      <c r="AG1201" s="187" t="s">
        <v>2403</v>
      </c>
    </row>
    <row r="1202" spans="32:33">
      <c r="AF1202" s="187" t="str">
        <f t="shared" si="20"/>
        <v/>
      </c>
      <c r="AG1202" s="187" t="s">
        <v>2404</v>
      </c>
    </row>
    <row r="1203" spans="32:33">
      <c r="AF1203" s="187" t="str">
        <f t="shared" si="20"/>
        <v/>
      </c>
      <c r="AG1203" s="187" t="s">
        <v>2405</v>
      </c>
    </row>
    <row r="1204" spans="32:33">
      <c r="AF1204" s="187" t="str">
        <f t="shared" si="20"/>
        <v/>
      </c>
      <c r="AG1204" s="187" t="s">
        <v>2406</v>
      </c>
    </row>
    <row r="1205" spans="32:33">
      <c r="AF1205" s="187" t="str">
        <f t="shared" si="20"/>
        <v/>
      </c>
      <c r="AG1205" s="187" t="s">
        <v>2390</v>
      </c>
    </row>
    <row r="1206" spans="32:33">
      <c r="AF1206" s="187" t="str">
        <f t="shared" si="20"/>
        <v/>
      </c>
      <c r="AG1206" s="187" t="s">
        <v>2407</v>
      </c>
    </row>
    <row r="1207" spans="32:33">
      <c r="AF1207" s="187" t="str">
        <f t="shared" si="20"/>
        <v/>
      </c>
      <c r="AG1207" s="187" t="s">
        <v>2408</v>
      </c>
    </row>
    <row r="1208" spans="32:33">
      <c r="AF1208" s="187" t="str">
        <f t="shared" si="20"/>
        <v/>
      </c>
      <c r="AG1208" s="187" t="s">
        <v>2409</v>
      </c>
    </row>
    <row r="1209" spans="32:33">
      <c r="AF1209" s="187" t="str">
        <f t="shared" si="20"/>
        <v/>
      </c>
      <c r="AG1209" s="187" t="s">
        <v>2385</v>
      </c>
    </row>
    <row r="1210" spans="32:33">
      <c r="AF1210" s="187" t="str">
        <f t="shared" si="20"/>
        <v/>
      </c>
      <c r="AG1210" s="187" t="s">
        <v>2410</v>
      </c>
    </row>
    <row r="1211" spans="32:33">
      <c r="AF1211" s="187" t="str">
        <f t="shared" si="20"/>
        <v/>
      </c>
      <c r="AG1211" s="187" t="s">
        <v>2386</v>
      </c>
    </row>
    <row r="1212" spans="32:33">
      <c r="AF1212" s="187" t="str">
        <f t="shared" si="20"/>
        <v/>
      </c>
      <c r="AG1212" s="187" t="s">
        <v>2411</v>
      </c>
    </row>
    <row r="1213" spans="32:33">
      <c r="AF1213" s="187" t="str">
        <f t="shared" si="20"/>
        <v/>
      </c>
      <c r="AG1213" s="187" t="s">
        <v>2412</v>
      </c>
    </row>
    <row r="1214" spans="32:33">
      <c r="AF1214" s="187" t="str">
        <f t="shared" si="20"/>
        <v/>
      </c>
      <c r="AG1214" s="187" t="s">
        <v>2413</v>
      </c>
    </row>
    <row r="1215" spans="32:33">
      <c r="AF1215" s="187" t="str">
        <f t="shared" si="20"/>
        <v/>
      </c>
      <c r="AG1215" s="187" t="s">
        <v>2414</v>
      </c>
    </row>
    <row r="1216" spans="32:33">
      <c r="AF1216" s="187" t="str">
        <f t="shared" si="20"/>
        <v/>
      </c>
      <c r="AG1216" s="187" t="s">
        <v>2415</v>
      </c>
    </row>
    <row r="1217" spans="32:33">
      <c r="AF1217" s="187" t="str">
        <f t="shared" si="20"/>
        <v/>
      </c>
      <c r="AG1217" s="187" t="s">
        <v>2416</v>
      </c>
    </row>
    <row r="1218" spans="32:33">
      <c r="AF1218" s="187" t="str">
        <f t="shared" ref="AF1218:AF1281" si="21">IF(ISERROR(SEARCH($S$47,AG1218)),"",$S$48)</f>
        <v/>
      </c>
      <c r="AG1218" s="187" t="s">
        <v>2391</v>
      </c>
    </row>
    <row r="1219" spans="32:33">
      <c r="AF1219" s="187" t="str">
        <f t="shared" si="21"/>
        <v/>
      </c>
      <c r="AG1219" s="187" t="s">
        <v>2417</v>
      </c>
    </row>
    <row r="1220" spans="32:33">
      <c r="AF1220" s="187" t="str">
        <f t="shared" si="21"/>
        <v/>
      </c>
      <c r="AG1220" s="187" t="s">
        <v>2418</v>
      </c>
    </row>
    <row r="1221" spans="32:33">
      <c r="AF1221" s="187" t="str">
        <f t="shared" si="21"/>
        <v/>
      </c>
      <c r="AG1221" s="187" t="s">
        <v>2392</v>
      </c>
    </row>
    <row r="1222" spans="32:33">
      <c r="AF1222" s="187" t="str">
        <f t="shared" si="21"/>
        <v/>
      </c>
      <c r="AG1222" s="187" t="s">
        <v>2419</v>
      </c>
    </row>
    <row r="1223" spans="32:33">
      <c r="AF1223" s="187" t="str">
        <f t="shared" si="21"/>
        <v/>
      </c>
      <c r="AG1223" s="187" t="s">
        <v>2420</v>
      </c>
    </row>
    <row r="1224" spans="32:33">
      <c r="AF1224" s="187" t="str">
        <f t="shared" si="21"/>
        <v/>
      </c>
      <c r="AG1224" s="187" t="s">
        <v>2421</v>
      </c>
    </row>
    <row r="1225" spans="32:33">
      <c r="AF1225" s="187" t="str">
        <f t="shared" si="21"/>
        <v/>
      </c>
      <c r="AG1225" s="187" t="s">
        <v>2422</v>
      </c>
    </row>
    <row r="1226" spans="32:33">
      <c r="AF1226" s="187" t="str">
        <f t="shared" si="21"/>
        <v/>
      </c>
      <c r="AG1226" s="187" t="s">
        <v>2423</v>
      </c>
    </row>
    <row r="1227" spans="32:33">
      <c r="AF1227" s="187" t="str">
        <f t="shared" si="21"/>
        <v/>
      </c>
      <c r="AG1227" s="187" t="s">
        <v>2424</v>
      </c>
    </row>
    <row r="1228" spans="32:33">
      <c r="AF1228" s="187" t="str">
        <f t="shared" si="21"/>
        <v/>
      </c>
      <c r="AG1228" s="187" t="s">
        <v>2425</v>
      </c>
    </row>
    <row r="1229" spans="32:33">
      <c r="AF1229" s="187" t="str">
        <f t="shared" si="21"/>
        <v/>
      </c>
      <c r="AG1229" s="187" t="s">
        <v>2426</v>
      </c>
    </row>
    <row r="1230" spans="32:33">
      <c r="AF1230" s="187" t="str">
        <f t="shared" si="21"/>
        <v/>
      </c>
      <c r="AG1230" s="187" t="s">
        <v>2427</v>
      </c>
    </row>
    <row r="1231" spans="32:33">
      <c r="AF1231" s="187" t="str">
        <f t="shared" si="21"/>
        <v/>
      </c>
      <c r="AG1231" s="187" t="s">
        <v>2428</v>
      </c>
    </row>
    <row r="1232" spans="32:33">
      <c r="AF1232" s="187" t="str">
        <f t="shared" si="21"/>
        <v/>
      </c>
      <c r="AG1232" s="187" t="s">
        <v>2429</v>
      </c>
    </row>
    <row r="1233" spans="32:33">
      <c r="AF1233" s="187" t="str">
        <f t="shared" si="21"/>
        <v/>
      </c>
      <c r="AG1233" s="187" t="s">
        <v>2430</v>
      </c>
    </row>
    <row r="1234" spans="32:33">
      <c r="AF1234" s="187" t="str">
        <f t="shared" si="21"/>
        <v/>
      </c>
      <c r="AG1234" s="187" t="s">
        <v>2431</v>
      </c>
    </row>
    <row r="1235" spans="32:33">
      <c r="AF1235" s="187" t="str">
        <f t="shared" si="21"/>
        <v/>
      </c>
      <c r="AG1235" s="187" t="s">
        <v>2393</v>
      </c>
    </row>
    <row r="1236" spans="32:33">
      <c r="AF1236" s="187" t="str">
        <f t="shared" si="21"/>
        <v/>
      </c>
      <c r="AG1236" s="187" t="s">
        <v>2432</v>
      </c>
    </row>
    <row r="1237" spans="32:33">
      <c r="AF1237" s="187" t="str">
        <f t="shared" si="21"/>
        <v/>
      </c>
      <c r="AG1237" s="187" t="s">
        <v>2433</v>
      </c>
    </row>
    <row r="1238" spans="32:33">
      <c r="AF1238" s="187" t="str">
        <f t="shared" si="21"/>
        <v/>
      </c>
      <c r="AG1238" s="187" t="s">
        <v>2434</v>
      </c>
    </row>
    <row r="1239" spans="32:33">
      <c r="AF1239" s="187" t="str">
        <f t="shared" si="21"/>
        <v/>
      </c>
      <c r="AG1239" s="187" t="s">
        <v>2435</v>
      </c>
    </row>
    <row r="1240" spans="32:33">
      <c r="AF1240" s="187" t="str">
        <f t="shared" si="21"/>
        <v/>
      </c>
      <c r="AG1240" s="187" t="s">
        <v>2436</v>
      </c>
    </row>
    <row r="1241" spans="32:33">
      <c r="AF1241" s="187" t="str">
        <f t="shared" si="21"/>
        <v/>
      </c>
      <c r="AG1241" s="187" t="s">
        <v>2437</v>
      </c>
    </row>
    <row r="1242" spans="32:33">
      <c r="AF1242" s="187" t="str">
        <f t="shared" si="21"/>
        <v/>
      </c>
      <c r="AG1242" s="187" t="s">
        <v>2438</v>
      </c>
    </row>
    <row r="1243" spans="32:33">
      <c r="AF1243" s="187" t="str">
        <f t="shared" si="21"/>
        <v/>
      </c>
      <c r="AG1243" s="187" t="s">
        <v>2439</v>
      </c>
    </row>
    <row r="1244" spans="32:33">
      <c r="AF1244" s="187" t="str">
        <f t="shared" si="21"/>
        <v/>
      </c>
      <c r="AG1244" s="187" t="s">
        <v>2440</v>
      </c>
    </row>
    <row r="1245" spans="32:33">
      <c r="AF1245" s="187" t="str">
        <f t="shared" si="21"/>
        <v/>
      </c>
      <c r="AG1245" s="187" t="s">
        <v>2441</v>
      </c>
    </row>
    <row r="1246" spans="32:33">
      <c r="AF1246" s="187" t="str">
        <f t="shared" si="21"/>
        <v/>
      </c>
      <c r="AG1246" s="187" t="s">
        <v>2394</v>
      </c>
    </row>
    <row r="1247" spans="32:33">
      <c r="AF1247" s="187" t="str">
        <f t="shared" si="21"/>
        <v/>
      </c>
      <c r="AG1247" s="187" t="s">
        <v>2442</v>
      </c>
    </row>
    <row r="1248" spans="32:33">
      <c r="AF1248" s="187" t="str">
        <f t="shared" si="21"/>
        <v/>
      </c>
      <c r="AG1248" s="187" t="s">
        <v>2395</v>
      </c>
    </row>
    <row r="1249" spans="32:33">
      <c r="AF1249" s="187" t="str">
        <f t="shared" si="21"/>
        <v/>
      </c>
      <c r="AG1249" s="187" t="s">
        <v>2443</v>
      </c>
    </row>
    <row r="1250" spans="32:33">
      <c r="AF1250" s="187" t="str">
        <f t="shared" si="21"/>
        <v/>
      </c>
      <c r="AG1250" s="187" t="s">
        <v>2444</v>
      </c>
    </row>
    <row r="1251" spans="32:33">
      <c r="AF1251" s="187" t="str">
        <f t="shared" si="21"/>
        <v/>
      </c>
      <c r="AG1251" s="187" t="s">
        <v>2445</v>
      </c>
    </row>
    <row r="1252" spans="32:33">
      <c r="AF1252" s="187" t="str">
        <f t="shared" si="21"/>
        <v/>
      </c>
      <c r="AG1252" s="187" t="s">
        <v>2446</v>
      </c>
    </row>
    <row r="1253" spans="32:33">
      <c r="AF1253" s="187" t="str">
        <f t="shared" si="21"/>
        <v/>
      </c>
      <c r="AG1253" s="187" t="s">
        <v>2447</v>
      </c>
    </row>
    <row r="1254" spans="32:33">
      <c r="AF1254" s="187" t="str">
        <f t="shared" si="21"/>
        <v/>
      </c>
      <c r="AG1254" s="187" t="s">
        <v>2448</v>
      </c>
    </row>
    <row r="1255" spans="32:33">
      <c r="AF1255" s="187" t="str">
        <f t="shared" si="21"/>
        <v/>
      </c>
      <c r="AG1255" s="187" t="s">
        <v>2449</v>
      </c>
    </row>
    <row r="1256" spans="32:33">
      <c r="AF1256" s="187" t="str">
        <f t="shared" si="21"/>
        <v/>
      </c>
      <c r="AG1256" s="187" t="s">
        <v>2450</v>
      </c>
    </row>
    <row r="1257" spans="32:33">
      <c r="AF1257" s="187" t="str">
        <f t="shared" si="21"/>
        <v/>
      </c>
      <c r="AG1257" s="187" t="s">
        <v>2451</v>
      </c>
    </row>
    <row r="1258" spans="32:33">
      <c r="AF1258" s="187" t="str">
        <f t="shared" si="21"/>
        <v/>
      </c>
      <c r="AG1258" s="187" t="s">
        <v>2452</v>
      </c>
    </row>
    <row r="1259" spans="32:33">
      <c r="AF1259" s="187" t="str">
        <f t="shared" si="21"/>
        <v/>
      </c>
      <c r="AG1259" s="187" t="s">
        <v>2453</v>
      </c>
    </row>
    <row r="1260" spans="32:33">
      <c r="AF1260" s="187" t="str">
        <f t="shared" si="21"/>
        <v/>
      </c>
      <c r="AG1260" s="187" t="s">
        <v>2454</v>
      </c>
    </row>
    <row r="1261" spans="32:33">
      <c r="AF1261" s="187" t="str">
        <f t="shared" si="21"/>
        <v/>
      </c>
      <c r="AG1261" s="187" t="s">
        <v>2455</v>
      </c>
    </row>
    <row r="1262" spans="32:33">
      <c r="AF1262" s="187" t="str">
        <f t="shared" si="21"/>
        <v/>
      </c>
      <c r="AG1262" s="187" t="s">
        <v>2456</v>
      </c>
    </row>
    <row r="1263" spans="32:33">
      <c r="AF1263" s="187" t="str">
        <f t="shared" si="21"/>
        <v/>
      </c>
      <c r="AG1263" s="187" t="s">
        <v>2457</v>
      </c>
    </row>
    <row r="1264" spans="32:33">
      <c r="AF1264" s="187" t="str">
        <f t="shared" si="21"/>
        <v/>
      </c>
      <c r="AG1264" s="187" t="s">
        <v>2458</v>
      </c>
    </row>
    <row r="1265" spans="32:33">
      <c r="AF1265" s="187" t="str">
        <f t="shared" si="21"/>
        <v/>
      </c>
      <c r="AG1265" s="187" t="s">
        <v>2459</v>
      </c>
    </row>
    <row r="1266" spans="32:33">
      <c r="AF1266" s="187" t="str">
        <f t="shared" si="21"/>
        <v/>
      </c>
      <c r="AG1266" s="187" t="s">
        <v>2387</v>
      </c>
    </row>
    <row r="1267" spans="32:33">
      <c r="AF1267" s="187" t="str">
        <f t="shared" si="21"/>
        <v/>
      </c>
      <c r="AG1267" s="187" t="s">
        <v>2460</v>
      </c>
    </row>
    <row r="1268" spans="32:33">
      <c r="AF1268" s="187" t="str">
        <f t="shared" si="21"/>
        <v/>
      </c>
      <c r="AG1268" s="187" t="s">
        <v>2396</v>
      </c>
    </row>
    <row r="1269" spans="32:33">
      <c r="AF1269" s="187" t="str">
        <f t="shared" si="21"/>
        <v/>
      </c>
      <c r="AG1269" s="187" t="s">
        <v>2461</v>
      </c>
    </row>
    <row r="1270" spans="32:33">
      <c r="AF1270" s="187" t="str">
        <f t="shared" si="21"/>
        <v/>
      </c>
      <c r="AG1270" s="187" t="s">
        <v>2462</v>
      </c>
    </row>
    <row r="1271" spans="32:33">
      <c r="AF1271" s="187" t="str">
        <f t="shared" si="21"/>
        <v/>
      </c>
      <c r="AG1271" s="187" t="s">
        <v>2485</v>
      </c>
    </row>
    <row r="1272" spans="32:33">
      <c r="AF1272" s="187" t="str">
        <f t="shared" si="21"/>
        <v/>
      </c>
      <c r="AG1272" s="187" t="s">
        <v>2463</v>
      </c>
    </row>
    <row r="1273" spans="32:33">
      <c r="AF1273" s="187" t="str">
        <f t="shared" si="21"/>
        <v/>
      </c>
      <c r="AG1273" s="187" t="s">
        <v>2464</v>
      </c>
    </row>
    <row r="1274" spans="32:33">
      <c r="AF1274" s="187" t="str">
        <f t="shared" si="21"/>
        <v/>
      </c>
      <c r="AG1274" s="187" t="s">
        <v>2465</v>
      </c>
    </row>
    <row r="1275" spans="32:33">
      <c r="AF1275" s="187" t="str">
        <f t="shared" si="21"/>
        <v/>
      </c>
      <c r="AG1275" s="187" t="s">
        <v>2466</v>
      </c>
    </row>
    <row r="1276" spans="32:33">
      <c r="AF1276" s="187" t="str">
        <f t="shared" si="21"/>
        <v/>
      </c>
      <c r="AG1276" s="187" t="s">
        <v>2467</v>
      </c>
    </row>
    <row r="1277" spans="32:33">
      <c r="AF1277" s="187" t="str">
        <f t="shared" si="21"/>
        <v/>
      </c>
      <c r="AG1277" s="187" t="s">
        <v>2468</v>
      </c>
    </row>
    <row r="1278" spans="32:33">
      <c r="AF1278" s="187" t="str">
        <f t="shared" si="21"/>
        <v/>
      </c>
      <c r="AG1278" s="187" t="s">
        <v>2469</v>
      </c>
    </row>
    <row r="1279" spans="32:33">
      <c r="AF1279" s="187" t="str">
        <f t="shared" si="21"/>
        <v/>
      </c>
      <c r="AG1279" s="187" t="s">
        <v>2470</v>
      </c>
    </row>
    <row r="1280" spans="32:33">
      <c r="AF1280" s="187" t="str">
        <f t="shared" si="21"/>
        <v/>
      </c>
      <c r="AG1280" s="187" t="s">
        <v>2471</v>
      </c>
    </row>
    <row r="1281" spans="32:33">
      <c r="AF1281" s="187" t="str">
        <f t="shared" si="21"/>
        <v/>
      </c>
      <c r="AG1281" s="187" t="s">
        <v>2472</v>
      </c>
    </row>
    <row r="1282" spans="32:33">
      <c r="AF1282" s="187" t="str">
        <f t="shared" ref="AF1282:AF1345" si="22">IF(ISERROR(SEARCH($S$47,AG1282)),"",$S$48)</f>
        <v/>
      </c>
      <c r="AG1282" s="187" t="s">
        <v>2473</v>
      </c>
    </row>
    <row r="1283" spans="32:33">
      <c r="AF1283" s="187" t="str">
        <f t="shared" si="22"/>
        <v/>
      </c>
      <c r="AG1283" s="187" t="s">
        <v>2474</v>
      </c>
    </row>
    <row r="1284" spans="32:33">
      <c r="AF1284" s="187" t="str">
        <f t="shared" si="22"/>
        <v/>
      </c>
      <c r="AG1284" s="187" t="s">
        <v>2475</v>
      </c>
    </row>
    <row r="1285" spans="32:33">
      <c r="AF1285" s="187" t="str">
        <f t="shared" si="22"/>
        <v/>
      </c>
      <c r="AG1285" s="187" t="s">
        <v>2476</v>
      </c>
    </row>
    <row r="1286" spans="32:33">
      <c r="AF1286" s="187" t="str">
        <f t="shared" si="22"/>
        <v/>
      </c>
      <c r="AG1286" s="187" t="s">
        <v>2477</v>
      </c>
    </row>
    <row r="1287" spans="32:33">
      <c r="AF1287" s="187" t="str">
        <f t="shared" si="22"/>
        <v/>
      </c>
      <c r="AG1287" s="187" t="s">
        <v>2397</v>
      </c>
    </row>
    <row r="1288" spans="32:33">
      <c r="AF1288" s="187" t="str">
        <f t="shared" si="22"/>
        <v/>
      </c>
      <c r="AG1288" s="187" t="s">
        <v>2478</v>
      </c>
    </row>
    <row r="1289" spans="32:33">
      <c r="AF1289" s="187" t="str">
        <f t="shared" si="22"/>
        <v/>
      </c>
      <c r="AG1289" s="187" t="s">
        <v>2479</v>
      </c>
    </row>
    <row r="1290" spans="32:33">
      <c r="AF1290" s="187" t="str">
        <f t="shared" si="22"/>
        <v/>
      </c>
      <c r="AG1290" s="187" t="s">
        <v>2480</v>
      </c>
    </row>
    <row r="1291" spans="32:33">
      <c r="AF1291" s="187" t="str">
        <f t="shared" si="22"/>
        <v/>
      </c>
      <c r="AG1291" s="187" t="s">
        <v>2481</v>
      </c>
    </row>
    <row r="1292" spans="32:33">
      <c r="AF1292" s="187" t="str">
        <f t="shared" si="22"/>
        <v/>
      </c>
      <c r="AG1292" s="187" t="s">
        <v>2482</v>
      </c>
    </row>
    <row r="1293" spans="32:33">
      <c r="AF1293" s="187" t="str">
        <f t="shared" si="22"/>
        <v/>
      </c>
      <c r="AG1293" s="187" t="s">
        <v>2486</v>
      </c>
    </row>
    <row r="1294" spans="32:33">
      <c r="AF1294" s="187" t="str">
        <f t="shared" si="22"/>
        <v/>
      </c>
      <c r="AG1294" s="187" t="s">
        <v>2487</v>
      </c>
    </row>
    <row r="1295" spans="32:33">
      <c r="AF1295" s="187" t="str">
        <f t="shared" si="22"/>
        <v/>
      </c>
      <c r="AG1295" s="187" t="s">
        <v>2488</v>
      </c>
    </row>
    <row r="1296" spans="32:33">
      <c r="AF1296" s="187" t="str">
        <f t="shared" si="22"/>
        <v/>
      </c>
      <c r="AG1296" s="187" t="s">
        <v>2489</v>
      </c>
    </row>
    <row r="1297" spans="32:33">
      <c r="AF1297" s="187" t="str">
        <f t="shared" si="22"/>
        <v/>
      </c>
      <c r="AG1297" s="187" t="s">
        <v>2490</v>
      </c>
    </row>
    <row r="1298" spans="32:33">
      <c r="AF1298" s="187" t="str">
        <f t="shared" si="22"/>
        <v/>
      </c>
      <c r="AG1298" s="187" t="s">
        <v>2300</v>
      </c>
    </row>
    <row r="1299" spans="32:33">
      <c r="AF1299" s="187" t="str">
        <f t="shared" si="22"/>
        <v/>
      </c>
      <c r="AG1299" s="187" t="s">
        <v>2308</v>
      </c>
    </row>
    <row r="1300" spans="32:33">
      <c r="AF1300" s="187" t="str">
        <f t="shared" si="22"/>
        <v/>
      </c>
      <c r="AG1300" s="187" t="s">
        <v>2301</v>
      </c>
    </row>
    <row r="1301" spans="32:33">
      <c r="AF1301" s="187" t="str">
        <f t="shared" si="22"/>
        <v/>
      </c>
      <c r="AG1301" s="187" t="s">
        <v>2309</v>
      </c>
    </row>
    <row r="1302" spans="32:33">
      <c r="AF1302" s="187" t="str">
        <f t="shared" si="22"/>
        <v/>
      </c>
      <c r="AG1302" s="187" t="s">
        <v>2303</v>
      </c>
    </row>
    <row r="1303" spans="32:33">
      <c r="AF1303" s="187" t="str">
        <f t="shared" si="22"/>
        <v/>
      </c>
      <c r="AG1303" s="187" t="s">
        <v>2304</v>
      </c>
    </row>
    <row r="1304" spans="32:33">
      <c r="AF1304" s="187" t="str">
        <f t="shared" si="22"/>
        <v/>
      </c>
      <c r="AG1304" s="187" t="s">
        <v>2305</v>
      </c>
    </row>
    <row r="1305" spans="32:33">
      <c r="AF1305" s="187" t="str">
        <f t="shared" si="22"/>
        <v/>
      </c>
      <c r="AG1305" s="187" t="s">
        <v>2310</v>
      </c>
    </row>
    <row r="1306" spans="32:33">
      <c r="AF1306" s="187" t="str">
        <f t="shared" si="22"/>
        <v/>
      </c>
      <c r="AG1306" s="187" t="s">
        <v>2306</v>
      </c>
    </row>
    <row r="1307" spans="32:33">
      <c r="AF1307" s="187" t="str">
        <f t="shared" si="22"/>
        <v/>
      </c>
      <c r="AG1307" s="187" t="s">
        <v>2307</v>
      </c>
    </row>
    <row r="1308" spans="32:33">
      <c r="AF1308" s="187" t="str">
        <f t="shared" si="22"/>
        <v/>
      </c>
      <c r="AG1308" s="187" t="s">
        <v>2302</v>
      </c>
    </row>
    <row r="1309" spans="32:33">
      <c r="AF1309" s="187" t="str">
        <f t="shared" si="22"/>
        <v/>
      </c>
      <c r="AG1309" s="187" t="s">
        <v>2311</v>
      </c>
    </row>
    <row r="1310" spans="32:33">
      <c r="AF1310" s="187" t="str">
        <f t="shared" si="22"/>
        <v/>
      </c>
      <c r="AG1310" s="187" t="s">
        <v>2312</v>
      </c>
    </row>
    <row r="1311" spans="32:33">
      <c r="AF1311" s="187" t="str">
        <f t="shared" si="22"/>
        <v/>
      </c>
      <c r="AG1311" s="187" t="s">
        <v>2375</v>
      </c>
    </row>
    <row r="1312" spans="32:33">
      <c r="AF1312" s="187" t="str">
        <f t="shared" si="22"/>
        <v/>
      </c>
      <c r="AG1312" s="187" t="s">
        <v>2376</v>
      </c>
    </row>
    <row r="1313" spans="32:33">
      <c r="AF1313" s="187" t="str">
        <f t="shared" si="22"/>
        <v/>
      </c>
      <c r="AG1313" s="187" t="s">
        <v>2377</v>
      </c>
    </row>
    <row r="1314" spans="32:33">
      <c r="AF1314" s="187" t="str">
        <f t="shared" si="22"/>
        <v/>
      </c>
      <c r="AG1314" s="187" t="s">
        <v>2378</v>
      </c>
    </row>
    <row r="1315" spans="32:33">
      <c r="AF1315" s="187" t="str">
        <f t="shared" si="22"/>
        <v/>
      </c>
      <c r="AG1315" s="187" t="s">
        <v>2379</v>
      </c>
    </row>
    <row r="1316" spans="32:33">
      <c r="AF1316" s="187" t="str">
        <f t="shared" si="22"/>
        <v/>
      </c>
      <c r="AG1316" s="187" t="s">
        <v>2380</v>
      </c>
    </row>
    <row r="1317" spans="32:33">
      <c r="AF1317" s="187" t="str">
        <f t="shared" si="22"/>
        <v/>
      </c>
      <c r="AG1317" s="187" t="s">
        <v>2381</v>
      </c>
    </row>
    <row r="1318" spans="32:33">
      <c r="AF1318" s="187" t="str">
        <f t="shared" si="22"/>
        <v/>
      </c>
      <c r="AG1318" s="187" t="s">
        <v>2382</v>
      </c>
    </row>
    <row r="1319" spans="32:33">
      <c r="AF1319" s="187" t="str">
        <f t="shared" si="22"/>
        <v/>
      </c>
      <c r="AG1319" s="187" t="s">
        <v>2367</v>
      </c>
    </row>
    <row r="1320" spans="32:33">
      <c r="AF1320" s="187" t="str">
        <f t="shared" si="22"/>
        <v/>
      </c>
      <c r="AG1320" s="187" t="s">
        <v>2316</v>
      </c>
    </row>
    <row r="1321" spans="32:33">
      <c r="AF1321" s="187" t="str">
        <f t="shared" si="22"/>
        <v/>
      </c>
      <c r="AG1321" s="187" t="s">
        <v>2318</v>
      </c>
    </row>
    <row r="1322" spans="32:33">
      <c r="AF1322" s="187" t="str">
        <f t="shared" si="22"/>
        <v/>
      </c>
      <c r="AG1322" s="187" t="s">
        <v>2319</v>
      </c>
    </row>
    <row r="1323" spans="32:33">
      <c r="AF1323" s="187" t="str">
        <f t="shared" si="22"/>
        <v/>
      </c>
      <c r="AG1323" s="187" t="s">
        <v>2317</v>
      </c>
    </row>
    <row r="1324" spans="32:33">
      <c r="AF1324" s="187" t="str">
        <f t="shared" si="22"/>
        <v/>
      </c>
      <c r="AG1324" s="187" t="s">
        <v>2371</v>
      </c>
    </row>
    <row r="1325" spans="32:33">
      <c r="AF1325" s="187" t="str">
        <f t="shared" si="22"/>
        <v/>
      </c>
      <c r="AG1325" s="187" t="s">
        <v>2372</v>
      </c>
    </row>
    <row r="1326" spans="32:33">
      <c r="AF1326" s="187" t="str">
        <f t="shared" si="22"/>
        <v/>
      </c>
      <c r="AG1326" s="187" t="s">
        <v>2373</v>
      </c>
    </row>
    <row r="1327" spans="32:33">
      <c r="AF1327" s="187" t="str">
        <f t="shared" si="22"/>
        <v/>
      </c>
      <c r="AG1327" s="187" t="s">
        <v>2374</v>
      </c>
    </row>
    <row r="1328" spans="32:33">
      <c r="AF1328" s="187" t="str">
        <f t="shared" si="22"/>
        <v/>
      </c>
      <c r="AG1328" s="187" t="s">
        <v>2297</v>
      </c>
    </row>
    <row r="1329" spans="32:33">
      <c r="AF1329" s="187" t="str">
        <f t="shared" si="22"/>
        <v/>
      </c>
      <c r="AG1329" s="187" t="s">
        <v>2299</v>
      </c>
    </row>
    <row r="1330" spans="32:33">
      <c r="AF1330" s="187" t="str">
        <f t="shared" si="22"/>
        <v/>
      </c>
      <c r="AG1330" s="187" t="s">
        <v>2298</v>
      </c>
    </row>
    <row r="1331" spans="32:33">
      <c r="AF1331" s="187" t="str">
        <f t="shared" si="22"/>
        <v/>
      </c>
      <c r="AG1331" s="187" t="s">
        <v>2265</v>
      </c>
    </row>
    <row r="1332" spans="32:33">
      <c r="AF1332" s="187" t="str">
        <f t="shared" si="22"/>
        <v/>
      </c>
      <c r="AG1332" s="187" t="s">
        <v>2268</v>
      </c>
    </row>
    <row r="1333" spans="32:33">
      <c r="AF1333" s="187" t="str">
        <f t="shared" si="22"/>
        <v/>
      </c>
      <c r="AG1333" s="187" t="s">
        <v>2266</v>
      </c>
    </row>
    <row r="1334" spans="32:33">
      <c r="AF1334" s="187" t="str">
        <f t="shared" si="22"/>
        <v/>
      </c>
      <c r="AG1334" s="187" t="s">
        <v>2267</v>
      </c>
    </row>
    <row r="1335" spans="32:33">
      <c r="AF1335" s="187" t="str">
        <f t="shared" si="22"/>
        <v/>
      </c>
      <c r="AG1335" s="187" t="s">
        <v>2292</v>
      </c>
    </row>
    <row r="1336" spans="32:33">
      <c r="AF1336" s="187" t="str">
        <f t="shared" si="22"/>
        <v/>
      </c>
      <c r="AG1336" s="187" t="s">
        <v>2293</v>
      </c>
    </row>
    <row r="1337" spans="32:33">
      <c r="AF1337" s="187" t="str">
        <f t="shared" si="22"/>
        <v/>
      </c>
      <c r="AG1337" s="187" t="s">
        <v>2295</v>
      </c>
    </row>
    <row r="1338" spans="32:33">
      <c r="AF1338" s="187" t="str">
        <f t="shared" si="22"/>
        <v/>
      </c>
      <c r="AG1338" s="187" t="s">
        <v>2294</v>
      </c>
    </row>
    <row r="1339" spans="32:33">
      <c r="AF1339" s="187" t="str">
        <f t="shared" si="22"/>
        <v/>
      </c>
      <c r="AG1339" s="187" t="s">
        <v>2296</v>
      </c>
    </row>
    <row r="1340" spans="32:33">
      <c r="AF1340" s="187" t="str">
        <f t="shared" si="22"/>
        <v/>
      </c>
      <c r="AG1340" s="187" t="s">
        <v>2276</v>
      </c>
    </row>
    <row r="1341" spans="32:33">
      <c r="AF1341" s="187" t="str">
        <f t="shared" si="22"/>
        <v/>
      </c>
      <c r="AG1341" s="187" t="s">
        <v>2277</v>
      </c>
    </row>
    <row r="1342" spans="32:33">
      <c r="AF1342" s="187" t="str">
        <f t="shared" si="22"/>
        <v/>
      </c>
      <c r="AG1342" s="187" t="s">
        <v>2278</v>
      </c>
    </row>
    <row r="1343" spans="32:33">
      <c r="AF1343" s="187" t="str">
        <f t="shared" si="22"/>
        <v/>
      </c>
      <c r="AG1343" s="187" t="s">
        <v>1642</v>
      </c>
    </row>
    <row r="1344" spans="32:33">
      <c r="AF1344" s="187" t="str">
        <f t="shared" si="22"/>
        <v/>
      </c>
      <c r="AG1344" s="187" t="s">
        <v>2279</v>
      </c>
    </row>
    <row r="1345" spans="32:33">
      <c r="AF1345" s="187" t="str">
        <f t="shared" si="22"/>
        <v/>
      </c>
      <c r="AG1345" s="187" t="s">
        <v>2281</v>
      </c>
    </row>
    <row r="1346" spans="32:33">
      <c r="AF1346" s="187" t="str">
        <f t="shared" ref="AF1346:AF1409" si="23">IF(ISERROR(SEARCH($S$47,AG1346)),"",$S$48)</f>
        <v/>
      </c>
      <c r="AG1346" s="187" t="s">
        <v>2280</v>
      </c>
    </row>
    <row r="1347" spans="32:33">
      <c r="AF1347" s="187" t="str">
        <f t="shared" si="23"/>
        <v/>
      </c>
      <c r="AG1347" s="187" t="s">
        <v>2282</v>
      </c>
    </row>
    <row r="1348" spans="32:33">
      <c r="AF1348" s="187" t="str">
        <f t="shared" si="23"/>
        <v/>
      </c>
      <c r="AG1348" s="187" t="s">
        <v>2257</v>
      </c>
    </row>
    <row r="1349" spans="32:33">
      <c r="AF1349" s="187" t="str">
        <f t="shared" si="23"/>
        <v/>
      </c>
      <c r="AG1349" s="187" t="s">
        <v>2261</v>
      </c>
    </row>
    <row r="1350" spans="32:33">
      <c r="AF1350" s="187" t="str">
        <f t="shared" si="23"/>
        <v/>
      </c>
      <c r="AG1350" s="187" t="s">
        <v>2264</v>
      </c>
    </row>
    <row r="1351" spans="32:33">
      <c r="AF1351" s="187" t="str">
        <f t="shared" si="23"/>
        <v/>
      </c>
      <c r="AG1351" s="187" t="s">
        <v>2258</v>
      </c>
    </row>
    <row r="1352" spans="32:33">
      <c r="AF1352" s="187" t="str">
        <f t="shared" si="23"/>
        <v/>
      </c>
      <c r="AG1352" s="187" t="s">
        <v>2262</v>
      </c>
    </row>
    <row r="1353" spans="32:33">
      <c r="AF1353" s="187" t="str">
        <f t="shared" si="23"/>
        <v/>
      </c>
      <c r="AG1353" s="187" t="s">
        <v>2260</v>
      </c>
    </row>
    <row r="1354" spans="32:33">
      <c r="AF1354" s="187" t="str">
        <f t="shared" si="23"/>
        <v/>
      </c>
      <c r="AG1354" s="187" t="s">
        <v>2263</v>
      </c>
    </row>
    <row r="1355" spans="32:33">
      <c r="AF1355" s="187" t="str">
        <f t="shared" si="23"/>
        <v/>
      </c>
      <c r="AG1355" s="187" t="s">
        <v>2259</v>
      </c>
    </row>
    <row r="1356" spans="32:33">
      <c r="AF1356" s="187" t="str">
        <f t="shared" si="23"/>
        <v/>
      </c>
      <c r="AG1356" s="187" t="s">
        <v>2288</v>
      </c>
    </row>
    <row r="1357" spans="32:33">
      <c r="AF1357" s="187" t="str">
        <f t="shared" si="23"/>
        <v/>
      </c>
      <c r="AG1357" s="187" t="s">
        <v>2289</v>
      </c>
    </row>
    <row r="1358" spans="32:33">
      <c r="AF1358" s="187" t="str">
        <f t="shared" si="23"/>
        <v/>
      </c>
      <c r="AG1358" s="187" t="s">
        <v>2290</v>
      </c>
    </row>
    <row r="1359" spans="32:33">
      <c r="AF1359" s="187" t="str">
        <f t="shared" si="23"/>
        <v/>
      </c>
      <c r="AG1359" s="187" t="s">
        <v>2272</v>
      </c>
    </row>
    <row r="1360" spans="32:33">
      <c r="AF1360" s="187" t="str">
        <f t="shared" si="23"/>
        <v/>
      </c>
      <c r="AG1360" s="187" t="s">
        <v>2273</v>
      </c>
    </row>
    <row r="1361" spans="32:33">
      <c r="AF1361" s="187" t="str">
        <f t="shared" si="23"/>
        <v/>
      </c>
      <c r="AG1361" s="187" t="s">
        <v>2274</v>
      </c>
    </row>
    <row r="1362" spans="32:33">
      <c r="AF1362" s="187" t="str">
        <f t="shared" si="23"/>
        <v/>
      </c>
      <c r="AG1362" s="187" t="s">
        <v>2275</v>
      </c>
    </row>
    <row r="1363" spans="32:33">
      <c r="AF1363" s="187" t="str">
        <f t="shared" si="23"/>
        <v/>
      </c>
      <c r="AG1363" s="187" t="s">
        <v>2269</v>
      </c>
    </row>
    <row r="1364" spans="32:33">
      <c r="AF1364" s="187" t="str">
        <f t="shared" si="23"/>
        <v/>
      </c>
      <c r="AG1364" s="187" t="s">
        <v>2270</v>
      </c>
    </row>
    <row r="1365" spans="32:33">
      <c r="AF1365" s="187" t="str">
        <f t="shared" si="23"/>
        <v/>
      </c>
      <c r="AG1365" s="187" t="s">
        <v>2271</v>
      </c>
    </row>
    <row r="1366" spans="32:33">
      <c r="AF1366" s="187" t="str">
        <f t="shared" si="23"/>
        <v/>
      </c>
      <c r="AG1366" s="187" t="s">
        <v>2225</v>
      </c>
    </row>
    <row r="1367" spans="32:33">
      <c r="AF1367" s="187" t="str">
        <f t="shared" si="23"/>
        <v/>
      </c>
      <c r="AG1367" s="187" t="s">
        <v>2226</v>
      </c>
    </row>
    <row r="1368" spans="32:33">
      <c r="AF1368" s="187" t="str">
        <f t="shared" si="23"/>
        <v/>
      </c>
      <c r="AG1368" s="187" t="s">
        <v>2227</v>
      </c>
    </row>
    <row r="1369" spans="32:33">
      <c r="AF1369" s="187" t="str">
        <f t="shared" si="23"/>
        <v/>
      </c>
      <c r="AG1369" s="187" t="s">
        <v>2228</v>
      </c>
    </row>
    <row r="1370" spans="32:33">
      <c r="AF1370" s="187" t="str">
        <f t="shared" si="23"/>
        <v/>
      </c>
      <c r="AG1370" s="187" t="s">
        <v>2230</v>
      </c>
    </row>
    <row r="1371" spans="32:33">
      <c r="AF1371" s="187" t="str">
        <f t="shared" si="23"/>
        <v/>
      </c>
      <c r="AG1371" s="187" t="s">
        <v>2233</v>
      </c>
    </row>
    <row r="1372" spans="32:33">
      <c r="AF1372" s="187" t="str">
        <f t="shared" si="23"/>
        <v/>
      </c>
      <c r="AG1372" s="187" t="s">
        <v>2231</v>
      </c>
    </row>
    <row r="1373" spans="32:33">
      <c r="AF1373" s="187" t="str">
        <f t="shared" si="23"/>
        <v/>
      </c>
      <c r="AG1373" s="187" t="s">
        <v>2232</v>
      </c>
    </row>
    <row r="1374" spans="32:33">
      <c r="AF1374" s="187" t="str">
        <f t="shared" si="23"/>
        <v/>
      </c>
      <c r="AG1374" s="187" t="s">
        <v>1730</v>
      </c>
    </row>
    <row r="1375" spans="32:33">
      <c r="AF1375" s="187" t="str">
        <f t="shared" si="23"/>
        <v/>
      </c>
      <c r="AG1375" s="187" t="s">
        <v>2191</v>
      </c>
    </row>
    <row r="1376" spans="32:33">
      <c r="AF1376" s="187" t="str">
        <f t="shared" si="23"/>
        <v/>
      </c>
      <c r="AG1376" s="187" t="s">
        <v>2194</v>
      </c>
    </row>
    <row r="1377" spans="32:33">
      <c r="AF1377" s="187" t="str">
        <f t="shared" si="23"/>
        <v/>
      </c>
      <c r="AG1377" s="187" t="s">
        <v>2195</v>
      </c>
    </row>
    <row r="1378" spans="32:33">
      <c r="AF1378" s="187" t="str">
        <f t="shared" si="23"/>
        <v/>
      </c>
      <c r="AG1378" s="187" t="s">
        <v>2192</v>
      </c>
    </row>
    <row r="1379" spans="32:33">
      <c r="AF1379" s="187" t="str">
        <f t="shared" si="23"/>
        <v/>
      </c>
      <c r="AG1379" s="187" t="s">
        <v>2193</v>
      </c>
    </row>
    <row r="1380" spans="32:33">
      <c r="AF1380" s="187" t="str">
        <f t="shared" si="23"/>
        <v/>
      </c>
      <c r="AG1380" s="187" t="s">
        <v>2103</v>
      </c>
    </row>
    <row r="1381" spans="32:33">
      <c r="AF1381" s="187" t="str">
        <f t="shared" si="23"/>
        <v/>
      </c>
      <c r="AG1381" s="187" t="s">
        <v>2109</v>
      </c>
    </row>
    <row r="1382" spans="32:33">
      <c r="AF1382" s="187" t="str">
        <f t="shared" si="23"/>
        <v/>
      </c>
      <c r="AG1382" s="187" t="s">
        <v>2112</v>
      </c>
    </row>
    <row r="1383" spans="32:33">
      <c r="AF1383" s="187" t="str">
        <f t="shared" si="23"/>
        <v/>
      </c>
      <c r="AG1383" s="187" t="s">
        <v>2121</v>
      </c>
    </row>
    <row r="1384" spans="32:33">
      <c r="AF1384" s="187" t="str">
        <f t="shared" si="23"/>
        <v/>
      </c>
      <c r="AG1384" s="187" t="s">
        <v>2119</v>
      </c>
    </row>
    <row r="1385" spans="32:33">
      <c r="AF1385" s="187" t="str">
        <f t="shared" si="23"/>
        <v/>
      </c>
      <c r="AG1385" s="187" t="s">
        <v>2100</v>
      </c>
    </row>
    <row r="1386" spans="32:33">
      <c r="AF1386" s="187" t="str">
        <f t="shared" si="23"/>
        <v/>
      </c>
      <c r="AG1386" s="187" t="s">
        <v>2117</v>
      </c>
    </row>
    <row r="1387" spans="32:33">
      <c r="AF1387" s="187" t="str">
        <f t="shared" si="23"/>
        <v/>
      </c>
      <c r="AG1387" s="187" t="s">
        <v>2102</v>
      </c>
    </row>
    <row r="1388" spans="32:33">
      <c r="AF1388" s="187" t="str">
        <f t="shared" si="23"/>
        <v/>
      </c>
      <c r="AG1388" s="187" t="s">
        <v>2116</v>
      </c>
    </row>
    <row r="1389" spans="32:33">
      <c r="AF1389" s="187" t="str">
        <f t="shared" si="23"/>
        <v/>
      </c>
      <c r="AG1389" s="187" t="s">
        <v>2122</v>
      </c>
    </row>
    <row r="1390" spans="32:33">
      <c r="AF1390" s="187" t="str">
        <f t="shared" si="23"/>
        <v/>
      </c>
      <c r="AG1390" s="187" t="s">
        <v>2107</v>
      </c>
    </row>
    <row r="1391" spans="32:33">
      <c r="AF1391" s="187" t="str">
        <f t="shared" si="23"/>
        <v/>
      </c>
      <c r="AG1391" s="187" t="s">
        <v>2111</v>
      </c>
    </row>
    <row r="1392" spans="32:33">
      <c r="AF1392" s="187" t="str">
        <f t="shared" si="23"/>
        <v/>
      </c>
      <c r="AG1392" s="187" t="s">
        <v>2106</v>
      </c>
    </row>
    <row r="1393" spans="32:33">
      <c r="AF1393" s="187" t="str">
        <f t="shared" si="23"/>
        <v/>
      </c>
      <c r="AG1393" s="187" t="s">
        <v>2104</v>
      </c>
    </row>
    <row r="1394" spans="32:33">
      <c r="AF1394" s="187" t="str">
        <f t="shared" si="23"/>
        <v/>
      </c>
      <c r="AG1394" s="187" t="s">
        <v>2101</v>
      </c>
    </row>
    <row r="1395" spans="32:33">
      <c r="AF1395" s="187" t="str">
        <f t="shared" si="23"/>
        <v/>
      </c>
      <c r="AG1395" s="187" t="s">
        <v>2108</v>
      </c>
    </row>
    <row r="1396" spans="32:33">
      <c r="AF1396" s="187" t="str">
        <f t="shared" si="23"/>
        <v/>
      </c>
      <c r="AG1396" s="187" t="s">
        <v>2120</v>
      </c>
    </row>
    <row r="1397" spans="32:33">
      <c r="AF1397" s="187" t="str">
        <f t="shared" si="23"/>
        <v/>
      </c>
      <c r="AG1397" s="187" t="s">
        <v>2115</v>
      </c>
    </row>
    <row r="1398" spans="32:33">
      <c r="AF1398" s="187" t="str">
        <f t="shared" si="23"/>
        <v/>
      </c>
      <c r="AG1398" s="187" t="s">
        <v>2110</v>
      </c>
    </row>
    <row r="1399" spans="32:33">
      <c r="AF1399" s="187" t="str">
        <f t="shared" si="23"/>
        <v/>
      </c>
      <c r="AG1399" s="187" t="s">
        <v>2118</v>
      </c>
    </row>
    <row r="1400" spans="32:33">
      <c r="AF1400" s="187" t="str">
        <f t="shared" si="23"/>
        <v/>
      </c>
      <c r="AG1400" s="187" t="s">
        <v>2105</v>
      </c>
    </row>
    <row r="1401" spans="32:33">
      <c r="AF1401" s="187" t="str">
        <f t="shared" si="23"/>
        <v/>
      </c>
      <c r="AG1401" s="187" t="s">
        <v>2113</v>
      </c>
    </row>
    <row r="1402" spans="32:33">
      <c r="AF1402" s="187" t="str">
        <f t="shared" si="23"/>
        <v/>
      </c>
      <c r="AG1402" s="187" t="s">
        <v>2114</v>
      </c>
    </row>
    <row r="1403" spans="32:33">
      <c r="AF1403" s="187" t="str">
        <f t="shared" si="23"/>
        <v/>
      </c>
      <c r="AG1403" s="187" t="s">
        <v>2197</v>
      </c>
    </row>
    <row r="1404" spans="32:33">
      <c r="AF1404" s="187" t="str">
        <f t="shared" si="23"/>
        <v/>
      </c>
      <c r="AG1404" s="187" t="s">
        <v>2198</v>
      </c>
    </row>
    <row r="1405" spans="32:33">
      <c r="AF1405" s="187" t="str">
        <f t="shared" si="23"/>
        <v/>
      </c>
      <c r="AG1405" s="187" t="s">
        <v>2196</v>
      </c>
    </row>
    <row r="1406" spans="32:33">
      <c r="AF1406" s="187" t="str">
        <f t="shared" si="23"/>
        <v/>
      </c>
      <c r="AG1406" s="187" t="s">
        <v>2221</v>
      </c>
    </row>
    <row r="1407" spans="32:33">
      <c r="AF1407" s="187" t="str">
        <f t="shared" si="23"/>
        <v/>
      </c>
      <c r="AG1407" s="187" t="s">
        <v>2222</v>
      </c>
    </row>
    <row r="1408" spans="32:33">
      <c r="AF1408" s="187" t="str">
        <f t="shared" si="23"/>
        <v/>
      </c>
      <c r="AG1408" s="187" t="s">
        <v>2223</v>
      </c>
    </row>
    <row r="1409" spans="32:33">
      <c r="AF1409" s="187" t="str">
        <f t="shared" si="23"/>
        <v/>
      </c>
      <c r="AG1409" s="187" t="s">
        <v>2224</v>
      </c>
    </row>
    <row r="1410" spans="32:33">
      <c r="AF1410" s="187" t="str">
        <f t="shared" ref="AF1410:AF1473" si="24">IF(ISERROR(SEARCH($S$47,AG1410)),"",$S$48)</f>
        <v/>
      </c>
      <c r="AG1410" s="187" t="s">
        <v>2202</v>
      </c>
    </row>
    <row r="1411" spans="32:33">
      <c r="AF1411" s="187" t="str">
        <f t="shared" si="24"/>
        <v/>
      </c>
      <c r="AG1411" s="187" t="s">
        <v>2203</v>
      </c>
    </row>
    <row r="1412" spans="32:33">
      <c r="AF1412" s="187" t="str">
        <f t="shared" si="24"/>
        <v/>
      </c>
      <c r="AG1412" s="187" t="s">
        <v>2204</v>
      </c>
    </row>
    <row r="1413" spans="32:33">
      <c r="AF1413" s="187" t="str">
        <f t="shared" si="24"/>
        <v/>
      </c>
      <c r="AG1413" s="187" t="s">
        <v>2229</v>
      </c>
    </row>
    <row r="1414" spans="32:33">
      <c r="AF1414" s="187" t="str">
        <f t="shared" si="24"/>
        <v/>
      </c>
      <c r="AG1414" s="187" t="s">
        <v>2206</v>
      </c>
    </row>
    <row r="1415" spans="32:33">
      <c r="AF1415" s="187" t="str">
        <f t="shared" si="24"/>
        <v/>
      </c>
      <c r="AG1415" s="187" t="s">
        <v>2207</v>
      </c>
    </row>
    <row r="1416" spans="32:33">
      <c r="AF1416" s="187" t="str">
        <f t="shared" si="24"/>
        <v/>
      </c>
      <c r="AG1416" s="187" t="s">
        <v>2208</v>
      </c>
    </row>
    <row r="1417" spans="32:33">
      <c r="AF1417" s="187" t="str">
        <f t="shared" si="24"/>
        <v/>
      </c>
      <c r="AG1417" s="187" t="s">
        <v>2205</v>
      </c>
    </row>
    <row r="1418" spans="32:33">
      <c r="AF1418" s="187" t="str">
        <f t="shared" si="24"/>
        <v/>
      </c>
      <c r="AG1418" s="187" t="s">
        <v>2199</v>
      </c>
    </row>
    <row r="1419" spans="32:33">
      <c r="AF1419" s="187" t="str">
        <f t="shared" si="24"/>
        <v/>
      </c>
      <c r="AG1419" s="187" t="s">
        <v>2200</v>
      </c>
    </row>
    <row r="1420" spans="32:33">
      <c r="AF1420" s="187" t="str">
        <f t="shared" si="24"/>
        <v/>
      </c>
      <c r="AG1420" s="187" t="s">
        <v>2201</v>
      </c>
    </row>
    <row r="1421" spans="32:33">
      <c r="AF1421" s="187" t="str">
        <f t="shared" si="24"/>
        <v/>
      </c>
      <c r="AG1421" s="187" t="s">
        <v>1376</v>
      </c>
    </row>
    <row r="1422" spans="32:33">
      <c r="AF1422" s="187" t="str">
        <f t="shared" si="24"/>
        <v/>
      </c>
      <c r="AG1422" s="187" t="s">
        <v>1377</v>
      </c>
    </row>
    <row r="1423" spans="32:33">
      <c r="AF1423" s="187" t="str">
        <f t="shared" si="24"/>
        <v/>
      </c>
      <c r="AG1423" s="187" t="s">
        <v>1375</v>
      </c>
    </row>
    <row r="1424" spans="32:33">
      <c r="AF1424" s="187" t="str">
        <f t="shared" si="24"/>
        <v/>
      </c>
      <c r="AG1424" s="187" t="s">
        <v>2156</v>
      </c>
    </row>
    <row r="1425" spans="32:33">
      <c r="AF1425" s="187" t="str">
        <f t="shared" si="24"/>
        <v/>
      </c>
      <c r="AG1425" s="187" t="s">
        <v>2123</v>
      </c>
    </row>
    <row r="1426" spans="32:33">
      <c r="AF1426" s="187" t="str">
        <f t="shared" si="24"/>
        <v/>
      </c>
      <c r="AG1426" s="187" t="s">
        <v>2124</v>
      </c>
    </row>
    <row r="1427" spans="32:33">
      <c r="AF1427" s="187" t="str">
        <f t="shared" si="24"/>
        <v/>
      </c>
      <c r="AG1427" s="187" t="s">
        <v>2158</v>
      </c>
    </row>
    <row r="1428" spans="32:33">
      <c r="AF1428" s="187" t="str">
        <f t="shared" si="24"/>
        <v/>
      </c>
      <c r="AG1428" s="187" t="s">
        <v>2159</v>
      </c>
    </row>
    <row r="1429" spans="32:33">
      <c r="AF1429" s="187" t="str">
        <f t="shared" si="24"/>
        <v/>
      </c>
      <c r="AG1429" s="187" t="s">
        <v>2125</v>
      </c>
    </row>
    <row r="1430" spans="32:33">
      <c r="AF1430" s="187" t="str">
        <f t="shared" si="24"/>
        <v/>
      </c>
      <c r="AG1430" s="187" t="s">
        <v>2126</v>
      </c>
    </row>
    <row r="1431" spans="32:33">
      <c r="AF1431" s="187" t="str">
        <f t="shared" si="24"/>
        <v/>
      </c>
      <c r="AG1431" s="187" t="s">
        <v>2127</v>
      </c>
    </row>
    <row r="1432" spans="32:33">
      <c r="AF1432" s="187" t="str">
        <f t="shared" si="24"/>
        <v/>
      </c>
      <c r="AG1432" s="187" t="s">
        <v>2157</v>
      </c>
    </row>
    <row r="1433" spans="32:33">
      <c r="AF1433" s="187" t="str">
        <f t="shared" si="24"/>
        <v/>
      </c>
      <c r="AG1433" s="187" t="s">
        <v>2161</v>
      </c>
    </row>
    <row r="1434" spans="32:33">
      <c r="AF1434" s="187" t="str">
        <f t="shared" si="24"/>
        <v/>
      </c>
      <c r="AG1434" s="187" t="s">
        <v>2128</v>
      </c>
    </row>
    <row r="1435" spans="32:33">
      <c r="AF1435" s="187" t="str">
        <f t="shared" si="24"/>
        <v/>
      </c>
      <c r="AG1435" s="187" t="s">
        <v>2162</v>
      </c>
    </row>
    <row r="1436" spans="32:33">
      <c r="AF1436" s="187" t="str">
        <f t="shared" si="24"/>
        <v/>
      </c>
      <c r="AG1436" s="187" t="s">
        <v>2163</v>
      </c>
    </row>
    <row r="1437" spans="32:33">
      <c r="AF1437" s="187" t="str">
        <f t="shared" si="24"/>
        <v/>
      </c>
      <c r="AG1437" s="187" t="s">
        <v>2164</v>
      </c>
    </row>
    <row r="1438" spans="32:33">
      <c r="AF1438" s="187" t="str">
        <f t="shared" si="24"/>
        <v/>
      </c>
      <c r="AG1438" s="187" t="s">
        <v>2190</v>
      </c>
    </row>
    <row r="1439" spans="32:33">
      <c r="AF1439" s="187" t="str">
        <f t="shared" si="24"/>
        <v/>
      </c>
      <c r="AG1439" s="187" t="s">
        <v>2181</v>
      </c>
    </row>
    <row r="1440" spans="32:33">
      <c r="AF1440" s="187" t="str">
        <f t="shared" si="24"/>
        <v/>
      </c>
      <c r="AG1440" s="187" t="s">
        <v>2165</v>
      </c>
    </row>
    <row r="1441" spans="32:33">
      <c r="AF1441" s="187" t="str">
        <f t="shared" si="24"/>
        <v/>
      </c>
      <c r="AG1441" s="187" t="s">
        <v>2129</v>
      </c>
    </row>
    <row r="1442" spans="32:33">
      <c r="AF1442" s="187" t="str">
        <f t="shared" si="24"/>
        <v/>
      </c>
      <c r="AG1442" s="187" t="s">
        <v>2130</v>
      </c>
    </row>
    <row r="1443" spans="32:33">
      <c r="AF1443" s="187" t="str">
        <f t="shared" si="24"/>
        <v/>
      </c>
      <c r="AG1443" s="187" t="s">
        <v>2166</v>
      </c>
    </row>
    <row r="1444" spans="32:33">
      <c r="AF1444" s="187" t="str">
        <f t="shared" si="24"/>
        <v/>
      </c>
      <c r="AG1444" s="187" t="s">
        <v>2131</v>
      </c>
    </row>
    <row r="1445" spans="32:33">
      <c r="AF1445" s="187" t="str">
        <f t="shared" si="24"/>
        <v/>
      </c>
      <c r="AG1445" s="187" t="s">
        <v>2132</v>
      </c>
    </row>
    <row r="1446" spans="32:33">
      <c r="AF1446" s="187" t="str">
        <f t="shared" si="24"/>
        <v/>
      </c>
      <c r="AG1446" s="187" t="s">
        <v>2133</v>
      </c>
    </row>
    <row r="1447" spans="32:33">
      <c r="AF1447" s="187" t="str">
        <f t="shared" si="24"/>
        <v/>
      </c>
      <c r="AG1447" s="187" t="s">
        <v>2134</v>
      </c>
    </row>
    <row r="1448" spans="32:33">
      <c r="AF1448" s="187" t="str">
        <f t="shared" si="24"/>
        <v/>
      </c>
      <c r="AG1448" s="187" t="s">
        <v>2135</v>
      </c>
    </row>
    <row r="1449" spans="32:33">
      <c r="AF1449" s="187" t="str">
        <f t="shared" si="24"/>
        <v/>
      </c>
      <c r="AG1449" s="187" t="s">
        <v>2136</v>
      </c>
    </row>
    <row r="1450" spans="32:33">
      <c r="AF1450" s="187" t="str">
        <f t="shared" si="24"/>
        <v/>
      </c>
      <c r="AG1450" s="187" t="s">
        <v>2137</v>
      </c>
    </row>
    <row r="1451" spans="32:33">
      <c r="AF1451" s="187" t="str">
        <f t="shared" si="24"/>
        <v/>
      </c>
      <c r="AG1451" s="187" t="s">
        <v>2167</v>
      </c>
    </row>
    <row r="1452" spans="32:33">
      <c r="AF1452" s="187" t="str">
        <f t="shared" si="24"/>
        <v/>
      </c>
      <c r="AG1452" s="187" t="s">
        <v>2168</v>
      </c>
    </row>
    <row r="1453" spans="32:33">
      <c r="AF1453" s="187" t="str">
        <f t="shared" si="24"/>
        <v/>
      </c>
      <c r="AG1453" s="187" t="s">
        <v>2138</v>
      </c>
    </row>
    <row r="1454" spans="32:33">
      <c r="AF1454" s="187" t="str">
        <f t="shared" si="24"/>
        <v/>
      </c>
      <c r="AG1454" s="187" t="s">
        <v>2139</v>
      </c>
    </row>
    <row r="1455" spans="32:33">
      <c r="AF1455" s="187" t="str">
        <f t="shared" si="24"/>
        <v/>
      </c>
      <c r="AG1455" s="187" t="s">
        <v>2169</v>
      </c>
    </row>
    <row r="1456" spans="32:33">
      <c r="AF1456" s="187" t="str">
        <f t="shared" si="24"/>
        <v/>
      </c>
      <c r="AG1456" s="187" t="s">
        <v>2170</v>
      </c>
    </row>
    <row r="1457" spans="32:33">
      <c r="AF1457" s="187" t="str">
        <f t="shared" si="24"/>
        <v/>
      </c>
      <c r="AG1457" s="187" t="s">
        <v>2140</v>
      </c>
    </row>
    <row r="1458" spans="32:33">
      <c r="AF1458" s="187" t="str">
        <f t="shared" si="24"/>
        <v/>
      </c>
      <c r="AG1458" s="187" t="s">
        <v>2171</v>
      </c>
    </row>
    <row r="1459" spans="32:33">
      <c r="AF1459" s="187" t="str">
        <f t="shared" si="24"/>
        <v/>
      </c>
      <c r="AG1459" s="187" t="s">
        <v>2141</v>
      </c>
    </row>
    <row r="1460" spans="32:33">
      <c r="AF1460" s="187" t="str">
        <f t="shared" si="24"/>
        <v/>
      </c>
      <c r="AG1460" s="187" t="s">
        <v>2160</v>
      </c>
    </row>
    <row r="1461" spans="32:33">
      <c r="AF1461" s="187" t="str">
        <f t="shared" si="24"/>
        <v/>
      </c>
      <c r="AG1461" s="187" t="s">
        <v>2142</v>
      </c>
    </row>
    <row r="1462" spans="32:33">
      <c r="AF1462" s="187" t="str">
        <f t="shared" si="24"/>
        <v/>
      </c>
      <c r="AG1462" s="187" t="s">
        <v>2143</v>
      </c>
    </row>
    <row r="1463" spans="32:33">
      <c r="AF1463" s="187" t="str">
        <f t="shared" si="24"/>
        <v/>
      </c>
      <c r="AG1463" s="187" t="s">
        <v>2172</v>
      </c>
    </row>
    <row r="1464" spans="32:33">
      <c r="AF1464" s="187" t="str">
        <f t="shared" si="24"/>
        <v/>
      </c>
      <c r="AG1464" s="187" t="s">
        <v>2173</v>
      </c>
    </row>
    <row r="1465" spans="32:33">
      <c r="AF1465" s="187" t="str">
        <f t="shared" si="24"/>
        <v/>
      </c>
      <c r="AG1465" s="187" t="s">
        <v>2174</v>
      </c>
    </row>
    <row r="1466" spans="32:33">
      <c r="AF1466" s="187" t="str">
        <f t="shared" si="24"/>
        <v/>
      </c>
      <c r="AG1466" s="187" t="s">
        <v>2175</v>
      </c>
    </row>
    <row r="1467" spans="32:33">
      <c r="AF1467" s="187" t="str">
        <f t="shared" si="24"/>
        <v/>
      </c>
      <c r="AG1467" s="187" t="s">
        <v>2176</v>
      </c>
    </row>
    <row r="1468" spans="32:33">
      <c r="AF1468" s="187" t="str">
        <f t="shared" si="24"/>
        <v/>
      </c>
      <c r="AG1468" s="187" t="s">
        <v>2177</v>
      </c>
    </row>
    <row r="1469" spans="32:33">
      <c r="AF1469" s="187" t="str">
        <f t="shared" si="24"/>
        <v/>
      </c>
      <c r="AG1469" s="187" t="s">
        <v>2144</v>
      </c>
    </row>
    <row r="1470" spans="32:33">
      <c r="AF1470" s="187" t="str">
        <f t="shared" si="24"/>
        <v/>
      </c>
      <c r="AG1470" s="187" t="s">
        <v>2178</v>
      </c>
    </row>
    <row r="1471" spans="32:33">
      <c r="AF1471" s="187" t="str">
        <f t="shared" si="24"/>
        <v/>
      </c>
      <c r="AG1471" s="187" t="s">
        <v>2145</v>
      </c>
    </row>
    <row r="1472" spans="32:33">
      <c r="AF1472" s="187" t="str">
        <f t="shared" si="24"/>
        <v/>
      </c>
      <c r="AG1472" s="187" t="s">
        <v>2188</v>
      </c>
    </row>
    <row r="1473" spans="32:33">
      <c r="AF1473" s="187" t="str">
        <f t="shared" si="24"/>
        <v/>
      </c>
      <c r="AG1473" s="187" t="s">
        <v>2146</v>
      </c>
    </row>
    <row r="1474" spans="32:33">
      <c r="AF1474" s="187" t="str">
        <f t="shared" ref="AF1474:AF1537" si="25">IF(ISERROR(SEARCH($S$47,AG1474)),"",$S$48)</f>
        <v/>
      </c>
      <c r="AG1474" s="187" t="s">
        <v>2147</v>
      </c>
    </row>
    <row r="1475" spans="32:33">
      <c r="AF1475" s="187" t="str">
        <f t="shared" si="25"/>
        <v/>
      </c>
      <c r="AG1475" s="187" t="s">
        <v>2148</v>
      </c>
    </row>
    <row r="1476" spans="32:33">
      <c r="AF1476" s="187" t="str">
        <f t="shared" si="25"/>
        <v/>
      </c>
      <c r="AG1476" s="187" t="s">
        <v>2179</v>
      </c>
    </row>
    <row r="1477" spans="32:33">
      <c r="AF1477" s="187" t="str">
        <f t="shared" si="25"/>
        <v/>
      </c>
      <c r="AG1477" s="187" t="s">
        <v>2180</v>
      </c>
    </row>
    <row r="1478" spans="32:33">
      <c r="AF1478" s="187" t="str">
        <f t="shared" si="25"/>
        <v/>
      </c>
      <c r="AG1478" s="187" t="s">
        <v>2149</v>
      </c>
    </row>
    <row r="1479" spans="32:33">
      <c r="AF1479" s="187" t="str">
        <f t="shared" si="25"/>
        <v/>
      </c>
      <c r="AG1479" s="187" t="s">
        <v>2150</v>
      </c>
    </row>
    <row r="1480" spans="32:33">
      <c r="AF1480" s="187" t="str">
        <f t="shared" si="25"/>
        <v/>
      </c>
      <c r="AG1480" s="187" t="s">
        <v>2182</v>
      </c>
    </row>
    <row r="1481" spans="32:33">
      <c r="AF1481" s="187" t="str">
        <f t="shared" si="25"/>
        <v/>
      </c>
      <c r="AG1481" s="187" t="s">
        <v>2151</v>
      </c>
    </row>
    <row r="1482" spans="32:33">
      <c r="AF1482" s="187" t="str">
        <f t="shared" si="25"/>
        <v/>
      </c>
      <c r="AG1482" s="187" t="s">
        <v>2183</v>
      </c>
    </row>
    <row r="1483" spans="32:33">
      <c r="AF1483" s="187" t="str">
        <f t="shared" si="25"/>
        <v/>
      </c>
      <c r="AG1483" s="187" t="s">
        <v>2152</v>
      </c>
    </row>
    <row r="1484" spans="32:33">
      <c r="AF1484" s="187" t="str">
        <f t="shared" si="25"/>
        <v/>
      </c>
      <c r="AG1484" s="187" t="s">
        <v>2153</v>
      </c>
    </row>
    <row r="1485" spans="32:33">
      <c r="AF1485" s="187" t="str">
        <f t="shared" si="25"/>
        <v/>
      </c>
      <c r="AG1485" s="187" t="s">
        <v>2184</v>
      </c>
    </row>
    <row r="1486" spans="32:33">
      <c r="AF1486" s="187" t="str">
        <f t="shared" si="25"/>
        <v/>
      </c>
      <c r="AG1486" s="187" t="s">
        <v>2154</v>
      </c>
    </row>
    <row r="1487" spans="32:33">
      <c r="AF1487" s="187" t="str">
        <f t="shared" si="25"/>
        <v/>
      </c>
      <c r="AG1487" s="187" t="s">
        <v>2185</v>
      </c>
    </row>
    <row r="1488" spans="32:33">
      <c r="AF1488" s="187" t="str">
        <f t="shared" si="25"/>
        <v/>
      </c>
      <c r="AG1488" s="187" t="s">
        <v>2186</v>
      </c>
    </row>
    <row r="1489" spans="32:33">
      <c r="AF1489" s="187" t="str">
        <f t="shared" si="25"/>
        <v/>
      </c>
      <c r="AG1489" s="187" t="s">
        <v>2187</v>
      </c>
    </row>
    <row r="1490" spans="32:33">
      <c r="AF1490" s="187" t="str">
        <f t="shared" si="25"/>
        <v/>
      </c>
      <c r="AG1490" s="187" t="s">
        <v>2189</v>
      </c>
    </row>
    <row r="1491" spans="32:33">
      <c r="AF1491" s="187" t="str">
        <f t="shared" si="25"/>
        <v/>
      </c>
      <c r="AG1491" s="187" t="s">
        <v>2155</v>
      </c>
    </row>
    <row r="1492" spans="32:33">
      <c r="AF1492" s="187" t="str">
        <f t="shared" si="25"/>
        <v/>
      </c>
      <c r="AG1492" s="187" t="s">
        <v>1891</v>
      </c>
    </row>
    <row r="1493" spans="32:33">
      <c r="AF1493" s="187" t="str">
        <f t="shared" si="25"/>
        <v/>
      </c>
      <c r="AG1493" s="187" t="s">
        <v>2237</v>
      </c>
    </row>
    <row r="1494" spans="32:33">
      <c r="AF1494" s="187" t="str">
        <f t="shared" si="25"/>
        <v/>
      </c>
      <c r="AG1494" s="187" t="s">
        <v>2240</v>
      </c>
    </row>
    <row r="1495" spans="32:33">
      <c r="AF1495" s="187" t="str">
        <f t="shared" si="25"/>
        <v/>
      </c>
      <c r="AG1495" s="187" t="s">
        <v>2239</v>
      </c>
    </row>
    <row r="1496" spans="32:33">
      <c r="AF1496" s="187" t="str">
        <f t="shared" si="25"/>
        <v/>
      </c>
      <c r="AG1496" s="187" t="s">
        <v>2238</v>
      </c>
    </row>
    <row r="1497" spans="32:33">
      <c r="AF1497" s="187" t="str">
        <f t="shared" si="25"/>
        <v/>
      </c>
      <c r="AG1497" s="187" t="s">
        <v>2241</v>
      </c>
    </row>
    <row r="1498" spans="32:33">
      <c r="AF1498" s="187" t="str">
        <f t="shared" si="25"/>
        <v/>
      </c>
      <c r="AG1498" s="187" t="s">
        <v>2242</v>
      </c>
    </row>
    <row r="1499" spans="32:33">
      <c r="AF1499" s="187" t="str">
        <f t="shared" si="25"/>
        <v/>
      </c>
      <c r="AG1499" s="187" t="s">
        <v>2211</v>
      </c>
    </row>
    <row r="1500" spans="32:33">
      <c r="AF1500" s="187" t="str">
        <f t="shared" si="25"/>
        <v/>
      </c>
      <c r="AG1500" s="187" t="s">
        <v>2210</v>
      </c>
    </row>
    <row r="1501" spans="32:33">
      <c r="AF1501" s="187" t="str">
        <f t="shared" si="25"/>
        <v/>
      </c>
      <c r="AG1501" s="187" t="s">
        <v>2212</v>
      </c>
    </row>
    <row r="1502" spans="32:33">
      <c r="AF1502" s="187" t="str">
        <f t="shared" si="25"/>
        <v/>
      </c>
      <c r="AG1502" s="187" t="s">
        <v>2234</v>
      </c>
    </row>
    <row r="1503" spans="32:33">
      <c r="AF1503" s="187" t="str">
        <f t="shared" si="25"/>
        <v/>
      </c>
      <c r="AG1503" s="187" t="s">
        <v>2235</v>
      </c>
    </row>
    <row r="1504" spans="32:33">
      <c r="AF1504" s="187" t="str">
        <f t="shared" si="25"/>
        <v/>
      </c>
      <c r="AG1504" s="187" t="s">
        <v>2236</v>
      </c>
    </row>
    <row r="1505" spans="32:33">
      <c r="AF1505" s="187" t="str">
        <f t="shared" si="25"/>
        <v/>
      </c>
      <c r="AG1505" s="187" t="s">
        <v>2243</v>
      </c>
    </row>
    <row r="1506" spans="32:33">
      <c r="AF1506" s="187" t="str">
        <f t="shared" si="25"/>
        <v/>
      </c>
      <c r="AG1506" s="187" t="s">
        <v>2244</v>
      </c>
    </row>
    <row r="1507" spans="32:33">
      <c r="AF1507" s="187" t="str">
        <f t="shared" si="25"/>
        <v/>
      </c>
      <c r="AG1507" s="187" t="s">
        <v>2245</v>
      </c>
    </row>
    <row r="1508" spans="32:33">
      <c r="AF1508" s="187" t="str">
        <f t="shared" si="25"/>
        <v/>
      </c>
      <c r="AG1508" s="187" t="s">
        <v>2246</v>
      </c>
    </row>
    <row r="1509" spans="32:33">
      <c r="AF1509" s="187" t="str">
        <f t="shared" si="25"/>
        <v/>
      </c>
      <c r="AG1509" s="187" t="s">
        <v>2247</v>
      </c>
    </row>
    <row r="1510" spans="32:33">
      <c r="AF1510" s="187" t="str">
        <f t="shared" si="25"/>
        <v/>
      </c>
      <c r="AG1510" s="187" t="s">
        <v>2248</v>
      </c>
    </row>
    <row r="1511" spans="32:33">
      <c r="AF1511" s="187" t="str">
        <f t="shared" si="25"/>
        <v/>
      </c>
      <c r="AG1511" s="187" t="s">
        <v>2249</v>
      </c>
    </row>
    <row r="1512" spans="32:33">
      <c r="AF1512" s="187" t="str">
        <f t="shared" si="25"/>
        <v/>
      </c>
      <c r="AG1512" s="187" t="s">
        <v>2250</v>
      </c>
    </row>
    <row r="1513" spans="32:33">
      <c r="AF1513" s="187" t="str">
        <f t="shared" si="25"/>
        <v/>
      </c>
      <c r="AG1513" s="187" t="s">
        <v>2251</v>
      </c>
    </row>
    <row r="1514" spans="32:33">
      <c r="AF1514" s="187" t="str">
        <f t="shared" si="25"/>
        <v/>
      </c>
      <c r="AG1514" s="187" t="s">
        <v>2252</v>
      </c>
    </row>
    <row r="1515" spans="32:33">
      <c r="AF1515" s="187" t="str">
        <f t="shared" si="25"/>
        <v/>
      </c>
      <c r="AG1515" s="187" t="s">
        <v>2253</v>
      </c>
    </row>
    <row r="1516" spans="32:33">
      <c r="AF1516" s="187" t="str">
        <f t="shared" si="25"/>
        <v/>
      </c>
      <c r="AG1516" s="187" t="s">
        <v>2254</v>
      </c>
    </row>
    <row r="1517" spans="32:33">
      <c r="AF1517" s="187" t="str">
        <f t="shared" si="25"/>
        <v/>
      </c>
      <c r="AG1517" s="187" t="s">
        <v>2255</v>
      </c>
    </row>
    <row r="1518" spans="32:33">
      <c r="AF1518" s="187" t="str">
        <f t="shared" si="25"/>
        <v/>
      </c>
      <c r="AG1518" s="187" t="s">
        <v>2256</v>
      </c>
    </row>
    <row r="1519" spans="32:33">
      <c r="AF1519" s="187" t="str">
        <f t="shared" si="25"/>
        <v/>
      </c>
      <c r="AG1519" s="187" t="s">
        <v>2091</v>
      </c>
    </row>
    <row r="1520" spans="32:33">
      <c r="AF1520" s="187" t="str">
        <f t="shared" si="25"/>
        <v/>
      </c>
      <c r="AG1520" s="187" t="s">
        <v>2092</v>
      </c>
    </row>
    <row r="1521" spans="32:33">
      <c r="AF1521" s="187" t="str">
        <f t="shared" si="25"/>
        <v/>
      </c>
      <c r="AG1521" s="187" t="s">
        <v>2095</v>
      </c>
    </row>
    <row r="1522" spans="32:33">
      <c r="AF1522" s="187" t="str">
        <f t="shared" si="25"/>
        <v/>
      </c>
      <c r="AG1522" s="187" t="s">
        <v>2098</v>
      </c>
    </row>
    <row r="1523" spans="32:33">
      <c r="AF1523" s="187" t="str">
        <f t="shared" si="25"/>
        <v/>
      </c>
      <c r="AG1523" s="187" t="s">
        <v>2097</v>
      </c>
    </row>
    <row r="1524" spans="32:33">
      <c r="AF1524" s="187" t="str">
        <f t="shared" si="25"/>
        <v/>
      </c>
      <c r="AG1524" s="187" t="s">
        <v>2093</v>
      </c>
    </row>
    <row r="1525" spans="32:33">
      <c r="AF1525" s="187" t="str">
        <f t="shared" si="25"/>
        <v/>
      </c>
      <c r="AG1525" s="187" t="s">
        <v>2094</v>
      </c>
    </row>
    <row r="1526" spans="32:33">
      <c r="AF1526" s="187" t="str">
        <f t="shared" si="25"/>
        <v/>
      </c>
      <c r="AG1526" s="187" t="s">
        <v>2096</v>
      </c>
    </row>
    <row r="1527" spans="32:33">
      <c r="AF1527" s="187" t="str">
        <f t="shared" si="25"/>
        <v/>
      </c>
      <c r="AG1527" s="187" t="s">
        <v>2099</v>
      </c>
    </row>
    <row r="1528" spans="32:33">
      <c r="AF1528" s="187" t="str">
        <f t="shared" si="25"/>
        <v/>
      </c>
      <c r="AG1528" s="187" t="s">
        <v>2090</v>
      </c>
    </row>
    <row r="1529" spans="32:33">
      <c r="AF1529" s="187" t="str">
        <f t="shared" si="25"/>
        <v/>
      </c>
      <c r="AG1529" s="187" t="s">
        <v>2088</v>
      </c>
    </row>
    <row r="1530" spans="32:33">
      <c r="AF1530" s="187" t="str">
        <f t="shared" si="25"/>
        <v/>
      </c>
      <c r="AG1530" s="187" t="s">
        <v>2089</v>
      </c>
    </row>
    <row r="1531" spans="32:33">
      <c r="AF1531" s="187" t="str">
        <f t="shared" si="25"/>
        <v/>
      </c>
      <c r="AG1531" s="187" t="s">
        <v>2015</v>
      </c>
    </row>
    <row r="1532" spans="32:33">
      <c r="AF1532" s="187" t="str">
        <f t="shared" si="25"/>
        <v/>
      </c>
      <c r="AG1532" s="187" t="s">
        <v>2016</v>
      </c>
    </row>
    <row r="1533" spans="32:33">
      <c r="AF1533" s="187" t="str">
        <f t="shared" si="25"/>
        <v/>
      </c>
      <c r="AG1533" s="187" t="s">
        <v>2017</v>
      </c>
    </row>
    <row r="1534" spans="32:33">
      <c r="AF1534" s="187" t="str">
        <f t="shared" si="25"/>
        <v/>
      </c>
      <c r="AG1534" s="187" t="s">
        <v>2018</v>
      </c>
    </row>
    <row r="1535" spans="32:33">
      <c r="AF1535" s="187" t="str">
        <f t="shared" si="25"/>
        <v/>
      </c>
      <c r="AG1535" s="187" t="s">
        <v>2024</v>
      </c>
    </row>
    <row r="1536" spans="32:33">
      <c r="AF1536" s="187" t="str">
        <f t="shared" si="25"/>
        <v/>
      </c>
      <c r="AG1536" s="187" t="s">
        <v>2025</v>
      </c>
    </row>
    <row r="1537" spans="32:33">
      <c r="AF1537" s="187" t="str">
        <f t="shared" si="25"/>
        <v/>
      </c>
      <c r="AG1537" s="187" t="s">
        <v>2026</v>
      </c>
    </row>
    <row r="1538" spans="32:33">
      <c r="AF1538" s="187" t="str">
        <f t="shared" ref="AF1538:AF1601" si="26">IF(ISERROR(SEARCH($S$47,AG1538)),"",$S$48)</f>
        <v/>
      </c>
      <c r="AG1538" s="187" t="s">
        <v>2027</v>
      </c>
    </row>
    <row r="1539" spans="32:33">
      <c r="AF1539" s="187" t="str">
        <f t="shared" si="26"/>
        <v/>
      </c>
      <c r="AG1539" s="187" t="s">
        <v>2028</v>
      </c>
    </row>
    <row r="1540" spans="32:33">
      <c r="AF1540" s="187" t="str">
        <f t="shared" si="26"/>
        <v/>
      </c>
      <c r="AG1540" s="187" t="s">
        <v>2029</v>
      </c>
    </row>
    <row r="1541" spans="32:33">
      <c r="AF1541" s="187" t="str">
        <f t="shared" si="26"/>
        <v/>
      </c>
      <c r="AG1541" s="187" t="s">
        <v>2030</v>
      </c>
    </row>
    <row r="1542" spans="32:33">
      <c r="AF1542" s="187" t="str">
        <f t="shared" si="26"/>
        <v/>
      </c>
      <c r="AG1542" s="187" t="s">
        <v>2031</v>
      </c>
    </row>
    <row r="1543" spans="32:33">
      <c r="AF1543" s="187" t="str">
        <f t="shared" si="26"/>
        <v/>
      </c>
      <c r="AG1543" s="187" t="s">
        <v>2085</v>
      </c>
    </row>
    <row r="1544" spans="32:33">
      <c r="AF1544" s="187" t="str">
        <f t="shared" si="26"/>
        <v/>
      </c>
      <c r="AG1544" s="187" t="s">
        <v>2086</v>
      </c>
    </row>
    <row r="1545" spans="32:33">
      <c r="AF1545" s="187" t="str">
        <f t="shared" si="26"/>
        <v/>
      </c>
      <c r="AG1545" s="187" t="s">
        <v>2087</v>
      </c>
    </row>
    <row r="1546" spans="32:33">
      <c r="AF1546" s="187" t="str">
        <f t="shared" si="26"/>
        <v/>
      </c>
      <c r="AG1546" s="187" t="s">
        <v>2009</v>
      </c>
    </row>
    <row r="1547" spans="32:33">
      <c r="AF1547" s="187" t="str">
        <f t="shared" si="26"/>
        <v/>
      </c>
      <c r="AG1547" s="187" t="s">
        <v>2010</v>
      </c>
    </row>
    <row r="1548" spans="32:33">
      <c r="AF1548" s="187" t="str">
        <f t="shared" si="26"/>
        <v/>
      </c>
      <c r="AG1548" s="187" t="s">
        <v>2011</v>
      </c>
    </row>
    <row r="1549" spans="32:33">
      <c r="AF1549" s="187" t="str">
        <f t="shared" si="26"/>
        <v/>
      </c>
      <c r="AG1549" s="187" t="s">
        <v>2012</v>
      </c>
    </row>
    <row r="1550" spans="32:33">
      <c r="AF1550" s="187" t="str">
        <f t="shared" si="26"/>
        <v/>
      </c>
      <c r="AG1550" s="187" t="s">
        <v>2013</v>
      </c>
    </row>
    <row r="1551" spans="32:33">
      <c r="AF1551" s="187" t="str">
        <f t="shared" si="26"/>
        <v/>
      </c>
      <c r="AG1551" s="187" t="s">
        <v>2014</v>
      </c>
    </row>
    <row r="1552" spans="32:33">
      <c r="AF1552" s="187" t="str">
        <f t="shared" si="26"/>
        <v/>
      </c>
      <c r="AG1552" s="187" t="s">
        <v>2032</v>
      </c>
    </row>
    <row r="1553" spans="32:33">
      <c r="AF1553" s="187" t="str">
        <f t="shared" si="26"/>
        <v/>
      </c>
      <c r="AG1553" s="187" t="s">
        <v>2033</v>
      </c>
    </row>
    <row r="1554" spans="32:33">
      <c r="AF1554" s="187" t="str">
        <f t="shared" si="26"/>
        <v/>
      </c>
      <c r="AG1554" s="187" t="s">
        <v>2034</v>
      </c>
    </row>
    <row r="1555" spans="32:33">
      <c r="AF1555" s="187" t="str">
        <f t="shared" si="26"/>
        <v/>
      </c>
      <c r="AG1555" s="187" t="s">
        <v>2035</v>
      </c>
    </row>
    <row r="1556" spans="32:33">
      <c r="AF1556" s="187" t="str">
        <f t="shared" si="26"/>
        <v/>
      </c>
      <c r="AG1556" s="187" t="s">
        <v>2084</v>
      </c>
    </row>
    <row r="1557" spans="32:33">
      <c r="AF1557" s="187" t="str">
        <f t="shared" si="26"/>
        <v/>
      </c>
      <c r="AG1557" s="187" t="s">
        <v>2081</v>
      </c>
    </row>
    <row r="1558" spans="32:33">
      <c r="AF1558" s="187" t="str">
        <f t="shared" si="26"/>
        <v/>
      </c>
      <c r="AG1558" s="187" t="s">
        <v>2082</v>
      </c>
    </row>
    <row r="1559" spans="32:33">
      <c r="AF1559" s="187" t="str">
        <f t="shared" si="26"/>
        <v/>
      </c>
      <c r="AG1559" s="187" t="s">
        <v>2083</v>
      </c>
    </row>
    <row r="1560" spans="32:33">
      <c r="AF1560" s="187" t="str">
        <f t="shared" si="26"/>
        <v/>
      </c>
      <c r="AG1560" s="187" t="s">
        <v>2036</v>
      </c>
    </row>
    <row r="1561" spans="32:33">
      <c r="AF1561" s="187" t="str">
        <f t="shared" si="26"/>
        <v/>
      </c>
      <c r="AG1561" s="187" t="s">
        <v>2037</v>
      </c>
    </row>
    <row r="1562" spans="32:33">
      <c r="AF1562" s="187" t="str">
        <f t="shared" si="26"/>
        <v/>
      </c>
      <c r="AG1562" s="187" t="s">
        <v>2038</v>
      </c>
    </row>
    <row r="1563" spans="32:33">
      <c r="AF1563" s="187" t="str">
        <f t="shared" si="26"/>
        <v/>
      </c>
      <c r="AG1563" s="187" t="s">
        <v>2039</v>
      </c>
    </row>
    <row r="1564" spans="32:33">
      <c r="AF1564" s="187" t="str">
        <f t="shared" si="26"/>
        <v/>
      </c>
      <c r="AG1564" s="187" t="s">
        <v>2040</v>
      </c>
    </row>
    <row r="1565" spans="32:33">
      <c r="AF1565" s="187" t="str">
        <f t="shared" si="26"/>
        <v/>
      </c>
      <c r="AG1565" s="187" t="s">
        <v>2041</v>
      </c>
    </row>
    <row r="1566" spans="32:33">
      <c r="AF1566" s="187" t="str">
        <f t="shared" si="26"/>
        <v/>
      </c>
      <c r="AG1566" s="187" t="s">
        <v>2042</v>
      </c>
    </row>
    <row r="1567" spans="32:33">
      <c r="AF1567" s="187" t="str">
        <f t="shared" si="26"/>
        <v/>
      </c>
      <c r="AG1567" s="187" t="s">
        <v>2043</v>
      </c>
    </row>
    <row r="1568" spans="32:33">
      <c r="AF1568" s="187" t="str">
        <f t="shared" si="26"/>
        <v/>
      </c>
      <c r="AG1568" s="187" t="s">
        <v>2044</v>
      </c>
    </row>
    <row r="1569" spans="32:33">
      <c r="AF1569" s="187" t="str">
        <f t="shared" si="26"/>
        <v/>
      </c>
      <c r="AG1569" s="187" t="s">
        <v>2045</v>
      </c>
    </row>
    <row r="1570" spans="32:33">
      <c r="AF1570" s="187" t="str">
        <f t="shared" si="26"/>
        <v/>
      </c>
      <c r="AG1570" s="187" t="s">
        <v>2046</v>
      </c>
    </row>
    <row r="1571" spans="32:33">
      <c r="AF1571" s="187" t="str">
        <f t="shared" si="26"/>
        <v/>
      </c>
      <c r="AG1571" s="187" t="s">
        <v>2047</v>
      </c>
    </row>
    <row r="1572" spans="32:33">
      <c r="AF1572" s="187" t="str">
        <f t="shared" si="26"/>
        <v/>
      </c>
      <c r="AG1572" s="187" t="s">
        <v>2048</v>
      </c>
    </row>
    <row r="1573" spans="32:33">
      <c r="AF1573" s="187" t="str">
        <f t="shared" si="26"/>
        <v/>
      </c>
      <c r="AG1573" s="187" t="s">
        <v>2049</v>
      </c>
    </row>
    <row r="1574" spans="32:33">
      <c r="AF1574" s="187" t="str">
        <f t="shared" si="26"/>
        <v/>
      </c>
      <c r="AG1574" s="187" t="s">
        <v>2050</v>
      </c>
    </row>
    <row r="1575" spans="32:33">
      <c r="AF1575" s="187" t="str">
        <f t="shared" si="26"/>
        <v/>
      </c>
      <c r="AG1575" s="187" t="s">
        <v>2051</v>
      </c>
    </row>
    <row r="1576" spans="32:33">
      <c r="AF1576" s="187" t="str">
        <f t="shared" si="26"/>
        <v/>
      </c>
      <c r="AG1576" s="187" t="s">
        <v>2052</v>
      </c>
    </row>
    <row r="1577" spans="32:33">
      <c r="AF1577" s="187" t="str">
        <f t="shared" si="26"/>
        <v/>
      </c>
      <c r="AG1577" s="187" t="s">
        <v>2053</v>
      </c>
    </row>
    <row r="1578" spans="32:33">
      <c r="AF1578" s="187" t="str">
        <f t="shared" si="26"/>
        <v/>
      </c>
      <c r="AG1578" s="187" t="s">
        <v>2054</v>
      </c>
    </row>
    <row r="1579" spans="32:33">
      <c r="AF1579" s="187" t="str">
        <f t="shared" si="26"/>
        <v/>
      </c>
      <c r="AG1579" s="187" t="s">
        <v>2055</v>
      </c>
    </row>
    <row r="1580" spans="32:33">
      <c r="AF1580" s="187" t="str">
        <f t="shared" si="26"/>
        <v/>
      </c>
      <c r="AG1580" s="187" t="s">
        <v>2056</v>
      </c>
    </row>
    <row r="1581" spans="32:33">
      <c r="AF1581" s="187" t="str">
        <f t="shared" si="26"/>
        <v/>
      </c>
      <c r="AG1581" s="187" t="s">
        <v>2057</v>
      </c>
    </row>
    <row r="1582" spans="32:33">
      <c r="AF1582" s="187" t="str">
        <f t="shared" si="26"/>
        <v/>
      </c>
      <c r="AG1582" s="187" t="s">
        <v>2058</v>
      </c>
    </row>
    <row r="1583" spans="32:33">
      <c r="AF1583" s="187" t="str">
        <f t="shared" si="26"/>
        <v/>
      </c>
      <c r="AG1583" s="187" t="s">
        <v>2059</v>
      </c>
    </row>
    <row r="1584" spans="32:33">
      <c r="AF1584" s="187" t="str">
        <f t="shared" si="26"/>
        <v/>
      </c>
      <c r="AG1584" s="187" t="s">
        <v>2060</v>
      </c>
    </row>
    <row r="1585" spans="32:33">
      <c r="AF1585" s="187" t="str">
        <f t="shared" si="26"/>
        <v/>
      </c>
      <c r="AG1585" s="187" t="s">
        <v>2061</v>
      </c>
    </row>
    <row r="1586" spans="32:33">
      <c r="AF1586" s="187" t="str">
        <f t="shared" si="26"/>
        <v/>
      </c>
      <c r="AG1586" s="187" t="s">
        <v>2062</v>
      </c>
    </row>
    <row r="1587" spans="32:33">
      <c r="AF1587" s="187" t="str">
        <f t="shared" si="26"/>
        <v/>
      </c>
      <c r="AG1587" s="187" t="s">
        <v>2063</v>
      </c>
    </row>
    <row r="1588" spans="32:33">
      <c r="AF1588" s="187" t="str">
        <f t="shared" si="26"/>
        <v/>
      </c>
      <c r="AG1588" s="187" t="s">
        <v>2064</v>
      </c>
    </row>
    <row r="1589" spans="32:33">
      <c r="AF1589" s="187" t="str">
        <f t="shared" si="26"/>
        <v/>
      </c>
      <c r="AG1589" s="187" t="s">
        <v>2065</v>
      </c>
    </row>
    <row r="1590" spans="32:33">
      <c r="AF1590" s="187" t="str">
        <f t="shared" si="26"/>
        <v/>
      </c>
      <c r="AG1590" s="187" t="s">
        <v>2066</v>
      </c>
    </row>
    <row r="1591" spans="32:33">
      <c r="AF1591" s="187" t="str">
        <f t="shared" si="26"/>
        <v/>
      </c>
      <c r="AG1591" s="187" t="s">
        <v>2067</v>
      </c>
    </row>
    <row r="1592" spans="32:33">
      <c r="AF1592" s="187" t="str">
        <f t="shared" si="26"/>
        <v/>
      </c>
      <c r="AG1592" s="187" t="s">
        <v>2068</v>
      </c>
    </row>
    <row r="1593" spans="32:33">
      <c r="AF1593" s="187" t="str">
        <f t="shared" si="26"/>
        <v/>
      </c>
      <c r="AG1593" s="187" t="s">
        <v>2069</v>
      </c>
    </row>
    <row r="1594" spans="32:33">
      <c r="AF1594" s="187" t="str">
        <f t="shared" si="26"/>
        <v/>
      </c>
      <c r="AG1594" s="187" t="s">
        <v>2070</v>
      </c>
    </row>
    <row r="1595" spans="32:33">
      <c r="AF1595" s="187" t="str">
        <f t="shared" si="26"/>
        <v/>
      </c>
      <c r="AG1595" s="187" t="s">
        <v>2071</v>
      </c>
    </row>
    <row r="1596" spans="32:33">
      <c r="AF1596" s="187" t="str">
        <f t="shared" si="26"/>
        <v/>
      </c>
      <c r="AG1596" s="187" t="s">
        <v>2072</v>
      </c>
    </row>
    <row r="1597" spans="32:33">
      <c r="AF1597" s="187" t="str">
        <f t="shared" si="26"/>
        <v/>
      </c>
      <c r="AG1597" s="187" t="s">
        <v>2073</v>
      </c>
    </row>
    <row r="1598" spans="32:33">
      <c r="AF1598" s="187" t="str">
        <f t="shared" si="26"/>
        <v/>
      </c>
      <c r="AG1598" s="187" t="s">
        <v>2074</v>
      </c>
    </row>
    <row r="1599" spans="32:33">
      <c r="AF1599" s="187" t="str">
        <f t="shared" si="26"/>
        <v/>
      </c>
      <c r="AG1599" s="187" t="s">
        <v>2075</v>
      </c>
    </row>
    <row r="1600" spans="32:33">
      <c r="AF1600" s="187" t="str">
        <f t="shared" si="26"/>
        <v/>
      </c>
      <c r="AG1600" s="187" t="s">
        <v>2076</v>
      </c>
    </row>
    <row r="1601" spans="32:33">
      <c r="AF1601" s="187" t="str">
        <f t="shared" si="26"/>
        <v/>
      </c>
      <c r="AG1601" s="187" t="s">
        <v>2077</v>
      </c>
    </row>
    <row r="1602" spans="32:33">
      <c r="AF1602" s="187" t="str">
        <f t="shared" ref="AF1602:AF1665" si="27">IF(ISERROR(SEARCH($S$47,AG1602)),"",$S$48)</f>
        <v/>
      </c>
      <c r="AG1602" s="187" t="s">
        <v>2078</v>
      </c>
    </row>
    <row r="1603" spans="32:33">
      <c r="AF1603" s="187" t="str">
        <f t="shared" si="27"/>
        <v/>
      </c>
      <c r="AG1603" s="187" t="s">
        <v>2079</v>
      </c>
    </row>
    <row r="1604" spans="32:33">
      <c r="AF1604" s="187" t="str">
        <f t="shared" si="27"/>
        <v/>
      </c>
      <c r="AG1604" s="187" t="s">
        <v>2080</v>
      </c>
    </row>
    <row r="1605" spans="32:33">
      <c r="AF1605" s="187" t="str">
        <f t="shared" si="27"/>
        <v/>
      </c>
      <c r="AG1605" s="187" t="s">
        <v>2351</v>
      </c>
    </row>
    <row r="1606" spans="32:33">
      <c r="AF1606" s="187" t="str">
        <f t="shared" si="27"/>
        <v/>
      </c>
      <c r="AG1606" s="187" t="s">
        <v>2354</v>
      </c>
    </row>
    <row r="1607" spans="32:33">
      <c r="AF1607" s="187" t="str">
        <f t="shared" si="27"/>
        <v/>
      </c>
      <c r="AG1607" s="187" t="s">
        <v>2355</v>
      </c>
    </row>
    <row r="1608" spans="32:33">
      <c r="AF1608" s="187" t="str">
        <f t="shared" si="27"/>
        <v/>
      </c>
      <c r="AG1608" s="187" t="s">
        <v>2356</v>
      </c>
    </row>
    <row r="1609" spans="32:33">
      <c r="AF1609" s="187" t="str">
        <f t="shared" si="27"/>
        <v/>
      </c>
      <c r="AG1609" s="187" t="s">
        <v>2357</v>
      </c>
    </row>
    <row r="1610" spans="32:33">
      <c r="AF1610" s="187" t="str">
        <f t="shared" si="27"/>
        <v/>
      </c>
      <c r="AG1610" s="187" t="s">
        <v>2352</v>
      </c>
    </row>
    <row r="1611" spans="32:33">
      <c r="AF1611" s="187" t="str">
        <f t="shared" si="27"/>
        <v/>
      </c>
      <c r="AG1611" s="187" t="s">
        <v>2358</v>
      </c>
    </row>
    <row r="1612" spans="32:33">
      <c r="AF1612" s="187" t="str">
        <f t="shared" si="27"/>
        <v/>
      </c>
      <c r="AG1612" s="187" t="s">
        <v>2353</v>
      </c>
    </row>
    <row r="1613" spans="32:33">
      <c r="AF1613" s="187" t="str">
        <f t="shared" si="27"/>
        <v/>
      </c>
      <c r="AG1613" s="187" t="s">
        <v>2359</v>
      </c>
    </row>
    <row r="1614" spans="32:33">
      <c r="AF1614" s="187" t="str">
        <f t="shared" si="27"/>
        <v/>
      </c>
      <c r="AG1614" s="187" t="s">
        <v>2360</v>
      </c>
    </row>
    <row r="1615" spans="32:33">
      <c r="AF1615" s="187" t="str">
        <f t="shared" si="27"/>
        <v/>
      </c>
      <c r="AG1615" s="187" t="s">
        <v>2361</v>
      </c>
    </row>
    <row r="1616" spans="32:33">
      <c r="AF1616" s="187" t="str">
        <f t="shared" si="27"/>
        <v/>
      </c>
      <c r="AG1616" s="187" t="s">
        <v>2362</v>
      </c>
    </row>
    <row r="1617" spans="32:33">
      <c r="AF1617" s="187" t="str">
        <f t="shared" si="27"/>
        <v/>
      </c>
      <c r="AG1617" s="187" t="s">
        <v>2209</v>
      </c>
    </row>
    <row r="1618" spans="32:33">
      <c r="AF1618" s="187" t="str">
        <f t="shared" si="27"/>
        <v/>
      </c>
      <c r="AG1618" s="187" t="s">
        <v>2021</v>
      </c>
    </row>
    <row r="1619" spans="32:33">
      <c r="AF1619" s="187" t="str">
        <f t="shared" si="27"/>
        <v/>
      </c>
      <c r="AG1619" s="187" t="s">
        <v>2019</v>
      </c>
    </row>
    <row r="1620" spans="32:33">
      <c r="AF1620" s="187" t="str">
        <f t="shared" si="27"/>
        <v/>
      </c>
      <c r="AG1620" s="187" t="s">
        <v>2022</v>
      </c>
    </row>
    <row r="1621" spans="32:33">
      <c r="AF1621" s="187" t="str">
        <f t="shared" si="27"/>
        <v/>
      </c>
      <c r="AG1621" s="187" t="s">
        <v>2020</v>
      </c>
    </row>
    <row r="1622" spans="32:33">
      <c r="AF1622" s="187" t="str">
        <f t="shared" si="27"/>
        <v/>
      </c>
      <c r="AG1622" s="187" t="s">
        <v>2023</v>
      </c>
    </row>
    <row r="1623" spans="32:33">
      <c r="AF1623" s="187" t="str">
        <f t="shared" si="27"/>
        <v/>
      </c>
      <c r="AG1623" s="187" t="s">
        <v>2004</v>
      </c>
    </row>
    <row r="1624" spans="32:33">
      <c r="AF1624" s="187" t="str">
        <f t="shared" si="27"/>
        <v/>
      </c>
      <c r="AG1624" s="187" t="s">
        <v>2005</v>
      </c>
    </row>
    <row r="1625" spans="32:33">
      <c r="AF1625" s="187" t="str">
        <f t="shared" si="27"/>
        <v/>
      </c>
      <c r="AG1625" s="187" t="s">
        <v>2006</v>
      </c>
    </row>
    <row r="1626" spans="32:33">
      <c r="AF1626" s="187" t="str">
        <f t="shared" si="27"/>
        <v/>
      </c>
      <c r="AG1626" s="187" t="s">
        <v>2007</v>
      </c>
    </row>
    <row r="1627" spans="32:33">
      <c r="AF1627" s="187" t="str">
        <f t="shared" si="27"/>
        <v/>
      </c>
      <c r="AG1627" s="187" t="s">
        <v>2008</v>
      </c>
    </row>
    <row r="1628" spans="32:33">
      <c r="AF1628" s="187" t="str">
        <f t="shared" si="27"/>
        <v/>
      </c>
      <c r="AG1628" s="187" t="s">
        <v>1912</v>
      </c>
    </row>
    <row r="1629" spans="32:33">
      <c r="AF1629" s="187" t="str">
        <f t="shared" si="27"/>
        <v/>
      </c>
      <c r="AG1629" s="187" t="s">
        <v>1913</v>
      </c>
    </row>
    <row r="1630" spans="32:33">
      <c r="AF1630" s="187" t="str">
        <f t="shared" si="27"/>
        <v/>
      </c>
      <c r="AG1630" s="187" t="s">
        <v>1941</v>
      </c>
    </row>
    <row r="1631" spans="32:33">
      <c r="AF1631" s="187" t="str">
        <f t="shared" si="27"/>
        <v/>
      </c>
      <c r="AG1631" s="187" t="s">
        <v>1914</v>
      </c>
    </row>
    <row r="1632" spans="32:33">
      <c r="AF1632" s="187" t="str">
        <f t="shared" si="27"/>
        <v/>
      </c>
      <c r="AG1632" s="187" t="s">
        <v>1915</v>
      </c>
    </row>
    <row r="1633" spans="32:33">
      <c r="AF1633" s="187" t="str">
        <f t="shared" si="27"/>
        <v/>
      </c>
      <c r="AG1633" s="187" t="s">
        <v>1916</v>
      </c>
    </row>
    <row r="1634" spans="32:33">
      <c r="AF1634" s="187" t="str">
        <f t="shared" si="27"/>
        <v/>
      </c>
      <c r="AG1634" s="187" t="s">
        <v>1917</v>
      </c>
    </row>
    <row r="1635" spans="32:33">
      <c r="AF1635" s="187" t="str">
        <f t="shared" si="27"/>
        <v/>
      </c>
      <c r="AG1635" s="187" t="s">
        <v>1918</v>
      </c>
    </row>
    <row r="1636" spans="32:33">
      <c r="AF1636" s="187" t="str">
        <f t="shared" si="27"/>
        <v/>
      </c>
      <c r="AG1636" s="187" t="s">
        <v>1919</v>
      </c>
    </row>
    <row r="1637" spans="32:33">
      <c r="AF1637" s="187" t="str">
        <f t="shared" si="27"/>
        <v/>
      </c>
      <c r="AG1637" s="187" t="s">
        <v>1920</v>
      </c>
    </row>
    <row r="1638" spans="32:33">
      <c r="AF1638" s="187" t="str">
        <f t="shared" si="27"/>
        <v/>
      </c>
      <c r="AG1638" s="187" t="s">
        <v>1921</v>
      </c>
    </row>
    <row r="1639" spans="32:33">
      <c r="AF1639" s="187" t="str">
        <f t="shared" si="27"/>
        <v/>
      </c>
      <c r="AG1639" s="187" t="s">
        <v>1922</v>
      </c>
    </row>
    <row r="1640" spans="32:33">
      <c r="AF1640" s="187" t="str">
        <f t="shared" si="27"/>
        <v/>
      </c>
      <c r="AG1640" s="187" t="s">
        <v>1939</v>
      </c>
    </row>
    <row r="1641" spans="32:33">
      <c r="AF1641" s="187" t="str">
        <f t="shared" si="27"/>
        <v/>
      </c>
      <c r="AG1641" s="187" t="s">
        <v>1923</v>
      </c>
    </row>
    <row r="1642" spans="32:33">
      <c r="AF1642" s="187" t="str">
        <f t="shared" si="27"/>
        <v/>
      </c>
      <c r="AG1642" s="187" t="s">
        <v>1924</v>
      </c>
    </row>
    <row r="1643" spans="32:33">
      <c r="AF1643" s="187" t="str">
        <f t="shared" si="27"/>
        <v/>
      </c>
      <c r="AG1643" s="187" t="s">
        <v>1925</v>
      </c>
    </row>
    <row r="1644" spans="32:33">
      <c r="AF1644" s="187" t="str">
        <f t="shared" si="27"/>
        <v/>
      </c>
      <c r="AG1644" s="187" t="s">
        <v>1926</v>
      </c>
    </row>
    <row r="1645" spans="32:33">
      <c r="AF1645" s="187" t="str">
        <f t="shared" si="27"/>
        <v/>
      </c>
      <c r="AG1645" s="187" t="s">
        <v>1927</v>
      </c>
    </row>
    <row r="1646" spans="32:33">
      <c r="AF1646" s="187" t="str">
        <f t="shared" si="27"/>
        <v/>
      </c>
      <c r="AG1646" s="187" t="s">
        <v>1928</v>
      </c>
    </row>
    <row r="1647" spans="32:33">
      <c r="AF1647" s="187" t="str">
        <f t="shared" si="27"/>
        <v/>
      </c>
      <c r="AG1647" s="187" t="s">
        <v>1929</v>
      </c>
    </row>
    <row r="1648" spans="32:33">
      <c r="AF1648" s="187" t="str">
        <f t="shared" si="27"/>
        <v/>
      </c>
      <c r="AG1648" s="187" t="s">
        <v>1930</v>
      </c>
    </row>
    <row r="1649" spans="32:33">
      <c r="AF1649" s="187" t="str">
        <f t="shared" si="27"/>
        <v/>
      </c>
      <c r="AG1649" s="187" t="s">
        <v>1931</v>
      </c>
    </row>
    <row r="1650" spans="32:33">
      <c r="AF1650" s="187" t="str">
        <f t="shared" si="27"/>
        <v/>
      </c>
      <c r="AG1650" s="187" t="s">
        <v>1940</v>
      </c>
    </row>
    <row r="1651" spans="32:33">
      <c r="AF1651" s="187" t="str">
        <f t="shared" si="27"/>
        <v/>
      </c>
      <c r="AG1651" s="187" t="s">
        <v>1932</v>
      </c>
    </row>
    <row r="1652" spans="32:33">
      <c r="AF1652" s="187" t="str">
        <f t="shared" si="27"/>
        <v/>
      </c>
      <c r="AG1652" s="187" t="s">
        <v>1933</v>
      </c>
    </row>
    <row r="1653" spans="32:33">
      <c r="AF1653" s="187" t="str">
        <f t="shared" si="27"/>
        <v/>
      </c>
      <c r="AG1653" s="187" t="s">
        <v>1934</v>
      </c>
    </row>
    <row r="1654" spans="32:33">
      <c r="AF1654" s="187" t="str">
        <f t="shared" si="27"/>
        <v/>
      </c>
      <c r="AG1654" s="187" t="s">
        <v>1935</v>
      </c>
    </row>
    <row r="1655" spans="32:33">
      <c r="AF1655" s="187" t="str">
        <f t="shared" si="27"/>
        <v/>
      </c>
      <c r="AG1655" s="187" t="s">
        <v>1936</v>
      </c>
    </row>
    <row r="1656" spans="32:33">
      <c r="AF1656" s="187" t="str">
        <f t="shared" si="27"/>
        <v/>
      </c>
      <c r="AG1656" s="187" t="s">
        <v>1937</v>
      </c>
    </row>
    <row r="1657" spans="32:33">
      <c r="AF1657" s="187" t="str">
        <f t="shared" si="27"/>
        <v/>
      </c>
      <c r="AG1657" s="187" t="s">
        <v>1938</v>
      </c>
    </row>
    <row r="1658" spans="32:33">
      <c r="AF1658" s="187" t="str">
        <f t="shared" si="27"/>
        <v/>
      </c>
      <c r="AG1658" s="187" t="s">
        <v>1999</v>
      </c>
    </row>
    <row r="1659" spans="32:33">
      <c r="AF1659" s="187" t="str">
        <f t="shared" si="27"/>
        <v/>
      </c>
      <c r="AG1659" s="187" t="s">
        <v>2000</v>
      </c>
    </row>
    <row r="1660" spans="32:33">
      <c r="AF1660" s="187" t="str">
        <f t="shared" si="27"/>
        <v/>
      </c>
      <c r="AG1660" s="187" t="s">
        <v>2001</v>
      </c>
    </row>
    <row r="1661" spans="32:33">
      <c r="AF1661" s="187" t="str">
        <f t="shared" si="27"/>
        <v/>
      </c>
      <c r="AG1661" s="187" t="s">
        <v>2002</v>
      </c>
    </row>
    <row r="1662" spans="32:33">
      <c r="AF1662" s="187" t="str">
        <f t="shared" si="27"/>
        <v/>
      </c>
      <c r="AG1662" s="187" t="s">
        <v>2003</v>
      </c>
    </row>
    <row r="1663" spans="32:33">
      <c r="AF1663" s="187" t="str">
        <f t="shared" si="27"/>
        <v/>
      </c>
      <c r="AG1663" s="187" t="s">
        <v>1975</v>
      </c>
    </row>
    <row r="1664" spans="32:33">
      <c r="AF1664" s="187" t="str">
        <f t="shared" si="27"/>
        <v/>
      </c>
      <c r="AG1664" s="187" t="s">
        <v>1976</v>
      </c>
    </row>
    <row r="1665" spans="32:33">
      <c r="AF1665" s="187" t="str">
        <f t="shared" si="27"/>
        <v/>
      </c>
      <c r="AG1665" s="187" t="s">
        <v>1977</v>
      </c>
    </row>
    <row r="1666" spans="32:33">
      <c r="AF1666" s="187" t="str">
        <f t="shared" ref="AF1666:AF1729" si="28">IF(ISERROR(SEARCH($S$47,AG1666)),"",$S$48)</f>
        <v/>
      </c>
      <c r="AG1666" s="187" t="s">
        <v>1978</v>
      </c>
    </row>
    <row r="1667" spans="32:33">
      <c r="AF1667" s="187" t="str">
        <f t="shared" si="28"/>
        <v/>
      </c>
      <c r="AG1667" s="187" t="s">
        <v>1872</v>
      </c>
    </row>
    <row r="1668" spans="32:33">
      <c r="AF1668" s="187" t="str">
        <f t="shared" si="28"/>
        <v/>
      </c>
      <c r="AG1668" s="187" t="s">
        <v>1873</v>
      </c>
    </row>
    <row r="1669" spans="32:33">
      <c r="AF1669" s="187" t="str">
        <f t="shared" si="28"/>
        <v/>
      </c>
      <c r="AG1669" s="187" t="s">
        <v>1874</v>
      </c>
    </row>
    <row r="1670" spans="32:33">
      <c r="AF1670" s="187" t="str">
        <f t="shared" si="28"/>
        <v/>
      </c>
      <c r="AG1670" s="187" t="s">
        <v>1875</v>
      </c>
    </row>
    <row r="1671" spans="32:33">
      <c r="AF1671" s="187" t="str">
        <f t="shared" si="28"/>
        <v/>
      </c>
      <c r="AG1671" s="187" t="s">
        <v>1876</v>
      </c>
    </row>
    <row r="1672" spans="32:33">
      <c r="AF1672" s="187" t="str">
        <f t="shared" si="28"/>
        <v/>
      </c>
      <c r="AG1672" s="187" t="s">
        <v>1982</v>
      </c>
    </row>
    <row r="1673" spans="32:33">
      <c r="AF1673" s="187" t="str">
        <f t="shared" si="28"/>
        <v/>
      </c>
      <c r="AG1673" s="187" t="s">
        <v>1983</v>
      </c>
    </row>
    <row r="1674" spans="32:33">
      <c r="AF1674" s="187" t="str">
        <f t="shared" si="28"/>
        <v/>
      </c>
      <c r="AG1674" s="187" t="s">
        <v>1990</v>
      </c>
    </row>
    <row r="1675" spans="32:33">
      <c r="AF1675" s="187" t="str">
        <f t="shared" si="28"/>
        <v/>
      </c>
      <c r="AG1675" s="187" t="s">
        <v>1991</v>
      </c>
    </row>
    <row r="1676" spans="32:33">
      <c r="AF1676" s="187" t="str">
        <f t="shared" si="28"/>
        <v/>
      </c>
      <c r="AG1676" s="187" t="s">
        <v>1984</v>
      </c>
    </row>
    <row r="1677" spans="32:33">
      <c r="AF1677" s="187" t="str">
        <f t="shared" si="28"/>
        <v/>
      </c>
      <c r="AG1677" s="187" t="s">
        <v>1985</v>
      </c>
    </row>
    <row r="1678" spans="32:33">
      <c r="AF1678" s="187" t="str">
        <f t="shared" si="28"/>
        <v/>
      </c>
      <c r="AG1678" s="187" t="s">
        <v>1986</v>
      </c>
    </row>
    <row r="1679" spans="32:33">
      <c r="AF1679" s="187" t="str">
        <f t="shared" si="28"/>
        <v/>
      </c>
      <c r="AG1679" s="187" t="s">
        <v>1992</v>
      </c>
    </row>
    <row r="1680" spans="32:33">
      <c r="AF1680" s="187" t="str">
        <f t="shared" si="28"/>
        <v/>
      </c>
      <c r="AG1680" s="187" t="s">
        <v>1987</v>
      </c>
    </row>
    <row r="1681" spans="32:33">
      <c r="AF1681" s="187" t="str">
        <f t="shared" si="28"/>
        <v/>
      </c>
      <c r="AG1681" s="187" t="s">
        <v>1988</v>
      </c>
    </row>
    <row r="1682" spans="32:33">
      <c r="AF1682" s="187" t="str">
        <f t="shared" si="28"/>
        <v/>
      </c>
      <c r="AG1682" s="187" t="s">
        <v>1993</v>
      </c>
    </row>
    <row r="1683" spans="32:33">
      <c r="AF1683" s="187" t="str">
        <f t="shared" si="28"/>
        <v/>
      </c>
      <c r="AG1683" s="187" t="s">
        <v>1994</v>
      </c>
    </row>
    <row r="1684" spans="32:33">
      <c r="AF1684" s="187" t="str">
        <f t="shared" si="28"/>
        <v/>
      </c>
      <c r="AG1684" s="187" t="s">
        <v>1989</v>
      </c>
    </row>
    <row r="1685" spans="32:33">
      <c r="AF1685" s="187" t="str">
        <f t="shared" si="28"/>
        <v/>
      </c>
      <c r="AG1685" s="187" t="s">
        <v>1995</v>
      </c>
    </row>
    <row r="1686" spans="32:33">
      <c r="AF1686" s="187" t="str">
        <f t="shared" si="28"/>
        <v/>
      </c>
      <c r="AG1686" s="187" t="s">
        <v>1996</v>
      </c>
    </row>
    <row r="1687" spans="32:33">
      <c r="AF1687" s="187" t="str">
        <f t="shared" si="28"/>
        <v/>
      </c>
      <c r="AG1687" s="187" t="s">
        <v>1997</v>
      </c>
    </row>
    <row r="1688" spans="32:33">
      <c r="AF1688" s="187" t="str">
        <f t="shared" si="28"/>
        <v/>
      </c>
      <c r="AG1688" s="187" t="s">
        <v>1998</v>
      </c>
    </row>
    <row r="1689" spans="32:33">
      <c r="AF1689" s="187" t="str">
        <f t="shared" si="28"/>
        <v/>
      </c>
      <c r="AG1689" s="187" t="s">
        <v>1942</v>
      </c>
    </row>
    <row r="1690" spans="32:33">
      <c r="AF1690" s="187" t="str">
        <f t="shared" si="28"/>
        <v/>
      </c>
      <c r="AG1690" s="187" t="s">
        <v>1943</v>
      </c>
    </row>
    <row r="1691" spans="32:33">
      <c r="AF1691" s="187" t="str">
        <f t="shared" si="28"/>
        <v/>
      </c>
      <c r="AG1691" s="187" t="s">
        <v>1944</v>
      </c>
    </row>
    <row r="1692" spans="32:33">
      <c r="AF1692" s="187" t="str">
        <f t="shared" si="28"/>
        <v/>
      </c>
      <c r="AG1692" s="187" t="s">
        <v>1945</v>
      </c>
    </row>
    <row r="1693" spans="32:33">
      <c r="AF1693" s="187" t="str">
        <f t="shared" si="28"/>
        <v/>
      </c>
      <c r="AG1693" s="187" t="s">
        <v>1946</v>
      </c>
    </row>
    <row r="1694" spans="32:33">
      <c r="AF1694" s="187" t="str">
        <f t="shared" si="28"/>
        <v/>
      </c>
      <c r="AG1694" s="187" t="s">
        <v>1947</v>
      </c>
    </row>
    <row r="1695" spans="32:33">
      <c r="AF1695" s="187" t="str">
        <f t="shared" si="28"/>
        <v/>
      </c>
      <c r="AG1695" s="187" t="s">
        <v>1948</v>
      </c>
    </row>
    <row r="1696" spans="32:33">
      <c r="AF1696" s="187" t="str">
        <f t="shared" si="28"/>
        <v/>
      </c>
      <c r="AG1696" s="187" t="s">
        <v>1949</v>
      </c>
    </row>
    <row r="1697" spans="32:33">
      <c r="AF1697" s="187" t="str">
        <f t="shared" si="28"/>
        <v/>
      </c>
      <c r="AG1697" s="187" t="s">
        <v>1950</v>
      </c>
    </row>
    <row r="1698" spans="32:33">
      <c r="AF1698" s="187" t="str">
        <f t="shared" si="28"/>
        <v/>
      </c>
      <c r="AG1698" s="187" t="s">
        <v>1951</v>
      </c>
    </row>
    <row r="1699" spans="32:33">
      <c r="AF1699" s="187" t="str">
        <f t="shared" si="28"/>
        <v/>
      </c>
      <c r="AG1699" s="187" t="s">
        <v>1952</v>
      </c>
    </row>
    <row r="1700" spans="32:33">
      <c r="AF1700" s="187" t="str">
        <f t="shared" si="28"/>
        <v/>
      </c>
      <c r="AG1700" s="187" t="s">
        <v>1953</v>
      </c>
    </row>
    <row r="1701" spans="32:33">
      <c r="AF1701" s="187" t="str">
        <f t="shared" si="28"/>
        <v/>
      </c>
      <c r="AG1701" s="187" t="s">
        <v>1954</v>
      </c>
    </row>
    <row r="1702" spans="32:33">
      <c r="AF1702" s="187" t="str">
        <f t="shared" si="28"/>
        <v/>
      </c>
      <c r="AG1702" s="187" t="s">
        <v>1955</v>
      </c>
    </row>
    <row r="1703" spans="32:33">
      <c r="AF1703" s="187" t="str">
        <f t="shared" si="28"/>
        <v/>
      </c>
      <c r="AG1703" s="187" t="s">
        <v>1956</v>
      </c>
    </row>
    <row r="1704" spans="32:33">
      <c r="AF1704" s="187" t="str">
        <f t="shared" si="28"/>
        <v/>
      </c>
      <c r="AG1704" s="187" t="s">
        <v>1957</v>
      </c>
    </row>
    <row r="1705" spans="32:33">
      <c r="AF1705" s="187" t="str">
        <f t="shared" si="28"/>
        <v/>
      </c>
      <c r="AG1705" s="187" t="s">
        <v>1958</v>
      </c>
    </row>
    <row r="1706" spans="32:33">
      <c r="AF1706" s="187" t="str">
        <f t="shared" si="28"/>
        <v/>
      </c>
      <c r="AG1706" s="187" t="s">
        <v>1959</v>
      </c>
    </row>
    <row r="1707" spans="32:33">
      <c r="AF1707" s="187" t="str">
        <f t="shared" si="28"/>
        <v/>
      </c>
      <c r="AG1707" s="187" t="s">
        <v>1960</v>
      </c>
    </row>
    <row r="1708" spans="32:33">
      <c r="AF1708" s="187" t="str">
        <f t="shared" si="28"/>
        <v/>
      </c>
      <c r="AG1708" s="187" t="s">
        <v>1961</v>
      </c>
    </row>
    <row r="1709" spans="32:33">
      <c r="AF1709" s="187" t="str">
        <f t="shared" si="28"/>
        <v/>
      </c>
      <c r="AG1709" s="187" t="s">
        <v>1962</v>
      </c>
    </row>
    <row r="1710" spans="32:33">
      <c r="AF1710" s="187" t="str">
        <f t="shared" si="28"/>
        <v/>
      </c>
      <c r="AG1710" s="187" t="s">
        <v>1963</v>
      </c>
    </row>
    <row r="1711" spans="32:33">
      <c r="AF1711" s="187" t="str">
        <f t="shared" si="28"/>
        <v/>
      </c>
      <c r="AG1711" s="187" t="s">
        <v>1964</v>
      </c>
    </row>
    <row r="1712" spans="32:33">
      <c r="AF1712" s="187" t="str">
        <f t="shared" si="28"/>
        <v/>
      </c>
      <c r="AG1712" s="187" t="s">
        <v>1965</v>
      </c>
    </row>
    <row r="1713" spans="32:33">
      <c r="AF1713" s="187" t="str">
        <f t="shared" si="28"/>
        <v/>
      </c>
      <c r="AG1713" s="187" t="s">
        <v>1966</v>
      </c>
    </row>
    <row r="1714" spans="32:33">
      <c r="AF1714" s="187" t="str">
        <f t="shared" si="28"/>
        <v/>
      </c>
      <c r="AG1714" s="187" t="s">
        <v>1967</v>
      </c>
    </row>
    <row r="1715" spans="32:33">
      <c r="AF1715" s="187" t="str">
        <f t="shared" si="28"/>
        <v/>
      </c>
      <c r="AG1715" s="187" t="s">
        <v>1968</v>
      </c>
    </row>
    <row r="1716" spans="32:33">
      <c r="AF1716" s="187" t="str">
        <f t="shared" si="28"/>
        <v/>
      </c>
      <c r="AG1716" s="187" t="s">
        <v>1969</v>
      </c>
    </row>
    <row r="1717" spans="32:33">
      <c r="AF1717" s="187" t="str">
        <f t="shared" si="28"/>
        <v/>
      </c>
      <c r="AG1717" s="187" t="s">
        <v>1970</v>
      </c>
    </row>
    <row r="1718" spans="32:33">
      <c r="AF1718" s="187" t="str">
        <f t="shared" si="28"/>
        <v/>
      </c>
      <c r="AG1718" s="187" t="s">
        <v>1971</v>
      </c>
    </row>
    <row r="1719" spans="32:33">
      <c r="AF1719" s="187" t="str">
        <f t="shared" si="28"/>
        <v/>
      </c>
      <c r="AG1719" s="187" t="s">
        <v>1972</v>
      </c>
    </row>
    <row r="1720" spans="32:33">
      <c r="AF1720" s="187" t="str">
        <f t="shared" si="28"/>
        <v/>
      </c>
      <c r="AG1720" s="187" t="s">
        <v>1973</v>
      </c>
    </row>
    <row r="1721" spans="32:33">
      <c r="AF1721" s="187" t="str">
        <f t="shared" si="28"/>
        <v/>
      </c>
      <c r="AG1721" s="187" t="s">
        <v>1974</v>
      </c>
    </row>
    <row r="1722" spans="32:33">
      <c r="AF1722" s="187" t="str">
        <f t="shared" si="28"/>
        <v/>
      </c>
      <c r="AG1722" s="187" t="s">
        <v>1904</v>
      </c>
    </row>
    <row r="1723" spans="32:33">
      <c r="AF1723" s="187" t="str">
        <f t="shared" si="28"/>
        <v/>
      </c>
      <c r="AG1723" s="187" t="s">
        <v>1892</v>
      </c>
    </row>
    <row r="1724" spans="32:33">
      <c r="AF1724" s="187" t="str">
        <f t="shared" si="28"/>
        <v/>
      </c>
      <c r="AG1724" s="187" t="s">
        <v>1893</v>
      </c>
    </row>
    <row r="1725" spans="32:33">
      <c r="AF1725" s="187" t="str">
        <f t="shared" si="28"/>
        <v/>
      </c>
      <c r="AG1725" s="187" t="s">
        <v>1894</v>
      </c>
    </row>
    <row r="1726" spans="32:33">
      <c r="AF1726" s="187" t="str">
        <f t="shared" si="28"/>
        <v/>
      </c>
      <c r="AG1726" s="187" t="s">
        <v>1895</v>
      </c>
    </row>
    <row r="1727" spans="32:33">
      <c r="AF1727" s="187" t="str">
        <f t="shared" si="28"/>
        <v/>
      </c>
      <c r="AG1727" s="187" t="s">
        <v>1896</v>
      </c>
    </row>
    <row r="1728" spans="32:33">
      <c r="AF1728" s="187" t="str">
        <f t="shared" si="28"/>
        <v/>
      </c>
      <c r="AG1728" s="187" t="s">
        <v>1905</v>
      </c>
    </row>
    <row r="1729" spans="32:33">
      <c r="AF1729" s="187" t="str">
        <f t="shared" si="28"/>
        <v/>
      </c>
      <c r="AG1729" s="187" t="s">
        <v>1897</v>
      </c>
    </row>
    <row r="1730" spans="32:33">
      <c r="AF1730" s="187" t="str">
        <f t="shared" ref="AF1730:AF1793" si="29">IF(ISERROR(SEARCH($S$47,AG1730)),"",$S$48)</f>
        <v/>
      </c>
      <c r="AG1730" s="187" t="s">
        <v>1898</v>
      </c>
    </row>
    <row r="1731" spans="32:33">
      <c r="AF1731" s="187" t="str">
        <f t="shared" si="29"/>
        <v/>
      </c>
      <c r="AG1731" s="187" t="s">
        <v>1906</v>
      </c>
    </row>
    <row r="1732" spans="32:33">
      <c r="AF1732" s="187" t="str">
        <f t="shared" si="29"/>
        <v/>
      </c>
      <c r="AG1732" s="187" t="s">
        <v>1899</v>
      </c>
    </row>
    <row r="1733" spans="32:33">
      <c r="AF1733" s="187" t="str">
        <f t="shared" si="29"/>
        <v/>
      </c>
      <c r="AG1733" s="187" t="s">
        <v>1907</v>
      </c>
    </row>
    <row r="1734" spans="32:33">
      <c r="AF1734" s="187" t="str">
        <f t="shared" si="29"/>
        <v/>
      </c>
      <c r="AG1734" s="187" t="s">
        <v>1900</v>
      </c>
    </row>
    <row r="1735" spans="32:33">
      <c r="AF1735" s="187" t="str">
        <f t="shared" si="29"/>
        <v/>
      </c>
      <c r="AG1735" s="187" t="s">
        <v>1901</v>
      </c>
    </row>
    <row r="1736" spans="32:33">
      <c r="AF1736" s="187" t="str">
        <f t="shared" si="29"/>
        <v/>
      </c>
      <c r="AG1736" s="187" t="s">
        <v>1902</v>
      </c>
    </row>
    <row r="1737" spans="32:33">
      <c r="AF1737" s="187" t="str">
        <f t="shared" si="29"/>
        <v/>
      </c>
      <c r="AG1737" s="187" t="s">
        <v>1908</v>
      </c>
    </row>
    <row r="1738" spans="32:33">
      <c r="AF1738" s="187" t="str">
        <f t="shared" si="29"/>
        <v/>
      </c>
      <c r="AG1738" s="187" t="s">
        <v>1903</v>
      </c>
    </row>
    <row r="1739" spans="32:33">
      <c r="AF1739" s="187" t="str">
        <f t="shared" si="29"/>
        <v/>
      </c>
      <c r="AG1739" s="187" t="s">
        <v>1909</v>
      </c>
    </row>
    <row r="1740" spans="32:33">
      <c r="AF1740" s="187" t="str">
        <f t="shared" si="29"/>
        <v/>
      </c>
      <c r="AG1740" s="187" t="s">
        <v>1910</v>
      </c>
    </row>
    <row r="1741" spans="32:33">
      <c r="AF1741" s="187" t="str">
        <f t="shared" si="29"/>
        <v/>
      </c>
      <c r="AG1741" s="187" t="s">
        <v>1911</v>
      </c>
    </row>
    <row r="1742" spans="32:33">
      <c r="AF1742" s="187" t="str">
        <f t="shared" si="29"/>
        <v/>
      </c>
      <c r="AG1742" s="187" t="s">
        <v>2941</v>
      </c>
    </row>
    <row r="1743" spans="32:33">
      <c r="AF1743" s="187" t="str">
        <f t="shared" si="29"/>
        <v/>
      </c>
      <c r="AG1743" s="187" t="s">
        <v>2939</v>
      </c>
    </row>
    <row r="1744" spans="32:33">
      <c r="AF1744" s="187" t="str">
        <f t="shared" si="29"/>
        <v/>
      </c>
      <c r="AG1744" s="187" t="s">
        <v>2940</v>
      </c>
    </row>
    <row r="1745" spans="32:33">
      <c r="AF1745" s="187" t="str">
        <f t="shared" si="29"/>
        <v/>
      </c>
      <c r="AG1745" s="187" t="s">
        <v>1878</v>
      </c>
    </row>
    <row r="1746" spans="32:33">
      <c r="AF1746" s="187" t="str">
        <f t="shared" si="29"/>
        <v/>
      </c>
      <c r="AG1746" s="187" t="s">
        <v>1877</v>
      </c>
    </row>
    <row r="1747" spans="32:33">
      <c r="AF1747" s="187" t="str">
        <f t="shared" si="29"/>
        <v/>
      </c>
      <c r="AG1747" s="187" t="s">
        <v>1879</v>
      </c>
    </row>
    <row r="1748" spans="32:33">
      <c r="AF1748" s="187" t="str">
        <f t="shared" si="29"/>
        <v/>
      </c>
      <c r="AG1748" s="187" t="s">
        <v>1880</v>
      </c>
    </row>
    <row r="1749" spans="32:33">
      <c r="AF1749" s="187" t="str">
        <f t="shared" si="29"/>
        <v/>
      </c>
      <c r="AG1749" s="187" t="s">
        <v>1881</v>
      </c>
    </row>
    <row r="1750" spans="32:33">
      <c r="AF1750" s="187" t="str">
        <f t="shared" si="29"/>
        <v/>
      </c>
      <c r="AG1750" s="187" t="s">
        <v>1890</v>
      </c>
    </row>
    <row r="1751" spans="32:33">
      <c r="AF1751" s="187" t="str">
        <f t="shared" si="29"/>
        <v/>
      </c>
      <c r="AG1751" s="187" t="s">
        <v>1889</v>
      </c>
    </row>
    <row r="1752" spans="32:33">
      <c r="AF1752" s="187" t="str">
        <f t="shared" si="29"/>
        <v/>
      </c>
      <c r="AG1752" s="187" t="s">
        <v>1888</v>
      </c>
    </row>
    <row r="1753" spans="32:33">
      <c r="AF1753" s="187" t="str">
        <f t="shared" si="29"/>
        <v/>
      </c>
      <c r="AG1753" s="187" t="s">
        <v>1887</v>
      </c>
    </row>
    <row r="1754" spans="32:33">
      <c r="AF1754" s="187" t="str">
        <f t="shared" si="29"/>
        <v/>
      </c>
      <c r="AG1754" s="187" t="s">
        <v>1886</v>
      </c>
    </row>
    <row r="1755" spans="32:33">
      <c r="AF1755" s="187" t="str">
        <f t="shared" si="29"/>
        <v/>
      </c>
      <c r="AG1755" s="187" t="s">
        <v>1885</v>
      </c>
    </row>
    <row r="1756" spans="32:33">
      <c r="AF1756" s="187" t="str">
        <f t="shared" si="29"/>
        <v/>
      </c>
      <c r="AG1756" s="187" t="s">
        <v>1869</v>
      </c>
    </row>
    <row r="1757" spans="32:33">
      <c r="AF1757" s="187" t="str">
        <f t="shared" si="29"/>
        <v/>
      </c>
      <c r="AG1757" s="187" t="s">
        <v>1868</v>
      </c>
    </row>
    <row r="1758" spans="32:33">
      <c r="AF1758" s="187" t="str">
        <f t="shared" si="29"/>
        <v/>
      </c>
      <c r="AG1758" s="187" t="s">
        <v>1870</v>
      </c>
    </row>
    <row r="1759" spans="32:33">
      <c r="AF1759" s="187" t="str">
        <f t="shared" si="29"/>
        <v/>
      </c>
      <c r="AG1759" s="187" t="s">
        <v>1871</v>
      </c>
    </row>
    <row r="1760" spans="32:33">
      <c r="AF1760" s="187" t="str">
        <f t="shared" si="29"/>
        <v/>
      </c>
      <c r="AG1760" s="187" t="s">
        <v>1865</v>
      </c>
    </row>
    <row r="1761" spans="32:33">
      <c r="AF1761" s="187" t="str">
        <f t="shared" si="29"/>
        <v/>
      </c>
      <c r="AG1761" s="187" t="s">
        <v>1866</v>
      </c>
    </row>
    <row r="1762" spans="32:33">
      <c r="AF1762" s="187" t="str">
        <f t="shared" si="29"/>
        <v/>
      </c>
      <c r="AG1762" s="187" t="s">
        <v>1867</v>
      </c>
    </row>
    <row r="1763" spans="32:33">
      <c r="AF1763" s="187" t="str">
        <f t="shared" si="29"/>
        <v/>
      </c>
      <c r="AG1763" s="187" t="s">
        <v>1851</v>
      </c>
    </row>
    <row r="1764" spans="32:33">
      <c r="AF1764" s="187" t="str">
        <f t="shared" si="29"/>
        <v/>
      </c>
      <c r="AG1764" s="187" t="s">
        <v>1852</v>
      </c>
    </row>
    <row r="1765" spans="32:33">
      <c r="AF1765" s="187" t="str">
        <f t="shared" si="29"/>
        <v/>
      </c>
      <c r="AG1765" s="187" t="s">
        <v>1853</v>
      </c>
    </row>
    <row r="1766" spans="32:33">
      <c r="AF1766" s="187" t="str">
        <f t="shared" si="29"/>
        <v/>
      </c>
      <c r="AG1766" s="187" t="s">
        <v>1854</v>
      </c>
    </row>
    <row r="1767" spans="32:33">
      <c r="AF1767" s="187" t="str">
        <f t="shared" si="29"/>
        <v/>
      </c>
      <c r="AG1767" s="187" t="s">
        <v>1850</v>
      </c>
    </row>
    <row r="1768" spans="32:33">
      <c r="AF1768" s="187" t="str">
        <f t="shared" si="29"/>
        <v/>
      </c>
      <c r="AG1768" s="187" t="s">
        <v>1855</v>
      </c>
    </row>
    <row r="1769" spans="32:33">
      <c r="AF1769" s="187" t="str">
        <f t="shared" si="29"/>
        <v/>
      </c>
      <c r="AG1769" s="187" t="s">
        <v>1856</v>
      </c>
    </row>
    <row r="1770" spans="32:33">
      <c r="AF1770" s="187" t="str">
        <f t="shared" si="29"/>
        <v/>
      </c>
      <c r="AG1770" s="187" t="s">
        <v>1857</v>
      </c>
    </row>
    <row r="1771" spans="32:33">
      <c r="AF1771" s="187" t="str">
        <f t="shared" si="29"/>
        <v/>
      </c>
      <c r="AG1771" s="187" t="s">
        <v>1858</v>
      </c>
    </row>
    <row r="1772" spans="32:33">
      <c r="AF1772" s="187" t="str">
        <f t="shared" si="29"/>
        <v/>
      </c>
      <c r="AG1772" s="187" t="s">
        <v>1859</v>
      </c>
    </row>
    <row r="1773" spans="32:33">
      <c r="AF1773" s="187" t="str">
        <f t="shared" si="29"/>
        <v/>
      </c>
      <c r="AG1773" s="187" t="s">
        <v>1860</v>
      </c>
    </row>
    <row r="1774" spans="32:33">
      <c r="AF1774" s="187" t="str">
        <f t="shared" si="29"/>
        <v/>
      </c>
      <c r="AG1774" s="187" t="s">
        <v>1861</v>
      </c>
    </row>
    <row r="1775" spans="32:33">
      <c r="AF1775" s="187" t="str">
        <f t="shared" si="29"/>
        <v/>
      </c>
      <c r="AG1775" s="187" t="s">
        <v>1862</v>
      </c>
    </row>
    <row r="1776" spans="32:33">
      <c r="AF1776" s="187" t="str">
        <f t="shared" si="29"/>
        <v/>
      </c>
      <c r="AG1776" s="187" t="s">
        <v>1863</v>
      </c>
    </row>
    <row r="1777" spans="32:33">
      <c r="AF1777" s="187" t="str">
        <f t="shared" si="29"/>
        <v/>
      </c>
      <c r="AG1777" s="187" t="s">
        <v>1864</v>
      </c>
    </row>
    <row r="1778" spans="32:33">
      <c r="AF1778" s="187" t="str">
        <f t="shared" si="29"/>
        <v/>
      </c>
      <c r="AG1778" s="187" t="s">
        <v>1756</v>
      </c>
    </row>
    <row r="1779" spans="32:33">
      <c r="AF1779" s="187" t="str">
        <f t="shared" si="29"/>
        <v/>
      </c>
      <c r="AG1779" s="187" t="s">
        <v>1777</v>
      </c>
    </row>
    <row r="1780" spans="32:33">
      <c r="AF1780" s="187" t="str">
        <f t="shared" si="29"/>
        <v/>
      </c>
      <c r="AG1780" s="187" t="s">
        <v>1778</v>
      </c>
    </row>
    <row r="1781" spans="32:33">
      <c r="AF1781" s="187" t="str">
        <f t="shared" si="29"/>
        <v/>
      </c>
      <c r="AG1781" s="187" t="s">
        <v>1779</v>
      </c>
    </row>
    <row r="1782" spans="32:33">
      <c r="AF1782" s="187" t="str">
        <f t="shared" si="29"/>
        <v/>
      </c>
      <c r="AG1782" s="187" t="s">
        <v>1763</v>
      </c>
    </row>
    <row r="1783" spans="32:33">
      <c r="AF1783" s="187" t="str">
        <f t="shared" si="29"/>
        <v/>
      </c>
      <c r="AG1783" s="187" t="s">
        <v>1780</v>
      </c>
    </row>
    <row r="1784" spans="32:33">
      <c r="AF1784" s="187" t="str">
        <f t="shared" si="29"/>
        <v/>
      </c>
      <c r="AG1784" s="187" t="s">
        <v>1764</v>
      </c>
    </row>
    <row r="1785" spans="32:33">
      <c r="AF1785" s="187" t="str">
        <f t="shared" si="29"/>
        <v/>
      </c>
      <c r="AG1785" s="187" t="s">
        <v>1757</v>
      </c>
    </row>
    <row r="1786" spans="32:33">
      <c r="AF1786" s="187" t="str">
        <f t="shared" si="29"/>
        <v/>
      </c>
      <c r="AG1786" s="187" t="s">
        <v>1755</v>
      </c>
    </row>
    <row r="1787" spans="32:33">
      <c r="AF1787" s="187" t="str">
        <f t="shared" si="29"/>
        <v/>
      </c>
      <c r="AG1787" s="187" t="s">
        <v>1781</v>
      </c>
    </row>
    <row r="1788" spans="32:33">
      <c r="AF1788" s="187" t="str">
        <f t="shared" si="29"/>
        <v/>
      </c>
      <c r="AG1788" s="187" t="s">
        <v>1782</v>
      </c>
    </row>
    <row r="1789" spans="32:33">
      <c r="AF1789" s="187" t="str">
        <f t="shared" si="29"/>
        <v/>
      </c>
      <c r="AG1789" s="187" t="s">
        <v>1765</v>
      </c>
    </row>
    <row r="1790" spans="32:33">
      <c r="AF1790" s="187" t="str">
        <f t="shared" si="29"/>
        <v/>
      </c>
      <c r="AG1790" s="187" t="s">
        <v>1783</v>
      </c>
    </row>
    <row r="1791" spans="32:33">
      <c r="AF1791" s="187" t="str">
        <f t="shared" si="29"/>
        <v/>
      </c>
      <c r="AG1791" s="187" t="s">
        <v>1784</v>
      </c>
    </row>
    <row r="1792" spans="32:33">
      <c r="AF1792" s="187" t="str">
        <f t="shared" si="29"/>
        <v/>
      </c>
      <c r="AG1792" s="187" t="s">
        <v>1758</v>
      </c>
    </row>
    <row r="1793" spans="32:33">
      <c r="AF1793" s="187" t="str">
        <f t="shared" si="29"/>
        <v/>
      </c>
      <c r="AG1793" s="187" t="s">
        <v>1785</v>
      </c>
    </row>
    <row r="1794" spans="32:33">
      <c r="AF1794" s="187" t="str">
        <f t="shared" ref="AF1794:AF1857" si="30">IF(ISERROR(SEARCH($S$47,AG1794)),"",$S$48)</f>
        <v/>
      </c>
      <c r="AG1794" s="187" t="s">
        <v>1786</v>
      </c>
    </row>
    <row r="1795" spans="32:33">
      <c r="AF1795" s="187" t="str">
        <f t="shared" si="30"/>
        <v/>
      </c>
      <c r="AG1795" s="187" t="s">
        <v>1787</v>
      </c>
    </row>
    <row r="1796" spans="32:33">
      <c r="AF1796" s="187" t="str">
        <f t="shared" si="30"/>
        <v/>
      </c>
      <c r="AG1796" s="187" t="s">
        <v>1788</v>
      </c>
    </row>
    <row r="1797" spans="32:33">
      <c r="AF1797" s="187" t="str">
        <f t="shared" si="30"/>
        <v/>
      </c>
      <c r="AG1797" s="187" t="s">
        <v>1789</v>
      </c>
    </row>
    <row r="1798" spans="32:33">
      <c r="AF1798" s="187" t="str">
        <f t="shared" si="30"/>
        <v/>
      </c>
      <c r="AG1798" s="187" t="s">
        <v>1766</v>
      </c>
    </row>
    <row r="1799" spans="32:33">
      <c r="AF1799" s="187" t="str">
        <f t="shared" si="30"/>
        <v/>
      </c>
      <c r="AG1799" s="187" t="s">
        <v>1759</v>
      </c>
    </row>
    <row r="1800" spans="32:33">
      <c r="AF1800" s="187" t="str">
        <f t="shared" si="30"/>
        <v/>
      </c>
      <c r="AG1800" s="187" t="s">
        <v>1754</v>
      </c>
    </row>
    <row r="1801" spans="32:33">
      <c r="AF1801" s="187" t="str">
        <f t="shared" si="30"/>
        <v/>
      </c>
      <c r="AG1801" s="187" t="s">
        <v>1790</v>
      </c>
    </row>
    <row r="1802" spans="32:33">
      <c r="AF1802" s="187" t="str">
        <f t="shared" si="30"/>
        <v/>
      </c>
      <c r="AG1802" s="187" t="s">
        <v>1760</v>
      </c>
    </row>
    <row r="1803" spans="32:33">
      <c r="AF1803" s="187" t="str">
        <f t="shared" si="30"/>
        <v/>
      </c>
      <c r="AG1803" s="187" t="s">
        <v>1791</v>
      </c>
    </row>
    <row r="1804" spans="32:33">
      <c r="AF1804" s="187" t="str">
        <f t="shared" si="30"/>
        <v/>
      </c>
      <c r="AG1804" s="187" t="s">
        <v>1792</v>
      </c>
    </row>
    <row r="1805" spans="32:33">
      <c r="AF1805" s="187" t="str">
        <f t="shared" si="30"/>
        <v/>
      </c>
      <c r="AG1805" s="187" t="s">
        <v>1767</v>
      </c>
    </row>
    <row r="1806" spans="32:33">
      <c r="AF1806" s="187" t="str">
        <f t="shared" si="30"/>
        <v/>
      </c>
      <c r="AG1806" s="187" t="s">
        <v>1768</v>
      </c>
    </row>
    <row r="1807" spans="32:33">
      <c r="AF1807" s="187" t="str">
        <f t="shared" si="30"/>
        <v/>
      </c>
      <c r="AG1807" s="187" t="s">
        <v>1793</v>
      </c>
    </row>
    <row r="1808" spans="32:33">
      <c r="AF1808" s="187" t="str">
        <f t="shared" si="30"/>
        <v/>
      </c>
      <c r="AG1808" s="187" t="s">
        <v>1794</v>
      </c>
    </row>
    <row r="1809" spans="32:33">
      <c r="AF1809" s="187" t="str">
        <f t="shared" si="30"/>
        <v/>
      </c>
      <c r="AG1809" s="187" t="s">
        <v>1795</v>
      </c>
    </row>
    <row r="1810" spans="32:33">
      <c r="AF1810" s="187" t="str">
        <f t="shared" si="30"/>
        <v/>
      </c>
      <c r="AG1810" s="187" t="s">
        <v>1796</v>
      </c>
    </row>
    <row r="1811" spans="32:33">
      <c r="AF1811" s="187" t="str">
        <f t="shared" si="30"/>
        <v/>
      </c>
      <c r="AG1811" s="187" t="s">
        <v>1797</v>
      </c>
    </row>
    <row r="1812" spans="32:33">
      <c r="AF1812" s="187" t="str">
        <f t="shared" si="30"/>
        <v/>
      </c>
      <c r="AG1812" s="187" t="s">
        <v>1798</v>
      </c>
    </row>
    <row r="1813" spans="32:33">
      <c r="AF1813" s="187" t="str">
        <f t="shared" si="30"/>
        <v/>
      </c>
      <c r="AG1813" s="187" t="s">
        <v>1799</v>
      </c>
    </row>
    <row r="1814" spans="32:33">
      <c r="AF1814" s="187" t="str">
        <f t="shared" si="30"/>
        <v/>
      </c>
      <c r="AG1814" s="187" t="s">
        <v>1800</v>
      </c>
    </row>
    <row r="1815" spans="32:33">
      <c r="AF1815" s="187" t="str">
        <f t="shared" si="30"/>
        <v/>
      </c>
      <c r="AG1815" s="187" t="s">
        <v>1769</v>
      </c>
    </row>
    <row r="1816" spans="32:33">
      <c r="AF1816" s="187" t="str">
        <f t="shared" si="30"/>
        <v/>
      </c>
      <c r="AG1816" s="187" t="s">
        <v>1801</v>
      </c>
    </row>
    <row r="1817" spans="32:33">
      <c r="AF1817" s="187" t="str">
        <f t="shared" si="30"/>
        <v/>
      </c>
      <c r="AG1817" s="187" t="s">
        <v>1802</v>
      </c>
    </row>
    <row r="1818" spans="32:33">
      <c r="AF1818" s="187" t="str">
        <f t="shared" si="30"/>
        <v/>
      </c>
      <c r="AG1818" s="187" t="s">
        <v>1770</v>
      </c>
    </row>
    <row r="1819" spans="32:33">
      <c r="AF1819" s="187" t="str">
        <f t="shared" si="30"/>
        <v/>
      </c>
      <c r="AG1819" s="187" t="s">
        <v>1804</v>
      </c>
    </row>
    <row r="1820" spans="32:33">
      <c r="AF1820" s="187" t="str">
        <f t="shared" si="30"/>
        <v/>
      </c>
      <c r="AG1820" s="187" t="s">
        <v>1771</v>
      </c>
    </row>
    <row r="1821" spans="32:33">
      <c r="AF1821" s="187" t="str">
        <f t="shared" si="30"/>
        <v/>
      </c>
      <c r="AG1821" s="187" t="s">
        <v>1842</v>
      </c>
    </row>
    <row r="1822" spans="32:33">
      <c r="AF1822" s="187" t="str">
        <f t="shared" si="30"/>
        <v/>
      </c>
      <c r="AG1822" s="187" t="s">
        <v>1772</v>
      </c>
    </row>
    <row r="1823" spans="32:33">
      <c r="AF1823" s="187" t="str">
        <f t="shared" si="30"/>
        <v/>
      </c>
      <c r="AG1823" s="187" t="s">
        <v>1805</v>
      </c>
    </row>
    <row r="1824" spans="32:33">
      <c r="AF1824" s="187" t="str">
        <f t="shared" si="30"/>
        <v/>
      </c>
      <c r="AG1824" s="187" t="s">
        <v>1806</v>
      </c>
    </row>
    <row r="1825" spans="32:33">
      <c r="AF1825" s="187" t="str">
        <f t="shared" si="30"/>
        <v/>
      </c>
      <c r="AG1825" s="187" t="s">
        <v>1807</v>
      </c>
    </row>
    <row r="1826" spans="32:33">
      <c r="AF1826" s="187" t="str">
        <f t="shared" si="30"/>
        <v/>
      </c>
      <c r="AG1826" s="187" t="s">
        <v>1808</v>
      </c>
    </row>
    <row r="1827" spans="32:33">
      <c r="AF1827" s="187" t="str">
        <f t="shared" si="30"/>
        <v/>
      </c>
      <c r="AG1827" s="187" t="s">
        <v>1809</v>
      </c>
    </row>
    <row r="1828" spans="32:33">
      <c r="AF1828" s="187" t="str">
        <f t="shared" si="30"/>
        <v/>
      </c>
      <c r="AG1828" s="187" t="s">
        <v>1810</v>
      </c>
    </row>
    <row r="1829" spans="32:33">
      <c r="AF1829" s="187" t="str">
        <f t="shared" si="30"/>
        <v/>
      </c>
      <c r="AG1829" s="187" t="s">
        <v>1811</v>
      </c>
    </row>
    <row r="1830" spans="32:33">
      <c r="AF1830" s="187" t="str">
        <f t="shared" si="30"/>
        <v/>
      </c>
      <c r="AG1830" s="187" t="s">
        <v>1812</v>
      </c>
    </row>
    <row r="1831" spans="32:33">
      <c r="AF1831" s="187" t="str">
        <f t="shared" si="30"/>
        <v/>
      </c>
      <c r="AG1831" s="187" t="s">
        <v>1813</v>
      </c>
    </row>
    <row r="1832" spans="32:33">
      <c r="AF1832" s="187" t="str">
        <f t="shared" si="30"/>
        <v/>
      </c>
      <c r="AG1832" s="187" t="s">
        <v>1814</v>
      </c>
    </row>
    <row r="1833" spans="32:33">
      <c r="AF1833" s="187" t="str">
        <f t="shared" si="30"/>
        <v/>
      </c>
      <c r="AG1833" s="187" t="s">
        <v>1816</v>
      </c>
    </row>
    <row r="1834" spans="32:33">
      <c r="AF1834" s="187" t="str">
        <f t="shared" si="30"/>
        <v/>
      </c>
      <c r="AG1834" s="187" t="s">
        <v>1815</v>
      </c>
    </row>
    <row r="1835" spans="32:33">
      <c r="AF1835" s="187" t="str">
        <f t="shared" si="30"/>
        <v/>
      </c>
      <c r="AG1835" s="187" t="s">
        <v>1817</v>
      </c>
    </row>
    <row r="1836" spans="32:33">
      <c r="AF1836" s="187" t="str">
        <f t="shared" si="30"/>
        <v/>
      </c>
      <c r="AG1836" s="187" t="s">
        <v>1818</v>
      </c>
    </row>
    <row r="1837" spans="32:33">
      <c r="AF1837" s="187" t="str">
        <f t="shared" si="30"/>
        <v/>
      </c>
      <c r="AG1837" s="187" t="s">
        <v>1843</v>
      </c>
    </row>
    <row r="1838" spans="32:33">
      <c r="AF1838" s="187" t="str">
        <f t="shared" si="30"/>
        <v/>
      </c>
      <c r="AG1838" s="187" t="s">
        <v>1819</v>
      </c>
    </row>
    <row r="1839" spans="32:33">
      <c r="AF1839" s="187" t="str">
        <f t="shared" si="30"/>
        <v/>
      </c>
      <c r="AG1839" s="187" t="s">
        <v>1820</v>
      </c>
    </row>
    <row r="1840" spans="32:33">
      <c r="AF1840" s="187" t="str">
        <f t="shared" si="30"/>
        <v/>
      </c>
      <c r="AG1840" s="187" t="s">
        <v>1821</v>
      </c>
    </row>
    <row r="1841" spans="32:33">
      <c r="AF1841" s="187" t="str">
        <f t="shared" si="30"/>
        <v/>
      </c>
      <c r="AG1841" s="187" t="s">
        <v>1822</v>
      </c>
    </row>
    <row r="1842" spans="32:33">
      <c r="AF1842" s="187" t="str">
        <f t="shared" si="30"/>
        <v/>
      </c>
      <c r="AG1842" s="187" t="s">
        <v>1823</v>
      </c>
    </row>
    <row r="1843" spans="32:33">
      <c r="AF1843" s="187" t="str">
        <f t="shared" si="30"/>
        <v/>
      </c>
      <c r="AG1843" s="187" t="s">
        <v>1824</v>
      </c>
    </row>
    <row r="1844" spans="32:33">
      <c r="AF1844" s="187" t="str">
        <f t="shared" si="30"/>
        <v/>
      </c>
      <c r="AG1844" s="187" t="s">
        <v>1773</v>
      </c>
    </row>
    <row r="1845" spans="32:33">
      <c r="AF1845" s="187" t="str">
        <f t="shared" si="30"/>
        <v/>
      </c>
      <c r="AG1845" s="187" t="s">
        <v>1825</v>
      </c>
    </row>
    <row r="1846" spans="32:33">
      <c r="AF1846" s="187" t="str">
        <f t="shared" si="30"/>
        <v/>
      </c>
      <c r="AG1846" s="187" t="s">
        <v>1826</v>
      </c>
    </row>
    <row r="1847" spans="32:33">
      <c r="AF1847" s="187" t="str">
        <f t="shared" si="30"/>
        <v/>
      </c>
      <c r="AG1847" s="187" t="s">
        <v>1827</v>
      </c>
    </row>
    <row r="1848" spans="32:33">
      <c r="AF1848" s="187" t="str">
        <f t="shared" si="30"/>
        <v/>
      </c>
      <c r="AG1848" s="187" t="s">
        <v>1828</v>
      </c>
    </row>
    <row r="1849" spans="32:33">
      <c r="AF1849" s="187" t="str">
        <f t="shared" si="30"/>
        <v/>
      </c>
      <c r="AG1849" s="187" t="s">
        <v>1774</v>
      </c>
    </row>
    <row r="1850" spans="32:33">
      <c r="AF1850" s="187" t="str">
        <f t="shared" si="30"/>
        <v/>
      </c>
      <c r="AG1850" s="187" t="s">
        <v>1829</v>
      </c>
    </row>
    <row r="1851" spans="32:33">
      <c r="AF1851" s="187" t="str">
        <f t="shared" si="30"/>
        <v/>
      </c>
      <c r="AG1851" s="187" t="s">
        <v>1830</v>
      </c>
    </row>
    <row r="1852" spans="32:33">
      <c r="AF1852" s="187" t="str">
        <f t="shared" si="30"/>
        <v/>
      </c>
      <c r="AG1852" s="187" t="s">
        <v>1775</v>
      </c>
    </row>
    <row r="1853" spans="32:33">
      <c r="AF1853" s="187" t="str">
        <f t="shared" si="30"/>
        <v/>
      </c>
      <c r="AG1853" s="187" t="s">
        <v>1844</v>
      </c>
    </row>
    <row r="1854" spans="32:33">
      <c r="AF1854" s="187" t="str">
        <f t="shared" si="30"/>
        <v/>
      </c>
      <c r="AG1854" s="187" t="s">
        <v>1831</v>
      </c>
    </row>
    <row r="1855" spans="32:33">
      <c r="AF1855" s="187" t="str">
        <f t="shared" si="30"/>
        <v/>
      </c>
      <c r="AG1855" s="187" t="s">
        <v>1761</v>
      </c>
    </row>
    <row r="1856" spans="32:33">
      <c r="AF1856" s="187" t="str">
        <f t="shared" si="30"/>
        <v/>
      </c>
      <c r="AG1856" s="187" t="s">
        <v>1832</v>
      </c>
    </row>
    <row r="1857" spans="32:33">
      <c r="AF1857" s="187" t="str">
        <f t="shared" si="30"/>
        <v/>
      </c>
      <c r="AG1857" s="187" t="s">
        <v>1803</v>
      </c>
    </row>
    <row r="1858" spans="32:33">
      <c r="AF1858" s="187" t="str">
        <f t="shared" ref="AF1858:AF1921" si="31">IF(ISERROR(SEARCH($S$47,AG1858)),"",$S$48)</f>
        <v/>
      </c>
      <c r="AG1858" s="187" t="s">
        <v>1833</v>
      </c>
    </row>
    <row r="1859" spans="32:33">
      <c r="AF1859" s="187" t="str">
        <f t="shared" si="31"/>
        <v/>
      </c>
      <c r="AG1859" s="187" t="s">
        <v>1834</v>
      </c>
    </row>
    <row r="1860" spans="32:33">
      <c r="AF1860" s="187" t="str">
        <f t="shared" si="31"/>
        <v/>
      </c>
      <c r="AG1860" s="187" t="s">
        <v>1762</v>
      </c>
    </row>
    <row r="1861" spans="32:33">
      <c r="AF1861" s="187" t="str">
        <f t="shared" si="31"/>
        <v/>
      </c>
      <c r="AG1861" s="187" t="s">
        <v>1835</v>
      </c>
    </row>
    <row r="1862" spans="32:33">
      <c r="AF1862" s="187" t="str">
        <f t="shared" si="31"/>
        <v/>
      </c>
      <c r="AG1862" s="187" t="s">
        <v>1836</v>
      </c>
    </row>
    <row r="1863" spans="32:33">
      <c r="AF1863" s="187" t="str">
        <f t="shared" si="31"/>
        <v/>
      </c>
      <c r="AG1863" s="187" t="s">
        <v>1837</v>
      </c>
    </row>
    <row r="1864" spans="32:33">
      <c r="AF1864" s="187" t="str">
        <f t="shared" si="31"/>
        <v/>
      </c>
      <c r="AG1864" s="187" t="s">
        <v>1838</v>
      </c>
    </row>
    <row r="1865" spans="32:33">
      <c r="AF1865" s="187" t="str">
        <f t="shared" si="31"/>
        <v/>
      </c>
      <c r="AG1865" s="187" t="s">
        <v>1839</v>
      </c>
    </row>
    <row r="1866" spans="32:33">
      <c r="AF1866" s="187" t="str">
        <f t="shared" si="31"/>
        <v/>
      </c>
      <c r="AG1866" s="187" t="s">
        <v>1776</v>
      </c>
    </row>
    <row r="1867" spans="32:33">
      <c r="AF1867" s="187" t="str">
        <f t="shared" si="31"/>
        <v/>
      </c>
      <c r="AG1867" s="187" t="s">
        <v>1840</v>
      </c>
    </row>
    <row r="1868" spans="32:33">
      <c r="AF1868" s="187" t="str">
        <f t="shared" si="31"/>
        <v/>
      </c>
      <c r="AG1868" s="187" t="s">
        <v>1841</v>
      </c>
    </row>
    <row r="1869" spans="32:33">
      <c r="AF1869" s="187" t="str">
        <f t="shared" si="31"/>
        <v/>
      </c>
      <c r="AG1869" s="187" t="s">
        <v>1751</v>
      </c>
    </row>
    <row r="1870" spans="32:33">
      <c r="AF1870" s="187" t="str">
        <f t="shared" si="31"/>
        <v/>
      </c>
      <c r="AG1870" s="187" t="s">
        <v>1752</v>
      </c>
    </row>
    <row r="1871" spans="32:33">
      <c r="AF1871" s="187" t="str">
        <f t="shared" si="31"/>
        <v/>
      </c>
      <c r="AG1871" s="187" t="s">
        <v>1753</v>
      </c>
    </row>
    <row r="1872" spans="32:33">
      <c r="AF1872" s="187" t="str">
        <f t="shared" si="31"/>
        <v/>
      </c>
      <c r="AG1872" s="187" t="s">
        <v>2363</v>
      </c>
    </row>
    <row r="1873" spans="32:33">
      <c r="AF1873" s="187" t="str">
        <f t="shared" si="31"/>
        <v/>
      </c>
      <c r="AG1873" s="187" t="s">
        <v>2291</v>
      </c>
    </row>
    <row r="1874" spans="32:33">
      <c r="AF1874" s="187" t="str">
        <f t="shared" si="31"/>
        <v/>
      </c>
      <c r="AG1874" s="187" t="s">
        <v>1422</v>
      </c>
    </row>
    <row r="1875" spans="32:33">
      <c r="AF1875" s="187" t="str">
        <f t="shared" si="31"/>
        <v/>
      </c>
      <c r="AG1875" s="187" t="s">
        <v>1386</v>
      </c>
    </row>
    <row r="1876" spans="32:33">
      <c r="AF1876" s="187" t="str">
        <f t="shared" si="31"/>
        <v/>
      </c>
      <c r="AG1876" s="187" t="s">
        <v>1387</v>
      </c>
    </row>
    <row r="1877" spans="32:33">
      <c r="AF1877" s="187" t="str">
        <f t="shared" si="31"/>
        <v/>
      </c>
      <c r="AG1877" s="187" t="s">
        <v>1698</v>
      </c>
    </row>
    <row r="1878" spans="32:33">
      <c r="AF1878" s="187" t="str">
        <f t="shared" si="31"/>
        <v/>
      </c>
      <c r="AG1878" s="187" t="s">
        <v>1699</v>
      </c>
    </row>
    <row r="1879" spans="32:33">
      <c r="AF1879" s="187" t="str">
        <f t="shared" si="31"/>
        <v/>
      </c>
      <c r="AG1879" s="187" t="s">
        <v>1681</v>
      </c>
    </row>
    <row r="1880" spans="32:33">
      <c r="AF1880" s="187" t="str">
        <f t="shared" si="31"/>
        <v/>
      </c>
      <c r="AG1880" s="187" t="s">
        <v>1733</v>
      </c>
    </row>
    <row r="1881" spans="32:33">
      <c r="AF1881" s="187" t="str">
        <f t="shared" si="31"/>
        <v/>
      </c>
      <c r="AG1881" s="187" t="s">
        <v>1734</v>
      </c>
    </row>
    <row r="1882" spans="32:33">
      <c r="AF1882" s="187" t="str">
        <f t="shared" si="31"/>
        <v/>
      </c>
      <c r="AG1882" s="187" t="s">
        <v>1735</v>
      </c>
    </row>
    <row r="1883" spans="32:33">
      <c r="AF1883" s="187" t="str">
        <f t="shared" si="31"/>
        <v/>
      </c>
      <c r="AG1883" s="187" t="s">
        <v>1736</v>
      </c>
    </row>
    <row r="1884" spans="32:33">
      <c r="AF1884" s="187" t="str">
        <f t="shared" si="31"/>
        <v/>
      </c>
      <c r="AG1884" s="187" t="s">
        <v>1738</v>
      </c>
    </row>
    <row r="1885" spans="32:33">
      <c r="AF1885" s="187" t="str">
        <f t="shared" si="31"/>
        <v/>
      </c>
      <c r="AG1885" s="187" t="s">
        <v>1740</v>
      </c>
    </row>
    <row r="1886" spans="32:33">
      <c r="AF1886" s="187" t="str">
        <f t="shared" si="31"/>
        <v/>
      </c>
      <c r="AG1886" s="187" t="s">
        <v>1741</v>
      </c>
    </row>
    <row r="1887" spans="32:33">
      <c r="AF1887" s="187" t="str">
        <f t="shared" si="31"/>
        <v/>
      </c>
      <c r="AG1887" s="187" t="s">
        <v>1742</v>
      </c>
    </row>
    <row r="1888" spans="32:33">
      <c r="AF1888" s="187" t="str">
        <f t="shared" si="31"/>
        <v/>
      </c>
      <c r="AG1888" s="187" t="s">
        <v>1743</v>
      </c>
    </row>
    <row r="1889" spans="32:33">
      <c r="AF1889" s="187" t="str">
        <f t="shared" si="31"/>
        <v/>
      </c>
      <c r="AG1889" s="187" t="s">
        <v>1744</v>
      </c>
    </row>
    <row r="1890" spans="32:33">
      <c r="AF1890" s="187" t="str">
        <f t="shared" si="31"/>
        <v/>
      </c>
      <c r="AG1890" s="187" t="s">
        <v>1737</v>
      </c>
    </row>
    <row r="1891" spans="32:33">
      <c r="AF1891" s="187" t="str">
        <f t="shared" si="31"/>
        <v/>
      </c>
      <c r="AG1891" s="187" t="s">
        <v>1745</v>
      </c>
    </row>
    <row r="1892" spans="32:33">
      <c r="AF1892" s="187" t="str">
        <f t="shared" si="31"/>
        <v/>
      </c>
      <c r="AG1892" s="187" t="s">
        <v>1739</v>
      </c>
    </row>
    <row r="1893" spans="32:33">
      <c r="AF1893" s="187" t="str">
        <f t="shared" si="31"/>
        <v/>
      </c>
      <c r="AG1893" s="187" t="s">
        <v>1746</v>
      </c>
    </row>
    <row r="1894" spans="32:33">
      <c r="AF1894" s="187" t="str">
        <f t="shared" si="31"/>
        <v/>
      </c>
      <c r="AG1894" s="187" t="s">
        <v>1747</v>
      </c>
    </row>
    <row r="1895" spans="32:33">
      <c r="AF1895" s="187" t="str">
        <f t="shared" si="31"/>
        <v/>
      </c>
      <c r="AG1895" s="187" t="s">
        <v>1748</v>
      </c>
    </row>
    <row r="1896" spans="32:33">
      <c r="AF1896" s="187" t="str">
        <f t="shared" si="31"/>
        <v/>
      </c>
      <c r="AG1896" s="187" t="s">
        <v>1749</v>
      </c>
    </row>
    <row r="1897" spans="32:33">
      <c r="AF1897" s="187" t="str">
        <f t="shared" si="31"/>
        <v/>
      </c>
      <c r="AG1897" s="187" t="s">
        <v>1750</v>
      </c>
    </row>
    <row r="1898" spans="32:33">
      <c r="AF1898" s="187" t="str">
        <f t="shared" si="31"/>
        <v/>
      </c>
      <c r="AG1898" s="187" t="s">
        <v>1692</v>
      </c>
    </row>
    <row r="1899" spans="32:33">
      <c r="AF1899" s="187" t="str">
        <f t="shared" si="31"/>
        <v/>
      </c>
      <c r="AG1899" s="187" t="s">
        <v>1693</v>
      </c>
    </row>
    <row r="1900" spans="32:33">
      <c r="AF1900" s="187" t="str">
        <f t="shared" si="31"/>
        <v/>
      </c>
      <c r="AG1900" s="187" t="s">
        <v>1694</v>
      </c>
    </row>
    <row r="1901" spans="32:33">
      <c r="AF1901" s="187" t="str">
        <f t="shared" si="31"/>
        <v/>
      </c>
      <c r="AG1901" s="187" t="s">
        <v>1695</v>
      </c>
    </row>
    <row r="1902" spans="32:33">
      <c r="AF1902" s="187" t="str">
        <f t="shared" si="31"/>
        <v/>
      </c>
      <c r="AG1902" s="187" t="s">
        <v>1696</v>
      </c>
    </row>
    <row r="1903" spans="32:33">
      <c r="AF1903" s="187" t="str">
        <f t="shared" si="31"/>
        <v/>
      </c>
      <c r="AG1903" s="187" t="s">
        <v>1697</v>
      </c>
    </row>
    <row r="1904" spans="32:33">
      <c r="AF1904" s="187" t="str">
        <f t="shared" si="31"/>
        <v/>
      </c>
      <c r="AG1904" s="187" t="s">
        <v>1845</v>
      </c>
    </row>
    <row r="1905" spans="32:33">
      <c r="AF1905" s="187" t="str">
        <f t="shared" si="31"/>
        <v/>
      </c>
      <c r="AG1905" s="187" t="s">
        <v>1846</v>
      </c>
    </row>
    <row r="1906" spans="32:33">
      <c r="AF1906" s="187" t="str">
        <f t="shared" si="31"/>
        <v/>
      </c>
      <c r="AG1906" s="187" t="s">
        <v>1847</v>
      </c>
    </row>
    <row r="1907" spans="32:33">
      <c r="AF1907" s="187" t="str">
        <f t="shared" si="31"/>
        <v/>
      </c>
      <c r="AG1907" s="187" t="s">
        <v>1848</v>
      </c>
    </row>
    <row r="1908" spans="32:33">
      <c r="AF1908" s="187" t="str">
        <f t="shared" si="31"/>
        <v/>
      </c>
      <c r="AG1908" s="187" t="s">
        <v>1849</v>
      </c>
    </row>
    <row r="1909" spans="32:33">
      <c r="AF1909" s="187" t="str">
        <f t="shared" si="31"/>
        <v/>
      </c>
      <c r="AG1909" s="187" t="s">
        <v>1700</v>
      </c>
    </row>
    <row r="1910" spans="32:33">
      <c r="AF1910" s="187" t="str">
        <f t="shared" si="31"/>
        <v/>
      </c>
      <c r="AG1910" s="187" t="s">
        <v>1701</v>
      </c>
    </row>
    <row r="1911" spans="32:33">
      <c r="AF1911" s="187" t="str">
        <f t="shared" si="31"/>
        <v/>
      </c>
      <c r="AG1911" s="187" t="s">
        <v>1702</v>
      </c>
    </row>
    <row r="1912" spans="32:33">
      <c r="AF1912" s="187" t="str">
        <f t="shared" si="31"/>
        <v/>
      </c>
      <c r="AG1912" s="187" t="s">
        <v>1703</v>
      </c>
    </row>
    <row r="1913" spans="32:33">
      <c r="AF1913" s="187" t="str">
        <f t="shared" si="31"/>
        <v/>
      </c>
      <c r="AG1913" s="187" t="s">
        <v>1713</v>
      </c>
    </row>
    <row r="1914" spans="32:33">
      <c r="AF1914" s="187" t="str">
        <f t="shared" si="31"/>
        <v/>
      </c>
      <c r="AG1914" s="187" t="s">
        <v>1704</v>
      </c>
    </row>
    <row r="1915" spans="32:33">
      <c r="AF1915" s="187" t="str">
        <f t="shared" si="31"/>
        <v/>
      </c>
      <c r="AG1915" s="187" t="s">
        <v>1705</v>
      </c>
    </row>
    <row r="1916" spans="32:33">
      <c r="AF1916" s="187" t="str">
        <f t="shared" si="31"/>
        <v/>
      </c>
      <c r="AG1916" s="187" t="s">
        <v>1706</v>
      </c>
    </row>
    <row r="1917" spans="32:33">
      <c r="AF1917" s="187" t="str">
        <f t="shared" si="31"/>
        <v/>
      </c>
      <c r="AG1917" s="187" t="s">
        <v>1707</v>
      </c>
    </row>
    <row r="1918" spans="32:33">
      <c r="AF1918" s="187" t="str">
        <f t="shared" si="31"/>
        <v/>
      </c>
      <c r="AG1918" s="187" t="s">
        <v>1708</v>
      </c>
    </row>
    <row r="1919" spans="32:33">
      <c r="AF1919" s="187" t="str">
        <f t="shared" si="31"/>
        <v/>
      </c>
      <c r="AG1919" s="187" t="s">
        <v>1709</v>
      </c>
    </row>
    <row r="1920" spans="32:33">
      <c r="AF1920" s="187" t="str">
        <f t="shared" si="31"/>
        <v/>
      </c>
      <c r="AG1920" s="187" t="s">
        <v>1710</v>
      </c>
    </row>
    <row r="1921" spans="32:33">
      <c r="AF1921" s="187" t="str">
        <f t="shared" si="31"/>
        <v/>
      </c>
      <c r="AG1921" s="187" t="s">
        <v>1711</v>
      </c>
    </row>
    <row r="1922" spans="32:33">
      <c r="AF1922" s="187" t="str">
        <f t="shared" ref="AF1922:AF1985" si="32">IF(ISERROR(SEARCH($S$47,AG1922)),"",$S$48)</f>
        <v/>
      </c>
      <c r="AG1922" s="187" t="s">
        <v>1712</v>
      </c>
    </row>
    <row r="1923" spans="32:33">
      <c r="AF1923" s="187" t="str">
        <f t="shared" si="32"/>
        <v/>
      </c>
      <c r="AG1923" s="187" t="s">
        <v>1731</v>
      </c>
    </row>
    <row r="1924" spans="32:33">
      <c r="AF1924" s="187" t="str">
        <f t="shared" si="32"/>
        <v/>
      </c>
      <c r="AG1924" s="187" t="s">
        <v>1732</v>
      </c>
    </row>
    <row r="1925" spans="32:33">
      <c r="AF1925" s="187" t="str">
        <f t="shared" si="32"/>
        <v/>
      </c>
      <c r="AG1925" s="187" t="s">
        <v>1685</v>
      </c>
    </row>
    <row r="1926" spans="32:33">
      <c r="AF1926" s="187" t="str">
        <f t="shared" si="32"/>
        <v/>
      </c>
      <c r="AG1926" s="187" t="s">
        <v>1687</v>
      </c>
    </row>
    <row r="1927" spans="32:33">
      <c r="AF1927" s="187" t="str">
        <f t="shared" si="32"/>
        <v/>
      </c>
      <c r="AG1927" s="187" t="s">
        <v>1686</v>
      </c>
    </row>
    <row r="1928" spans="32:33">
      <c r="AF1928" s="187" t="str">
        <f t="shared" si="32"/>
        <v/>
      </c>
      <c r="AG1928" s="187" t="s">
        <v>1688</v>
      </c>
    </row>
    <row r="1929" spans="32:33">
      <c r="AF1929" s="187" t="str">
        <f t="shared" si="32"/>
        <v/>
      </c>
      <c r="AG1929" s="187" t="s">
        <v>1689</v>
      </c>
    </row>
    <row r="1930" spans="32:33">
      <c r="AF1930" s="187" t="str">
        <f t="shared" si="32"/>
        <v/>
      </c>
      <c r="AG1930" s="187" t="s">
        <v>1690</v>
      </c>
    </row>
    <row r="1931" spans="32:33">
      <c r="AF1931" s="187" t="str">
        <f t="shared" si="32"/>
        <v/>
      </c>
      <c r="AG1931" s="187" t="s">
        <v>1691</v>
      </c>
    </row>
    <row r="1932" spans="32:33">
      <c r="AF1932" s="187" t="str">
        <f t="shared" si="32"/>
        <v/>
      </c>
      <c r="AG1932" s="187" t="s">
        <v>1352</v>
      </c>
    </row>
    <row r="1933" spans="32:33">
      <c r="AF1933" s="187" t="str">
        <f t="shared" si="32"/>
        <v/>
      </c>
      <c r="AG1933" s="187" t="s">
        <v>1353</v>
      </c>
    </row>
    <row r="1934" spans="32:33">
      <c r="AF1934" s="187" t="str">
        <f t="shared" si="32"/>
        <v/>
      </c>
      <c r="AG1934" s="187" t="s">
        <v>1354</v>
      </c>
    </row>
    <row r="1935" spans="32:33">
      <c r="AF1935" s="187" t="str">
        <f t="shared" si="32"/>
        <v/>
      </c>
      <c r="AG1935" s="187" t="s">
        <v>1355</v>
      </c>
    </row>
    <row r="1936" spans="32:33">
      <c r="AF1936" s="187" t="str">
        <f t="shared" si="32"/>
        <v/>
      </c>
      <c r="AG1936" s="187" t="s">
        <v>1356</v>
      </c>
    </row>
    <row r="1937" spans="32:33">
      <c r="AF1937" s="187" t="str">
        <f t="shared" si="32"/>
        <v/>
      </c>
      <c r="AG1937" s="187" t="s">
        <v>1350</v>
      </c>
    </row>
    <row r="1938" spans="32:33">
      <c r="AF1938" s="187" t="str">
        <f t="shared" si="32"/>
        <v/>
      </c>
      <c r="AG1938" s="187" t="s">
        <v>1351</v>
      </c>
    </row>
    <row r="1939" spans="32:33">
      <c r="AF1939" s="187" t="str">
        <f t="shared" si="32"/>
        <v/>
      </c>
      <c r="AG1939" s="187" t="s">
        <v>1357</v>
      </c>
    </row>
    <row r="1940" spans="32:33">
      <c r="AF1940" s="187" t="str">
        <f t="shared" si="32"/>
        <v/>
      </c>
      <c r="AG1940" s="187" t="s">
        <v>1358</v>
      </c>
    </row>
    <row r="1941" spans="32:33">
      <c r="AF1941" s="187" t="str">
        <f t="shared" si="32"/>
        <v/>
      </c>
      <c r="AG1941" s="187" t="s">
        <v>1359</v>
      </c>
    </row>
    <row r="1942" spans="32:33">
      <c r="AF1942" s="187" t="str">
        <f t="shared" si="32"/>
        <v/>
      </c>
      <c r="AG1942" s="187" t="s">
        <v>1360</v>
      </c>
    </row>
    <row r="1943" spans="32:33">
      <c r="AF1943" s="187" t="str">
        <f t="shared" si="32"/>
        <v/>
      </c>
      <c r="AG1943" s="187" t="s">
        <v>1361</v>
      </c>
    </row>
    <row r="1944" spans="32:33">
      <c r="AF1944" s="187" t="str">
        <f t="shared" si="32"/>
        <v/>
      </c>
      <c r="AG1944" s="187" t="s">
        <v>1362</v>
      </c>
    </row>
    <row r="1945" spans="32:33">
      <c r="AF1945" s="187" t="str">
        <f t="shared" si="32"/>
        <v/>
      </c>
      <c r="AG1945" s="187" t="s">
        <v>1363</v>
      </c>
    </row>
    <row r="1946" spans="32:33">
      <c r="AF1946" s="187" t="str">
        <f t="shared" si="32"/>
        <v/>
      </c>
      <c r="AG1946" s="187" t="s">
        <v>1364</v>
      </c>
    </row>
    <row r="1947" spans="32:33">
      <c r="AF1947" s="187" t="str">
        <f t="shared" si="32"/>
        <v/>
      </c>
      <c r="AG1947" s="187" t="s">
        <v>1365</v>
      </c>
    </row>
    <row r="1948" spans="32:33">
      <c r="AF1948" s="187" t="str">
        <f t="shared" si="32"/>
        <v/>
      </c>
      <c r="AG1948" s="187" t="s">
        <v>1366</v>
      </c>
    </row>
    <row r="1949" spans="32:33">
      <c r="AF1949" s="187" t="str">
        <f t="shared" si="32"/>
        <v/>
      </c>
      <c r="AG1949" s="187" t="s">
        <v>1367</v>
      </c>
    </row>
    <row r="1950" spans="32:33">
      <c r="AF1950" s="187" t="str">
        <f t="shared" si="32"/>
        <v/>
      </c>
      <c r="AG1950" s="187" t="s">
        <v>1368</v>
      </c>
    </row>
    <row r="1951" spans="32:33">
      <c r="AF1951" s="187" t="str">
        <f t="shared" si="32"/>
        <v/>
      </c>
      <c r="AG1951" s="187" t="s">
        <v>1369</v>
      </c>
    </row>
    <row r="1952" spans="32:33">
      <c r="AF1952" s="187" t="str">
        <f t="shared" si="32"/>
        <v/>
      </c>
      <c r="AG1952" s="187" t="s">
        <v>1370</v>
      </c>
    </row>
    <row r="1953" spans="32:33">
      <c r="AF1953" s="187" t="str">
        <f t="shared" si="32"/>
        <v/>
      </c>
      <c r="AG1953" s="187" t="s">
        <v>1371</v>
      </c>
    </row>
    <row r="1954" spans="32:33">
      <c r="AF1954" s="187" t="str">
        <f t="shared" si="32"/>
        <v/>
      </c>
      <c r="AG1954" s="187" t="s">
        <v>1372</v>
      </c>
    </row>
    <row r="1955" spans="32:33">
      <c r="AF1955" s="187" t="str">
        <f t="shared" si="32"/>
        <v/>
      </c>
      <c r="AG1955" s="187" t="s">
        <v>1373</v>
      </c>
    </row>
    <row r="1956" spans="32:33">
      <c r="AF1956" s="187" t="str">
        <f t="shared" si="32"/>
        <v/>
      </c>
      <c r="AG1956" s="187" t="s">
        <v>1374</v>
      </c>
    </row>
    <row r="1957" spans="32:33">
      <c r="AF1957" s="187" t="str">
        <f t="shared" si="32"/>
        <v/>
      </c>
      <c r="AG1957" s="187" t="s">
        <v>2322</v>
      </c>
    </row>
    <row r="1958" spans="32:33">
      <c r="AF1958" s="187" t="str">
        <f t="shared" si="32"/>
        <v/>
      </c>
      <c r="AG1958" s="187" t="s">
        <v>2323</v>
      </c>
    </row>
    <row r="1959" spans="32:33">
      <c r="AF1959" s="187" t="str">
        <f t="shared" si="32"/>
        <v/>
      </c>
      <c r="AG1959" s="187" t="s">
        <v>2324</v>
      </c>
    </row>
    <row r="1960" spans="32:33">
      <c r="AF1960" s="187" t="str">
        <f t="shared" si="32"/>
        <v/>
      </c>
      <c r="AG1960" s="187" t="s">
        <v>2325</v>
      </c>
    </row>
    <row r="1961" spans="32:33">
      <c r="AF1961" s="187" t="str">
        <f t="shared" si="32"/>
        <v/>
      </c>
      <c r="AG1961" s="187" t="s">
        <v>2326</v>
      </c>
    </row>
    <row r="1962" spans="32:33">
      <c r="AF1962" s="187" t="str">
        <f t="shared" si="32"/>
        <v/>
      </c>
      <c r="AG1962" s="187" t="s">
        <v>2327</v>
      </c>
    </row>
    <row r="1963" spans="32:33">
      <c r="AF1963" s="187" t="str">
        <f t="shared" si="32"/>
        <v/>
      </c>
      <c r="AG1963" s="187" t="s">
        <v>2328</v>
      </c>
    </row>
    <row r="1964" spans="32:33">
      <c r="AF1964" s="187" t="str">
        <f t="shared" si="32"/>
        <v/>
      </c>
      <c r="AG1964" s="187" t="s">
        <v>2329</v>
      </c>
    </row>
    <row r="1965" spans="32:33">
      <c r="AF1965" s="187" t="str">
        <f t="shared" si="32"/>
        <v/>
      </c>
      <c r="AG1965" s="187" t="s">
        <v>2330</v>
      </c>
    </row>
    <row r="1966" spans="32:33">
      <c r="AF1966" s="187" t="str">
        <f t="shared" si="32"/>
        <v/>
      </c>
      <c r="AG1966" s="187" t="s">
        <v>2350</v>
      </c>
    </row>
    <row r="1967" spans="32:33">
      <c r="AF1967" s="187" t="str">
        <f t="shared" si="32"/>
        <v/>
      </c>
      <c r="AG1967" s="187" t="s">
        <v>2331</v>
      </c>
    </row>
    <row r="1968" spans="32:33">
      <c r="AF1968" s="187" t="str">
        <f t="shared" si="32"/>
        <v/>
      </c>
      <c r="AG1968" s="187" t="s">
        <v>2332</v>
      </c>
    </row>
    <row r="1969" spans="32:33">
      <c r="AF1969" s="187" t="str">
        <f t="shared" si="32"/>
        <v/>
      </c>
      <c r="AG1969" s="187" t="s">
        <v>2333</v>
      </c>
    </row>
    <row r="1970" spans="32:33">
      <c r="AF1970" s="187" t="str">
        <f t="shared" si="32"/>
        <v/>
      </c>
      <c r="AG1970" s="187" t="s">
        <v>2334</v>
      </c>
    </row>
    <row r="1971" spans="32:33">
      <c r="AF1971" s="187" t="str">
        <f t="shared" si="32"/>
        <v/>
      </c>
      <c r="AG1971" s="187" t="s">
        <v>2335</v>
      </c>
    </row>
    <row r="1972" spans="32:33">
      <c r="AF1972" s="187" t="str">
        <f t="shared" si="32"/>
        <v/>
      </c>
      <c r="AG1972" s="187" t="s">
        <v>2320</v>
      </c>
    </row>
    <row r="1973" spans="32:33">
      <c r="AF1973" s="187" t="str">
        <f t="shared" si="32"/>
        <v/>
      </c>
      <c r="AG1973" s="187" t="s">
        <v>2336</v>
      </c>
    </row>
    <row r="1974" spans="32:33">
      <c r="AF1974" s="187" t="str">
        <f t="shared" si="32"/>
        <v/>
      </c>
      <c r="AG1974" s="187" t="s">
        <v>2337</v>
      </c>
    </row>
    <row r="1975" spans="32:33">
      <c r="AF1975" s="187" t="str">
        <f t="shared" si="32"/>
        <v/>
      </c>
      <c r="AG1975" s="187" t="s">
        <v>2338</v>
      </c>
    </row>
    <row r="1976" spans="32:33">
      <c r="AF1976" s="187" t="str">
        <f t="shared" si="32"/>
        <v/>
      </c>
      <c r="AG1976" s="187" t="s">
        <v>2339</v>
      </c>
    </row>
    <row r="1977" spans="32:33">
      <c r="AF1977" s="187" t="str">
        <f t="shared" si="32"/>
        <v/>
      </c>
      <c r="AG1977" s="187" t="s">
        <v>2340</v>
      </c>
    </row>
    <row r="1978" spans="32:33">
      <c r="AF1978" s="187" t="str">
        <f t="shared" si="32"/>
        <v/>
      </c>
      <c r="AG1978" s="187" t="s">
        <v>2321</v>
      </c>
    </row>
    <row r="1979" spans="32:33">
      <c r="AF1979" s="187" t="str">
        <f t="shared" si="32"/>
        <v/>
      </c>
      <c r="AG1979" s="187" t="s">
        <v>2341</v>
      </c>
    </row>
    <row r="1980" spans="32:33">
      <c r="AF1980" s="187" t="str">
        <f t="shared" si="32"/>
        <v/>
      </c>
      <c r="AG1980" s="187" t="s">
        <v>2342</v>
      </c>
    </row>
    <row r="1981" spans="32:33">
      <c r="AF1981" s="187" t="str">
        <f t="shared" si="32"/>
        <v/>
      </c>
      <c r="AG1981" s="187" t="s">
        <v>2343</v>
      </c>
    </row>
    <row r="1982" spans="32:33">
      <c r="AF1982" s="187" t="str">
        <f t="shared" si="32"/>
        <v/>
      </c>
      <c r="AG1982" s="187" t="s">
        <v>2344</v>
      </c>
    </row>
    <row r="1983" spans="32:33">
      <c r="AF1983" s="187" t="str">
        <f t="shared" si="32"/>
        <v/>
      </c>
      <c r="AG1983" s="187" t="s">
        <v>2345</v>
      </c>
    </row>
    <row r="1984" spans="32:33">
      <c r="AF1984" s="187" t="str">
        <f t="shared" si="32"/>
        <v/>
      </c>
      <c r="AG1984" s="187" t="s">
        <v>2346</v>
      </c>
    </row>
    <row r="1985" spans="32:33">
      <c r="AF1985" s="187" t="str">
        <f t="shared" si="32"/>
        <v/>
      </c>
      <c r="AG1985" s="187" t="s">
        <v>2347</v>
      </c>
    </row>
    <row r="1986" spans="32:33">
      <c r="AF1986" s="187" t="str">
        <f t="shared" ref="AF1986:AF2049" si="33">IF(ISERROR(SEARCH($S$47,AG1986)),"",$S$48)</f>
        <v/>
      </c>
      <c r="AG1986" s="187" t="s">
        <v>2348</v>
      </c>
    </row>
    <row r="1987" spans="32:33">
      <c r="AF1987" s="187" t="str">
        <f t="shared" si="33"/>
        <v/>
      </c>
      <c r="AG1987" s="187" t="s">
        <v>2349</v>
      </c>
    </row>
    <row r="1988" spans="32:33">
      <c r="AF1988" s="187" t="str">
        <f t="shared" si="33"/>
        <v/>
      </c>
      <c r="AG1988" s="187" t="s">
        <v>2962</v>
      </c>
    </row>
    <row r="1989" spans="32:33">
      <c r="AF1989" s="187" t="str">
        <f t="shared" si="33"/>
        <v/>
      </c>
      <c r="AG1989" s="187" t="s">
        <v>2970</v>
      </c>
    </row>
    <row r="1990" spans="32:33">
      <c r="AF1990" s="187" t="str">
        <f t="shared" si="33"/>
        <v/>
      </c>
      <c r="AG1990" s="187" t="s">
        <v>2957</v>
      </c>
    </row>
    <row r="1991" spans="32:33">
      <c r="AF1991" s="187" t="str">
        <f t="shared" si="33"/>
        <v/>
      </c>
      <c r="AG1991" s="187" t="s">
        <v>2958</v>
      </c>
    </row>
    <row r="1992" spans="32:33">
      <c r="AF1992" s="187" t="str">
        <f t="shared" si="33"/>
        <v/>
      </c>
      <c r="AG1992" s="187" t="s">
        <v>2959</v>
      </c>
    </row>
    <row r="1993" spans="32:33">
      <c r="AF1993" s="187" t="str">
        <f t="shared" si="33"/>
        <v/>
      </c>
      <c r="AG1993" s="187" t="s">
        <v>2971</v>
      </c>
    </row>
    <row r="1994" spans="32:33">
      <c r="AF1994" s="187" t="str">
        <f t="shared" si="33"/>
        <v/>
      </c>
      <c r="AG1994" s="187" t="s">
        <v>2972</v>
      </c>
    </row>
    <row r="1995" spans="32:33">
      <c r="AF1995" s="187" t="str">
        <f t="shared" si="33"/>
        <v/>
      </c>
      <c r="AG1995" s="187" t="s">
        <v>2956</v>
      </c>
    </row>
    <row r="1996" spans="32:33">
      <c r="AF1996" s="187" t="str">
        <f t="shared" si="33"/>
        <v/>
      </c>
      <c r="AG1996" s="187" t="s">
        <v>2973</v>
      </c>
    </row>
    <row r="1997" spans="32:33">
      <c r="AF1997" s="187" t="str">
        <f t="shared" si="33"/>
        <v/>
      </c>
      <c r="AG1997" s="187" t="s">
        <v>2960</v>
      </c>
    </row>
    <row r="1998" spans="32:33">
      <c r="AF1998" s="187" t="str">
        <f t="shared" si="33"/>
        <v/>
      </c>
      <c r="AG1998" s="187" t="s">
        <v>2974</v>
      </c>
    </row>
    <row r="1999" spans="32:33">
      <c r="AF1999" s="187" t="str">
        <f t="shared" si="33"/>
        <v/>
      </c>
      <c r="AG1999" s="187" t="s">
        <v>2975</v>
      </c>
    </row>
    <row r="2000" spans="32:33">
      <c r="AF2000" s="187" t="str">
        <f t="shared" si="33"/>
        <v/>
      </c>
      <c r="AG2000" s="187" t="s">
        <v>2961</v>
      </c>
    </row>
    <row r="2001" spans="32:33">
      <c r="AF2001" s="187" t="str">
        <f t="shared" si="33"/>
        <v/>
      </c>
      <c r="AG2001" s="187" t="s">
        <v>2963</v>
      </c>
    </row>
    <row r="2002" spans="32:33">
      <c r="AF2002" s="187" t="str">
        <f t="shared" si="33"/>
        <v/>
      </c>
      <c r="AG2002" s="187" t="s">
        <v>2976</v>
      </c>
    </row>
    <row r="2003" spans="32:33">
      <c r="AF2003" s="187" t="str">
        <f t="shared" si="33"/>
        <v/>
      </c>
      <c r="AG2003" s="187" t="s">
        <v>2964</v>
      </c>
    </row>
    <row r="2004" spans="32:33">
      <c r="AF2004" s="187" t="str">
        <f t="shared" si="33"/>
        <v/>
      </c>
      <c r="AG2004" s="187" t="s">
        <v>2977</v>
      </c>
    </row>
    <row r="2005" spans="32:33">
      <c r="AF2005" s="187" t="str">
        <f t="shared" si="33"/>
        <v/>
      </c>
      <c r="AG2005" s="187" t="s">
        <v>2965</v>
      </c>
    </row>
    <row r="2006" spans="32:33">
      <c r="AF2006" s="187" t="str">
        <f t="shared" si="33"/>
        <v/>
      </c>
      <c r="AG2006" s="187" t="s">
        <v>2978</v>
      </c>
    </row>
    <row r="2007" spans="32:33">
      <c r="AF2007" s="187" t="str">
        <f t="shared" si="33"/>
        <v/>
      </c>
      <c r="AG2007" s="187" t="s">
        <v>2955</v>
      </c>
    </row>
    <row r="2008" spans="32:33">
      <c r="AF2008" s="187" t="str">
        <f t="shared" si="33"/>
        <v/>
      </c>
      <c r="AG2008" s="187" t="s">
        <v>2979</v>
      </c>
    </row>
    <row r="2009" spans="32:33">
      <c r="AF2009" s="187" t="str">
        <f t="shared" si="33"/>
        <v/>
      </c>
      <c r="AG2009" s="187" t="s">
        <v>2980</v>
      </c>
    </row>
    <row r="2010" spans="32:33">
      <c r="AF2010" s="187" t="str">
        <f t="shared" si="33"/>
        <v/>
      </c>
      <c r="AG2010" s="187" t="s">
        <v>2981</v>
      </c>
    </row>
    <row r="2011" spans="32:33">
      <c r="AF2011" s="187" t="str">
        <f t="shared" si="33"/>
        <v/>
      </c>
      <c r="AG2011" s="187" t="s">
        <v>2966</v>
      </c>
    </row>
    <row r="2012" spans="32:33">
      <c r="AF2012" s="187" t="str">
        <f t="shared" si="33"/>
        <v/>
      </c>
      <c r="AG2012" s="187" t="s">
        <v>2967</v>
      </c>
    </row>
    <row r="2013" spans="32:33">
      <c r="AF2013" s="187" t="str">
        <f t="shared" si="33"/>
        <v/>
      </c>
      <c r="AG2013" s="187" t="s">
        <v>2968</v>
      </c>
    </row>
    <row r="2014" spans="32:33">
      <c r="AF2014" s="187" t="str">
        <f t="shared" si="33"/>
        <v/>
      </c>
      <c r="AG2014" s="187" t="s">
        <v>2982</v>
      </c>
    </row>
    <row r="2015" spans="32:33">
      <c r="AF2015" s="187" t="str">
        <f t="shared" si="33"/>
        <v/>
      </c>
      <c r="AG2015" s="187" t="s">
        <v>2983</v>
      </c>
    </row>
    <row r="2016" spans="32:33">
      <c r="AF2016" s="187" t="str">
        <f t="shared" si="33"/>
        <v/>
      </c>
      <c r="AG2016" s="187" t="s">
        <v>2969</v>
      </c>
    </row>
    <row r="2017" spans="32:33">
      <c r="AF2017" s="187" t="str">
        <f t="shared" si="33"/>
        <v/>
      </c>
      <c r="AG2017" s="187" t="s">
        <v>2984</v>
      </c>
    </row>
    <row r="2018" spans="32:33">
      <c r="AF2018" s="187" t="str">
        <f t="shared" si="33"/>
        <v/>
      </c>
      <c r="AG2018" s="187" t="s">
        <v>2283</v>
      </c>
    </row>
    <row r="2019" spans="32:33">
      <c r="AF2019" s="187" t="str">
        <f t="shared" si="33"/>
        <v/>
      </c>
      <c r="AG2019" s="187" t="s">
        <v>2284</v>
      </c>
    </row>
    <row r="2020" spans="32:33">
      <c r="AF2020" s="187" t="str">
        <f t="shared" si="33"/>
        <v/>
      </c>
      <c r="AG2020" s="187" t="s">
        <v>2285</v>
      </c>
    </row>
    <row r="2021" spans="32:33">
      <c r="AF2021" s="187" t="str">
        <f t="shared" si="33"/>
        <v/>
      </c>
      <c r="AG2021" s="187" t="s">
        <v>2286</v>
      </c>
    </row>
    <row r="2022" spans="32:33">
      <c r="AF2022" s="187" t="str">
        <f t="shared" si="33"/>
        <v/>
      </c>
      <c r="AG2022" s="187" t="s">
        <v>2287</v>
      </c>
    </row>
    <row r="2023" spans="32:33">
      <c r="AF2023" s="187" t="str">
        <f t="shared" si="33"/>
        <v/>
      </c>
      <c r="AG2023" s="187" t="s">
        <v>1720</v>
      </c>
    </row>
    <row r="2024" spans="32:33">
      <c r="AF2024" s="187" t="str">
        <f t="shared" si="33"/>
        <v/>
      </c>
      <c r="AG2024" s="187" t="s">
        <v>1722</v>
      </c>
    </row>
    <row r="2025" spans="32:33">
      <c r="AF2025" s="187" t="str">
        <f t="shared" si="33"/>
        <v/>
      </c>
      <c r="AG2025" s="187" t="s">
        <v>1723</v>
      </c>
    </row>
    <row r="2026" spans="32:33">
      <c r="AF2026" s="187" t="str">
        <f t="shared" si="33"/>
        <v/>
      </c>
      <c r="AG2026" s="187" t="s">
        <v>1721</v>
      </c>
    </row>
    <row r="2027" spans="32:33">
      <c r="AF2027" s="187" t="str">
        <f t="shared" si="33"/>
        <v/>
      </c>
      <c r="AG2027" s="187" t="s">
        <v>1724</v>
      </c>
    </row>
    <row r="2028" spans="32:33">
      <c r="AF2028" s="187" t="str">
        <f t="shared" si="33"/>
        <v/>
      </c>
      <c r="AG2028" s="187" t="s">
        <v>1725</v>
      </c>
    </row>
    <row r="2029" spans="32:33">
      <c r="AF2029" s="187" t="str">
        <f t="shared" si="33"/>
        <v/>
      </c>
      <c r="AG2029" s="187" t="s">
        <v>1726</v>
      </c>
    </row>
    <row r="2030" spans="32:33">
      <c r="AF2030" s="187" t="str">
        <f t="shared" si="33"/>
        <v/>
      </c>
      <c r="AG2030" s="187" t="s">
        <v>1727</v>
      </c>
    </row>
    <row r="2031" spans="32:33">
      <c r="AF2031" s="187" t="str">
        <f t="shared" si="33"/>
        <v/>
      </c>
      <c r="AG2031" s="187" t="s">
        <v>1728</v>
      </c>
    </row>
    <row r="2032" spans="32:33">
      <c r="AF2032" s="187" t="str">
        <f t="shared" si="33"/>
        <v/>
      </c>
      <c r="AG2032" s="187" t="s">
        <v>1729</v>
      </c>
    </row>
    <row r="2033" spans="32:33">
      <c r="AF2033" s="187" t="str">
        <f t="shared" si="33"/>
        <v/>
      </c>
      <c r="AG2033" s="187" t="s">
        <v>1682</v>
      </c>
    </row>
    <row r="2034" spans="32:33">
      <c r="AF2034" s="187" t="str">
        <f t="shared" si="33"/>
        <v/>
      </c>
      <c r="AG2034" s="187" t="s">
        <v>1683</v>
      </c>
    </row>
    <row r="2035" spans="32:33">
      <c r="AF2035" s="187" t="str">
        <f t="shared" si="33"/>
        <v/>
      </c>
      <c r="AG2035" s="187" t="s">
        <v>1684</v>
      </c>
    </row>
    <row r="2036" spans="32:33">
      <c r="AF2036" s="187" t="str">
        <f t="shared" si="33"/>
        <v/>
      </c>
      <c r="AG2036" s="187" t="s">
        <v>1664</v>
      </c>
    </row>
    <row r="2037" spans="32:33">
      <c r="AF2037" s="187" t="str">
        <f t="shared" si="33"/>
        <v/>
      </c>
      <c r="AG2037" s="187" t="s">
        <v>1665</v>
      </c>
    </row>
    <row r="2038" spans="32:33">
      <c r="AF2038" s="187" t="str">
        <f t="shared" si="33"/>
        <v/>
      </c>
      <c r="AG2038" s="187" t="s">
        <v>1666</v>
      </c>
    </row>
    <row r="2039" spans="32:33">
      <c r="AF2039" s="187" t="str">
        <f t="shared" si="33"/>
        <v/>
      </c>
      <c r="AG2039" s="187" t="s">
        <v>1714</v>
      </c>
    </row>
    <row r="2040" spans="32:33">
      <c r="AF2040" s="187" t="str">
        <f t="shared" si="33"/>
        <v/>
      </c>
      <c r="AG2040" s="187" t="s">
        <v>1715</v>
      </c>
    </row>
    <row r="2041" spans="32:33">
      <c r="AF2041" s="187" t="str">
        <f t="shared" si="33"/>
        <v/>
      </c>
      <c r="AG2041" s="187" t="s">
        <v>1717</v>
      </c>
    </row>
    <row r="2042" spans="32:33">
      <c r="AF2042" s="187" t="str">
        <f t="shared" si="33"/>
        <v/>
      </c>
      <c r="AG2042" s="187" t="s">
        <v>1718</v>
      </c>
    </row>
    <row r="2043" spans="32:33">
      <c r="AF2043" s="187" t="str">
        <f t="shared" si="33"/>
        <v/>
      </c>
      <c r="AG2043" s="187" t="s">
        <v>1716</v>
      </c>
    </row>
    <row r="2044" spans="32:33">
      <c r="AF2044" s="187" t="str">
        <f t="shared" si="33"/>
        <v/>
      </c>
      <c r="AG2044" s="187" t="s">
        <v>1719</v>
      </c>
    </row>
    <row r="2045" spans="32:33">
      <c r="AF2045" s="187" t="str">
        <f t="shared" si="33"/>
        <v/>
      </c>
      <c r="AG2045" s="187" t="s">
        <v>3387</v>
      </c>
    </row>
    <row r="2046" spans="32:33">
      <c r="AF2046" s="187" t="str">
        <f t="shared" si="33"/>
        <v/>
      </c>
      <c r="AG2046" s="187" t="s">
        <v>3388</v>
      </c>
    </row>
    <row r="2047" spans="32:33">
      <c r="AF2047" s="187" t="str">
        <f t="shared" si="33"/>
        <v/>
      </c>
      <c r="AG2047" s="187" t="s">
        <v>3389</v>
      </c>
    </row>
    <row r="2048" spans="32:33">
      <c r="AF2048" s="187" t="str">
        <f t="shared" si="33"/>
        <v/>
      </c>
      <c r="AG2048" s="187" t="s">
        <v>1670</v>
      </c>
    </row>
    <row r="2049" spans="32:33">
      <c r="AF2049" s="187" t="str">
        <f t="shared" si="33"/>
        <v/>
      </c>
      <c r="AG2049" s="187" t="s">
        <v>1669</v>
      </c>
    </row>
    <row r="2050" spans="32:33">
      <c r="AF2050" s="187" t="str">
        <f t="shared" ref="AF2050:AF2113" si="34">IF(ISERROR(SEARCH($S$47,AG2050)),"",$S$48)</f>
        <v/>
      </c>
      <c r="AG2050" s="187" t="s">
        <v>1668</v>
      </c>
    </row>
    <row r="2051" spans="32:33">
      <c r="AF2051" s="187" t="str">
        <f t="shared" si="34"/>
        <v/>
      </c>
      <c r="AG2051" s="187" t="s">
        <v>1671</v>
      </c>
    </row>
    <row r="2052" spans="32:33">
      <c r="AF2052" s="187" t="str">
        <f t="shared" si="34"/>
        <v/>
      </c>
      <c r="AG2052" s="187" t="s">
        <v>1672</v>
      </c>
    </row>
    <row r="2053" spans="32:33">
      <c r="AF2053" s="187" t="str">
        <f t="shared" si="34"/>
        <v/>
      </c>
      <c r="AG2053" s="187" t="s">
        <v>1667</v>
      </c>
    </row>
    <row r="2054" spans="32:33">
      <c r="AF2054" s="187" t="str">
        <f t="shared" si="34"/>
        <v/>
      </c>
      <c r="AG2054" s="187" t="s">
        <v>1673</v>
      </c>
    </row>
    <row r="2055" spans="32:33">
      <c r="AF2055" s="187" t="str">
        <f t="shared" si="34"/>
        <v/>
      </c>
      <c r="AG2055" s="187" t="s">
        <v>1674</v>
      </c>
    </row>
    <row r="2056" spans="32:33">
      <c r="AF2056" s="187" t="str">
        <f t="shared" si="34"/>
        <v/>
      </c>
      <c r="AG2056" s="187" t="s">
        <v>1675</v>
      </c>
    </row>
    <row r="2057" spans="32:33">
      <c r="AF2057" s="187" t="str">
        <f t="shared" si="34"/>
        <v/>
      </c>
      <c r="AG2057" s="187" t="s">
        <v>1979</v>
      </c>
    </row>
    <row r="2058" spans="32:33">
      <c r="AF2058" s="187" t="str">
        <f t="shared" si="34"/>
        <v/>
      </c>
      <c r="AG2058" s="187" t="s">
        <v>1980</v>
      </c>
    </row>
    <row r="2059" spans="32:33">
      <c r="AF2059" s="187" t="str">
        <f t="shared" si="34"/>
        <v/>
      </c>
      <c r="AG2059" s="187" t="s">
        <v>1981</v>
      </c>
    </row>
    <row r="2060" spans="32:33">
      <c r="AF2060" s="187" t="str">
        <f t="shared" si="34"/>
        <v/>
      </c>
      <c r="AG2060" s="187" t="s">
        <v>1585</v>
      </c>
    </row>
    <row r="2061" spans="32:33">
      <c r="AF2061" s="187" t="str">
        <f t="shared" si="34"/>
        <v/>
      </c>
      <c r="AG2061" s="187" t="s">
        <v>1586</v>
      </c>
    </row>
    <row r="2062" spans="32:33">
      <c r="AF2062" s="187" t="str">
        <f t="shared" si="34"/>
        <v/>
      </c>
      <c r="AG2062" s="187" t="s">
        <v>1587</v>
      </c>
    </row>
    <row r="2063" spans="32:33">
      <c r="AF2063" s="187" t="str">
        <f t="shared" si="34"/>
        <v/>
      </c>
      <c r="AG2063" s="187" t="s">
        <v>1588</v>
      </c>
    </row>
    <row r="2064" spans="32:33">
      <c r="AF2064" s="187" t="str">
        <f t="shared" si="34"/>
        <v/>
      </c>
      <c r="AG2064" s="187" t="s">
        <v>1589</v>
      </c>
    </row>
    <row r="2065" spans="32:33">
      <c r="AF2065" s="187" t="str">
        <f t="shared" si="34"/>
        <v/>
      </c>
      <c r="AG2065" s="187" t="s">
        <v>1590</v>
      </c>
    </row>
    <row r="2066" spans="32:33">
      <c r="AF2066" s="187" t="str">
        <f t="shared" si="34"/>
        <v/>
      </c>
      <c r="AG2066" s="187" t="s">
        <v>1643</v>
      </c>
    </row>
    <row r="2067" spans="32:33">
      <c r="AF2067" s="187" t="str">
        <f t="shared" si="34"/>
        <v/>
      </c>
      <c r="AG2067" s="187" t="s">
        <v>1644</v>
      </c>
    </row>
    <row r="2068" spans="32:33">
      <c r="AF2068" s="187" t="str">
        <f t="shared" si="34"/>
        <v/>
      </c>
      <c r="AG2068" s="187" t="s">
        <v>1645</v>
      </c>
    </row>
    <row r="2069" spans="32:33">
      <c r="AF2069" s="187" t="str">
        <f t="shared" si="34"/>
        <v/>
      </c>
      <c r="AG2069" s="187" t="s">
        <v>1646</v>
      </c>
    </row>
    <row r="2070" spans="32:33">
      <c r="AF2070" s="187" t="str">
        <f t="shared" si="34"/>
        <v/>
      </c>
      <c r="AG2070" s="187" t="s">
        <v>1576</v>
      </c>
    </row>
    <row r="2071" spans="32:33">
      <c r="AF2071" s="187" t="str">
        <f t="shared" si="34"/>
        <v/>
      </c>
      <c r="AG2071" s="187" t="s">
        <v>1577</v>
      </c>
    </row>
    <row r="2072" spans="32:33">
      <c r="AF2072" s="187" t="str">
        <f t="shared" si="34"/>
        <v/>
      </c>
      <c r="AG2072" s="187" t="s">
        <v>1578</v>
      </c>
    </row>
    <row r="2073" spans="32:33">
      <c r="AF2073" s="187" t="str">
        <f t="shared" si="34"/>
        <v/>
      </c>
      <c r="AG2073" s="187" t="s">
        <v>1579</v>
      </c>
    </row>
    <row r="2074" spans="32:33">
      <c r="AF2074" s="187" t="str">
        <f t="shared" si="34"/>
        <v/>
      </c>
      <c r="AG2074" s="187" t="s">
        <v>1580</v>
      </c>
    </row>
    <row r="2075" spans="32:33">
      <c r="AF2075" s="187" t="str">
        <f t="shared" si="34"/>
        <v/>
      </c>
      <c r="AG2075" s="187" t="s">
        <v>1581</v>
      </c>
    </row>
    <row r="2076" spans="32:33">
      <c r="AF2076" s="187" t="str">
        <f t="shared" si="34"/>
        <v/>
      </c>
      <c r="AG2076" s="187" t="s">
        <v>1582</v>
      </c>
    </row>
    <row r="2077" spans="32:33">
      <c r="AF2077" s="187" t="str">
        <f t="shared" si="34"/>
        <v/>
      </c>
      <c r="AG2077" s="187" t="s">
        <v>1583</v>
      </c>
    </row>
    <row r="2078" spans="32:33">
      <c r="AF2078" s="187" t="str">
        <f t="shared" si="34"/>
        <v/>
      </c>
      <c r="AG2078" s="187" t="s">
        <v>1584</v>
      </c>
    </row>
    <row r="2079" spans="32:33">
      <c r="AF2079" s="187" t="str">
        <f t="shared" si="34"/>
        <v/>
      </c>
      <c r="AG2079" s="187" t="s">
        <v>1654</v>
      </c>
    </row>
    <row r="2080" spans="32:33">
      <c r="AF2080" s="187" t="str">
        <f t="shared" si="34"/>
        <v/>
      </c>
      <c r="AG2080" s="187" t="s">
        <v>1648</v>
      </c>
    </row>
    <row r="2081" spans="32:33">
      <c r="AF2081" s="187" t="str">
        <f t="shared" si="34"/>
        <v/>
      </c>
      <c r="AG2081" s="187" t="s">
        <v>1652</v>
      </c>
    </row>
    <row r="2082" spans="32:33">
      <c r="AF2082" s="187" t="str">
        <f t="shared" si="34"/>
        <v/>
      </c>
      <c r="AG2082" s="187" t="s">
        <v>1647</v>
      </c>
    </row>
    <row r="2083" spans="32:33">
      <c r="AF2083" s="187" t="str">
        <f t="shared" si="34"/>
        <v/>
      </c>
      <c r="AG2083" s="187" t="s">
        <v>1655</v>
      </c>
    </row>
    <row r="2084" spans="32:33">
      <c r="AF2084" s="187" t="str">
        <f t="shared" si="34"/>
        <v/>
      </c>
      <c r="AG2084" s="187" t="s">
        <v>1649</v>
      </c>
    </row>
    <row r="2085" spans="32:33">
      <c r="AF2085" s="187" t="str">
        <f t="shared" si="34"/>
        <v/>
      </c>
      <c r="AG2085" s="187" t="s">
        <v>1653</v>
      </c>
    </row>
    <row r="2086" spans="32:33">
      <c r="AF2086" s="187" t="str">
        <f t="shared" si="34"/>
        <v/>
      </c>
      <c r="AG2086" s="187" t="s">
        <v>1650</v>
      </c>
    </row>
    <row r="2087" spans="32:33">
      <c r="AF2087" s="187" t="str">
        <f t="shared" si="34"/>
        <v/>
      </c>
      <c r="AG2087" s="187" t="s">
        <v>1651</v>
      </c>
    </row>
    <row r="2088" spans="32:33">
      <c r="AF2088" s="187" t="str">
        <f t="shared" si="34"/>
        <v/>
      </c>
      <c r="AG2088" s="187" t="s">
        <v>1656</v>
      </c>
    </row>
    <row r="2089" spans="32:33">
      <c r="AF2089" s="187" t="str">
        <f t="shared" si="34"/>
        <v/>
      </c>
      <c r="AG2089" s="187" t="s">
        <v>1657</v>
      </c>
    </row>
    <row r="2090" spans="32:33">
      <c r="AF2090" s="187" t="str">
        <f t="shared" si="34"/>
        <v/>
      </c>
      <c r="AG2090" s="187" t="s">
        <v>1658</v>
      </c>
    </row>
    <row r="2091" spans="32:33">
      <c r="AF2091" s="187" t="str">
        <f t="shared" si="34"/>
        <v/>
      </c>
      <c r="AG2091" s="187" t="s">
        <v>1659</v>
      </c>
    </row>
    <row r="2092" spans="32:33">
      <c r="AF2092" s="187" t="str">
        <f t="shared" si="34"/>
        <v/>
      </c>
      <c r="AG2092" s="187" t="s">
        <v>1592</v>
      </c>
    </row>
    <row r="2093" spans="32:33">
      <c r="AF2093" s="187" t="str">
        <f t="shared" si="34"/>
        <v/>
      </c>
      <c r="AG2093" s="187" t="s">
        <v>1591</v>
      </c>
    </row>
    <row r="2094" spans="32:33">
      <c r="AF2094" s="187" t="str">
        <f t="shared" si="34"/>
        <v/>
      </c>
      <c r="AG2094" s="187" t="s">
        <v>1593</v>
      </c>
    </row>
    <row r="2095" spans="32:33">
      <c r="AF2095" s="187" t="str">
        <f t="shared" si="34"/>
        <v/>
      </c>
      <c r="AG2095" s="187" t="s">
        <v>1634</v>
      </c>
    </row>
    <row r="2096" spans="32:33">
      <c r="AF2096" s="187" t="str">
        <f t="shared" si="34"/>
        <v/>
      </c>
      <c r="AG2096" s="187" t="s">
        <v>1632</v>
      </c>
    </row>
    <row r="2097" spans="32:33">
      <c r="AF2097" s="187" t="str">
        <f t="shared" si="34"/>
        <v/>
      </c>
      <c r="AG2097" s="187" t="s">
        <v>1633</v>
      </c>
    </row>
    <row r="2098" spans="32:33">
      <c r="AF2098" s="187" t="str">
        <f t="shared" si="34"/>
        <v/>
      </c>
      <c r="AG2098" s="187" t="s">
        <v>1635</v>
      </c>
    </row>
    <row r="2099" spans="32:33">
      <c r="AF2099" s="187" t="str">
        <f t="shared" si="34"/>
        <v/>
      </c>
      <c r="AG2099" s="187" t="s">
        <v>1636</v>
      </c>
    </row>
    <row r="2100" spans="32:33">
      <c r="AF2100" s="187" t="str">
        <f t="shared" si="34"/>
        <v/>
      </c>
      <c r="AG2100" s="187" t="s">
        <v>1603</v>
      </c>
    </row>
    <row r="2101" spans="32:33">
      <c r="AF2101" s="187" t="str">
        <f t="shared" si="34"/>
        <v/>
      </c>
      <c r="AG2101" s="187" t="s">
        <v>1604</v>
      </c>
    </row>
    <row r="2102" spans="32:33">
      <c r="AF2102" s="187" t="str">
        <f t="shared" si="34"/>
        <v/>
      </c>
      <c r="AG2102" s="187" t="s">
        <v>1605</v>
      </c>
    </row>
    <row r="2103" spans="32:33">
      <c r="AF2103" s="187" t="str">
        <f t="shared" si="34"/>
        <v/>
      </c>
      <c r="AG2103" s="187" t="s">
        <v>1606</v>
      </c>
    </row>
    <row r="2104" spans="32:33">
      <c r="AF2104" s="187" t="str">
        <f t="shared" si="34"/>
        <v/>
      </c>
      <c r="AG2104" s="187" t="s">
        <v>1607</v>
      </c>
    </row>
    <row r="2105" spans="32:33">
      <c r="AF2105" s="187" t="str">
        <f t="shared" si="34"/>
        <v/>
      </c>
      <c r="AG2105" s="187" t="s">
        <v>1602</v>
      </c>
    </row>
    <row r="2106" spans="32:33">
      <c r="AF2106" s="187" t="str">
        <f t="shared" si="34"/>
        <v/>
      </c>
      <c r="AG2106" s="187" t="s">
        <v>1608</v>
      </c>
    </row>
    <row r="2107" spans="32:33">
      <c r="AF2107" s="187" t="str">
        <f t="shared" si="34"/>
        <v/>
      </c>
      <c r="AG2107" s="187" t="s">
        <v>1595</v>
      </c>
    </row>
    <row r="2108" spans="32:33">
      <c r="AF2108" s="187" t="str">
        <f t="shared" si="34"/>
        <v/>
      </c>
      <c r="AG2108" s="187" t="s">
        <v>1596</v>
      </c>
    </row>
    <row r="2109" spans="32:33">
      <c r="AF2109" s="187" t="str">
        <f t="shared" si="34"/>
        <v/>
      </c>
      <c r="AG2109" s="187" t="s">
        <v>1609</v>
      </c>
    </row>
    <row r="2110" spans="32:33">
      <c r="AF2110" s="187" t="str">
        <f t="shared" si="34"/>
        <v/>
      </c>
      <c r="AG2110" s="187" t="s">
        <v>1610</v>
      </c>
    </row>
    <row r="2111" spans="32:33">
      <c r="AF2111" s="187" t="str">
        <f t="shared" si="34"/>
        <v/>
      </c>
      <c r="AG2111" s="187" t="s">
        <v>1611</v>
      </c>
    </row>
    <row r="2112" spans="32:33">
      <c r="AF2112" s="187" t="str">
        <f t="shared" si="34"/>
        <v/>
      </c>
      <c r="AG2112" s="187" t="s">
        <v>1612</v>
      </c>
    </row>
    <row r="2113" spans="32:33">
      <c r="AF2113" s="187" t="str">
        <f t="shared" si="34"/>
        <v/>
      </c>
      <c r="AG2113" s="187" t="s">
        <v>1597</v>
      </c>
    </row>
    <row r="2114" spans="32:33">
      <c r="AF2114" s="187" t="str">
        <f t="shared" ref="AF2114:AF2177" si="35">IF(ISERROR(SEARCH($S$47,AG2114)),"",$S$48)</f>
        <v/>
      </c>
      <c r="AG2114" s="187" t="s">
        <v>1613</v>
      </c>
    </row>
    <row r="2115" spans="32:33">
      <c r="AF2115" s="187" t="str">
        <f t="shared" si="35"/>
        <v/>
      </c>
      <c r="AG2115" s="187" t="s">
        <v>1614</v>
      </c>
    </row>
    <row r="2116" spans="32:33">
      <c r="AF2116" s="187" t="str">
        <f t="shared" si="35"/>
        <v/>
      </c>
      <c r="AG2116" s="187" t="s">
        <v>1615</v>
      </c>
    </row>
    <row r="2117" spans="32:33">
      <c r="AF2117" s="187" t="str">
        <f t="shared" si="35"/>
        <v/>
      </c>
      <c r="AG2117" s="187" t="s">
        <v>1598</v>
      </c>
    </row>
    <row r="2118" spans="32:33">
      <c r="AF2118" s="187" t="str">
        <f t="shared" si="35"/>
        <v/>
      </c>
      <c r="AG2118" s="187" t="s">
        <v>1599</v>
      </c>
    </row>
    <row r="2119" spans="32:33">
      <c r="AF2119" s="187" t="str">
        <f t="shared" si="35"/>
        <v/>
      </c>
      <c r="AG2119" s="187" t="s">
        <v>1616</v>
      </c>
    </row>
    <row r="2120" spans="32:33">
      <c r="AF2120" s="187" t="str">
        <f t="shared" si="35"/>
        <v/>
      </c>
      <c r="AG2120" s="187" t="s">
        <v>1617</v>
      </c>
    </row>
    <row r="2121" spans="32:33">
      <c r="AF2121" s="187" t="str">
        <f t="shared" si="35"/>
        <v/>
      </c>
      <c r="AG2121" s="187" t="s">
        <v>1631</v>
      </c>
    </row>
    <row r="2122" spans="32:33">
      <c r="AF2122" s="187" t="str">
        <f t="shared" si="35"/>
        <v/>
      </c>
      <c r="AG2122" s="187" t="s">
        <v>1618</v>
      </c>
    </row>
    <row r="2123" spans="32:33">
      <c r="AF2123" s="187" t="str">
        <f t="shared" si="35"/>
        <v/>
      </c>
      <c r="AG2123" s="187" t="s">
        <v>1619</v>
      </c>
    </row>
    <row r="2124" spans="32:33">
      <c r="AF2124" s="187" t="str">
        <f t="shared" si="35"/>
        <v/>
      </c>
      <c r="AG2124" s="187" t="s">
        <v>1620</v>
      </c>
    </row>
    <row r="2125" spans="32:33">
      <c r="AF2125" s="187" t="str">
        <f t="shared" si="35"/>
        <v/>
      </c>
      <c r="AG2125" s="187" t="s">
        <v>1621</v>
      </c>
    </row>
    <row r="2126" spans="32:33">
      <c r="AF2126" s="187" t="str">
        <f t="shared" si="35"/>
        <v/>
      </c>
      <c r="AG2126" s="187" t="s">
        <v>1622</v>
      </c>
    </row>
    <row r="2127" spans="32:33">
      <c r="AF2127" s="187" t="str">
        <f t="shared" si="35"/>
        <v/>
      </c>
      <c r="AG2127" s="187" t="s">
        <v>1623</v>
      </c>
    </row>
    <row r="2128" spans="32:33">
      <c r="AF2128" s="187" t="str">
        <f t="shared" si="35"/>
        <v/>
      </c>
      <c r="AG2128" s="187" t="s">
        <v>1624</v>
      </c>
    </row>
    <row r="2129" spans="32:33">
      <c r="AF2129" s="187" t="str">
        <f t="shared" si="35"/>
        <v/>
      </c>
      <c r="AG2129" s="187" t="s">
        <v>1594</v>
      </c>
    </row>
    <row r="2130" spans="32:33">
      <c r="AF2130" s="187" t="str">
        <f t="shared" si="35"/>
        <v/>
      </c>
      <c r="AG2130" s="187" t="s">
        <v>1600</v>
      </c>
    </row>
    <row r="2131" spans="32:33">
      <c r="AF2131" s="187" t="str">
        <f t="shared" si="35"/>
        <v/>
      </c>
      <c r="AG2131" s="187" t="s">
        <v>1627</v>
      </c>
    </row>
    <row r="2132" spans="32:33">
      <c r="AF2132" s="187" t="str">
        <f t="shared" si="35"/>
        <v/>
      </c>
      <c r="AG2132" s="187" t="s">
        <v>1625</v>
      </c>
    </row>
    <row r="2133" spans="32:33">
      <c r="AF2133" s="187" t="str">
        <f t="shared" si="35"/>
        <v/>
      </c>
      <c r="AG2133" s="187" t="s">
        <v>1626</v>
      </c>
    </row>
    <row r="2134" spans="32:33">
      <c r="AF2134" s="187" t="str">
        <f t="shared" si="35"/>
        <v/>
      </c>
      <c r="AG2134" s="187" t="s">
        <v>1601</v>
      </c>
    </row>
    <row r="2135" spans="32:33">
      <c r="AF2135" s="187" t="str">
        <f t="shared" si="35"/>
        <v/>
      </c>
      <c r="AG2135" s="187" t="s">
        <v>1628</v>
      </c>
    </row>
    <row r="2136" spans="32:33">
      <c r="AF2136" s="187" t="str">
        <f t="shared" si="35"/>
        <v/>
      </c>
      <c r="AG2136" s="187" t="s">
        <v>1629</v>
      </c>
    </row>
    <row r="2137" spans="32:33">
      <c r="AF2137" s="187" t="str">
        <f t="shared" si="35"/>
        <v/>
      </c>
      <c r="AG2137" s="187" t="s">
        <v>1630</v>
      </c>
    </row>
    <row r="2138" spans="32:33">
      <c r="AF2138" s="187" t="str">
        <f t="shared" si="35"/>
        <v/>
      </c>
      <c r="AG2138" s="187" t="s">
        <v>1638</v>
      </c>
    </row>
    <row r="2139" spans="32:33">
      <c r="AF2139" s="187" t="str">
        <f t="shared" si="35"/>
        <v/>
      </c>
      <c r="AG2139" s="187" t="s">
        <v>1641</v>
      </c>
    </row>
    <row r="2140" spans="32:33">
      <c r="AF2140" s="187" t="str">
        <f t="shared" si="35"/>
        <v/>
      </c>
      <c r="AG2140" s="187" t="s">
        <v>1639</v>
      </c>
    </row>
    <row r="2141" spans="32:33">
      <c r="AF2141" s="187" t="str">
        <f t="shared" si="35"/>
        <v/>
      </c>
      <c r="AG2141" s="187" t="s">
        <v>1640</v>
      </c>
    </row>
    <row r="2142" spans="32:33">
      <c r="AF2142" s="187" t="str">
        <f t="shared" si="35"/>
        <v/>
      </c>
      <c r="AG2142" s="187" t="s">
        <v>1637</v>
      </c>
    </row>
    <row r="2143" spans="32:33">
      <c r="AF2143" s="187" t="str">
        <f t="shared" si="35"/>
        <v/>
      </c>
      <c r="AG2143" s="187" t="s">
        <v>1540</v>
      </c>
    </row>
    <row r="2144" spans="32:33">
      <c r="AF2144" s="187" t="str">
        <f t="shared" si="35"/>
        <v/>
      </c>
      <c r="AG2144" s="187" t="s">
        <v>1541</v>
      </c>
    </row>
    <row r="2145" spans="32:33">
      <c r="AF2145" s="187" t="str">
        <f t="shared" si="35"/>
        <v/>
      </c>
      <c r="AG2145" s="187" t="s">
        <v>1542</v>
      </c>
    </row>
    <row r="2146" spans="32:33">
      <c r="AF2146" s="187" t="str">
        <f t="shared" si="35"/>
        <v/>
      </c>
      <c r="AG2146" s="187" t="s">
        <v>1543</v>
      </c>
    </row>
    <row r="2147" spans="32:33">
      <c r="AF2147" s="187" t="str">
        <f t="shared" si="35"/>
        <v/>
      </c>
      <c r="AG2147" s="187" t="s">
        <v>1544</v>
      </c>
    </row>
    <row r="2148" spans="32:33">
      <c r="AF2148" s="187" t="str">
        <f t="shared" si="35"/>
        <v/>
      </c>
      <c r="AG2148" s="187" t="s">
        <v>1545</v>
      </c>
    </row>
    <row r="2149" spans="32:33">
      <c r="AF2149" s="187" t="str">
        <f t="shared" si="35"/>
        <v/>
      </c>
      <c r="AG2149" s="187" t="s">
        <v>1546</v>
      </c>
    </row>
    <row r="2150" spans="32:33">
      <c r="AF2150" s="187" t="str">
        <f t="shared" si="35"/>
        <v/>
      </c>
      <c r="AG2150" s="187" t="s">
        <v>1547</v>
      </c>
    </row>
    <row r="2151" spans="32:33">
      <c r="AF2151" s="187" t="str">
        <f t="shared" si="35"/>
        <v/>
      </c>
      <c r="AG2151" s="187" t="s">
        <v>1548</v>
      </c>
    </row>
    <row r="2152" spans="32:33">
      <c r="AF2152" s="187" t="str">
        <f t="shared" si="35"/>
        <v/>
      </c>
      <c r="AG2152" s="187" t="s">
        <v>1549</v>
      </c>
    </row>
    <row r="2153" spans="32:33">
      <c r="AF2153" s="187" t="str">
        <f t="shared" si="35"/>
        <v/>
      </c>
      <c r="AG2153" s="187" t="s">
        <v>1573</v>
      </c>
    </row>
    <row r="2154" spans="32:33">
      <c r="AF2154" s="187" t="str">
        <f t="shared" si="35"/>
        <v/>
      </c>
      <c r="AG2154" s="187" t="s">
        <v>1550</v>
      </c>
    </row>
    <row r="2155" spans="32:33">
      <c r="AF2155" s="187" t="str">
        <f t="shared" si="35"/>
        <v/>
      </c>
      <c r="AG2155" s="187" t="s">
        <v>1551</v>
      </c>
    </row>
    <row r="2156" spans="32:33">
      <c r="AF2156" s="187" t="str">
        <f t="shared" si="35"/>
        <v/>
      </c>
      <c r="AG2156" s="187" t="s">
        <v>1552</v>
      </c>
    </row>
    <row r="2157" spans="32:33">
      <c r="AF2157" s="187" t="str">
        <f t="shared" si="35"/>
        <v/>
      </c>
      <c r="AG2157" s="187" t="s">
        <v>1556</v>
      </c>
    </row>
    <row r="2158" spans="32:33">
      <c r="AF2158" s="187" t="str">
        <f t="shared" si="35"/>
        <v/>
      </c>
      <c r="AG2158" s="187" t="s">
        <v>1553</v>
      </c>
    </row>
    <row r="2159" spans="32:33">
      <c r="AF2159" s="187" t="str">
        <f t="shared" si="35"/>
        <v/>
      </c>
      <c r="AG2159" s="187" t="s">
        <v>1554</v>
      </c>
    </row>
    <row r="2160" spans="32:33">
      <c r="AF2160" s="187" t="str">
        <f t="shared" si="35"/>
        <v/>
      </c>
      <c r="AG2160" s="187" t="s">
        <v>1555</v>
      </c>
    </row>
    <row r="2161" spans="32:33">
      <c r="AF2161" s="187" t="str">
        <f t="shared" si="35"/>
        <v/>
      </c>
      <c r="AG2161" s="187" t="s">
        <v>1575</v>
      </c>
    </row>
    <row r="2162" spans="32:33">
      <c r="AF2162" s="187" t="str">
        <f t="shared" si="35"/>
        <v/>
      </c>
      <c r="AG2162" s="187" t="s">
        <v>1557</v>
      </c>
    </row>
    <row r="2163" spans="32:33">
      <c r="AF2163" s="187" t="str">
        <f t="shared" si="35"/>
        <v/>
      </c>
      <c r="AG2163" s="187" t="s">
        <v>1558</v>
      </c>
    </row>
    <row r="2164" spans="32:33">
      <c r="AF2164" s="187" t="str">
        <f t="shared" si="35"/>
        <v/>
      </c>
      <c r="AG2164" s="187" t="s">
        <v>1559</v>
      </c>
    </row>
    <row r="2165" spans="32:33">
      <c r="AF2165" s="187" t="str">
        <f t="shared" si="35"/>
        <v/>
      </c>
      <c r="AG2165" s="187" t="s">
        <v>1560</v>
      </c>
    </row>
    <row r="2166" spans="32:33">
      <c r="AF2166" s="187" t="str">
        <f t="shared" si="35"/>
        <v/>
      </c>
      <c r="AG2166" s="187" t="s">
        <v>1561</v>
      </c>
    </row>
    <row r="2167" spans="32:33">
      <c r="AF2167" s="187" t="str">
        <f t="shared" si="35"/>
        <v/>
      </c>
      <c r="AG2167" s="187" t="s">
        <v>1562</v>
      </c>
    </row>
    <row r="2168" spans="32:33">
      <c r="AF2168" s="187" t="str">
        <f t="shared" si="35"/>
        <v/>
      </c>
      <c r="AG2168" s="187" t="s">
        <v>1563</v>
      </c>
    </row>
    <row r="2169" spans="32:33">
      <c r="AF2169" s="187" t="str">
        <f t="shared" si="35"/>
        <v/>
      </c>
      <c r="AG2169" s="187" t="s">
        <v>1564</v>
      </c>
    </row>
    <row r="2170" spans="32:33">
      <c r="AF2170" s="187" t="str">
        <f t="shared" si="35"/>
        <v/>
      </c>
      <c r="AG2170" s="187" t="s">
        <v>1565</v>
      </c>
    </row>
    <row r="2171" spans="32:33">
      <c r="AF2171" s="187" t="str">
        <f t="shared" si="35"/>
        <v/>
      </c>
      <c r="AG2171" s="187" t="s">
        <v>1566</v>
      </c>
    </row>
    <row r="2172" spans="32:33">
      <c r="AF2172" s="187" t="str">
        <f t="shared" si="35"/>
        <v/>
      </c>
      <c r="AG2172" s="187" t="s">
        <v>1567</v>
      </c>
    </row>
    <row r="2173" spans="32:33">
      <c r="AF2173" s="187" t="str">
        <f t="shared" si="35"/>
        <v/>
      </c>
      <c r="AG2173" s="187" t="s">
        <v>1574</v>
      </c>
    </row>
    <row r="2174" spans="32:33">
      <c r="AF2174" s="187" t="str">
        <f t="shared" si="35"/>
        <v/>
      </c>
      <c r="AG2174" s="187" t="s">
        <v>1568</v>
      </c>
    </row>
    <row r="2175" spans="32:33">
      <c r="AF2175" s="187" t="str">
        <f t="shared" si="35"/>
        <v/>
      </c>
      <c r="AG2175" s="187" t="s">
        <v>1569</v>
      </c>
    </row>
    <row r="2176" spans="32:33">
      <c r="AF2176" s="187" t="str">
        <f t="shared" si="35"/>
        <v/>
      </c>
      <c r="AG2176" s="187" t="s">
        <v>1570</v>
      </c>
    </row>
    <row r="2177" spans="32:33">
      <c r="AF2177" s="187" t="str">
        <f t="shared" si="35"/>
        <v/>
      </c>
      <c r="AG2177" s="187" t="s">
        <v>1571</v>
      </c>
    </row>
    <row r="2178" spans="32:33">
      <c r="AF2178" s="187" t="str">
        <f t="shared" ref="AF2178:AF2241" si="36">IF(ISERROR(SEARCH($S$47,AG2178)),"",$S$48)</f>
        <v/>
      </c>
      <c r="AG2178" s="187" t="s">
        <v>1572</v>
      </c>
    </row>
    <row r="2179" spans="32:33">
      <c r="AF2179" s="187" t="str">
        <f t="shared" si="36"/>
        <v/>
      </c>
      <c r="AG2179" s="187" t="s">
        <v>3625</v>
      </c>
    </row>
    <row r="2180" spans="32:33">
      <c r="AF2180" s="187" t="str">
        <f t="shared" si="36"/>
        <v/>
      </c>
      <c r="AG2180" s="187" t="s">
        <v>3626</v>
      </c>
    </row>
    <row r="2181" spans="32:33">
      <c r="AF2181" s="187" t="str">
        <f t="shared" si="36"/>
        <v/>
      </c>
      <c r="AG2181" s="187" t="s">
        <v>3627</v>
      </c>
    </row>
    <row r="2182" spans="32:33">
      <c r="AF2182" s="187" t="str">
        <f t="shared" si="36"/>
        <v/>
      </c>
      <c r="AG2182" s="187" t="s">
        <v>3629</v>
      </c>
    </row>
    <row r="2183" spans="32:33">
      <c r="AF2183" s="187" t="str">
        <f t="shared" si="36"/>
        <v/>
      </c>
      <c r="AG2183" s="187" t="s">
        <v>3630</v>
      </c>
    </row>
    <row r="2184" spans="32:33">
      <c r="AF2184" s="187" t="str">
        <f t="shared" si="36"/>
        <v/>
      </c>
      <c r="AG2184" s="187" t="s">
        <v>3631</v>
      </c>
    </row>
    <row r="2185" spans="32:33">
      <c r="AF2185" s="187" t="str">
        <f t="shared" si="36"/>
        <v/>
      </c>
      <c r="AG2185" s="187" t="s">
        <v>3628</v>
      </c>
    </row>
    <row r="2186" spans="32:33">
      <c r="AF2186" s="187" t="str">
        <f t="shared" si="36"/>
        <v/>
      </c>
      <c r="AG2186" s="187" t="s">
        <v>3632</v>
      </c>
    </row>
    <row r="2187" spans="32:33">
      <c r="AF2187" s="187" t="str">
        <f t="shared" si="36"/>
        <v/>
      </c>
      <c r="AG2187" s="187" t="s">
        <v>2895</v>
      </c>
    </row>
    <row r="2188" spans="32:33">
      <c r="AF2188" s="187" t="str">
        <f t="shared" si="36"/>
        <v/>
      </c>
      <c r="AG2188" s="187" t="s">
        <v>2896</v>
      </c>
    </row>
    <row r="2189" spans="32:33">
      <c r="AF2189" s="187" t="str">
        <f t="shared" si="36"/>
        <v/>
      </c>
      <c r="AG2189" s="187" t="s">
        <v>2897</v>
      </c>
    </row>
    <row r="2190" spans="32:33">
      <c r="AF2190" s="187" t="str">
        <f t="shared" si="36"/>
        <v/>
      </c>
      <c r="AG2190" s="187" t="s">
        <v>2898</v>
      </c>
    </row>
    <row r="2191" spans="32:33">
      <c r="AF2191" s="187" t="str">
        <f t="shared" si="36"/>
        <v/>
      </c>
      <c r="AG2191" s="187" t="s">
        <v>2899</v>
      </c>
    </row>
    <row r="2192" spans="32:33">
      <c r="AF2192" s="187" t="str">
        <f t="shared" si="36"/>
        <v/>
      </c>
      <c r="AG2192" s="187" t="s">
        <v>2900</v>
      </c>
    </row>
    <row r="2193" spans="32:33">
      <c r="AF2193" s="187" t="str">
        <f t="shared" si="36"/>
        <v/>
      </c>
      <c r="AG2193" s="187" t="s">
        <v>2901</v>
      </c>
    </row>
    <row r="2194" spans="32:33">
      <c r="AF2194" s="187" t="str">
        <f t="shared" si="36"/>
        <v/>
      </c>
      <c r="AG2194" s="187" t="s">
        <v>2902</v>
      </c>
    </row>
    <row r="2195" spans="32:33">
      <c r="AF2195" s="187" t="str">
        <f t="shared" si="36"/>
        <v/>
      </c>
      <c r="AG2195" s="187" t="s">
        <v>2903</v>
      </c>
    </row>
    <row r="2196" spans="32:33">
      <c r="AF2196" s="187" t="str">
        <f t="shared" si="36"/>
        <v/>
      </c>
      <c r="AG2196" s="187" t="s">
        <v>2904</v>
      </c>
    </row>
    <row r="2197" spans="32:33">
      <c r="AF2197" s="187" t="str">
        <f t="shared" si="36"/>
        <v/>
      </c>
      <c r="AG2197" s="187" t="s">
        <v>2905</v>
      </c>
    </row>
    <row r="2198" spans="32:33">
      <c r="AF2198" s="187" t="str">
        <f t="shared" si="36"/>
        <v/>
      </c>
      <c r="AG2198" s="187" t="s">
        <v>2906</v>
      </c>
    </row>
    <row r="2199" spans="32:33">
      <c r="AF2199" s="187" t="str">
        <f t="shared" si="36"/>
        <v/>
      </c>
      <c r="AG2199" s="187" t="s">
        <v>2907</v>
      </c>
    </row>
    <row r="2200" spans="32:33">
      <c r="AF2200" s="187" t="str">
        <f t="shared" si="36"/>
        <v/>
      </c>
      <c r="AG2200" s="187" t="s">
        <v>2908</v>
      </c>
    </row>
    <row r="2201" spans="32:33">
      <c r="AF2201" s="187" t="str">
        <f t="shared" si="36"/>
        <v/>
      </c>
      <c r="AG2201" s="187" t="s">
        <v>2909</v>
      </c>
    </row>
    <row r="2202" spans="32:33">
      <c r="AF2202" s="187" t="str">
        <f t="shared" si="36"/>
        <v/>
      </c>
      <c r="AG2202" s="187" t="s">
        <v>2910</v>
      </c>
    </row>
    <row r="2203" spans="32:33">
      <c r="AF2203" s="187" t="str">
        <f t="shared" si="36"/>
        <v/>
      </c>
      <c r="AG2203" s="187" t="s">
        <v>2911</v>
      </c>
    </row>
    <row r="2204" spans="32:33">
      <c r="AF2204" s="187" t="str">
        <f t="shared" si="36"/>
        <v/>
      </c>
      <c r="AG2204" s="187" t="s">
        <v>2912</v>
      </c>
    </row>
    <row r="2205" spans="32:33">
      <c r="AF2205" s="187" t="str">
        <f t="shared" si="36"/>
        <v/>
      </c>
      <c r="AG2205" s="187" t="s">
        <v>2913</v>
      </c>
    </row>
    <row r="2206" spans="32:33">
      <c r="AF2206" s="187" t="str">
        <f t="shared" si="36"/>
        <v/>
      </c>
      <c r="AG2206" s="187" t="s">
        <v>2914</v>
      </c>
    </row>
    <row r="2207" spans="32:33">
      <c r="AF2207" s="187" t="str">
        <f t="shared" si="36"/>
        <v/>
      </c>
      <c r="AG2207" s="187" t="s">
        <v>2915</v>
      </c>
    </row>
    <row r="2208" spans="32:33">
      <c r="AF2208" s="187" t="str">
        <f t="shared" si="36"/>
        <v/>
      </c>
      <c r="AG2208" s="187" t="s">
        <v>2916</v>
      </c>
    </row>
    <row r="2209" spans="32:33">
      <c r="AF2209" s="187" t="str">
        <f t="shared" si="36"/>
        <v/>
      </c>
      <c r="AG2209" s="187" t="s">
        <v>2917</v>
      </c>
    </row>
    <row r="2210" spans="32:33">
      <c r="AF2210" s="187" t="str">
        <f t="shared" si="36"/>
        <v/>
      </c>
      <c r="AG2210" s="187" t="s">
        <v>2918</v>
      </c>
    </row>
    <row r="2211" spans="32:33">
      <c r="AF2211" s="187" t="str">
        <f t="shared" si="36"/>
        <v/>
      </c>
      <c r="AG2211" s="187" t="s">
        <v>2919</v>
      </c>
    </row>
    <row r="2212" spans="32:33">
      <c r="AF2212" s="187" t="str">
        <f t="shared" si="36"/>
        <v/>
      </c>
      <c r="AG2212" s="187" t="s">
        <v>1476</v>
      </c>
    </row>
    <row r="2213" spans="32:33">
      <c r="AF2213" s="187" t="str">
        <f t="shared" si="36"/>
        <v/>
      </c>
      <c r="AG2213" s="187" t="s">
        <v>1442</v>
      </c>
    </row>
    <row r="2214" spans="32:33">
      <c r="AF2214" s="187" t="str">
        <f t="shared" si="36"/>
        <v/>
      </c>
      <c r="AG2214" s="187" t="s">
        <v>1463</v>
      </c>
    </row>
    <row r="2215" spans="32:33">
      <c r="AF2215" s="187" t="str">
        <f t="shared" si="36"/>
        <v/>
      </c>
      <c r="AG2215" s="187" t="s">
        <v>1432</v>
      </c>
    </row>
    <row r="2216" spans="32:33">
      <c r="AF2216" s="187" t="str">
        <f t="shared" si="36"/>
        <v/>
      </c>
      <c r="AG2216" s="187" t="s">
        <v>1502</v>
      </c>
    </row>
    <row r="2217" spans="32:33">
      <c r="AF2217" s="187" t="str">
        <f t="shared" si="36"/>
        <v/>
      </c>
      <c r="AG2217" s="187" t="s">
        <v>1528</v>
      </c>
    </row>
    <row r="2218" spans="32:33">
      <c r="AF2218" s="187" t="str">
        <f t="shared" si="36"/>
        <v/>
      </c>
      <c r="AG2218" s="187" t="s">
        <v>1445</v>
      </c>
    </row>
    <row r="2219" spans="32:33">
      <c r="AF2219" s="187" t="str">
        <f t="shared" si="36"/>
        <v/>
      </c>
      <c r="AG2219" s="187" t="s">
        <v>1501</v>
      </c>
    </row>
    <row r="2220" spans="32:33">
      <c r="AF2220" s="187" t="str">
        <f t="shared" si="36"/>
        <v/>
      </c>
      <c r="AG2220" s="187" t="s">
        <v>1462</v>
      </c>
    </row>
    <row r="2221" spans="32:33">
      <c r="AF2221" s="187" t="str">
        <f t="shared" si="36"/>
        <v/>
      </c>
      <c r="AG2221" s="187" t="s">
        <v>1519</v>
      </c>
    </row>
    <row r="2222" spans="32:33">
      <c r="AF2222" s="187" t="str">
        <f t="shared" si="36"/>
        <v/>
      </c>
      <c r="AG2222" s="187" t="s">
        <v>1522</v>
      </c>
    </row>
    <row r="2223" spans="32:33">
      <c r="AF2223" s="187" t="str">
        <f t="shared" si="36"/>
        <v/>
      </c>
      <c r="AG2223" s="187" t="s">
        <v>1539</v>
      </c>
    </row>
    <row r="2224" spans="32:33">
      <c r="AF2224" s="187" t="str">
        <f t="shared" si="36"/>
        <v/>
      </c>
      <c r="AG2224" s="187" t="s">
        <v>1536</v>
      </c>
    </row>
    <row r="2225" spans="32:33">
      <c r="AF2225" s="187" t="str">
        <f t="shared" si="36"/>
        <v/>
      </c>
      <c r="AG2225" s="187" t="s">
        <v>1488</v>
      </c>
    </row>
    <row r="2226" spans="32:33">
      <c r="AF2226" s="187" t="str">
        <f t="shared" si="36"/>
        <v/>
      </c>
      <c r="AG2226" s="187" t="s">
        <v>1479</v>
      </c>
    </row>
    <row r="2227" spans="32:33">
      <c r="AF2227" s="187" t="str">
        <f t="shared" si="36"/>
        <v/>
      </c>
      <c r="AG2227" s="187" t="s">
        <v>1470</v>
      </c>
    </row>
    <row r="2228" spans="32:33">
      <c r="AF2228" s="187" t="str">
        <f t="shared" si="36"/>
        <v/>
      </c>
      <c r="AG2228" s="187" t="s">
        <v>1515</v>
      </c>
    </row>
    <row r="2229" spans="32:33">
      <c r="AF2229" s="187" t="str">
        <f t="shared" si="36"/>
        <v/>
      </c>
      <c r="AG2229" s="187" t="s">
        <v>1490</v>
      </c>
    </row>
    <row r="2230" spans="32:33">
      <c r="AF2230" s="187" t="str">
        <f t="shared" si="36"/>
        <v/>
      </c>
      <c r="AG2230" s="187" t="s">
        <v>1461</v>
      </c>
    </row>
    <row r="2231" spans="32:33">
      <c r="AF2231" s="187" t="str">
        <f t="shared" si="36"/>
        <v/>
      </c>
      <c r="AG2231" s="187" t="s">
        <v>1510</v>
      </c>
    </row>
    <row r="2232" spans="32:33">
      <c r="AF2232" s="187" t="str">
        <f t="shared" si="36"/>
        <v/>
      </c>
      <c r="AG2232" s="187" t="s">
        <v>1475</v>
      </c>
    </row>
    <row r="2233" spans="32:33">
      <c r="AF2233" s="187" t="str">
        <f t="shared" si="36"/>
        <v/>
      </c>
      <c r="AG2233" s="187" t="s">
        <v>1444</v>
      </c>
    </row>
    <row r="2234" spans="32:33">
      <c r="AF2234" s="187" t="str">
        <f t="shared" si="36"/>
        <v/>
      </c>
      <c r="AG2234" s="187" t="s">
        <v>1509</v>
      </c>
    </row>
    <row r="2235" spans="32:33">
      <c r="AF2235" s="187" t="str">
        <f t="shared" si="36"/>
        <v/>
      </c>
      <c r="AG2235" s="187" t="s">
        <v>1500</v>
      </c>
    </row>
    <row r="2236" spans="32:33">
      <c r="AF2236" s="187" t="str">
        <f t="shared" si="36"/>
        <v/>
      </c>
      <c r="AG2236" s="187" t="s">
        <v>1499</v>
      </c>
    </row>
    <row r="2237" spans="32:33">
      <c r="AF2237" s="187" t="str">
        <f t="shared" si="36"/>
        <v/>
      </c>
      <c r="AG2237" s="187" t="s">
        <v>1443</v>
      </c>
    </row>
    <row r="2238" spans="32:33">
      <c r="AF2238" s="187" t="str">
        <f t="shared" si="36"/>
        <v/>
      </c>
      <c r="AG2238" s="187" t="s">
        <v>1486</v>
      </c>
    </row>
    <row r="2239" spans="32:33">
      <c r="AF2239" s="187" t="str">
        <f t="shared" si="36"/>
        <v/>
      </c>
      <c r="AG2239" s="187" t="s">
        <v>1514</v>
      </c>
    </row>
    <row r="2240" spans="32:33">
      <c r="AF2240" s="187" t="str">
        <f t="shared" si="36"/>
        <v/>
      </c>
      <c r="AG2240" s="187" t="s">
        <v>1538</v>
      </c>
    </row>
    <row r="2241" spans="32:33">
      <c r="AF2241" s="187" t="str">
        <f t="shared" si="36"/>
        <v/>
      </c>
      <c r="AG2241" s="187" t="s">
        <v>1437</v>
      </c>
    </row>
    <row r="2242" spans="32:33">
      <c r="AF2242" s="187" t="str">
        <f t="shared" ref="AF2242:AF2305" si="37">IF(ISERROR(SEARCH($S$47,AG2242)),"",$S$48)</f>
        <v/>
      </c>
      <c r="AG2242" s="187" t="s">
        <v>1489</v>
      </c>
    </row>
    <row r="2243" spans="32:33">
      <c r="AF2243" s="187" t="str">
        <f t="shared" si="37"/>
        <v/>
      </c>
      <c r="AG2243" s="187" t="s">
        <v>1498</v>
      </c>
    </row>
    <row r="2244" spans="32:33">
      <c r="AF2244" s="187" t="str">
        <f t="shared" si="37"/>
        <v/>
      </c>
      <c r="AG2244" s="187" t="s">
        <v>1460</v>
      </c>
    </row>
    <row r="2245" spans="32:33">
      <c r="AF2245" s="187" t="str">
        <f t="shared" si="37"/>
        <v/>
      </c>
      <c r="AG2245" s="187" t="s">
        <v>1459</v>
      </c>
    </row>
    <row r="2246" spans="32:33">
      <c r="AF2246" s="187" t="str">
        <f t="shared" si="37"/>
        <v/>
      </c>
      <c r="AG2246" s="187" t="s">
        <v>1497</v>
      </c>
    </row>
    <row r="2247" spans="32:33">
      <c r="AF2247" s="187" t="str">
        <f t="shared" si="37"/>
        <v/>
      </c>
      <c r="AG2247" s="187" t="s">
        <v>1469</v>
      </c>
    </row>
    <row r="2248" spans="32:33">
      <c r="AF2248" s="187" t="str">
        <f t="shared" si="37"/>
        <v/>
      </c>
      <c r="AG2248" s="187" t="s">
        <v>1513</v>
      </c>
    </row>
    <row r="2249" spans="32:33">
      <c r="AF2249" s="187" t="str">
        <f t="shared" si="37"/>
        <v/>
      </c>
      <c r="AG2249" s="187" t="s">
        <v>1441</v>
      </c>
    </row>
    <row r="2250" spans="32:33">
      <c r="AF2250" s="187" t="str">
        <f t="shared" si="37"/>
        <v/>
      </c>
      <c r="AG2250" s="187" t="s">
        <v>1537</v>
      </c>
    </row>
    <row r="2251" spans="32:33">
      <c r="AF2251" s="187" t="str">
        <f t="shared" si="37"/>
        <v/>
      </c>
      <c r="AG2251" s="187" t="s">
        <v>1534</v>
      </c>
    </row>
    <row r="2252" spans="32:33">
      <c r="AF2252" s="187" t="str">
        <f t="shared" si="37"/>
        <v/>
      </c>
      <c r="AG2252" s="187" t="s">
        <v>1433</v>
      </c>
    </row>
    <row r="2253" spans="32:33">
      <c r="AF2253" s="187" t="str">
        <f t="shared" si="37"/>
        <v/>
      </c>
      <c r="AG2253" s="187" t="s">
        <v>1496</v>
      </c>
    </row>
    <row r="2254" spans="32:33">
      <c r="AF2254" s="187" t="str">
        <f t="shared" si="37"/>
        <v/>
      </c>
      <c r="AG2254" s="187" t="s">
        <v>1527</v>
      </c>
    </row>
    <row r="2255" spans="32:33">
      <c r="AF2255" s="187" t="str">
        <f t="shared" si="37"/>
        <v/>
      </c>
      <c r="AG2255" s="187" t="s">
        <v>1533</v>
      </c>
    </row>
    <row r="2256" spans="32:33">
      <c r="AF2256" s="187" t="str">
        <f t="shared" si="37"/>
        <v/>
      </c>
      <c r="AG2256" s="187" t="s">
        <v>1481</v>
      </c>
    </row>
    <row r="2257" spans="32:33">
      <c r="AF2257" s="187" t="str">
        <f t="shared" si="37"/>
        <v/>
      </c>
      <c r="AG2257" s="187" t="s">
        <v>1518</v>
      </c>
    </row>
    <row r="2258" spans="32:33">
      <c r="AF2258" s="187" t="str">
        <f t="shared" si="37"/>
        <v/>
      </c>
      <c r="AG2258" s="187" t="s">
        <v>1495</v>
      </c>
    </row>
    <row r="2259" spans="32:33">
      <c r="AF2259" s="187" t="str">
        <f t="shared" si="37"/>
        <v/>
      </c>
      <c r="AG2259" s="187" t="s">
        <v>1440</v>
      </c>
    </row>
    <row r="2260" spans="32:33">
      <c r="AF2260" s="187" t="str">
        <f t="shared" si="37"/>
        <v/>
      </c>
      <c r="AG2260" s="187" t="s">
        <v>1525</v>
      </c>
    </row>
    <row r="2261" spans="32:33">
      <c r="AF2261" s="187" t="str">
        <f t="shared" si="37"/>
        <v/>
      </c>
      <c r="AG2261" s="187" t="s">
        <v>1524</v>
      </c>
    </row>
    <row r="2262" spans="32:33">
      <c r="AF2262" s="187" t="str">
        <f t="shared" si="37"/>
        <v/>
      </c>
      <c r="AG2262" s="187" t="s">
        <v>1483</v>
      </c>
    </row>
    <row r="2263" spans="32:33">
      <c r="AF2263" s="187" t="str">
        <f t="shared" si="37"/>
        <v/>
      </c>
      <c r="AG2263" s="187" t="s">
        <v>1458</v>
      </c>
    </row>
    <row r="2264" spans="32:33">
      <c r="AF2264" s="187" t="str">
        <f t="shared" si="37"/>
        <v/>
      </c>
      <c r="AG2264" s="187" t="s">
        <v>1457</v>
      </c>
    </row>
    <row r="2265" spans="32:33">
      <c r="AF2265" s="187" t="str">
        <f t="shared" si="37"/>
        <v/>
      </c>
      <c r="AG2265" s="187" t="s">
        <v>1523</v>
      </c>
    </row>
    <row r="2266" spans="32:33">
      <c r="AF2266" s="187" t="str">
        <f t="shared" si="37"/>
        <v/>
      </c>
      <c r="AG2266" s="187" t="s">
        <v>1436</v>
      </c>
    </row>
    <row r="2267" spans="32:33">
      <c r="AF2267" s="187" t="str">
        <f t="shared" si="37"/>
        <v/>
      </c>
      <c r="AG2267" s="187" t="s">
        <v>1472</v>
      </c>
    </row>
    <row r="2268" spans="32:33">
      <c r="AF2268" s="187" t="str">
        <f t="shared" si="37"/>
        <v/>
      </c>
      <c r="AG2268" s="187" t="s">
        <v>1505</v>
      </c>
    </row>
    <row r="2269" spans="32:33">
      <c r="AF2269" s="187" t="str">
        <f t="shared" si="37"/>
        <v/>
      </c>
      <c r="AG2269" s="187" t="s">
        <v>1465</v>
      </c>
    </row>
    <row r="2270" spans="32:33">
      <c r="AF2270" s="187" t="str">
        <f t="shared" si="37"/>
        <v/>
      </c>
      <c r="AG2270" s="187" t="s">
        <v>1468</v>
      </c>
    </row>
    <row r="2271" spans="32:33">
      <c r="AF2271" s="187" t="str">
        <f t="shared" si="37"/>
        <v/>
      </c>
      <c r="AG2271" s="187" t="s">
        <v>1532</v>
      </c>
    </row>
    <row r="2272" spans="32:33">
      <c r="AF2272" s="187" t="str">
        <f t="shared" si="37"/>
        <v/>
      </c>
      <c r="AG2272" s="187" t="s">
        <v>1471</v>
      </c>
    </row>
    <row r="2273" spans="32:33">
      <c r="AF2273" s="187" t="str">
        <f t="shared" si="37"/>
        <v/>
      </c>
      <c r="AG2273" s="187" t="s">
        <v>1485</v>
      </c>
    </row>
    <row r="2274" spans="32:33">
      <c r="AF2274" s="187" t="str">
        <f t="shared" si="37"/>
        <v/>
      </c>
      <c r="AG2274" s="187" t="s">
        <v>1456</v>
      </c>
    </row>
    <row r="2275" spans="32:33">
      <c r="AF2275" s="187" t="str">
        <f t="shared" si="37"/>
        <v/>
      </c>
      <c r="AG2275" s="187" t="s">
        <v>1504</v>
      </c>
    </row>
    <row r="2276" spans="32:33">
      <c r="AF2276" s="187" t="str">
        <f t="shared" si="37"/>
        <v/>
      </c>
      <c r="AG2276" s="187" t="s">
        <v>1521</v>
      </c>
    </row>
    <row r="2277" spans="32:33">
      <c r="AF2277" s="187" t="str">
        <f t="shared" si="37"/>
        <v/>
      </c>
      <c r="AG2277" s="187" t="s">
        <v>1503</v>
      </c>
    </row>
    <row r="2278" spans="32:33">
      <c r="AF2278" s="187" t="str">
        <f t="shared" si="37"/>
        <v/>
      </c>
      <c r="AG2278" s="187" t="s">
        <v>1478</v>
      </c>
    </row>
    <row r="2279" spans="32:33">
      <c r="AF2279" s="187" t="str">
        <f t="shared" si="37"/>
        <v/>
      </c>
      <c r="AG2279" s="187" t="s">
        <v>1480</v>
      </c>
    </row>
    <row r="2280" spans="32:33">
      <c r="AF2280" s="187" t="str">
        <f t="shared" si="37"/>
        <v/>
      </c>
      <c r="AG2280" s="187" t="s">
        <v>1492</v>
      </c>
    </row>
    <row r="2281" spans="32:33">
      <c r="AF2281" s="187" t="str">
        <f t="shared" si="37"/>
        <v/>
      </c>
      <c r="AG2281" s="187" t="s">
        <v>1455</v>
      </c>
    </row>
    <row r="2282" spans="32:33">
      <c r="AF2282" s="187" t="str">
        <f t="shared" si="37"/>
        <v/>
      </c>
      <c r="AG2282" s="187" t="s">
        <v>1517</v>
      </c>
    </row>
    <row r="2283" spans="32:33">
      <c r="AF2283" s="187" t="str">
        <f t="shared" si="37"/>
        <v/>
      </c>
      <c r="AG2283" s="187" t="s">
        <v>1454</v>
      </c>
    </row>
    <row r="2284" spans="32:33">
      <c r="AF2284" s="187" t="str">
        <f t="shared" si="37"/>
        <v/>
      </c>
      <c r="AG2284" s="187" t="s">
        <v>1508</v>
      </c>
    </row>
    <row r="2285" spans="32:33">
      <c r="AF2285" s="187" t="str">
        <f t="shared" si="37"/>
        <v/>
      </c>
      <c r="AG2285" s="187" t="s">
        <v>1482</v>
      </c>
    </row>
    <row r="2286" spans="32:33">
      <c r="AF2286" s="187" t="str">
        <f t="shared" si="37"/>
        <v/>
      </c>
      <c r="AG2286" s="187" t="s">
        <v>1531</v>
      </c>
    </row>
    <row r="2287" spans="32:33">
      <c r="AF2287" s="187" t="str">
        <f t="shared" si="37"/>
        <v/>
      </c>
      <c r="AG2287" s="187" t="s">
        <v>1439</v>
      </c>
    </row>
    <row r="2288" spans="32:33">
      <c r="AF2288" s="187" t="str">
        <f t="shared" si="37"/>
        <v/>
      </c>
      <c r="AG2288" s="187" t="s">
        <v>1506</v>
      </c>
    </row>
    <row r="2289" spans="32:33">
      <c r="AF2289" s="187" t="str">
        <f t="shared" si="37"/>
        <v/>
      </c>
      <c r="AG2289" s="187" t="s">
        <v>1467</v>
      </c>
    </row>
    <row r="2290" spans="32:33">
      <c r="AF2290" s="187" t="str">
        <f t="shared" si="37"/>
        <v/>
      </c>
      <c r="AG2290" s="187" t="s">
        <v>1473</v>
      </c>
    </row>
    <row r="2291" spans="32:33">
      <c r="AF2291" s="187" t="str">
        <f t="shared" si="37"/>
        <v/>
      </c>
      <c r="AG2291" s="187" t="s">
        <v>1494</v>
      </c>
    </row>
    <row r="2292" spans="32:33">
      <c r="AF2292" s="187" t="str">
        <f t="shared" si="37"/>
        <v/>
      </c>
      <c r="AG2292" s="187" t="s">
        <v>1435</v>
      </c>
    </row>
    <row r="2293" spans="32:33">
      <c r="AF2293" s="187" t="str">
        <f t="shared" si="37"/>
        <v/>
      </c>
      <c r="AG2293" s="187" t="s">
        <v>1512</v>
      </c>
    </row>
    <row r="2294" spans="32:33">
      <c r="AF2294" s="187" t="str">
        <f t="shared" si="37"/>
        <v/>
      </c>
      <c r="AG2294" s="187" t="s">
        <v>1438</v>
      </c>
    </row>
    <row r="2295" spans="32:33">
      <c r="AF2295" s="187" t="str">
        <f t="shared" si="37"/>
        <v/>
      </c>
      <c r="AG2295" s="187" t="s">
        <v>1453</v>
      </c>
    </row>
    <row r="2296" spans="32:33">
      <c r="AF2296" s="187" t="str">
        <f t="shared" si="37"/>
        <v/>
      </c>
      <c r="AG2296" s="187" t="s">
        <v>1477</v>
      </c>
    </row>
    <row r="2297" spans="32:33">
      <c r="AF2297" s="187" t="str">
        <f t="shared" si="37"/>
        <v/>
      </c>
      <c r="AG2297" s="187" t="s">
        <v>1452</v>
      </c>
    </row>
    <row r="2298" spans="32:33">
      <c r="AF2298" s="187" t="str">
        <f t="shared" si="37"/>
        <v/>
      </c>
      <c r="AG2298" s="187" t="s">
        <v>1516</v>
      </c>
    </row>
    <row r="2299" spans="32:33">
      <c r="AF2299" s="187" t="str">
        <f t="shared" si="37"/>
        <v/>
      </c>
      <c r="AG2299" s="187" t="s">
        <v>1484</v>
      </c>
    </row>
    <row r="2300" spans="32:33">
      <c r="AF2300" s="187" t="str">
        <f t="shared" si="37"/>
        <v/>
      </c>
      <c r="AG2300" s="187" t="s">
        <v>1530</v>
      </c>
    </row>
    <row r="2301" spans="32:33">
      <c r="AF2301" s="187" t="str">
        <f t="shared" si="37"/>
        <v/>
      </c>
      <c r="AG2301" s="187" t="s">
        <v>1493</v>
      </c>
    </row>
    <row r="2302" spans="32:33">
      <c r="AF2302" s="187" t="str">
        <f t="shared" si="37"/>
        <v/>
      </c>
      <c r="AG2302" s="187" t="s">
        <v>1451</v>
      </c>
    </row>
    <row r="2303" spans="32:33">
      <c r="AF2303" s="187" t="str">
        <f t="shared" si="37"/>
        <v/>
      </c>
      <c r="AG2303" s="187" t="s">
        <v>1450</v>
      </c>
    </row>
    <row r="2304" spans="32:33">
      <c r="AF2304" s="187" t="str">
        <f t="shared" si="37"/>
        <v/>
      </c>
      <c r="AG2304" s="187" t="s">
        <v>1449</v>
      </c>
    </row>
    <row r="2305" spans="32:33">
      <c r="AF2305" s="187" t="str">
        <f t="shared" si="37"/>
        <v/>
      </c>
      <c r="AG2305" s="187" t="s">
        <v>1448</v>
      </c>
    </row>
    <row r="2306" spans="32:33">
      <c r="AF2306" s="187" t="str">
        <f t="shared" ref="AF2306:AF2369" si="38">IF(ISERROR(SEARCH($S$47,AG2306)),"",$S$48)</f>
        <v/>
      </c>
      <c r="AG2306" s="187" t="s">
        <v>1447</v>
      </c>
    </row>
    <row r="2307" spans="32:33">
      <c r="AF2307" s="187" t="str">
        <f t="shared" si="38"/>
        <v/>
      </c>
      <c r="AG2307" s="187" t="s">
        <v>1466</v>
      </c>
    </row>
    <row r="2308" spans="32:33">
      <c r="AF2308" s="187" t="str">
        <f t="shared" si="38"/>
        <v/>
      </c>
      <c r="AG2308" s="187" t="s">
        <v>1434</v>
      </c>
    </row>
    <row r="2309" spans="32:33">
      <c r="AF2309" s="187" t="str">
        <f t="shared" si="38"/>
        <v/>
      </c>
      <c r="AG2309" s="187" t="s">
        <v>1520</v>
      </c>
    </row>
    <row r="2310" spans="32:33">
      <c r="AF2310" s="187" t="str">
        <f t="shared" si="38"/>
        <v/>
      </c>
      <c r="AG2310" s="187" t="s">
        <v>1487</v>
      </c>
    </row>
    <row r="2311" spans="32:33">
      <c r="AF2311" s="187" t="str">
        <f t="shared" si="38"/>
        <v/>
      </c>
      <c r="AG2311" s="187" t="s">
        <v>1446</v>
      </c>
    </row>
    <row r="2312" spans="32:33">
      <c r="AF2312" s="187" t="str">
        <f t="shared" si="38"/>
        <v/>
      </c>
      <c r="AG2312" s="187" t="s">
        <v>1529</v>
      </c>
    </row>
    <row r="2313" spans="32:33">
      <c r="AF2313" s="187" t="str">
        <f t="shared" si="38"/>
        <v/>
      </c>
      <c r="AG2313" s="187" t="s">
        <v>1474</v>
      </c>
    </row>
    <row r="2314" spans="32:33">
      <c r="AF2314" s="187" t="str">
        <f t="shared" si="38"/>
        <v/>
      </c>
      <c r="AG2314" s="187" t="s">
        <v>1464</v>
      </c>
    </row>
    <row r="2315" spans="32:33">
      <c r="AF2315" s="187" t="str">
        <f t="shared" si="38"/>
        <v/>
      </c>
      <c r="AG2315" s="187" t="s">
        <v>1507</v>
      </c>
    </row>
    <row r="2316" spans="32:33">
      <c r="AF2316" s="187" t="str">
        <f t="shared" si="38"/>
        <v/>
      </c>
      <c r="AG2316" s="187" t="s">
        <v>1491</v>
      </c>
    </row>
    <row r="2317" spans="32:33">
      <c r="AF2317" s="187" t="str">
        <f t="shared" si="38"/>
        <v/>
      </c>
      <c r="AG2317" s="187" t="s">
        <v>1535</v>
      </c>
    </row>
    <row r="2318" spans="32:33">
      <c r="AF2318" s="187" t="str">
        <f t="shared" si="38"/>
        <v/>
      </c>
      <c r="AG2318" s="187" t="s">
        <v>1511</v>
      </c>
    </row>
    <row r="2319" spans="32:33">
      <c r="AF2319" s="187" t="str">
        <f t="shared" si="38"/>
        <v/>
      </c>
      <c r="AG2319" s="187" t="s">
        <v>1526</v>
      </c>
    </row>
    <row r="2320" spans="32:33">
      <c r="AF2320" s="187" t="str">
        <f t="shared" si="38"/>
        <v/>
      </c>
      <c r="AG2320" s="187" t="s">
        <v>4200</v>
      </c>
    </row>
    <row r="2321" spans="32:33">
      <c r="AF2321" s="187" t="str">
        <f t="shared" si="38"/>
        <v/>
      </c>
      <c r="AG2321" s="187" t="s">
        <v>4201</v>
      </c>
    </row>
    <row r="2322" spans="32:33">
      <c r="AF2322" s="187" t="str">
        <f t="shared" si="38"/>
        <v/>
      </c>
      <c r="AG2322" s="187" t="s">
        <v>4202</v>
      </c>
    </row>
    <row r="2323" spans="32:33">
      <c r="AF2323" s="187" t="str">
        <f t="shared" si="38"/>
        <v/>
      </c>
      <c r="AG2323" s="187" t="s">
        <v>4203</v>
      </c>
    </row>
    <row r="2324" spans="32:33">
      <c r="AF2324" s="187" t="str">
        <f t="shared" si="38"/>
        <v/>
      </c>
      <c r="AG2324" s="187" t="s">
        <v>1423</v>
      </c>
    </row>
    <row r="2325" spans="32:33">
      <c r="AF2325" s="187" t="str">
        <f t="shared" si="38"/>
        <v/>
      </c>
      <c r="AG2325" s="187" t="s">
        <v>1426</v>
      </c>
    </row>
    <row r="2326" spans="32:33">
      <c r="AF2326" s="187" t="str">
        <f t="shared" si="38"/>
        <v/>
      </c>
      <c r="AG2326" s="187" t="s">
        <v>1429</v>
      </c>
    </row>
    <row r="2327" spans="32:33">
      <c r="AF2327" s="187" t="str">
        <f t="shared" si="38"/>
        <v/>
      </c>
      <c r="AG2327" s="187" t="s">
        <v>1430</v>
      </c>
    </row>
    <row r="2328" spans="32:33">
      <c r="AF2328" s="187" t="str">
        <f t="shared" si="38"/>
        <v/>
      </c>
      <c r="AG2328" s="187" t="s">
        <v>1424</v>
      </c>
    </row>
    <row r="2329" spans="32:33">
      <c r="AF2329" s="187" t="str">
        <f t="shared" si="38"/>
        <v/>
      </c>
      <c r="AG2329" s="187" t="s">
        <v>1431</v>
      </c>
    </row>
    <row r="2330" spans="32:33">
      <c r="AF2330" s="187" t="str">
        <f t="shared" si="38"/>
        <v/>
      </c>
      <c r="AG2330" s="187" t="s">
        <v>1427</v>
      </c>
    </row>
    <row r="2331" spans="32:33">
      <c r="AF2331" s="187" t="str">
        <f t="shared" si="38"/>
        <v/>
      </c>
      <c r="AG2331" s="187" t="s">
        <v>1428</v>
      </c>
    </row>
    <row r="2332" spans="32:33">
      <c r="AF2332" s="187" t="str">
        <f t="shared" si="38"/>
        <v/>
      </c>
      <c r="AG2332" s="187" t="s">
        <v>1425</v>
      </c>
    </row>
    <row r="2333" spans="32:33">
      <c r="AF2333" s="187" t="str">
        <f t="shared" si="38"/>
        <v/>
      </c>
      <c r="AG2333" s="187" t="s">
        <v>1388</v>
      </c>
    </row>
    <row r="2334" spans="32:33">
      <c r="AF2334" s="187" t="str">
        <f t="shared" si="38"/>
        <v/>
      </c>
      <c r="AG2334" s="187" t="s">
        <v>1389</v>
      </c>
    </row>
    <row r="2335" spans="32:33">
      <c r="AF2335" s="187" t="str">
        <f t="shared" si="38"/>
        <v/>
      </c>
      <c r="AG2335" s="187" t="s">
        <v>1419</v>
      </c>
    </row>
    <row r="2336" spans="32:33">
      <c r="AF2336" s="187" t="str">
        <f t="shared" si="38"/>
        <v/>
      </c>
      <c r="AG2336" s="187" t="s">
        <v>1420</v>
      </c>
    </row>
    <row r="2337" spans="32:33">
      <c r="AF2337" s="187" t="str">
        <f t="shared" si="38"/>
        <v/>
      </c>
      <c r="AG2337" s="187" t="s">
        <v>1405</v>
      </c>
    </row>
    <row r="2338" spans="32:33">
      <c r="AF2338" s="187" t="str">
        <f t="shared" si="38"/>
        <v/>
      </c>
      <c r="AG2338" s="187" t="s">
        <v>1406</v>
      </c>
    </row>
    <row r="2339" spans="32:33">
      <c r="AF2339" s="187" t="str">
        <f t="shared" si="38"/>
        <v/>
      </c>
      <c r="AG2339" s="187" t="s">
        <v>1407</v>
      </c>
    </row>
    <row r="2340" spans="32:33">
      <c r="AF2340" s="187" t="str">
        <f t="shared" si="38"/>
        <v/>
      </c>
      <c r="AG2340" s="187" t="s">
        <v>1408</v>
      </c>
    </row>
    <row r="2341" spans="32:33">
      <c r="AF2341" s="187" t="str">
        <f t="shared" si="38"/>
        <v/>
      </c>
      <c r="AG2341" s="187" t="s">
        <v>1409</v>
      </c>
    </row>
    <row r="2342" spans="32:33">
      <c r="AF2342" s="187" t="str">
        <f t="shared" si="38"/>
        <v/>
      </c>
      <c r="AG2342" s="187" t="s">
        <v>1410</v>
      </c>
    </row>
    <row r="2343" spans="32:33">
      <c r="AF2343" s="187" t="str">
        <f t="shared" si="38"/>
        <v/>
      </c>
      <c r="AG2343" s="187" t="s">
        <v>1411</v>
      </c>
    </row>
    <row r="2344" spans="32:33">
      <c r="AF2344" s="187" t="str">
        <f t="shared" si="38"/>
        <v/>
      </c>
      <c r="AG2344" s="187" t="s">
        <v>1421</v>
      </c>
    </row>
    <row r="2345" spans="32:33">
      <c r="AF2345" s="187" t="str">
        <f t="shared" si="38"/>
        <v/>
      </c>
      <c r="AG2345" s="187" t="s">
        <v>1412</v>
      </c>
    </row>
    <row r="2346" spans="32:33">
      <c r="AF2346" s="187" t="str">
        <f t="shared" si="38"/>
        <v/>
      </c>
      <c r="AG2346" s="187" t="s">
        <v>1404</v>
      </c>
    </row>
    <row r="2347" spans="32:33">
      <c r="AF2347" s="187" t="str">
        <f t="shared" si="38"/>
        <v/>
      </c>
      <c r="AG2347" s="187" t="s">
        <v>1413</v>
      </c>
    </row>
    <row r="2348" spans="32:33">
      <c r="AF2348" s="187" t="str">
        <f t="shared" si="38"/>
        <v/>
      </c>
      <c r="AG2348" s="187" t="s">
        <v>1414</v>
      </c>
    </row>
    <row r="2349" spans="32:33">
      <c r="AF2349" s="187" t="str">
        <f t="shared" si="38"/>
        <v/>
      </c>
      <c r="AG2349" s="187" t="s">
        <v>1415</v>
      </c>
    </row>
    <row r="2350" spans="32:33">
      <c r="AF2350" s="187" t="str">
        <f t="shared" si="38"/>
        <v/>
      </c>
      <c r="AG2350" s="187" t="s">
        <v>1416</v>
      </c>
    </row>
    <row r="2351" spans="32:33">
      <c r="AF2351" s="187" t="str">
        <f t="shared" si="38"/>
        <v/>
      </c>
      <c r="AG2351" s="187" t="s">
        <v>1417</v>
      </c>
    </row>
    <row r="2352" spans="32:33">
      <c r="AF2352" s="187" t="str">
        <f t="shared" si="38"/>
        <v/>
      </c>
      <c r="AG2352" s="187" t="s">
        <v>1418</v>
      </c>
    </row>
    <row r="2353" spans="32:33">
      <c r="AF2353" s="187" t="str">
        <f t="shared" si="38"/>
        <v/>
      </c>
      <c r="AG2353" s="187" t="s">
        <v>1390</v>
      </c>
    </row>
    <row r="2354" spans="32:33">
      <c r="AF2354" s="187" t="str">
        <f t="shared" si="38"/>
        <v/>
      </c>
      <c r="AG2354" s="187" t="s">
        <v>1391</v>
      </c>
    </row>
    <row r="2355" spans="32:33">
      <c r="AF2355" s="187" t="str">
        <f t="shared" si="38"/>
        <v/>
      </c>
      <c r="AG2355" s="187" t="s">
        <v>1392</v>
      </c>
    </row>
    <row r="2356" spans="32:33">
      <c r="AF2356" s="187" t="str">
        <f t="shared" si="38"/>
        <v/>
      </c>
      <c r="AG2356" s="187" t="s">
        <v>1393</v>
      </c>
    </row>
    <row r="2357" spans="32:33">
      <c r="AF2357" s="187" t="str">
        <f t="shared" si="38"/>
        <v/>
      </c>
      <c r="AG2357" s="187" t="s">
        <v>1394</v>
      </c>
    </row>
    <row r="2358" spans="32:33">
      <c r="AF2358" s="187" t="str">
        <f t="shared" si="38"/>
        <v/>
      </c>
      <c r="AG2358" s="187" t="s">
        <v>1399</v>
      </c>
    </row>
    <row r="2359" spans="32:33">
      <c r="AF2359" s="187" t="str">
        <f t="shared" si="38"/>
        <v/>
      </c>
      <c r="AG2359" s="187" t="s">
        <v>1395</v>
      </c>
    </row>
    <row r="2360" spans="32:33">
      <c r="AF2360" s="187" t="str">
        <f t="shared" si="38"/>
        <v/>
      </c>
      <c r="AG2360" s="187" t="s">
        <v>1396</v>
      </c>
    </row>
    <row r="2361" spans="32:33">
      <c r="AF2361" s="187" t="str">
        <f t="shared" si="38"/>
        <v/>
      </c>
      <c r="AG2361" s="187" t="s">
        <v>1397</v>
      </c>
    </row>
    <row r="2362" spans="32:33">
      <c r="AF2362" s="187" t="str">
        <f t="shared" si="38"/>
        <v/>
      </c>
      <c r="AG2362" s="187" t="s">
        <v>1398</v>
      </c>
    </row>
    <row r="2363" spans="32:33">
      <c r="AF2363" s="187" t="str">
        <f t="shared" si="38"/>
        <v/>
      </c>
      <c r="AG2363" s="187" t="s">
        <v>1400</v>
      </c>
    </row>
    <row r="2364" spans="32:33">
      <c r="AF2364" s="187" t="str">
        <f t="shared" si="38"/>
        <v/>
      </c>
      <c r="AG2364" s="187" t="s">
        <v>1401</v>
      </c>
    </row>
    <row r="2365" spans="32:33">
      <c r="AF2365" s="187" t="str">
        <f t="shared" si="38"/>
        <v/>
      </c>
      <c r="AG2365" s="187" t="s">
        <v>1402</v>
      </c>
    </row>
    <row r="2366" spans="32:33">
      <c r="AF2366" s="187" t="str">
        <f t="shared" si="38"/>
        <v/>
      </c>
      <c r="AG2366" s="187" t="s">
        <v>1403</v>
      </c>
    </row>
    <row r="2367" spans="32:33">
      <c r="AF2367" s="187" t="str">
        <f t="shared" si="38"/>
        <v/>
      </c>
      <c r="AG2367" s="187" t="s">
        <v>2989</v>
      </c>
    </row>
    <row r="2368" spans="32:33">
      <c r="AF2368" s="187" t="str">
        <f t="shared" si="38"/>
        <v/>
      </c>
      <c r="AG2368" s="187" t="s">
        <v>1378</v>
      </c>
    </row>
    <row r="2369" spans="32:33">
      <c r="AF2369" s="187" t="str">
        <f t="shared" si="38"/>
        <v/>
      </c>
      <c r="AG2369" s="187" t="s">
        <v>1379</v>
      </c>
    </row>
    <row r="2370" spans="32:33">
      <c r="AF2370" s="187" t="str">
        <f t="shared" ref="AF2370:AF2387" si="39">IF(ISERROR(SEARCH($S$47,AG2370)),"",$S$48)</f>
        <v/>
      </c>
      <c r="AG2370" s="187" t="s">
        <v>1380</v>
      </c>
    </row>
    <row r="2371" spans="32:33">
      <c r="AF2371" s="187" t="str">
        <f t="shared" si="39"/>
        <v/>
      </c>
      <c r="AG2371" s="187" t="s">
        <v>1381</v>
      </c>
    </row>
    <row r="2372" spans="32:33">
      <c r="AF2372" s="187" t="str">
        <f t="shared" si="39"/>
        <v/>
      </c>
      <c r="AG2372" s="187" t="s">
        <v>1382</v>
      </c>
    </row>
    <row r="2373" spans="32:33">
      <c r="AF2373" s="187" t="str">
        <f t="shared" si="39"/>
        <v/>
      </c>
      <c r="AG2373" s="187" t="s">
        <v>1383</v>
      </c>
    </row>
    <row r="2374" spans="32:33">
      <c r="AF2374" s="187" t="str">
        <f t="shared" si="39"/>
        <v/>
      </c>
      <c r="AG2374" s="187" t="s">
        <v>1384</v>
      </c>
    </row>
    <row r="2375" spans="32:33">
      <c r="AF2375" s="187" t="str">
        <f t="shared" si="39"/>
        <v/>
      </c>
      <c r="AG2375" s="187" t="s">
        <v>1385</v>
      </c>
    </row>
    <row r="2376" spans="32:33">
      <c r="AF2376" s="187" t="str">
        <f t="shared" si="39"/>
        <v/>
      </c>
      <c r="AG2376" s="187" t="s">
        <v>1344</v>
      </c>
    </row>
    <row r="2377" spans="32:33">
      <c r="AF2377" s="187" t="str">
        <f t="shared" si="39"/>
        <v/>
      </c>
      <c r="AG2377" s="187" t="s">
        <v>1345</v>
      </c>
    </row>
    <row r="2378" spans="32:33">
      <c r="AF2378" s="187" t="str">
        <f t="shared" si="39"/>
        <v/>
      </c>
      <c r="AG2378" s="187" t="s">
        <v>1347</v>
      </c>
    </row>
    <row r="2379" spans="32:33">
      <c r="AF2379" s="187" t="str">
        <f t="shared" si="39"/>
        <v/>
      </c>
      <c r="AG2379" s="187" t="s">
        <v>1348</v>
      </c>
    </row>
    <row r="2380" spans="32:33">
      <c r="AF2380" s="187" t="str">
        <f t="shared" si="39"/>
        <v/>
      </c>
      <c r="AG2380" s="187" t="s">
        <v>1349</v>
      </c>
    </row>
    <row r="2381" spans="32:33">
      <c r="AF2381" s="187" t="str">
        <f t="shared" si="39"/>
        <v/>
      </c>
      <c r="AG2381" s="187" t="s">
        <v>1346</v>
      </c>
    </row>
    <row r="2382" spans="32:33">
      <c r="AF2382" s="187" t="str">
        <f t="shared" si="39"/>
        <v/>
      </c>
      <c r="AG2382" s="187" t="s">
        <v>1339</v>
      </c>
    </row>
    <row r="2383" spans="32:33">
      <c r="AF2383" s="187" t="str">
        <f t="shared" si="39"/>
        <v/>
      </c>
      <c r="AG2383" s="187" t="s">
        <v>1338</v>
      </c>
    </row>
    <row r="2384" spans="32:33">
      <c r="AF2384" s="187" t="str">
        <f t="shared" si="39"/>
        <v/>
      </c>
      <c r="AG2384" s="187" t="s">
        <v>1340</v>
      </c>
    </row>
    <row r="2385" spans="32:33">
      <c r="AF2385" s="187" t="str">
        <f t="shared" si="39"/>
        <v/>
      </c>
      <c r="AG2385" s="187" t="s">
        <v>1341</v>
      </c>
    </row>
    <row r="2386" spans="32:33">
      <c r="AF2386" s="187" t="str">
        <f t="shared" si="39"/>
        <v/>
      </c>
      <c r="AG2386" s="187" t="s">
        <v>1342</v>
      </c>
    </row>
    <row r="2387" spans="32:33">
      <c r="AF2387" s="187" t="str">
        <f t="shared" si="39"/>
        <v/>
      </c>
      <c r="AG2387" s="187" t="s">
        <v>1343</v>
      </c>
    </row>
  </sheetData>
  <sheetProtection sheet="1" objects="1" scenarios="1"/>
  <mergeCells count="8">
    <mergeCell ref="E3:K3"/>
    <mergeCell ref="E8:L8"/>
    <mergeCell ref="C14:O14"/>
    <mergeCell ref="K25:L25"/>
    <mergeCell ref="K24:L24"/>
    <mergeCell ref="H16:L16"/>
    <mergeCell ref="H18:L18"/>
    <mergeCell ref="E6:L6"/>
  </mergeCells>
  <phoneticPr fontId="4" type="noConversion"/>
  <conditionalFormatting sqref="K24:K25">
    <cfRule type="cellIs" dxfId="203" priority="219" operator="equal">
      <formula>$Y$10</formula>
    </cfRule>
    <cfRule type="cellIs" dxfId="202" priority="220" operator="equal">
      <formula>$Y$9</formula>
    </cfRule>
  </conditionalFormatting>
  <conditionalFormatting sqref="C13">
    <cfRule type="expression" dxfId="201" priority="2">
      <formula>$T$29</formula>
    </cfRule>
  </conditionalFormatting>
  <conditionalFormatting sqref="C14">
    <cfRule type="expression" dxfId="200" priority="1">
      <formula>$T$29</formula>
    </cfRule>
  </conditionalFormatting>
  <dataValidations count="4">
    <dataValidation allowBlank="1" showInputMessage="1" showErrorMessage="1" sqref="D7"/>
    <dataValidation type="list" allowBlank="1" showInputMessage="1" showErrorMessage="1" sqref="H18">
      <formula1>$S$35:$S$37</formula1>
    </dataValidation>
    <dataValidation type="list" allowBlank="1" showInputMessage="1" showErrorMessage="1" sqref="E8">
      <formula1>OFFSET(AG1,S49,0,S50,1)</formula1>
    </dataValidation>
    <dataValidation type="list" allowBlank="1" showInputMessage="1" showErrorMessage="1" sqref="E6">
      <formula1>OFFSET(AE1,0,0,COUNTA(AE:AE),1)</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drawing r:id="rId2"/>
  <legacyDrawing r:id="rId3"/>
  <controls>
    <mc:AlternateContent xmlns:mc="http://schemas.openxmlformats.org/markup-compatibility/2006">
      <mc:Choice Requires="x14">
        <control shapeId="45220" r:id="rId4" name="btPlannerCreate">
          <controlPr defaultSize="0" autoLine="0" r:id="rId5">
            <anchor moveWithCells="1">
              <from>
                <xdr:col>13</xdr:col>
                <xdr:colOff>0</xdr:colOff>
                <xdr:row>21</xdr:row>
                <xdr:rowOff>76200</xdr:rowOff>
              </from>
              <to>
                <xdr:col>14</xdr:col>
                <xdr:colOff>971550</xdr:colOff>
                <xdr:row>25</xdr:row>
                <xdr:rowOff>9525</xdr:rowOff>
              </to>
            </anchor>
          </controlPr>
        </control>
      </mc:Choice>
      <mc:Fallback>
        <control shapeId="45220" r:id="rId4" name="btPlannerCreate"/>
      </mc:Fallback>
    </mc:AlternateContent>
    <mc:AlternateContent xmlns:mc="http://schemas.openxmlformats.org/markup-compatibility/2006">
      <mc:Choice Requires="x14">
        <control shapeId="45090" r:id="rId6" name="YearSelect1">
          <controlPr defaultSize="0" print="0" autoPict="0">
            <anchor moveWithCells="1">
              <from>
                <xdr:col>6</xdr:col>
                <xdr:colOff>9525</xdr:colOff>
                <xdr:row>8</xdr:row>
                <xdr:rowOff>104775</xdr:rowOff>
              </from>
              <to>
                <xdr:col>7</xdr:col>
                <xdr:colOff>171450</xdr:colOff>
                <xdr:row>10</xdr:row>
                <xdr:rowOff>9525</xdr:rowOff>
              </to>
            </anchor>
          </controlPr>
        </control>
      </mc:Choice>
    </mc:AlternateContent>
    <mc:AlternateContent xmlns:mc="http://schemas.openxmlformats.org/markup-compatibility/2006">
      <mc:Choice Requires="x14">
        <control shapeId="45103" r:id="rId7" name="SpinnerControlLaguaje">
          <controlPr defaultSize="0" print="0" autoPict="0" macro="[0]!SpinnerControlLaguaje_Change">
            <anchor moveWithCells="1">
              <from>
                <xdr:col>11</xdr:col>
                <xdr:colOff>133350</xdr:colOff>
                <xdr:row>1</xdr:row>
                <xdr:rowOff>57150</xdr:rowOff>
              </from>
              <to>
                <xdr:col>11</xdr:col>
                <xdr:colOff>571500</xdr:colOff>
                <xdr:row>3</xdr:row>
                <xdr:rowOff>47625</xdr:rowOff>
              </to>
            </anchor>
          </controlPr>
        </control>
      </mc:Choice>
    </mc:AlternateContent>
    <mc:AlternateContent xmlns:mc="http://schemas.openxmlformats.org/markup-compatibility/2006">
      <mc:Choice Requires="x14">
        <control shapeId="45111" r:id="rId8" name="btCalculate">
          <controlPr defaultSize="0" print="0" autoFill="0" autoPict="0" macro="[0]!CalculateCalendarGcal">
            <anchor moveWithCells="1">
              <from>
                <xdr:col>8</xdr:col>
                <xdr:colOff>104775</xdr:colOff>
                <xdr:row>8</xdr:row>
                <xdr:rowOff>95250</xdr:rowOff>
              </from>
              <to>
                <xdr:col>12</xdr:col>
                <xdr:colOff>0</xdr:colOff>
                <xdr:row>10</xdr:row>
                <xdr:rowOff>19050</xdr:rowOff>
              </to>
            </anchor>
          </controlPr>
        </control>
      </mc:Choice>
    </mc:AlternateContent>
    <mc:AlternateContent xmlns:mc="http://schemas.openxmlformats.org/markup-compatibility/2006">
      <mc:Choice Requires="x14">
        <control shapeId="45112" r:id="rId9" name="btFontsInstall">
          <controlPr defaultSize="0" print="0" autoFill="0" autoPict="0" macro="[0]!InstallFonts">
            <anchor moveWithCells="1">
              <from>
                <xdr:col>2</xdr:col>
                <xdr:colOff>571500</xdr:colOff>
                <xdr:row>23</xdr:row>
                <xdr:rowOff>38100</xdr:rowOff>
              </from>
              <to>
                <xdr:col>7</xdr:col>
                <xdr:colOff>0</xdr:colOff>
                <xdr:row>24</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ersonalData">
    <pageSetUpPr fitToPage="1"/>
  </sheetPr>
  <dimension ref="B1:IO42"/>
  <sheetViews>
    <sheetView showGridLines="0" showRowColHeaders="0" zoomScaleNormal="100" workbookViewId="0"/>
  </sheetViews>
  <sheetFormatPr defaultColWidth="0" defaultRowHeight="12.75" zeroHeight="1"/>
  <cols>
    <col min="1" max="1" width="11.42578125" style="5" customWidth="1"/>
    <col min="2" max="13" width="2.85546875" style="5" customWidth="1"/>
    <col min="14" max="15" width="3.28515625" style="5" customWidth="1"/>
    <col min="16" max="16" width="2.28515625" style="5" customWidth="1"/>
    <col min="17" max="32" width="2.85546875" style="5" customWidth="1"/>
    <col min="33" max="33" width="3.7109375" style="5" customWidth="1"/>
    <col min="34" max="34" width="3" style="5" hidden="1" customWidth="1"/>
    <col min="35" max="249" width="9.140625" style="5" hidden="1" customWidth="1"/>
    <col min="250" max="16384" width="0" style="5" hidden="1"/>
  </cols>
  <sheetData>
    <row r="1" spans="2:34" ht="20.25" customHeight="1">
      <c r="C1" s="151"/>
      <c r="D1" s="151"/>
      <c r="E1" s="151"/>
      <c r="F1" s="151"/>
      <c r="G1" s="151"/>
      <c r="H1" s="151"/>
      <c r="I1" s="151"/>
      <c r="J1" s="151"/>
      <c r="K1" s="151"/>
      <c r="L1" s="151"/>
      <c r="M1" s="151"/>
      <c r="N1" s="14"/>
      <c r="O1" s="14"/>
      <c r="P1" s="14"/>
      <c r="Q1" s="99"/>
      <c r="R1" s="99"/>
      <c r="S1" s="99"/>
      <c r="T1" s="99"/>
      <c r="U1" s="99"/>
      <c r="V1" s="99"/>
      <c r="W1" s="638">
        <f>Calendar!U1</f>
        <v>2017</v>
      </c>
      <c r="X1" s="638"/>
      <c r="Y1" s="638"/>
      <c r="Z1" s="638"/>
      <c r="AA1" s="638"/>
      <c r="AB1" s="638"/>
      <c r="AC1" s="638"/>
      <c r="AD1" s="638"/>
      <c r="AE1" s="638"/>
      <c r="AF1" s="638"/>
      <c r="AH1" s="105"/>
    </row>
    <row r="2" spans="2:34" ht="20.25" customHeight="1">
      <c r="B2" s="592" t="str">
        <f ca="1">'GPlan-Translations'!C103</f>
        <v>DADOS PESSOAIS</v>
      </c>
      <c r="C2" s="151"/>
      <c r="D2" s="151"/>
      <c r="E2" s="151"/>
      <c r="F2" s="151"/>
      <c r="G2" s="151"/>
      <c r="H2" s="151"/>
      <c r="I2" s="151"/>
      <c r="J2" s="151"/>
      <c r="K2" s="151"/>
      <c r="L2" s="151"/>
      <c r="M2" s="151"/>
      <c r="N2" s="18"/>
      <c r="O2" s="18"/>
      <c r="P2" s="18"/>
      <c r="Q2" s="19"/>
      <c r="R2" s="19"/>
      <c r="S2" s="19"/>
      <c r="T2" s="19"/>
      <c r="U2" s="19"/>
      <c r="V2" s="19"/>
      <c r="W2" s="639"/>
      <c r="X2" s="639"/>
      <c r="Y2" s="639"/>
      <c r="Z2" s="639"/>
      <c r="AA2" s="639"/>
      <c r="AB2" s="639"/>
      <c r="AC2" s="639"/>
      <c r="AD2" s="639"/>
      <c r="AE2" s="639"/>
      <c r="AF2" s="639"/>
      <c r="AH2" s="105"/>
    </row>
    <row r="3" spans="2:34" ht="20.25">
      <c r="B3" s="145" t="str">
        <f ca="1">'GPlan-Translations'!C106</f>
        <v>Nome</v>
      </c>
      <c r="C3" s="23"/>
      <c r="D3" s="23"/>
      <c r="E3" s="573"/>
      <c r="F3" s="573"/>
      <c r="G3" s="573"/>
      <c r="H3" s="573"/>
      <c r="I3" s="573"/>
      <c r="J3" s="573"/>
      <c r="K3" s="573"/>
      <c r="L3" s="573"/>
      <c r="M3" s="574"/>
      <c r="N3" s="573"/>
      <c r="O3" s="573"/>
      <c r="P3" s="573"/>
      <c r="Q3" s="574"/>
      <c r="R3" s="574"/>
      <c r="S3" s="574"/>
      <c r="T3" s="574"/>
      <c r="U3" s="574"/>
      <c r="V3" s="574"/>
      <c r="W3" s="574"/>
      <c r="X3" s="574"/>
      <c r="Y3" s="574"/>
      <c r="Z3" s="574"/>
      <c r="AA3" s="574"/>
      <c r="AB3" s="574"/>
      <c r="AC3" s="574"/>
      <c r="AD3" s="573"/>
      <c r="AE3" s="573"/>
      <c r="AF3" s="575"/>
      <c r="AH3" s="105"/>
    </row>
    <row r="4" spans="2:34" ht="20.25">
      <c r="B4" s="145" t="str">
        <f ca="1">'GPlan-Translations'!C107</f>
        <v>Endereço</v>
      </c>
      <c r="C4" s="23"/>
      <c r="D4" s="23"/>
      <c r="E4" s="573"/>
      <c r="F4" s="573"/>
      <c r="G4" s="573"/>
      <c r="H4" s="573"/>
      <c r="I4" s="573"/>
      <c r="J4" s="573"/>
      <c r="K4" s="573"/>
      <c r="L4" s="573"/>
      <c r="M4" s="574"/>
      <c r="N4" s="573"/>
      <c r="O4" s="573"/>
      <c r="P4" s="573"/>
      <c r="Q4" s="574"/>
      <c r="R4" s="574"/>
      <c r="S4" s="574"/>
      <c r="T4" s="574"/>
      <c r="U4" s="574"/>
      <c r="V4" s="574"/>
      <c r="W4" s="574"/>
      <c r="X4" s="574"/>
      <c r="Y4" s="574"/>
      <c r="Z4" s="574"/>
      <c r="AA4" s="574"/>
      <c r="AB4" s="574"/>
      <c r="AC4" s="574"/>
      <c r="AD4" s="573"/>
      <c r="AE4" s="573"/>
      <c r="AF4" s="575"/>
      <c r="AH4" s="105"/>
    </row>
    <row r="5" spans="2:34" ht="20.25">
      <c r="B5" s="145" t="str">
        <f ca="1">'GPlan-Translations'!C108</f>
        <v>Cidade</v>
      </c>
      <c r="C5" s="23"/>
      <c r="D5" s="573"/>
      <c r="E5" s="573"/>
      <c r="F5" s="573"/>
      <c r="G5" s="573"/>
      <c r="H5" s="573"/>
      <c r="I5" s="573"/>
      <c r="J5" s="573"/>
      <c r="K5" s="573"/>
      <c r="L5" s="573"/>
      <c r="M5" s="574"/>
      <c r="N5" s="574"/>
      <c r="O5" s="576"/>
      <c r="P5" s="573"/>
      <c r="Q5" s="26" t="str">
        <f ca="1">'GPlan-Translations'!C109</f>
        <v>CEP</v>
      </c>
      <c r="R5" s="25"/>
      <c r="S5" s="577"/>
      <c r="T5" s="577"/>
      <c r="U5" s="577"/>
      <c r="V5" s="577"/>
      <c r="W5" s="578"/>
      <c r="X5" s="26" t="str">
        <f ca="1">'GPlan-Translations'!C110</f>
        <v>Estado</v>
      </c>
      <c r="Y5" s="25"/>
      <c r="Z5" s="25"/>
      <c r="AA5" s="577"/>
      <c r="AB5" s="577"/>
      <c r="AC5" s="577"/>
      <c r="AD5" s="577"/>
      <c r="AE5" s="577"/>
      <c r="AF5" s="575"/>
      <c r="AH5" s="105"/>
    </row>
    <row r="6" spans="2:34" ht="20.25">
      <c r="B6" s="145" t="str">
        <f ca="1">'GPlan-Translations'!C111</f>
        <v>Fone</v>
      </c>
      <c r="C6" s="23"/>
      <c r="D6" s="573"/>
      <c r="E6" s="573"/>
      <c r="F6" s="573"/>
      <c r="G6" s="573"/>
      <c r="H6" s="573"/>
      <c r="I6" s="573"/>
      <c r="J6" s="573"/>
      <c r="K6" s="573"/>
      <c r="L6" s="573"/>
      <c r="M6" s="579"/>
      <c r="N6" s="578"/>
      <c r="O6" s="577"/>
      <c r="P6" s="573"/>
      <c r="Q6" s="26" t="str">
        <f ca="1">'GPlan-Translations'!C112</f>
        <v>Celular</v>
      </c>
      <c r="R6" s="24"/>
      <c r="S6" s="574"/>
      <c r="T6" s="574"/>
      <c r="U6" s="574"/>
      <c r="V6" s="574"/>
      <c r="W6" s="574"/>
      <c r="X6" s="578"/>
      <c r="Y6" s="573"/>
      <c r="Z6" s="573"/>
      <c r="AA6" s="573"/>
      <c r="AB6" s="573"/>
      <c r="AC6" s="573"/>
      <c r="AD6" s="573"/>
      <c r="AE6" s="573"/>
      <c r="AF6" s="575"/>
      <c r="AH6" s="105"/>
    </row>
    <row r="7" spans="2:34" ht="20.25">
      <c r="B7" s="145" t="str">
        <f ca="1">'GPlan-Translations'!C114</f>
        <v>E-mail</v>
      </c>
      <c r="C7" s="23"/>
      <c r="D7" s="573"/>
      <c r="E7" s="573"/>
      <c r="F7" s="573"/>
      <c r="G7" s="573"/>
      <c r="H7" s="573"/>
      <c r="I7" s="573"/>
      <c r="J7" s="573"/>
      <c r="K7" s="573"/>
      <c r="L7" s="573"/>
      <c r="M7" s="574"/>
      <c r="N7" s="573"/>
      <c r="O7" s="573"/>
      <c r="P7" s="573"/>
      <c r="Q7" s="574"/>
      <c r="R7" s="574"/>
      <c r="S7" s="574"/>
      <c r="T7" s="574"/>
      <c r="U7" s="574"/>
      <c r="V7" s="574"/>
      <c r="W7" s="574"/>
      <c r="X7" s="574"/>
      <c r="Y7" s="574"/>
      <c r="Z7" s="574"/>
      <c r="AA7" s="574"/>
      <c r="AB7" s="574"/>
      <c r="AC7" s="574"/>
      <c r="AD7" s="573"/>
      <c r="AE7" s="573"/>
      <c r="AF7" s="575"/>
      <c r="AH7" s="105"/>
    </row>
    <row r="8" spans="2:34" ht="20.25">
      <c r="B8" s="145" t="str">
        <f ca="1">'GPlan-Translations'!C115</f>
        <v>RG</v>
      </c>
      <c r="C8" s="573"/>
      <c r="D8" s="573"/>
      <c r="E8" s="573"/>
      <c r="F8" s="573"/>
      <c r="G8" s="573"/>
      <c r="H8" s="573"/>
      <c r="I8" s="573"/>
      <c r="J8" s="573"/>
      <c r="K8" s="573"/>
      <c r="L8" s="573"/>
      <c r="M8" s="574"/>
      <c r="N8" s="573"/>
      <c r="O8" s="573"/>
      <c r="P8" s="573"/>
      <c r="Q8" s="23" t="str">
        <f>'GPlan-Translations'!D116</f>
        <v>CPF</v>
      </c>
      <c r="R8" s="18"/>
      <c r="S8" s="580"/>
      <c r="T8" s="580"/>
      <c r="U8" s="580"/>
      <c r="V8" s="580"/>
      <c r="W8" s="580"/>
      <c r="X8" s="576"/>
      <c r="Y8" s="576"/>
      <c r="Z8" s="576"/>
      <c r="AA8" s="576"/>
      <c r="AB8" s="576"/>
      <c r="AC8" s="576"/>
      <c r="AD8" s="576"/>
      <c r="AE8" s="576"/>
      <c r="AF8" s="581"/>
      <c r="AH8" s="105"/>
    </row>
    <row r="9" spans="2:34" ht="20.25">
      <c r="B9" s="147" t="str">
        <f ca="1">'GPlan-Translations'!C117</f>
        <v>T. Eleitor</v>
      </c>
      <c r="C9" s="23"/>
      <c r="D9" s="23"/>
      <c r="E9" s="573"/>
      <c r="F9" s="573"/>
      <c r="G9" s="573"/>
      <c r="H9" s="573"/>
      <c r="I9" s="573"/>
      <c r="J9" s="573"/>
      <c r="K9" s="573"/>
      <c r="L9" s="573"/>
      <c r="M9" s="574"/>
      <c r="N9" s="576"/>
      <c r="O9" s="576"/>
      <c r="P9" s="576"/>
      <c r="Q9" s="26" t="str">
        <f ca="1">'GPlan-Translations'!C118</f>
        <v>Zona</v>
      </c>
      <c r="R9" s="25"/>
      <c r="S9" s="577"/>
      <c r="T9" s="577"/>
      <c r="U9" s="577"/>
      <c r="V9" s="577"/>
      <c r="W9" s="577"/>
      <c r="X9" s="26" t="str">
        <f ca="1">'GPlan-Translations'!C119</f>
        <v>Seção</v>
      </c>
      <c r="Y9" s="25"/>
      <c r="Z9" s="577"/>
      <c r="AA9" s="577"/>
      <c r="AB9" s="577"/>
      <c r="AC9" s="577"/>
      <c r="AD9" s="582"/>
      <c r="AE9" s="582"/>
      <c r="AF9" s="583"/>
      <c r="AH9" s="105"/>
    </row>
    <row r="10" spans="2:34" ht="20.25">
      <c r="B10" s="145" t="str">
        <f ca="1">'GPlan-Translations'!C120</f>
        <v>Passaporte</v>
      </c>
      <c r="C10" s="23"/>
      <c r="D10" s="23"/>
      <c r="E10" s="23"/>
      <c r="F10" s="573"/>
      <c r="G10" s="573"/>
      <c r="H10" s="573"/>
      <c r="I10" s="573"/>
      <c r="J10" s="573"/>
      <c r="K10" s="573"/>
      <c r="L10" s="573"/>
      <c r="M10" s="574"/>
      <c r="N10" s="574"/>
      <c r="O10" s="574"/>
      <c r="P10" s="584"/>
      <c r="Q10" s="584"/>
      <c r="R10" s="577"/>
      <c r="S10" s="577"/>
      <c r="T10" s="577"/>
      <c r="U10" s="577"/>
      <c r="V10" s="25"/>
      <c r="W10" s="25" t="str">
        <f ca="1">'GPlan-Translations'!C121</f>
        <v>Validade</v>
      </c>
      <c r="X10" s="640"/>
      <c r="Y10" s="641"/>
      <c r="Z10" s="593" t="s">
        <v>4875</v>
      </c>
      <c r="AA10" s="640"/>
      <c r="AB10" s="641"/>
      <c r="AC10" s="593" t="s">
        <v>4875</v>
      </c>
      <c r="AD10" s="642"/>
      <c r="AE10" s="642"/>
      <c r="AF10" s="643"/>
      <c r="AH10" s="105"/>
    </row>
    <row r="11" spans="2:34" ht="20.25">
      <c r="B11" s="145" t="str">
        <f ca="1">'GPlan-Translations'!C122</f>
        <v>Cart. Militar</v>
      </c>
      <c r="C11" s="23"/>
      <c r="D11" s="23"/>
      <c r="E11" s="573"/>
      <c r="F11" s="573"/>
      <c r="G11" s="573"/>
      <c r="H11" s="573"/>
      <c r="I11" s="573"/>
      <c r="J11" s="573"/>
      <c r="K11" s="573"/>
      <c r="L11" s="573"/>
      <c r="M11" s="574"/>
      <c r="N11" s="573"/>
      <c r="O11" s="573"/>
      <c r="P11" s="573"/>
      <c r="Q11" s="23" t="str">
        <f ca="1">'GPlan-Translations'!C123</f>
        <v>Certif. Reservista</v>
      </c>
      <c r="R11" s="23"/>
      <c r="S11" s="23"/>
      <c r="T11" s="23"/>
      <c r="U11" s="23"/>
      <c r="V11" s="573"/>
      <c r="W11" s="573"/>
      <c r="X11" s="573"/>
      <c r="Y11" s="573"/>
      <c r="Z11" s="573"/>
      <c r="AA11" s="573"/>
      <c r="AB11" s="573"/>
      <c r="AC11" s="573"/>
      <c r="AD11" s="573"/>
      <c r="AE11" s="573"/>
      <c r="AF11" s="583"/>
      <c r="AH11" s="105"/>
    </row>
    <row r="12" spans="2:34" ht="20.25">
      <c r="B12" s="145" t="str">
        <f ca="1">'GPlan-Translations'!C124</f>
        <v>Habilitação</v>
      </c>
      <c r="C12" s="23"/>
      <c r="D12" s="23"/>
      <c r="E12" s="573"/>
      <c r="F12" s="573"/>
      <c r="G12" s="573"/>
      <c r="H12" s="573"/>
      <c r="I12" s="573"/>
      <c r="J12" s="573"/>
      <c r="K12" s="573"/>
      <c r="L12" s="573"/>
      <c r="M12" s="574"/>
      <c r="N12" s="573"/>
      <c r="O12" s="573"/>
      <c r="P12" s="573"/>
      <c r="Q12" s="23" t="str">
        <f ca="1">'GPlan-Translations'!C125</f>
        <v>Vcto.   Ex.  Saúde</v>
      </c>
      <c r="R12" s="23"/>
      <c r="S12" s="23"/>
      <c r="T12" s="23"/>
      <c r="U12" s="23"/>
      <c r="V12" s="23"/>
      <c r="W12" s="23"/>
      <c r="X12" s="640"/>
      <c r="Y12" s="641"/>
      <c r="Z12" s="593" t="s">
        <v>4875</v>
      </c>
      <c r="AA12" s="640"/>
      <c r="AB12" s="641"/>
      <c r="AC12" s="593" t="s">
        <v>4875</v>
      </c>
      <c r="AD12" s="642"/>
      <c r="AE12" s="642"/>
      <c r="AF12" s="643"/>
      <c r="AH12" s="105"/>
    </row>
    <row r="13" spans="2:34" ht="20.25">
      <c r="B13" s="145" t="str">
        <f ca="1">'GPlan-Translations'!C126</f>
        <v>Veículo</v>
      </c>
      <c r="C13" s="23"/>
      <c r="D13" s="23"/>
      <c r="E13" s="573"/>
      <c r="F13" s="573"/>
      <c r="G13" s="573"/>
      <c r="H13" s="573"/>
      <c r="I13" s="573"/>
      <c r="J13" s="573"/>
      <c r="K13" s="573"/>
      <c r="L13" s="573"/>
      <c r="M13" s="574"/>
      <c r="N13" s="574"/>
      <c r="O13" s="574"/>
      <c r="P13" s="574"/>
      <c r="Q13" s="574"/>
      <c r="R13" s="574"/>
      <c r="S13" s="574"/>
      <c r="T13" s="574"/>
      <c r="U13" s="574"/>
      <c r="V13" s="574"/>
      <c r="W13" s="574"/>
      <c r="X13" s="26" t="str">
        <f ca="1">'GPlan-Translations'!C127</f>
        <v>Placa</v>
      </c>
      <c r="Y13" s="26"/>
      <c r="Z13" s="573"/>
      <c r="AA13" s="573"/>
      <c r="AB13" s="573"/>
      <c r="AC13" s="573"/>
      <c r="AD13" s="573"/>
      <c r="AE13" s="573"/>
      <c r="AF13" s="583"/>
      <c r="AH13" s="105"/>
    </row>
    <row r="14" spans="2:34" ht="20.25">
      <c r="B14" s="148" t="str">
        <f ca="1">'GPlan-Translations'!C128</f>
        <v>Nº Chassi</v>
      </c>
      <c r="C14" s="104"/>
      <c r="D14" s="104"/>
      <c r="E14" s="585"/>
      <c r="F14" s="585"/>
      <c r="G14" s="585"/>
      <c r="H14" s="585"/>
      <c r="I14" s="585"/>
      <c r="J14" s="585"/>
      <c r="K14" s="585"/>
      <c r="L14" s="585"/>
      <c r="M14" s="586"/>
      <c r="N14" s="586"/>
      <c r="O14" s="586"/>
      <c r="P14" s="586"/>
      <c r="Q14" s="23" t="str">
        <f ca="1">'GPlan-Translations'!C129</f>
        <v>Cód. Renavam</v>
      </c>
      <c r="R14" s="104"/>
      <c r="S14" s="104"/>
      <c r="T14" s="104"/>
      <c r="U14" s="104"/>
      <c r="V14" s="585"/>
      <c r="W14" s="585"/>
      <c r="X14" s="585"/>
      <c r="Y14" s="585"/>
      <c r="Z14" s="585"/>
      <c r="AA14" s="585"/>
      <c r="AB14" s="585"/>
      <c r="AC14" s="585"/>
      <c r="AD14" s="585"/>
      <c r="AE14" s="585"/>
      <c r="AF14" s="587"/>
      <c r="AH14" s="105"/>
    </row>
    <row r="15" spans="2:34" ht="20.25">
      <c r="B15" s="145" t="str">
        <f ca="1">'GPlan-Translations'!C130</f>
        <v>Cia. Seguro</v>
      </c>
      <c r="C15" s="23"/>
      <c r="D15" s="23"/>
      <c r="E15" s="573"/>
      <c r="F15" s="573"/>
      <c r="G15" s="573"/>
      <c r="H15" s="573"/>
      <c r="I15" s="573"/>
      <c r="J15" s="573"/>
      <c r="K15" s="573"/>
      <c r="L15" s="573"/>
      <c r="M15" s="574"/>
      <c r="N15" s="573"/>
      <c r="O15" s="573"/>
      <c r="P15" s="573"/>
      <c r="Q15" s="26" t="str">
        <f ca="1">'GPlan-Translations'!C131</f>
        <v>Vcto. Seguro Obr.</v>
      </c>
      <c r="R15" s="25"/>
      <c r="S15" s="25"/>
      <c r="T15" s="25"/>
      <c r="U15" s="25"/>
      <c r="V15" s="25"/>
      <c r="W15" s="25"/>
      <c r="X15" s="640"/>
      <c r="Y15" s="641"/>
      <c r="Z15" s="593" t="s">
        <v>4875</v>
      </c>
      <c r="AA15" s="640"/>
      <c r="AB15" s="641"/>
      <c r="AC15" s="593" t="s">
        <v>4875</v>
      </c>
      <c r="AD15" s="642"/>
      <c r="AE15" s="642"/>
      <c r="AF15" s="643"/>
      <c r="AH15" s="105"/>
    </row>
    <row r="16" spans="2:34" ht="19.5">
      <c r="B16" s="27"/>
      <c r="C16" s="27"/>
      <c r="D16" s="27"/>
      <c r="E16" s="27"/>
      <c r="F16" s="27"/>
      <c r="G16" s="27"/>
      <c r="H16" s="27"/>
      <c r="I16" s="27"/>
      <c r="J16" s="27"/>
      <c r="K16" s="27"/>
      <c r="L16" s="27"/>
      <c r="M16" s="27"/>
      <c r="N16" s="14"/>
      <c r="O16" s="14"/>
      <c r="P16" s="14"/>
      <c r="Q16" s="20"/>
      <c r="R16" s="20"/>
      <c r="S16" s="20"/>
      <c r="T16" s="20"/>
      <c r="U16" s="20"/>
      <c r="V16" s="20"/>
      <c r="W16" s="20"/>
      <c r="X16" s="15"/>
      <c r="Y16" s="15"/>
      <c r="Z16" s="15"/>
      <c r="AA16" s="15"/>
      <c r="AB16" s="15"/>
      <c r="AC16" s="15"/>
      <c r="AD16" s="14"/>
      <c r="AE16" s="14"/>
      <c r="AH16" s="106"/>
    </row>
    <row r="17" spans="2:34" ht="20.25">
      <c r="B17" s="150" t="str">
        <f ca="1">'GPlan-Translations'!C104</f>
        <v>DADOS COMERCIAIS</v>
      </c>
      <c r="C17" s="21"/>
      <c r="D17" s="21"/>
      <c r="E17" s="21"/>
      <c r="F17" s="21"/>
      <c r="G17" s="21"/>
      <c r="H17" s="21"/>
      <c r="I17" s="21"/>
      <c r="J17" s="21"/>
      <c r="K17" s="21"/>
      <c r="L17" s="21"/>
      <c r="M17" s="22"/>
      <c r="N17" s="21"/>
      <c r="O17" s="21"/>
      <c r="P17" s="21"/>
      <c r="Q17" s="22"/>
      <c r="R17" s="22"/>
      <c r="S17" s="22"/>
      <c r="T17" s="22"/>
      <c r="U17" s="22"/>
      <c r="V17" s="22"/>
      <c r="W17" s="22"/>
      <c r="X17" s="22"/>
      <c r="Y17" s="22"/>
      <c r="Z17" s="22"/>
      <c r="AA17" s="22"/>
      <c r="AB17" s="22"/>
      <c r="AC17" s="22"/>
      <c r="AD17" s="21"/>
      <c r="AE17" s="18"/>
      <c r="AH17" s="105"/>
    </row>
    <row r="18" spans="2:34" ht="20.25">
      <c r="B18" s="145" t="str">
        <f ca="1">'GPlan-Translations'!C132</f>
        <v>Nome</v>
      </c>
      <c r="C18" s="23"/>
      <c r="D18" s="573"/>
      <c r="E18" s="573"/>
      <c r="F18" s="573"/>
      <c r="G18" s="573"/>
      <c r="H18" s="573"/>
      <c r="I18" s="573"/>
      <c r="J18" s="573"/>
      <c r="K18" s="573"/>
      <c r="L18" s="573"/>
      <c r="M18" s="574"/>
      <c r="N18" s="573"/>
      <c r="O18" s="573"/>
      <c r="P18" s="573"/>
      <c r="Q18" s="574"/>
      <c r="R18" s="574"/>
      <c r="S18" s="574"/>
      <c r="T18" s="574"/>
      <c r="U18" s="574"/>
      <c r="V18" s="574"/>
      <c r="W18" s="574"/>
      <c r="X18" s="574"/>
      <c r="Y18" s="574"/>
      <c r="Z18" s="574"/>
      <c r="AA18" s="574"/>
      <c r="AB18" s="574"/>
      <c r="AC18" s="574"/>
      <c r="AD18" s="573"/>
      <c r="AE18" s="573"/>
      <c r="AF18" s="575"/>
      <c r="AH18" s="105"/>
    </row>
    <row r="19" spans="2:34" ht="20.25">
      <c r="B19" s="145" t="str">
        <f ca="1">'GPlan-Translations'!C133</f>
        <v>Endereço</v>
      </c>
      <c r="C19" s="23"/>
      <c r="D19" s="573"/>
      <c r="E19" s="573"/>
      <c r="F19" s="573"/>
      <c r="G19" s="573"/>
      <c r="H19" s="573"/>
      <c r="I19" s="573"/>
      <c r="J19" s="573"/>
      <c r="K19" s="573"/>
      <c r="L19" s="573"/>
      <c r="M19" s="574"/>
      <c r="N19" s="573"/>
      <c r="O19" s="573"/>
      <c r="P19" s="573"/>
      <c r="Q19" s="574"/>
      <c r="R19" s="574"/>
      <c r="S19" s="574"/>
      <c r="T19" s="574"/>
      <c r="U19" s="574"/>
      <c r="V19" s="574"/>
      <c r="W19" s="574"/>
      <c r="X19" s="574"/>
      <c r="Y19" s="574"/>
      <c r="Z19" s="574"/>
      <c r="AA19" s="574"/>
      <c r="AB19" s="574"/>
      <c r="AC19" s="574"/>
      <c r="AD19" s="573"/>
      <c r="AE19" s="573"/>
      <c r="AF19" s="575"/>
      <c r="AH19" s="105"/>
    </row>
    <row r="20" spans="2:34" ht="20.25">
      <c r="B20" s="145" t="str">
        <f ca="1">'GPlan-Translations'!C108</f>
        <v>Cidade</v>
      </c>
      <c r="C20" s="23"/>
      <c r="D20" s="573"/>
      <c r="E20" s="573"/>
      <c r="F20" s="573"/>
      <c r="G20" s="573"/>
      <c r="H20" s="573"/>
      <c r="I20" s="573"/>
      <c r="J20" s="573"/>
      <c r="K20" s="573"/>
      <c r="L20" s="573"/>
      <c r="M20" s="574"/>
      <c r="N20" s="576"/>
      <c r="O20" s="576"/>
      <c r="P20" s="573"/>
      <c r="Q20" s="26" t="str">
        <f ca="1">'GPlan-Translations'!C135</f>
        <v>CEP</v>
      </c>
      <c r="R20" s="25"/>
      <c r="S20" s="577"/>
      <c r="T20" s="577"/>
      <c r="U20" s="577"/>
      <c r="V20" s="577"/>
      <c r="W20" s="578"/>
      <c r="X20" s="26" t="str">
        <f ca="1">'GPlan-Translations'!C136</f>
        <v>Estado</v>
      </c>
      <c r="Y20" s="25"/>
      <c r="Z20" s="577"/>
      <c r="AA20" s="577"/>
      <c r="AB20" s="577"/>
      <c r="AC20" s="577"/>
      <c r="AD20" s="577"/>
      <c r="AE20" s="577"/>
      <c r="AF20" s="575"/>
      <c r="AH20" s="105"/>
    </row>
    <row r="21" spans="2:34" ht="20.25">
      <c r="B21" s="145" t="str">
        <f ca="1">'GPlan-Translations'!C111</f>
        <v>Fone</v>
      </c>
      <c r="C21" s="573"/>
      <c r="D21" s="573"/>
      <c r="E21" s="573"/>
      <c r="F21" s="573"/>
      <c r="G21" s="573"/>
      <c r="H21" s="573"/>
      <c r="I21" s="573"/>
      <c r="J21" s="573"/>
      <c r="K21" s="573"/>
      <c r="L21" s="573"/>
      <c r="M21" s="574"/>
      <c r="N21" s="573"/>
      <c r="O21" s="573"/>
      <c r="P21" s="573"/>
      <c r="Q21" s="26" t="str">
        <f ca="1">'GPlan-Translations'!C138</f>
        <v>Fax</v>
      </c>
      <c r="R21" s="577"/>
      <c r="S21" s="577"/>
      <c r="T21" s="577"/>
      <c r="U21" s="577"/>
      <c r="V21" s="577"/>
      <c r="W21" s="577"/>
      <c r="X21" s="574"/>
      <c r="Y21" s="574"/>
      <c r="Z21" s="574"/>
      <c r="AA21" s="574"/>
      <c r="AB21" s="574"/>
      <c r="AC21" s="574"/>
      <c r="AD21" s="573"/>
      <c r="AE21" s="573"/>
      <c r="AF21" s="575"/>
      <c r="AH21" s="105"/>
    </row>
    <row r="22" spans="2:34" ht="20.25">
      <c r="B22" s="145" t="str">
        <f ca="1">'GPlan-Translations'!C139</f>
        <v>E-mail 1</v>
      </c>
      <c r="C22" s="23"/>
      <c r="D22" s="573"/>
      <c r="E22" s="573"/>
      <c r="F22" s="573"/>
      <c r="G22" s="573"/>
      <c r="H22" s="573"/>
      <c r="I22" s="573"/>
      <c r="J22" s="573"/>
      <c r="K22" s="573"/>
      <c r="L22" s="573"/>
      <c r="M22" s="574"/>
      <c r="N22" s="574"/>
      <c r="O22" s="574"/>
      <c r="P22" s="573"/>
      <c r="Q22" s="572" t="str">
        <f ca="1">'GPlan-Translations'!C140</f>
        <v>E-mail 2</v>
      </c>
      <c r="R22" s="149"/>
      <c r="S22" s="588"/>
      <c r="T22" s="588"/>
      <c r="U22" s="588"/>
      <c r="V22" s="588"/>
      <c r="W22" s="588"/>
      <c r="X22" s="574"/>
      <c r="Y22" s="574"/>
      <c r="Z22" s="574"/>
      <c r="AA22" s="574"/>
      <c r="AB22" s="574"/>
      <c r="AC22" s="574"/>
      <c r="AD22" s="573"/>
      <c r="AE22" s="573"/>
      <c r="AF22" s="575"/>
      <c r="AH22" s="105"/>
    </row>
    <row r="23" spans="2:34" ht="20.25">
      <c r="B23" s="145" t="str">
        <f ca="1">'GPlan-Translations'!C141</f>
        <v>WebSite</v>
      </c>
      <c r="C23" s="23"/>
      <c r="D23" s="573"/>
      <c r="E23" s="573"/>
      <c r="F23" s="573"/>
      <c r="G23" s="573"/>
      <c r="H23" s="573"/>
      <c r="I23" s="573"/>
      <c r="J23" s="573"/>
      <c r="K23" s="573"/>
      <c r="L23" s="573"/>
      <c r="M23" s="574"/>
      <c r="N23" s="574"/>
      <c r="O23" s="574"/>
      <c r="P23" s="573"/>
      <c r="Q23" s="588"/>
      <c r="R23" s="588"/>
      <c r="S23" s="588"/>
      <c r="T23" s="588"/>
      <c r="U23" s="588"/>
      <c r="V23" s="588"/>
      <c r="W23" s="588"/>
      <c r="X23" s="574"/>
      <c r="Y23" s="574"/>
      <c r="Z23" s="574"/>
      <c r="AA23" s="574"/>
      <c r="AB23" s="574"/>
      <c r="AC23" s="574"/>
      <c r="AD23" s="573"/>
      <c r="AE23" s="573"/>
      <c r="AF23" s="575"/>
      <c r="AH23" s="105"/>
    </row>
    <row r="24" spans="2:34" ht="20.25">
      <c r="B24" s="145" t="str">
        <f ca="1">'GPlan-Translations'!C142</f>
        <v>CNPJ</v>
      </c>
      <c r="C24" s="573"/>
      <c r="D24" s="573"/>
      <c r="E24" s="573"/>
      <c r="F24" s="573"/>
      <c r="G24" s="573"/>
      <c r="H24" s="573"/>
      <c r="I24" s="573"/>
      <c r="J24" s="573"/>
      <c r="K24" s="573"/>
      <c r="L24" s="573"/>
      <c r="M24" s="574"/>
      <c r="N24" s="26" t="str">
        <f ca="1">'GPlan-Translations'!C143</f>
        <v>I.E.</v>
      </c>
      <c r="O24" s="577"/>
      <c r="P24" s="573"/>
      <c r="Q24" s="574"/>
      <c r="R24" s="574"/>
      <c r="S24" s="574"/>
      <c r="T24" s="574"/>
      <c r="U24" s="574"/>
      <c r="V24" s="574"/>
      <c r="W24" s="574"/>
      <c r="X24" s="23" t="str">
        <f ca="1">'GPlan-Translations'!C144</f>
        <v>I.M.</v>
      </c>
      <c r="Y24" s="573"/>
      <c r="Z24" s="573"/>
      <c r="AA24" s="573"/>
      <c r="AB24" s="573"/>
      <c r="AC24" s="573"/>
      <c r="AD24" s="573"/>
      <c r="AE24" s="573"/>
      <c r="AF24" s="575"/>
      <c r="AH24" s="105"/>
    </row>
    <row r="25" spans="2:34" ht="19.5">
      <c r="B25" s="18"/>
      <c r="C25" s="18"/>
      <c r="D25" s="18"/>
      <c r="E25" s="18"/>
      <c r="F25" s="18"/>
      <c r="G25" s="18"/>
      <c r="H25" s="18"/>
      <c r="I25" s="18"/>
      <c r="J25" s="18"/>
      <c r="K25" s="18"/>
      <c r="L25" s="18"/>
      <c r="M25" s="19"/>
      <c r="N25" s="18"/>
      <c r="O25" s="18"/>
      <c r="P25" s="18"/>
      <c r="Q25" s="19"/>
      <c r="R25" s="19"/>
      <c r="S25" s="19"/>
      <c r="T25" s="19"/>
      <c r="U25" s="19"/>
      <c r="V25" s="19"/>
      <c r="W25" s="19"/>
      <c r="X25" s="15"/>
      <c r="Y25" s="15"/>
      <c r="Z25" s="15"/>
      <c r="AA25" s="15"/>
      <c r="AB25" s="15"/>
      <c r="AC25" s="15"/>
      <c r="AD25" s="18"/>
      <c r="AE25" s="18"/>
      <c r="AF25" s="20"/>
      <c r="AH25" s="106"/>
    </row>
    <row r="26" spans="2:34" ht="20.25">
      <c r="B26" s="150" t="str">
        <f ca="1">'GPlan-Translations'!C105</f>
        <v>EMERGÊNCIA</v>
      </c>
      <c r="C26" s="21"/>
      <c r="D26" s="21"/>
      <c r="E26" s="21"/>
      <c r="F26" s="21"/>
      <c r="G26" s="21"/>
      <c r="H26" s="21"/>
      <c r="I26" s="21"/>
      <c r="J26" s="21"/>
      <c r="K26" s="21"/>
      <c r="L26" s="21"/>
      <c r="M26" s="22"/>
      <c r="N26" s="21"/>
      <c r="O26" s="21"/>
      <c r="P26" s="21"/>
      <c r="Q26" s="22"/>
      <c r="R26" s="22"/>
      <c r="S26" s="22"/>
      <c r="T26" s="22"/>
      <c r="U26" s="22"/>
      <c r="V26" s="22"/>
      <c r="W26" s="22"/>
      <c r="X26" s="22"/>
      <c r="Y26" s="22"/>
      <c r="Z26" s="22"/>
      <c r="AA26" s="22"/>
      <c r="AB26" s="22"/>
      <c r="AC26" s="22"/>
      <c r="AD26" s="21"/>
      <c r="AE26" s="18"/>
      <c r="AH26" s="105"/>
    </row>
    <row r="27" spans="2:34" ht="20.25">
      <c r="B27" s="145" t="str">
        <f ca="1">'GPlan-Translations'!C145</f>
        <v>Grupo Sangüíneo</v>
      </c>
      <c r="C27" s="23"/>
      <c r="D27" s="573"/>
      <c r="E27" s="573"/>
      <c r="F27" s="573"/>
      <c r="G27" s="573"/>
      <c r="H27" s="573"/>
      <c r="I27" s="573"/>
      <c r="J27" s="573"/>
      <c r="K27" s="573"/>
      <c r="L27" s="573"/>
      <c r="M27" s="574"/>
      <c r="N27" s="573"/>
      <c r="O27" s="573"/>
      <c r="P27" s="573"/>
      <c r="Q27" s="23" t="str">
        <f ca="1">'GPlan-Translations'!C146</f>
        <v>Tipo RH</v>
      </c>
      <c r="R27" s="23"/>
      <c r="S27" s="573"/>
      <c r="T27" s="573"/>
      <c r="U27" s="573"/>
      <c r="V27" s="573"/>
      <c r="W27" s="573"/>
      <c r="X27" s="574"/>
      <c r="Y27" s="574"/>
      <c r="Z27" s="574"/>
      <c r="AA27" s="574"/>
      <c r="AB27" s="574"/>
      <c r="AC27" s="574"/>
      <c r="AD27" s="573"/>
      <c r="AE27" s="573"/>
      <c r="AF27" s="575"/>
      <c r="AH27" s="105"/>
    </row>
    <row r="28" spans="2:34" ht="20.25">
      <c r="B28" s="145" t="str">
        <f ca="1">'GPlan-Translations'!C147</f>
        <v>Médico</v>
      </c>
      <c r="C28" s="573"/>
      <c r="D28" s="573"/>
      <c r="E28" s="573"/>
      <c r="F28" s="573"/>
      <c r="G28" s="573"/>
      <c r="H28" s="573"/>
      <c r="I28" s="573"/>
      <c r="J28" s="573"/>
      <c r="K28" s="573"/>
      <c r="L28" s="573"/>
      <c r="M28" s="574"/>
      <c r="N28" s="573"/>
      <c r="O28" s="573"/>
      <c r="P28" s="573"/>
      <c r="Q28" s="23" t="str">
        <f ca="1">'GPlan-Translations'!C148</f>
        <v>Celular</v>
      </c>
      <c r="R28" s="23"/>
      <c r="S28" s="573"/>
      <c r="T28" s="573"/>
      <c r="U28" s="573"/>
      <c r="V28" s="573"/>
      <c r="W28" s="573"/>
      <c r="X28" s="574"/>
      <c r="Y28" s="574"/>
      <c r="Z28" s="574"/>
      <c r="AA28" s="574"/>
      <c r="AB28" s="574"/>
      <c r="AC28" s="574"/>
      <c r="AD28" s="573"/>
      <c r="AE28" s="573"/>
      <c r="AF28" s="575"/>
      <c r="AH28" s="105"/>
    </row>
    <row r="29" spans="2:34" ht="20.25">
      <c r="B29" s="145" t="str">
        <f ca="1">'GPlan-Translations'!C149</f>
        <v>Tel. Consultório</v>
      </c>
      <c r="C29" s="573"/>
      <c r="D29" s="573"/>
      <c r="E29" s="573"/>
      <c r="F29" s="573"/>
      <c r="G29" s="573"/>
      <c r="H29" s="573"/>
      <c r="I29" s="573"/>
      <c r="J29" s="573"/>
      <c r="K29" s="573"/>
      <c r="L29" s="573"/>
      <c r="M29" s="574"/>
      <c r="N29" s="576"/>
      <c r="O29" s="576"/>
      <c r="P29" s="573"/>
      <c r="Q29" s="23" t="str">
        <f ca="1">'GPlan-Translations'!C150</f>
        <v>Tel. Residência</v>
      </c>
      <c r="R29" s="573"/>
      <c r="S29" s="573"/>
      <c r="T29" s="573"/>
      <c r="U29" s="573"/>
      <c r="V29" s="573"/>
      <c r="W29" s="573"/>
      <c r="X29" s="574"/>
      <c r="Y29" s="574"/>
      <c r="Z29" s="574"/>
      <c r="AA29" s="574"/>
      <c r="AB29" s="574"/>
      <c r="AC29" s="574"/>
      <c r="AD29" s="573"/>
      <c r="AE29" s="573"/>
      <c r="AF29" s="575"/>
      <c r="AH29" s="105"/>
    </row>
    <row r="30" spans="2:34" ht="20.25">
      <c r="B30" s="145" t="str">
        <f ca="1">'GPlan-Translations'!C151</f>
        <v>Plano Saúde</v>
      </c>
      <c r="C30" s="573"/>
      <c r="D30" s="573"/>
      <c r="E30" s="573"/>
      <c r="F30" s="573"/>
      <c r="G30" s="573"/>
      <c r="H30" s="573"/>
      <c r="I30" s="573"/>
      <c r="J30" s="573"/>
      <c r="K30" s="573"/>
      <c r="L30" s="573"/>
      <c r="M30" s="574"/>
      <c r="N30" s="573"/>
      <c r="O30" s="573"/>
      <c r="P30" s="573"/>
      <c r="Q30" s="23" t="str">
        <f ca="1">'GPlan-Translations'!C152</f>
        <v>Fone</v>
      </c>
      <c r="R30" s="573"/>
      <c r="S30" s="573"/>
      <c r="T30" s="573"/>
      <c r="U30" s="573"/>
      <c r="V30" s="573"/>
      <c r="W30" s="573"/>
      <c r="X30" s="574"/>
      <c r="Y30" s="574"/>
      <c r="Z30" s="574"/>
      <c r="AA30" s="574"/>
      <c r="AB30" s="574"/>
      <c r="AC30" s="574"/>
      <c r="AD30" s="573"/>
      <c r="AE30" s="573"/>
      <c r="AF30" s="575"/>
      <c r="AH30" s="105"/>
    </row>
    <row r="31" spans="2:34" ht="20.25">
      <c r="B31" s="145" t="str">
        <f ca="1">'GPlan-Translations'!C153</f>
        <v>Hospital</v>
      </c>
      <c r="C31" s="573"/>
      <c r="D31" s="573"/>
      <c r="E31" s="573"/>
      <c r="F31" s="573"/>
      <c r="G31" s="573"/>
      <c r="H31" s="573"/>
      <c r="I31" s="573"/>
      <c r="J31" s="573"/>
      <c r="K31" s="573"/>
      <c r="L31" s="573"/>
      <c r="M31" s="574"/>
      <c r="N31" s="573"/>
      <c r="O31" s="573"/>
      <c r="P31" s="573"/>
      <c r="Q31" s="573"/>
      <c r="R31" s="573"/>
      <c r="S31" s="573"/>
      <c r="T31" s="573"/>
      <c r="U31" s="573"/>
      <c r="V31" s="573"/>
      <c r="W31" s="573"/>
      <c r="X31" s="574"/>
      <c r="Y31" s="574"/>
      <c r="Z31" s="574"/>
      <c r="AA31" s="574"/>
      <c r="AB31" s="574"/>
      <c r="AC31" s="574"/>
      <c r="AD31" s="573"/>
      <c r="AE31" s="573"/>
      <c r="AF31" s="575"/>
      <c r="AH31" s="105"/>
    </row>
    <row r="32" spans="2:34" ht="20.25">
      <c r="B32" s="145" t="str">
        <f ca="1">'GPlan-Translations'!C154</f>
        <v>Sou alérgico à</v>
      </c>
      <c r="C32" s="573"/>
      <c r="D32" s="573"/>
      <c r="E32" s="573"/>
      <c r="F32" s="573"/>
      <c r="G32" s="573"/>
      <c r="H32" s="573"/>
      <c r="I32" s="573"/>
      <c r="J32" s="573"/>
      <c r="K32" s="573"/>
      <c r="L32" s="573"/>
      <c r="M32" s="574"/>
      <c r="N32" s="573"/>
      <c r="O32" s="573"/>
      <c r="P32" s="573"/>
      <c r="Q32" s="576"/>
      <c r="R32" s="576"/>
      <c r="S32" s="576"/>
      <c r="T32" s="576"/>
      <c r="U32" s="576"/>
      <c r="V32" s="576"/>
      <c r="W32" s="576"/>
      <c r="X32" s="574"/>
      <c r="Y32" s="574"/>
      <c r="Z32" s="574"/>
      <c r="AA32" s="574"/>
      <c r="AB32" s="574"/>
      <c r="AC32" s="574"/>
      <c r="AD32" s="573"/>
      <c r="AE32" s="573"/>
      <c r="AF32" s="575"/>
      <c r="AH32" s="105"/>
    </row>
    <row r="33" spans="2:34" ht="20.25">
      <c r="B33" s="145" t="str">
        <f ca="1">'GPlan-Translations'!C155</f>
        <v>Vacinação contra tétano:</v>
      </c>
      <c r="C33" s="23"/>
      <c r="D33" s="23"/>
      <c r="E33" s="23"/>
      <c r="F33" s="23"/>
      <c r="G33" s="23"/>
      <c r="H33" s="23"/>
      <c r="I33" s="23"/>
      <c r="J33" s="23"/>
      <c r="K33" s="23"/>
      <c r="L33" s="23"/>
      <c r="M33" s="24"/>
      <c r="N33" s="25" t="s">
        <v>383</v>
      </c>
      <c r="O33" s="584"/>
      <c r="P33" s="23" t="s">
        <v>384</v>
      </c>
      <c r="Q33" s="23" t="str">
        <f ca="1">'GPlan-Translations'!C156</f>
        <v>sim</v>
      </c>
      <c r="R33" s="23"/>
      <c r="S33" s="23"/>
      <c r="T33" s="23"/>
      <c r="U33" s="23"/>
      <c r="V33" s="23"/>
      <c r="W33" s="23"/>
      <c r="X33" s="25" t="s">
        <v>383</v>
      </c>
      <c r="Y33" s="584"/>
      <c r="Z33" s="23" t="s">
        <v>384</v>
      </c>
      <c r="AA33" s="23" t="str">
        <f ca="1">'GPlan-Translations'!C157</f>
        <v>não</v>
      </c>
      <c r="AB33" s="23"/>
      <c r="AC33" s="23"/>
      <c r="AD33" s="23"/>
      <c r="AE33" s="23"/>
      <c r="AF33" s="146"/>
      <c r="AH33" s="105"/>
    </row>
    <row r="34" spans="2:34" ht="20.25">
      <c r="B34" s="145" t="str">
        <f ca="1">'GPlan-Translations'!C158</f>
        <v>Sofro de:</v>
      </c>
      <c r="C34" s="23"/>
      <c r="D34" s="23"/>
      <c r="E34" s="23"/>
      <c r="F34" s="23"/>
      <c r="G34" s="23"/>
      <c r="H34" s="23"/>
      <c r="I34" s="23"/>
      <c r="J34" s="23"/>
      <c r="K34" s="23"/>
      <c r="L34" s="23"/>
      <c r="M34" s="24"/>
      <c r="N34" s="23"/>
      <c r="O34" s="23"/>
      <c r="P34" s="23"/>
      <c r="Q34" s="24"/>
      <c r="R34" s="24"/>
      <c r="S34" s="24"/>
      <c r="T34" s="24"/>
      <c r="U34" s="24"/>
      <c r="V34" s="24"/>
      <c r="W34" s="24"/>
      <c r="X34" s="24"/>
      <c r="Y34" s="24"/>
      <c r="Z34" s="24"/>
      <c r="AA34" s="24"/>
      <c r="AB34" s="24"/>
      <c r="AC34" s="24"/>
      <c r="AD34" s="23"/>
      <c r="AE34" s="23"/>
      <c r="AF34" s="146"/>
      <c r="AH34" s="105"/>
    </row>
    <row r="35" spans="2:34" ht="20.25">
      <c r="B35" s="571" t="s">
        <v>383</v>
      </c>
      <c r="C35" s="584"/>
      <c r="D35" s="23" t="s">
        <v>384</v>
      </c>
      <c r="E35" s="23" t="str">
        <f ca="1">'GPlan-Translations'!C159</f>
        <v>Coração</v>
      </c>
      <c r="F35" s="23"/>
      <c r="G35" s="23"/>
      <c r="H35" s="23"/>
      <c r="I35" s="23"/>
      <c r="J35" s="23"/>
      <c r="K35" s="18"/>
      <c r="L35" s="18"/>
      <c r="N35" s="25" t="s">
        <v>383</v>
      </c>
      <c r="O35" s="584"/>
      <c r="P35" s="23" t="s">
        <v>384</v>
      </c>
      <c r="Q35" s="23" t="str">
        <f ca="1">'GPlan-Translations'!C160</f>
        <v>Hemofilia</v>
      </c>
      <c r="R35" s="23"/>
      <c r="S35" s="23"/>
      <c r="T35" s="23"/>
      <c r="U35" s="23"/>
      <c r="V35" s="23"/>
      <c r="W35" s="23"/>
      <c r="X35" s="25" t="s">
        <v>383</v>
      </c>
      <c r="Y35" s="584"/>
      <c r="Z35" s="23" t="s">
        <v>384</v>
      </c>
      <c r="AA35" s="23"/>
      <c r="AB35" s="23"/>
      <c r="AC35" s="23"/>
      <c r="AD35" s="23"/>
      <c r="AE35" s="23"/>
      <c r="AF35" s="146"/>
      <c r="AH35" s="105"/>
    </row>
    <row r="36" spans="2:34" ht="20.25">
      <c r="B36" s="571" t="s">
        <v>383</v>
      </c>
      <c r="C36" s="584"/>
      <c r="D36" s="23" t="s">
        <v>384</v>
      </c>
      <c r="E36" s="23" t="str">
        <f ca="1">'GPlan-Translations'!C161</f>
        <v>Eplepsia</v>
      </c>
      <c r="F36" s="23"/>
      <c r="G36" s="23"/>
      <c r="H36" s="23"/>
      <c r="I36" s="23"/>
      <c r="J36" s="23"/>
      <c r="K36" s="18"/>
      <c r="L36" s="18"/>
      <c r="N36" s="25" t="s">
        <v>383</v>
      </c>
      <c r="O36" s="584"/>
      <c r="P36" s="23" t="s">
        <v>384</v>
      </c>
      <c r="Q36" s="23" t="str">
        <f ca="1">'GPlan-Translations'!C162</f>
        <v>Diabetes</v>
      </c>
      <c r="R36" s="23"/>
      <c r="S36" s="23"/>
      <c r="T36" s="23"/>
      <c r="U36" s="23"/>
      <c r="V36" s="23"/>
      <c r="W36" s="23"/>
      <c r="X36" s="25" t="s">
        <v>383</v>
      </c>
      <c r="Y36" s="584"/>
      <c r="Z36" s="23" t="s">
        <v>384</v>
      </c>
      <c r="AA36" s="23"/>
      <c r="AB36" s="23"/>
      <c r="AC36" s="23"/>
      <c r="AD36" s="23"/>
      <c r="AE36" s="23"/>
      <c r="AF36" s="146"/>
      <c r="AH36" s="105"/>
    </row>
    <row r="37" spans="2:34" ht="20.25">
      <c r="B37" s="145" t="str">
        <f ca="1">'GPlan-Translations'!C163</f>
        <v>Em caso de emergência avisar:</v>
      </c>
      <c r="C37" s="23"/>
      <c r="D37" s="23"/>
      <c r="E37" s="23"/>
      <c r="F37" s="23"/>
      <c r="G37" s="23"/>
      <c r="H37" s="23"/>
      <c r="I37" s="23"/>
      <c r="J37" s="23"/>
      <c r="K37" s="23"/>
      <c r="L37" s="23"/>
      <c r="M37" s="24"/>
      <c r="N37" s="23"/>
      <c r="O37" s="23"/>
      <c r="P37" s="23"/>
      <c r="Q37" s="24"/>
      <c r="R37" s="24"/>
      <c r="S37" s="24"/>
      <c r="T37" s="24"/>
      <c r="U37" s="24"/>
      <c r="V37" s="24"/>
      <c r="W37" s="24"/>
      <c r="X37" s="24"/>
      <c r="Y37" s="24"/>
      <c r="Z37" s="24"/>
      <c r="AA37" s="24"/>
      <c r="AB37" s="24"/>
      <c r="AC37" s="24"/>
      <c r="AD37" s="23"/>
      <c r="AE37" s="23"/>
      <c r="AF37" s="146"/>
      <c r="AH37" s="105"/>
    </row>
    <row r="38" spans="2:34" ht="20.25">
      <c r="B38" s="145" t="str">
        <f ca="1">'GPlan-Translations'!C164</f>
        <v>Nome:</v>
      </c>
      <c r="C38" s="23"/>
      <c r="D38" s="573"/>
      <c r="E38" s="573"/>
      <c r="F38" s="573"/>
      <c r="G38" s="573"/>
      <c r="H38" s="573"/>
      <c r="I38" s="573"/>
      <c r="J38" s="573"/>
      <c r="K38" s="573"/>
      <c r="L38" s="573"/>
      <c r="M38" s="573"/>
      <c r="N38" s="573"/>
      <c r="O38" s="573"/>
      <c r="P38" s="573"/>
      <c r="Q38" s="23" t="str">
        <f ca="1">'GPlan-Translations'!C165</f>
        <v>Fone:</v>
      </c>
      <c r="R38" s="23"/>
      <c r="S38" s="573"/>
      <c r="T38" s="573"/>
      <c r="U38" s="573"/>
      <c r="V38" s="573"/>
      <c r="W38" s="573"/>
      <c r="X38" s="573"/>
      <c r="Y38" s="573"/>
      <c r="Z38" s="573"/>
      <c r="AA38" s="573"/>
      <c r="AB38" s="573"/>
      <c r="AC38" s="573"/>
      <c r="AD38" s="589"/>
      <c r="AE38" s="589"/>
      <c r="AF38" s="575"/>
      <c r="AH38" s="105"/>
    </row>
    <row r="39" spans="2:34" ht="20.25">
      <c r="B39" s="145" t="str">
        <f ca="1">'GPlan-Translations'!C166</f>
        <v>Nome:</v>
      </c>
      <c r="C39" s="23"/>
      <c r="D39" s="573"/>
      <c r="E39" s="573"/>
      <c r="F39" s="573"/>
      <c r="G39" s="573"/>
      <c r="H39" s="573"/>
      <c r="I39" s="573"/>
      <c r="J39" s="573"/>
      <c r="K39" s="573"/>
      <c r="L39" s="573"/>
      <c r="M39" s="573"/>
      <c r="N39" s="573"/>
      <c r="O39" s="573"/>
      <c r="P39" s="573"/>
      <c r="Q39" s="23" t="str">
        <f ca="1">'GPlan-Translations'!C167</f>
        <v>Fone:</v>
      </c>
      <c r="R39" s="23"/>
      <c r="S39" s="573"/>
      <c r="T39" s="573"/>
      <c r="U39" s="573"/>
      <c r="V39" s="573"/>
      <c r="W39" s="573"/>
      <c r="X39" s="573"/>
      <c r="Y39" s="573"/>
      <c r="Z39" s="573"/>
      <c r="AA39" s="573"/>
      <c r="AB39" s="573"/>
      <c r="AC39" s="573"/>
      <c r="AD39" s="590"/>
      <c r="AE39" s="590"/>
      <c r="AF39" s="591"/>
      <c r="AH39" s="105"/>
    </row>
    <row r="40" spans="2:34">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00"/>
      <c r="AE40" s="100"/>
      <c r="AF40" s="100"/>
    </row>
    <row r="41" spans="2:34" hidden="1"/>
    <row r="42" spans="2:34"/>
  </sheetData>
  <sheetProtection sheet="1" objects="1" scenarios="1"/>
  <mergeCells count="10">
    <mergeCell ref="W1:AF2"/>
    <mergeCell ref="X12:Y12"/>
    <mergeCell ref="AA12:AB12"/>
    <mergeCell ref="AD12:AF12"/>
    <mergeCell ref="X15:Y15"/>
    <mergeCell ref="AA15:AB15"/>
    <mergeCell ref="AD15:AF15"/>
    <mergeCell ref="X10:Y10"/>
    <mergeCell ref="AA10:AB10"/>
    <mergeCell ref="AD10:AF10"/>
  </mergeCells>
  <phoneticPr fontId="4" type="noConversion"/>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Quotes">
    <pageSetUpPr fitToPage="1"/>
  </sheetPr>
  <dimension ref="A1:M61"/>
  <sheetViews>
    <sheetView workbookViewId="0"/>
  </sheetViews>
  <sheetFormatPr defaultColWidth="0" defaultRowHeight="12.75" zeroHeight="1"/>
  <cols>
    <col min="1" max="1" width="5.140625" style="95" customWidth="1"/>
    <col min="2" max="7" width="10.7109375" style="91" customWidth="1"/>
    <col min="8" max="8" width="34.7109375" style="91" customWidth="1"/>
    <col min="9" max="9" width="2.5703125" style="91" customWidth="1"/>
    <col min="10" max="12" width="34.7109375" style="91" customWidth="1"/>
    <col min="13" max="13" width="2.5703125" style="91" customWidth="1"/>
    <col min="14" max="16384" width="9.140625" style="91" hidden="1"/>
  </cols>
  <sheetData>
    <row r="1" spans="1:12" ht="25.5">
      <c r="A1" s="89" t="str">
        <f ca="1">'GPlan-Translations'!C321</f>
        <v>Cita-ções</v>
      </c>
      <c r="B1" s="90" t="str">
        <f ca="1">'GPlan-Translations'!C322</f>
        <v>Linha 1</v>
      </c>
      <c r="C1" s="89" t="str">
        <f ca="1">'GPlan-Translations'!C323</f>
        <v>Linha 2</v>
      </c>
      <c r="D1" s="90" t="str">
        <f>'GPlan-Translations'!D324</f>
        <v>Line 3</v>
      </c>
      <c r="E1" s="89" t="str">
        <f>'GPlan-Translations'!D325</f>
        <v>Line 4</v>
      </c>
      <c r="F1" s="90" t="str">
        <f>'GPlan-Translations'!D326</f>
        <v>Line 5</v>
      </c>
      <c r="G1" s="89" t="str">
        <f>'GPlan-Translations'!D327</f>
        <v>Line 6</v>
      </c>
      <c r="H1" s="90" t="str">
        <f ca="1">'GPlan-Translations'!C328</f>
        <v>Linha 7</v>
      </c>
      <c r="I1" s="298">
        <f>Index!$S$20</f>
        <v>3</v>
      </c>
      <c r="J1" s="306" t="s">
        <v>559</v>
      </c>
      <c r="K1" s="306" t="s">
        <v>435</v>
      </c>
      <c r="L1" s="306" t="s">
        <v>822</v>
      </c>
    </row>
    <row r="2" spans="1:12" ht="76.5">
      <c r="A2" s="184">
        <v>1</v>
      </c>
      <c r="B2" s="92" t="s">
        <v>672</v>
      </c>
      <c r="C2" s="92" t="s">
        <v>673</v>
      </c>
      <c r="D2" s="93" t="s">
        <v>668</v>
      </c>
      <c r="E2" s="93" t="s">
        <v>669</v>
      </c>
      <c r="F2" s="93" t="s">
        <v>670</v>
      </c>
      <c r="G2" s="93" t="s">
        <v>671</v>
      </c>
      <c r="H2" s="299" t="str">
        <f ca="1">OFFSET(I2,0,$I$1)</f>
        <v>Dhrtarastra disse: Ó Sanjaya, que fizeram os meus filhos e os filhos de Pandu, depois de se reunirem no lugar de peregrinação de Kuruksetra, estando desejosos de lutar? (Bg. 1.1)</v>
      </c>
      <c r="J2" s="307" t="s">
        <v>1048</v>
      </c>
      <c r="K2" s="308"/>
      <c r="L2" s="307" t="s">
        <v>288</v>
      </c>
    </row>
    <row r="3" spans="1:12" ht="131.25">
      <c r="A3" s="90">
        <f>A2+1</f>
        <v>2</v>
      </c>
      <c r="B3" s="92" t="s">
        <v>678</v>
      </c>
      <c r="C3" s="92" t="s">
        <v>679</v>
      </c>
      <c r="D3" s="93" t="s">
        <v>674</v>
      </c>
      <c r="E3" s="93" t="s">
        <v>675</v>
      </c>
      <c r="F3" s="93" t="s">
        <v>676</v>
      </c>
      <c r="G3" s="93" t="s">
        <v>677</v>
      </c>
      <c r="H3" s="103" t="str">
        <f t="shared" ref="H3:H54" ca="1" si="0">OFFSET(I3,0,$I$1)</f>
        <v>Agora estou confuso sobre meu dever e perdi toda a compostura por causa da fraqueza. Nesta condição, peço que Você me diga claramente o que é melhor para mim. Agora sou seu discípulo, e uma alma rendida a Você. Por favor, instrua-me. (Bg. 2.7)</v>
      </c>
      <c r="J3" s="307" t="s">
        <v>1049</v>
      </c>
      <c r="K3" s="308"/>
      <c r="L3" s="307" t="s">
        <v>696</v>
      </c>
    </row>
    <row r="4" spans="1:12" ht="102">
      <c r="A4" s="90">
        <f t="shared" ref="A4:A54" si="1">A3+1</f>
        <v>3</v>
      </c>
      <c r="B4" s="92" t="s">
        <v>701</v>
      </c>
      <c r="C4" s="92" t="s">
        <v>702</v>
      </c>
      <c r="D4" s="93" t="s">
        <v>697</v>
      </c>
      <c r="E4" s="93" t="s">
        <v>698</v>
      </c>
      <c r="F4" s="93" t="s">
        <v>699</v>
      </c>
      <c r="G4" s="93" t="s">
        <v>700</v>
      </c>
      <c r="H4" s="94" t="str">
        <f t="shared" ca="1" si="0"/>
        <v>Como a alma corporificada passa continuamente, neste corpo, da infância à juventude e à velhice, da mesma forma a alma passa a um outro corpo depois da morte. A alma auto-realizada não se confunde com tal mudança. (Bg. 2.13)</v>
      </c>
      <c r="J4" s="309" t="s">
        <v>1050</v>
      </c>
      <c r="K4" s="310"/>
      <c r="L4" s="309" t="s">
        <v>707</v>
      </c>
    </row>
    <row r="5" spans="1:12" ht="140.25">
      <c r="A5" s="90">
        <f t="shared" si="1"/>
        <v>4</v>
      </c>
      <c r="B5" s="92" t="s">
        <v>618</v>
      </c>
      <c r="C5" s="92" t="s">
        <v>619</v>
      </c>
      <c r="D5" s="93" t="s">
        <v>620</v>
      </c>
      <c r="E5" s="93" t="s">
        <v>528</v>
      </c>
      <c r="F5" s="93" t="s">
        <v>529</v>
      </c>
      <c r="G5" s="93" t="s">
        <v>530</v>
      </c>
      <c r="H5" s="94"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J5" s="311" t="s">
        <v>1051</v>
      </c>
      <c r="K5" s="310"/>
      <c r="L5" s="309" t="s">
        <v>459</v>
      </c>
    </row>
    <row r="6" spans="1:12" ht="131.25">
      <c r="A6" s="90">
        <f t="shared" si="1"/>
        <v>5</v>
      </c>
      <c r="B6" s="92" t="s">
        <v>464</v>
      </c>
      <c r="C6" s="92" t="s">
        <v>465</v>
      </c>
      <c r="D6" s="93" t="s">
        <v>460</v>
      </c>
      <c r="E6" s="93" t="s">
        <v>461</v>
      </c>
      <c r="F6" s="93" t="s">
        <v>462</v>
      </c>
      <c r="G6" s="93" t="s">
        <v>463</v>
      </c>
      <c r="H6" s="94" t="str">
        <f t="shared" ca="1" si="0"/>
        <v>Para a alma nunca há nascimento nem morte. Nem, uma vez que exista, ela vai deixar de existir. Ela é não nascida, eterna, sempre existente, imortal e primordial. Ela não morre quando o corpo morre. (Bg. 2.20)</v>
      </c>
      <c r="J6" s="309" t="s">
        <v>1052</v>
      </c>
      <c r="K6" s="310"/>
      <c r="L6" s="309" t="s">
        <v>466</v>
      </c>
    </row>
    <row r="7" spans="1:12" ht="102">
      <c r="A7" s="90">
        <f t="shared" si="1"/>
        <v>6</v>
      </c>
      <c r="B7" s="92" t="s">
        <v>471</v>
      </c>
      <c r="C7" s="92" t="s">
        <v>472</v>
      </c>
      <c r="D7" s="93" t="s">
        <v>470</v>
      </c>
      <c r="E7" s="93" t="s">
        <v>467</v>
      </c>
      <c r="F7" s="93" t="s">
        <v>468</v>
      </c>
      <c r="G7" s="93" t="s">
        <v>469</v>
      </c>
      <c r="H7" s="94" t="str">
        <f t="shared" ca="1" si="0"/>
        <v>Os devotos do Senhor se liberam de toda classe de pecados porque comem alimentos que são primeiro oferecidos em sacrifício. Os demais, que preparam os alimentos para o gozo pessoal dos sentidos, em verdade só comem pecado. (Bg. 3.13)</v>
      </c>
      <c r="J7" s="309" t="s">
        <v>1053</v>
      </c>
      <c r="K7" s="310"/>
      <c r="L7" s="309" t="s">
        <v>708</v>
      </c>
    </row>
    <row r="8" spans="1:12" ht="76.5">
      <c r="A8" s="90">
        <f t="shared" si="1"/>
        <v>7</v>
      </c>
      <c r="B8" s="92" t="s">
        <v>713</v>
      </c>
      <c r="C8" s="92" t="s">
        <v>714</v>
      </c>
      <c r="D8" s="93" t="s">
        <v>709</v>
      </c>
      <c r="E8" s="93" t="s">
        <v>710</v>
      </c>
      <c r="F8" s="93" t="s">
        <v>711</v>
      </c>
      <c r="G8" s="93" t="s">
        <v>712</v>
      </c>
      <c r="H8" s="94" t="str">
        <f t="shared" ca="1" si="0"/>
        <v>A alma espiritual confundida, sob a influência dos três modos da natureza material, acha que é o executor das atividades que na realidade são levadas a cabo pela natureza. (Bg. 3.27)</v>
      </c>
      <c r="J8" s="309" t="s">
        <v>1054</v>
      </c>
      <c r="K8" s="310"/>
      <c r="L8" s="309" t="s">
        <v>715</v>
      </c>
    </row>
    <row r="9" spans="1:12" ht="127.5">
      <c r="A9" s="90">
        <f t="shared" si="1"/>
        <v>8</v>
      </c>
      <c r="B9" s="92" t="s">
        <v>720</v>
      </c>
      <c r="C9" s="92" t="s">
        <v>721</v>
      </c>
      <c r="D9" s="93" t="s">
        <v>716</v>
      </c>
      <c r="E9" s="93" t="s">
        <v>717</v>
      </c>
      <c r="F9" s="93" t="s">
        <v>718</v>
      </c>
      <c r="G9" s="93" t="s">
        <v>719</v>
      </c>
      <c r="H9" s="94" t="str">
        <f t="shared" ca="1" si="0"/>
        <v>Assim, sabendo-se transcendental aos sentidos, à mente e à inteligência materiais, a pessoa deve controlar o eu inferior por meio do eu superior e assim - através da força espiritual - conquistar este inimigo insaciável chamado luxúria. (Bg. 3.43)</v>
      </c>
      <c r="J9" s="311" t="s">
        <v>1055</v>
      </c>
      <c r="K9" s="310"/>
      <c r="L9" s="309" t="s">
        <v>731</v>
      </c>
    </row>
    <row r="10" spans="1:12" ht="102">
      <c r="A10" s="90">
        <f t="shared" si="1"/>
        <v>9</v>
      </c>
      <c r="B10" s="92" t="s">
        <v>736</v>
      </c>
      <c r="C10" s="92" t="s">
        <v>737</v>
      </c>
      <c r="D10" s="93" t="s">
        <v>732</v>
      </c>
      <c r="E10" s="93" t="s">
        <v>733</v>
      </c>
      <c r="F10" s="93" t="s">
        <v>734</v>
      </c>
      <c r="G10" s="93" t="s">
        <v>735</v>
      </c>
      <c r="H10" s="94" t="str">
        <f t="shared" ca="1" si="0"/>
        <v>Esta ciência suprema foi assim recebida através da corrente de sucessão discipular, e os reis santos compreenderam-na desta maneira. Mas com o passar do tempo a sucessão se rompeu e por isso a ciência como ela é parece estar perdida. (Bg. 4.2)</v>
      </c>
      <c r="J10" s="309" t="s">
        <v>1056</v>
      </c>
      <c r="K10" s="310"/>
      <c r="L10" s="309" t="s">
        <v>738</v>
      </c>
    </row>
    <row r="11" spans="1:12" ht="93.75">
      <c r="A11" s="90">
        <f t="shared" si="1"/>
        <v>10</v>
      </c>
      <c r="B11" s="92" t="s">
        <v>545</v>
      </c>
      <c r="C11" s="92" t="s">
        <v>546</v>
      </c>
      <c r="D11" s="93" t="s">
        <v>739</v>
      </c>
      <c r="E11" s="93" t="s">
        <v>740</v>
      </c>
      <c r="F11" s="93" t="s">
        <v>741</v>
      </c>
      <c r="G11" s="93" t="s">
        <v>742</v>
      </c>
      <c r="H11" s="94" t="str">
        <f t="shared" ca="1" si="0"/>
        <v>Embora Eu não tenha nascimento e Meu corpo transcendental nunca se deteriore, e embora Eu seja o Senhor de todos os seres vivos, ainda assim Eu apareço em todo milênio em Minha forma transcendental original. (Bg. 4.6)</v>
      </c>
      <c r="J11" s="309" t="s">
        <v>1057</v>
      </c>
      <c r="K11" s="310"/>
      <c r="L11" s="309" t="s">
        <v>547</v>
      </c>
    </row>
    <row r="12" spans="1:12" ht="93.75">
      <c r="A12" s="90">
        <f t="shared" si="1"/>
        <v>11</v>
      </c>
      <c r="B12" s="92" t="s">
        <v>556</v>
      </c>
      <c r="C12" s="92" t="s">
        <v>186</v>
      </c>
      <c r="D12" s="93" t="s">
        <v>548</v>
      </c>
      <c r="E12" s="93" t="s">
        <v>549</v>
      </c>
      <c r="F12" s="93" t="s">
        <v>554</v>
      </c>
      <c r="G12" s="93" t="s">
        <v>555</v>
      </c>
      <c r="H12" s="94" t="str">
        <f t="shared" ca="1" si="0"/>
        <v>Ó Arjuna, aquele que conhece a natureza transcendental de Meu aparecimento e atividades, ao deixar o corpo, não nasce outra vez neste mundo material, mas alcança Minha morada eterna. (Bg. 4.9)</v>
      </c>
      <c r="J12" s="309" t="s">
        <v>1058</v>
      </c>
      <c r="K12" s="310"/>
      <c r="L12" s="309" t="s">
        <v>187</v>
      </c>
    </row>
    <row r="13" spans="1:12" ht="102">
      <c r="A13" s="90">
        <f t="shared" si="1"/>
        <v>12</v>
      </c>
      <c r="B13" s="92" t="s">
        <v>192</v>
      </c>
      <c r="C13" s="92" t="s">
        <v>193</v>
      </c>
      <c r="D13" s="93" t="s">
        <v>188</v>
      </c>
      <c r="E13" s="93" t="s">
        <v>189</v>
      </c>
      <c r="F13" s="93" t="s">
        <v>190</v>
      </c>
      <c r="G13" s="93" t="s">
        <v>191</v>
      </c>
      <c r="H13" s="94" t="str">
        <f t="shared" ca="1" si="0"/>
        <v>Tente aprender a verdade simplesmente aproximando-se de um mestre espiritual. Indague dele submissamente e renda-lhe serviço. A alma auto-realizada pode lhe dar conhecimento porque viu a verdade. (Bg. 4.34)</v>
      </c>
      <c r="J13" s="309" t="s">
        <v>1059</v>
      </c>
      <c r="K13" s="310"/>
      <c r="L13" s="309" t="s">
        <v>372</v>
      </c>
    </row>
    <row r="14" spans="1:12" ht="127.5">
      <c r="A14" s="90">
        <f t="shared" si="1"/>
        <v>13</v>
      </c>
      <c r="B14" s="92" t="s">
        <v>531</v>
      </c>
      <c r="C14" s="92" t="s">
        <v>532</v>
      </c>
      <c r="D14" s="93" t="s">
        <v>533</v>
      </c>
      <c r="E14" s="93" t="s">
        <v>534</v>
      </c>
      <c r="F14" s="93" t="s">
        <v>535</v>
      </c>
      <c r="G14" s="93" t="s">
        <v>536</v>
      </c>
      <c r="H14" s="94"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J14" s="311" t="s">
        <v>1060</v>
      </c>
      <c r="K14" s="310"/>
      <c r="L14" s="309" t="s">
        <v>387</v>
      </c>
    </row>
    <row r="15" spans="1:12" ht="102">
      <c r="A15" s="90">
        <f t="shared" si="1"/>
        <v>14</v>
      </c>
      <c r="B15" s="92" t="s">
        <v>392</v>
      </c>
      <c r="C15" s="92" t="s">
        <v>393</v>
      </c>
      <c r="D15" s="93" t="s">
        <v>388</v>
      </c>
      <c r="E15" s="93" t="s">
        <v>389</v>
      </c>
      <c r="F15" s="93" t="s">
        <v>390</v>
      </c>
      <c r="G15" s="93" t="s">
        <v>391</v>
      </c>
      <c r="H15" s="94" t="str">
        <f t="shared" ca="1" si="0"/>
        <v>E de todos os yogis, aquele que sempre se refugia em Mim com grande fé, adorando-Me com serviço transcendental amoroso, é o que está mais intimamente unido coMigo em yoga e é o mais elevado de todos. (Bg. 6.47)</v>
      </c>
      <c r="J15" s="309" t="s">
        <v>1061</v>
      </c>
      <c r="K15" s="310"/>
      <c r="L15" s="309" t="s">
        <v>373</v>
      </c>
    </row>
    <row r="16" spans="1:12" ht="76.5">
      <c r="A16" s="90">
        <f t="shared" si="1"/>
        <v>15</v>
      </c>
      <c r="B16" s="92" t="s">
        <v>212</v>
      </c>
      <c r="C16" s="92" t="s">
        <v>430</v>
      </c>
      <c r="D16" s="93" t="s">
        <v>374</v>
      </c>
      <c r="E16" s="93" t="s">
        <v>265</v>
      </c>
      <c r="F16" s="93" t="s">
        <v>210</v>
      </c>
      <c r="G16" s="93" t="s">
        <v>211</v>
      </c>
      <c r="H16" s="94" t="str">
        <f t="shared" ca="1" si="0"/>
        <v>Dentre muitos milhares de homens, talvez um se esforce pela perfeição, e daqueles que alcançaram a perfeição, dificilmente um Me conhece de verdade. (Bg. 7.3)</v>
      </c>
      <c r="J16" s="309" t="s">
        <v>1062</v>
      </c>
      <c r="K16" s="310"/>
      <c r="L16" s="309" t="s">
        <v>358</v>
      </c>
    </row>
    <row r="17" spans="1:12" ht="76.5">
      <c r="A17" s="90">
        <f t="shared" si="1"/>
        <v>16</v>
      </c>
      <c r="B17" s="92" t="s">
        <v>363</v>
      </c>
      <c r="C17" s="92" t="s">
        <v>327</v>
      </c>
      <c r="D17" s="93" t="s">
        <v>359</v>
      </c>
      <c r="E17" s="93" t="s">
        <v>360</v>
      </c>
      <c r="F17" s="93" t="s">
        <v>361</v>
      </c>
      <c r="G17" s="93" t="s">
        <v>362</v>
      </c>
      <c r="H17" s="94" t="str">
        <f t="shared" ca="1" si="0"/>
        <v>Esta Minha energia divina, que consiste nos três modos da natureza material, é difícil de superar. Mas aqueles que se renderam a Mim podem facilmente atravessá-la. (Bg. 7.14)</v>
      </c>
      <c r="J17" s="309" t="s">
        <v>1064</v>
      </c>
      <c r="K17" s="310"/>
      <c r="L17" s="309" t="s">
        <v>1063</v>
      </c>
    </row>
    <row r="18" spans="1:12" ht="93.75">
      <c r="A18" s="90">
        <f t="shared" si="1"/>
        <v>17</v>
      </c>
      <c r="B18" s="92" t="s">
        <v>197</v>
      </c>
      <c r="C18" s="92" t="s">
        <v>331</v>
      </c>
      <c r="D18" s="93" t="s">
        <v>326</v>
      </c>
      <c r="E18" s="93" t="s">
        <v>196</v>
      </c>
      <c r="F18" s="93" t="s">
        <v>194</v>
      </c>
      <c r="G18" s="93" t="s">
        <v>195</v>
      </c>
      <c r="H18" s="94" t="str">
        <f t="shared" ca="1" si="0"/>
        <v>E quem quer que, no momento da morte, abandona seu corpo, lembrando-se unicamente de Mim, alcança Minha natureza de imediato. Quanto a isto não há dúvida. (Bg. 8.5)</v>
      </c>
      <c r="J18" s="309" t="s">
        <v>1065</v>
      </c>
      <c r="K18" s="310"/>
      <c r="L18" s="309" t="s">
        <v>332</v>
      </c>
    </row>
    <row r="19" spans="1:12" ht="114.75">
      <c r="A19" s="90">
        <f t="shared" si="1"/>
        <v>18</v>
      </c>
      <c r="B19" s="92" t="s">
        <v>337</v>
      </c>
      <c r="C19" s="92" t="s">
        <v>338</v>
      </c>
      <c r="D19" s="93" t="s">
        <v>333</v>
      </c>
      <c r="E19" s="93" t="s">
        <v>334</v>
      </c>
      <c r="F19" s="93" t="s">
        <v>335</v>
      </c>
      <c r="G19" s="93" t="s">
        <v>336</v>
      </c>
      <c r="H19" s="94" t="str">
        <f t="shared" ca="1" si="0"/>
        <v>Este conhecimento é o rei da educação, o mais secreto de todos os segredos. É o conhecimento mais puro, e por dar direta percepção do eu através da realização, é a perfeição da religião. Ele é eterno e se executa alegremente. (Bg. 9.2)</v>
      </c>
      <c r="J19" s="309" t="s">
        <v>1066</v>
      </c>
      <c r="K19" s="310"/>
      <c r="L19" s="309" t="s">
        <v>339</v>
      </c>
    </row>
    <row r="20" spans="1:12" ht="76.5">
      <c r="A20" s="90">
        <f t="shared" si="1"/>
        <v>19</v>
      </c>
      <c r="B20" s="92" t="s">
        <v>344</v>
      </c>
      <c r="C20" s="92" t="s">
        <v>345</v>
      </c>
      <c r="D20" s="93" t="s">
        <v>340</v>
      </c>
      <c r="E20" s="93" t="s">
        <v>341</v>
      </c>
      <c r="F20" s="93" t="s">
        <v>342</v>
      </c>
      <c r="G20" s="93" t="s">
        <v>343</v>
      </c>
      <c r="H20" s="94" t="str">
        <f t="shared" ca="1" si="0"/>
        <v>Aqueles que não têm fé no caminho do serviço devocional não podem Me alcançar, ó conquistador dos inimigos, mas voltam ao nascimento e à morte neste mundo material (Bg. 9.3)</v>
      </c>
      <c r="J20" s="309" t="s">
        <v>1067</v>
      </c>
      <c r="K20" s="310"/>
      <c r="L20" s="309" t="s">
        <v>649</v>
      </c>
    </row>
    <row r="21" spans="1:12" ht="76.5">
      <c r="A21" s="90">
        <f t="shared" si="1"/>
        <v>20</v>
      </c>
      <c r="B21" s="92" t="s">
        <v>654</v>
      </c>
      <c r="C21" s="92" t="s">
        <v>655</v>
      </c>
      <c r="D21" s="93" t="s">
        <v>650</v>
      </c>
      <c r="E21" s="93" t="s">
        <v>651</v>
      </c>
      <c r="F21" s="93" t="s">
        <v>652</v>
      </c>
      <c r="G21" s="93" t="s">
        <v>653</v>
      </c>
      <c r="H21" s="94" t="str">
        <f t="shared" ca="1" si="0"/>
        <v>Sempre cantando Minhas glórias, esforçando-se com grande determinação, prostrando-se diante de Mim, estas grandes almas Me adoram perpétuamente com devoção. (Bg. 9.14)</v>
      </c>
      <c r="J21" s="309" t="s">
        <v>1068</v>
      </c>
      <c r="K21" s="310"/>
      <c r="L21" s="309" t="s">
        <v>783</v>
      </c>
    </row>
    <row r="22" spans="1:12" ht="75">
      <c r="A22" s="90">
        <f t="shared" si="1"/>
        <v>21</v>
      </c>
      <c r="B22" s="92" t="s">
        <v>660</v>
      </c>
      <c r="C22" s="92" t="s">
        <v>661</v>
      </c>
      <c r="D22" s="93" t="s">
        <v>656</v>
      </c>
      <c r="E22" s="93" t="s">
        <v>657</v>
      </c>
      <c r="F22" s="93" t="s">
        <v>658</v>
      </c>
      <c r="G22" s="93" t="s">
        <v>659</v>
      </c>
      <c r="H22" s="94" t="str">
        <f t="shared" ca="1" si="0"/>
        <v>Se uma pessoa Me oferecer com amor e devoção uma folha, uma flor, frutas ou água, Eu aceitarei. (Bg. 9.26)</v>
      </c>
      <c r="J22" s="309" t="s">
        <v>1069</v>
      </c>
      <c r="K22" s="310"/>
      <c r="L22" s="309" t="s">
        <v>662</v>
      </c>
    </row>
    <row r="23" spans="1:12" ht="89.25">
      <c r="A23" s="90">
        <f t="shared" si="1"/>
        <v>22</v>
      </c>
      <c r="B23" s="92" t="s">
        <v>416</v>
      </c>
      <c r="C23" s="92" t="s">
        <v>622</v>
      </c>
      <c r="D23" s="93" t="s">
        <v>784</v>
      </c>
      <c r="E23" s="93" t="s">
        <v>785</v>
      </c>
      <c r="F23" s="93" t="s">
        <v>786</v>
      </c>
      <c r="G23" s="93" t="s">
        <v>787</v>
      </c>
      <c r="H23" s="94" t="str">
        <f t="shared" ca="1" si="0"/>
        <v>Ó filho de Kunti, tudo que você fizer, tudo que você comer, tudo que você oferecer e presentear, bem como todas as austeridades que você executar, tudo deve ser feito como um oferecimento a Mim. (Bg. 9.27)</v>
      </c>
      <c r="J23" s="309" t="s">
        <v>1070</v>
      </c>
      <c r="K23" s="310"/>
      <c r="L23" s="309" t="s">
        <v>623</v>
      </c>
    </row>
    <row r="24" spans="1:12" ht="93.75">
      <c r="A24" s="90">
        <f t="shared" si="1"/>
        <v>23</v>
      </c>
      <c r="B24" s="92" t="s">
        <v>263</v>
      </c>
      <c r="C24" s="92" t="s">
        <v>264</v>
      </c>
      <c r="D24" s="93" t="s">
        <v>624</v>
      </c>
      <c r="E24" s="93" t="s">
        <v>625</v>
      </c>
      <c r="F24" s="93" t="s">
        <v>626</v>
      </c>
      <c r="G24" s="93" t="s">
        <v>262</v>
      </c>
      <c r="H24" s="94" t="str">
        <f t="shared" ca="1" si="0"/>
        <v>Eu sou a fonte de todos os mundos espirituais e materiais. Tudo emana de Mim. Os sábios que sabem disso perfeitamente ocupam-se em Meu serviço devocional e Me adoram com todo seu coração. (Bg. 10.8)</v>
      </c>
      <c r="J24" s="309" t="s">
        <v>1071</v>
      </c>
      <c r="K24" s="310"/>
      <c r="L24" s="309" t="s">
        <v>631</v>
      </c>
    </row>
    <row r="25" spans="1:12" ht="89.25">
      <c r="A25" s="90">
        <f t="shared" si="1"/>
        <v>24</v>
      </c>
      <c r="B25" s="92" t="s">
        <v>636</v>
      </c>
      <c r="C25" s="92" t="s">
        <v>637</v>
      </c>
      <c r="D25" s="93" t="s">
        <v>632</v>
      </c>
      <c r="E25" s="93" t="s">
        <v>633</v>
      </c>
      <c r="F25" s="93" t="s">
        <v>634</v>
      </c>
      <c r="G25" s="93" t="s">
        <v>635</v>
      </c>
      <c r="H25" s="94" t="str">
        <f t="shared" ca="1" si="0"/>
        <v>Os pensamentos de Meus devotos puros vivem em Mim, suas vidas estão rendidas a Mim, e eles sentem grande satisfação e bem-aventurança iluminando-se uns aos outros e conversando sobre Mim. (Bg. 10.9)</v>
      </c>
      <c r="J25" s="309" t="s">
        <v>1072</v>
      </c>
      <c r="K25" s="310"/>
      <c r="L25" s="309" t="s">
        <v>638</v>
      </c>
    </row>
    <row r="26" spans="1:12" ht="93.75">
      <c r="A26" s="90">
        <f t="shared" si="1"/>
        <v>25</v>
      </c>
      <c r="B26" s="92" t="s">
        <v>640</v>
      </c>
      <c r="C26" s="92" t="s">
        <v>641</v>
      </c>
      <c r="D26" s="93" t="s">
        <v>639</v>
      </c>
      <c r="E26" s="93" t="s">
        <v>285</v>
      </c>
      <c r="F26" s="93" t="s">
        <v>286</v>
      </c>
      <c r="G26" s="93" t="s">
        <v>287</v>
      </c>
      <c r="H26" s="94" t="str">
        <f t="shared" ca="1" si="0"/>
        <v>Para aqueles que estão constantemente devotados e Me adoram com amor extático, Eu dou a compreensão com a qual eles podem vir a Mim. (Bg. 10.10)</v>
      </c>
      <c r="J26" s="309" t="s">
        <v>1073</v>
      </c>
      <c r="K26" s="310"/>
      <c r="L26" s="309" t="s">
        <v>642</v>
      </c>
    </row>
    <row r="27" spans="1:12" ht="75">
      <c r="A27" s="90">
        <f t="shared" si="1"/>
        <v>26</v>
      </c>
      <c r="B27" s="92" t="s">
        <v>647</v>
      </c>
      <c r="C27" s="92" t="s">
        <v>648</v>
      </c>
      <c r="D27" s="93" t="s">
        <v>643</v>
      </c>
      <c r="E27" s="93" t="s">
        <v>644</v>
      </c>
      <c r="F27" s="93" t="s">
        <v>645</v>
      </c>
      <c r="G27" s="93" t="s">
        <v>646</v>
      </c>
      <c r="H27" s="94" t="str">
        <f t="shared" ca="1" si="0"/>
        <v>Por compaixão por eles, Eu, morando em seus corações, destruo com a luz brilhante do conhecimento a escuridão nascida da ignorância. (Bg. 10.11)</v>
      </c>
      <c r="J27" s="309" t="s">
        <v>1075</v>
      </c>
      <c r="K27" s="310"/>
      <c r="L27" s="309" t="s">
        <v>1074</v>
      </c>
    </row>
    <row r="28" spans="1:12" ht="75">
      <c r="A28" s="90">
        <f t="shared" si="1"/>
        <v>27</v>
      </c>
      <c r="B28" s="92" t="s">
        <v>564</v>
      </c>
      <c r="C28" s="92" t="s">
        <v>565</v>
      </c>
      <c r="D28" s="93" t="s">
        <v>560</v>
      </c>
      <c r="E28" s="93" t="s">
        <v>561</v>
      </c>
      <c r="F28" s="93" t="s">
        <v>562</v>
      </c>
      <c r="G28" s="93" t="s">
        <v>563</v>
      </c>
      <c r="H28" s="94" t="str">
        <f t="shared" ca="1" si="0"/>
        <v>Saiba que todas as criações belas, gloriosas e poderosas brotam tão somente de uma centelha de Meu esplendor. (Bg. 10.41)</v>
      </c>
      <c r="J28" s="309" t="s">
        <v>1076</v>
      </c>
      <c r="K28" s="310"/>
      <c r="L28" s="309" t="s">
        <v>566</v>
      </c>
    </row>
    <row r="29" spans="1:12" ht="127.5">
      <c r="A29" s="90">
        <f t="shared" si="1"/>
        <v>28</v>
      </c>
      <c r="B29" s="92" t="s">
        <v>571</v>
      </c>
      <c r="C29" s="92" t="s">
        <v>572</v>
      </c>
      <c r="D29" s="93" t="s">
        <v>567</v>
      </c>
      <c r="E29" s="93" t="s">
        <v>568</v>
      </c>
      <c r="F29" s="93" t="s">
        <v>569</v>
      </c>
      <c r="G29" s="93" t="s">
        <v>570</v>
      </c>
      <c r="H29" s="94" t="str">
        <f t="shared" ca="1" si="0"/>
        <v>Meu querido Arjuna, a pessoa que se ocupa em Meu serviço devocional puro, livre das contaminações de atividades anteriores e da especulação mental, que é amigável para toda entidade viva, certamente vem a Mim. (Bg. 11.55)</v>
      </c>
      <c r="J29" s="311" t="s">
        <v>1077</v>
      </c>
      <c r="K29" s="310"/>
      <c r="L29" s="309" t="s">
        <v>627</v>
      </c>
    </row>
    <row r="30" spans="1:12" ht="127.5">
      <c r="A30" s="90">
        <f t="shared" si="1"/>
        <v>29</v>
      </c>
      <c r="B30" s="92" t="s">
        <v>55</v>
      </c>
      <c r="C30" s="92" t="s">
        <v>56</v>
      </c>
      <c r="D30" s="93" t="s">
        <v>630</v>
      </c>
      <c r="E30" s="93" t="s">
        <v>54</v>
      </c>
      <c r="F30" s="93" t="s">
        <v>628</v>
      </c>
      <c r="G30" s="93" t="s">
        <v>629</v>
      </c>
      <c r="H30" s="94"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J30" s="309" t="s">
        <v>1078</v>
      </c>
      <c r="K30" s="310"/>
      <c r="L30" s="309" t="s">
        <v>442</v>
      </c>
    </row>
    <row r="31" spans="1:12" ht="93.75">
      <c r="A31" s="90">
        <f t="shared" si="1"/>
        <v>30</v>
      </c>
      <c r="B31" s="92" t="s">
        <v>447</v>
      </c>
      <c r="C31" s="92" t="s">
        <v>448</v>
      </c>
      <c r="D31" s="93" t="s">
        <v>443</v>
      </c>
      <c r="E31" s="93" t="s">
        <v>444</v>
      </c>
      <c r="F31" s="93" t="s">
        <v>445</v>
      </c>
      <c r="G31" s="93" t="s">
        <v>446</v>
      </c>
      <c r="H31" s="94" t="str">
        <f t="shared" ca="1" si="0"/>
        <v>Ó filho de Kunti, deve-se compreender que todas as espécies de vida aparecem devido a seu nascimento nesta natureza material, e que Eu sou o pai que dá a semente. (Bg. 14.4)</v>
      </c>
      <c r="J31" s="309" t="s">
        <v>1079</v>
      </c>
      <c r="K31" s="310"/>
      <c r="L31" s="309" t="s">
        <v>449</v>
      </c>
    </row>
    <row r="32" spans="1:12" ht="102">
      <c r="A32" s="90">
        <f t="shared" si="1"/>
        <v>31</v>
      </c>
      <c r="B32" s="92" t="s">
        <v>680</v>
      </c>
      <c r="C32" s="92" t="s">
        <v>681</v>
      </c>
      <c r="D32" s="93" t="s">
        <v>450</v>
      </c>
      <c r="E32" s="93" t="s">
        <v>451</v>
      </c>
      <c r="F32" s="93" t="s">
        <v>452</v>
      </c>
      <c r="G32" s="93" t="s">
        <v>57</v>
      </c>
      <c r="H32" s="94" t="str">
        <f t="shared" ca="1" si="0"/>
        <v>Aquele que se ocupa completamente em serviço devovional, que não cai em nenhuma circunstância, transcende imediatamente os modos da natureza material e desse modo chega ao nível de Brahman. (Bg. 14.26)</v>
      </c>
      <c r="J32" s="309" t="s">
        <v>1080</v>
      </c>
      <c r="K32" s="310"/>
      <c r="L32" s="309" t="s">
        <v>682</v>
      </c>
    </row>
    <row r="33" spans="1:12" ht="114.75">
      <c r="A33" s="90">
        <f t="shared" si="1"/>
        <v>32</v>
      </c>
      <c r="B33" s="92" t="s">
        <v>687</v>
      </c>
      <c r="C33" s="92" t="s">
        <v>688</v>
      </c>
      <c r="D33" s="93" t="s">
        <v>683</v>
      </c>
      <c r="E33" s="93" t="s">
        <v>684</v>
      </c>
      <c r="F33" s="93" t="s">
        <v>685</v>
      </c>
      <c r="G33" s="93" t="s">
        <v>686</v>
      </c>
      <c r="H33" s="94" t="str">
        <f t="shared" ca="1" si="0"/>
        <v>O Bem-aventurado Senhor disse: Existe uma figueira-de-bengala que tem suas raízes para cima e seus galhos para baixo e cujas folhas são os hinos védicos. A pessoa que conhece esta árvore é o conhecedor dos Vedas. (Bg. 15.1)</v>
      </c>
      <c r="J33" s="309" t="s">
        <v>1081</v>
      </c>
      <c r="K33" s="310"/>
      <c r="L33" s="309" t="s">
        <v>689</v>
      </c>
    </row>
    <row r="34" spans="1:12" ht="114.75">
      <c r="A34" s="90">
        <f t="shared" si="1"/>
        <v>33</v>
      </c>
      <c r="B34" s="92" t="s">
        <v>743</v>
      </c>
      <c r="C34" s="92" t="s">
        <v>744</v>
      </c>
      <c r="D34" s="93" t="s">
        <v>693</v>
      </c>
      <c r="E34" s="93" t="s">
        <v>690</v>
      </c>
      <c r="F34" s="93" t="s">
        <v>691</v>
      </c>
      <c r="G34" s="93" t="s">
        <v>692</v>
      </c>
      <c r="H34" s="94" t="str">
        <f t="shared" ca="1" si="0"/>
        <v>Eu estou situado no coração de todo mundo, e de Mim vêm a memória, o conhecimento e o esquecimento. Através de todos os Vedas, Eu sou o que há de ser conhecido; na verdade, Eu sou o compilador do Vedanta, e Eu sou o conhecedor dos Vedas como eles são. (Bg. 15.15)</v>
      </c>
      <c r="J34" s="309" t="s">
        <v>1082</v>
      </c>
      <c r="K34" s="310"/>
      <c r="L34" s="309" t="s">
        <v>805</v>
      </c>
    </row>
    <row r="35" spans="1:12" ht="93.75">
      <c r="A35" s="90">
        <f t="shared" si="1"/>
        <v>34</v>
      </c>
      <c r="B35" s="92" t="s">
        <v>810</v>
      </c>
      <c r="C35" s="92" t="s">
        <v>811</v>
      </c>
      <c r="D35" s="93" t="s">
        <v>806</v>
      </c>
      <c r="E35" s="93" t="s">
        <v>807</v>
      </c>
      <c r="F35" s="93" t="s">
        <v>808</v>
      </c>
      <c r="G35" s="93" t="s">
        <v>809</v>
      </c>
      <c r="H35" s="94" t="str">
        <f t="shared" ca="1" si="0"/>
        <v>Mas aquele que põe de lado as injunções das escrituras e age de acordo com seus próprios caprichos não alcança nem a perfeição, nem a felicidade nem o destino supremo. (Bg. 16.23)</v>
      </c>
      <c r="J35" s="309" t="s">
        <v>1083</v>
      </c>
      <c r="K35" s="310"/>
      <c r="L35" s="309" t="s">
        <v>812</v>
      </c>
    </row>
    <row r="36" spans="1:12" ht="114.75">
      <c r="A36" s="90">
        <f t="shared" si="1"/>
        <v>35</v>
      </c>
      <c r="B36" s="92" t="s">
        <v>403</v>
      </c>
      <c r="C36" s="92" t="s">
        <v>404</v>
      </c>
      <c r="D36" s="93" t="s">
        <v>782</v>
      </c>
      <c r="E36" s="93" t="s">
        <v>779</v>
      </c>
      <c r="F36" s="93" t="s">
        <v>780</v>
      </c>
      <c r="G36" s="93" t="s">
        <v>781</v>
      </c>
      <c r="H36" s="94" t="str">
        <f t="shared" ca="1" si="0"/>
        <v>A pessoa que está assim situada transcendentalmente realiza de imediato o Brahmam Supremo. Ela nunca se lamenta nem deseja ter nada; ela está igualmente disposta com toda entidade viva. Neste estado ela alcança o serviço devocional puro a mim. (Bg. 18.54)</v>
      </c>
      <c r="J36" s="311" t="s">
        <v>1084</v>
      </c>
      <c r="K36" s="310"/>
      <c r="L36" s="309" t="s">
        <v>788</v>
      </c>
    </row>
    <row r="37" spans="1:12" ht="102">
      <c r="A37" s="90">
        <f t="shared" si="1"/>
        <v>36</v>
      </c>
      <c r="B37" s="92" t="s">
        <v>793</v>
      </c>
      <c r="C37" s="92" t="s">
        <v>794</v>
      </c>
      <c r="D37" s="93" t="s">
        <v>789</v>
      </c>
      <c r="E37" s="93" t="s">
        <v>792</v>
      </c>
      <c r="F37" s="93" t="s">
        <v>790</v>
      </c>
      <c r="G37" s="93" t="s">
        <v>791</v>
      </c>
      <c r="H37" s="94" t="str">
        <f t="shared" ca="1" si="0"/>
        <v>Pode-se compreender a Suprema Personalidade como Ele é unicamente através do serviço devocional. E quando a pessoa tem plena consciência do Senhor Supremo através de tal devoção, ela pode entrar no reino de Deus. (Bg. 18.55)</v>
      </c>
      <c r="J37" s="309" t="s">
        <v>1085</v>
      </c>
      <c r="K37" s="310"/>
      <c r="L37" s="309" t="s">
        <v>795</v>
      </c>
    </row>
    <row r="38" spans="1:12" ht="93.75">
      <c r="A38" s="90">
        <f t="shared" si="1"/>
        <v>37</v>
      </c>
      <c r="B38" s="92" t="s">
        <v>800</v>
      </c>
      <c r="C38" s="92" t="s">
        <v>801</v>
      </c>
      <c r="D38" s="93" t="s">
        <v>796</v>
      </c>
      <c r="E38" s="93" t="s">
        <v>797</v>
      </c>
      <c r="F38" s="93" t="s">
        <v>798</v>
      </c>
      <c r="G38" s="93" t="s">
        <v>799</v>
      </c>
      <c r="H38" s="94" t="str">
        <f t="shared" ca="1" si="0"/>
        <v>Em todas as atividades dependa simplesmente de Mim e trabalhe sempre sob Minha proteção. Em tal serviço devocional, seja plenamente consciente de Mim. (Bg. 18.57)</v>
      </c>
      <c r="J38" s="309" t="s">
        <v>1086</v>
      </c>
      <c r="K38" s="310"/>
      <c r="L38" s="309" t="s">
        <v>802</v>
      </c>
    </row>
    <row r="39" spans="1:12" ht="89.25">
      <c r="A39" s="90">
        <f t="shared" si="1"/>
        <v>38</v>
      </c>
      <c r="B39" s="92" t="s">
        <v>498</v>
      </c>
      <c r="C39" s="92" t="s">
        <v>499</v>
      </c>
      <c r="D39" s="93" t="s">
        <v>803</v>
      </c>
      <c r="E39" s="93" t="s">
        <v>804</v>
      </c>
      <c r="F39" s="93" t="s">
        <v>496</v>
      </c>
      <c r="G39" s="93" t="s">
        <v>497</v>
      </c>
      <c r="H39" s="94" t="str">
        <f t="shared" ca="1" si="0"/>
        <v>Ó Arjuna, o Senhor Supremo está situado no coração de todo mundo, e dirige as divagações de todas as entidades vivas, que estão sentadas como numa máquina, feita de energia material. (Bg. 18.61)</v>
      </c>
      <c r="J39" s="309" t="s">
        <v>1087</v>
      </c>
      <c r="K39" s="310"/>
      <c r="L39" s="309" t="s">
        <v>500</v>
      </c>
    </row>
    <row r="40" spans="1:12" ht="89.25">
      <c r="A40" s="90">
        <f t="shared" si="1"/>
        <v>39</v>
      </c>
      <c r="B40" s="92" t="s">
        <v>505</v>
      </c>
      <c r="C40" s="92" t="s">
        <v>506</v>
      </c>
      <c r="D40" s="93" t="s">
        <v>501</v>
      </c>
      <c r="E40" s="93" t="s">
        <v>502</v>
      </c>
      <c r="F40" s="93" t="s">
        <v>503</v>
      </c>
      <c r="G40" s="93" t="s">
        <v>504</v>
      </c>
      <c r="H40" s="94" t="str">
        <f t="shared" ca="1" si="0"/>
        <v>Pense sempre em Mim e converta-se em Meu devoto. Adore-Me e ofereça suas homenagens a Mim. Desse modo você virá a Mim sem falta. Eu lhe prometo isto porque você é Meu muito querido amigo. (Bg. 18.65)</v>
      </c>
      <c r="J40" s="309" t="s">
        <v>1088</v>
      </c>
      <c r="K40" s="310"/>
      <c r="L40" s="309" t="s">
        <v>507</v>
      </c>
    </row>
    <row r="41" spans="1:12" ht="75">
      <c r="A41" s="90">
        <f t="shared" si="1"/>
        <v>40</v>
      </c>
      <c r="B41" s="92" t="s">
        <v>512</v>
      </c>
      <c r="C41" s="92" t="s">
        <v>513</v>
      </c>
      <c r="D41" s="93" t="s">
        <v>508</v>
      </c>
      <c r="E41" s="93" t="s">
        <v>509</v>
      </c>
      <c r="F41" s="93" t="s">
        <v>510</v>
      </c>
      <c r="G41" s="93" t="s">
        <v>511</v>
      </c>
      <c r="H41" s="94" t="str">
        <f t="shared" ca="1" si="0"/>
        <v>Abandone todas as variedades de religião e simplesmente se renda a Mim. Eu libertarei você de todas as reações pecaminosas. Não tema. (Bg. 18.66)</v>
      </c>
      <c r="J41" s="309" t="s">
        <v>1089</v>
      </c>
      <c r="K41" s="310"/>
      <c r="L41" s="309" t="s">
        <v>166</v>
      </c>
    </row>
    <row r="42" spans="1:12" ht="153">
      <c r="A42" s="90">
        <f t="shared" si="1"/>
        <v>41</v>
      </c>
      <c r="B42" s="92" t="s">
        <v>177</v>
      </c>
      <c r="C42" s="92" t="s">
        <v>178</v>
      </c>
      <c r="D42" s="93" t="s">
        <v>173</v>
      </c>
      <c r="E42" s="93" t="s">
        <v>174</v>
      </c>
      <c r="F42" s="93" t="s">
        <v>175</v>
      </c>
      <c r="G42" s="93" t="s">
        <v>176</v>
      </c>
      <c r="H42" s="94" t="str">
        <f t="shared" ca="1" si="0"/>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v>
      </c>
      <c r="J42" s="311" t="s">
        <v>1090</v>
      </c>
      <c r="K42" s="310"/>
      <c r="L42" s="309" t="s">
        <v>198</v>
      </c>
    </row>
    <row r="43" spans="1:12" ht="127.5">
      <c r="A43" s="90">
        <f t="shared" si="1"/>
        <v>42</v>
      </c>
      <c r="B43" s="92" t="s">
        <v>171</v>
      </c>
      <c r="C43" s="92" t="s">
        <v>172</v>
      </c>
      <c r="D43" s="93" t="s">
        <v>167</v>
      </c>
      <c r="E43" s="93" t="s">
        <v>168</v>
      </c>
      <c r="F43" s="93" t="s">
        <v>169</v>
      </c>
      <c r="G43" s="93" t="s">
        <v>170</v>
      </c>
      <c r="H43" s="94" t="str">
        <f t="shared" ca="1" si="0"/>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J43" s="309" t="s">
        <v>1091</v>
      </c>
      <c r="K43" s="310"/>
      <c r="L43" s="309" t="s">
        <v>1092</v>
      </c>
    </row>
    <row r="44" spans="1:12" ht="131.25">
      <c r="A44" s="90">
        <f t="shared" si="1"/>
        <v>43</v>
      </c>
      <c r="B44" s="92" t="s">
        <v>351</v>
      </c>
      <c r="C44" s="92" t="s">
        <v>352</v>
      </c>
      <c r="D44" s="93" t="s">
        <v>550</v>
      </c>
      <c r="E44" s="93" t="s">
        <v>551</v>
      </c>
      <c r="F44" s="93" t="s">
        <v>552</v>
      </c>
      <c r="G44" s="93" t="s">
        <v>553</v>
      </c>
      <c r="H44" s="94" t="str">
        <f t="shared" ca="1" si="0"/>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J44" s="311" t="s">
        <v>1094</v>
      </c>
      <c r="K44" s="310"/>
      <c r="L44" s="309" t="s">
        <v>1093</v>
      </c>
    </row>
    <row r="45" spans="1:12" ht="165.75">
      <c r="A45" s="90">
        <f t="shared" si="1"/>
        <v>44</v>
      </c>
      <c r="B45" s="92" t="s">
        <v>396</v>
      </c>
      <c r="C45" s="92" t="s">
        <v>397</v>
      </c>
      <c r="D45" s="93" t="s">
        <v>259</v>
      </c>
      <c r="E45" s="93" t="s">
        <v>260</v>
      </c>
      <c r="F45" s="93" t="s">
        <v>261</v>
      </c>
      <c r="G45" s="93" t="s">
        <v>553</v>
      </c>
      <c r="H45" s="94" t="str">
        <f t="shared" ca="1" si="0"/>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J45" s="311" t="s">
        <v>1096</v>
      </c>
      <c r="K45" s="310"/>
      <c r="L45" s="309" t="s">
        <v>1095</v>
      </c>
    </row>
    <row r="46" spans="1:12" ht="131.25">
      <c r="A46" s="90">
        <f t="shared" si="1"/>
        <v>45</v>
      </c>
      <c r="B46" s="92" t="s">
        <v>428</v>
      </c>
      <c r="C46" s="92" t="s">
        <v>429</v>
      </c>
      <c r="D46" s="93" t="s">
        <v>398</v>
      </c>
      <c r="E46" s="93" t="s">
        <v>399</v>
      </c>
      <c r="F46" s="93" t="s">
        <v>400</v>
      </c>
      <c r="G46" s="93" t="s">
        <v>427</v>
      </c>
      <c r="H46" s="94" t="str">
        <f t="shared" ca="1" si="0"/>
        <v>Uma pessoa sóbria que seja capaz de tolerar o desejo de falar, as exigências da mente, as ações da ira e os impulsos da língua, do estômago e dos órgãos genitais é qualificada para fazer discípulos em todo o mundo. (Upadesamrita - Verso 1)</v>
      </c>
      <c r="J46" s="309" t="s">
        <v>1097</v>
      </c>
      <c r="K46" s="310"/>
      <c r="L46" s="310" t="s">
        <v>203</v>
      </c>
    </row>
    <row r="47" spans="1:12" ht="153">
      <c r="A47" s="90">
        <f t="shared" si="1"/>
        <v>46</v>
      </c>
      <c r="B47" s="92" t="s">
        <v>208</v>
      </c>
      <c r="C47" s="92" t="s">
        <v>209</v>
      </c>
      <c r="D47" s="93" t="s">
        <v>204</v>
      </c>
      <c r="E47" s="93" t="s">
        <v>205</v>
      </c>
      <c r="F47" s="93" t="s">
        <v>206</v>
      </c>
      <c r="G47" s="93" t="s">
        <v>207</v>
      </c>
      <c r="H47" s="94" t="str">
        <f t="shared" ca="1" si="0"/>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J47" s="311" t="s">
        <v>1098</v>
      </c>
      <c r="K47" s="309"/>
      <c r="L47" s="309" t="s">
        <v>4838</v>
      </c>
    </row>
    <row r="48" spans="1:12" ht="165.75">
      <c r="A48" s="90">
        <f t="shared" si="1"/>
        <v>47</v>
      </c>
      <c r="B48" s="92" t="s">
        <v>522</v>
      </c>
      <c r="C48" s="92" t="s">
        <v>523</v>
      </c>
      <c r="D48" s="93" t="s">
        <v>518</v>
      </c>
      <c r="E48" s="93" t="s">
        <v>519</v>
      </c>
      <c r="F48" s="93" t="s">
        <v>520</v>
      </c>
      <c r="G48" s="93" t="s">
        <v>521</v>
      </c>
      <c r="H48" s="94" t="str">
        <f t="shared" ca="1" si="0"/>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J48" s="311" t="s">
        <v>1099</v>
      </c>
      <c r="K48" s="310"/>
      <c r="L48" s="310" t="s">
        <v>454</v>
      </c>
    </row>
    <row r="49" spans="1:12" ht="114.75">
      <c r="A49" s="90">
        <f t="shared" si="1"/>
        <v>48</v>
      </c>
      <c r="B49" s="92" t="s">
        <v>765</v>
      </c>
      <c r="C49" s="92" t="s">
        <v>766</v>
      </c>
      <c r="D49" s="93" t="s">
        <v>763</v>
      </c>
      <c r="E49" s="93" t="s">
        <v>764</v>
      </c>
      <c r="F49" s="93" t="s">
        <v>761</v>
      </c>
      <c r="G49" s="93" t="s">
        <v>762</v>
      </c>
      <c r="H49" s="94" t="str">
        <f t="shared" ca="1" si="0"/>
        <v>Os seis sintomas de amor que os devotos compartilham entre si são: dar presentes em caridade, aceitar presentes caridosos, revelar os pensamentos confidencialmente, indagar confidencialmente, aceitar prasadam e oferecer prasadam. (Upadesamrita - Verso 4)</v>
      </c>
      <c r="J49" s="309" t="s">
        <v>1100</v>
      </c>
      <c r="K49" s="310"/>
      <c r="L49" s="310" t="s">
        <v>767</v>
      </c>
    </row>
    <row r="50" spans="1:12" ht="191.25">
      <c r="A50" s="90">
        <f t="shared" si="1"/>
        <v>49</v>
      </c>
      <c r="B50" s="92" t="s">
        <v>524</v>
      </c>
      <c r="C50" s="92" t="s">
        <v>525</v>
      </c>
      <c r="D50" s="93" t="s">
        <v>768</v>
      </c>
      <c r="E50" s="93" t="s">
        <v>769</v>
      </c>
      <c r="F50" s="93" t="s">
        <v>770</v>
      </c>
      <c r="G50" s="93" t="s">
        <v>771</v>
      </c>
      <c r="H50" s="94" t="str">
        <f t="shared" ca="1" si="0"/>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v>
      </c>
      <c r="J50" s="311" t="s">
        <v>1101</v>
      </c>
      <c r="K50" s="310"/>
      <c r="L50" s="310" t="s">
        <v>455</v>
      </c>
    </row>
    <row r="51" spans="1:12" ht="140.25">
      <c r="A51" s="90">
        <f t="shared" si="1"/>
        <v>50</v>
      </c>
      <c r="B51" s="92" t="s">
        <v>291</v>
      </c>
      <c r="C51" s="92" t="s">
        <v>292</v>
      </c>
      <c r="D51" s="93" t="s">
        <v>394</v>
      </c>
      <c r="E51" s="93" t="s">
        <v>395</v>
      </c>
      <c r="F51" s="93" t="s">
        <v>289</v>
      </c>
      <c r="G51" s="93" t="s">
        <v>290</v>
      </c>
      <c r="H51" s="94" t="str">
        <f t="shared" ca="1" si="0"/>
        <v>Nesta era de Kali, as pessoas que são dotadas de inteligência suficiente adorarão, através da execução do sankirtana-yajna, ao Senhor, que está acompanhado por Seus associados. (Bhag. 11.5.32)</v>
      </c>
      <c r="J51" s="311" t="s">
        <v>1102</v>
      </c>
      <c r="K51" s="310"/>
      <c r="L51" s="309" t="s">
        <v>409</v>
      </c>
    </row>
    <row r="52" spans="1:12" ht="138" customHeight="1">
      <c r="A52" s="90">
        <f t="shared" si="1"/>
        <v>51</v>
      </c>
      <c r="B52" s="92" t="s">
        <v>414</v>
      </c>
      <c r="C52" s="92" t="s">
        <v>415</v>
      </c>
      <c r="D52" s="93" t="s">
        <v>410</v>
      </c>
      <c r="E52" s="93" t="s">
        <v>411</v>
      </c>
      <c r="F52" s="93" t="s">
        <v>412</v>
      </c>
      <c r="G52" s="93" t="s">
        <v>413</v>
      </c>
      <c r="H52" s="94" t="str">
        <f t="shared" ca="1" si="0"/>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v>
      </c>
      <c r="J52" s="311" t="s">
        <v>1105</v>
      </c>
      <c r="K52" s="310"/>
      <c r="L52" s="309" t="s">
        <v>457</v>
      </c>
    </row>
    <row r="53" spans="1:12" ht="165.75">
      <c r="A53" s="90">
        <f t="shared" si="1"/>
        <v>52</v>
      </c>
      <c r="B53" s="92" t="s">
        <v>606</v>
      </c>
      <c r="C53" s="92" t="s">
        <v>607</v>
      </c>
      <c r="D53" s="93" t="s">
        <v>608</v>
      </c>
      <c r="E53" s="93" t="s">
        <v>609</v>
      </c>
      <c r="F53" s="93" t="s">
        <v>610</v>
      </c>
      <c r="G53" s="93" t="s">
        <v>611</v>
      </c>
      <c r="H53" s="94" t="str">
        <f t="shared" ca="1" si="0"/>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J53" s="311" t="s">
        <v>1103</v>
      </c>
      <c r="K53" s="310"/>
      <c r="L53" s="310" t="s">
        <v>458</v>
      </c>
    </row>
    <row r="54" spans="1:12" ht="127.5">
      <c r="A54" s="90">
        <f t="shared" si="1"/>
        <v>53</v>
      </c>
      <c r="B54" s="92" t="s">
        <v>612</v>
      </c>
      <c r="C54" s="92" t="s">
        <v>613</v>
      </c>
      <c r="D54" s="93" t="s">
        <v>614</v>
      </c>
      <c r="E54" s="93" t="s">
        <v>615</v>
      </c>
      <c r="F54" s="93" t="s">
        <v>616</v>
      </c>
      <c r="G54" s="93" t="s">
        <v>617</v>
      </c>
      <c r="H54" s="94" t="str">
        <f t="shared" ca="1" si="0"/>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J54" s="311" t="s">
        <v>1104</v>
      </c>
      <c r="K54" s="310"/>
      <c r="L54" s="310" t="s">
        <v>149</v>
      </c>
    </row>
    <row r="55" spans="1:12"/>
    <row r="56" spans="1:12" hidden="1"/>
    <row r="57" spans="1:12" hidden="1"/>
    <row r="58" spans="1:12" hidden="1"/>
    <row r="59" spans="1:12" hidden="1"/>
    <row r="60" spans="1:12" hidden="1"/>
    <row r="61" spans="1:12" hidden="1"/>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41" fitToHeight="100" orientation="portrait" r:id="rId1"/>
  <headerFooter alignWithMargins="0">
    <oddHeader>&amp;R&amp;"Verdana,Normal"&amp;8Citações</oddHeader>
    <oddFooter>&amp;R&amp;"Verdana,Normal"&amp;8&amp;P.&amp;N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Translations">
    <pageSetUpPr fitToPage="1"/>
  </sheetPr>
  <dimension ref="A1:F222"/>
  <sheetViews>
    <sheetView workbookViewId="0">
      <pane xSplit="3" ySplit="3" topLeftCell="D4" activePane="bottomRight" state="frozen"/>
      <selection pane="topRight" activeCell="D1" sqref="D1"/>
      <selection pane="bottomLeft" activeCell="A4" sqref="A4"/>
      <selection pane="bottomRight"/>
    </sheetView>
  </sheetViews>
  <sheetFormatPr defaultRowHeight="12.75"/>
  <cols>
    <col min="1" max="1" width="11.85546875" customWidth="1"/>
    <col min="3" max="3" width="13.7109375" customWidth="1"/>
    <col min="4" max="4" width="45.7109375" customWidth="1"/>
    <col min="5" max="5" width="45.85546875" customWidth="1"/>
    <col min="6" max="6" width="46.5703125" customWidth="1"/>
  </cols>
  <sheetData>
    <row r="1" spans="1:6">
      <c r="A1" s="557" t="s">
        <v>813</v>
      </c>
      <c r="B1" s="188">
        <f>Index!S20</f>
        <v>3</v>
      </c>
      <c r="C1" s="365"/>
      <c r="D1" s="365"/>
      <c r="E1" s="365"/>
      <c r="F1" s="365"/>
    </row>
    <row r="2" spans="1:6" ht="18">
      <c r="A2" s="556"/>
      <c r="B2" s="365" t="str">
        <f ca="1">OFFSET(C2,0,$B$1)</f>
        <v>Português</v>
      </c>
      <c r="C2" s="365"/>
      <c r="D2" s="365" t="s">
        <v>559</v>
      </c>
      <c r="E2" s="365" t="s">
        <v>435</v>
      </c>
      <c r="F2" s="365" t="s">
        <v>822</v>
      </c>
    </row>
    <row r="3" spans="1:6">
      <c r="B3" s="365"/>
      <c r="C3" s="365"/>
      <c r="D3" s="365">
        <v>1</v>
      </c>
      <c r="E3" s="365">
        <v>2</v>
      </c>
      <c r="F3" s="365">
        <v>3</v>
      </c>
    </row>
    <row r="4" spans="1:6">
      <c r="B4" s="365" t="s">
        <v>3912</v>
      </c>
      <c r="C4" s="365" t="str">
        <f ca="1">OFFSET(C4,0,$B$1)</f>
        <v>Sri Abhirama Thakura - Desaparecimento</v>
      </c>
      <c r="D4" s="365" t="s">
        <v>4889</v>
      </c>
      <c r="E4" s="365" t="s">
        <v>4890</v>
      </c>
      <c r="F4" s="365" t="s">
        <v>4890</v>
      </c>
    </row>
    <row r="5" spans="1:6">
      <c r="B5" s="365" t="s">
        <v>3913</v>
      </c>
      <c r="C5" s="365" t="str">
        <f t="shared" ref="C5:C68" ca="1" si="0">OFFSET(C5,0,$B$1)</f>
        <v>Srila Vrndavana Dasa Thakura - Desaparecimento</v>
      </c>
      <c r="D5" s="365" t="s">
        <v>4891</v>
      </c>
      <c r="E5" s="365" t="s">
        <v>4892</v>
      </c>
      <c r="F5" s="365" t="s">
        <v>4892</v>
      </c>
    </row>
    <row r="6" spans="1:6">
      <c r="B6" s="365" t="s">
        <v>3914</v>
      </c>
      <c r="C6" s="365" t="str">
        <f t="shared" ca="1" si="0"/>
        <v>Sri Gadadhara Pandita - Aparecimento</v>
      </c>
      <c r="D6" s="365" t="s">
        <v>4893</v>
      </c>
      <c r="E6" s="365" t="s">
        <v>4894</v>
      </c>
      <c r="F6" s="365" t="s">
        <v>4894</v>
      </c>
    </row>
    <row r="7" spans="1:6">
      <c r="B7" s="365" t="s">
        <v>3915</v>
      </c>
      <c r="C7" s="365" t="str">
        <f t="shared" ca="1" si="0"/>
        <v>Aksaya Trtiya. Candana Yatra começa. (Continua por 21 dias)</v>
      </c>
      <c r="D7" s="365" t="s">
        <v>3915</v>
      </c>
      <c r="E7" s="365" t="s">
        <v>3856</v>
      </c>
      <c r="F7" s="365" t="s">
        <v>3856</v>
      </c>
    </row>
    <row r="8" spans="1:6">
      <c r="B8" s="365" t="s">
        <v>3916</v>
      </c>
      <c r="C8" s="365" t="str">
        <f t="shared" ca="1" si="0"/>
        <v>Srimati Sita Devi (consorte do Senhor Sri Rama) - Aparecimento</v>
      </c>
      <c r="D8" s="365" t="s">
        <v>4895</v>
      </c>
      <c r="E8" s="365" t="s">
        <v>4896</v>
      </c>
      <c r="F8" s="365" t="s">
        <v>4896</v>
      </c>
    </row>
    <row r="9" spans="1:6">
      <c r="B9" s="365" t="s">
        <v>3917</v>
      </c>
      <c r="C9" s="365" t="str">
        <f t="shared" ca="1" si="0"/>
        <v>Sri Madhu Pandita - Desaparecimento</v>
      </c>
      <c r="D9" s="365" t="s">
        <v>4897</v>
      </c>
      <c r="E9" s="300" t="s">
        <v>4898</v>
      </c>
      <c r="F9" s="365" t="s">
        <v>4898</v>
      </c>
    </row>
    <row r="10" spans="1:6">
      <c r="B10" s="365" t="s">
        <v>3918</v>
      </c>
      <c r="C10" s="365" t="str">
        <f t="shared" ca="1" si="0"/>
        <v>Srimati Jahnava Devi - Aparecimento</v>
      </c>
      <c r="D10" s="300" t="s">
        <v>4899</v>
      </c>
      <c r="E10" s="300" t="s">
        <v>4900</v>
      </c>
      <c r="F10" s="300" t="s">
        <v>4900</v>
      </c>
    </row>
    <row r="11" spans="1:6">
      <c r="B11" s="365" t="s">
        <v>3919</v>
      </c>
      <c r="C11" s="365" t="str">
        <f t="shared" ca="1" si="0"/>
        <v>Sri Jayananda Prabhu - Desaparecimento</v>
      </c>
      <c r="D11" s="300" t="s">
        <v>4901</v>
      </c>
      <c r="E11" s="365" t="s">
        <v>4902</v>
      </c>
      <c r="F11" s="300" t="s">
        <v>4902</v>
      </c>
    </row>
    <row r="12" spans="1:6">
      <c r="B12" s="365" t="s">
        <v>3920</v>
      </c>
      <c r="C12" s="365" t="str">
        <f t="shared" ca="1" si="0"/>
        <v>Nrsimha Caturdasi: Aparecimento do Senhor Nrsimhadeva</v>
      </c>
      <c r="D12" s="365" t="s">
        <v>3920</v>
      </c>
      <c r="E12" s="365" t="s">
        <v>3857</v>
      </c>
      <c r="F12" s="365" t="s">
        <v>3857</v>
      </c>
    </row>
    <row r="13" spans="1:6">
      <c r="B13" s="365" t="s">
        <v>3921</v>
      </c>
      <c r="C13" s="365" t="str">
        <f t="shared" ca="1" si="0"/>
        <v>Sri Paramesvari Dasa Thakura - Desaparecimento</v>
      </c>
      <c r="D13" s="300" t="s">
        <v>4903</v>
      </c>
      <c r="E13" s="300" t="s">
        <v>4904</v>
      </c>
      <c r="F13" s="300" t="s">
        <v>4905</v>
      </c>
    </row>
    <row r="14" spans="1:6">
      <c r="B14" s="365" t="s">
        <v>3922</v>
      </c>
      <c r="C14" s="365" t="str">
        <f t="shared" ca="1" si="0"/>
        <v>Sri Sri Radha-Ramana Devaji - Aparecimento</v>
      </c>
      <c r="D14" s="300" t="s">
        <v>4906</v>
      </c>
      <c r="E14" s="300" t="s">
        <v>4907</v>
      </c>
      <c r="F14" s="300" t="s">
        <v>4907</v>
      </c>
    </row>
    <row r="15" spans="1:6">
      <c r="B15" s="365" t="s">
        <v>3923</v>
      </c>
      <c r="C15" s="365" t="str">
        <f t="shared" ca="1" si="0"/>
        <v>Sri Madhavendra Puri - Ap.</v>
      </c>
      <c r="D15" s="300" t="s">
        <v>4836</v>
      </c>
      <c r="E15" s="300" t="s">
        <v>4837</v>
      </c>
      <c r="F15" s="300" t="s">
        <v>4837</v>
      </c>
    </row>
    <row r="16" spans="1:6">
      <c r="B16" s="365" t="s">
        <v>3924</v>
      </c>
      <c r="C16" s="365" t="str">
        <f t="shared" ca="1" si="0"/>
        <v>Sri Srinivasa Acarya - Ap.</v>
      </c>
      <c r="D16" s="300" t="s">
        <v>4834</v>
      </c>
      <c r="E16" s="300" t="s">
        <v>4835</v>
      </c>
      <c r="F16" s="300" t="s">
        <v>4835</v>
      </c>
    </row>
    <row r="17" spans="2:6">
      <c r="B17" s="365" t="s">
        <v>3925</v>
      </c>
      <c r="C17" s="365" t="str">
        <f t="shared" ca="1" si="0"/>
        <v>Sri Ramananda Raya - Desaparecimento</v>
      </c>
      <c r="D17" s="365" t="s">
        <v>4908</v>
      </c>
      <c r="E17" s="365" t="s">
        <v>4909</v>
      </c>
      <c r="F17" s="365" t="s">
        <v>4909</v>
      </c>
    </row>
    <row r="18" spans="2:6">
      <c r="B18" s="365" t="s">
        <v>3926</v>
      </c>
      <c r="C18" s="365" t="str">
        <f t="shared" ca="1" si="0"/>
        <v>Srila Vrndavana Dasa Thakura - Aparecimento</v>
      </c>
      <c r="D18" s="365" t="s">
        <v>4910</v>
      </c>
      <c r="E18" s="365" t="s">
        <v>4911</v>
      </c>
      <c r="F18" s="365" t="s">
        <v>4911</v>
      </c>
    </row>
    <row r="19" spans="2:6">
      <c r="B19" s="365" t="s">
        <v>3927</v>
      </c>
      <c r="C19" s="365" t="str">
        <f t="shared" ca="1" si="0"/>
        <v>Sri Baladeva Vidyabhusana - Desaparecimento</v>
      </c>
      <c r="D19" s="365" t="s">
        <v>4912</v>
      </c>
      <c r="E19" s="365" t="s">
        <v>4913</v>
      </c>
      <c r="F19" s="300" t="s">
        <v>4913</v>
      </c>
    </row>
    <row r="20" spans="2:6">
      <c r="B20" s="365" t="s">
        <v>3928</v>
      </c>
      <c r="C20" s="365" t="str">
        <f t="shared" ca="1" si="0"/>
        <v>Srimati Gangamata Gosvamini - Aparecimento</v>
      </c>
      <c r="D20" s="365" t="s">
        <v>4914</v>
      </c>
      <c r="E20" s="365" t="s">
        <v>4915</v>
      </c>
      <c r="F20" s="365" t="s">
        <v>4915</v>
      </c>
    </row>
    <row r="21" spans="2:6">
      <c r="B21" s="365" t="s">
        <v>3929</v>
      </c>
      <c r="C21" s="365" t="str">
        <f t="shared" ca="1" si="0"/>
        <v>Sri Mukunda Datta - Desaparecimento</v>
      </c>
      <c r="D21" s="365" t="s">
        <v>4916</v>
      </c>
      <c r="E21" s="365" t="s">
        <v>4917</v>
      </c>
      <c r="F21" s="365" t="s">
        <v>4917</v>
      </c>
    </row>
    <row r="22" spans="2:6">
      <c r="B22" s="365" t="s">
        <v>3930</v>
      </c>
      <c r="C22" s="365" t="str">
        <f t="shared" ca="1" si="0"/>
        <v>Sri Sridhara Pandita - Desaparecimento</v>
      </c>
      <c r="D22" s="365" t="s">
        <v>4918</v>
      </c>
      <c r="E22" s="365" t="s">
        <v>4919</v>
      </c>
      <c r="F22" s="365" t="s">
        <v>4919</v>
      </c>
    </row>
    <row r="23" spans="2:6">
      <c r="B23" s="365" t="s">
        <v>3931</v>
      </c>
      <c r="C23" s="365" t="str">
        <f t="shared" ca="1" si="0"/>
        <v>Sri Syamananda Prabhu - Desaparecimento</v>
      </c>
      <c r="D23" s="365" t="s">
        <v>4920</v>
      </c>
      <c r="E23" s="365" t="s">
        <v>4921</v>
      </c>
      <c r="F23" s="365" t="s">
        <v>4921</v>
      </c>
    </row>
    <row r="24" spans="2:6">
      <c r="B24" s="365" t="s">
        <v>3932</v>
      </c>
      <c r="C24" s="365" t="str">
        <f t="shared" ca="1" si="0"/>
        <v>Sri Vakresvara Pandita - Aparecimento</v>
      </c>
      <c r="D24" s="365" t="s">
        <v>4922</v>
      </c>
      <c r="E24" s="365" t="s">
        <v>4923</v>
      </c>
      <c r="F24" s="365" t="s">
        <v>4923</v>
      </c>
    </row>
    <row r="25" spans="2:6">
      <c r="B25" s="365" t="s">
        <v>3933</v>
      </c>
      <c r="C25" s="365" t="str">
        <f t="shared" ca="1" si="0"/>
        <v>Sri Srivasa Pandita - Desaparecimento</v>
      </c>
      <c r="D25" s="365" t="s">
        <v>4924</v>
      </c>
      <c r="E25" s="365" t="s">
        <v>4925</v>
      </c>
      <c r="F25" s="365" t="s">
        <v>4925</v>
      </c>
    </row>
    <row r="26" spans="2:6">
      <c r="B26" s="365" t="s">
        <v>3934</v>
      </c>
      <c r="C26" s="365" t="str">
        <f t="shared" ca="1" si="0"/>
        <v>Sri Gadadhara Pandita - Desaparecimento</v>
      </c>
      <c r="D26" s="365" t="s">
        <v>4926</v>
      </c>
      <c r="E26" s="365" t="s">
        <v>4927</v>
      </c>
      <c r="F26" s="365" t="s">
        <v>4927</v>
      </c>
    </row>
    <row r="27" spans="2:6">
      <c r="B27" s="365" t="s">
        <v>3935</v>
      </c>
      <c r="C27" s="365" t="str">
        <f t="shared" ca="1" si="0"/>
        <v>Srila Bhaktivinoda Thakura - Desaparecimento</v>
      </c>
      <c r="D27" s="365" t="s">
        <v>4928</v>
      </c>
      <c r="E27" s="365" t="s">
        <v>4929</v>
      </c>
      <c r="F27" s="365" t="s">
        <v>4929</v>
      </c>
    </row>
    <row r="28" spans="2:6">
      <c r="B28" s="365" t="s">
        <v>3936</v>
      </c>
      <c r="C28" s="365" t="str">
        <f t="shared" ca="1" si="0"/>
        <v>Sri Svarupa Damodara Gosvami - Desaparecimento</v>
      </c>
      <c r="D28" s="365" t="s">
        <v>4930</v>
      </c>
      <c r="E28" s="365" t="s">
        <v>4931</v>
      </c>
      <c r="F28" s="365" t="s">
        <v>4931</v>
      </c>
    </row>
    <row r="29" spans="2:6">
      <c r="B29" s="365" t="s">
        <v>3937</v>
      </c>
      <c r="C29" s="365" t="str">
        <f t="shared" ca="1" si="0"/>
        <v>Sri Sivananda Sena - Desaparecimento</v>
      </c>
      <c r="D29" s="365" t="s">
        <v>4932</v>
      </c>
      <c r="E29" s="365" t="s">
        <v>4933</v>
      </c>
      <c r="F29" s="365" t="s">
        <v>4933</v>
      </c>
    </row>
    <row r="30" spans="2:6">
      <c r="B30" s="365" t="s">
        <v>3938</v>
      </c>
      <c r="C30" s="365" t="str">
        <f t="shared" ca="1" si="0"/>
        <v>Sri Vakresvara Pandita - Desaparecimento</v>
      </c>
      <c r="D30" s="365" t="s">
        <v>4934</v>
      </c>
      <c r="E30" s="365" t="s">
        <v>4935</v>
      </c>
      <c r="F30" s="365" t="s">
        <v>4935</v>
      </c>
    </row>
    <row r="31" spans="2:6">
      <c r="B31" s="365" t="s">
        <v>3939</v>
      </c>
      <c r="C31" s="365" t="str">
        <f t="shared" ca="1" si="0"/>
        <v>Srila Sanatana Gosvami - Desaparecimento</v>
      </c>
      <c r="D31" s="365" t="s">
        <v>4936</v>
      </c>
      <c r="E31" s="365" t="s">
        <v>4937</v>
      </c>
      <c r="F31" s="365" t="s">
        <v>4937</v>
      </c>
    </row>
    <row r="32" spans="2:6">
      <c r="B32" s="365" t="s">
        <v>3940</v>
      </c>
      <c r="C32" s="365" t="str">
        <f t="shared" ca="1" si="0"/>
        <v>Srila Gopala Bhatta Gosvami - Desaparecimento</v>
      </c>
      <c r="D32" s="365" t="s">
        <v>4938</v>
      </c>
      <c r="E32" s="365" t="s">
        <v>4939</v>
      </c>
      <c r="F32" s="365" t="s">
        <v>4939</v>
      </c>
    </row>
    <row r="33" spans="2:6">
      <c r="B33" s="365" t="s">
        <v>3941</v>
      </c>
      <c r="C33" s="365" t="str">
        <f t="shared" ca="1" si="0"/>
        <v>Srila Lokanatha Gosvami - Desaparecimento</v>
      </c>
      <c r="D33" s="365" t="s">
        <v>4940</v>
      </c>
      <c r="E33" s="365" t="s">
        <v>4941</v>
      </c>
      <c r="F33" s="365" t="s">
        <v>4941</v>
      </c>
    </row>
    <row r="34" spans="2:6">
      <c r="B34" s="365" t="s">
        <v>3942</v>
      </c>
      <c r="C34" s="365" t="str">
        <f t="shared" ca="1" si="0"/>
        <v>Fundação da ISKCON em Nova Iorque</v>
      </c>
      <c r="D34" s="365" t="s">
        <v>3942</v>
      </c>
      <c r="E34" s="365" t="s">
        <v>3858</v>
      </c>
      <c r="F34" s="365" t="s">
        <v>3858</v>
      </c>
    </row>
    <row r="35" spans="2:6">
      <c r="B35" s="365" t="s">
        <v>3943</v>
      </c>
      <c r="C35" s="365" t="str">
        <f t="shared" ca="1" si="0"/>
        <v>Sri Raghunandana Thakura - Desaparecimento</v>
      </c>
      <c r="D35" s="365" t="s">
        <v>4942</v>
      </c>
      <c r="E35" s="365" t="s">
        <v>4943</v>
      </c>
      <c r="F35" s="365" t="s">
        <v>4943</v>
      </c>
    </row>
    <row r="36" spans="2:6">
      <c r="B36" s="365" t="s">
        <v>3944</v>
      </c>
      <c r="C36" s="365" t="str">
        <f t="shared" ca="1" si="0"/>
        <v>Sri Vamsidasa Babaji - Desaparecimento</v>
      </c>
      <c r="D36" s="365" t="s">
        <v>4944</v>
      </c>
      <c r="E36" s="365" t="s">
        <v>4945</v>
      </c>
      <c r="F36" s="365" t="s">
        <v>4945</v>
      </c>
    </row>
    <row r="37" spans="2:6">
      <c r="B37" s="365" t="s">
        <v>3945</v>
      </c>
      <c r="C37" s="365" t="str">
        <f t="shared" ca="1" si="0"/>
        <v>Radha Govinda Jhulana Yatra começa</v>
      </c>
      <c r="D37" s="365" t="s">
        <v>3945</v>
      </c>
      <c r="E37" s="365" t="s">
        <v>3859</v>
      </c>
      <c r="F37" s="365" t="s">
        <v>3859</v>
      </c>
    </row>
    <row r="38" spans="2:6">
      <c r="B38" s="365" t="s">
        <v>3946</v>
      </c>
      <c r="C38" s="365" t="str">
        <f t="shared" ca="1" si="0"/>
        <v>Srila Rupa Gosvami - Desaparecimento</v>
      </c>
      <c r="D38" s="365" t="s">
        <v>4946</v>
      </c>
      <c r="E38" s="365" t="s">
        <v>4947</v>
      </c>
      <c r="F38" s="365" t="s">
        <v>4947</v>
      </c>
    </row>
    <row r="39" spans="2:6">
      <c r="B39" s="365" t="s">
        <v>3947</v>
      </c>
      <c r="C39" s="365" t="str">
        <f t="shared" ca="1" si="0"/>
        <v>Sri Gauridasa Pandita - Desaparecimento</v>
      </c>
      <c r="D39" s="365" t="s">
        <v>4948</v>
      </c>
      <c r="E39" s="365" t="s">
        <v>4949</v>
      </c>
      <c r="F39" s="365" t="s">
        <v>4949</v>
      </c>
    </row>
    <row r="40" spans="2:6">
      <c r="B40" s="365" t="s">
        <v>3948</v>
      </c>
      <c r="C40" s="365" t="str">
        <f t="shared" ca="1" si="0"/>
        <v>Jhulana Yatra termina</v>
      </c>
      <c r="D40" s="365" t="s">
        <v>3948</v>
      </c>
      <c r="E40" s="365" t="s">
        <v>3860</v>
      </c>
      <c r="F40" s="365" t="s">
        <v>3860</v>
      </c>
    </row>
    <row r="41" spans="2:6">
      <c r="B41" s="365" t="s">
        <v>3949</v>
      </c>
      <c r="C41" s="365" t="str">
        <f t="shared" ca="1" si="0"/>
        <v>Senhor Balarama - Aparecimento</v>
      </c>
      <c r="D41" s="365" t="s">
        <v>4950</v>
      </c>
      <c r="E41" s="365" t="s">
        <v>4951</v>
      </c>
      <c r="F41" s="365" t="s">
        <v>4951</v>
      </c>
    </row>
    <row r="42" spans="2:6">
      <c r="B42" s="365" t="s">
        <v>3950</v>
      </c>
      <c r="C42" s="365" t="str">
        <f t="shared" ca="1" si="0"/>
        <v>Partida de Srila Prabhupada para os Estados Unidos</v>
      </c>
      <c r="D42" s="365" t="s">
        <v>3950</v>
      </c>
      <c r="E42" s="365" t="s">
        <v>3861</v>
      </c>
      <c r="F42" s="365" t="s">
        <v>3861</v>
      </c>
    </row>
    <row r="43" spans="2:6">
      <c r="B43" s="365" t="s">
        <v>3951</v>
      </c>
      <c r="C43" s="365" t="str">
        <f t="shared" ca="1" si="0"/>
        <v>Srimati Sita Thakurani (Consorte de Sri Advaita) - Aparecimento</v>
      </c>
      <c r="D43" s="365" t="s">
        <v>4952</v>
      </c>
      <c r="E43" s="365" t="s">
        <v>4953</v>
      </c>
      <c r="F43" s="365" t="s">
        <v>4953</v>
      </c>
    </row>
    <row r="44" spans="2:6">
      <c r="B44" s="365" t="s">
        <v>3952</v>
      </c>
      <c r="C44" s="365" t="str">
        <f t="shared" ca="1" si="0"/>
        <v>Radhastami: Aparecimento de Srimati Radharani</v>
      </c>
      <c r="D44" s="365" t="s">
        <v>3952</v>
      </c>
      <c r="E44" s="365" t="s">
        <v>3862</v>
      </c>
      <c r="F44" s="365" t="s">
        <v>3862</v>
      </c>
    </row>
    <row r="45" spans="2:6">
      <c r="B45" s="365" t="s">
        <v>3953</v>
      </c>
      <c r="C45" s="365" t="str">
        <f t="shared" ca="1" si="0"/>
        <v>Sri Vamana Dvadasi: Aparecimento do Senhor Vamanadeva</v>
      </c>
      <c r="D45" s="365" t="s">
        <v>3953</v>
      </c>
      <c r="E45" s="365" t="s">
        <v>3863</v>
      </c>
      <c r="F45" s="365" t="s">
        <v>3863</v>
      </c>
    </row>
    <row r="46" spans="2:6">
      <c r="B46" s="365" t="s">
        <v>3954</v>
      </c>
      <c r="C46" s="365" t="str">
        <f t="shared" ca="1" si="0"/>
        <v>Srila Jiva Gosvami - Aparecimento</v>
      </c>
      <c r="D46" s="365" t="s">
        <v>4954</v>
      </c>
      <c r="E46" s="365" t="s">
        <v>4955</v>
      </c>
      <c r="F46" s="365" t="s">
        <v>4955</v>
      </c>
    </row>
    <row r="47" spans="2:6">
      <c r="B47" s="365" t="s">
        <v>3955</v>
      </c>
      <c r="C47" s="365" t="str">
        <f t="shared" ca="1" si="0"/>
        <v>Srila Bhaktivinoda Thakura - Aparecimento</v>
      </c>
      <c r="D47" s="365" t="s">
        <v>4956</v>
      </c>
      <c r="E47" s="365" t="s">
        <v>4957</v>
      </c>
      <c r="F47" s="365" t="s">
        <v>4957</v>
      </c>
    </row>
    <row r="48" spans="2:6">
      <c r="B48" s="365" t="s">
        <v>3956</v>
      </c>
      <c r="C48" s="365" t="str">
        <f t="shared" ca="1" si="0"/>
        <v>Srila Haridasa Thakura - Desaparecimento</v>
      </c>
      <c r="D48" s="365" t="s">
        <v>4958</v>
      </c>
      <c r="E48" s="365" t="s">
        <v>4959</v>
      </c>
      <c r="F48" s="365" t="s">
        <v>4959</v>
      </c>
    </row>
    <row r="49" spans="2:6">
      <c r="B49" s="365" t="s">
        <v>3957</v>
      </c>
      <c r="C49" s="365" t="str">
        <f t="shared" ca="1" si="0"/>
        <v>Aceitação de sannyasa por Srila Prabhupada</v>
      </c>
      <c r="D49" s="300" t="s">
        <v>3957</v>
      </c>
      <c r="E49" s="365" t="s">
        <v>3864</v>
      </c>
      <c r="F49" s="365" t="s">
        <v>3864</v>
      </c>
    </row>
    <row r="50" spans="2:6">
      <c r="B50" s="365" t="s">
        <v>3958</v>
      </c>
      <c r="C50" s="365" t="str">
        <f t="shared" ca="1" si="0"/>
        <v>Chegada de Srila Prabhupada aos Estados Unidos</v>
      </c>
      <c r="D50" s="365" t="s">
        <v>3958</v>
      </c>
      <c r="E50" s="365" t="s">
        <v>3865</v>
      </c>
      <c r="F50" s="365" t="s">
        <v>3865</v>
      </c>
    </row>
    <row r="51" spans="2:6">
      <c r="B51" s="365" t="s">
        <v>3959</v>
      </c>
      <c r="C51" s="365" t="str">
        <f t="shared" ca="1" si="0"/>
        <v>Sri Madhvacarya - Aparecimento</v>
      </c>
      <c r="D51" s="365" t="s">
        <v>4960</v>
      </c>
      <c r="E51" s="365" t="s">
        <v>4961</v>
      </c>
      <c r="F51" s="365" t="s">
        <v>4961</v>
      </c>
    </row>
    <row r="52" spans="2:6">
      <c r="B52" s="365" t="s">
        <v>3960</v>
      </c>
      <c r="C52" s="365" t="str">
        <f t="shared" ca="1" si="0"/>
        <v>Srila Raghunatha Dasa Gosvami - Desaparecimento</v>
      </c>
      <c r="D52" s="365" t="s">
        <v>4962</v>
      </c>
      <c r="E52" s="365" t="s">
        <v>4963</v>
      </c>
      <c r="F52" s="365" t="s">
        <v>4963</v>
      </c>
    </row>
    <row r="53" spans="2:6">
      <c r="B53" s="365" t="s">
        <v>3961</v>
      </c>
      <c r="C53" s="365" t="str">
        <f t="shared" ca="1" si="0"/>
        <v>Srila Raghunatha Bhatta Gosvami - Desaparecimento</v>
      </c>
      <c r="D53" s="365" t="s">
        <v>4964</v>
      </c>
      <c r="E53" s="365" t="s">
        <v>4965</v>
      </c>
      <c r="F53" s="365" t="s">
        <v>4965</v>
      </c>
    </row>
    <row r="54" spans="2:6">
      <c r="B54" s="365" t="s">
        <v>3962</v>
      </c>
      <c r="C54" s="365" t="str">
        <f t="shared" ca="1" si="0"/>
        <v>Srila Krsnadasa Kaviraja Gosvami - Desaparecimento</v>
      </c>
      <c r="D54" s="365" t="s">
        <v>4966</v>
      </c>
      <c r="E54" s="365" t="s">
        <v>4967</v>
      </c>
      <c r="F54" s="365" t="s">
        <v>4967</v>
      </c>
    </row>
    <row r="55" spans="2:6">
      <c r="B55" s="365" t="s">
        <v>3963</v>
      </c>
      <c r="C55" s="365" t="str">
        <f t="shared" ca="1" si="0"/>
        <v>Sri Murari Gupta - Desaparecimento</v>
      </c>
      <c r="D55" s="365" t="s">
        <v>4968</v>
      </c>
      <c r="E55" s="365" t="s">
        <v>4969</v>
      </c>
      <c r="F55" s="365" t="s">
        <v>4969</v>
      </c>
    </row>
    <row r="56" spans="2:6">
      <c r="B56" s="365" t="s">
        <v>3964</v>
      </c>
      <c r="C56" s="365" t="str">
        <f t="shared" ca="1" si="0"/>
        <v>Srila Narottama Dasa Thakura - Desaparecimento</v>
      </c>
      <c r="D56" s="365" t="s">
        <v>4970</v>
      </c>
      <c r="E56" s="365" t="s">
        <v>4971</v>
      </c>
      <c r="F56" s="365" t="s">
        <v>4971</v>
      </c>
    </row>
    <row r="57" spans="2:6">
      <c r="B57" s="365" t="s">
        <v>3965</v>
      </c>
      <c r="C57" s="365" t="str">
        <f t="shared" ca="1" si="0"/>
        <v>Aparecimento do Radha Kunda, snana dana</v>
      </c>
      <c r="D57" s="365" t="s">
        <v>3965</v>
      </c>
      <c r="E57" s="365" t="s">
        <v>3866</v>
      </c>
      <c r="F57" s="365" t="s">
        <v>3866</v>
      </c>
    </row>
    <row r="58" spans="2:6">
      <c r="B58" s="365" t="s">
        <v>3966</v>
      </c>
      <c r="C58" s="365" t="str">
        <f t="shared" ca="1" si="0"/>
        <v>Sri Virabhadra - Aparecimento</v>
      </c>
      <c r="D58" s="365" t="s">
        <v>4972</v>
      </c>
      <c r="E58" s="365" t="s">
        <v>4973</v>
      </c>
      <c r="F58" s="365" t="s">
        <v>4973</v>
      </c>
    </row>
    <row r="59" spans="2:6">
      <c r="B59" s="365" t="s">
        <v>3967</v>
      </c>
      <c r="C59" s="365" t="str">
        <f t="shared" ca="1" si="0"/>
        <v>Sri Rasikananda - Aparecimento</v>
      </c>
      <c r="D59" s="365" t="s">
        <v>4974</v>
      </c>
      <c r="E59" s="365" t="s">
        <v>4975</v>
      </c>
      <c r="F59" s="365" t="s">
        <v>4975</v>
      </c>
    </row>
    <row r="60" spans="2:6">
      <c r="B60" s="365" t="s">
        <v>3968</v>
      </c>
      <c r="C60" s="365" t="str">
        <f t="shared" ca="1" si="0"/>
        <v>Sri Vasudeva Ghosh - Desaparecimento</v>
      </c>
      <c r="D60" s="365" t="s">
        <v>4976</v>
      </c>
      <c r="E60" s="365" t="s">
        <v>4977</v>
      </c>
      <c r="F60" s="365" t="s">
        <v>4977</v>
      </c>
    </row>
    <row r="61" spans="2:6">
      <c r="B61" s="365" t="s">
        <v>3969</v>
      </c>
      <c r="C61" s="365" t="str">
        <f t="shared" ca="1" si="0"/>
        <v>Srila Prabhupada - Desaparecimento</v>
      </c>
      <c r="D61" s="365" t="s">
        <v>4978</v>
      </c>
      <c r="E61" s="365" t="s">
        <v>4979</v>
      </c>
      <c r="F61" s="365" t="s">
        <v>4979</v>
      </c>
    </row>
    <row r="62" spans="2:6">
      <c r="B62" s="365" t="s">
        <v>3970</v>
      </c>
      <c r="C62" s="365" t="str">
        <f t="shared" ca="1" si="0"/>
        <v>Sri Gadadhara Dasa Gosvami - Desaparecimento</v>
      </c>
      <c r="D62" s="365" t="s">
        <v>4980</v>
      </c>
      <c r="E62" s="365" t="s">
        <v>4981</v>
      </c>
      <c r="F62" s="365" t="s">
        <v>4981</v>
      </c>
    </row>
    <row r="63" spans="2:6">
      <c r="B63" s="365" t="s">
        <v>3971</v>
      </c>
      <c r="C63" s="365" t="str">
        <f t="shared" ca="1" si="0"/>
        <v>Sri Dhananjaya Pandita - Desaparecimento</v>
      </c>
      <c r="D63" s="365" t="s">
        <v>4982</v>
      </c>
      <c r="E63" s="365" t="s">
        <v>4983</v>
      </c>
      <c r="F63" s="365" t="s">
        <v>4983</v>
      </c>
    </row>
    <row r="64" spans="2:6">
      <c r="B64" s="365" t="s">
        <v>3972</v>
      </c>
      <c r="C64" s="365" t="str">
        <f t="shared" ca="1" si="0"/>
        <v>Sri Srinivasa Acarya - Desaparecimento</v>
      </c>
      <c r="D64" s="365" t="s">
        <v>4984</v>
      </c>
      <c r="E64" s="365" t="s">
        <v>4985</v>
      </c>
      <c r="F64" s="365" t="s">
        <v>4985</v>
      </c>
    </row>
    <row r="65" spans="2:6">
      <c r="B65" s="365" t="s">
        <v>3973</v>
      </c>
      <c r="C65" s="365" t="str">
        <f t="shared" ca="1" si="0"/>
        <v>Srila Gaura Kisora Dasa Babaji - Desaparecimento</v>
      </c>
      <c r="D65" s="365" t="s">
        <v>4986</v>
      </c>
      <c r="E65" s="365" t="s">
        <v>4987</v>
      </c>
      <c r="F65" s="365" t="s">
        <v>4987</v>
      </c>
    </row>
    <row r="66" spans="2:6">
      <c r="B66" s="365" t="s">
        <v>3974</v>
      </c>
      <c r="C66" s="365" t="str">
        <f t="shared" ca="1" si="0"/>
        <v>Sri Bhugarbha Gosvami - Desaparecimento</v>
      </c>
      <c r="D66" s="365" t="s">
        <v>4988</v>
      </c>
      <c r="E66" s="365" t="s">
        <v>4989</v>
      </c>
      <c r="F66" s="365" t="s">
        <v>4989</v>
      </c>
    </row>
    <row r="67" spans="2:6">
      <c r="B67" s="365" t="s">
        <v>3975</v>
      </c>
      <c r="C67" s="365" t="str">
        <f t="shared" ca="1" si="0"/>
        <v>Sri Kasisvara Pandita - Desaparecimento</v>
      </c>
      <c r="D67" s="365" t="s">
        <v>4990</v>
      </c>
      <c r="E67" s="365" t="s">
        <v>4991</v>
      </c>
      <c r="F67" s="365" t="s">
        <v>4991</v>
      </c>
    </row>
    <row r="68" spans="2:6">
      <c r="B68" s="365" t="s">
        <v>3976</v>
      </c>
      <c r="C68" s="365" t="str">
        <f t="shared" ca="1" si="0"/>
        <v>Tulasi-Saligrama Vivaha (casamento)</v>
      </c>
      <c r="D68" s="365" t="s">
        <v>3976</v>
      </c>
      <c r="E68" s="365" t="s">
        <v>3867</v>
      </c>
      <c r="F68" s="365" t="s">
        <v>3867</v>
      </c>
    </row>
    <row r="69" spans="2:6">
      <c r="B69" s="365" t="s">
        <v>3977</v>
      </c>
      <c r="C69" s="365" t="str">
        <f t="shared" ref="C69:C135" ca="1" si="1">OFFSET(C69,0,$B$1)</f>
        <v>Sri Nimbarkacarya - Aparecimento</v>
      </c>
      <c r="D69" s="365" t="s">
        <v>4992</v>
      </c>
      <c r="E69" s="365" t="s">
        <v>4993</v>
      </c>
      <c r="F69" s="365" t="s">
        <v>4993</v>
      </c>
    </row>
    <row r="70" spans="2:6">
      <c r="B70" s="365" t="s">
        <v>3978</v>
      </c>
      <c r="C70" s="365" t="str">
        <f t="shared" ca="1" si="1"/>
        <v>Katyayani vrata começa</v>
      </c>
      <c r="D70" s="365" t="s">
        <v>3978</v>
      </c>
      <c r="E70" s="365" t="s">
        <v>3868</v>
      </c>
      <c r="F70" s="365" t="s">
        <v>3868</v>
      </c>
    </row>
    <row r="71" spans="2:6">
      <c r="B71" s="365" t="s">
        <v>3979</v>
      </c>
      <c r="C71" s="365" t="str">
        <f t="shared" ca="1" si="1"/>
        <v>Sri Narahari Sarakara Thakura - Desaparecimento</v>
      </c>
      <c r="D71" s="365" t="s">
        <v>4994</v>
      </c>
      <c r="E71" s="365" t="s">
        <v>4995</v>
      </c>
      <c r="F71" s="365" t="s">
        <v>4995</v>
      </c>
    </row>
    <row r="72" spans="2:6">
      <c r="B72" s="365" t="s">
        <v>3980</v>
      </c>
      <c r="C72" s="365" t="str">
        <f t="shared" ca="1" si="1"/>
        <v>Sri Kaliya Krsnadasa - Desaparecimento</v>
      </c>
      <c r="D72" s="365" t="s">
        <v>4996</v>
      </c>
      <c r="E72" s="365" t="s">
        <v>4997</v>
      </c>
      <c r="F72" s="365" t="s">
        <v>4997</v>
      </c>
    </row>
    <row r="73" spans="2:6">
      <c r="B73" s="365" t="s">
        <v>3981</v>
      </c>
      <c r="C73" s="365" t="str">
        <f t="shared" ca="1" si="1"/>
        <v>Sri Saranga Thakura - Desaparecimento</v>
      </c>
      <c r="D73" s="365" t="s">
        <v>4998</v>
      </c>
      <c r="E73" s="365" t="s">
        <v>4999</v>
      </c>
      <c r="F73" s="365" t="s">
        <v>4999</v>
      </c>
    </row>
    <row r="74" spans="2:6">
      <c r="B74" s="365" t="s">
        <v>3982</v>
      </c>
      <c r="C74" s="365" t="str">
        <f t="shared" ca="1" si="1"/>
        <v>Advento do Srimad Bhagavad-gita</v>
      </c>
      <c r="D74" s="365" t="s">
        <v>3982</v>
      </c>
      <c r="E74" s="365" t="s">
        <v>3869</v>
      </c>
      <c r="F74" s="365" t="s">
        <v>3869</v>
      </c>
    </row>
    <row r="75" spans="2:6">
      <c r="B75" s="365" t="s">
        <v>3983</v>
      </c>
      <c r="C75" s="365" t="str">
        <f t="shared" ca="1" si="1"/>
        <v>Katyayani vrata termina</v>
      </c>
      <c r="D75" s="365" t="s">
        <v>3983</v>
      </c>
      <c r="E75" s="365" t="s">
        <v>3870</v>
      </c>
      <c r="F75" s="365" t="s">
        <v>3870</v>
      </c>
    </row>
    <row r="76" spans="2:6">
      <c r="B76" s="365" t="s">
        <v>3984</v>
      </c>
      <c r="C76" s="365" t="str">
        <f t="shared" ca="1" si="1"/>
        <v>Srila Bhaktisiddhanta Sarasvati Thakura - Desaparecimento</v>
      </c>
      <c r="D76" s="365" t="s">
        <v>5000</v>
      </c>
      <c r="E76" s="365" t="s">
        <v>5001</v>
      </c>
      <c r="F76" s="365" t="s">
        <v>5001</v>
      </c>
    </row>
    <row r="77" spans="2:6">
      <c r="B77" s="365" t="s">
        <v>3985</v>
      </c>
      <c r="C77" s="365" t="str">
        <f t="shared" ca="1" si="1"/>
        <v>Sri Devananda Pandita - Desaparecimento</v>
      </c>
      <c r="D77" s="365" t="s">
        <v>5002</v>
      </c>
      <c r="E77" s="365" t="s">
        <v>5003</v>
      </c>
      <c r="F77" s="365" t="s">
        <v>5003</v>
      </c>
    </row>
    <row r="78" spans="2:6">
      <c r="B78" s="365" t="s">
        <v>3986</v>
      </c>
      <c r="C78" s="365" t="str">
        <f t="shared" ca="1" si="1"/>
        <v>Sri Mahesa Pandita - Desaparecimento</v>
      </c>
      <c r="D78" s="365" t="s">
        <v>5004</v>
      </c>
      <c r="E78" s="365" t="s">
        <v>5005</v>
      </c>
      <c r="F78" s="365" t="s">
        <v>5005</v>
      </c>
    </row>
    <row r="79" spans="2:6">
      <c r="B79" s="365" t="s">
        <v>3987</v>
      </c>
      <c r="C79" s="365" t="str">
        <f t="shared" ca="1" si="1"/>
        <v>Sri Uddharana Datta Thakura - Desaparecimento</v>
      </c>
      <c r="D79" s="365" t="s">
        <v>5006</v>
      </c>
      <c r="E79" s="365" t="s">
        <v>5007</v>
      </c>
      <c r="F79" s="365" t="s">
        <v>5007</v>
      </c>
    </row>
    <row r="80" spans="2:6">
      <c r="B80" s="365" t="s">
        <v>3988</v>
      </c>
      <c r="C80" s="365" t="str">
        <f t="shared" ca="1" si="1"/>
        <v>Sri Locana Dasa Thakura - Aparecimento</v>
      </c>
      <c r="D80" s="365" t="s">
        <v>5008</v>
      </c>
      <c r="E80" s="365" t="s">
        <v>5009</v>
      </c>
      <c r="F80" s="365" t="s">
        <v>5009</v>
      </c>
    </row>
    <row r="81" spans="2:6">
      <c r="B81" s="365" t="s">
        <v>3989</v>
      </c>
      <c r="C81" s="365" t="str">
        <f t="shared" ca="1" si="1"/>
        <v>Srila Jiva Gosvami - Desaparecimento</v>
      </c>
      <c r="D81" s="365" t="s">
        <v>5010</v>
      </c>
      <c r="E81" s="365" t="s">
        <v>5011</v>
      </c>
      <c r="F81" s="365" t="s">
        <v>5011</v>
      </c>
    </row>
    <row r="82" spans="2:6">
      <c r="B82" s="365" t="s">
        <v>3990</v>
      </c>
      <c r="C82" s="365" t="str">
        <f t="shared" ca="1" si="1"/>
        <v>Sri Jagadisa Pandita - Desaparecimento</v>
      </c>
      <c r="D82" s="365" t="s">
        <v>5012</v>
      </c>
      <c r="E82" s="365" t="s">
        <v>5013</v>
      </c>
      <c r="F82" s="365" t="s">
        <v>5013</v>
      </c>
    </row>
    <row r="83" spans="2:6">
      <c r="B83" s="365" t="s">
        <v>3991</v>
      </c>
      <c r="C83" s="365" t="str">
        <f t="shared" ca="1" si="1"/>
        <v>Sri Jagadisa Pandita - Aparecimento</v>
      </c>
      <c r="D83" s="365" t="s">
        <v>5014</v>
      </c>
      <c r="E83" s="365" t="s">
        <v>5015</v>
      </c>
      <c r="F83" s="365" t="s">
        <v>5015</v>
      </c>
    </row>
    <row r="84" spans="2:6">
      <c r="B84" s="365" t="s">
        <v>3992</v>
      </c>
      <c r="C84" s="365" t="str">
        <f t="shared" ca="1" si="1"/>
        <v>Sri Ramacandra Kaviraja - Desaparecimento</v>
      </c>
      <c r="D84" s="365" t="s">
        <v>5016</v>
      </c>
      <c r="E84" s="365" t="s">
        <v>5017</v>
      </c>
      <c r="F84" s="365" t="s">
        <v>5017</v>
      </c>
    </row>
    <row r="85" spans="2:6">
      <c r="B85" s="365" t="s">
        <v>3993</v>
      </c>
      <c r="C85" s="365" t="str">
        <f t="shared" ca="1" si="1"/>
        <v>Srila Gopala Bhatta Gosvami - Aparecimento</v>
      </c>
      <c r="D85" s="365" t="s">
        <v>5018</v>
      </c>
      <c r="E85" s="365" t="s">
        <v>5019</v>
      </c>
      <c r="F85" s="365" t="s">
        <v>5019</v>
      </c>
    </row>
    <row r="86" spans="2:6">
      <c r="B86" s="365" t="s">
        <v>3994</v>
      </c>
      <c r="C86" s="365" t="str">
        <f t="shared" ca="1" si="1"/>
        <v>Sri Jayadeva Gosvami - Desaparecimento</v>
      </c>
      <c r="D86" s="365" t="s">
        <v>5020</v>
      </c>
      <c r="E86" s="365" t="s">
        <v>5021</v>
      </c>
      <c r="F86" s="365" t="s">
        <v>5021</v>
      </c>
    </row>
    <row r="87" spans="2:6">
      <c r="B87" s="365" t="s">
        <v>3995</v>
      </c>
      <c r="C87" s="365" t="str">
        <f t="shared" ca="1" si="1"/>
        <v>Sri Locana Dasa Thakura - Desaparecimento</v>
      </c>
      <c r="D87" s="365" t="s">
        <v>5022</v>
      </c>
      <c r="E87" s="365" t="s">
        <v>5023</v>
      </c>
      <c r="F87" s="365" t="s">
        <v>5023</v>
      </c>
    </row>
    <row r="88" spans="2:6">
      <c r="B88" s="365" t="s">
        <v>3996</v>
      </c>
      <c r="C88" s="365" t="str">
        <f t="shared" ca="1" si="1"/>
        <v>Srimati Visnupriya Devi - Aparecimento</v>
      </c>
      <c r="D88" s="365" t="s">
        <v>5024</v>
      </c>
      <c r="E88" s="365" t="s">
        <v>5025</v>
      </c>
      <c r="F88" s="365" t="s">
        <v>5025</v>
      </c>
    </row>
    <row r="89" spans="2:6">
      <c r="B89" s="365" t="s">
        <v>3997</v>
      </c>
      <c r="C89" s="365" t="str">
        <f t="shared" ca="1" si="1"/>
        <v>Srila Visvanatha Cakravarti Thakura - Desaparecimento</v>
      </c>
      <c r="D89" s="365" t="s">
        <v>5026</v>
      </c>
      <c r="E89" s="365" t="s">
        <v>5027</v>
      </c>
      <c r="F89" s="365" t="s">
        <v>5027</v>
      </c>
    </row>
    <row r="90" spans="2:6">
      <c r="B90" s="365" t="s">
        <v>3998</v>
      </c>
      <c r="C90" s="365" t="str">
        <f t="shared" ca="1" si="1"/>
        <v>Sri Pundarika Vidyanidhi - Aparecimento</v>
      </c>
      <c r="D90" s="365" t="s">
        <v>5028</v>
      </c>
      <c r="E90" s="365" t="s">
        <v>5029</v>
      </c>
      <c r="F90" s="365" t="s">
        <v>5029</v>
      </c>
    </row>
    <row r="91" spans="2:6">
      <c r="B91" s="365" t="s">
        <v>3999</v>
      </c>
      <c r="C91" s="365" t="str">
        <f t="shared" ca="1" si="1"/>
        <v>Sri Raghunandana Thakura - Aparecimento</v>
      </c>
      <c r="D91" s="365" t="s">
        <v>5030</v>
      </c>
      <c r="E91" s="365" t="s">
        <v>5031</v>
      </c>
      <c r="F91" s="365" t="s">
        <v>5031</v>
      </c>
    </row>
    <row r="92" spans="2:6">
      <c r="B92" s="365" t="s">
        <v>4000</v>
      </c>
      <c r="C92" s="365" t="str">
        <f t="shared" ca="1" si="1"/>
        <v>Srila Raghunatha Dasa Gosvami - Aparecimento</v>
      </c>
      <c r="D92" s="365" t="s">
        <v>5032</v>
      </c>
      <c r="E92" s="365" t="s">
        <v>5033</v>
      </c>
      <c r="F92" s="365" t="s">
        <v>5033</v>
      </c>
    </row>
    <row r="93" spans="2:6">
      <c r="B93" s="365" t="s">
        <v>4001</v>
      </c>
      <c r="C93" s="365" t="str">
        <f t="shared" ca="1" si="1"/>
        <v>Sri Advaita Acarya - Aparecimento</v>
      </c>
      <c r="D93" s="365" t="s">
        <v>5034</v>
      </c>
      <c r="E93" s="365" t="s">
        <v>5035</v>
      </c>
      <c r="F93" s="365" t="s">
        <v>5035</v>
      </c>
    </row>
    <row r="94" spans="2:6">
      <c r="B94" s="365" t="s">
        <v>4002</v>
      </c>
      <c r="C94" s="365" t="str">
        <f t="shared" ca="1" si="1"/>
        <v>Sri Madhvacarya - Desaparecimento</v>
      </c>
      <c r="D94" s="365" t="s">
        <v>5036</v>
      </c>
      <c r="E94" s="365" t="s">
        <v>5037</v>
      </c>
      <c r="F94" s="365" t="s">
        <v>5037</v>
      </c>
    </row>
    <row r="95" spans="2:6">
      <c r="B95" s="365" t="s">
        <v>4003</v>
      </c>
      <c r="C95" s="365" t="str">
        <f t="shared" ca="1" si="1"/>
        <v>Sri Ramanujacarya - Desaparecimento</v>
      </c>
      <c r="D95" s="365" t="s">
        <v>5038</v>
      </c>
      <c r="E95" s="365" t="s">
        <v>5039</v>
      </c>
      <c r="F95" s="365" t="s">
        <v>5039</v>
      </c>
    </row>
    <row r="96" spans="2:6">
      <c r="B96" s="365" t="s">
        <v>4004</v>
      </c>
      <c r="C96" s="365" t="str">
        <f t="shared" ca="1" si="1"/>
        <v>Varaha Dvadasi: Aparecimento do Senhor Varahadeva</v>
      </c>
      <c r="D96" s="365" t="s">
        <v>4004</v>
      </c>
      <c r="E96" s="365" t="s">
        <v>3871</v>
      </c>
      <c r="F96" s="365" t="s">
        <v>3871</v>
      </c>
    </row>
    <row r="97" spans="2:6">
      <c r="B97" s="365" t="s">
        <v>4005</v>
      </c>
      <c r="C97" s="365" t="str">
        <f t="shared" ca="1" si="1"/>
        <v>Nityananda Trayodasi: Aparecimento de Sri Nityananda Prabhu</v>
      </c>
      <c r="D97" s="365" t="s">
        <v>4005</v>
      </c>
      <c r="E97" s="300" t="s">
        <v>4216</v>
      </c>
      <c r="F97" s="300" t="s">
        <v>4216</v>
      </c>
    </row>
    <row r="98" spans="2:6">
      <c r="B98" s="365" t="s">
        <v>4006</v>
      </c>
      <c r="C98" s="365" t="str">
        <f t="shared" ca="1" si="1"/>
        <v>Srila Narottama Dasa Thakura - Aparecimento</v>
      </c>
      <c r="D98" s="365" t="s">
        <v>5040</v>
      </c>
      <c r="E98" s="365" t="s">
        <v>5041</v>
      </c>
      <c r="F98" s="365" t="s">
        <v>5041</v>
      </c>
    </row>
    <row r="99" spans="2:6">
      <c r="B99" s="365" t="s">
        <v>4007</v>
      </c>
      <c r="C99" s="365" t="str">
        <f t="shared" ca="1" si="1"/>
        <v>Sri Purusottama Das Thakura - Desaparecimento</v>
      </c>
      <c r="D99" s="365" t="s">
        <v>5042</v>
      </c>
      <c r="E99" s="365" t="s">
        <v>5043</v>
      </c>
      <c r="F99" s="365" t="s">
        <v>5043</v>
      </c>
    </row>
    <row r="100" spans="2:6">
      <c r="B100" s="365" t="s">
        <v>4008</v>
      </c>
      <c r="C100" s="365" t="str">
        <f t="shared" ca="1" si="1"/>
        <v>Srila Bhaktisiddhanta Sarasvati Thakura - Aparecimento</v>
      </c>
      <c r="D100" s="365" t="s">
        <v>5044</v>
      </c>
      <c r="E100" s="365" t="s">
        <v>5045</v>
      </c>
      <c r="F100" s="365" t="s">
        <v>5045</v>
      </c>
    </row>
    <row r="101" spans="2:6">
      <c r="B101" s="365" t="s">
        <v>4009</v>
      </c>
      <c r="C101" s="365" t="str">
        <f t="shared" ca="1" si="1"/>
        <v>Sri Isvara Puri - Desaparecimento</v>
      </c>
      <c r="D101" s="365" t="s">
        <v>5046</v>
      </c>
      <c r="E101" s="365" t="s">
        <v>5047</v>
      </c>
      <c r="F101" s="365" t="s">
        <v>5047</v>
      </c>
    </row>
    <row r="102" spans="2:6">
      <c r="B102" s="365" t="s">
        <v>4010</v>
      </c>
      <c r="C102" s="365" t="str">
        <f t="shared" ca="1" si="1"/>
        <v>Srila Jagannatha Dasa Babaji - Desaparecimento</v>
      </c>
      <c r="D102" s="365" t="s">
        <v>5048</v>
      </c>
      <c r="E102" s="365" t="s">
        <v>5049</v>
      </c>
      <c r="F102" s="365" t="s">
        <v>5049</v>
      </c>
    </row>
    <row r="103" spans="2:6">
      <c r="B103" s="365" t="s">
        <v>4011</v>
      </c>
      <c r="C103" s="365" t="str">
        <f t="shared" ca="1" si="1"/>
        <v>Sri Rasikananda - Desaparecimento</v>
      </c>
      <c r="D103" s="365" t="s">
        <v>5050</v>
      </c>
      <c r="E103" s="365" t="s">
        <v>5051</v>
      </c>
      <c r="F103" s="365" t="s">
        <v>5051</v>
      </c>
    </row>
    <row r="104" spans="2:6">
      <c r="B104" s="365" t="s">
        <v>4012</v>
      </c>
      <c r="C104" s="365" t="str">
        <f t="shared" ca="1" si="1"/>
        <v>Sri Purusottama Dasa Thakura - Aparecimento</v>
      </c>
      <c r="D104" s="365" t="s">
        <v>5052</v>
      </c>
      <c r="E104" s="365" t="s">
        <v>5053</v>
      </c>
      <c r="F104" s="365" t="s">
        <v>5053</v>
      </c>
    </row>
    <row r="105" spans="2:6">
      <c r="B105" s="365" t="s">
        <v>4013</v>
      </c>
      <c r="C105" s="365" t="str">
        <f t="shared" ca="1" si="1"/>
        <v>Sri Madhavendra Puri - Desaparecimento</v>
      </c>
      <c r="D105" s="365" t="s">
        <v>5054</v>
      </c>
      <c r="E105" s="365" t="s">
        <v>5055</v>
      </c>
      <c r="F105" s="365" t="s">
        <v>5055</v>
      </c>
    </row>
    <row r="106" spans="2:6">
      <c r="B106" s="365" t="s">
        <v>4014</v>
      </c>
      <c r="C106" s="365" t="str">
        <f t="shared" ca="1" si="1"/>
        <v>Sri Srivasa Pandita - Aparecimento</v>
      </c>
      <c r="D106" s="365" t="s">
        <v>5056</v>
      </c>
      <c r="E106" s="365" t="s">
        <v>5057</v>
      </c>
      <c r="F106" s="365" t="s">
        <v>5057</v>
      </c>
    </row>
    <row r="107" spans="2:6">
      <c r="B107" s="365" t="s">
        <v>4015</v>
      </c>
      <c r="C107" s="365" t="str">
        <f t="shared" ca="1" si="1"/>
        <v>Sri Govinda Ghosh - Desaparecimento</v>
      </c>
      <c r="D107" s="365" t="s">
        <v>5058</v>
      </c>
      <c r="E107" s="365" t="s">
        <v>5059</v>
      </c>
      <c r="F107" s="365" t="s">
        <v>5059</v>
      </c>
    </row>
    <row r="108" spans="2:6">
      <c r="B108" s="365" t="s">
        <v>4016</v>
      </c>
      <c r="C108" s="365" t="str">
        <f t="shared" ca="1" si="1"/>
        <v>Sri Ramanujacarya - Aparecimento</v>
      </c>
      <c r="D108" s="365" t="s">
        <v>5060</v>
      </c>
      <c r="E108" s="365" t="s">
        <v>5061</v>
      </c>
      <c r="F108" s="365" t="s">
        <v>5061</v>
      </c>
    </row>
    <row r="109" spans="2:6">
      <c r="B109" s="365" t="s">
        <v>4017</v>
      </c>
      <c r="C109" s="365" t="str">
        <f t="shared" ca="1" si="1"/>
        <v>Sri Vamsivadana Thakura - Aparecimento</v>
      </c>
      <c r="D109" s="365" t="s">
        <v>5062</v>
      </c>
      <c r="E109" s="365" t="s">
        <v>5063</v>
      </c>
      <c r="F109" s="365" t="s">
        <v>5063</v>
      </c>
    </row>
    <row r="110" spans="2:6">
      <c r="B110" s="365" t="s">
        <v>4018</v>
      </c>
      <c r="C110" s="365" t="str">
        <f t="shared" ca="1" si="1"/>
        <v>Sri Syamananda Prabhu - Aparecimento</v>
      </c>
      <c r="D110" s="365" t="s">
        <v>5064</v>
      </c>
      <c r="E110" s="365" t="s">
        <v>5065</v>
      </c>
      <c r="F110" s="365" t="s">
        <v>5065</v>
      </c>
    </row>
    <row r="111" spans="2:6">
      <c r="B111" s="365" t="s">
        <v>1326</v>
      </c>
      <c r="C111" s="365" t="str">
        <f t="shared" ca="1" si="1"/>
        <v>Sri Krsna Janmastami: Aparecimento do Senhor Sri Krsna</v>
      </c>
      <c r="D111" s="365" t="s">
        <v>1326</v>
      </c>
      <c r="E111" s="365" t="s">
        <v>3872</v>
      </c>
      <c r="F111" s="365" t="s">
        <v>3872</v>
      </c>
    </row>
    <row r="112" spans="2:6">
      <c r="B112" s="365" t="s">
        <v>1309</v>
      </c>
      <c r="C112" s="365" t="str">
        <f t="shared" ca="1" si="1"/>
        <v>Gaura Purnima: Aparecimento de Sri Caitanya Mahaprabhu</v>
      </c>
      <c r="D112" s="365" t="s">
        <v>1309</v>
      </c>
      <c r="E112" s="365" t="s">
        <v>3873</v>
      </c>
      <c r="F112" s="365" t="s">
        <v>3873</v>
      </c>
    </row>
    <row r="113" spans="2:6">
      <c r="B113" s="365" t="s">
        <v>1322</v>
      </c>
      <c r="C113" s="365" t="str">
        <f t="shared" ca="1" si="1"/>
        <v>Retorno do Ratha (8 dias após o Ratha Yatra)</v>
      </c>
      <c r="D113" s="365" t="s">
        <v>1322</v>
      </c>
      <c r="E113" s="365" t="s">
        <v>3874</v>
      </c>
      <c r="F113" s="365" t="s">
        <v>3874</v>
      </c>
    </row>
    <row r="114" spans="2:6">
      <c r="B114" s="365" t="s">
        <v>1321</v>
      </c>
      <c r="C114" s="365" t="str">
        <f t="shared" ca="1" si="1"/>
        <v>Hera Pancami (4 dias após o Ratha Yatra)</v>
      </c>
      <c r="D114" s="365" t="s">
        <v>1321</v>
      </c>
      <c r="E114" s="365" t="s">
        <v>3875</v>
      </c>
      <c r="F114" s="365" t="s">
        <v>3875</v>
      </c>
    </row>
    <row r="115" spans="2:6">
      <c r="B115" s="365" t="s">
        <v>1312</v>
      </c>
      <c r="C115" s="365" t="str">
        <f t="shared" ca="1" si="1"/>
        <v>Rama Navami: Aparecimento do Senhor Sri Ramacandra</v>
      </c>
      <c r="D115" s="365" t="s">
        <v>1312</v>
      </c>
      <c r="E115" s="365" t="s">
        <v>3876</v>
      </c>
      <c r="F115" s="365" t="s">
        <v>3876</v>
      </c>
    </row>
    <row r="116" spans="2:6">
      <c r="B116" s="365" t="s">
        <v>1327</v>
      </c>
      <c r="C116" s="365" t="str">
        <f t="shared" ca="1" si="1"/>
        <v>Srila Prabhupada - Aparecimento</v>
      </c>
      <c r="D116" s="365" t="s">
        <v>5066</v>
      </c>
      <c r="E116" s="365" t="s">
        <v>5067</v>
      </c>
      <c r="F116" s="365" t="s">
        <v>5067</v>
      </c>
    </row>
    <row r="117" spans="2:6">
      <c r="B117" s="365" t="s">
        <v>1310</v>
      </c>
      <c r="C117" s="365" t="str">
        <f t="shared" ca="1" si="1"/>
        <v>Festival de Jagannatha Misra</v>
      </c>
      <c r="D117" s="365" t="s">
        <v>1310</v>
      </c>
      <c r="E117" s="365" t="s">
        <v>3877</v>
      </c>
      <c r="F117" s="365" t="s">
        <v>3877</v>
      </c>
    </row>
    <row r="118" spans="2:6">
      <c r="B118" s="365" t="s">
        <v>1314</v>
      </c>
      <c r="C118" s="365" t="str">
        <f t="shared" ca="1" si="1"/>
        <v>Tulasi Jala Dan começa.</v>
      </c>
      <c r="D118" s="365" t="s">
        <v>1314</v>
      </c>
      <c r="E118" s="365" t="s">
        <v>3879</v>
      </c>
      <c r="F118" s="365" t="s">
        <v>3879</v>
      </c>
    </row>
    <row r="119" spans="2:6">
      <c r="B119" s="365" t="s">
        <v>1316</v>
      </c>
      <c r="C119" s="365" t="str">
        <f t="shared" ca="1" si="1"/>
        <v>Tulasi Jala Dan termina.</v>
      </c>
      <c r="D119" s="365" t="s">
        <v>1316</v>
      </c>
      <c r="E119" s="365" t="s">
        <v>3880</v>
      </c>
      <c r="F119" s="365" t="s">
        <v>3880</v>
      </c>
    </row>
    <row r="120" spans="2:6">
      <c r="B120" s="365" t="s">
        <v>1298</v>
      </c>
      <c r="C120" s="365" t="str">
        <f t="shared" ca="1" si="1"/>
        <v>Primeiro dia de Bhisma Pancaka</v>
      </c>
      <c r="D120" s="365" t="s">
        <v>1298</v>
      </c>
      <c r="E120" s="365" t="s">
        <v>3881</v>
      </c>
      <c r="F120" s="365" t="s">
        <v>3881</v>
      </c>
    </row>
    <row r="121" spans="2:6">
      <c r="B121" s="365" t="s">
        <v>1299</v>
      </c>
      <c r="C121" s="365" t="str">
        <f t="shared" ca="1" si="1"/>
        <v>Último dia de Bhisma Pancaka</v>
      </c>
      <c r="D121" s="365" t="s">
        <v>1299</v>
      </c>
      <c r="E121" s="365" t="s">
        <v>3882</v>
      </c>
      <c r="F121" s="365" t="s">
        <v>3882</v>
      </c>
    </row>
    <row r="122" spans="2:6">
      <c r="B122" s="365" t="s">
        <v>4020</v>
      </c>
      <c r="C122" s="365" t="str">
        <f t="shared" ca="1" si="1"/>
        <v>(O jejum foi feito ontem, hoje é a festa)</v>
      </c>
      <c r="D122" s="365" t="s">
        <v>4020</v>
      </c>
      <c r="E122" s="365" t="s">
        <v>3883</v>
      </c>
      <c r="F122" s="365" t="s">
        <v>3883</v>
      </c>
    </row>
    <row r="123" spans="2:6">
      <c r="B123" s="365" t="s">
        <v>4021</v>
      </c>
      <c r="C123" s="365" t="str">
        <f t="shared" ca="1" si="1"/>
        <v>Arunodaya às</v>
      </c>
      <c r="D123" s="365" t="s">
        <v>4021</v>
      </c>
      <c r="E123" s="365" t="s">
        <v>3884</v>
      </c>
      <c r="F123" s="365" t="s">
        <v>3884</v>
      </c>
    </row>
    <row r="124" spans="2:6">
      <c r="B124" s="365" t="s">
        <v>4022</v>
      </c>
      <c r="C124" s="365" t="str">
        <f t="shared" ca="1" si="1"/>
        <v>(Horário de verão não-considerado)</v>
      </c>
      <c r="D124" s="365" t="s">
        <v>4022</v>
      </c>
      <c r="E124" s="365" t="s">
        <v>3885</v>
      </c>
      <c r="F124" s="365" t="s">
        <v>3885</v>
      </c>
    </row>
    <row r="125" spans="2:6">
      <c r="B125" s="365" t="s">
        <v>851</v>
      </c>
      <c r="C125" s="365" t="str">
        <f ca="1">OFFSET(C125,0,$B$1)</f>
        <v>[SISTEMA EKADASI ]</v>
      </c>
      <c r="D125" s="300" t="s">
        <v>4095</v>
      </c>
      <c r="E125" s="300" t="s">
        <v>4097</v>
      </c>
      <c r="F125" s="300" t="s">
        <v>4097</v>
      </c>
    </row>
    <row r="126" spans="2:6">
      <c r="B126" s="365" t="s">
        <v>852</v>
      </c>
      <c r="C126" s="365" t="str">
        <f ca="1">OFFSET(C126,0,$B$1)</f>
        <v>[SISTEMA PURNIMA]</v>
      </c>
      <c r="D126" s="300" t="s">
        <v>4094</v>
      </c>
      <c r="E126" s="300" t="s">
        <v>4098</v>
      </c>
      <c r="F126" s="300" t="s">
        <v>4098</v>
      </c>
    </row>
    <row r="127" spans="2:6">
      <c r="B127" s="365" t="s">
        <v>853</v>
      </c>
      <c r="C127" s="365" t="str">
        <f ca="1">OFFSET(C127,0,$B$1)</f>
        <v>[SISTEMA PRATIPAT]</v>
      </c>
      <c r="D127" s="300" t="s">
        <v>4096</v>
      </c>
      <c r="E127" s="300" t="s">
        <v>4099</v>
      </c>
      <c r="F127" s="300" t="s">
        <v>4099</v>
      </c>
    </row>
    <row r="128" spans="2:6">
      <c r="B128" s="300" t="s">
        <v>4076</v>
      </c>
      <c r="C128" s="365" t="str">
        <f t="shared" ca="1" si="1"/>
        <v>Primeiro mês de Caturmasya começa</v>
      </c>
      <c r="D128" s="365" t="s">
        <v>4023</v>
      </c>
      <c r="E128" s="365" t="s">
        <v>3886</v>
      </c>
      <c r="F128" s="365" t="s">
        <v>3886</v>
      </c>
    </row>
    <row r="129" spans="2:6">
      <c r="B129" s="300" t="s">
        <v>4077</v>
      </c>
      <c r="C129" s="365" t="str">
        <f t="shared" ca="1" si="1"/>
        <v>Último dia do primeiro mês de Caturmasya</v>
      </c>
      <c r="D129" s="365" t="s">
        <v>4024</v>
      </c>
      <c r="E129" s="365" t="s">
        <v>3887</v>
      </c>
      <c r="F129" s="365" t="s">
        <v>3887</v>
      </c>
    </row>
    <row r="130" spans="2:6">
      <c r="B130" s="300" t="s">
        <v>4102</v>
      </c>
      <c r="C130" s="365" t="str">
        <f t="shared" ca="1" si="1"/>
        <v>(jejum de vegetais de folhas verdes durante um mês)</v>
      </c>
      <c r="D130" s="300" t="s">
        <v>4025</v>
      </c>
      <c r="E130" s="365" t="s">
        <v>3888</v>
      </c>
      <c r="F130" s="365" t="s">
        <v>3888</v>
      </c>
    </row>
    <row r="131" spans="2:6">
      <c r="B131" s="300" t="s">
        <v>4084</v>
      </c>
      <c r="C131" s="365" t="str">
        <f t="shared" ca="1" si="1"/>
        <v>Primeiro mês de Caturmasya continua</v>
      </c>
      <c r="D131" s="365" t="s">
        <v>4026</v>
      </c>
      <c r="E131" s="365" t="s">
        <v>3889</v>
      </c>
      <c r="F131" s="365" t="s">
        <v>3889</v>
      </c>
    </row>
    <row r="132" spans="2:6">
      <c r="B132" s="300" t="s">
        <v>4078</v>
      </c>
      <c r="C132" s="365" t="str">
        <f t="shared" ca="1" si="1"/>
        <v>Segundo mês de Caturmasya começa</v>
      </c>
      <c r="D132" s="365" t="s">
        <v>4027</v>
      </c>
      <c r="E132" s="365" t="s">
        <v>3890</v>
      </c>
      <c r="F132" s="365" t="s">
        <v>3890</v>
      </c>
    </row>
    <row r="133" spans="2:6">
      <c r="B133" s="300" t="s">
        <v>4079</v>
      </c>
      <c r="C133" s="365" t="str">
        <f t="shared" ca="1" si="1"/>
        <v>Último dia do segundo mês de Caturmasya</v>
      </c>
      <c r="D133" s="365" t="s">
        <v>4028</v>
      </c>
      <c r="E133" s="365" t="s">
        <v>3891</v>
      </c>
      <c r="F133" s="365" t="s">
        <v>3891</v>
      </c>
    </row>
    <row r="134" spans="2:6">
      <c r="B134" s="300" t="s">
        <v>4103</v>
      </c>
      <c r="C134" s="365" t="str">
        <f t="shared" ca="1" si="1"/>
        <v>(jejum de iogurte por um mês)</v>
      </c>
      <c r="D134" s="365" t="s">
        <v>4029</v>
      </c>
      <c r="E134" s="365" t="s">
        <v>3892</v>
      </c>
      <c r="F134" s="365" t="s">
        <v>3892</v>
      </c>
    </row>
    <row r="135" spans="2:6">
      <c r="B135" s="300" t="s">
        <v>4085</v>
      </c>
      <c r="C135" s="365" t="str">
        <f t="shared" ca="1" si="1"/>
        <v>Segundo mês de Caturmasya continua</v>
      </c>
      <c r="D135" s="365" t="s">
        <v>4030</v>
      </c>
      <c r="E135" s="365" t="s">
        <v>3893</v>
      </c>
      <c r="F135" s="365" t="s">
        <v>3893</v>
      </c>
    </row>
    <row r="136" spans="2:6">
      <c r="B136" s="300" t="s">
        <v>4080</v>
      </c>
      <c r="C136" s="365" t="str">
        <f t="shared" ref="C136:C194" ca="1" si="2">OFFSET(C136,0,$B$1)</f>
        <v>Terceiro mês de Caturmasya começa</v>
      </c>
      <c r="D136" s="365" t="s">
        <v>4031</v>
      </c>
      <c r="E136" s="365" t="s">
        <v>3894</v>
      </c>
      <c r="F136" s="365" t="s">
        <v>3894</v>
      </c>
    </row>
    <row r="137" spans="2:6">
      <c r="B137" s="300" t="s">
        <v>4081</v>
      </c>
      <c r="C137" s="365" t="str">
        <f t="shared" ca="1" si="2"/>
        <v>Último dia do terceiro mês de Caturmasya</v>
      </c>
      <c r="D137" s="365" t="s">
        <v>4032</v>
      </c>
      <c r="E137" s="365" t="s">
        <v>3895</v>
      </c>
      <c r="F137" s="365" t="s">
        <v>3895</v>
      </c>
    </row>
    <row r="138" spans="2:6">
      <c r="B138" s="300" t="s">
        <v>4101</v>
      </c>
      <c r="C138" s="365" t="str">
        <f t="shared" ca="1" si="2"/>
        <v>(jejum de leite por um mês)</v>
      </c>
      <c r="D138" s="365" t="s">
        <v>4033</v>
      </c>
      <c r="E138" s="365" t="s">
        <v>3896</v>
      </c>
      <c r="F138" s="365" t="s">
        <v>3896</v>
      </c>
    </row>
    <row r="139" spans="2:6">
      <c r="B139" s="300" t="s">
        <v>4086</v>
      </c>
      <c r="C139" s="365" t="str">
        <f t="shared" ca="1" si="2"/>
        <v>Terceiro mês de Caturmasya continua</v>
      </c>
      <c r="D139" s="365" t="s">
        <v>4034</v>
      </c>
      <c r="E139" s="365" t="s">
        <v>3897</v>
      </c>
      <c r="F139" s="365" t="s">
        <v>3897</v>
      </c>
    </row>
    <row r="140" spans="2:6">
      <c r="B140" s="300" t="s">
        <v>4082</v>
      </c>
      <c r="C140" s="365" t="str">
        <f t="shared" ca="1" si="2"/>
        <v>Quarto mês de Caturmasya começa</v>
      </c>
      <c r="D140" s="365" t="s">
        <v>4035</v>
      </c>
      <c r="E140" s="365" t="s">
        <v>3898</v>
      </c>
      <c r="F140" s="365" t="s">
        <v>3898</v>
      </c>
    </row>
    <row r="141" spans="2:6">
      <c r="B141" s="300" t="s">
        <v>4083</v>
      </c>
      <c r="C141" s="365" t="str">
        <f t="shared" ca="1" si="2"/>
        <v>Último dia do quarto mês de Caturmasya</v>
      </c>
      <c r="D141" s="365" t="s">
        <v>4036</v>
      </c>
      <c r="E141" s="365" t="s">
        <v>3899</v>
      </c>
      <c r="F141" s="365" t="s">
        <v>3899</v>
      </c>
    </row>
    <row r="142" spans="2:6">
      <c r="B142" s="300" t="s">
        <v>4104</v>
      </c>
      <c r="C142" s="365" t="str">
        <f t="shared" ca="1" si="2"/>
        <v>(jejum de urad dal por um mês)</v>
      </c>
      <c r="D142" s="365" t="s">
        <v>4037</v>
      </c>
      <c r="E142" s="365" t="s">
        <v>3900</v>
      </c>
      <c r="F142" s="365" t="s">
        <v>3900</v>
      </c>
    </row>
    <row r="143" spans="2:6">
      <c r="B143" s="300" t="s">
        <v>4087</v>
      </c>
      <c r="C143" s="365" t="str">
        <f t="shared" ca="1" si="2"/>
        <v>Quarto mês de Caturmasya continua</v>
      </c>
      <c r="D143" s="300" t="s">
        <v>4038</v>
      </c>
      <c r="E143" s="365" t="s">
        <v>3901</v>
      </c>
      <c r="F143" s="365" t="s">
        <v>3901</v>
      </c>
    </row>
    <row r="144" spans="2:6">
      <c r="B144" s="300" t="s">
        <v>4100</v>
      </c>
      <c r="C144" s="365" t="str">
        <f t="shared" ca="1" si="2"/>
        <v>(Caturmasya não é observado durante o Purusottama Adhika Masa).</v>
      </c>
      <c r="D144" s="300" t="s">
        <v>4039</v>
      </c>
      <c r="E144" s="365" t="s">
        <v>3902</v>
      </c>
      <c r="F144" s="365" t="s">
        <v>3902</v>
      </c>
    </row>
    <row r="145" spans="2:6">
      <c r="B145" s="365" t="s">
        <v>4040</v>
      </c>
      <c r="C145" s="365" t="str">
        <f t="shared" ca="1" si="2"/>
        <v>(Jejum até o meio-dia)</v>
      </c>
      <c r="D145" s="365" t="s">
        <v>4040</v>
      </c>
      <c r="E145" s="365" t="s">
        <v>3903</v>
      </c>
      <c r="F145" s="365" t="s">
        <v>3903</v>
      </c>
    </row>
    <row r="146" spans="2:6">
      <c r="B146" s="365" t="s">
        <v>4041</v>
      </c>
      <c r="C146" s="365" t="str">
        <f t="shared" ca="1" si="2"/>
        <v>(Jejum até o pôr do sol)</v>
      </c>
      <c r="D146" s="365" t="s">
        <v>4041</v>
      </c>
      <c r="E146" s="365" t="s">
        <v>3904</v>
      </c>
      <c r="F146" s="365" t="s">
        <v>3904</v>
      </c>
    </row>
    <row r="147" spans="2:6">
      <c r="B147" s="365" t="s">
        <v>4042</v>
      </c>
      <c r="C147" s="365" t="str">
        <f t="shared" ca="1" si="2"/>
        <v>(Jejum até o nascer da lua)</v>
      </c>
      <c r="D147" s="365" t="s">
        <v>4042</v>
      </c>
      <c r="E147" s="365" t="s">
        <v>3905</v>
      </c>
      <c r="F147" s="365" t="s">
        <v>3905</v>
      </c>
    </row>
    <row r="148" spans="2:6">
      <c r="B148" s="365" t="s">
        <v>4043</v>
      </c>
      <c r="C148" s="365" t="str">
        <f t="shared" ca="1" si="2"/>
        <v>(jejum até o anoitecer)</v>
      </c>
      <c r="D148" s="365" t="s">
        <v>4043</v>
      </c>
      <c r="E148" s="365" t="s">
        <v>3906</v>
      </c>
      <c r="F148" s="365" t="s">
        <v>3906</v>
      </c>
    </row>
    <row r="149" spans="2:6">
      <c r="B149" s="365" t="s">
        <v>4044</v>
      </c>
      <c r="C149" s="365" t="str">
        <f t="shared" ca="1" si="2"/>
        <v>(jejum até a meia-noite)</v>
      </c>
      <c r="D149" s="365" t="s">
        <v>4044</v>
      </c>
      <c r="E149" s="365" t="s">
        <v>3907</v>
      </c>
      <c r="F149" s="365" t="s">
        <v>3907</v>
      </c>
    </row>
    <row r="150" spans="2:6">
      <c r="B150" s="365" t="s">
        <v>1305</v>
      </c>
      <c r="C150" s="365" t="str">
        <f t="shared" ca="1" si="2"/>
        <v>(Jejum hoje)</v>
      </c>
      <c r="D150" s="365" t="s">
        <v>1305</v>
      </c>
      <c r="E150" s="365" t="s">
        <v>3908</v>
      </c>
      <c r="F150" s="365" t="s">
        <v>3908</v>
      </c>
    </row>
    <row r="151" spans="2:6">
      <c r="B151" s="365" t="s">
        <v>4045</v>
      </c>
      <c r="C151" s="365" t="str">
        <f t="shared" ca="1" si="2"/>
        <v>(O jejum foi feito ontem)</v>
      </c>
      <c r="D151" s="365" t="s">
        <v>4045</v>
      </c>
      <c r="E151" s="365" t="s">
        <v>3909</v>
      </c>
      <c r="F151" s="365" t="s">
        <v>3909</v>
      </c>
    </row>
    <row r="152" spans="2:6">
      <c r="B152" s="365" t="s">
        <v>4020</v>
      </c>
      <c r="C152" s="365" t="str">
        <f t="shared" ca="1" si="2"/>
        <v>(O jejum foi feito ontem, hoje é festa)</v>
      </c>
      <c r="D152" s="365" t="s">
        <v>4020</v>
      </c>
      <c r="E152" s="365" t="s">
        <v>3910</v>
      </c>
      <c r="F152" s="365" t="s">
        <v>3910</v>
      </c>
    </row>
    <row r="153" spans="2:6">
      <c r="B153" s="365" t="s">
        <v>4046</v>
      </c>
      <c r="C153" s="365" t="str">
        <f t="shared" ca="1" si="2"/>
        <v>(Jejum até o meio-dia, com festa amanhã)</v>
      </c>
      <c r="D153" s="365" t="s">
        <v>4046</v>
      </c>
      <c r="E153" s="365" t="s">
        <v>3911</v>
      </c>
      <c r="F153" s="365" t="s">
        <v>3911</v>
      </c>
    </row>
    <row r="154" spans="2:6">
      <c r="B154" s="365" t="s">
        <v>1315</v>
      </c>
      <c r="C154" s="365" t="str">
        <f t="shared" ca="1" si="2"/>
        <v>Jejum por Mohini Ekadasi</v>
      </c>
      <c r="D154" s="365" t="s">
        <v>1315</v>
      </c>
      <c r="E154" s="365" t="s">
        <v>4049</v>
      </c>
      <c r="F154" s="365" t="s">
        <v>4049</v>
      </c>
    </row>
    <row r="155" spans="2:6">
      <c r="B155" s="365" t="s">
        <v>1317</v>
      </c>
      <c r="C155" s="365" t="str">
        <f t="shared" ca="1" si="2"/>
        <v>Jejum por Apara Ekadasi</v>
      </c>
      <c r="D155" s="365" t="s">
        <v>1317</v>
      </c>
      <c r="E155" s="365" t="s">
        <v>4050</v>
      </c>
      <c r="F155" s="365" t="s">
        <v>4050</v>
      </c>
    </row>
    <row r="156" spans="2:6">
      <c r="B156" s="300" t="s">
        <v>1318</v>
      </c>
      <c r="C156" s="365" t="str">
        <f t="shared" ca="1" si="2"/>
        <v>Jejum por Pandava Nirjala Ekadasi</v>
      </c>
      <c r="D156" s="300" t="s">
        <v>1318</v>
      </c>
      <c r="E156" s="300" t="s">
        <v>4074</v>
      </c>
      <c r="F156" s="300" t="s">
        <v>4074</v>
      </c>
    </row>
    <row r="157" spans="2:6">
      <c r="B157" s="365" t="s">
        <v>1320</v>
      </c>
      <c r="C157" s="365" t="str">
        <f t="shared" ca="1" si="2"/>
        <v>Jejum por Yogini Ekadasi</v>
      </c>
      <c r="D157" s="365" t="s">
        <v>1320</v>
      </c>
      <c r="E157" s="365" t="s">
        <v>4051</v>
      </c>
      <c r="F157" s="365" t="s">
        <v>4051</v>
      </c>
    </row>
    <row r="158" spans="2:6">
      <c r="B158" s="365" t="s">
        <v>1323</v>
      </c>
      <c r="C158" s="365" t="str">
        <f t="shared" ca="1" si="2"/>
        <v>Jejum por Sayana Ekadasi</v>
      </c>
      <c r="D158" s="365" t="s">
        <v>1323</v>
      </c>
      <c r="E158" s="365" t="s">
        <v>4052</v>
      </c>
      <c r="F158" s="365" t="s">
        <v>4052</v>
      </c>
    </row>
    <row r="159" spans="2:6">
      <c r="B159" s="365" t="s">
        <v>1324</v>
      </c>
      <c r="C159" s="365" t="str">
        <f t="shared" ca="1" si="2"/>
        <v>Jejum por Kamika Ekadasi</v>
      </c>
      <c r="D159" s="365" t="s">
        <v>1324</v>
      </c>
      <c r="E159" s="365" t="s">
        <v>4053</v>
      </c>
      <c r="F159" s="365" t="s">
        <v>4053</v>
      </c>
    </row>
    <row r="160" spans="2:6">
      <c r="B160" s="365" t="s">
        <v>1325</v>
      </c>
      <c r="C160" s="365" t="str">
        <f t="shared" ca="1" si="2"/>
        <v>Jejum por Pavitropana Ekadasi</v>
      </c>
      <c r="D160" s="365" t="s">
        <v>1325</v>
      </c>
      <c r="E160" s="365" t="s">
        <v>4054</v>
      </c>
      <c r="F160" s="365" t="s">
        <v>4054</v>
      </c>
    </row>
    <row r="161" spans="2:6">
      <c r="B161" s="365" t="s">
        <v>1328</v>
      </c>
      <c r="C161" s="365" t="str">
        <f t="shared" ca="1" si="2"/>
        <v>Jejum por Annada Ekadasi</v>
      </c>
      <c r="D161" s="365" t="s">
        <v>1328</v>
      </c>
      <c r="E161" s="365" t="s">
        <v>4055</v>
      </c>
      <c r="F161" s="365" t="s">
        <v>4055</v>
      </c>
    </row>
    <row r="162" spans="2:6">
      <c r="B162" s="365" t="s">
        <v>1329</v>
      </c>
      <c r="C162" s="365" t="str">
        <f t="shared" ca="1" si="2"/>
        <v>Jejum por Parsva Ekadasi</v>
      </c>
      <c r="D162" s="365" t="s">
        <v>1329</v>
      </c>
      <c r="E162" s="365" t="s">
        <v>4056</v>
      </c>
      <c r="F162" s="365" t="s">
        <v>4056</v>
      </c>
    </row>
    <row r="163" spans="2:6">
      <c r="B163" s="365" t="s">
        <v>1330</v>
      </c>
      <c r="C163" s="365" t="str">
        <f t="shared" ca="1" si="2"/>
        <v>Jejum por Indira Ekadasi</v>
      </c>
      <c r="D163" s="365" t="s">
        <v>1330</v>
      </c>
      <c r="E163" s="365" t="s">
        <v>4057</v>
      </c>
      <c r="F163" s="365" t="s">
        <v>4057</v>
      </c>
    </row>
    <row r="164" spans="2:6">
      <c r="B164" s="365" t="s">
        <v>1331</v>
      </c>
      <c r="C164" s="365" t="str">
        <f t="shared" ca="1" si="2"/>
        <v>Jejum por Pasankusa Ekadasi</v>
      </c>
      <c r="D164" s="365" t="s">
        <v>1331</v>
      </c>
      <c r="E164" s="365" t="s">
        <v>4058</v>
      </c>
      <c r="F164" s="365" t="s">
        <v>4058</v>
      </c>
    </row>
    <row r="165" spans="2:6">
      <c r="B165" s="365" t="s">
        <v>1296</v>
      </c>
      <c r="C165" s="365" t="str">
        <f t="shared" ca="1" si="2"/>
        <v>Jejum por Rama Ekadasi</v>
      </c>
      <c r="D165" s="365" t="s">
        <v>1296</v>
      </c>
      <c r="E165" s="365" t="s">
        <v>4059</v>
      </c>
      <c r="F165" s="365" t="s">
        <v>4059</v>
      </c>
    </row>
    <row r="166" spans="2:6">
      <c r="B166" s="365" t="s">
        <v>1297</v>
      </c>
      <c r="C166" s="365" t="str">
        <f t="shared" ca="1" si="2"/>
        <v>Jejum por Utthana Ekadasi</v>
      </c>
      <c r="D166" s="365" t="s">
        <v>1297</v>
      </c>
      <c r="E166" s="365" t="s">
        <v>4060</v>
      </c>
      <c r="F166" s="365" t="s">
        <v>4060</v>
      </c>
    </row>
    <row r="167" spans="2:6">
      <c r="B167" s="365" t="s">
        <v>1300</v>
      </c>
      <c r="C167" s="365" t="str">
        <f t="shared" ca="1" si="2"/>
        <v>Jejum por Utpanna Ekadasi</v>
      </c>
      <c r="D167" s="365" t="s">
        <v>1300</v>
      </c>
      <c r="E167" s="365" t="s">
        <v>4061</v>
      </c>
      <c r="F167" s="365" t="s">
        <v>4061</v>
      </c>
    </row>
    <row r="168" spans="2:6">
      <c r="B168" s="365" t="s">
        <v>1301</v>
      </c>
      <c r="C168" s="365" t="str">
        <f t="shared" ca="1" si="2"/>
        <v>Jejum por Moksada Ekadasi</v>
      </c>
      <c r="D168" s="365" t="s">
        <v>1301</v>
      </c>
      <c r="E168" s="365" t="s">
        <v>4062</v>
      </c>
      <c r="F168" s="365" t="s">
        <v>4062</v>
      </c>
    </row>
    <row r="169" spans="2:6">
      <c r="B169" s="365" t="s">
        <v>1302</v>
      </c>
      <c r="C169" s="365" t="str">
        <f t="shared" ca="1" si="2"/>
        <v>Jejum por Saphala Ekadasi</v>
      </c>
      <c r="D169" s="365" t="s">
        <v>1302</v>
      </c>
      <c r="E169" s="365" t="s">
        <v>4063</v>
      </c>
      <c r="F169" s="365" t="s">
        <v>4063</v>
      </c>
    </row>
    <row r="170" spans="2:6">
      <c r="B170" s="365" t="s">
        <v>1303</v>
      </c>
      <c r="C170" s="365" t="str">
        <f t="shared" ca="1" si="2"/>
        <v>Jejum por Putrada Ekadasi</v>
      </c>
      <c r="D170" s="365" t="s">
        <v>1303</v>
      </c>
      <c r="E170" s="365" t="s">
        <v>4064</v>
      </c>
      <c r="F170" s="365" t="s">
        <v>4064</v>
      </c>
    </row>
    <row r="171" spans="2:6">
      <c r="B171" s="365" t="s">
        <v>1304</v>
      </c>
      <c r="C171" s="365" t="str">
        <f t="shared" ca="1" si="2"/>
        <v>Jejum por Sat-tila Ekadasi</v>
      </c>
      <c r="D171" s="365" t="s">
        <v>1304</v>
      </c>
      <c r="E171" s="365" t="s">
        <v>4065</v>
      </c>
      <c r="F171" s="365" t="s">
        <v>4065</v>
      </c>
    </row>
    <row r="172" spans="2:6">
      <c r="B172" s="365" t="s">
        <v>1306</v>
      </c>
      <c r="C172" s="365" t="str">
        <f t="shared" ca="1" si="2"/>
        <v>Jejum por Bhaimi Ekadasi</v>
      </c>
      <c r="D172" s="365" t="s">
        <v>1306</v>
      </c>
      <c r="E172" s="365" t="s">
        <v>4066</v>
      </c>
      <c r="F172" s="365" t="s">
        <v>4066</v>
      </c>
    </row>
    <row r="173" spans="2:6">
      <c r="B173" s="365" t="s">
        <v>1307</v>
      </c>
      <c r="C173" s="365" t="str">
        <f t="shared" ca="1" si="2"/>
        <v>Jejum por Vijaya Ekadasi</v>
      </c>
      <c r="D173" s="365" t="s">
        <v>1307</v>
      </c>
      <c r="E173" s="365" t="s">
        <v>4067</v>
      </c>
      <c r="F173" s="365" t="s">
        <v>4067</v>
      </c>
    </row>
    <row r="174" spans="2:6">
      <c r="B174" s="365" t="s">
        <v>1308</v>
      </c>
      <c r="C174" s="365" t="str">
        <f t="shared" ca="1" si="2"/>
        <v>Jejum por Amalaki vrata Ekadasi</v>
      </c>
      <c r="D174" s="365" t="s">
        <v>1308</v>
      </c>
      <c r="E174" s="365" t="s">
        <v>4068</v>
      </c>
      <c r="F174" s="365" t="s">
        <v>4068</v>
      </c>
    </row>
    <row r="175" spans="2:6">
      <c r="B175" s="365" t="s">
        <v>1311</v>
      </c>
      <c r="C175" s="365" t="str">
        <f t="shared" ca="1" si="2"/>
        <v>Jejum por Papamocani Ekadasi</v>
      </c>
      <c r="D175" s="365" t="s">
        <v>1311</v>
      </c>
      <c r="E175" s="365" t="s">
        <v>4069</v>
      </c>
      <c r="F175" s="365" t="s">
        <v>4069</v>
      </c>
    </row>
    <row r="176" spans="2:6">
      <c r="B176" s="365" t="s">
        <v>1313</v>
      </c>
      <c r="C176" s="365" t="str">
        <f t="shared" ca="1" si="2"/>
        <v>Jejum por Kamada Ekadasi</v>
      </c>
      <c r="D176" s="365" t="s">
        <v>1313</v>
      </c>
      <c r="E176" s="365" t="s">
        <v>4070</v>
      </c>
      <c r="F176" s="365" t="s">
        <v>4070</v>
      </c>
    </row>
    <row r="177" spans="2:6">
      <c r="B177" s="365" t="s">
        <v>4047</v>
      </c>
      <c r="C177" s="365" t="str">
        <f t="shared" ca="1" si="2"/>
        <v>Jejum por Parama Ekadasi</v>
      </c>
      <c r="D177" s="365" t="s">
        <v>4047</v>
      </c>
      <c r="E177" s="365" t="s">
        <v>4071</v>
      </c>
      <c r="F177" s="365" t="s">
        <v>4071</v>
      </c>
    </row>
    <row r="178" spans="2:6">
      <c r="B178" s="365" t="s">
        <v>4048</v>
      </c>
      <c r="C178" s="365" t="str">
        <f t="shared" ca="1" si="2"/>
        <v>Jejum por Padmini Ekadasi</v>
      </c>
      <c r="D178" s="365" t="s">
        <v>4048</v>
      </c>
      <c r="E178" s="365" t="s">
        <v>4072</v>
      </c>
      <c r="F178" s="365" t="s">
        <v>4072</v>
      </c>
    </row>
    <row r="179" spans="2:6">
      <c r="B179" s="365" t="s">
        <v>4019</v>
      </c>
      <c r="C179" s="365" t="str">
        <f t="shared" ca="1" si="2"/>
        <v>(horário de verão não considerado)</v>
      </c>
      <c r="D179" s="365" t="s">
        <v>4019</v>
      </c>
      <c r="E179" s="365" t="s">
        <v>3878</v>
      </c>
      <c r="F179" s="365" t="s">
        <v>3878</v>
      </c>
    </row>
    <row r="180" spans="2:6">
      <c r="B180" s="300" t="s">
        <v>1319</v>
      </c>
      <c r="C180" s="365" t="str">
        <f t="shared" ca="1" si="2"/>
        <v>(Jejum total, até mesmo de água, se tiver quebrado Ekadasi)</v>
      </c>
      <c r="D180" s="300" t="s">
        <v>1319</v>
      </c>
      <c r="E180" s="300" t="s">
        <v>4073</v>
      </c>
      <c r="F180" s="300" t="s">
        <v>4073</v>
      </c>
    </row>
    <row r="181" spans="2:6">
      <c r="B181" s="300" t="s">
        <v>4106</v>
      </c>
      <c r="C181" s="365" t="str">
        <f t="shared" ca="1" si="2"/>
        <v>Quebra de jejum após  #hh:mm# (hora local)</v>
      </c>
      <c r="D181" s="300" t="s">
        <v>4217</v>
      </c>
      <c r="E181" s="300" t="s">
        <v>4245</v>
      </c>
      <c r="F181" s="300" t="s">
        <v>4246</v>
      </c>
    </row>
    <row r="182" spans="2:6">
      <c r="B182" s="300" t="s">
        <v>4107</v>
      </c>
      <c r="C182" s="365" t="str">
        <f t="shared" ca="1" si="2"/>
        <v>Quebra de jejum #start_hour# - #end_hour# (hora local)</v>
      </c>
      <c r="D182" s="300" t="s">
        <v>4218</v>
      </c>
      <c r="E182" s="300" t="s">
        <v>4219</v>
      </c>
      <c r="F182" s="300" t="s">
        <v>4220</v>
      </c>
    </row>
    <row r="183" spans="2:6">
      <c r="B183" s="365" t="s">
        <v>837</v>
      </c>
      <c r="C183" s="365" t="str">
        <f t="shared" ca="1" si="2"/>
        <v>Mesa Sankranti (Sol entra em Áries #dd mm#, às #hh:mm# hora local)</v>
      </c>
      <c r="D183" s="300" t="s">
        <v>4221</v>
      </c>
      <c r="E183" s="300" t="s">
        <v>4222</v>
      </c>
      <c r="F183" s="300" t="s">
        <v>4222</v>
      </c>
    </row>
    <row r="184" spans="2:6">
      <c r="B184" s="365" t="s">
        <v>838</v>
      </c>
      <c r="C184" s="365" t="str">
        <f t="shared" ca="1" si="2"/>
        <v>Vrsabha Sankranti (Sol entra em Touro #dd mm#, às #hh:mm# hora local)</v>
      </c>
      <c r="D184" s="300" t="s">
        <v>4223</v>
      </c>
      <c r="E184" s="300" t="s">
        <v>4224</v>
      </c>
      <c r="F184" s="300" t="s">
        <v>4224</v>
      </c>
    </row>
    <row r="185" spans="2:6">
      <c r="B185" s="365" t="s">
        <v>839</v>
      </c>
      <c r="C185" s="365" t="str">
        <f t="shared" ca="1" si="2"/>
        <v>Mithuna Sankranti (Sol entra em Gêmeos #dd mm#, às #hh:mm# hora local)</v>
      </c>
      <c r="D185" s="300" t="s">
        <v>4225</v>
      </c>
      <c r="E185" s="300" t="s">
        <v>4226</v>
      </c>
      <c r="F185" s="300" t="s">
        <v>4226</v>
      </c>
    </row>
    <row r="186" spans="2:6">
      <c r="B186" s="365" t="s">
        <v>840</v>
      </c>
      <c r="C186" s="365" t="str">
        <f t="shared" ca="1" si="2"/>
        <v>Karka Sankranti (Sol entra em Câncer #dd mm#, às #hh:mm# hora local)</v>
      </c>
      <c r="D186" s="300" t="s">
        <v>4227</v>
      </c>
      <c r="E186" s="300" t="s">
        <v>4228</v>
      </c>
      <c r="F186" s="300" t="s">
        <v>4228</v>
      </c>
    </row>
    <row r="187" spans="2:6">
      <c r="B187" s="365" t="s">
        <v>841</v>
      </c>
      <c r="C187" s="365" t="str">
        <f t="shared" ca="1" si="2"/>
        <v>Simha Sankranti (Sol entra em Leão #dd mm#, às #hh:mm# hora local)</v>
      </c>
      <c r="D187" s="300" t="s">
        <v>4229</v>
      </c>
      <c r="E187" s="300" t="s">
        <v>4230</v>
      </c>
      <c r="F187" s="300" t="s">
        <v>4230</v>
      </c>
    </row>
    <row r="188" spans="2:6">
      <c r="B188" s="365" t="s">
        <v>842</v>
      </c>
      <c r="C188" s="365" t="str">
        <f t="shared" ca="1" si="2"/>
        <v>Kanya Sankranti (Sol entra em Virgem #dd mm#, às #hh:mm# hora local)</v>
      </c>
      <c r="D188" s="300" t="s">
        <v>4231</v>
      </c>
      <c r="E188" s="300" t="s">
        <v>4232</v>
      </c>
      <c r="F188" s="300" t="s">
        <v>4232</v>
      </c>
    </row>
    <row r="189" spans="2:6">
      <c r="B189" s="365" t="s">
        <v>843</v>
      </c>
      <c r="C189" s="365" t="str">
        <f t="shared" ca="1" si="2"/>
        <v>Tula Sankranti (Sol entra em Libra #dd mm#, às #hh:mm# hora local)</v>
      </c>
      <c r="D189" s="300" t="s">
        <v>4233</v>
      </c>
      <c r="E189" s="300" t="s">
        <v>4234</v>
      </c>
      <c r="F189" s="300" t="s">
        <v>4234</v>
      </c>
    </row>
    <row r="190" spans="2:6">
      <c r="B190" s="365" t="s">
        <v>844</v>
      </c>
      <c r="C190" s="365" t="str">
        <f t="shared" ca="1" si="2"/>
        <v>Vrscika Sankranti (Sol entra em Escorpião #dd mm#, às #hh:mm# hora local)</v>
      </c>
      <c r="D190" s="300" t="s">
        <v>4235</v>
      </c>
      <c r="E190" s="300" t="s">
        <v>4236</v>
      </c>
      <c r="F190" s="300" t="s">
        <v>4236</v>
      </c>
    </row>
    <row r="191" spans="2:6">
      <c r="B191" s="365" t="s">
        <v>845</v>
      </c>
      <c r="C191" s="365" t="str">
        <f t="shared" ca="1" si="2"/>
        <v>Dhanus Sankranti (Sol entra em Sagitário #dd mm#, às #hh:mm# hora local)</v>
      </c>
      <c r="D191" s="300" t="s">
        <v>4237</v>
      </c>
      <c r="E191" s="300" t="s">
        <v>4238</v>
      </c>
      <c r="F191" s="300" t="s">
        <v>4238</v>
      </c>
    </row>
    <row r="192" spans="2:6">
      <c r="B192" s="365" t="s">
        <v>846</v>
      </c>
      <c r="C192" s="365" t="str">
        <f t="shared" ca="1" si="2"/>
        <v>Makara Sankranti (Sol entra em Capricórnio #dd mm#, às #hh:mm# hora local)</v>
      </c>
      <c r="D192" s="300" t="s">
        <v>4239</v>
      </c>
      <c r="E192" s="300" t="s">
        <v>4240</v>
      </c>
      <c r="F192" s="300" t="s">
        <v>4240</v>
      </c>
    </row>
    <row r="193" spans="2:6">
      <c r="B193" s="365" t="s">
        <v>847</v>
      </c>
      <c r="C193" s="365" t="str">
        <f t="shared" ca="1" si="2"/>
        <v>Kumbha Sankranti (Sol entra em Aquário #dd mm#, às #hh:mm# hora local)</v>
      </c>
      <c r="D193" s="300" t="s">
        <v>4241</v>
      </c>
      <c r="E193" s="300" t="s">
        <v>4242</v>
      </c>
      <c r="F193" s="300" t="s">
        <v>4242</v>
      </c>
    </row>
    <row r="194" spans="2:6">
      <c r="B194" s="365" t="s">
        <v>848</v>
      </c>
      <c r="C194" s="365" t="str">
        <f t="shared" ca="1" si="2"/>
        <v>Mina Sankranti (Sol entra em Peixes #dd mm#, às #hh:mm# hora local)</v>
      </c>
      <c r="D194" s="300" t="s">
        <v>4243</v>
      </c>
      <c r="E194" s="300" t="s">
        <v>4244</v>
      </c>
      <c r="F194" s="300" t="s">
        <v>4244</v>
      </c>
    </row>
    <row r="195" spans="2:6">
      <c r="B195" s="365" t="s">
        <v>4075</v>
      </c>
      <c r="C195" s="365" t="str">
        <f ca="1">OFFSET(C195,0,$B$1)</f>
        <v>(jejum até o meio dia por Varahadeva, com festa amanhã)</v>
      </c>
      <c r="D195" s="365" t="s">
        <v>4075</v>
      </c>
      <c r="E195" s="300" t="s">
        <v>4872</v>
      </c>
      <c r="F195" s="300" t="s">
        <v>4872</v>
      </c>
    </row>
    <row r="196" spans="2:6">
      <c r="B196" s="300" t="s">
        <v>4092</v>
      </c>
      <c r="C196" s="365" t="str">
        <f ca="1">OFFSET(C196,0,$B$1)</f>
        <v>(Jejum até o meio dia por Bhaktivinoda, com festa amanhã)</v>
      </c>
      <c r="D196" s="300" t="s">
        <v>4092</v>
      </c>
      <c r="E196" s="300" t="s">
        <v>4091</v>
      </c>
      <c r="F196" s="300" t="s">
        <v>4091</v>
      </c>
    </row>
    <row r="197" spans="2:6">
      <c r="B197" s="300" t="s">
        <v>4105</v>
      </c>
      <c r="C197" s="365" t="str">
        <f ca="1">OFFSET(C197,0,$B$1)</f>
        <v>(Jejum hoje por Vamanadeva)</v>
      </c>
      <c r="D197" s="300" t="s">
        <v>4105</v>
      </c>
      <c r="E197" s="300" t="s">
        <v>4873</v>
      </c>
      <c r="F197" s="300" t="s">
        <v>4873</v>
      </c>
    </row>
    <row r="198" spans="2:6">
      <c r="B198" s="300" t="s">
        <v>4211</v>
      </c>
      <c r="C198" s="365" t="str">
        <f ca="1">OFFSET(C198,0,$B$1)</f>
        <v>(Jejum hoje por Varahadeva)</v>
      </c>
      <c r="D198" s="300" t="s">
        <v>4211</v>
      </c>
      <c r="E198" s="300" t="s">
        <v>4874</v>
      </c>
      <c r="F198" s="300" t="s">
        <v>4874</v>
      </c>
    </row>
    <row r="199" spans="2:6">
      <c r="B199" s="300" t="s">
        <v>4111</v>
      </c>
      <c r="C199" s="365" t="str">
        <f ca="1">OFFSET(C199,0,$B$1)</f>
        <v>Segunda</v>
      </c>
      <c r="D199" s="300" t="s">
        <v>48</v>
      </c>
      <c r="E199" s="300" t="s">
        <v>436</v>
      </c>
      <c r="F199" s="300" t="s">
        <v>593</v>
      </c>
    </row>
    <row r="200" spans="2:6">
      <c r="B200" s="300" t="s">
        <v>4112</v>
      </c>
      <c r="C200" s="365" t="str">
        <f t="shared" ref="C200:C212" ca="1" si="3">OFFSET(C200,0,$B$1)</f>
        <v>Terça</v>
      </c>
      <c r="D200" s="300" t="s">
        <v>49</v>
      </c>
      <c r="E200" s="300" t="s">
        <v>437</v>
      </c>
      <c r="F200" s="300" t="s">
        <v>594</v>
      </c>
    </row>
    <row r="201" spans="2:6">
      <c r="B201" s="300" t="s">
        <v>4113</v>
      </c>
      <c r="C201" s="365" t="str">
        <f t="shared" ca="1" si="3"/>
        <v>Quarta</v>
      </c>
      <c r="D201" s="300" t="s">
        <v>50</v>
      </c>
      <c r="E201" s="300" t="s">
        <v>438</v>
      </c>
      <c r="F201" s="300" t="s">
        <v>586</v>
      </c>
    </row>
    <row r="202" spans="2:6">
      <c r="B202" s="300" t="s">
        <v>4114</v>
      </c>
      <c r="C202" s="365" t="str">
        <f t="shared" ca="1" si="3"/>
        <v>Quinta</v>
      </c>
      <c r="D202" s="300" t="s">
        <v>51</v>
      </c>
      <c r="E202" s="300" t="s">
        <v>439</v>
      </c>
      <c r="F202" s="300" t="s">
        <v>587</v>
      </c>
    </row>
    <row r="203" spans="2:6">
      <c r="B203" s="300" t="s">
        <v>4115</v>
      </c>
      <c r="C203" s="365" t="str">
        <f t="shared" ca="1" si="3"/>
        <v>Sexta</v>
      </c>
      <c r="D203" s="300" t="s">
        <v>52</v>
      </c>
      <c r="E203" s="300" t="s">
        <v>440</v>
      </c>
      <c r="F203" s="300" t="s">
        <v>588</v>
      </c>
    </row>
    <row r="204" spans="2:6">
      <c r="B204" s="300" t="s">
        <v>4116</v>
      </c>
      <c r="C204" s="365" t="str">
        <f t="shared" ca="1" si="3"/>
        <v>Sábado</v>
      </c>
      <c r="D204" s="300" t="s">
        <v>53</v>
      </c>
      <c r="E204" s="300" t="s">
        <v>441</v>
      </c>
      <c r="F204" s="300" t="s">
        <v>589</v>
      </c>
    </row>
    <row r="205" spans="2:6">
      <c r="B205" s="300" t="s">
        <v>4117</v>
      </c>
      <c r="C205" s="365" t="str">
        <f t="shared" ca="1" si="3"/>
        <v>Domingo</v>
      </c>
      <c r="D205" s="300" t="s">
        <v>47</v>
      </c>
      <c r="E205" s="300" t="s">
        <v>595</v>
      </c>
      <c r="F205" s="300" t="s">
        <v>595</v>
      </c>
    </row>
    <row r="206" spans="2:6">
      <c r="B206" s="300" t="s">
        <v>850</v>
      </c>
      <c r="C206" s="365" t="str">
        <f t="shared" ca="1" si="3"/>
        <v>sim</v>
      </c>
      <c r="D206" s="300" t="s">
        <v>850</v>
      </c>
      <c r="E206" s="300" t="s">
        <v>4093</v>
      </c>
      <c r="F206" s="300" t="s">
        <v>385</v>
      </c>
    </row>
    <row r="207" spans="2:6">
      <c r="B207" s="300" t="s">
        <v>849</v>
      </c>
      <c r="C207" s="365" t="str">
        <f t="shared" ca="1" si="3"/>
        <v>não</v>
      </c>
      <c r="D207" s="300" t="s">
        <v>849</v>
      </c>
      <c r="E207" s="300" t="s">
        <v>849</v>
      </c>
      <c r="F207" s="300" t="s">
        <v>105</v>
      </c>
    </row>
    <row r="208" spans="2:6">
      <c r="B208" s="300" t="s">
        <v>4499</v>
      </c>
      <c r="C208" s="365" t="str">
        <f t="shared" ca="1" si="3"/>
        <v>(adequado para jejum)</v>
      </c>
      <c r="D208" s="300" t="s">
        <v>4499</v>
      </c>
      <c r="E208" s="300" t="s">
        <v>4500</v>
      </c>
      <c r="F208" s="300" t="s">
        <v>4500</v>
      </c>
    </row>
    <row r="209" spans="1:6">
      <c r="B209" s="365" t="s">
        <v>557</v>
      </c>
      <c r="C209" s="365" t="str">
        <f t="shared" ca="1" si="3"/>
        <v>Nova</v>
      </c>
      <c r="D209" s="232" t="s">
        <v>867</v>
      </c>
      <c r="E209" s="365" t="s">
        <v>1202</v>
      </c>
      <c r="F209" s="365" t="s">
        <v>863</v>
      </c>
    </row>
    <row r="210" spans="1:6">
      <c r="B210" s="365" t="s">
        <v>871</v>
      </c>
      <c r="C210" s="365" t="str">
        <f t="shared" ca="1" si="3"/>
        <v>Cresc</v>
      </c>
      <c r="D210" s="232" t="s">
        <v>868</v>
      </c>
      <c r="E210" s="300" t="s">
        <v>4501</v>
      </c>
      <c r="F210" s="365" t="s">
        <v>864</v>
      </c>
    </row>
    <row r="211" spans="1:6">
      <c r="B211" s="365" t="s">
        <v>872</v>
      </c>
      <c r="C211" s="365" t="str">
        <f t="shared" ca="1" si="3"/>
        <v>Cheia</v>
      </c>
      <c r="D211" s="232" t="s">
        <v>869</v>
      </c>
      <c r="E211" s="365" t="s">
        <v>1204</v>
      </c>
      <c r="F211" s="365" t="s">
        <v>865</v>
      </c>
    </row>
    <row r="212" spans="1:6">
      <c r="B212" s="365" t="s">
        <v>873</v>
      </c>
      <c r="C212" s="365" t="str">
        <f t="shared" ca="1" si="3"/>
        <v>Ming</v>
      </c>
      <c r="D212" s="232" t="s">
        <v>870</v>
      </c>
      <c r="E212" s="300" t="s">
        <v>4502</v>
      </c>
      <c r="F212" s="365" t="s">
        <v>866</v>
      </c>
    </row>
    <row r="213" spans="1:6">
      <c r="A213" s="365">
        <v>1</v>
      </c>
      <c r="B213" s="408" t="str">
        <f ca="1">C209</f>
        <v>Nova</v>
      </c>
      <c r="C213" s="214" t="s">
        <v>667</v>
      </c>
    </row>
    <row r="214" spans="1:6">
      <c r="A214" s="365">
        <v>2</v>
      </c>
      <c r="B214" s="409" t="str">
        <f ca="1">C210</f>
        <v>Cresc</v>
      </c>
      <c r="C214" s="215" t="str">
        <f>IF(Index!$T$5&lt;0,"(",")")</f>
        <v>(</v>
      </c>
    </row>
    <row r="215" spans="1:6">
      <c r="A215" s="365">
        <v>3</v>
      </c>
      <c r="B215" s="409" t="str">
        <f ca="1">C211</f>
        <v>Cheia</v>
      </c>
      <c r="C215" s="215" t="s">
        <v>456</v>
      </c>
    </row>
    <row r="216" spans="1:6">
      <c r="A216" s="365">
        <v>4</v>
      </c>
      <c r="B216" s="410" t="str">
        <f ca="1">C212</f>
        <v>Ming</v>
      </c>
      <c r="C216" s="216" t="str">
        <f>IF(Index!$T$5&lt;0,")","(")</f>
        <v>)</v>
      </c>
      <c r="F216" s="300"/>
    </row>
    <row r="217" spans="1:6">
      <c r="A217" s="365"/>
      <c r="B217" s="300" t="s">
        <v>5071</v>
      </c>
      <c r="C217" s="365" t="str">
        <f t="shared" ref="C217" ca="1" si="4">OFFSET(C217,0,$B$1)</f>
        <v>ISKCON - fundação em NY</v>
      </c>
      <c r="D217" s="365" t="s">
        <v>5070</v>
      </c>
      <c r="E217" s="300" t="s">
        <v>5072</v>
      </c>
      <c r="F217" s="300" t="s">
        <v>5072</v>
      </c>
    </row>
    <row r="218" spans="1:6">
      <c r="A218" s="365"/>
      <c r="B218" s="300" t="s">
        <v>5068</v>
      </c>
      <c r="C218" s="365" t="str">
        <f t="shared" ref="C218:C222" ca="1" si="5">OFFSET(C218,0,$B$1)</f>
        <v>Prabhupada - vai para EUA</v>
      </c>
      <c r="D218" s="300" t="s">
        <v>5069</v>
      </c>
      <c r="E218" s="300" t="s">
        <v>5075</v>
      </c>
      <c r="F218" s="300" t="s">
        <v>5075</v>
      </c>
    </row>
    <row r="219" spans="1:6">
      <c r="A219" s="365"/>
      <c r="B219" s="300" t="s">
        <v>5073</v>
      </c>
      <c r="C219" s="365" t="str">
        <f t="shared" ca="1" si="5"/>
        <v>Prabhupada - aceita sannyasa</v>
      </c>
      <c r="D219" s="300" t="s">
        <v>5078</v>
      </c>
      <c r="E219" s="300" t="s">
        <v>5077</v>
      </c>
      <c r="F219" s="300" t="s">
        <v>5077</v>
      </c>
    </row>
    <row r="220" spans="1:6">
      <c r="A220" s="365"/>
      <c r="B220" s="300" t="s">
        <v>5074</v>
      </c>
      <c r="C220" s="365" t="str">
        <f t="shared" ca="1" si="5"/>
        <v>Prabhupada - chega aos EUA</v>
      </c>
      <c r="D220" s="300" t="s">
        <v>5079</v>
      </c>
      <c r="E220" s="300" t="s">
        <v>5076</v>
      </c>
      <c r="F220" s="300" t="s">
        <v>5076</v>
      </c>
    </row>
    <row r="221" spans="1:6">
      <c r="A221" s="365"/>
      <c r="B221" s="300" t="s">
        <v>5080</v>
      </c>
      <c r="C221" s="365" t="str">
        <f t="shared" ca="1" si="5"/>
        <v>Radha Kunda - Aparecimento</v>
      </c>
      <c r="D221" s="300" t="s">
        <v>5083</v>
      </c>
      <c r="E221" s="300" t="s">
        <v>5082</v>
      </c>
      <c r="F221" s="300" t="s">
        <v>5082</v>
      </c>
    </row>
    <row r="222" spans="1:6">
      <c r="A222" s="365"/>
      <c r="B222" s="300" t="s">
        <v>5081</v>
      </c>
      <c r="C222" s="365" t="str">
        <f t="shared" ca="1" si="5"/>
        <v>Bhagavad-gita - Advento</v>
      </c>
      <c r="D222" s="300" t="s">
        <v>5093</v>
      </c>
      <c r="E222" s="300" t="s">
        <v>5092</v>
      </c>
      <c r="F222" s="300" t="s">
        <v>5092</v>
      </c>
    </row>
  </sheetData>
  <sheetProtection sheet="1" objects="1" scenarios="1"/>
  <pageMargins left="1.5748031496062993" right="1.5748031496062993" top="1.1811023622047245" bottom="1.1811023622047245" header="0.31496062992125984" footer="0.31496062992125984"/>
  <pageSetup paperSize="9" scale="34" fitToHeight="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Holydays">
    <pageSetUpPr fitToPage="1"/>
  </sheetPr>
  <dimension ref="A1:AA54"/>
  <sheetViews>
    <sheetView showGridLines="0" showRowColHeaders="0" zoomScaleNormal="100" workbookViewId="0"/>
  </sheetViews>
  <sheetFormatPr defaultColWidth="0" defaultRowHeight="18" zeroHeight="1"/>
  <cols>
    <col min="1" max="1" width="2.85546875" style="98" customWidth="1"/>
    <col min="2" max="2" width="6.42578125" style="98" customWidth="1"/>
    <col min="3" max="3" width="7" style="98" bestFit="1" customWidth="1"/>
    <col min="4" max="4" width="14.85546875" style="98" customWidth="1"/>
    <col min="5" max="5" width="44.140625" style="98" customWidth="1"/>
    <col min="6" max="6" width="14.140625" style="98" customWidth="1"/>
    <col min="7" max="7" width="12.28515625" style="98" bestFit="1" customWidth="1"/>
    <col min="8" max="8" width="2.85546875" style="98" customWidth="1"/>
    <col min="9" max="9" width="3.28515625" style="98" hidden="1" customWidth="1"/>
    <col min="10" max="13" width="10.140625" style="97" hidden="1" customWidth="1"/>
    <col min="14" max="14" width="21.7109375" style="97" hidden="1" customWidth="1"/>
    <col min="15" max="27" width="0" style="97" hidden="1" customWidth="1"/>
    <col min="28" max="16384" width="9.140625" style="97" hidden="1"/>
  </cols>
  <sheetData>
    <row r="1" spans="2:27" ht="19.5">
      <c r="B1" s="101" t="str">
        <f ca="1">'GPlan-Translations'!C170</f>
        <v>FERIADOS, COMEMORAÇÕES E ANIVERSÁRIOS</v>
      </c>
      <c r="C1" s="96"/>
      <c r="D1" s="97"/>
      <c r="E1" s="102"/>
      <c r="F1" s="101"/>
      <c r="G1" s="101">
        <f>Calendar!U1</f>
        <v>2017</v>
      </c>
      <c r="H1" s="96"/>
      <c r="P1" s="402" t="s">
        <v>4493</v>
      </c>
      <c r="Q1" s="403">
        <f ca="1">COUNTIF(D:D,"&gt;0")*4</f>
        <v>144</v>
      </c>
      <c r="S1" s="97" t="str">
        <f ca="1">'GPlan-Translations'!C176</f>
        <v>AUXILIAR DIA DA SEMANA</v>
      </c>
    </row>
    <row r="2" spans="2:27">
      <c r="B2" s="199" t="str">
        <f ca="1">'GPlan-Translations'!C177</f>
        <v>Dia</v>
      </c>
      <c r="C2" s="199" t="str">
        <f ca="1">'GPlan-Translations'!C178</f>
        <v>Mês</v>
      </c>
      <c r="D2" s="199" t="str">
        <f ca="1">'GPlan-Translations'!C179</f>
        <v>Data</v>
      </c>
      <c r="E2" s="199" t="str">
        <f ca="1">'GPlan-Translations'!C180</f>
        <v>Nome</v>
      </c>
      <c r="F2" s="200" t="str">
        <f ca="1">'GPlan-Translations'!C181</f>
        <v>Dia Sem.</v>
      </c>
      <c r="G2" s="200" t="str">
        <f ca="1">'GPlan-Translations'!C183</f>
        <v>Tipo</v>
      </c>
      <c r="H2" s="96"/>
      <c r="P2" s="402" t="s">
        <v>4497</v>
      </c>
      <c r="Q2" s="405">
        <f>ROW(B3)</f>
        <v>3</v>
      </c>
      <c r="S2" s="393" t="str">
        <f ca="1">U2 &amp; "-" &amp;  'GPlan-Translations'!C186</f>
        <v>1-Domingo</v>
      </c>
      <c r="T2" s="279" t="s">
        <v>240</v>
      </c>
      <c r="U2" s="394">
        <v>1</v>
      </c>
      <c r="V2" s="399" t="str">
        <f ca="1">'GPlan-Translations'!C184</f>
        <v>Feriado</v>
      </c>
      <c r="W2" s="394" t="str">
        <f ca="1">U2 &amp; "-" &amp; V2</f>
        <v>1-Feriado</v>
      </c>
      <c r="Y2" s="278">
        <v>7</v>
      </c>
      <c r="Z2" s="279" t="s">
        <v>829</v>
      </c>
      <c r="AA2" s="280" t="str">
        <f ca="1">'GPlan-Translations'!C186</f>
        <v>Domingo</v>
      </c>
    </row>
    <row r="3" spans="2:27">
      <c r="B3" s="373" t="str">
        <f ca="1">'GPlan-Translations'!C172</f>
        <v>FIXOS</v>
      </c>
      <c r="C3" s="374"/>
      <c r="D3" s="374"/>
      <c r="E3" s="374"/>
      <c r="F3" s="374"/>
      <c r="G3" s="375"/>
      <c r="H3" s="96"/>
      <c r="P3" s="382" t="s">
        <v>4494</v>
      </c>
      <c r="Q3" s="406">
        <f>ROW(B28)</f>
        <v>28</v>
      </c>
      <c r="S3" s="395" t="str">
        <f ca="1">U3 &amp; "-" &amp;  'GPlan-Translations'!C187</f>
        <v>2-Segunda</v>
      </c>
      <c r="T3" s="282" t="s">
        <v>241</v>
      </c>
      <c r="U3" s="396">
        <v>2</v>
      </c>
      <c r="V3" s="400" t="str">
        <f ca="1">'GPlan-Translations'!C185</f>
        <v>Evento</v>
      </c>
      <c r="W3" s="398" t="str">
        <f ca="1">U3 &amp; "-" &amp; V3</f>
        <v>2-Evento</v>
      </c>
      <c r="Y3" s="281">
        <v>1</v>
      </c>
      <c r="Z3" s="282" t="s">
        <v>830</v>
      </c>
      <c r="AA3" s="286" t="str">
        <f ca="1">'GPlan-Translations'!C187</f>
        <v>Segunda</v>
      </c>
    </row>
    <row r="4" spans="2:27">
      <c r="B4" s="178">
        <v>1</v>
      </c>
      <c r="C4" s="178">
        <v>1</v>
      </c>
      <c r="D4" s="201">
        <f t="shared" ref="D4:D27" si="0">IF(OR(ISBLANK(B4),ISBLANK(C4)),"",DATE($G$1,C4,B4))</f>
        <v>42736</v>
      </c>
      <c r="E4" s="181" t="s">
        <v>538</v>
      </c>
      <c r="F4" s="180" t="str">
        <f ca="1">IF(D4="","",VLOOKUP(WEEKDAY(D4,2),Holydays!$Y$2:$AA$8,3,FALSE))</f>
        <v>Domingo</v>
      </c>
      <c r="G4" s="392" t="s">
        <v>4438</v>
      </c>
      <c r="H4" s="96"/>
      <c r="P4" s="402" t="s">
        <v>4495</v>
      </c>
      <c r="Q4" s="406">
        <f>ROW(B42)</f>
        <v>42</v>
      </c>
      <c r="S4" s="395" t="str">
        <f ca="1">U4 &amp; "-" &amp;  'GPlan-Translations'!C188</f>
        <v>3-Terça</v>
      </c>
      <c r="T4" s="282" t="s">
        <v>242</v>
      </c>
      <c r="U4" s="396">
        <v>3</v>
      </c>
      <c r="Y4" s="281">
        <v>2</v>
      </c>
      <c r="Z4" s="282" t="s">
        <v>831</v>
      </c>
      <c r="AA4" s="286" t="str">
        <f ca="1">'GPlan-Translations'!C188</f>
        <v>Terça</v>
      </c>
    </row>
    <row r="5" spans="2:27">
      <c r="B5" s="178">
        <v>8</v>
      </c>
      <c r="C5" s="178">
        <v>3</v>
      </c>
      <c r="D5" s="201">
        <f t="shared" si="0"/>
        <v>42802</v>
      </c>
      <c r="E5" s="181" t="s">
        <v>5416</v>
      </c>
      <c r="F5" s="180" t="str">
        <f ca="1">IF(D5="","",VLOOKUP(WEEKDAY(D5,2),Holydays!$Y$2:$AA$8,3,FALSE))</f>
        <v>Quarta</v>
      </c>
      <c r="G5" s="392" t="s">
        <v>4439</v>
      </c>
      <c r="H5" s="96"/>
      <c r="P5" s="402" t="s">
        <v>4496</v>
      </c>
      <c r="Q5" s="406">
        <f>ROW(B49)</f>
        <v>49</v>
      </c>
      <c r="S5" s="395" t="str">
        <f ca="1">U5 &amp; "-" &amp;  'GPlan-Translations'!C189</f>
        <v>4-Quarta</v>
      </c>
      <c r="T5" s="282" t="s">
        <v>243</v>
      </c>
      <c r="U5" s="396">
        <v>4</v>
      </c>
      <c r="Y5" s="281">
        <v>3</v>
      </c>
      <c r="Z5" s="282" t="s">
        <v>832</v>
      </c>
      <c r="AA5" s="286" t="str">
        <f ca="1">'GPlan-Translations'!C189</f>
        <v>Quarta</v>
      </c>
    </row>
    <row r="6" spans="2:27">
      <c r="B6" s="178">
        <v>18</v>
      </c>
      <c r="C6" s="178">
        <v>4</v>
      </c>
      <c r="D6" s="201">
        <f t="shared" si="0"/>
        <v>42843</v>
      </c>
      <c r="E6" s="181" t="s">
        <v>5417</v>
      </c>
      <c r="F6" s="180" t="str">
        <f ca="1">IF(D6="","",VLOOKUP(WEEKDAY(D6,2),Holydays!$Y$2:$AA$8,3,FALSE))</f>
        <v>Terça</v>
      </c>
      <c r="G6" s="392" t="s">
        <v>4439</v>
      </c>
      <c r="H6" s="96"/>
      <c r="P6" s="404" t="s">
        <v>4498</v>
      </c>
      <c r="Q6" s="407">
        <f>Q5+4</f>
        <v>53</v>
      </c>
      <c r="S6" s="395" t="str">
        <f ca="1">U6 &amp; "-" &amp;  'GPlan-Translations'!C190</f>
        <v>5-Quinta</v>
      </c>
      <c r="T6" s="282" t="s">
        <v>244</v>
      </c>
      <c r="U6" s="396">
        <v>5</v>
      </c>
      <c r="Y6" s="281">
        <v>4</v>
      </c>
      <c r="Z6" s="282" t="s">
        <v>833</v>
      </c>
      <c r="AA6" s="286" t="str">
        <f ca="1">'GPlan-Translations'!C190</f>
        <v>Quinta</v>
      </c>
    </row>
    <row r="7" spans="2:27">
      <c r="B7" s="178">
        <v>19</v>
      </c>
      <c r="C7" s="178">
        <v>4</v>
      </c>
      <c r="D7" s="201">
        <f t="shared" si="0"/>
        <v>42844</v>
      </c>
      <c r="E7" s="181" t="s">
        <v>5418</v>
      </c>
      <c r="F7" s="180" t="str">
        <f ca="1">IF(D7="","",VLOOKUP(WEEKDAY(D7,2),Holydays!$Y$2:$AA$8,3,FALSE))</f>
        <v>Quarta</v>
      </c>
      <c r="G7" s="392" t="s">
        <v>4439</v>
      </c>
      <c r="H7" s="96"/>
      <c r="S7" s="395" t="str">
        <f ca="1">U7 &amp; "-" &amp;  'GPlan-Translations'!C191</f>
        <v>6-Sexta</v>
      </c>
      <c r="T7" s="282" t="s">
        <v>245</v>
      </c>
      <c r="U7" s="396">
        <v>6</v>
      </c>
      <c r="Y7" s="281">
        <v>5</v>
      </c>
      <c r="Z7" s="282" t="s">
        <v>834</v>
      </c>
      <c r="AA7" s="286" t="str">
        <f ca="1">'GPlan-Translations'!C191</f>
        <v>Sexta</v>
      </c>
    </row>
    <row r="8" spans="2:27">
      <c r="B8" s="178">
        <v>21</v>
      </c>
      <c r="C8" s="178">
        <v>4</v>
      </c>
      <c r="D8" s="201">
        <f t="shared" si="0"/>
        <v>42846</v>
      </c>
      <c r="E8" s="181" t="s">
        <v>539</v>
      </c>
      <c r="F8" s="180" t="str">
        <f ca="1">IF(D8="","",VLOOKUP(WEEKDAY(D8,2),Holydays!$Y$2:$AA$8,3,FALSE))</f>
        <v>Sexta</v>
      </c>
      <c r="G8" s="392" t="s">
        <v>4438</v>
      </c>
      <c r="H8" s="96"/>
      <c r="S8" s="397" t="str">
        <f ca="1">U8 &amp; "-" &amp;  'GPlan-Translations'!C192</f>
        <v>7-Sábado</v>
      </c>
      <c r="T8" s="284" t="s">
        <v>246</v>
      </c>
      <c r="U8" s="398">
        <v>7</v>
      </c>
      <c r="Y8" s="283">
        <v>6</v>
      </c>
      <c r="Z8" s="284" t="s">
        <v>835</v>
      </c>
      <c r="AA8" s="285" t="str">
        <f ca="1">'GPlan-Translations'!C192</f>
        <v>Sábado</v>
      </c>
    </row>
    <row r="9" spans="2:27">
      <c r="B9" s="178">
        <v>22</v>
      </c>
      <c r="C9" s="178">
        <v>4</v>
      </c>
      <c r="D9" s="201">
        <f t="shared" si="0"/>
        <v>42847</v>
      </c>
      <c r="E9" s="181" t="s">
        <v>5419</v>
      </c>
      <c r="F9" s="180" t="str">
        <f ca="1">IF(D9="","",VLOOKUP(WEEKDAY(D9,2),Holydays!$Y$2:$AA$8,3,FALSE))</f>
        <v>Sábado</v>
      </c>
      <c r="G9" s="392" t="s">
        <v>4439</v>
      </c>
      <c r="H9" s="97"/>
      <c r="O9" s="384" t="str">
        <f ca="1">'GPlan-Translations'!C171</f>
        <v>AUXILIAR PÁSCOA</v>
      </c>
    </row>
    <row r="10" spans="2:27">
      <c r="B10" s="178">
        <v>1</v>
      </c>
      <c r="C10" s="178">
        <v>5</v>
      </c>
      <c r="D10" s="201">
        <f t="shared" si="0"/>
        <v>42856</v>
      </c>
      <c r="E10" s="181" t="s">
        <v>540</v>
      </c>
      <c r="F10" s="180" t="str">
        <f ca="1">IF(D10="","",VLOOKUP(WEEKDAY(D10,2),Holydays!$Y$2:$AA$8,3,FALSE))</f>
        <v>Segunda</v>
      </c>
      <c r="G10" s="392" t="s">
        <v>4438</v>
      </c>
      <c r="H10" s="96"/>
      <c r="I10" s="96"/>
      <c r="J10" s="385">
        <f>K10-1</f>
        <v>2016</v>
      </c>
      <c r="K10" s="97">
        <f>Index!X13</f>
        <v>2017</v>
      </c>
      <c r="L10" s="97">
        <f>K10+1</f>
        <v>2018</v>
      </c>
      <c r="M10" s="97">
        <f>K10+2</f>
        <v>2019</v>
      </c>
      <c r="N10" s="382"/>
      <c r="O10" s="377" t="s">
        <v>4401</v>
      </c>
      <c r="P10" s="378" t="s">
        <v>4367</v>
      </c>
      <c r="Q10" s="378" t="s">
        <v>4352</v>
      </c>
      <c r="R10" s="300" t="s">
        <v>4365</v>
      </c>
    </row>
    <row r="11" spans="2:27">
      <c r="B11" s="178">
        <v>13</v>
      </c>
      <c r="C11" s="178">
        <v>5</v>
      </c>
      <c r="D11" s="201">
        <f t="shared" si="0"/>
        <v>42868</v>
      </c>
      <c r="E11" s="181" t="s">
        <v>5420</v>
      </c>
      <c r="F11" s="180" t="str">
        <f ca="1">IF(D11="","",VLOOKUP(WEEKDAY(D11,2),Holydays!$Y$2:$AA$8,3,FALSE))</f>
        <v>Sábado</v>
      </c>
      <c r="G11" s="392" t="s">
        <v>4439</v>
      </c>
      <c r="H11" s="96"/>
      <c r="I11" s="401">
        <v>1</v>
      </c>
      <c r="J11" s="376">
        <f>DATE(J$10,1,6)</f>
        <v>42375</v>
      </c>
      <c r="K11" s="376">
        <f>DATE(K$10,1,6)</f>
        <v>42741</v>
      </c>
      <c r="L11" s="376">
        <f>DATE(L$10,1,6)</f>
        <v>43106</v>
      </c>
      <c r="M11" s="376">
        <f>DATE(M$10,1,6)</f>
        <v>43471</v>
      </c>
      <c r="N11" s="388" t="str">
        <f ca="1">TEXT(I11,"00") &amp; "-" &amp; VLOOKUP(O11,'GPlan-Translations'!$B$197:$C$218,2,FALSE)</f>
        <v>01-Epifania</v>
      </c>
      <c r="O11" s="97" t="s">
        <v>4360</v>
      </c>
      <c r="P11" s="372" t="s">
        <v>4360</v>
      </c>
      <c r="Q11" s="218" t="s">
        <v>4390</v>
      </c>
    </row>
    <row r="12" spans="2:27">
      <c r="B12" s="178">
        <v>12</v>
      </c>
      <c r="C12" s="178">
        <v>6</v>
      </c>
      <c r="D12" s="201">
        <f t="shared" ref="D12:D14" si="1">IF(OR(ISBLANK(B12),ISBLANK(C12)),"",DATE($G$1,C12,B12))</f>
        <v>42898</v>
      </c>
      <c r="E12" s="181" t="s">
        <v>757</v>
      </c>
      <c r="F12" s="180" t="str">
        <f ca="1">IF(D12="","",VLOOKUP(WEEKDAY(D12,2),Holydays!$Y$2:$AA$8,3,FALSE))</f>
        <v>Segunda</v>
      </c>
      <c r="G12" s="392" t="s">
        <v>4439</v>
      </c>
      <c r="H12" s="96"/>
      <c r="I12" s="401">
        <v>2</v>
      </c>
      <c r="J12" s="376">
        <f>DATE(J$10,2,2)</f>
        <v>42402</v>
      </c>
      <c r="K12" s="376">
        <f>DATE(K$10,2,2)</f>
        <v>42768</v>
      </c>
      <c r="L12" s="376">
        <f>DATE(L$10,2,2)</f>
        <v>43133</v>
      </c>
      <c r="M12" s="376">
        <f>DATE(M$10,2,2)</f>
        <v>43498</v>
      </c>
      <c r="N12" s="388" t="str">
        <f ca="1">TEXT(I12,"00") &amp; "-" &amp; VLOOKUP(O12,'GPlan-Translations'!$B$197:$C$218,2,FALSE)</f>
        <v>02-Candelária</v>
      </c>
      <c r="O12" s="382" t="s">
        <v>4356</v>
      </c>
      <c r="P12" s="380" t="s">
        <v>4356</v>
      </c>
      <c r="Q12" s="300" t="s">
        <v>4377</v>
      </c>
    </row>
    <row r="13" spans="2:27">
      <c r="B13" s="178">
        <v>26</v>
      </c>
      <c r="C13" s="178">
        <v>7</v>
      </c>
      <c r="D13" s="201">
        <f t="shared" si="1"/>
        <v>42942</v>
      </c>
      <c r="E13" s="181" t="s">
        <v>5421</v>
      </c>
      <c r="F13" s="180" t="str">
        <f ca="1">IF(D13="","",VLOOKUP(WEEKDAY(D13,2),Holydays!$Y$2:$AA$8,3,FALSE))</f>
        <v>Quarta</v>
      </c>
      <c r="G13" s="392" t="s">
        <v>4439</v>
      </c>
      <c r="H13" s="96"/>
      <c r="I13" s="401">
        <v>3</v>
      </c>
      <c r="J13" s="376">
        <f>J$14-1</f>
        <v>42409</v>
      </c>
      <c r="K13" s="376">
        <f>K$14-1</f>
        <v>42794</v>
      </c>
      <c r="L13" s="376">
        <f>L$14-1</f>
        <v>43144</v>
      </c>
      <c r="M13" s="376">
        <f>M$14-1</f>
        <v>43529</v>
      </c>
      <c r="N13" s="388" t="str">
        <f ca="1">TEXT(I13,"00") &amp; "-" &amp; VLOOKUP(O13,'GPlan-Translations'!$B$197:$C$218,2,FALSE)</f>
        <v>03-Terça-feira de Carnaval</v>
      </c>
      <c r="O13" s="97" t="s">
        <v>4374</v>
      </c>
      <c r="P13" s="383" t="s">
        <v>4374</v>
      </c>
      <c r="Q13" s="300" t="s">
        <v>4375</v>
      </c>
    </row>
    <row r="14" spans="2:27">
      <c r="B14" s="178">
        <v>11</v>
      </c>
      <c r="C14" s="178">
        <v>8</v>
      </c>
      <c r="D14" s="201">
        <f t="shared" si="1"/>
        <v>42958</v>
      </c>
      <c r="E14" s="181" t="s">
        <v>5422</v>
      </c>
      <c r="F14" s="180" t="str">
        <f ca="1">IF(D14="","",VLOOKUP(WEEKDAY(D14,2),Holydays!$Y$2:$AA$8,3,FALSE))</f>
        <v>Sexta</v>
      </c>
      <c r="G14" s="392" t="s">
        <v>4439</v>
      </c>
      <c r="H14" s="97"/>
      <c r="I14" s="401">
        <v>4</v>
      </c>
      <c r="J14" s="376">
        <f>J$19-46</f>
        <v>42410</v>
      </c>
      <c r="K14" s="376">
        <f>K$19-46</f>
        <v>42795</v>
      </c>
      <c r="L14" s="376">
        <f>L$19-46</f>
        <v>43145</v>
      </c>
      <c r="M14" s="376">
        <f>M$19-46</f>
        <v>43530</v>
      </c>
      <c r="N14" s="388" t="str">
        <f ca="1">TEXT(I14,"00") &amp; "-" &amp; VLOOKUP(O14,'GPlan-Translations'!$B$197:$C$218,2,FALSE)</f>
        <v>04-Quarta-feira de Cinzas</v>
      </c>
      <c r="O14" s="97" t="s">
        <v>4402</v>
      </c>
      <c r="P14" s="379" t="s">
        <v>4402</v>
      </c>
      <c r="Q14" s="218" t="s">
        <v>4372</v>
      </c>
      <c r="R14" s="382" t="s">
        <v>4403</v>
      </c>
    </row>
    <row r="15" spans="2:27">
      <c r="B15" s="178">
        <v>7</v>
      </c>
      <c r="C15" s="178">
        <v>9</v>
      </c>
      <c r="D15" s="201">
        <f>IF(OR(ISBLANK(B15),ISBLANK(C15)),"",DATE($G$1,C15,B15))</f>
        <v>42985</v>
      </c>
      <c r="E15" s="181" t="s">
        <v>541</v>
      </c>
      <c r="F15" s="180" t="str">
        <f ca="1">IF(D15="","",VLOOKUP(WEEKDAY(D15,2),Holydays!$Y$2:$AA$8,3,FALSE))</f>
        <v>Quinta</v>
      </c>
      <c r="G15" s="181" t="s">
        <v>4438</v>
      </c>
      <c r="H15" s="96"/>
      <c r="I15" s="401">
        <v>5</v>
      </c>
      <c r="J15" s="376">
        <f>J$19-7</f>
        <v>42449</v>
      </c>
      <c r="K15" s="376">
        <f>K$19-7</f>
        <v>42834</v>
      </c>
      <c r="L15" s="376">
        <f>L$19-7</f>
        <v>43184</v>
      </c>
      <c r="M15" s="376">
        <f>M$19-7</f>
        <v>43569</v>
      </c>
      <c r="N15" s="388" t="str">
        <f ca="1">TEXT(I15,"00") &amp; "-" &amp; VLOOKUP(O15,'GPlan-Translations'!$B$197:$C$218,2,FALSE)</f>
        <v>05-Domingo de Ramos</v>
      </c>
      <c r="O15" s="382" t="s">
        <v>4417</v>
      </c>
      <c r="P15" s="383" t="s">
        <v>4417</v>
      </c>
      <c r="Q15" s="218" t="s">
        <v>4416</v>
      </c>
    </row>
    <row r="16" spans="2:27">
      <c r="B16" s="178">
        <v>1</v>
      </c>
      <c r="C16" s="178">
        <v>10</v>
      </c>
      <c r="D16" s="201">
        <f t="shared" ref="D16:D17" si="2">IF(OR(ISBLANK(B16),ISBLANK(C16)),"",DATE($G$1,C16,B16))</f>
        <v>43009</v>
      </c>
      <c r="E16" s="181" t="s">
        <v>5423</v>
      </c>
      <c r="F16" s="180" t="str">
        <f ca="1">IF(D16="","",VLOOKUP(WEEKDAY(D16,2),Holydays!$Y$2:$AA$8,3,FALSE))</f>
        <v>Domingo</v>
      </c>
      <c r="G16" s="181" t="s">
        <v>4439</v>
      </c>
      <c r="H16" s="96"/>
      <c r="I16" s="401">
        <v>6</v>
      </c>
      <c r="J16" s="376">
        <f>J$19-3</f>
        <v>42453</v>
      </c>
      <c r="K16" s="376">
        <f>K$19-3</f>
        <v>42838</v>
      </c>
      <c r="L16" s="376">
        <f>L$19-3</f>
        <v>43188</v>
      </c>
      <c r="M16" s="376">
        <f>M$19-3</f>
        <v>43573</v>
      </c>
      <c r="N16" s="388" t="str">
        <f ca="1">TEXT(I16,"00") &amp; "-" &amp; VLOOKUP(O16,'GPlan-Translations'!$B$197:$C$218,2,FALSE)</f>
        <v>06-Quinta-feira Santa</v>
      </c>
      <c r="O16" s="97" t="s">
        <v>4395</v>
      </c>
      <c r="P16" s="381" t="s">
        <v>4395</v>
      </c>
      <c r="Q16" s="382" t="s">
        <v>4396</v>
      </c>
      <c r="R16" s="218" t="s">
        <v>4386</v>
      </c>
      <c r="S16" s="380" t="s">
        <v>4362</v>
      </c>
      <c r="T16" s="300" t="s">
        <v>4392</v>
      </c>
    </row>
    <row r="17" spans="1:22">
      <c r="B17" s="178">
        <v>12</v>
      </c>
      <c r="C17" s="178">
        <v>10</v>
      </c>
      <c r="D17" s="201">
        <f t="shared" si="2"/>
        <v>43020</v>
      </c>
      <c r="E17" s="181" t="s">
        <v>5430</v>
      </c>
      <c r="F17" s="180" t="str">
        <f ca="1">IF(D17="","",VLOOKUP(WEEKDAY(D17,2),Holydays!$Y$2:$AA$8,3,FALSE))</f>
        <v>Quinta</v>
      </c>
      <c r="G17" s="181" t="s">
        <v>4438</v>
      </c>
      <c r="H17" s="96"/>
      <c r="I17" s="401">
        <v>7</v>
      </c>
      <c r="J17" s="376">
        <f>J$19-2</f>
        <v>42454</v>
      </c>
      <c r="K17" s="376">
        <f>K$19-2</f>
        <v>42839</v>
      </c>
      <c r="L17" s="376">
        <f>L$19-2</f>
        <v>43189</v>
      </c>
      <c r="M17" s="376">
        <f>M$19-2</f>
        <v>43574</v>
      </c>
      <c r="N17" s="388" t="str">
        <f ca="1">TEXT(I17,"00") &amp; "-" &amp; VLOOKUP(O17,'GPlan-Translations'!$B$197:$C$218,2,FALSE)</f>
        <v>07-Paixão de Cristo</v>
      </c>
      <c r="O17" s="97" t="s">
        <v>4397</v>
      </c>
      <c r="P17" s="381" t="s">
        <v>4397</v>
      </c>
      <c r="Q17" s="382" t="s">
        <v>4398</v>
      </c>
      <c r="R17" s="218" t="s">
        <v>4384</v>
      </c>
      <c r="S17" s="380" t="s">
        <v>4361</v>
      </c>
      <c r="T17" s="218" t="s">
        <v>4391</v>
      </c>
      <c r="U17" s="378" t="s">
        <v>4385</v>
      </c>
      <c r="V17" s="380" t="s">
        <v>4358</v>
      </c>
    </row>
    <row r="18" spans="1:22">
      <c r="B18" s="178">
        <v>15</v>
      </c>
      <c r="C18" s="178">
        <v>10</v>
      </c>
      <c r="D18" s="201">
        <f t="shared" ref="D18:D24" si="3">IF(OR(ISBLANK(B18),ISBLANK(C18)),"",DATE($G$1,C18,B18))</f>
        <v>43023</v>
      </c>
      <c r="E18" s="181" t="s">
        <v>5424</v>
      </c>
      <c r="F18" s="180" t="str">
        <f ca="1">IF(D18="","",VLOOKUP(WEEKDAY(D18,2),Holydays!$Y$2:$AA$8,3,FALSE))</f>
        <v>Domingo</v>
      </c>
      <c r="G18" s="181" t="s">
        <v>4439</v>
      </c>
      <c r="H18" s="96"/>
      <c r="I18" s="401">
        <v>8</v>
      </c>
      <c r="J18" s="376">
        <f>J$19-1</f>
        <v>42455</v>
      </c>
      <c r="K18" s="376">
        <f>K$19-1</f>
        <v>42840</v>
      </c>
      <c r="L18" s="376">
        <f>L$19-1</f>
        <v>43190</v>
      </c>
      <c r="M18" s="376">
        <f>M$19-1</f>
        <v>43575</v>
      </c>
      <c r="N18" s="388" t="str">
        <f ca="1">TEXT(I18,"00") &amp; "-" &amp; VLOOKUP(O18,'GPlan-Translations'!$B$197:$C$218,2,FALSE)</f>
        <v>08-Sábado de Aleluia</v>
      </c>
      <c r="O18" s="97" t="s">
        <v>4359</v>
      </c>
      <c r="P18" s="381" t="s">
        <v>4359</v>
      </c>
      <c r="Q18" s="218" t="s">
        <v>4387</v>
      </c>
    </row>
    <row r="19" spans="1:22">
      <c r="B19" s="178">
        <v>28</v>
      </c>
      <c r="C19" s="178">
        <v>10</v>
      </c>
      <c r="D19" s="201">
        <f t="shared" si="3"/>
        <v>43036</v>
      </c>
      <c r="E19" s="181" t="s">
        <v>5425</v>
      </c>
      <c r="F19" s="180" t="str">
        <f ca="1">IF(D19="","",VLOOKUP(WEEKDAY(D19,2),Holydays!$Y$2:$AA$8,3,FALSE))</f>
        <v>Sábado</v>
      </c>
      <c r="G19" s="181" t="s">
        <v>4439</v>
      </c>
      <c r="H19" s="96"/>
      <c r="I19" s="401">
        <v>9</v>
      </c>
      <c r="J19" s="376">
        <f>Holidays.DateEasterSunday(J$10)</f>
        <v>42456</v>
      </c>
      <c r="K19" s="376">
        <f>Holidays.DateEasterSunday(K$10)</f>
        <v>42841</v>
      </c>
      <c r="L19" s="376">
        <f>Holidays.DateEasterSunday(L$10)</f>
        <v>43191</v>
      </c>
      <c r="M19" s="376">
        <f>Holidays.DateEasterSunday(M$10)</f>
        <v>43576</v>
      </c>
      <c r="N19" s="388" t="str">
        <f ca="1">TEXT(I19,"00") &amp; "-" &amp; VLOOKUP(O19,'GPlan-Translations'!$B$197:$C$218,2,FALSE)</f>
        <v>09-Domingo de Páscoa</v>
      </c>
      <c r="O19" s="97" t="s">
        <v>4415</v>
      </c>
      <c r="P19" s="379" t="s">
        <v>4404</v>
      </c>
      <c r="Q19" s="218" t="s">
        <v>4388</v>
      </c>
      <c r="R19" s="386" t="s">
        <v>4405</v>
      </c>
    </row>
    <row r="20" spans="1:22">
      <c r="B20" s="178">
        <v>30</v>
      </c>
      <c r="C20" s="178">
        <v>10</v>
      </c>
      <c r="D20" s="201">
        <f t="shared" si="3"/>
        <v>43038</v>
      </c>
      <c r="E20" s="181" t="s">
        <v>5426</v>
      </c>
      <c r="F20" s="180" t="str">
        <f ca="1">IF(D20="","",VLOOKUP(WEEKDAY(D20,2),Holydays!$Y$2:$AA$8,3,FALSE))</f>
        <v>Segunda</v>
      </c>
      <c r="G20" s="181" t="s">
        <v>4439</v>
      </c>
      <c r="H20" s="96"/>
      <c r="I20" s="401">
        <v>10</v>
      </c>
      <c r="J20" s="376">
        <f>J$19+1</f>
        <v>42457</v>
      </c>
      <c r="K20" s="376">
        <f>K$19+1</f>
        <v>42842</v>
      </c>
      <c r="L20" s="376">
        <f>L$19+1</f>
        <v>43192</v>
      </c>
      <c r="M20" s="376">
        <f>M$19+1</f>
        <v>43577</v>
      </c>
      <c r="N20" s="388" t="str">
        <f ca="1">TEXT(I20,"00") &amp; "-" &amp; VLOOKUP(O20,'GPlan-Translations'!$B$197:$C$218,2,FALSE)</f>
        <v>10-Segunda-feira de Páscoa</v>
      </c>
      <c r="O20" s="97" t="s">
        <v>4399</v>
      </c>
      <c r="P20" s="380" t="s">
        <v>4399</v>
      </c>
      <c r="Q20" s="384" t="s">
        <v>4400</v>
      </c>
      <c r="R20" s="218" t="s">
        <v>4389</v>
      </c>
    </row>
    <row r="21" spans="1:22">
      <c r="B21" s="178">
        <v>1</v>
      </c>
      <c r="C21" s="178">
        <v>11</v>
      </c>
      <c r="D21" s="201">
        <f t="shared" si="3"/>
        <v>43040</v>
      </c>
      <c r="E21" s="181" t="s">
        <v>5427</v>
      </c>
      <c r="F21" s="180" t="str">
        <f ca="1">IF(D21="","",VLOOKUP(WEEKDAY(D21,2),Holydays!$Y$2:$AA$8,3,FALSE))</f>
        <v>Quarta</v>
      </c>
      <c r="G21" s="181" t="s">
        <v>4439</v>
      </c>
      <c r="H21" s="96"/>
      <c r="I21" s="401">
        <v>11</v>
      </c>
      <c r="J21" s="376">
        <f>J$19+39</f>
        <v>42495</v>
      </c>
      <c r="K21" s="376">
        <f>K$19+39</f>
        <v>42880</v>
      </c>
      <c r="L21" s="376">
        <f>L$19+39</f>
        <v>43230</v>
      </c>
      <c r="M21" s="376">
        <f>M$19+39</f>
        <v>43615</v>
      </c>
      <c r="N21" s="388" t="str">
        <f ca="1">TEXT(I21,"00") &amp; "-" &amp; VLOOKUP(O21,'GPlan-Translations'!$B$197:$C$218,2,FALSE)</f>
        <v>11-Ascensão de Jesus</v>
      </c>
      <c r="O21" s="97" t="s">
        <v>4406</v>
      </c>
      <c r="P21" s="379" t="s">
        <v>4406</v>
      </c>
      <c r="Q21" s="300" t="s">
        <v>4373</v>
      </c>
      <c r="R21" s="384" t="s">
        <v>4407</v>
      </c>
    </row>
    <row r="22" spans="1:22">
      <c r="B22" s="178">
        <v>2</v>
      </c>
      <c r="C22" s="178">
        <v>11</v>
      </c>
      <c r="D22" s="201">
        <f t="shared" si="3"/>
        <v>43041</v>
      </c>
      <c r="E22" s="181" t="s">
        <v>758</v>
      </c>
      <c r="F22" s="180" t="str">
        <f ca="1">IF(D22="","",VLOOKUP(WEEKDAY(D22,2),Holydays!$Y$2:$AA$8,3,FALSE))</f>
        <v>Quinta</v>
      </c>
      <c r="G22" s="181" t="s">
        <v>4438</v>
      </c>
      <c r="H22" s="96"/>
      <c r="I22" s="401">
        <v>12</v>
      </c>
      <c r="J22" s="376">
        <f>J$19+50</f>
        <v>42506</v>
      </c>
      <c r="K22" s="376">
        <f>K$19+50</f>
        <v>42891</v>
      </c>
      <c r="L22" s="376">
        <f>L$19+50</f>
        <v>43241</v>
      </c>
      <c r="M22" s="376">
        <f>M$19+50</f>
        <v>43626</v>
      </c>
      <c r="N22" s="388" t="str">
        <f ca="1">TEXT(I22,"00") &amp; "-" &amp; VLOOKUP(O22,'GPlan-Translations'!$B$197:$C$218,2,FALSE)</f>
        <v>12-Pentecostes</v>
      </c>
      <c r="O22" s="97" t="s">
        <v>4410</v>
      </c>
      <c r="P22" s="380" t="s">
        <v>4410</v>
      </c>
      <c r="Q22" s="300" t="s">
        <v>4370</v>
      </c>
      <c r="R22" s="384" t="s">
        <v>4411</v>
      </c>
    </row>
    <row r="23" spans="1:22">
      <c r="B23" s="178">
        <v>15</v>
      </c>
      <c r="C23" s="178">
        <v>11</v>
      </c>
      <c r="D23" s="201">
        <f t="shared" si="3"/>
        <v>43054</v>
      </c>
      <c r="E23" s="181" t="s">
        <v>542</v>
      </c>
      <c r="F23" s="180" t="str">
        <f ca="1">IF(D23="","",VLOOKUP(WEEKDAY(D23,2),Holydays!$Y$2:$AA$8,3,FALSE))</f>
        <v>Quarta</v>
      </c>
      <c r="G23" s="181" t="s">
        <v>4438</v>
      </c>
      <c r="H23" s="96"/>
      <c r="I23" s="401">
        <v>13</v>
      </c>
      <c r="J23" s="376">
        <f>GetDate(J$10,1,1,1,1,1,J22)</f>
        <v>42512</v>
      </c>
      <c r="K23" s="376">
        <f>GetDate(K$10,1,1,1,1,1,K22)</f>
        <v>42897</v>
      </c>
      <c r="L23" s="376">
        <f>GetDate(L$10,1,1,1,1,1,L22)</f>
        <v>43247</v>
      </c>
      <c r="M23" s="376">
        <f>GetDate(M$10,1,1,1,1,1,M22)</f>
        <v>43632</v>
      </c>
      <c r="N23" s="388" t="str">
        <f ca="1">TEXT(I23,"00") &amp; "-" &amp; VLOOKUP(O23,'GPlan-Translations'!$B$197:$C$218,2,FALSE)</f>
        <v>13-Trindade</v>
      </c>
      <c r="O23" s="97" t="s">
        <v>4381</v>
      </c>
      <c r="P23" s="383" t="s">
        <v>4383</v>
      </c>
      <c r="Q23" s="218" t="s">
        <v>4382</v>
      </c>
    </row>
    <row r="24" spans="1:22">
      <c r="B24" s="178">
        <v>19</v>
      </c>
      <c r="C24" s="178">
        <v>11</v>
      </c>
      <c r="D24" s="201">
        <f t="shared" si="3"/>
        <v>43058</v>
      </c>
      <c r="E24" s="181" t="s">
        <v>5428</v>
      </c>
      <c r="F24" s="180" t="str">
        <f ca="1">IF(D24="","",VLOOKUP(WEEKDAY(D24,2),Holydays!$Y$2:$AA$8,3,FALSE))</f>
        <v>Domingo</v>
      </c>
      <c r="G24" s="181" t="s">
        <v>4439</v>
      </c>
      <c r="H24" s="96"/>
      <c r="I24" s="401">
        <v>14</v>
      </c>
      <c r="J24" s="376">
        <f>GetDate(J$10,1,1,1,1,5,J$23)</f>
        <v>42516</v>
      </c>
      <c r="K24" s="376">
        <f>GetDate(K$10,1,1,1,1,5,K$23)</f>
        <v>42901</v>
      </c>
      <c r="L24" s="376">
        <f>GetDate(L$10,1,1,1,1,5,L$23)</f>
        <v>43251</v>
      </c>
      <c r="M24" s="376">
        <f>GetDate(M$10,1,1,1,1,5,M$23)</f>
        <v>43636</v>
      </c>
      <c r="N24" s="388" t="str">
        <f ca="1">TEXT(I24,"00") &amp; "-" &amp; VLOOKUP(O24,'GPlan-Translations'!$B$197:$C$218,2,FALSE)</f>
        <v>14-Corpus Christi</v>
      </c>
      <c r="O24" s="97" t="s">
        <v>759</v>
      </c>
      <c r="P24" s="379" t="s">
        <v>759</v>
      </c>
      <c r="Q24" s="300" t="s">
        <v>4380</v>
      </c>
      <c r="R24" s="384" t="s">
        <v>4412</v>
      </c>
    </row>
    <row r="25" spans="1:22">
      <c r="B25" s="178">
        <v>20</v>
      </c>
      <c r="C25" s="178">
        <v>11</v>
      </c>
      <c r="D25" s="201">
        <f t="shared" si="0"/>
        <v>43059</v>
      </c>
      <c r="E25" s="181" t="s">
        <v>5429</v>
      </c>
      <c r="F25" s="180" t="str">
        <f ca="1">IF(D25="","",VLOOKUP(WEEKDAY(D25,2),Holydays!$Y$2:$AA$8,3,FALSE))</f>
        <v>Segunda</v>
      </c>
      <c r="G25" s="392" t="s">
        <v>4439</v>
      </c>
      <c r="H25" s="96"/>
      <c r="I25" s="401">
        <v>15</v>
      </c>
      <c r="J25" s="376">
        <f>DATE(J$10,8,15)</f>
        <v>42597</v>
      </c>
      <c r="K25" s="376">
        <f>DATE(K$10,8,15)</f>
        <v>42962</v>
      </c>
      <c r="L25" s="376">
        <f>DATE(L$10,8,15)</f>
        <v>43327</v>
      </c>
      <c r="M25" s="376">
        <f>DATE(M$10,8,15)</f>
        <v>43692</v>
      </c>
      <c r="N25" s="388" t="str">
        <f ca="1">TEXT(I25,"00") &amp; "-" &amp; VLOOKUP(O25,'GPlan-Translations'!$B$197:$C$218,2,FALSE)</f>
        <v>15-Ascensão de Maria</v>
      </c>
      <c r="O25" s="97" t="s">
        <v>4413</v>
      </c>
      <c r="P25" s="380" t="s">
        <v>4413</v>
      </c>
      <c r="Q25" s="300" t="s">
        <v>4376</v>
      </c>
      <c r="R25" s="384" t="s">
        <v>4414</v>
      </c>
    </row>
    <row r="26" spans="1:22">
      <c r="B26" s="178">
        <v>25</v>
      </c>
      <c r="C26" s="178">
        <v>12</v>
      </c>
      <c r="D26" s="201">
        <f t="shared" si="0"/>
        <v>43094</v>
      </c>
      <c r="E26" s="181" t="s">
        <v>543</v>
      </c>
      <c r="F26" s="180" t="str">
        <f ca="1">IF(D26="","",VLOOKUP(WEEKDAY(D26,2),Holydays!$Y$2:$AA$8,3,FALSE))</f>
        <v>Segunda</v>
      </c>
      <c r="G26" s="392" t="s">
        <v>4438</v>
      </c>
      <c r="H26" s="96"/>
      <c r="I26" s="401">
        <v>16</v>
      </c>
      <c r="J26" s="376">
        <f>DATE(J$10,10,31)</f>
        <v>42674</v>
      </c>
      <c r="K26" s="376">
        <f>DATE(K$10,10,31)</f>
        <v>43039</v>
      </c>
      <c r="L26" s="376">
        <f>DATE(L$10,10,31)</f>
        <v>43404</v>
      </c>
      <c r="M26" s="376">
        <f>DATE(M$10,10,31)</f>
        <v>43769</v>
      </c>
      <c r="N26" s="388" t="str">
        <f ca="1">TEXT(I26,"00") &amp; "-" &amp; VLOOKUP(O26,'GPlan-Translations'!$B$197:$C$218,2,FALSE)</f>
        <v>16-Halloween</v>
      </c>
      <c r="O26" s="97" t="s">
        <v>4368</v>
      </c>
      <c r="P26" s="378" t="s">
        <v>4368</v>
      </c>
      <c r="Q26" s="218" t="s">
        <v>4394</v>
      </c>
    </row>
    <row r="27" spans="1:22" ht="15">
      <c r="A27" s="96"/>
      <c r="B27" s="178"/>
      <c r="C27" s="178"/>
      <c r="D27" s="201" t="str">
        <f t="shared" si="0"/>
        <v/>
      </c>
      <c r="E27" s="181"/>
      <c r="F27" s="180" t="str">
        <f>IF(D27="","",VLOOKUP(WEEKDAY(D27,2),Holydays!$Y$2:$AA$8,3,FALSE))</f>
        <v/>
      </c>
      <c r="G27" s="392"/>
      <c r="H27" s="96"/>
      <c r="I27" s="401">
        <v>17</v>
      </c>
      <c r="J27" s="376">
        <f>DATE(J$10,11,1)</f>
        <v>42675</v>
      </c>
      <c r="K27" s="376">
        <f>DATE(K$10,11,1)</f>
        <v>43040</v>
      </c>
      <c r="L27" s="376">
        <f>DATE(L$10,11,1)</f>
        <v>43405</v>
      </c>
      <c r="M27" s="376">
        <f>DATE(M$10,11,1)</f>
        <v>43770</v>
      </c>
      <c r="N27" s="388" t="str">
        <f ca="1">TEXT(I27,"00") &amp; "-" &amp; VLOOKUP(O27,'GPlan-Translations'!$B$197:$C$218,2,FALSE)</f>
        <v>17-Todos os Santos</v>
      </c>
      <c r="O27" s="97" t="s">
        <v>4354</v>
      </c>
      <c r="P27" s="380" t="s">
        <v>4354</v>
      </c>
      <c r="Q27" s="218" t="s">
        <v>4369</v>
      </c>
    </row>
    <row r="28" spans="1:22" ht="15">
      <c r="A28" s="96"/>
      <c r="B28" s="373" t="str">
        <f ca="1">'GPlan-Translations'!C173</f>
        <v>MÓVEIS COM A PÁSCOA</v>
      </c>
      <c r="C28" s="374"/>
      <c r="D28" s="374"/>
      <c r="E28" s="374"/>
      <c r="F28" s="374"/>
      <c r="G28" s="375"/>
      <c r="H28" s="96"/>
      <c r="I28" s="401">
        <v>18</v>
      </c>
      <c r="J28" s="376">
        <f>DATE(J$10,11,2)</f>
        <v>42676</v>
      </c>
      <c r="K28" s="376">
        <f>DATE(K$10,11,2)</f>
        <v>43041</v>
      </c>
      <c r="L28" s="376">
        <f>DATE(L$10,11,2)</f>
        <v>43406</v>
      </c>
      <c r="M28" s="376">
        <f>DATE(M$10,11,2)</f>
        <v>43771</v>
      </c>
      <c r="N28" s="388" t="str">
        <f ca="1">TEXT(I28,"00") &amp; "-" &amp; VLOOKUP(O28,'GPlan-Translations'!$B$197:$C$218,2,FALSE)</f>
        <v>18-Finados</v>
      </c>
      <c r="O28" s="97" t="s">
        <v>4355</v>
      </c>
      <c r="P28" s="380" t="s">
        <v>4355</v>
      </c>
      <c r="Q28" s="218" t="s">
        <v>4371</v>
      </c>
    </row>
    <row r="29" spans="1:22" ht="18" customHeight="1">
      <c r="A29" s="96"/>
      <c r="B29" s="303">
        <f t="shared" ref="B29:B41" si="4">IF($D29="","",DAY($D29))</f>
        <v>28</v>
      </c>
      <c r="C29" s="303">
        <f t="shared" ref="C29:C41" si="5">IF($D29="","",MONTH($D29))</f>
        <v>2</v>
      </c>
      <c r="D29" s="201">
        <f t="shared" ref="D29:D41" si="6">IFERROR(INDEX($J$10:$M$32,MATCH(VALUE(LEFT(E29,2)),$I$10:$I$32,0),MATCH($G$1,$J$10:$M$10,0)),"")</f>
        <v>42794</v>
      </c>
      <c r="E29" s="179" t="s">
        <v>4456</v>
      </c>
      <c r="F29" s="179" t="str">
        <f ca="1">IF(D29="","",VLOOKUP(WEEKDAY(D29,2),Holydays!$Y$2:$AA$8,3,FALSE))</f>
        <v>Terça</v>
      </c>
      <c r="G29" s="392" t="s">
        <v>4438</v>
      </c>
      <c r="H29" s="97"/>
      <c r="I29" s="401">
        <v>19</v>
      </c>
      <c r="J29" s="376">
        <f>GetDate(J$10,12,4,0,25,1)</f>
        <v>42708</v>
      </c>
      <c r="K29" s="376">
        <f>GetDate(K$10,12,4,0,25,1)</f>
        <v>43072</v>
      </c>
      <c r="L29" s="376">
        <f>GetDate(L$10,12,4,0,25,1)</f>
        <v>43436</v>
      </c>
      <c r="M29" s="376">
        <f>GetDate(M$10,12,4,0,25,1)</f>
        <v>43800</v>
      </c>
      <c r="N29" s="388" t="str">
        <f ca="1">TEXT(I29,"00") &amp; "-" &amp; VLOOKUP(O29,'GPlan-Translations'!$B$197:$C$218,2,FALSE)</f>
        <v>19-Advento</v>
      </c>
      <c r="O29" s="97" t="s">
        <v>4353</v>
      </c>
      <c r="P29" s="380" t="s">
        <v>4353</v>
      </c>
      <c r="Q29" s="382" t="s">
        <v>4366</v>
      </c>
    </row>
    <row r="30" spans="1:22" ht="18" customHeight="1">
      <c r="A30" s="96"/>
      <c r="B30" s="303">
        <f t="shared" si="4"/>
        <v>1</v>
      </c>
      <c r="C30" s="303">
        <f t="shared" si="5"/>
        <v>3</v>
      </c>
      <c r="D30" s="201">
        <f t="shared" si="6"/>
        <v>42795</v>
      </c>
      <c r="E30" s="179" t="s">
        <v>4457</v>
      </c>
      <c r="F30" s="179" t="str">
        <f ca="1">IF(D30="","",VLOOKUP(WEEKDAY(D30,2),Holydays!$Y$2:$AA$8,3,FALSE))</f>
        <v>Quarta</v>
      </c>
      <c r="G30" s="392" t="s">
        <v>4439</v>
      </c>
      <c r="H30" s="96"/>
      <c r="I30" s="401">
        <v>20</v>
      </c>
      <c r="J30" s="376">
        <f>DATE(J$10,12,25)</f>
        <v>42729</v>
      </c>
      <c r="K30" s="376">
        <f>DATE(K$10,12,25)</f>
        <v>43094</v>
      </c>
      <c r="L30" s="376">
        <f>DATE(L$10,12,25)</f>
        <v>43459</v>
      </c>
      <c r="M30" s="376">
        <f>DATE(M$10,12,25)</f>
        <v>43824</v>
      </c>
      <c r="N30" s="388" t="str">
        <f ca="1">TEXT(I30,"00") &amp; "-" &amp; VLOOKUP(O30,'GPlan-Translations'!$B$197:$C$218,2,FALSE)</f>
        <v>20-Natal</v>
      </c>
      <c r="O30" s="97" t="s">
        <v>4408</v>
      </c>
      <c r="P30" s="380" t="s">
        <v>4408</v>
      </c>
      <c r="Q30" s="218" t="s">
        <v>4379</v>
      </c>
      <c r="R30" s="300" t="s">
        <v>4409</v>
      </c>
    </row>
    <row r="31" spans="1:22" ht="15">
      <c r="A31" s="96"/>
      <c r="B31" s="303">
        <f t="shared" si="4"/>
        <v>9</v>
      </c>
      <c r="C31" s="303">
        <f t="shared" si="5"/>
        <v>4</v>
      </c>
      <c r="D31" s="201">
        <f t="shared" si="6"/>
        <v>42834</v>
      </c>
      <c r="E31" s="179" t="s">
        <v>4458</v>
      </c>
      <c r="F31" s="179" t="str">
        <f ca="1">IF(D31="","",VLOOKUP(WEEKDAY(D31,2),Holydays!$Y$2:$AA$8,3,FALSE))</f>
        <v>Domingo</v>
      </c>
      <c r="G31" s="392" t="s">
        <v>4439</v>
      </c>
      <c r="H31" s="202"/>
      <c r="I31" s="401">
        <v>21</v>
      </c>
      <c r="J31" s="376">
        <f>DATE(J$10,12,28)</f>
        <v>42732</v>
      </c>
      <c r="K31" s="376">
        <f>DATE(K$10,12,28)</f>
        <v>43097</v>
      </c>
      <c r="L31" s="376">
        <f>DATE(L$10,12,28)</f>
        <v>43462</v>
      </c>
      <c r="M31" s="376">
        <f>DATE(M$10,12,28)</f>
        <v>43827</v>
      </c>
      <c r="N31" s="388" t="str">
        <f ca="1">TEXT(I31,"00") &amp; "-" &amp; VLOOKUP(O31,'GPlan-Translations'!$B$197:$C$218,2,FALSE)</f>
        <v>21-Santos Inocentes</v>
      </c>
      <c r="O31" s="97" t="s">
        <v>4357</v>
      </c>
      <c r="P31" s="380" t="s">
        <v>4357</v>
      </c>
      <c r="Q31" s="300" t="s">
        <v>4378</v>
      </c>
      <c r="R31" s="380" t="s">
        <v>4363</v>
      </c>
    </row>
    <row r="32" spans="1:22" ht="15">
      <c r="A32" s="96"/>
      <c r="B32" s="303">
        <f t="shared" si="4"/>
        <v>14</v>
      </c>
      <c r="C32" s="303">
        <f t="shared" si="5"/>
        <v>4</v>
      </c>
      <c r="D32" s="201">
        <f t="shared" si="6"/>
        <v>42839</v>
      </c>
      <c r="E32" s="179" t="s">
        <v>4459</v>
      </c>
      <c r="F32" s="179" t="str">
        <f ca="1">IF(D32="","",VLOOKUP(WEEKDAY(D32,2),Holydays!$Y$2:$AA$8,3,FALSE))</f>
        <v>Sexta</v>
      </c>
      <c r="G32" s="392" t="s">
        <v>4438</v>
      </c>
      <c r="H32" s="202"/>
      <c r="I32" s="401">
        <v>22</v>
      </c>
      <c r="J32" s="376">
        <f>DATE(J$10,12,31)</f>
        <v>42735</v>
      </c>
      <c r="K32" s="376">
        <f>DATE(K$10,12,31)</f>
        <v>43100</v>
      </c>
      <c r="L32" s="376">
        <f>DATE(L$10,12,31)</f>
        <v>43465</v>
      </c>
      <c r="M32" s="376">
        <f>DATE(M$10,12,31)</f>
        <v>43830</v>
      </c>
      <c r="N32" s="388" t="str">
        <f ca="1">TEXT(I32,"00") &amp; "-" &amp; VLOOKUP(O32,'GPlan-Translations'!$B$197:$C$218,2,FALSE)</f>
        <v>22-Réveillon</v>
      </c>
      <c r="O32" s="97" t="s">
        <v>4364</v>
      </c>
      <c r="P32" s="380" t="s">
        <v>4364</v>
      </c>
      <c r="Q32" s="300" t="s">
        <v>4393</v>
      </c>
    </row>
    <row r="33" spans="1:9" ht="15">
      <c r="A33" s="96"/>
      <c r="B33" s="303">
        <f t="shared" si="4"/>
        <v>15</v>
      </c>
      <c r="C33" s="303">
        <f t="shared" si="5"/>
        <v>4</v>
      </c>
      <c r="D33" s="201">
        <f t="shared" si="6"/>
        <v>42840</v>
      </c>
      <c r="E33" s="179" t="s">
        <v>4460</v>
      </c>
      <c r="F33" s="179" t="str">
        <f ca="1">IF(D33="","",VLOOKUP(WEEKDAY(D33,2),Holydays!$Y$2:$AA$8,3,FALSE))</f>
        <v>Sábado</v>
      </c>
      <c r="G33" s="392" t="s">
        <v>4439</v>
      </c>
      <c r="H33" s="202"/>
      <c r="I33" s="96"/>
    </row>
    <row r="34" spans="1:9" ht="15">
      <c r="A34" s="96"/>
      <c r="B34" s="303">
        <f t="shared" si="4"/>
        <v>16</v>
      </c>
      <c r="C34" s="303">
        <f t="shared" si="5"/>
        <v>4</v>
      </c>
      <c r="D34" s="201">
        <f t="shared" si="6"/>
        <v>42841</v>
      </c>
      <c r="E34" s="179" t="s">
        <v>4461</v>
      </c>
      <c r="F34" s="179" t="str">
        <f ca="1">IF(D34="","",VLOOKUP(WEEKDAY(D34,2),Holydays!$Y$2:$AA$8,3,FALSE))</f>
        <v>Domingo</v>
      </c>
      <c r="G34" s="392" t="s">
        <v>4438</v>
      </c>
      <c r="H34" s="202"/>
      <c r="I34" s="96"/>
    </row>
    <row r="35" spans="1:9" ht="15">
      <c r="A35" s="96"/>
      <c r="B35" s="303">
        <f t="shared" si="4"/>
        <v>15</v>
      </c>
      <c r="C35" s="303">
        <f t="shared" si="5"/>
        <v>6</v>
      </c>
      <c r="D35" s="201">
        <f t="shared" si="6"/>
        <v>42901</v>
      </c>
      <c r="E35" s="179" t="s">
        <v>4462</v>
      </c>
      <c r="F35" s="179" t="str">
        <f ca="1">IF(D35="","",VLOOKUP(WEEKDAY(D35,2),Holydays!$Y$2:$AA$8,3,FALSE))</f>
        <v>Quinta</v>
      </c>
      <c r="G35" s="392" t="s">
        <v>4438</v>
      </c>
      <c r="H35" s="202"/>
      <c r="I35" s="96"/>
    </row>
    <row r="36" spans="1:9" ht="18" customHeight="1">
      <c r="A36" s="96"/>
      <c r="B36" s="303" t="str">
        <f t="shared" si="4"/>
        <v/>
      </c>
      <c r="C36" s="303" t="str">
        <f t="shared" si="5"/>
        <v/>
      </c>
      <c r="D36" s="201" t="str">
        <f t="shared" si="6"/>
        <v/>
      </c>
      <c r="E36" s="179"/>
      <c r="F36" s="179" t="str">
        <f>IF(D36="","",VLOOKUP(WEEKDAY(D36,2),Holydays!$Y$2:$AA$8,3,FALSE))</f>
        <v/>
      </c>
      <c r="G36" s="392"/>
      <c r="H36" s="202"/>
      <c r="I36" s="96"/>
    </row>
    <row r="37" spans="1:9" ht="15">
      <c r="A37" s="96"/>
      <c r="B37" s="303" t="str">
        <f t="shared" si="4"/>
        <v/>
      </c>
      <c r="C37" s="303" t="str">
        <f t="shared" si="5"/>
        <v/>
      </c>
      <c r="D37" s="201" t="str">
        <f t="shared" si="6"/>
        <v/>
      </c>
      <c r="E37" s="179"/>
      <c r="F37" s="179" t="str">
        <f>IF(D37="","",VLOOKUP(WEEKDAY(D37,2),Holydays!$Y$2:$AA$8,3,FALSE))</f>
        <v/>
      </c>
      <c r="G37" s="392"/>
      <c r="H37" s="202"/>
      <c r="I37" s="96"/>
    </row>
    <row r="38" spans="1:9" ht="15">
      <c r="A38" s="96"/>
      <c r="B38" s="303" t="str">
        <f t="shared" si="4"/>
        <v/>
      </c>
      <c r="C38" s="303" t="str">
        <f t="shared" si="5"/>
        <v/>
      </c>
      <c r="D38" s="201" t="str">
        <f t="shared" si="6"/>
        <v/>
      </c>
      <c r="E38" s="179"/>
      <c r="F38" s="179" t="str">
        <f>IF(D38="","",VLOOKUP(WEEKDAY(D38,2),Holydays!$Y$2:$AA$8,3,FALSE))</f>
        <v/>
      </c>
      <c r="G38" s="392"/>
      <c r="H38" s="202"/>
      <c r="I38" s="97"/>
    </row>
    <row r="39" spans="1:9" ht="15">
      <c r="A39" s="96"/>
      <c r="B39" s="303" t="str">
        <f t="shared" si="4"/>
        <v/>
      </c>
      <c r="C39" s="303" t="str">
        <f t="shared" si="5"/>
        <v/>
      </c>
      <c r="D39" s="201" t="str">
        <f t="shared" si="6"/>
        <v/>
      </c>
      <c r="E39" s="179"/>
      <c r="F39" s="179" t="str">
        <f>IF(D39="","",VLOOKUP(WEEKDAY(D39,2),Holydays!$Y$2:$AA$8,3,FALSE))</f>
        <v/>
      </c>
      <c r="G39" s="392"/>
      <c r="H39" s="202"/>
      <c r="I39" s="96"/>
    </row>
    <row r="40" spans="1:9" ht="15">
      <c r="A40" s="96"/>
      <c r="B40" s="303" t="str">
        <f t="shared" si="4"/>
        <v/>
      </c>
      <c r="C40" s="303" t="str">
        <f t="shared" si="5"/>
        <v/>
      </c>
      <c r="D40" s="201" t="str">
        <f t="shared" si="6"/>
        <v/>
      </c>
      <c r="E40" s="179"/>
      <c r="F40" s="179" t="str">
        <f>IF(D40="","",VLOOKUP(WEEKDAY(D40,2),Holydays!$Y$2:$AA$8,3,FALSE))</f>
        <v/>
      </c>
      <c r="G40" s="392"/>
      <c r="H40" s="202"/>
      <c r="I40" s="202"/>
    </row>
    <row r="41" spans="1:9" ht="15">
      <c r="A41" s="96"/>
      <c r="B41" s="303" t="str">
        <f t="shared" si="4"/>
        <v/>
      </c>
      <c r="C41" s="303" t="str">
        <f t="shared" si="5"/>
        <v/>
      </c>
      <c r="D41" s="201" t="str">
        <f t="shared" si="6"/>
        <v/>
      </c>
      <c r="E41" s="179"/>
      <c r="F41" s="179" t="str">
        <f>IF(D41="","",VLOOKUP(WEEKDAY(D41,2),Holydays!$Y$2:$AA$8,3,FALSE))</f>
        <v/>
      </c>
      <c r="G41" s="392"/>
      <c r="H41" s="202"/>
      <c r="I41" s="202"/>
    </row>
    <row r="42" spans="1:9" ht="15">
      <c r="A42" s="96"/>
      <c r="B42" s="373" t="str">
        <f ca="1">'GPlan-Translations'!C174</f>
        <v>MÓVEIS - CERTO DIA DA SEMANA DE CERTO MÊS</v>
      </c>
      <c r="C42" s="374"/>
      <c r="D42" s="374"/>
      <c r="E42" s="374"/>
      <c r="F42" s="374"/>
      <c r="G42" s="375"/>
      <c r="H42" s="202"/>
      <c r="I42" s="202"/>
    </row>
    <row r="43" spans="1:9" ht="18" customHeight="1">
      <c r="A43" s="96"/>
      <c r="B43" s="178">
        <v>2</v>
      </c>
      <c r="C43" s="178">
        <v>5</v>
      </c>
      <c r="D43" s="201">
        <f t="shared" ref="D43:D48" si="7">IFERROR(GetWeekDayOfMonth($G$1,C43,VALUE(LEFT(F43,1)),B43),"")</f>
        <v>42869</v>
      </c>
      <c r="E43" s="181" t="s">
        <v>4440</v>
      </c>
      <c r="F43" s="181" t="s">
        <v>4433</v>
      </c>
      <c r="G43" s="391" t="s">
        <v>4439</v>
      </c>
      <c r="H43" s="202"/>
      <c r="I43" s="202"/>
    </row>
    <row r="44" spans="1:9" ht="15">
      <c r="A44" s="96"/>
      <c r="B44" s="178">
        <v>2</v>
      </c>
      <c r="C44" s="178">
        <v>8</v>
      </c>
      <c r="D44" s="201">
        <f t="shared" si="7"/>
        <v>42960</v>
      </c>
      <c r="E44" s="181" t="s">
        <v>4441</v>
      </c>
      <c r="F44" s="181" t="s">
        <v>4433</v>
      </c>
      <c r="G44" s="391" t="s">
        <v>4439</v>
      </c>
      <c r="H44" s="202"/>
      <c r="I44" s="202"/>
    </row>
    <row r="45" spans="1:9" ht="15">
      <c r="A45" s="96"/>
      <c r="B45" s="303"/>
      <c r="C45" s="303"/>
      <c r="D45" s="201" t="str">
        <f t="shared" si="7"/>
        <v/>
      </c>
      <c r="E45" s="181"/>
      <c r="F45" s="181"/>
      <c r="G45" s="181"/>
      <c r="H45" s="96"/>
      <c r="I45" s="96"/>
    </row>
    <row r="46" spans="1:9" ht="15">
      <c r="A46" s="96"/>
      <c r="B46" s="303"/>
      <c r="C46" s="303"/>
      <c r="D46" s="201" t="str">
        <f t="shared" si="7"/>
        <v/>
      </c>
      <c r="E46" s="181"/>
      <c r="F46" s="181"/>
      <c r="G46" s="181"/>
      <c r="H46" s="96"/>
      <c r="I46" s="96"/>
    </row>
    <row r="47" spans="1:9" ht="15">
      <c r="A47" s="96"/>
      <c r="B47" s="178"/>
      <c r="C47" s="178"/>
      <c r="D47" s="201" t="str">
        <f t="shared" si="7"/>
        <v/>
      </c>
      <c r="E47" s="181"/>
      <c r="F47" s="181"/>
      <c r="G47" s="181"/>
      <c r="H47" s="96"/>
      <c r="I47" s="96"/>
    </row>
    <row r="48" spans="1:9" ht="15">
      <c r="A48" s="96"/>
      <c r="B48" s="178"/>
      <c r="C48" s="178"/>
      <c r="D48" s="201" t="str">
        <f t="shared" si="7"/>
        <v/>
      </c>
      <c r="E48" s="181"/>
      <c r="F48" s="181"/>
      <c r="G48" s="181"/>
      <c r="H48" s="96"/>
      <c r="I48" s="96"/>
    </row>
    <row r="49" spans="2:9">
      <c r="B49" s="373" t="str">
        <f ca="1">'GPlan-Translations'!C175</f>
        <v>ESTAÇÕES DO ANO</v>
      </c>
      <c r="C49" s="374"/>
      <c r="D49" s="374"/>
      <c r="E49" s="374"/>
      <c r="F49" s="374"/>
      <c r="G49" s="375"/>
      <c r="H49" s="96"/>
      <c r="I49" s="96"/>
    </row>
    <row r="50" spans="2:9">
      <c r="B50" s="303">
        <v>20</v>
      </c>
      <c r="C50" s="303">
        <v>3</v>
      </c>
      <c r="D50" s="201">
        <f>IF(OR(ISBLANK(B50),ISBLANK(C50)),"",DATE($G$1,C50,B50))</f>
        <v>42814</v>
      </c>
      <c r="E50" s="179" t="str">
        <f ca="1">IF(Index!T13="north",'GPlan-Translations'!C195,'GPlan-Translations'!C193)</f>
        <v>Outono</v>
      </c>
      <c r="F50" s="179" t="str">
        <f ca="1">IF(D50="","",VLOOKUP(WEEKDAY(D50,2),Holydays!$Y$2:$AA$8,3,FALSE))</f>
        <v>Segunda</v>
      </c>
      <c r="G50" s="390" t="s">
        <v>4439</v>
      </c>
      <c r="H50" s="96"/>
      <c r="I50" s="96"/>
    </row>
    <row r="51" spans="2:9">
      <c r="B51" s="303">
        <v>20</v>
      </c>
      <c r="C51" s="303">
        <v>6</v>
      </c>
      <c r="D51" s="201">
        <f>IF(OR(ISBLANK(B51),ISBLANK(C51)),"",DATE($G$1,C51,B51))</f>
        <v>42906</v>
      </c>
      <c r="E51" s="179" t="str">
        <f ca="1">IF(Index!T13="north",'GPlan-Translations'!C196,'GPlan-Translations'!C194)</f>
        <v>Inverno</v>
      </c>
      <c r="F51" s="179" t="str">
        <f ca="1">IF(D51="","",VLOOKUP(WEEKDAY(D51,2),Holydays!$Y$2:$AA$8,3,FALSE))</f>
        <v>Terça</v>
      </c>
      <c r="G51" s="390" t="s">
        <v>4439</v>
      </c>
      <c r="H51" s="96"/>
      <c r="I51" s="96"/>
    </row>
    <row r="52" spans="2:9">
      <c r="B52" s="303">
        <v>22</v>
      </c>
      <c r="C52" s="303">
        <v>9</v>
      </c>
      <c r="D52" s="201">
        <f>IF(OR(ISBLANK(B52),ISBLANK(C52)),"",DATE($G$1,C52,B52))</f>
        <v>43000</v>
      </c>
      <c r="E52" s="179" t="str">
        <f ca="1">IF(Index!T13="north",'GPlan-Translations'!C193,'GPlan-Translations'!C195)</f>
        <v>Primavera</v>
      </c>
      <c r="F52" s="179" t="str">
        <f ca="1">IF(D52="","",VLOOKUP(WEEKDAY(D52,2),Holydays!$Y$2:$AA$8,3,FALSE))</f>
        <v>Sexta</v>
      </c>
      <c r="G52" s="390" t="s">
        <v>4439</v>
      </c>
      <c r="H52" s="96"/>
      <c r="I52" s="96"/>
    </row>
    <row r="53" spans="2:9">
      <c r="B53" s="303">
        <v>21</v>
      </c>
      <c r="C53" s="303">
        <v>12</v>
      </c>
      <c r="D53" s="201">
        <f>IF(OR(ISBLANK(B53),ISBLANK(C53)),"",DATE($G$1,C53,B53))</f>
        <v>43090</v>
      </c>
      <c r="E53" s="179" t="str">
        <f ca="1">IF(Index!T13="north",'GPlan-Translations'!C194,'GPlan-Translations'!C196)</f>
        <v>Verão</v>
      </c>
      <c r="F53" s="179" t="str">
        <f ca="1">IF(D53="","",VLOOKUP(WEEKDAY(D53,2),Holydays!$Y$2:$AA$8,3,FALSE))</f>
        <v>Quinta</v>
      </c>
      <c r="G53" s="390" t="s">
        <v>4439</v>
      </c>
      <c r="H53" s="96"/>
      <c r="I53" s="96"/>
    </row>
    <row r="54" spans="2:9"/>
  </sheetData>
  <sheetProtection sheet="1" objects="1" scenarios="1"/>
  <phoneticPr fontId="4" type="noConversion"/>
  <dataValidations count="3">
    <dataValidation type="list" allowBlank="1" showInputMessage="1" showErrorMessage="1" sqref="E29:E41">
      <formula1>$N$10:$N$32</formula1>
    </dataValidation>
    <dataValidation type="list" allowBlank="1" showInputMessage="1" showErrorMessage="1" sqref="G4:G27 G43:G48 G29:G41 G50:G53">
      <formula1>$W$2:$W$3</formula1>
    </dataValidation>
    <dataValidation type="list" allowBlank="1" showInputMessage="1" showErrorMessage="1" sqref="F43:F48">
      <formula1>$S$2:$S$8</formula1>
    </dataValidation>
  </dataValidations>
  <hyperlinks>
    <hyperlink ref="Q10" r:id="rId1" tooltip="Liturgical year" display="http://en.wikipedia.org/wiki/Liturgical_year"/>
    <hyperlink ref="P29" r:id="rId2" tooltip="Advent" display="http://en.wikipedia.org/wiki/Advent"/>
    <hyperlink ref="P27" r:id="rId3" tooltip="All Saints' Day" display="http://en.wikipedia.org/wiki/All_Saints%27_Day"/>
    <hyperlink ref="P28" r:id="rId4" tooltip="All Souls' Day" display="http://en.wikipedia.org/wiki/All_Souls%27_Day"/>
    <hyperlink ref="P25" r:id="rId5" tooltip="Assumption of Mary" display="http://en.wikipedia.org/wiki/Assumption_of_Mary"/>
    <hyperlink ref="P12" r:id="rId6" tooltip="Candlemas" display="http://en.wikipedia.org/wiki/Candlemas"/>
    <hyperlink ref="P31" r:id="rId7" tooltip="Childermas" display="http://en.wikipedia.org/wiki/Childermas"/>
    <hyperlink ref="V17" r:id="rId8" tooltip="Easter Triduum" display="http://en.wikipedia.org/wiki/Easter_Triduum"/>
    <hyperlink ref="P18" r:id="rId9" tooltip="Holy Saturday" display="http://en.wikipedia.org/wiki/Holy_Saturday"/>
    <hyperlink ref="P11" r:id="rId10" tooltip="Epiphany (feast)" display="http://en.wikipedia.org/wiki/Epiphany_%28feast%29"/>
    <hyperlink ref="R31" r:id="rId11" tooltip="Winter Lent" display="http://en.wikipedia.org/wiki/Winter_Lent"/>
    <hyperlink ref="P32" r:id="rId12" tooltip="Watch Night" display="http://en.wikipedia.org/wiki/Watch_Night"/>
    <hyperlink ref="P10" r:id="rId13" tooltip="Western Christianity" display="http://en.wikipedia.org/wiki/Western_Christianity"/>
    <hyperlink ref="P26" r:id="rId14" tooltip="Halloween" display="http://en.wikipedia.org/wiki/Halloween"/>
    <hyperlink ref="P22" r:id="rId15" display="Pentecost or Whitsun (Descent of the Holy Spirit upon the disciples of Jesus)"/>
    <hyperlink ref="P13" r:id="rId16"/>
    <hyperlink ref="P30" r:id="rId17" display="Christmas (Birth of Jesus)"/>
    <hyperlink ref="P23" r:id="rId18"/>
    <hyperlink ref="U17" r:id="rId19" tooltip="Holy Week" display="http://en.wikipedia.org/wiki/Holy_Week"/>
    <hyperlink ref="P16" r:id="rId20" display="Holy Thursday (Celebration of The Last Supper)"/>
    <hyperlink ref="P17" r:id="rId21" display="Good Friday (Death of Jesus)"/>
    <hyperlink ref="P20" r:id="rId22" display="Easter Monday (Monday following Easter Sunday, not part of the Easter Triduum)"/>
    <hyperlink ref="S17" r:id="rId23"/>
    <hyperlink ref="S16" r:id="rId24"/>
    <hyperlink ref="P15" r:id="rId25"/>
  </hyperlinks>
  <printOptions horizontalCentered="1" verticalCentered="1"/>
  <pageMargins left="0.78740157480314965" right="0.78740157480314965" top="0.19685039370078741" bottom="0.19685039370078741" header="0.51181102362204722" footer="0.51181102362204722"/>
  <pageSetup paperSize="9" scale="88" orientation="portrait" r:id="rId26"/>
  <headerFooter alignWithMargins="0"/>
  <drawing r:id="rId2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PlanlTranslations"/>
  <dimension ref="A1:I367"/>
  <sheetViews>
    <sheetView workbookViewId="0">
      <pane xSplit="3" ySplit="2" topLeftCell="D3" activePane="bottomRight" state="frozen"/>
      <selection pane="topRight"/>
      <selection pane="bottomLeft"/>
      <selection pane="bottomRight"/>
    </sheetView>
  </sheetViews>
  <sheetFormatPr defaultRowHeight="12.75"/>
  <cols>
    <col min="2" max="2" width="14.85546875" customWidth="1"/>
    <col min="3" max="3" width="10.28515625" bestFit="1" customWidth="1"/>
    <col min="4" max="6" width="20" customWidth="1"/>
  </cols>
  <sheetData>
    <row r="1" spans="1:6">
      <c r="B1" s="217" t="s">
        <v>813</v>
      </c>
      <c r="C1" s="387">
        <f>Index!S20</f>
        <v>3</v>
      </c>
      <c r="D1" s="387" t="str">
        <f ca="1">OFFSET(C2,0,$C$1)</f>
        <v>Português</v>
      </c>
    </row>
    <row r="2" spans="1:6">
      <c r="A2" t="s">
        <v>819</v>
      </c>
      <c r="B2" t="s">
        <v>820</v>
      </c>
      <c r="C2" t="s">
        <v>821</v>
      </c>
      <c r="D2" s="389" t="s">
        <v>559</v>
      </c>
      <c r="E2" s="389" t="s">
        <v>435</v>
      </c>
      <c r="F2" s="389" t="s">
        <v>822</v>
      </c>
    </row>
    <row r="3" spans="1:6">
      <c r="A3" s="188">
        <v>90</v>
      </c>
      <c r="D3">
        <v>1</v>
      </c>
      <c r="E3">
        <v>2</v>
      </c>
      <c r="F3">
        <v>3</v>
      </c>
    </row>
    <row r="4" spans="1:6" s="326" customFormat="1">
      <c r="A4" s="342">
        <f>IF(RIGHT(B4,8)="_section",(INT(A3/100)+1)*100,A3+1)</f>
        <v>100</v>
      </c>
      <c r="B4" s="326" t="s">
        <v>949</v>
      </c>
      <c r="C4" s="326" t="str">
        <f ca="1">OFFSET(C4,0,$C$1)</f>
        <v>Capa</v>
      </c>
      <c r="D4" s="326" t="s">
        <v>24</v>
      </c>
      <c r="E4" s="326" t="s">
        <v>1136</v>
      </c>
      <c r="F4" s="326" t="s">
        <v>417</v>
      </c>
    </row>
    <row r="5" spans="1:6">
      <c r="A5" s="297">
        <f>IF(RIGHT(B5,8)="_section",(INT(A4/100)+1)*100,A4+1)</f>
        <v>101</v>
      </c>
      <c r="B5" s="300" t="s">
        <v>950</v>
      </c>
      <c r="C5" t="str">
        <f t="shared" ref="C5:C89" ca="1" si="0">OFFSET(C5,0,$C$1)</f>
        <v>Capa</v>
      </c>
      <c r="D5" s="295" t="s">
        <v>24</v>
      </c>
      <c r="E5" s="300" t="s">
        <v>1136</v>
      </c>
      <c r="F5" t="s">
        <v>417</v>
      </c>
    </row>
    <row r="6" spans="1:6" s="318" customFormat="1">
      <c r="A6" s="318">
        <f t="shared" ref="A6:A83" si="1">IF(RIGHT(B6,8)="_section",(INT(A5/100)+1)*100,A5+1)</f>
        <v>102</v>
      </c>
      <c r="B6" s="300" t="s">
        <v>1332</v>
      </c>
      <c r="C6" s="318" t="str">
        <f t="shared" ca="1" si="0"/>
        <v>ISO-8859-1</v>
      </c>
      <c r="D6" s="318" t="s">
        <v>1333</v>
      </c>
      <c r="E6" s="318" t="s">
        <v>1333</v>
      </c>
      <c r="F6" s="318" t="s">
        <v>1333</v>
      </c>
    </row>
    <row r="7" spans="1:6">
      <c r="A7" s="318">
        <f t="shared" si="1"/>
        <v>103</v>
      </c>
      <c r="B7" t="s">
        <v>951</v>
      </c>
      <c r="C7" t="str">
        <f t="shared" ca="1" si="0"/>
        <v>AGENDA VAISHNAVA GPLAN</v>
      </c>
      <c r="D7" s="300" t="s">
        <v>4213</v>
      </c>
      <c r="E7" s="365" t="s">
        <v>4212</v>
      </c>
      <c r="F7" s="365" t="s">
        <v>4212</v>
      </c>
    </row>
    <row r="8" spans="1:6">
      <c r="A8" s="365">
        <f t="shared" si="1"/>
        <v>104</v>
      </c>
      <c r="B8" t="s">
        <v>952</v>
      </c>
      <c r="C8" t="str">
        <f t="shared" ca="1" si="0"/>
        <v>Uma agenda transcendental, para você não perder de vista o que realmente importa.</v>
      </c>
      <c r="D8" s="300" t="s">
        <v>955</v>
      </c>
      <c r="E8" s="300" t="s">
        <v>1130</v>
      </c>
      <c r="F8" s="300" t="s">
        <v>773</v>
      </c>
    </row>
    <row r="9" spans="1:6">
      <c r="A9" s="365">
        <f t="shared" si="1"/>
        <v>105</v>
      </c>
      <c r="B9" t="s">
        <v>953</v>
      </c>
      <c r="C9" t="str">
        <f t="shared" ca="1" si="0"/>
        <v>Versão</v>
      </c>
      <c r="D9" t="s">
        <v>954</v>
      </c>
      <c r="E9" s="300" t="s">
        <v>1131</v>
      </c>
      <c r="F9" t="s">
        <v>453</v>
      </c>
    </row>
    <row r="10" spans="1:6">
      <c r="A10" s="365">
        <f t="shared" si="1"/>
        <v>200</v>
      </c>
      <c r="B10" t="s">
        <v>908</v>
      </c>
      <c r="C10" t="str">
        <f t="shared" ca="1" si="0"/>
        <v>Título</v>
      </c>
      <c r="D10" t="s">
        <v>46</v>
      </c>
      <c r="E10" s="300" t="s">
        <v>418</v>
      </c>
      <c r="F10" s="300" t="s">
        <v>418</v>
      </c>
    </row>
    <row r="11" spans="1:6">
      <c r="A11" s="365">
        <f t="shared" si="1"/>
        <v>201</v>
      </c>
      <c r="B11" s="300" t="s">
        <v>272</v>
      </c>
      <c r="C11" t="str">
        <f t="shared" ca="1" si="0"/>
        <v>Titulo</v>
      </c>
      <c r="D11" s="232" t="s">
        <v>46</v>
      </c>
      <c r="E11" s="300" t="s">
        <v>271</v>
      </c>
      <c r="F11" s="300" t="s">
        <v>271</v>
      </c>
    </row>
    <row r="12" spans="1:6">
      <c r="A12" s="365">
        <f t="shared" si="1"/>
        <v>202</v>
      </c>
      <c r="B12" t="s">
        <v>914</v>
      </c>
      <c r="C12" t="str">
        <f t="shared" ca="1" si="0"/>
        <v>AGENDA VAISHNAVA GPLAN</v>
      </c>
      <c r="D12" s="365" t="s">
        <v>4213</v>
      </c>
      <c r="E12" s="365" t="s">
        <v>4212</v>
      </c>
      <c r="F12" s="365" t="s">
        <v>4212</v>
      </c>
    </row>
    <row r="13" spans="1:6">
      <c r="A13" s="365">
        <f t="shared" si="1"/>
        <v>203</v>
      </c>
      <c r="B13" t="s">
        <v>915</v>
      </c>
      <c r="C13" t="str">
        <f t="shared" ca="1" si="0"/>
        <v>Uma agenda transcendental, para você não perder de vista o que realmente importa.</v>
      </c>
      <c r="D13" t="s">
        <v>955</v>
      </c>
      <c r="E13" s="300" t="s">
        <v>1130</v>
      </c>
      <c r="F13" t="s">
        <v>773</v>
      </c>
    </row>
    <row r="14" spans="1:6">
      <c r="A14" s="365">
        <f t="shared" si="1"/>
        <v>204</v>
      </c>
      <c r="B14" t="s">
        <v>775</v>
      </c>
      <c r="C14" t="str">
        <f t="shared" ca="1" si="0"/>
        <v>Copyright (c) 2005-2017 PAULO SERGIO DE ARAUJO.</v>
      </c>
      <c r="D14" s="300" t="s">
        <v>5478</v>
      </c>
      <c r="E14" s="232" t="str">
        <f>D14</f>
        <v>Copyright (c) 2005-2017 PAULO SERGIO DE ARAUJO.</v>
      </c>
      <c r="F14" s="232" t="str">
        <f>D14</f>
        <v>Copyright (c) 2005-2017 PAULO SERGIO DE ARAUJO.</v>
      </c>
    </row>
    <row r="15" spans="1:6">
      <c r="A15" s="365">
        <f t="shared" si="1"/>
        <v>205</v>
      </c>
      <c r="B15" t="s">
        <v>776</v>
      </c>
      <c r="C15" t="str">
        <f t="shared" ca="1" si="0"/>
        <v>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D15" t="s">
        <v>774</v>
      </c>
      <c r="E15" s="300" t="s">
        <v>1138</v>
      </c>
      <c r="F15" s="300" t="s">
        <v>1137</v>
      </c>
    </row>
    <row r="16" spans="1:6">
      <c r="A16" s="365">
        <f t="shared" si="1"/>
        <v>206</v>
      </c>
      <c r="B16" t="s">
        <v>777</v>
      </c>
      <c r="C16" t="str">
        <f t="shared" ca="1" si="0"/>
        <v>Copyright (c) 2005-2017 PAULO SERGIO DE ARAUJO.</v>
      </c>
      <c r="D16" t="s">
        <v>537</v>
      </c>
      <c r="E16" t="str">
        <f>E14</f>
        <v>Copyright (c) 2005-2017 PAULO SERGIO DE ARAUJO.</v>
      </c>
      <c r="F16" s="300" t="str">
        <f>F14</f>
        <v>Copyright (c) 2005-2017 PAULO SERGIO DE ARAUJO.</v>
      </c>
    </row>
    <row r="17" spans="1:6">
      <c r="A17" s="365">
        <f t="shared" si="1"/>
        <v>207</v>
      </c>
      <c r="B17" t="s">
        <v>778</v>
      </c>
      <c r="C17" t="str">
        <f t="shared" ca="1" si="0"/>
        <v>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t="s">
        <v>537</v>
      </c>
      <c r="E17" s="300" t="s">
        <v>1132</v>
      </c>
      <c r="F17" s="300" t="s">
        <v>266</v>
      </c>
    </row>
    <row r="18" spans="1:6">
      <c r="A18" s="365">
        <f t="shared" si="1"/>
        <v>208</v>
      </c>
      <c r="B18" t="s">
        <v>267</v>
      </c>
      <c r="C18" t="str">
        <f t="shared" ca="1" si="0"/>
        <v>NO WARRANTY</v>
      </c>
      <c r="D18" t="s">
        <v>772</v>
      </c>
      <c r="E18" s="300" t="s">
        <v>772</v>
      </c>
      <c r="F18" t="s">
        <v>772</v>
      </c>
    </row>
    <row r="19" spans="1:6">
      <c r="A19" s="365">
        <f t="shared" si="1"/>
        <v>209</v>
      </c>
      <c r="B19" t="s">
        <v>268</v>
      </c>
      <c r="C19"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t="s">
        <v>815</v>
      </c>
      <c r="E19" t="s">
        <v>815</v>
      </c>
      <c r="F19" t="s">
        <v>815</v>
      </c>
    </row>
    <row r="20" spans="1:6">
      <c r="A20" s="365">
        <f t="shared" si="1"/>
        <v>210</v>
      </c>
      <c r="B20" t="s">
        <v>269</v>
      </c>
      <c r="C2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t="s">
        <v>816</v>
      </c>
      <c r="E20" t="s">
        <v>816</v>
      </c>
      <c r="F20" t="s">
        <v>816</v>
      </c>
    </row>
    <row r="21" spans="1:6">
      <c r="A21" s="365">
        <f t="shared" si="1"/>
        <v>211</v>
      </c>
      <c r="B21" t="s">
        <v>270</v>
      </c>
      <c r="C21" t="str">
        <f t="shared" ca="1" si="0"/>
        <v>AUSÊNCIA DE GARANTIAS</v>
      </c>
      <c r="D21" t="s">
        <v>537</v>
      </c>
      <c r="E21" s="300" t="s">
        <v>1133</v>
      </c>
      <c r="F21" t="s">
        <v>474</v>
      </c>
    </row>
    <row r="22" spans="1:6">
      <c r="A22" s="365">
        <f t="shared" si="1"/>
        <v>212</v>
      </c>
      <c r="B22" t="s">
        <v>817</v>
      </c>
      <c r="C22"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t="s">
        <v>537</v>
      </c>
      <c r="E22" s="300" t="s">
        <v>1139</v>
      </c>
      <c r="F22" s="300" t="s">
        <v>823</v>
      </c>
    </row>
    <row r="23" spans="1:6">
      <c r="A23" s="365">
        <f t="shared" si="1"/>
        <v>213</v>
      </c>
      <c r="B23" t="s">
        <v>818</v>
      </c>
      <c r="C23"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t="s">
        <v>537</v>
      </c>
      <c r="E23" s="300" t="s">
        <v>1134</v>
      </c>
      <c r="F23" s="300" t="s">
        <v>1135</v>
      </c>
    </row>
    <row r="24" spans="1:6">
      <c r="A24" s="365">
        <f t="shared" si="1"/>
        <v>300</v>
      </c>
      <c r="B24" t="s">
        <v>909</v>
      </c>
      <c r="C24" s="297" t="str">
        <f t="shared" ca="1" si="0"/>
        <v>Índice</v>
      </c>
      <c r="D24" t="s">
        <v>725</v>
      </c>
      <c r="E24" s="297" t="s">
        <v>419</v>
      </c>
      <c r="F24" s="297" t="s">
        <v>419</v>
      </c>
    </row>
    <row r="25" spans="1:6">
      <c r="A25" s="365">
        <f t="shared" si="1"/>
        <v>301</v>
      </c>
      <c r="B25" t="s">
        <v>273</v>
      </c>
      <c r="C25" t="str">
        <f t="shared" ca="1" si="0"/>
        <v>Indice</v>
      </c>
      <c r="D25" t="s">
        <v>725</v>
      </c>
      <c r="E25" s="300" t="s">
        <v>824</v>
      </c>
      <c r="F25" s="300" t="s">
        <v>824</v>
      </c>
    </row>
    <row r="26" spans="1:6">
      <c r="A26" s="365">
        <f t="shared" si="1"/>
        <v>302</v>
      </c>
      <c r="B26" t="s">
        <v>916</v>
      </c>
      <c r="C26" t="str">
        <f t="shared" ca="1" si="0"/>
        <v>Agenda Vaishnava Gplan</v>
      </c>
      <c r="D26" s="365" t="s">
        <v>4214</v>
      </c>
      <c r="E26" s="365" t="s">
        <v>4215</v>
      </c>
      <c r="F26" s="365" t="s">
        <v>4215</v>
      </c>
    </row>
    <row r="27" spans="1:6">
      <c r="A27" s="365">
        <f t="shared" si="1"/>
        <v>303</v>
      </c>
      <c r="B27" t="s">
        <v>939</v>
      </c>
      <c r="C27" t="str">
        <f t="shared" ca="1" si="0"/>
        <v>Linguagem</v>
      </c>
      <c r="D27" s="300" t="s">
        <v>4623</v>
      </c>
      <c r="E27" s="300" t="s">
        <v>4624</v>
      </c>
      <c r="F27" s="300" t="s">
        <v>1018</v>
      </c>
    </row>
    <row r="28" spans="1:6">
      <c r="A28" s="365">
        <f t="shared" si="1"/>
        <v>304</v>
      </c>
      <c r="B28" s="300" t="s">
        <v>4548</v>
      </c>
      <c r="C28" t="str">
        <f t="shared" ca="1" si="0"/>
        <v>Calendário base</v>
      </c>
      <c r="D28" s="300" t="s">
        <v>4550</v>
      </c>
      <c r="E28" s="300" t="s">
        <v>4549</v>
      </c>
      <c r="F28" t="s">
        <v>4252</v>
      </c>
    </row>
    <row r="29" spans="1:6">
      <c r="A29" s="365">
        <f t="shared" si="1"/>
        <v>305</v>
      </c>
      <c r="B29" s="300" t="s">
        <v>4555</v>
      </c>
      <c r="C29" t="str">
        <f t="shared" ca="1" si="0"/>
        <v>País</v>
      </c>
      <c r="D29" s="300" t="s">
        <v>4551</v>
      </c>
      <c r="E29" s="300" t="s">
        <v>3849</v>
      </c>
      <c r="F29" s="300" t="s">
        <v>3849</v>
      </c>
    </row>
    <row r="30" spans="1:6">
      <c r="A30" s="365">
        <f t="shared" si="1"/>
        <v>306</v>
      </c>
      <c r="B30" s="300" t="s">
        <v>4556</v>
      </c>
      <c r="C30" t="str">
        <f t="shared" ca="1" si="0"/>
        <v>Localidade</v>
      </c>
      <c r="D30" s="300" t="s">
        <v>4554</v>
      </c>
      <c r="E30" s="300" t="s">
        <v>4553</v>
      </c>
      <c r="F30" s="300" t="s">
        <v>4552</v>
      </c>
    </row>
    <row r="31" spans="1:6">
      <c r="A31" s="365">
        <f t="shared" si="1"/>
        <v>307</v>
      </c>
      <c r="B31" s="300" t="s">
        <v>4558</v>
      </c>
      <c r="C31" t="str">
        <f t="shared" ca="1" si="0"/>
        <v>Ano</v>
      </c>
      <c r="D31" s="300" t="s">
        <v>4208</v>
      </c>
      <c r="E31" s="300" t="s">
        <v>4557</v>
      </c>
      <c r="F31" s="300" t="s">
        <v>581</v>
      </c>
    </row>
    <row r="32" spans="1:6">
      <c r="A32" s="365">
        <f t="shared" si="1"/>
        <v>308</v>
      </c>
      <c r="B32" s="300" t="s">
        <v>4561</v>
      </c>
      <c r="C32" t="str">
        <f t="shared" ca="1" si="0"/>
        <v>Opções da agenda</v>
      </c>
      <c r="D32" s="300" t="s">
        <v>4560</v>
      </c>
      <c r="E32" s="300" t="s">
        <v>4559</v>
      </c>
      <c r="F32" t="s">
        <v>4253</v>
      </c>
    </row>
    <row r="33" spans="1:6">
      <c r="A33" s="365">
        <f t="shared" si="1"/>
        <v>309</v>
      </c>
      <c r="B33" s="300" t="s">
        <v>4563</v>
      </c>
      <c r="C33" t="str">
        <f t="shared" ca="1" si="0"/>
        <v>Nome da localidade na Capa</v>
      </c>
      <c r="D33" s="300" t="s">
        <v>4629</v>
      </c>
      <c r="E33" s="300" t="s">
        <v>4562</v>
      </c>
      <c r="F33" t="s">
        <v>4547</v>
      </c>
    </row>
    <row r="34" spans="1:6">
      <c r="A34" s="365">
        <f t="shared" si="1"/>
        <v>310</v>
      </c>
      <c r="B34" s="300" t="s">
        <v>4566</v>
      </c>
      <c r="C34" t="str">
        <f t="shared" ca="1" si="0"/>
        <v>Editar</v>
      </c>
      <c r="D34" s="300" t="s">
        <v>4565</v>
      </c>
      <c r="E34" s="300" t="s">
        <v>4564</v>
      </c>
      <c r="F34" s="300" t="s">
        <v>4564</v>
      </c>
    </row>
    <row r="35" spans="1:6">
      <c r="A35" s="365">
        <f t="shared" si="1"/>
        <v>311</v>
      </c>
      <c r="B35" s="300" t="s">
        <v>4568</v>
      </c>
      <c r="C35" t="str">
        <f t="shared" ca="1" si="0"/>
        <v>Pronto</v>
      </c>
      <c r="D35" s="300" t="s">
        <v>4567</v>
      </c>
      <c r="E35" s="300" t="s">
        <v>4263</v>
      </c>
      <c r="F35" t="s">
        <v>4247</v>
      </c>
    </row>
    <row r="36" spans="1:6">
      <c r="A36" s="365">
        <f t="shared" si="1"/>
        <v>312</v>
      </c>
      <c r="B36" t="s">
        <v>940</v>
      </c>
      <c r="C36" t="str">
        <f t="shared" ca="1" si="0"/>
        <v>Atualizar</v>
      </c>
      <c r="D36" s="300" t="s">
        <v>4545</v>
      </c>
      <c r="E36" s="300" t="s">
        <v>4546</v>
      </c>
      <c r="F36" s="300" t="s">
        <v>4248</v>
      </c>
    </row>
    <row r="37" spans="1:6">
      <c r="A37" s="365">
        <f t="shared" si="1"/>
        <v>313</v>
      </c>
      <c r="B37" s="365" t="s">
        <v>940</v>
      </c>
      <c r="C37" t="str">
        <f t="shared" ca="1" si="0"/>
        <v>Dados Pessoais</v>
      </c>
      <c r="D37" s="365" t="s">
        <v>730</v>
      </c>
      <c r="E37" s="300" t="s">
        <v>1122</v>
      </c>
      <c r="F37" s="365" t="s">
        <v>420</v>
      </c>
    </row>
    <row r="38" spans="1:6">
      <c r="A38" s="365">
        <f t="shared" si="1"/>
        <v>314</v>
      </c>
      <c r="B38" t="s">
        <v>941</v>
      </c>
      <c r="C38" t="str">
        <f t="shared" ca="1" si="0"/>
        <v>Feriados</v>
      </c>
      <c r="D38" t="s">
        <v>728</v>
      </c>
      <c r="E38" s="300" t="s">
        <v>1123</v>
      </c>
      <c r="F38" t="s">
        <v>421</v>
      </c>
    </row>
    <row r="39" spans="1:6">
      <c r="A39" s="365">
        <f t="shared" si="1"/>
        <v>315</v>
      </c>
      <c r="B39" s="300" t="s">
        <v>4571</v>
      </c>
      <c r="C39" t="str">
        <f t="shared" ca="1" si="0"/>
        <v>Fontes</v>
      </c>
      <c r="D39" s="300" t="s">
        <v>4569</v>
      </c>
      <c r="E39" s="300" t="s">
        <v>4570</v>
      </c>
      <c r="F39" s="300" t="s">
        <v>4251</v>
      </c>
    </row>
    <row r="40" spans="1:6" s="365" customFormat="1">
      <c r="A40" s="365">
        <f t="shared" si="1"/>
        <v>316</v>
      </c>
      <c r="B40" s="300" t="s">
        <v>4860</v>
      </c>
      <c r="C40" s="365" t="str">
        <f t="shared" ca="1" si="0"/>
        <v>Instalação automática de fontes</v>
      </c>
      <c r="D40" s="300" t="s">
        <v>4851</v>
      </c>
      <c r="E40" s="300" t="s">
        <v>4854</v>
      </c>
      <c r="F40" s="300" t="s">
        <v>4855</v>
      </c>
    </row>
    <row r="41" spans="1:6" s="365" customFormat="1">
      <c r="A41" s="365">
        <f t="shared" si="1"/>
        <v>317</v>
      </c>
      <c r="B41" s="300" t="s">
        <v>4861</v>
      </c>
      <c r="C41" s="365" t="str">
        <f t="shared" ca="1" si="0"/>
        <v xml:space="preserve"> - instalação automática da fonte</v>
      </c>
      <c r="D41" s="300" t="s">
        <v>4852</v>
      </c>
      <c r="E41" s="300" t="s">
        <v>4859</v>
      </c>
      <c r="F41" s="300" t="s">
        <v>4856</v>
      </c>
    </row>
    <row r="42" spans="1:6">
      <c r="A42" s="365">
        <f t="shared" si="1"/>
        <v>318</v>
      </c>
      <c r="B42" s="300" t="s">
        <v>4862</v>
      </c>
      <c r="C42" t="str">
        <f t="shared" ca="1" si="0"/>
        <v xml:space="preserve"> - fonte ok!</v>
      </c>
      <c r="D42" s="300" t="s">
        <v>4853</v>
      </c>
      <c r="E42" s="300" t="s">
        <v>4858</v>
      </c>
      <c r="F42" s="300" t="s">
        <v>4857</v>
      </c>
    </row>
    <row r="43" spans="1:6">
      <c r="A43" s="365">
        <f t="shared" si="1"/>
        <v>319</v>
      </c>
      <c r="B43" t="s">
        <v>944</v>
      </c>
      <c r="C43" t="str">
        <f t="shared" ca="1" si="0"/>
        <v>Semana-Frente</v>
      </c>
      <c r="D43" s="300" t="s">
        <v>943</v>
      </c>
      <c r="E43" t="s">
        <v>424</v>
      </c>
      <c r="F43" t="s">
        <v>424</v>
      </c>
    </row>
    <row r="44" spans="1:6">
      <c r="A44" s="365">
        <f t="shared" si="1"/>
        <v>320</v>
      </c>
      <c r="B44" s="300" t="s">
        <v>4622</v>
      </c>
      <c r="C44" t="str">
        <f t="shared" ca="1" si="0"/>
        <v>Calendário atual calculado para</v>
      </c>
      <c r="D44" s="300" t="s">
        <v>4627</v>
      </c>
      <c r="E44" s="300" t="s">
        <v>4628</v>
      </c>
      <c r="F44" s="300" t="s">
        <v>4626</v>
      </c>
    </row>
    <row r="45" spans="1:6">
      <c r="A45" s="365">
        <f t="shared" si="1"/>
        <v>321</v>
      </c>
      <c r="B45" t="s">
        <v>945</v>
      </c>
      <c r="C45" t="str">
        <f t="shared" ca="1" si="0"/>
        <v>Ver</v>
      </c>
      <c r="D45" s="300" t="s">
        <v>4621</v>
      </c>
      <c r="E45" s="300" t="s">
        <v>4620</v>
      </c>
      <c r="F45" s="300" t="s">
        <v>4620</v>
      </c>
    </row>
    <row r="46" spans="1:6">
      <c r="A46" s="365">
        <f t="shared" si="1"/>
        <v>322</v>
      </c>
      <c r="B46" t="s">
        <v>946</v>
      </c>
      <c r="C46" t="str">
        <f t="shared" ca="1" si="0"/>
        <v>Fin. Semana-Frente</v>
      </c>
      <c r="D46" s="232" t="s">
        <v>1002</v>
      </c>
      <c r="E46" t="s">
        <v>294</v>
      </c>
      <c r="F46" t="s">
        <v>294</v>
      </c>
    </row>
    <row r="47" spans="1:6">
      <c r="A47" s="365">
        <f t="shared" si="1"/>
        <v>323</v>
      </c>
      <c r="B47" t="s">
        <v>156</v>
      </c>
      <c r="C47" t="str">
        <f t="shared" ca="1" si="0"/>
        <v>Fin. Person.</v>
      </c>
      <c r="D47" s="300" t="s">
        <v>1295</v>
      </c>
      <c r="E47" s="300" t="s">
        <v>1295</v>
      </c>
      <c r="F47" s="300" t="s">
        <v>1295</v>
      </c>
    </row>
    <row r="48" spans="1:6">
      <c r="A48" s="365">
        <f t="shared" si="1"/>
        <v>324</v>
      </c>
      <c r="B48" t="s">
        <v>947</v>
      </c>
      <c r="C48" t="str">
        <f t="shared" ca="1" si="0"/>
        <v>Anotações-Esquerda</v>
      </c>
      <c r="D48" t="s">
        <v>29</v>
      </c>
      <c r="E48" s="300" t="s">
        <v>1125</v>
      </c>
      <c r="F48" t="s">
        <v>425</v>
      </c>
    </row>
    <row r="49" spans="1:9">
      <c r="A49" s="365">
        <f t="shared" si="1"/>
        <v>325</v>
      </c>
      <c r="B49" t="s">
        <v>948</v>
      </c>
      <c r="C49" t="str">
        <f t="shared" ca="1" si="0"/>
        <v>Anotações-Direita</v>
      </c>
      <c r="D49" t="s">
        <v>30</v>
      </c>
      <c r="E49" s="300" t="s">
        <v>1126</v>
      </c>
      <c r="F49" t="s">
        <v>426</v>
      </c>
    </row>
    <row r="50" spans="1:9" s="365" customFormat="1">
      <c r="A50" s="365">
        <f t="shared" si="1"/>
        <v>326</v>
      </c>
      <c r="B50" s="300" t="s">
        <v>4543</v>
      </c>
      <c r="C50" s="365" t="str">
        <f t="shared" ca="1" si="0"/>
        <v>Contatos</v>
      </c>
      <c r="D50" s="300" t="s">
        <v>4542</v>
      </c>
      <c r="E50" s="300" t="s">
        <v>4541</v>
      </c>
      <c r="F50" s="300" t="s">
        <v>4540</v>
      </c>
    </row>
    <row r="51" spans="1:9">
      <c r="A51" s="365">
        <f t="shared" si="1"/>
        <v>327</v>
      </c>
      <c r="B51" t="s">
        <v>157</v>
      </c>
      <c r="C51" t="str">
        <f t="shared" ca="1" si="0"/>
        <v>Contato-Esquerda</v>
      </c>
      <c r="D51" s="232" t="s">
        <v>1003</v>
      </c>
      <c r="E51" s="300" t="s">
        <v>1127</v>
      </c>
      <c r="F51" t="s">
        <v>152</v>
      </c>
    </row>
    <row r="52" spans="1:9">
      <c r="A52" s="365">
        <f t="shared" si="1"/>
        <v>328</v>
      </c>
      <c r="B52" t="s">
        <v>158</v>
      </c>
      <c r="C52" t="str">
        <f t="shared" ca="1" si="0"/>
        <v>Contato-Direita</v>
      </c>
      <c r="D52" s="232" t="s">
        <v>1004</v>
      </c>
      <c r="E52" s="300" t="s">
        <v>1128</v>
      </c>
      <c r="F52" t="s">
        <v>153</v>
      </c>
    </row>
    <row r="53" spans="1:9">
      <c r="A53" s="365">
        <f t="shared" si="1"/>
        <v>329</v>
      </c>
      <c r="B53" t="s">
        <v>159</v>
      </c>
      <c r="C53" t="str">
        <f t="shared" ca="1" si="0"/>
        <v>Citações</v>
      </c>
      <c r="D53" t="s">
        <v>38</v>
      </c>
      <c r="E53" s="300" t="s">
        <v>1129</v>
      </c>
      <c r="F53" t="s">
        <v>155</v>
      </c>
    </row>
    <row r="54" spans="1:9">
      <c r="A54" s="365">
        <f t="shared" si="1"/>
        <v>330</v>
      </c>
      <c r="B54" t="s">
        <v>160</v>
      </c>
      <c r="C54" t="str">
        <f t="shared" ca="1" si="0"/>
        <v>Vaishnava</v>
      </c>
      <c r="D54" t="s">
        <v>154</v>
      </c>
      <c r="E54" t="s">
        <v>154</v>
      </c>
      <c r="F54" t="s">
        <v>154</v>
      </c>
    </row>
    <row r="55" spans="1:9">
      <c r="A55" s="365">
        <f t="shared" si="1"/>
        <v>331</v>
      </c>
      <c r="B55" s="300" t="s">
        <v>1287</v>
      </c>
      <c r="C55" t="str">
        <f t="shared" ca="1" si="0"/>
        <v>Calcular</v>
      </c>
      <c r="D55" s="300" t="s">
        <v>4545</v>
      </c>
      <c r="E55" s="300" t="s">
        <v>4544</v>
      </c>
      <c r="F55" s="300" t="s">
        <v>4544</v>
      </c>
      <c r="I55" s="300"/>
    </row>
    <row r="56" spans="1:9" s="297" customFormat="1">
      <c r="A56" s="365">
        <f t="shared" si="1"/>
        <v>332</v>
      </c>
      <c r="B56" s="300" t="s">
        <v>1288</v>
      </c>
      <c r="C56" s="297" t="str">
        <f t="shared" ca="1" si="0"/>
        <v>Instalar Fontes</v>
      </c>
      <c r="D56" t="s">
        <v>1283</v>
      </c>
      <c r="E56" s="297" t="s">
        <v>1285</v>
      </c>
      <c r="F56" s="297" t="s">
        <v>1273</v>
      </c>
      <c r="I56" s="300"/>
    </row>
    <row r="57" spans="1:9" s="297" customFormat="1">
      <c r="A57" s="365">
        <f t="shared" si="1"/>
        <v>333</v>
      </c>
      <c r="B57" s="300" t="s">
        <v>1289</v>
      </c>
      <c r="C57" s="297" t="str">
        <f t="shared" ca="1" si="0"/>
        <v>Gerar</v>
      </c>
      <c r="D57" t="s">
        <v>1284</v>
      </c>
      <c r="E57" s="297" t="s">
        <v>1286</v>
      </c>
      <c r="F57" s="297" t="s">
        <v>1274</v>
      </c>
      <c r="I57" s="300"/>
    </row>
    <row r="58" spans="1:9" s="297" customFormat="1">
      <c r="A58" s="365">
        <f t="shared" si="1"/>
        <v>334</v>
      </c>
      <c r="B58" s="300" t="s">
        <v>4799</v>
      </c>
      <c r="C58" s="297" t="str">
        <f t="shared" ca="1" si="0"/>
        <v>Gerar a agenda GPlan em formato pdf?</v>
      </c>
      <c r="D58" s="300" t="s">
        <v>4802</v>
      </c>
      <c r="E58" s="300" t="s">
        <v>4801</v>
      </c>
      <c r="F58" s="300" t="s">
        <v>4800</v>
      </c>
      <c r="I58" s="300"/>
    </row>
    <row r="59" spans="1:9" s="297" customFormat="1">
      <c r="A59" s="365">
        <f t="shared" si="1"/>
        <v>335</v>
      </c>
      <c r="B59" s="300" t="s">
        <v>4828</v>
      </c>
      <c r="C59" s="297" t="str">
        <f t="shared" ca="1" si="0"/>
        <v>Em caso afirmativo, não mexa no mouse ou no teclado até o Gcal concluir o cálculo e fechar.</v>
      </c>
      <c r="D59" s="300" t="s">
        <v>4829</v>
      </c>
      <c r="E59" s="300" t="s">
        <v>4831</v>
      </c>
      <c r="F59" s="300" t="s">
        <v>4830</v>
      </c>
      <c r="I59" s="300"/>
    </row>
    <row r="60" spans="1:9" s="365" customFormat="1">
      <c r="A60" s="365">
        <f t="shared" si="1"/>
        <v>336</v>
      </c>
      <c r="B60" s="300" t="s">
        <v>5084</v>
      </c>
      <c r="C60" s="365" t="str">
        <f t="shared" ca="1" si="0"/>
        <v>A geração da agenda GPlan em formato pdf foi cancelada!</v>
      </c>
      <c r="D60" s="300" t="s">
        <v>5086</v>
      </c>
      <c r="E60" s="300" t="s">
        <v>5087</v>
      </c>
      <c r="F60" s="300" t="s">
        <v>5085</v>
      </c>
      <c r="I60" s="300"/>
    </row>
    <row r="61" spans="1:9" s="324" customFormat="1">
      <c r="A61" s="365">
        <f t="shared" si="1"/>
        <v>337</v>
      </c>
      <c r="B61" s="300" t="s">
        <v>4537</v>
      </c>
      <c r="C61" s="324" t="str">
        <f t="shared" ca="1" si="0"/>
        <v xml:space="preserve"> Validação</v>
      </c>
      <c r="D61" s="300" t="s">
        <v>4538</v>
      </c>
      <c r="E61" s="300" t="s">
        <v>4539</v>
      </c>
      <c r="F61" s="300" t="s">
        <v>4539</v>
      </c>
      <c r="I61" s="300"/>
    </row>
    <row r="62" spans="1:9" s="325" customFormat="1">
      <c r="A62" s="365">
        <f t="shared" si="1"/>
        <v>338</v>
      </c>
      <c r="B62" s="300" t="s">
        <v>4090</v>
      </c>
      <c r="C62" s="325" t="str">
        <f t="shared" ca="1" si="0"/>
        <v>Sistema Caturmasya</v>
      </c>
      <c r="D62" s="300" t="s">
        <v>4088</v>
      </c>
      <c r="E62" s="300" t="s">
        <v>4089</v>
      </c>
      <c r="F62" s="300" t="s">
        <v>4089</v>
      </c>
      <c r="I62" s="300"/>
    </row>
    <row r="63" spans="1:9" s="297" customFormat="1">
      <c r="A63" s="365">
        <f t="shared" si="1"/>
        <v>339</v>
      </c>
      <c r="B63" s="300" t="s">
        <v>1292</v>
      </c>
      <c r="C63" s="297" t="str">
        <f t="shared" ca="1" si="0"/>
        <v>A geração automática da Agenda pode levar alguns minutos. O processo pode ser interrompido a qualquer momento, ao manter pressionada a tecla 'Esc'.</v>
      </c>
      <c r="D63" s="300" t="s">
        <v>5088</v>
      </c>
      <c r="E63" s="300" t="s">
        <v>5089</v>
      </c>
      <c r="F63" s="300" t="s">
        <v>5090</v>
      </c>
    </row>
    <row r="64" spans="1:9" s="297" customFormat="1">
      <c r="A64" s="365">
        <f t="shared" si="1"/>
        <v>340</v>
      </c>
      <c r="B64" s="300" t="s">
        <v>1293</v>
      </c>
      <c r="C64" s="297" t="str">
        <f t="shared" ca="1" si="0"/>
        <v>Geração Automática da Agenda</v>
      </c>
      <c r="D64" s="297" t="s">
        <v>1291</v>
      </c>
      <c r="E64" s="300" t="s">
        <v>1290</v>
      </c>
      <c r="F64" s="297" t="s">
        <v>1280</v>
      </c>
    </row>
    <row r="65" spans="1:6" s="358" customFormat="1">
      <c r="A65" s="365">
        <f t="shared" si="1"/>
        <v>341</v>
      </c>
      <c r="B65" s="300" t="s">
        <v>4625</v>
      </c>
      <c r="C65" s="358" t="str">
        <f t="shared" ca="1" si="0"/>
        <v>Calcular os dados do calendário para a seguinte localidade e ano?</v>
      </c>
      <c r="D65" s="300" t="s">
        <v>4827</v>
      </c>
      <c r="E65" s="300" t="s">
        <v>4826</v>
      </c>
      <c r="F65" s="300" t="s">
        <v>4825</v>
      </c>
    </row>
    <row r="66" spans="1:6" s="358" customFormat="1">
      <c r="A66" s="365">
        <f t="shared" si="1"/>
        <v>342</v>
      </c>
      <c r="B66" s="300" t="s">
        <v>4207</v>
      </c>
      <c r="C66" s="358" t="str">
        <f t="shared" ca="1" si="0"/>
        <v>Atualização Automática dos Dados do Calendário</v>
      </c>
      <c r="D66" s="300" t="s">
        <v>4206</v>
      </c>
      <c r="E66" s="300" t="s">
        <v>4206</v>
      </c>
      <c r="F66" s="300" t="s">
        <v>4206</v>
      </c>
    </row>
    <row r="67" spans="1:6">
      <c r="A67" s="365">
        <f t="shared" si="1"/>
        <v>343</v>
      </c>
      <c r="B67" s="300" t="s">
        <v>4848</v>
      </c>
      <c r="C67" s="358" t="str">
        <f t="shared" ca="1" si="0"/>
        <v>Preparando DB...</v>
      </c>
      <c r="D67" s="300" t="s">
        <v>4842</v>
      </c>
      <c r="E67" s="300" t="s">
        <v>4845</v>
      </c>
      <c r="F67" t="s">
        <v>4839</v>
      </c>
    </row>
    <row r="68" spans="1:6">
      <c r="A68" s="365">
        <f t="shared" si="1"/>
        <v>344</v>
      </c>
      <c r="B68" s="300" t="s">
        <v>4849</v>
      </c>
      <c r="C68" s="297" t="str">
        <f ca="1">OFFSET(C68,0,$C$1)</f>
        <v>Carregando dados do GCal...</v>
      </c>
      <c r="D68" t="s">
        <v>4843</v>
      </c>
      <c r="E68" t="s">
        <v>4846</v>
      </c>
      <c r="F68" t="s">
        <v>4840</v>
      </c>
    </row>
    <row r="69" spans="1:6">
      <c r="A69" s="365">
        <f t="shared" si="1"/>
        <v>345</v>
      </c>
      <c r="B69" s="300" t="s">
        <v>4850</v>
      </c>
      <c r="C69" t="str">
        <f t="shared" ca="1" si="0"/>
        <v>Carregando dados dos Feriados...</v>
      </c>
      <c r="D69" t="s">
        <v>4844</v>
      </c>
      <c r="E69" t="s">
        <v>4847</v>
      </c>
      <c r="F69" t="s">
        <v>4841</v>
      </c>
    </row>
    <row r="70" spans="1:6">
      <c r="A70" s="365">
        <f t="shared" si="1"/>
        <v>346</v>
      </c>
      <c r="B70" t="s">
        <v>161</v>
      </c>
      <c r="C70" t="str">
        <f ca="1">OFFSET(C70,0,$C$1)</f>
        <v>GNU Free Documentation License</v>
      </c>
      <c r="D70" t="s">
        <v>375</v>
      </c>
      <c r="E70" t="s">
        <v>375</v>
      </c>
      <c r="F70" t="s">
        <v>375</v>
      </c>
    </row>
    <row r="71" spans="1:6">
      <c r="A71" s="365">
        <f t="shared" si="1"/>
        <v>347</v>
      </c>
      <c r="B71" s="232" t="s">
        <v>826</v>
      </c>
      <c r="C71" t="str">
        <f ca="1">OFFSET(C71,0,$C$1)</f>
        <v>Hora Inicial (na agenda semanal)</v>
      </c>
      <c r="D71" s="232" t="s">
        <v>828</v>
      </c>
      <c r="E71" s="300" t="s">
        <v>1145</v>
      </c>
      <c r="F71" s="232" t="s">
        <v>827</v>
      </c>
    </row>
    <row r="72" spans="1:6">
      <c r="A72" s="365">
        <f t="shared" si="1"/>
        <v>348</v>
      </c>
      <c r="B72" s="300" t="s">
        <v>956</v>
      </c>
      <c r="C72" t="str">
        <f ca="1">OFFSET(C72,0,$C$1)</f>
        <v>Geração Automática</v>
      </c>
      <c r="D72" t="s">
        <v>957</v>
      </c>
      <c r="E72" s="300" t="s">
        <v>1146</v>
      </c>
      <c r="F72" s="300" t="s">
        <v>356</v>
      </c>
    </row>
    <row r="73" spans="1:6">
      <c r="A73" s="365">
        <f t="shared" si="1"/>
        <v>349</v>
      </c>
      <c r="B73" s="232" t="s">
        <v>1005</v>
      </c>
      <c r="C73" t="str">
        <f ca="1">OFFSET(C73,0,$C$1)</f>
        <v>Agenda:</v>
      </c>
      <c r="D73" t="s">
        <v>958</v>
      </c>
      <c r="E73" s="300" t="s">
        <v>355</v>
      </c>
      <c r="F73" t="s">
        <v>355</v>
      </c>
    </row>
    <row r="74" spans="1:6">
      <c r="A74" s="365">
        <f t="shared" si="1"/>
        <v>350</v>
      </c>
      <c r="B74" s="232" t="s">
        <v>1006</v>
      </c>
      <c r="C74" t="str">
        <f t="shared" ref="C74:C81" ca="1" si="2">OFFSET(C74,0,$C$1)</f>
        <v>(selecione)</v>
      </c>
      <c r="D74" t="s">
        <v>959</v>
      </c>
      <c r="E74" s="300" t="s">
        <v>1147</v>
      </c>
      <c r="F74" s="300" t="s">
        <v>357</v>
      </c>
    </row>
    <row r="75" spans="1:6">
      <c r="A75" s="365">
        <f t="shared" si="1"/>
        <v>351</v>
      </c>
      <c r="B75" s="232" t="s">
        <v>1011</v>
      </c>
      <c r="C75" t="str">
        <f t="shared" ca="1" si="2"/>
        <v>Mensal</v>
      </c>
      <c r="D75" t="s">
        <v>942</v>
      </c>
      <c r="E75" s="300" t="s">
        <v>1124</v>
      </c>
      <c r="F75" s="232" t="s">
        <v>422</v>
      </c>
    </row>
    <row r="76" spans="1:6">
      <c r="A76" s="365">
        <f t="shared" si="1"/>
        <v>352</v>
      </c>
      <c r="B76" s="232" t="s">
        <v>1014</v>
      </c>
      <c r="C76" t="str">
        <f t="shared" ca="1" si="2"/>
        <v>Fin. Mensal</v>
      </c>
      <c r="D76" t="s">
        <v>1001</v>
      </c>
      <c r="E76" s="300" t="s">
        <v>1144</v>
      </c>
      <c r="F76" s="232" t="s">
        <v>295</v>
      </c>
    </row>
    <row r="77" spans="1:6">
      <c r="A77" s="365">
        <f t="shared" si="1"/>
        <v>353</v>
      </c>
      <c r="B77" s="232" t="s">
        <v>1009</v>
      </c>
      <c r="C77" t="str">
        <f t="shared" ca="1" si="2"/>
        <v>Semanal</v>
      </c>
      <c r="D77" s="232" t="s">
        <v>1010</v>
      </c>
      <c r="E77" s="300" t="s">
        <v>353</v>
      </c>
      <c r="F77" s="232" t="s">
        <v>353</v>
      </c>
    </row>
    <row r="78" spans="1:6">
      <c r="A78" s="365">
        <f t="shared" si="1"/>
        <v>354</v>
      </c>
      <c r="B78" s="232" t="s">
        <v>1015</v>
      </c>
      <c r="C78" t="str">
        <f t="shared" ca="1" si="2"/>
        <v>Fin. Semanal</v>
      </c>
      <c r="D78" s="232" t="s">
        <v>1012</v>
      </c>
      <c r="E78" s="300" t="s">
        <v>354</v>
      </c>
      <c r="F78" s="232" t="s">
        <v>354</v>
      </c>
    </row>
    <row r="79" spans="1:6">
      <c r="A79" s="365">
        <f t="shared" si="1"/>
        <v>355</v>
      </c>
      <c r="B79" s="232" t="s">
        <v>1008</v>
      </c>
      <c r="C79" t="str">
        <f t="shared" ca="1" si="2"/>
        <v>Completa</v>
      </c>
      <c r="D79" s="232" t="s">
        <v>1007</v>
      </c>
      <c r="E79" s="300" t="s">
        <v>694</v>
      </c>
      <c r="F79" s="232" t="s">
        <v>694</v>
      </c>
    </row>
    <row r="80" spans="1:6">
      <c r="A80" s="365">
        <f t="shared" si="1"/>
        <v>356</v>
      </c>
      <c r="B80" s="232" t="s">
        <v>1016</v>
      </c>
      <c r="C80" t="str">
        <f t="shared" ca="1" si="2"/>
        <v>Fin. Completa</v>
      </c>
      <c r="D80" s="232" t="s">
        <v>1013</v>
      </c>
      <c r="E80" s="300" t="s">
        <v>695</v>
      </c>
      <c r="F80" s="232" t="s">
        <v>695</v>
      </c>
    </row>
    <row r="81" spans="1:6">
      <c r="A81" s="365">
        <f t="shared" si="1"/>
        <v>400</v>
      </c>
      <c r="B81" t="s">
        <v>910</v>
      </c>
      <c r="C81" t="str">
        <f t="shared" ca="1" si="2"/>
        <v>Dedicatória</v>
      </c>
      <c r="D81" s="300" t="s">
        <v>962</v>
      </c>
      <c r="E81" s="300" t="s">
        <v>1140</v>
      </c>
      <c r="F81" s="297" t="s">
        <v>621</v>
      </c>
    </row>
    <row r="82" spans="1:6">
      <c r="A82" s="365">
        <f t="shared" si="1"/>
        <v>401</v>
      </c>
      <c r="B82" t="s">
        <v>274</v>
      </c>
      <c r="C82" t="str">
        <f t="shared" ca="1" si="0"/>
        <v>Dedicatoria</v>
      </c>
      <c r="D82" s="300" t="s">
        <v>962</v>
      </c>
      <c r="E82" s="300" t="s">
        <v>1148</v>
      </c>
      <c r="F82" s="300" t="s">
        <v>275</v>
      </c>
    </row>
    <row r="83" spans="1:6">
      <c r="A83" s="365">
        <f t="shared" si="1"/>
        <v>402</v>
      </c>
      <c r="B83" t="s">
        <v>917</v>
      </c>
      <c r="C83" t="str">
        <f t="shared" ca="1" si="0"/>
        <v>AGENDA VAISHNAVA GPLAN</v>
      </c>
      <c r="D83" s="365" t="s">
        <v>4213</v>
      </c>
      <c r="E83" s="365" t="s">
        <v>4212</v>
      </c>
      <c r="F83" s="365" t="s">
        <v>4212</v>
      </c>
    </row>
    <row r="84" spans="1:6">
      <c r="A84" s="365">
        <f t="shared" ref="A84:A149" si="3">IF(RIGHT(B84,8)="_section",(INT(A83/100)+1)*100,A83+1)</f>
        <v>403</v>
      </c>
      <c r="B84" t="s">
        <v>918</v>
      </c>
      <c r="C84" t="str">
        <f t="shared" ca="1" si="0"/>
        <v>Dedicatória</v>
      </c>
      <c r="D84" s="300" t="s">
        <v>962</v>
      </c>
      <c r="E84" s="300" t="s">
        <v>1140</v>
      </c>
      <c r="F84" t="s">
        <v>621</v>
      </c>
    </row>
    <row r="85" spans="1:6">
      <c r="A85" s="365">
        <f t="shared" si="3"/>
        <v>404</v>
      </c>
      <c r="B85" t="s">
        <v>276</v>
      </c>
      <c r="C85"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5" s="300" t="s">
        <v>961</v>
      </c>
      <c r="E85" s="300" t="s">
        <v>1149</v>
      </c>
      <c r="F85" s="300" t="s">
        <v>960</v>
      </c>
    </row>
    <row r="86" spans="1:6">
      <c r="A86" s="365">
        <f t="shared" si="3"/>
        <v>405</v>
      </c>
      <c r="B86" t="s">
        <v>277</v>
      </c>
      <c r="C86" t="str">
        <f t="shared" ca="1" si="0"/>
        <v>Gopala Dasa Adhikari</v>
      </c>
      <c r="D86" t="s">
        <v>256</v>
      </c>
      <c r="E86" t="s">
        <v>256</v>
      </c>
      <c r="F86" t="s">
        <v>256</v>
      </c>
    </row>
    <row r="87" spans="1:6">
      <c r="A87" s="365">
        <f t="shared" si="3"/>
        <v>406</v>
      </c>
      <c r="B87" t="s">
        <v>278</v>
      </c>
      <c r="C87" t="str">
        <f t="shared" ca="1" si="0"/>
        <v>(Paulo Sergio de Araujo)</v>
      </c>
      <c r="D87" t="s">
        <v>257</v>
      </c>
      <c r="E87" t="s">
        <v>257</v>
      </c>
      <c r="F87" t="s">
        <v>257</v>
      </c>
    </row>
    <row r="88" spans="1:6">
      <c r="A88" s="365">
        <f t="shared" si="3"/>
        <v>407</v>
      </c>
      <c r="B88" t="s">
        <v>281</v>
      </c>
      <c r="C88" t="str">
        <f t="shared" ca="1" si="0"/>
        <v>Nota 1:</v>
      </c>
      <c r="D88" t="s">
        <v>25</v>
      </c>
      <c r="E88" s="300" t="s">
        <v>279</v>
      </c>
      <c r="F88" t="s">
        <v>279</v>
      </c>
    </row>
    <row r="89" spans="1:6">
      <c r="A89" s="365">
        <f t="shared" si="3"/>
        <v>408</v>
      </c>
      <c r="B89" t="s">
        <v>282</v>
      </c>
      <c r="C89" s="297" t="str">
        <f t="shared" ca="1" si="0"/>
        <v>S.S. Hridayananda dasa Goswami Maharaj (Dr. Howard J. Resnick), é um dos mais destacados líderes espirituais da Sociedade Internacional da Consciência de Krishna - ISKCON.</v>
      </c>
      <c r="D89" s="300" t="s">
        <v>963</v>
      </c>
      <c r="E89" s="300" t="s">
        <v>1150</v>
      </c>
      <c r="F89" t="s">
        <v>280</v>
      </c>
    </row>
    <row r="90" spans="1:6" s="297" customFormat="1">
      <c r="A90" s="365">
        <f t="shared" si="3"/>
        <v>500</v>
      </c>
      <c r="B90" s="300" t="s">
        <v>1259</v>
      </c>
      <c r="C90" s="297" t="str">
        <f t="shared" ref="C90:C100" ca="1" si="4">OFFSET(C90,0,$C$1)</f>
        <v>Agradecimentos</v>
      </c>
      <c r="D90" s="297" t="s">
        <v>726</v>
      </c>
      <c r="E90" s="300" t="s">
        <v>1141</v>
      </c>
      <c r="F90" s="300" t="s">
        <v>258</v>
      </c>
    </row>
    <row r="91" spans="1:6" s="297" customFormat="1">
      <c r="A91" s="365">
        <f t="shared" si="3"/>
        <v>501</v>
      </c>
      <c r="B91" s="300" t="s">
        <v>1260</v>
      </c>
      <c r="C91" s="297" t="str">
        <f t="shared" ca="1" si="4"/>
        <v>Agradecimentos</v>
      </c>
      <c r="D91" s="297" t="s">
        <v>726</v>
      </c>
      <c r="E91" s="300" t="s">
        <v>1141</v>
      </c>
      <c r="F91" s="300" t="s">
        <v>258</v>
      </c>
    </row>
    <row r="92" spans="1:6" s="297" customFormat="1">
      <c r="A92" s="365">
        <f t="shared" si="3"/>
        <v>502</v>
      </c>
      <c r="B92" s="300" t="s">
        <v>1261</v>
      </c>
      <c r="C92" s="297" t="str">
        <f t="shared" ca="1" si="4"/>
        <v>Agradecimentos</v>
      </c>
      <c r="D92" s="297" t="s">
        <v>726</v>
      </c>
      <c r="E92" s="300" t="s">
        <v>1141</v>
      </c>
      <c r="F92" s="300" t="s">
        <v>258</v>
      </c>
    </row>
    <row r="93" spans="1:6" s="297" customFormat="1">
      <c r="A93" s="365">
        <f t="shared" si="3"/>
        <v>600</v>
      </c>
      <c r="B93" s="300" t="s">
        <v>1265</v>
      </c>
      <c r="C93" s="297" t="str">
        <f ca="1">OFFSET(C93,0,$C$1)</f>
        <v>Apresentação</v>
      </c>
      <c r="D93" s="297" t="s">
        <v>729</v>
      </c>
      <c r="E93" s="300" t="s">
        <v>1142</v>
      </c>
      <c r="F93" s="300" t="s">
        <v>663</v>
      </c>
    </row>
    <row r="94" spans="1:6" s="297" customFormat="1">
      <c r="A94" s="365">
        <f t="shared" si="3"/>
        <v>601</v>
      </c>
      <c r="B94" s="300" t="s">
        <v>1266</v>
      </c>
      <c r="C94" s="297" t="str">
        <f ca="1">OFFSET(C94,0,$C$1)</f>
        <v>Apresentacao</v>
      </c>
      <c r="D94" s="297" t="s">
        <v>729</v>
      </c>
      <c r="E94" s="300" t="s">
        <v>1142</v>
      </c>
      <c r="F94" s="300" t="s">
        <v>1258</v>
      </c>
    </row>
    <row r="95" spans="1:6" s="297" customFormat="1">
      <c r="A95" s="365">
        <f t="shared" si="3"/>
        <v>602</v>
      </c>
      <c r="B95" s="300" t="s">
        <v>1267</v>
      </c>
      <c r="C95" s="297" t="str">
        <f ca="1">OFFSET(C95,0,$C$1)</f>
        <v>Apresentação</v>
      </c>
      <c r="D95" s="297" t="s">
        <v>729</v>
      </c>
      <c r="E95" s="300" t="s">
        <v>1142</v>
      </c>
      <c r="F95" s="300" t="s">
        <v>663</v>
      </c>
    </row>
    <row r="96" spans="1:6" s="365" customFormat="1">
      <c r="A96" s="365">
        <f t="shared" si="3"/>
        <v>603</v>
      </c>
      <c r="B96" s="300" t="s">
        <v>4797</v>
      </c>
      <c r="C96" s="365" t="str">
        <f t="shared" ref="C96:C97" ca="1" si="5">OFFSET(C96,0,$C$1)</f>
        <v>Apresentacao 1</v>
      </c>
      <c r="D96" s="365" t="s">
        <v>4793</v>
      </c>
      <c r="E96" s="300" t="s">
        <v>4795</v>
      </c>
      <c r="F96" s="300" t="s">
        <v>4791</v>
      </c>
    </row>
    <row r="97" spans="1:6" s="365" customFormat="1">
      <c r="A97" s="365">
        <f t="shared" si="3"/>
        <v>604</v>
      </c>
      <c r="B97" s="300" t="s">
        <v>4798</v>
      </c>
      <c r="C97" s="365" t="str">
        <f t="shared" ca="1" si="5"/>
        <v>Apresentacao 2</v>
      </c>
      <c r="D97" s="365" t="s">
        <v>4794</v>
      </c>
      <c r="E97" s="300" t="s">
        <v>4796</v>
      </c>
      <c r="F97" s="300" t="s">
        <v>4792</v>
      </c>
    </row>
    <row r="98" spans="1:6" s="297" customFormat="1">
      <c r="A98" s="365">
        <f t="shared" si="3"/>
        <v>700</v>
      </c>
      <c r="B98" s="300" t="s">
        <v>1262</v>
      </c>
      <c r="C98" s="297" t="str">
        <f t="shared" ca="1" si="4"/>
        <v>Como Usar</v>
      </c>
      <c r="D98" s="300" t="s">
        <v>1268</v>
      </c>
      <c r="E98" s="300" t="s">
        <v>1143</v>
      </c>
      <c r="F98" s="300" t="s">
        <v>493</v>
      </c>
    </row>
    <row r="99" spans="1:6" s="297" customFormat="1">
      <c r="A99" s="365">
        <f t="shared" si="3"/>
        <v>701</v>
      </c>
      <c r="B99" s="300" t="s">
        <v>1263</v>
      </c>
      <c r="C99" s="297" t="str">
        <f t="shared" ca="1" si="4"/>
        <v>Como Usar</v>
      </c>
      <c r="D99" s="300" t="s">
        <v>1268</v>
      </c>
      <c r="E99" s="300" t="s">
        <v>1143</v>
      </c>
      <c r="F99" s="300" t="s">
        <v>493</v>
      </c>
    </row>
    <row r="100" spans="1:6" s="297" customFormat="1">
      <c r="A100" s="365">
        <f t="shared" si="3"/>
        <v>702</v>
      </c>
      <c r="B100" s="300" t="s">
        <v>1264</v>
      </c>
      <c r="C100" s="297" t="str">
        <f t="shared" ca="1" si="4"/>
        <v>Como Usar</v>
      </c>
      <c r="D100" s="300" t="s">
        <v>1268</v>
      </c>
      <c r="E100" s="300" t="s">
        <v>1143</v>
      </c>
      <c r="F100" s="300" t="s">
        <v>493</v>
      </c>
    </row>
    <row r="101" spans="1:6">
      <c r="A101" s="365">
        <f t="shared" si="3"/>
        <v>800</v>
      </c>
      <c r="B101" t="s">
        <v>911</v>
      </c>
      <c r="C101" t="str">
        <f t="shared" ref="C101:C164" ca="1" si="6">OFFSET(C101,0,$C$1)</f>
        <v>Dados Pessoais</v>
      </c>
      <c r="D101" s="300" t="s">
        <v>730</v>
      </c>
      <c r="E101" s="300" t="s">
        <v>1122</v>
      </c>
      <c r="F101" t="s">
        <v>420</v>
      </c>
    </row>
    <row r="102" spans="1:6">
      <c r="A102" s="365">
        <f t="shared" si="3"/>
        <v>801</v>
      </c>
      <c r="B102" s="300" t="s">
        <v>61</v>
      </c>
      <c r="C102" t="str">
        <f t="shared" ca="1" si="6"/>
        <v>Dados Pessoais</v>
      </c>
      <c r="D102" s="300" t="s">
        <v>730</v>
      </c>
      <c r="E102" s="300" t="s">
        <v>1122</v>
      </c>
      <c r="F102" t="s">
        <v>420</v>
      </c>
    </row>
    <row r="103" spans="1:6">
      <c r="A103" s="365">
        <f t="shared" si="3"/>
        <v>802</v>
      </c>
      <c r="B103" t="s">
        <v>919</v>
      </c>
      <c r="C103" t="str">
        <f t="shared" ca="1" si="6"/>
        <v>DADOS PESSOAIS</v>
      </c>
      <c r="D103" t="s">
        <v>141</v>
      </c>
      <c r="E103" t="s">
        <v>143</v>
      </c>
      <c r="F103" t="s">
        <v>214</v>
      </c>
    </row>
    <row r="104" spans="1:6">
      <c r="A104" s="365">
        <f t="shared" si="3"/>
        <v>803</v>
      </c>
      <c r="B104" t="s">
        <v>920</v>
      </c>
      <c r="C104" t="str">
        <f t="shared" ca="1" si="6"/>
        <v>DADOS COMERCIAIS</v>
      </c>
      <c r="D104" t="s">
        <v>142</v>
      </c>
      <c r="E104" t="s">
        <v>144</v>
      </c>
      <c r="F104" t="s">
        <v>230</v>
      </c>
    </row>
    <row r="105" spans="1:6">
      <c r="A105" s="365">
        <f t="shared" si="3"/>
        <v>804</v>
      </c>
      <c r="B105" t="s">
        <v>921</v>
      </c>
      <c r="C105" t="str">
        <f t="shared" ca="1" si="6"/>
        <v>EMERGÊNCIA</v>
      </c>
      <c r="D105" t="s">
        <v>145</v>
      </c>
      <c r="E105" t="s">
        <v>146</v>
      </c>
      <c r="F105" t="s">
        <v>233</v>
      </c>
    </row>
    <row r="106" spans="1:6">
      <c r="A106" s="365">
        <f t="shared" si="3"/>
        <v>805</v>
      </c>
      <c r="B106" t="s">
        <v>62</v>
      </c>
      <c r="C106" t="str">
        <f t="shared" ca="1" si="6"/>
        <v>Nome</v>
      </c>
      <c r="D106" t="s">
        <v>33</v>
      </c>
      <c r="E106" t="s">
        <v>58</v>
      </c>
      <c r="F106" t="s">
        <v>215</v>
      </c>
    </row>
    <row r="107" spans="1:6">
      <c r="A107" s="365">
        <f t="shared" si="3"/>
        <v>806</v>
      </c>
      <c r="B107" t="s">
        <v>66</v>
      </c>
      <c r="C107" t="str">
        <f t="shared" ca="1" si="6"/>
        <v>Endereço</v>
      </c>
      <c r="D107" t="s">
        <v>964</v>
      </c>
      <c r="E107" s="300" t="s">
        <v>1151</v>
      </c>
      <c r="F107" t="s">
        <v>216</v>
      </c>
    </row>
    <row r="108" spans="1:6">
      <c r="A108" s="365">
        <f t="shared" si="3"/>
        <v>807</v>
      </c>
      <c r="B108" t="s">
        <v>67</v>
      </c>
      <c r="C108" t="str">
        <f t="shared" ca="1" si="6"/>
        <v>Cidade</v>
      </c>
      <c r="D108" t="s">
        <v>965</v>
      </c>
      <c r="E108" t="s">
        <v>133</v>
      </c>
      <c r="F108" t="s">
        <v>217</v>
      </c>
    </row>
    <row r="109" spans="1:6">
      <c r="A109" s="365">
        <f t="shared" si="3"/>
        <v>808</v>
      </c>
      <c r="B109" t="s">
        <v>78</v>
      </c>
      <c r="C109" t="str">
        <f t="shared" ca="1" si="6"/>
        <v>CEP</v>
      </c>
      <c r="D109" t="s">
        <v>966</v>
      </c>
      <c r="E109" s="300" t="s">
        <v>1152</v>
      </c>
      <c r="F109" t="s">
        <v>63</v>
      </c>
    </row>
    <row r="110" spans="1:6">
      <c r="A110" s="365">
        <f t="shared" si="3"/>
        <v>809</v>
      </c>
      <c r="B110" t="s">
        <v>68</v>
      </c>
      <c r="C110" t="str">
        <f t="shared" ca="1" si="6"/>
        <v>Estado</v>
      </c>
      <c r="D110" t="s">
        <v>967</v>
      </c>
      <c r="E110" s="300" t="s">
        <v>1153</v>
      </c>
      <c r="F110" t="s">
        <v>218</v>
      </c>
    </row>
    <row r="111" spans="1:6">
      <c r="A111" s="365">
        <f t="shared" si="3"/>
        <v>810</v>
      </c>
      <c r="B111" t="s">
        <v>69</v>
      </c>
      <c r="C111" t="str">
        <f t="shared" ca="1" si="6"/>
        <v>Fone</v>
      </c>
      <c r="D111" t="s">
        <v>968</v>
      </c>
      <c r="E111" s="300" t="s">
        <v>60</v>
      </c>
      <c r="F111" t="s">
        <v>219</v>
      </c>
    </row>
    <row r="112" spans="1:6">
      <c r="A112" s="365">
        <f t="shared" si="3"/>
        <v>811</v>
      </c>
      <c r="B112" t="s">
        <v>70</v>
      </c>
      <c r="C112" t="str">
        <f t="shared" ca="1" si="6"/>
        <v>Celular</v>
      </c>
      <c r="D112" t="s">
        <v>969</v>
      </c>
      <c r="E112" t="s">
        <v>220</v>
      </c>
      <c r="F112" t="s">
        <v>220</v>
      </c>
    </row>
    <row r="113" spans="1:6">
      <c r="A113" s="365">
        <f t="shared" si="3"/>
        <v>812</v>
      </c>
      <c r="B113" t="s">
        <v>71</v>
      </c>
      <c r="C113" t="str">
        <f t="shared" ca="1" si="6"/>
        <v>Fax</v>
      </c>
      <c r="D113" t="s">
        <v>221</v>
      </c>
      <c r="E113" t="s">
        <v>221</v>
      </c>
      <c r="F113" t="s">
        <v>221</v>
      </c>
    </row>
    <row r="114" spans="1:6">
      <c r="A114" s="365">
        <f t="shared" si="3"/>
        <v>813</v>
      </c>
      <c r="B114" t="s">
        <v>79</v>
      </c>
      <c r="C114" t="str">
        <f t="shared" ca="1" si="6"/>
        <v>E-mail</v>
      </c>
      <c r="D114" t="s">
        <v>222</v>
      </c>
      <c r="E114" t="s">
        <v>222</v>
      </c>
      <c r="F114" t="s">
        <v>222</v>
      </c>
    </row>
    <row r="115" spans="1:6">
      <c r="A115" s="365">
        <f t="shared" si="3"/>
        <v>814</v>
      </c>
      <c r="B115" t="s">
        <v>72</v>
      </c>
      <c r="C115" t="str">
        <f t="shared" ca="1" si="6"/>
        <v>RG</v>
      </c>
      <c r="D115" t="s">
        <v>995</v>
      </c>
      <c r="E115" s="300" t="s">
        <v>995</v>
      </c>
      <c r="F115" t="s">
        <v>223</v>
      </c>
    </row>
    <row r="116" spans="1:6">
      <c r="A116" s="365">
        <f t="shared" si="3"/>
        <v>815</v>
      </c>
      <c r="B116" t="s">
        <v>73</v>
      </c>
      <c r="C116" t="str">
        <f t="shared" ca="1" si="6"/>
        <v>CPF</v>
      </c>
      <c r="D116" t="s">
        <v>224</v>
      </c>
      <c r="E116" s="300" t="s">
        <v>224</v>
      </c>
      <c r="F116" t="s">
        <v>224</v>
      </c>
    </row>
    <row r="117" spans="1:6">
      <c r="A117" s="365">
        <f t="shared" si="3"/>
        <v>816</v>
      </c>
      <c r="B117" t="s">
        <v>80</v>
      </c>
      <c r="C117" t="str">
        <f t="shared" ca="1" si="6"/>
        <v>T. Eleitor</v>
      </c>
      <c r="D117" t="s">
        <v>970</v>
      </c>
      <c r="E117" s="300" t="s">
        <v>1154</v>
      </c>
      <c r="F117" t="s">
        <v>225</v>
      </c>
    </row>
    <row r="118" spans="1:6">
      <c r="A118" s="365">
        <f t="shared" si="3"/>
        <v>817</v>
      </c>
      <c r="B118" t="s">
        <v>74</v>
      </c>
      <c r="C118" t="str">
        <f t="shared" ca="1" si="6"/>
        <v>Zona</v>
      </c>
      <c r="D118" t="s">
        <v>971</v>
      </c>
      <c r="E118" s="300" t="s">
        <v>1155</v>
      </c>
      <c r="F118" t="s">
        <v>226</v>
      </c>
    </row>
    <row r="119" spans="1:6">
      <c r="A119" s="365">
        <f t="shared" si="3"/>
        <v>818</v>
      </c>
      <c r="B119" t="s">
        <v>81</v>
      </c>
      <c r="C119" t="str">
        <f t="shared" ca="1" si="6"/>
        <v>Seção</v>
      </c>
      <c r="D119" t="s">
        <v>972</v>
      </c>
      <c r="E119" s="300" t="s">
        <v>1156</v>
      </c>
      <c r="F119" t="s">
        <v>227</v>
      </c>
    </row>
    <row r="120" spans="1:6">
      <c r="A120" s="365">
        <f t="shared" si="3"/>
        <v>819</v>
      </c>
      <c r="B120" t="s">
        <v>82</v>
      </c>
      <c r="C120" t="str">
        <f t="shared" ca="1" si="6"/>
        <v>Passaporte</v>
      </c>
      <c r="D120" t="s">
        <v>973</v>
      </c>
      <c r="E120" t="s">
        <v>134</v>
      </c>
      <c r="F120" t="s">
        <v>228</v>
      </c>
    </row>
    <row r="121" spans="1:6">
      <c r="A121" s="365">
        <f t="shared" si="3"/>
        <v>820</v>
      </c>
      <c r="B121" t="s">
        <v>75</v>
      </c>
      <c r="C121" t="str">
        <f t="shared" ca="1" si="6"/>
        <v>Validade</v>
      </c>
      <c r="D121" t="s">
        <v>974</v>
      </c>
      <c r="E121" s="300" t="s">
        <v>1157</v>
      </c>
      <c r="F121" t="s">
        <v>229</v>
      </c>
    </row>
    <row r="122" spans="1:6">
      <c r="A122" s="365">
        <f t="shared" si="3"/>
        <v>821</v>
      </c>
      <c r="B122" t="s">
        <v>83</v>
      </c>
      <c r="C122" t="str">
        <f t="shared" ca="1" si="6"/>
        <v>Cart. Militar</v>
      </c>
      <c r="D122" t="s">
        <v>975</v>
      </c>
      <c r="E122" s="300" t="s">
        <v>1162</v>
      </c>
      <c r="F122" t="s">
        <v>200</v>
      </c>
    </row>
    <row r="123" spans="1:6">
      <c r="A123" s="365">
        <f t="shared" si="3"/>
        <v>822</v>
      </c>
      <c r="B123" t="s">
        <v>84</v>
      </c>
      <c r="C123" t="str">
        <f t="shared" ca="1" si="6"/>
        <v>Certif. Reservista</v>
      </c>
      <c r="D123" t="s">
        <v>976</v>
      </c>
      <c r="E123" s="300" t="s">
        <v>1163</v>
      </c>
      <c r="F123" t="s">
        <v>346</v>
      </c>
    </row>
    <row r="124" spans="1:6">
      <c r="A124" s="365">
        <f t="shared" si="3"/>
        <v>823</v>
      </c>
      <c r="B124" t="s">
        <v>76</v>
      </c>
      <c r="C124" t="str">
        <f t="shared" ca="1" si="6"/>
        <v>Habilitação</v>
      </c>
      <c r="D124" t="s">
        <v>977</v>
      </c>
      <c r="E124" t="s">
        <v>135</v>
      </c>
      <c r="F124" t="s">
        <v>201</v>
      </c>
    </row>
    <row r="125" spans="1:6">
      <c r="A125" s="365">
        <f t="shared" si="3"/>
        <v>824</v>
      </c>
      <c r="B125" t="s">
        <v>90</v>
      </c>
      <c r="C125" t="str">
        <f t="shared" ca="1" si="6"/>
        <v>Vcto.   Ex.  Saúde</v>
      </c>
      <c r="D125" t="s">
        <v>978</v>
      </c>
      <c r="E125" s="300" t="s">
        <v>1157</v>
      </c>
      <c r="F125" t="s">
        <v>65</v>
      </c>
    </row>
    <row r="126" spans="1:6">
      <c r="A126" s="365">
        <f t="shared" si="3"/>
        <v>825</v>
      </c>
      <c r="B126" t="s">
        <v>85</v>
      </c>
      <c r="C126" t="str">
        <f t="shared" ca="1" si="6"/>
        <v>Veículo</v>
      </c>
      <c r="D126" t="s">
        <v>979</v>
      </c>
      <c r="E126" s="300" t="s">
        <v>1158</v>
      </c>
      <c r="F126" t="s">
        <v>347</v>
      </c>
    </row>
    <row r="127" spans="1:6">
      <c r="A127" s="365">
        <f t="shared" si="3"/>
        <v>826</v>
      </c>
      <c r="B127" t="s">
        <v>77</v>
      </c>
      <c r="C127" t="str">
        <f t="shared" ca="1" si="6"/>
        <v>Placa</v>
      </c>
      <c r="D127" t="s">
        <v>980</v>
      </c>
      <c r="E127" s="300" t="s">
        <v>348</v>
      </c>
      <c r="F127" t="s">
        <v>348</v>
      </c>
    </row>
    <row r="128" spans="1:6">
      <c r="A128" s="365">
        <f t="shared" si="3"/>
        <v>827</v>
      </c>
      <c r="B128" t="s">
        <v>86</v>
      </c>
      <c r="C128" t="str">
        <f t="shared" ca="1" si="6"/>
        <v>Nº Chassi</v>
      </c>
      <c r="D128" t="s">
        <v>981</v>
      </c>
      <c r="E128" s="300" t="s">
        <v>1159</v>
      </c>
      <c r="F128" t="s">
        <v>349</v>
      </c>
    </row>
    <row r="129" spans="1:6">
      <c r="A129" s="365">
        <f t="shared" si="3"/>
        <v>828</v>
      </c>
      <c r="B129" t="s">
        <v>87</v>
      </c>
      <c r="C129" t="str">
        <f t="shared" ca="1" si="6"/>
        <v>Cód. Renavam</v>
      </c>
      <c r="D129" t="s">
        <v>982</v>
      </c>
      <c r="E129" s="300" t="s">
        <v>1161</v>
      </c>
      <c r="F129" t="s">
        <v>350</v>
      </c>
    </row>
    <row r="130" spans="1:6">
      <c r="A130" s="365">
        <f t="shared" si="3"/>
        <v>829</v>
      </c>
      <c r="B130" t="s">
        <v>88</v>
      </c>
      <c r="C130" t="str">
        <f t="shared" ca="1" si="6"/>
        <v>Cia. Seguro</v>
      </c>
      <c r="D130" t="s">
        <v>983</v>
      </c>
      <c r="E130" s="300" t="s">
        <v>1160</v>
      </c>
      <c r="F130" t="s">
        <v>202</v>
      </c>
    </row>
    <row r="131" spans="1:6">
      <c r="A131" s="365">
        <f t="shared" si="3"/>
        <v>830</v>
      </c>
      <c r="B131" t="s">
        <v>89</v>
      </c>
      <c r="C131" t="str">
        <f t="shared" ca="1" si="6"/>
        <v>Vcto. Seguro Obr.</v>
      </c>
      <c r="D131" t="s">
        <v>984</v>
      </c>
      <c r="E131" s="300" t="s">
        <v>1157</v>
      </c>
      <c r="F131" t="s">
        <v>64</v>
      </c>
    </row>
    <row r="132" spans="1:6">
      <c r="A132" s="365">
        <f t="shared" si="3"/>
        <v>831</v>
      </c>
      <c r="B132" t="s">
        <v>91</v>
      </c>
      <c r="C132" t="str">
        <f t="shared" ca="1" si="6"/>
        <v>Nome</v>
      </c>
      <c r="D132" t="s">
        <v>33</v>
      </c>
      <c r="E132" t="s">
        <v>58</v>
      </c>
      <c r="F132" t="s">
        <v>215</v>
      </c>
    </row>
    <row r="133" spans="1:6">
      <c r="A133" s="365">
        <f t="shared" si="3"/>
        <v>832</v>
      </c>
      <c r="B133" t="s">
        <v>92</v>
      </c>
      <c r="C133" t="str">
        <f t="shared" ca="1" si="6"/>
        <v>Endereço</v>
      </c>
      <c r="D133" t="s">
        <v>964</v>
      </c>
      <c r="E133" t="s">
        <v>59</v>
      </c>
      <c r="F133" t="s">
        <v>216</v>
      </c>
    </row>
    <row r="134" spans="1:6">
      <c r="A134" s="365">
        <f t="shared" si="3"/>
        <v>833</v>
      </c>
      <c r="B134" t="s">
        <v>93</v>
      </c>
      <c r="C134" t="str">
        <f t="shared" ca="1" si="6"/>
        <v>Cidade</v>
      </c>
      <c r="D134" t="s">
        <v>965</v>
      </c>
      <c r="E134" t="s">
        <v>133</v>
      </c>
      <c r="F134" t="s">
        <v>217</v>
      </c>
    </row>
    <row r="135" spans="1:6">
      <c r="A135" s="365">
        <f t="shared" si="3"/>
        <v>834</v>
      </c>
      <c r="B135" t="s">
        <v>94</v>
      </c>
      <c r="C135" t="str">
        <f t="shared" ca="1" si="6"/>
        <v>CEP</v>
      </c>
      <c r="D135" t="s">
        <v>966</v>
      </c>
      <c r="E135" s="300" t="s">
        <v>1152</v>
      </c>
      <c r="F135" t="s">
        <v>63</v>
      </c>
    </row>
    <row r="136" spans="1:6">
      <c r="A136" s="365">
        <f t="shared" si="3"/>
        <v>835</v>
      </c>
      <c r="B136" t="s">
        <v>95</v>
      </c>
      <c r="C136" t="str">
        <f t="shared" ca="1" si="6"/>
        <v>Estado</v>
      </c>
      <c r="D136" t="s">
        <v>967</v>
      </c>
      <c r="E136" t="s">
        <v>218</v>
      </c>
      <c r="F136" t="s">
        <v>218</v>
      </c>
    </row>
    <row r="137" spans="1:6">
      <c r="A137" s="365">
        <f t="shared" si="3"/>
        <v>836</v>
      </c>
      <c r="B137" t="s">
        <v>109</v>
      </c>
      <c r="C137" t="str">
        <f t="shared" ca="1" si="6"/>
        <v>Fones</v>
      </c>
      <c r="D137" t="s">
        <v>968</v>
      </c>
      <c r="E137" t="s">
        <v>136</v>
      </c>
      <c r="F137" t="s">
        <v>231</v>
      </c>
    </row>
    <row r="138" spans="1:6">
      <c r="A138" s="365">
        <f t="shared" si="3"/>
        <v>837</v>
      </c>
      <c r="B138" t="s">
        <v>96</v>
      </c>
      <c r="C138" t="str">
        <f t="shared" ca="1" si="6"/>
        <v>Fax</v>
      </c>
      <c r="D138" t="s">
        <v>221</v>
      </c>
      <c r="E138" t="s">
        <v>221</v>
      </c>
      <c r="F138" t="s">
        <v>221</v>
      </c>
    </row>
    <row r="139" spans="1:6">
      <c r="A139" s="365">
        <f t="shared" si="3"/>
        <v>838</v>
      </c>
      <c r="B139" t="s">
        <v>106</v>
      </c>
      <c r="C139" t="str">
        <f t="shared" ca="1" si="6"/>
        <v>E-mail 1</v>
      </c>
      <c r="D139" t="s">
        <v>103</v>
      </c>
      <c r="E139" t="s">
        <v>103</v>
      </c>
      <c r="F139" t="s">
        <v>103</v>
      </c>
    </row>
    <row r="140" spans="1:6">
      <c r="A140" s="365">
        <f t="shared" si="3"/>
        <v>839</v>
      </c>
      <c r="B140" t="s">
        <v>107</v>
      </c>
      <c r="C140" t="str">
        <f t="shared" ca="1" si="6"/>
        <v>E-mail 2</v>
      </c>
      <c r="D140" t="s">
        <v>104</v>
      </c>
      <c r="E140" t="s">
        <v>104</v>
      </c>
      <c r="F140" t="s">
        <v>104</v>
      </c>
    </row>
    <row r="141" spans="1:6">
      <c r="A141" s="365">
        <f t="shared" si="3"/>
        <v>840</v>
      </c>
      <c r="B141" t="s">
        <v>108</v>
      </c>
      <c r="C141" t="str">
        <f t="shared" ca="1" si="6"/>
        <v>WebSite</v>
      </c>
      <c r="D141" t="s">
        <v>102</v>
      </c>
      <c r="E141" t="s">
        <v>102</v>
      </c>
      <c r="F141" t="s">
        <v>102</v>
      </c>
    </row>
    <row r="142" spans="1:6">
      <c r="A142" s="365">
        <f t="shared" si="3"/>
        <v>841</v>
      </c>
      <c r="B142" t="s">
        <v>99</v>
      </c>
      <c r="C142" t="str">
        <f t="shared" ca="1" si="6"/>
        <v>CNPJ</v>
      </c>
      <c r="D142" s="300" t="s">
        <v>1164</v>
      </c>
      <c r="E142" s="300" t="s">
        <v>1167</v>
      </c>
      <c r="F142" t="s">
        <v>232</v>
      </c>
    </row>
    <row r="143" spans="1:6">
      <c r="A143" s="365">
        <f t="shared" si="3"/>
        <v>842</v>
      </c>
      <c r="B143" t="s">
        <v>100</v>
      </c>
      <c r="C143" t="str">
        <f t="shared" ca="1" si="6"/>
        <v>I.E.</v>
      </c>
      <c r="D143" s="300" t="s">
        <v>1165</v>
      </c>
      <c r="E143" s="300" t="s">
        <v>97</v>
      </c>
      <c r="F143" t="s">
        <v>97</v>
      </c>
    </row>
    <row r="144" spans="1:6">
      <c r="A144" s="365">
        <f t="shared" si="3"/>
        <v>843</v>
      </c>
      <c r="B144" t="s">
        <v>101</v>
      </c>
      <c r="C144" t="str">
        <f t="shared" ca="1" si="6"/>
        <v>I.M.</v>
      </c>
      <c r="D144" s="300" t="s">
        <v>1166</v>
      </c>
      <c r="E144" s="300" t="s">
        <v>1168</v>
      </c>
      <c r="F144" t="s">
        <v>98</v>
      </c>
    </row>
    <row r="145" spans="1:6">
      <c r="A145" s="365">
        <f t="shared" si="3"/>
        <v>844</v>
      </c>
      <c r="B145" t="s">
        <v>110</v>
      </c>
      <c r="C145" t="str">
        <f t="shared" ca="1" si="6"/>
        <v>Grupo Sangüíneo</v>
      </c>
      <c r="D145" s="300" t="s">
        <v>985</v>
      </c>
      <c r="E145" s="300" t="s">
        <v>1181</v>
      </c>
      <c r="F145" s="300" t="s">
        <v>405</v>
      </c>
    </row>
    <row r="146" spans="1:6">
      <c r="A146" s="365">
        <f t="shared" si="3"/>
        <v>845</v>
      </c>
      <c r="B146" t="s">
        <v>111</v>
      </c>
      <c r="C146" t="str">
        <f t="shared" ca="1" si="6"/>
        <v>Tipo RH</v>
      </c>
      <c r="D146" s="300" t="s">
        <v>1106</v>
      </c>
      <c r="E146" s="300" t="s">
        <v>1169</v>
      </c>
      <c r="F146" s="300" t="s">
        <v>406</v>
      </c>
    </row>
    <row r="147" spans="1:6">
      <c r="A147" s="365">
        <f t="shared" si="3"/>
        <v>846</v>
      </c>
      <c r="B147" t="s">
        <v>112</v>
      </c>
      <c r="C147" t="str">
        <f t="shared" ca="1" si="6"/>
        <v>Médico</v>
      </c>
      <c r="D147" s="300" t="s">
        <v>1107</v>
      </c>
      <c r="E147" t="s">
        <v>137</v>
      </c>
      <c r="F147" t="s">
        <v>407</v>
      </c>
    </row>
    <row r="148" spans="1:6">
      <c r="A148" s="365">
        <f t="shared" si="3"/>
        <v>847</v>
      </c>
      <c r="B148" t="s">
        <v>113</v>
      </c>
      <c r="C148" t="str">
        <f t="shared" ca="1" si="6"/>
        <v>Celular</v>
      </c>
      <c r="D148" t="s">
        <v>969</v>
      </c>
      <c r="E148" t="s">
        <v>220</v>
      </c>
      <c r="F148" t="s">
        <v>220</v>
      </c>
    </row>
    <row r="149" spans="1:6">
      <c r="A149" s="365">
        <f t="shared" si="3"/>
        <v>848</v>
      </c>
      <c r="B149" t="s">
        <v>117</v>
      </c>
      <c r="C149" t="str">
        <f t="shared" ca="1" si="6"/>
        <v>Tel. Consultório</v>
      </c>
      <c r="D149" s="300" t="s">
        <v>1108</v>
      </c>
      <c r="E149" s="300" t="s">
        <v>1170</v>
      </c>
      <c r="F149" t="s">
        <v>378</v>
      </c>
    </row>
    <row r="150" spans="1:6">
      <c r="A150" s="365">
        <f t="shared" ref="A150:A213" si="7">IF(RIGHT(B150,8)="_section",(INT(A149/100)+1)*100,A149+1)</f>
        <v>849</v>
      </c>
      <c r="B150" t="s">
        <v>114</v>
      </c>
      <c r="C150" t="str">
        <f t="shared" ca="1" si="6"/>
        <v>Tel. Residência</v>
      </c>
      <c r="D150" s="300" t="s">
        <v>1109</v>
      </c>
      <c r="E150" s="300" t="s">
        <v>1171</v>
      </c>
      <c r="F150" t="s">
        <v>379</v>
      </c>
    </row>
    <row r="151" spans="1:6">
      <c r="A151" s="365">
        <f t="shared" si="7"/>
        <v>850</v>
      </c>
      <c r="B151" t="s">
        <v>115</v>
      </c>
      <c r="C151" t="str">
        <f t="shared" ca="1" si="6"/>
        <v>Plano Saúde</v>
      </c>
      <c r="D151" s="300" t="s">
        <v>1173</v>
      </c>
      <c r="E151" s="300" t="s">
        <v>1172</v>
      </c>
      <c r="F151" t="s">
        <v>380</v>
      </c>
    </row>
    <row r="152" spans="1:6">
      <c r="A152" s="365">
        <f t="shared" si="7"/>
        <v>851</v>
      </c>
      <c r="B152" t="s">
        <v>116</v>
      </c>
      <c r="C152" t="str">
        <f t="shared" ca="1" si="6"/>
        <v>Fone</v>
      </c>
      <c r="D152" t="s">
        <v>968</v>
      </c>
      <c r="E152" t="s">
        <v>60</v>
      </c>
      <c r="F152" t="s">
        <v>219</v>
      </c>
    </row>
    <row r="153" spans="1:6">
      <c r="A153" s="365">
        <f t="shared" si="7"/>
        <v>852</v>
      </c>
      <c r="B153" t="s">
        <v>118</v>
      </c>
      <c r="C153" t="str">
        <f t="shared" ca="1" si="6"/>
        <v>Hospital</v>
      </c>
      <c r="D153" t="s">
        <v>199</v>
      </c>
      <c r="E153" t="s">
        <v>199</v>
      </c>
      <c r="F153" t="s">
        <v>199</v>
      </c>
    </row>
    <row r="154" spans="1:6">
      <c r="A154" s="365">
        <f t="shared" si="7"/>
        <v>853</v>
      </c>
      <c r="B154" t="s">
        <v>119</v>
      </c>
      <c r="C154" t="str">
        <f t="shared" ca="1" si="6"/>
        <v>Sou alérgico à</v>
      </c>
      <c r="D154" t="s">
        <v>986</v>
      </c>
      <c r="E154" s="300" t="s">
        <v>1174</v>
      </c>
      <c r="F154" s="300" t="s">
        <v>381</v>
      </c>
    </row>
    <row r="155" spans="1:6">
      <c r="A155" s="365">
        <f t="shared" si="7"/>
        <v>854</v>
      </c>
      <c r="B155" t="s">
        <v>120</v>
      </c>
      <c r="C155" t="str">
        <f t="shared" ca="1" si="6"/>
        <v>Vacinação contra tétano:</v>
      </c>
      <c r="D155" t="s">
        <v>987</v>
      </c>
      <c r="E155" s="300" t="s">
        <v>1175</v>
      </c>
      <c r="F155" s="300" t="s">
        <v>382</v>
      </c>
    </row>
    <row r="156" spans="1:6">
      <c r="A156" s="365">
        <f t="shared" si="7"/>
        <v>855</v>
      </c>
      <c r="B156" t="s">
        <v>121</v>
      </c>
      <c r="C156" t="str">
        <f t="shared" ca="1" si="6"/>
        <v>sim</v>
      </c>
      <c r="D156" t="s">
        <v>850</v>
      </c>
      <c r="E156" s="300" t="s">
        <v>1176</v>
      </c>
      <c r="F156" t="s">
        <v>385</v>
      </c>
    </row>
    <row r="157" spans="1:6">
      <c r="A157" s="365">
        <f t="shared" si="7"/>
        <v>856</v>
      </c>
      <c r="B157" t="s">
        <v>122</v>
      </c>
      <c r="C157" t="str">
        <f t="shared" ca="1" si="6"/>
        <v>não</v>
      </c>
      <c r="D157" t="s">
        <v>988</v>
      </c>
      <c r="E157" s="300" t="s">
        <v>849</v>
      </c>
      <c r="F157" t="s">
        <v>105</v>
      </c>
    </row>
    <row r="158" spans="1:6">
      <c r="A158" s="365">
        <f t="shared" si="7"/>
        <v>857</v>
      </c>
      <c r="B158" t="s">
        <v>123</v>
      </c>
      <c r="C158" t="str">
        <f t="shared" ca="1" si="6"/>
        <v>Sofro de:</v>
      </c>
      <c r="D158" t="s">
        <v>989</v>
      </c>
      <c r="E158" s="300" t="s">
        <v>1177</v>
      </c>
      <c r="F158" s="300" t="s">
        <v>386</v>
      </c>
    </row>
    <row r="159" spans="1:6">
      <c r="A159" s="365">
        <f t="shared" si="7"/>
        <v>858</v>
      </c>
      <c r="B159" t="s">
        <v>124</v>
      </c>
      <c r="C159" t="str">
        <f t="shared" ca="1" si="6"/>
        <v>Coração</v>
      </c>
      <c r="D159" t="s">
        <v>990</v>
      </c>
      <c r="E159" t="s">
        <v>1178</v>
      </c>
      <c r="F159" t="s">
        <v>179</v>
      </c>
    </row>
    <row r="160" spans="1:6">
      <c r="A160" s="365">
        <f t="shared" si="7"/>
        <v>859</v>
      </c>
      <c r="B160" t="s">
        <v>125</v>
      </c>
      <c r="C160" t="str">
        <f t="shared" ca="1" si="6"/>
        <v>Hemofilia</v>
      </c>
      <c r="D160" t="s">
        <v>991</v>
      </c>
      <c r="E160" t="s">
        <v>180</v>
      </c>
      <c r="F160" t="s">
        <v>180</v>
      </c>
    </row>
    <row r="161" spans="1:6">
      <c r="A161" s="365">
        <f t="shared" si="7"/>
        <v>860</v>
      </c>
      <c r="B161" t="s">
        <v>126</v>
      </c>
      <c r="C161" t="str">
        <f t="shared" ca="1" si="6"/>
        <v>Eplepsia</v>
      </c>
      <c r="D161" t="s">
        <v>992</v>
      </c>
      <c r="E161" s="300" t="s">
        <v>1179</v>
      </c>
      <c r="F161" t="s">
        <v>181</v>
      </c>
    </row>
    <row r="162" spans="1:6">
      <c r="A162" s="365">
        <f t="shared" si="7"/>
        <v>861</v>
      </c>
      <c r="B162" t="s">
        <v>127</v>
      </c>
      <c r="C162" t="str">
        <f t="shared" ca="1" si="6"/>
        <v>Diabetes</v>
      </c>
      <c r="D162" t="s">
        <v>182</v>
      </c>
      <c r="E162" t="s">
        <v>182</v>
      </c>
      <c r="F162" t="s">
        <v>182</v>
      </c>
    </row>
    <row r="163" spans="1:6">
      <c r="A163" s="365">
        <f t="shared" si="7"/>
        <v>862</v>
      </c>
      <c r="B163" t="s">
        <v>128</v>
      </c>
      <c r="C163" t="str">
        <f t="shared" ca="1" si="6"/>
        <v>Em caso de emergência avisar:</v>
      </c>
      <c r="D163" t="s">
        <v>993</v>
      </c>
      <c r="E163" s="300" t="s">
        <v>1180</v>
      </c>
      <c r="F163" s="300" t="s">
        <v>183</v>
      </c>
    </row>
    <row r="164" spans="1:6">
      <c r="A164" s="365">
        <f t="shared" si="7"/>
        <v>863</v>
      </c>
      <c r="B164" t="s">
        <v>129</v>
      </c>
      <c r="C164" t="str">
        <f t="shared" ca="1" si="6"/>
        <v>Nome:</v>
      </c>
      <c r="D164" t="s">
        <v>140</v>
      </c>
      <c r="E164" t="s">
        <v>138</v>
      </c>
      <c r="F164" t="s">
        <v>184</v>
      </c>
    </row>
    <row r="165" spans="1:6">
      <c r="A165" s="365">
        <f t="shared" si="7"/>
        <v>864</v>
      </c>
      <c r="B165" t="s">
        <v>130</v>
      </c>
      <c r="C165" t="str">
        <f ca="1">OFFSET(C165,0,$C$1)</f>
        <v>Fone:</v>
      </c>
      <c r="D165" t="s">
        <v>994</v>
      </c>
      <c r="E165" t="s">
        <v>139</v>
      </c>
      <c r="F165" t="s">
        <v>185</v>
      </c>
    </row>
    <row r="166" spans="1:6">
      <c r="A166" s="365">
        <f t="shared" si="7"/>
        <v>865</v>
      </c>
      <c r="B166" t="s">
        <v>131</v>
      </c>
      <c r="C166" t="str">
        <f ca="1">OFFSET(C166,0,$C$1)</f>
        <v>Nome:</v>
      </c>
      <c r="D166" t="s">
        <v>140</v>
      </c>
      <c r="E166" t="s">
        <v>138</v>
      </c>
      <c r="F166" t="s">
        <v>184</v>
      </c>
    </row>
    <row r="167" spans="1:6">
      <c r="A167" s="365">
        <f t="shared" si="7"/>
        <v>866</v>
      </c>
      <c r="B167" t="s">
        <v>132</v>
      </c>
      <c r="C167" t="str">
        <f ca="1">OFFSET(C167,0,$C$1)</f>
        <v>Fone:</v>
      </c>
      <c r="D167" t="s">
        <v>994</v>
      </c>
      <c r="E167" t="s">
        <v>139</v>
      </c>
      <c r="F167" t="s">
        <v>185</v>
      </c>
    </row>
    <row r="168" spans="1:6">
      <c r="A168" s="365">
        <f t="shared" si="7"/>
        <v>900</v>
      </c>
      <c r="B168" t="s">
        <v>913</v>
      </c>
      <c r="C168" t="str">
        <f t="shared" ref="C168:C218" ca="1" si="8">OFFSET(C168,0,$C$1)</f>
        <v>Feriados</v>
      </c>
      <c r="D168" t="s">
        <v>996</v>
      </c>
      <c r="E168" s="300" t="s">
        <v>1123</v>
      </c>
      <c r="F168" t="s">
        <v>421</v>
      </c>
    </row>
    <row r="169" spans="1:6">
      <c r="A169" s="365">
        <f t="shared" si="7"/>
        <v>901</v>
      </c>
      <c r="B169" s="300" t="s">
        <v>234</v>
      </c>
      <c r="C169" t="str">
        <f t="shared" ca="1" si="8"/>
        <v>Feriados</v>
      </c>
      <c r="D169" t="s">
        <v>996</v>
      </c>
      <c r="E169" s="300" t="s">
        <v>1192</v>
      </c>
      <c r="F169" t="s">
        <v>421</v>
      </c>
    </row>
    <row r="170" spans="1:6">
      <c r="A170" s="365">
        <f t="shared" si="7"/>
        <v>902</v>
      </c>
      <c r="B170" t="s">
        <v>922</v>
      </c>
      <c r="C170" t="str">
        <f t="shared" ca="1" si="8"/>
        <v>FERIADOS, COMEMORAÇÕES E ANIVERSÁRIOS</v>
      </c>
      <c r="D170" s="300" t="s">
        <v>4442</v>
      </c>
      <c r="E170" s="300" t="s">
        <v>5091</v>
      </c>
      <c r="F170" t="s">
        <v>4443</v>
      </c>
    </row>
    <row r="171" spans="1:6">
      <c r="A171" s="365">
        <f t="shared" si="7"/>
        <v>903</v>
      </c>
      <c r="B171" t="s">
        <v>923</v>
      </c>
      <c r="C171" t="str">
        <f t="shared" ca="1" si="8"/>
        <v>AUXILIAR PÁSCOA</v>
      </c>
      <c r="D171" s="300" t="s">
        <v>4465</v>
      </c>
      <c r="E171" s="300" t="s">
        <v>4464</v>
      </c>
      <c r="F171" s="300" t="s">
        <v>4463</v>
      </c>
    </row>
    <row r="172" spans="1:6">
      <c r="A172" s="365">
        <f t="shared" si="7"/>
        <v>904</v>
      </c>
      <c r="B172" t="s">
        <v>247</v>
      </c>
      <c r="C172" t="str">
        <f t="shared" ca="1" si="8"/>
        <v>FIXOS</v>
      </c>
      <c r="D172" t="s">
        <v>4444</v>
      </c>
      <c r="E172" s="300" t="s">
        <v>4445</v>
      </c>
      <c r="F172" s="300" t="s">
        <v>4446</v>
      </c>
    </row>
    <row r="173" spans="1:6">
      <c r="A173" s="365">
        <f t="shared" si="7"/>
        <v>905</v>
      </c>
      <c r="B173" t="s">
        <v>248</v>
      </c>
      <c r="C173" t="str">
        <f t="shared" ca="1" si="8"/>
        <v>MÓVEIS COM A PÁSCOA</v>
      </c>
      <c r="D173" s="300" t="s">
        <v>4448</v>
      </c>
      <c r="E173" s="300" t="s">
        <v>4449</v>
      </c>
      <c r="F173" s="300" t="s">
        <v>4447</v>
      </c>
    </row>
    <row r="174" spans="1:6">
      <c r="A174" s="365">
        <f t="shared" si="7"/>
        <v>906</v>
      </c>
      <c r="B174" t="s">
        <v>249</v>
      </c>
      <c r="C174" t="str">
        <f t="shared" ca="1" si="8"/>
        <v>MÓVEIS - CERTO DIA DA SEMANA DE CERTO MÊS</v>
      </c>
      <c r="D174" s="300" t="s">
        <v>4451</v>
      </c>
      <c r="E174" s="300" t="s">
        <v>4452</v>
      </c>
      <c r="F174" s="300" t="s">
        <v>4450</v>
      </c>
    </row>
    <row r="175" spans="1:6">
      <c r="A175" s="365">
        <f t="shared" si="7"/>
        <v>907</v>
      </c>
      <c r="B175" t="s">
        <v>250</v>
      </c>
      <c r="C175" t="str">
        <f t="shared" ca="1" si="8"/>
        <v>ESTAÇÕES DO ANO</v>
      </c>
      <c r="D175" s="300" t="s">
        <v>4455</v>
      </c>
      <c r="E175" s="300" t="s">
        <v>4454</v>
      </c>
      <c r="F175" t="s">
        <v>4453</v>
      </c>
    </row>
    <row r="176" spans="1:6">
      <c r="A176" s="365">
        <f t="shared" si="7"/>
        <v>908</v>
      </c>
      <c r="B176" t="s">
        <v>251</v>
      </c>
      <c r="C176" t="str">
        <f t="shared" ca="1" si="8"/>
        <v>AUXILIAR DIA DA SEMANA</v>
      </c>
      <c r="D176" t="s">
        <v>4466</v>
      </c>
      <c r="E176" s="300" t="s">
        <v>4468</v>
      </c>
      <c r="F176" s="300" t="s">
        <v>4467</v>
      </c>
    </row>
    <row r="177" spans="1:6">
      <c r="A177" s="365">
        <f t="shared" si="7"/>
        <v>909</v>
      </c>
      <c r="B177" t="s">
        <v>235</v>
      </c>
      <c r="C177" t="str">
        <f t="shared" ca="1" si="8"/>
        <v>Dia</v>
      </c>
      <c r="D177" t="s">
        <v>27</v>
      </c>
      <c r="E177" t="s">
        <v>1193</v>
      </c>
      <c r="F177" t="s">
        <v>213</v>
      </c>
    </row>
    <row r="178" spans="1:6">
      <c r="A178" s="365">
        <f t="shared" si="7"/>
        <v>910</v>
      </c>
      <c r="B178" t="s">
        <v>236</v>
      </c>
      <c r="C178" t="str">
        <f t="shared" ca="1" si="8"/>
        <v>Mês</v>
      </c>
      <c r="D178" t="s">
        <v>997</v>
      </c>
      <c r="E178" t="s">
        <v>1194</v>
      </c>
      <c r="F178" t="s">
        <v>578</v>
      </c>
    </row>
    <row r="179" spans="1:6">
      <c r="A179" s="365">
        <f t="shared" si="7"/>
        <v>911</v>
      </c>
      <c r="B179" t="s">
        <v>237</v>
      </c>
      <c r="C179" t="str">
        <f t="shared" ca="1" si="8"/>
        <v>Data</v>
      </c>
      <c r="D179" t="s">
        <v>26</v>
      </c>
      <c r="E179" t="s">
        <v>1195</v>
      </c>
      <c r="F179" t="s">
        <v>814</v>
      </c>
    </row>
    <row r="180" spans="1:6">
      <c r="A180" s="365">
        <f t="shared" si="7"/>
        <v>912</v>
      </c>
      <c r="B180" t="s">
        <v>936</v>
      </c>
      <c r="C180" t="str">
        <f t="shared" ca="1" si="8"/>
        <v>Nome</v>
      </c>
      <c r="D180" t="s">
        <v>33</v>
      </c>
      <c r="E180" t="s">
        <v>58</v>
      </c>
      <c r="F180" t="s">
        <v>215</v>
      </c>
    </row>
    <row r="181" spans="1:6">
      <c r="A181" s="365">
        <f t="shared" si="7"/>
        <v>913</v>
      </c>
      <c r="B181" t="s">
        <v>238</v>
      </c>
      <c r="C181" t="str">
        <f t="shared" ca="1" si="8"/>
        <v>Dia Sem.</v>
      </c>
      <c r="D181" t="s">
        <v>998</v>
      </c>
      <c r="E181" s="300" t="s">
        <v>1196</v>
      </c>
      <c r="F181" t="s">
        <v>704</v>
      </c>
    </row>
    <row r="182" spans="1:6">
      <c r="A182" s="365">
        <f t="shared" si="7"/>
        <v>914</v>
      </c>
      <c r="B182" t="s">
        <v>239</v>
      </c>
      <c r="C182" t="str">
        <f t="shared" ca="1" si="8"/>
        <v>Compen-sação</v>
      </c>
      <c r="D182" s="300" t="s">
        <v>1198</v>
      </c>
      <c r="E182" s="300" t="s">
        <v>1197</v>
      </c>
      <c r="F182" t="s">
        <v>150</v>
      </c>
    </row>
    <row r="183" spans="1:6">
      <c r="A183" s="365">
        <f t="shared" si="7"/>
        <v>915</v>
      </c>
      <c r="B183" t="s">
        <v>252</v>
      </c>
      <c r="C183" t="str">
        <f t="shared" ca="1" si="8"/>
        <v>Tipo</v>
      </c>
      <c r="D183" t="s">
        <v>28</v>
      </c>
      <c r="E183" t="s">
        <v>705</v>
      </c>
      <c r="F183" t="s">
        <v>705</v>
      </c>
    </row>
    <row r="184" spans="1:6">
      <c r="A184" s="365">
        <f t="shared" si="7"/>
        <v>916</v>
      </c>
      <c r="B184" s="300" t="s">
        <v>4436</v>
      </c>
      <c r="C184" t="str">
        <f t="shared" ca="1" si="8"/>
        <v>Feriado</v>
      </c>
      <c r="D184" s="300" t="s">
        <v>4434</v>
      </c>
      <c r="E184" s="300" t="s">
        <v>590</v>
      </c>
      <c r="F184" s="300" t="s">
        <v>590</v>
      </c>
    </row>
    <row r="185" spans="1:6">
      <c r="A185" s="365">
        <f t="shared" si="7"/>
        <v>917</v>
      </c>
      <c r="B185" s="300" t="s">
        <v>4437</v>
      </c>
      <c r="C185" t="str">
        <f t="shared" ca="1" si="8"/>
        <v>Evento</v>
      </c>
      <c r="D185" s="300" t="s">
        <v>4435</v>
      </c>
      <c r="E185" s="300" t="s">
        <v>4430</v>
      </c>
      <c r="F185" s="300" t="s">
        <v>4430</v>
      </c>
    </row>
    <row r="186" spans="1:6">
      <c r="A186" s="365">
        <f t="shared" si="7"/>
        <v>918</v>
      </c>
      <c r="B186" t="s">
        <v>240</v>
      </c>
      <c r="C186" t="str">
        <f t="shared" ca="1" si="8"/>
        <v>Domingo</v>
      </c>
      <c r="D186" t="s">
        <v>47</v>
      </c>
      <c r="E186" t="s">
        <v>595</v>
      </c>
      <c r="F186" t="s">
        <v>595</v>
      </c>
    </row>
    <row r="187" spans="1:6">
      <c r="A187" s="365">
        <f t="shared" si="7"/>
        <v>919</v>
      </c>
      <c r="B187" t="s">
        <v>241</v>
      </c>
      <c r="C187" t="str">
        <f t="shared" ca="1" si="8"/>
        <v>Segunda</v>
      </c>
      <c r="D187" t="s">
        <v>48</v>
      </c>
      <c r="E187" t="s">
        <v>436</v>
      </c>
      <c r="F187" t="s">
        <v>593</v>
      </c>
    </row>
    <row r="188" spans="1:6">
      <c r="A188" s="365">
        <f t="shared" si="7"/>
        <v>920</v>
      </c>
      <c r="B188" t="s">
        <v>242</v>
      </c>
      <c r="C188" t="str">
        <f t="shared" ca="1" si="8"/>
        <v>Terça</v>
      </c>
      <c r="D188" t="s">
        <v>49</v>
      </c>
      <c r="E188" t="s">
        <v>437</v>
      </c>
      <c r="F188" t="s">
        <v>594</v>
      </c>
    </row>
    <row r="189" spans="1:6">
      <c r="A189" s="365">
        <f t="shared" si="7"/>
        <v>921</v>
      </c>
      <c r="B189" t="s">
        <v>243</v>
      </c>
      <c r="C189" t="str">
        <f t="shared" ca="1" si="8"/>
        <v>Quarta</v>
      </c>
      <c r="D189" t="s">
        <v>50</v>
      </c>
      <c r="E189" t="s">
        <v>438</v>
      </c>
      <c r="F189" t="s">
        <v>586</v>
      </c>
    </row>
    <row r="190" spans="1:6">
      <c r="A190" s="365">
        <f t="shared" si="7"/>
        <v>922</v>
      </c>
      <c r="B190" t="s">
        <v>244</v>
      </c>
      <c r="C190" t="str">
        <f t="shared" ca="1" si="8"/>
        <v>Quinta</v>
      </c>
      <c r="D190" t="s">
        <v>51</v>
      </c>
      <c r="E190" t="s">
        <v>439</v>
      </c>
      <c r="F190" t="s">
        <v>587</v>
      </c>
    </row>
    <row r="191" spans="1:6">
      <c r="A191" s="365">
        <f t="shared" si="7"/>
        <v>923</v>
      </c>
      <c r="B191" t="s">
        <v>245</v>
      </c>
      <c r="C191" t="str">
        <f t="shared" ca="1" si="8"/>
        <v>Sexta</v>
      </c>
      <c r="D191" t="s">
        <v>52</v>
      </c>
      <c r="E191" t="s">
        <v>440</v>
      </c>
      <c r="F191" t="s">
        <v>588</v>
      </c>
    </row>
    <row r="192" spans="1:6">
      <c r="A192" s="365">
        <f t="shared" si="7"/>
        <v>924</v>
      </c>
      <c r="B192" t="s">
        <v>246</v>
      </c>
      <c r="C192" t="str">
        <f t="shared" ca="1" si="8"/>
        <v>Sábado</v>
      </c>
      <c r="D192" t="s">
        <v>53</v>
      </c>
      <c r="E192" t="s">
        <v>441</v>
      </c>
      <c r="F192" t="s">
        <v>589</v>
      </c>
    </row>
    <row r="193" spans="1:7" s="295" customFormat="1">
      <c r="A193" s="365">
        <f t="shared" si="7"/>
        <v>925</v>
      </c>
      <c r="B193" s="300" t="s">
        <v>1233</v>
      </c>
      <c r="C193" s="295" t="str">
        <f t="shared" ca="1" si="8"/>
        <v>Outono</v>
      </c>
      <c r="D193" s="295" t="s">
        <v>1226</v>
      </c>
      <c r="E193" s="295" t="s">
        <v>1230</v>
      </c>
      <c r="F193" s="295" t="s">
        <v>162</v>
      </c>
    </row>
    <row r="194" spans="1:7" s="295" customFormat="1">
      <c r="A194" s="365">
        <f t="shared" si="7"/>
        <v>926</v>
      </c>
      <c r="B194" s="300" t="s">
        <v>1234</v>
      </c>
      <c r="C194" s="295" t="str">
        <f t="shared" ca="1" si="8"/>
        <v>Inverno</v>
      </c>
      <c r="D194" s="295" t="s">
        <v>1227</v>
      </c>
      <c r="E194" s="295" t="s">
        <v>1231</v>
      </c>
      <c r="F194" s="295" t="s">
        <v>163</v>
      </c>
    </row>
    <row r="195" spans="1:7" s="295" customFormat="1">
      <c r="A195" s="365">
        <f t="shared" si="7"/>
        <v>927</v>
      </c>
      <c r="B195" s="300" t="s">
        <v>1235</v>
      </c>
      <c r="C195" s="295" t="str">
        <f t="shared" ca="1" si="8"/>
        <v>Primavera</v>
      </c>
      <c r="D195" s="295" t="s">
        <v>1228</v>
      </c>
      <c r="E195" s="295" t="s">
        <v>164</v>
      </c>
      <c r="F195" s="295" t="s">
        <v>164</v>
      </c>
    </row>
    <row r="196" spans="1:7" s="295" customFormat="1">
      <c r="A196" s="365">
        <f t="shared" si="7"/>
        <v>928</v>
      </c>
      <c r="B196" s="300" t="s">
        <v>1236</v>
      </c>
      <c r="C196" s="295" t="str">
        <f t="shared" ca="1" si="8"/>
        <v>Verão</v>
      </c>
      <c r="D196" s="295" t="s">
        <v>1229</v>
      </c>
      <c r="E196" s="295" t="s">
        <v>1232</v>
      </c>
      <c r="F196" s="295" t="s">
        <v>165</v>
      </c>
    </row>
    <row r="197" spans="1:7" s="365" customFormat="1">
      <c r="A197" s="365">
        <f t="shared" si="7"/>
        <v>929</v>
      </c>
      <c r="B197" s="365" t="s">
        <v>4368</v>
      </c>
      <c r="C197" s="365" t="str">
        <f t="shared" ca="1" si="8"/>
        <v>Halloween</v>
      </c>
      <c r="D197" s="365" t="s">
        <v>4368</v>
      </c>
      <c r="E197" s="365" t="s">
        <v>4368</v>
      </c>
      <c r="F197" s="365" t="s">
        <v>4368</v>
      </c>
    </row>
    <row r="198" spans="1:7" s="365" customFormat="1">
      <c r="A198" s="365">
        <f t="shared" si="7"/>
        <v>930</v>
      </c>
      <c r="B198" s="365" t="s">
        <v>4354</v>
      </c>
      <c r="C198" s="365" t="str">
        <f t="shared" ca="1" si="8"/>
        <v>Todos os Santos</v>
      </c>
      <c r="D198" s="365" t="s">
        <v>4354</v>
      </c>
      <c r="E198" s="365" t="s">
        <v>4354</v>
      </c>
      <c r="F198" s="300" t="s">
        <v>4421</v>
      </c>
    </row>
    <row r="199" spans="1:7" s="365" customFormat="1">
      <c r="A199" s="365">
        <f t="shared" si="7"/>
        <v>931</v>
      </c>
      <c r="B199" s="365" t="s">
        <v>4355</v>
      </c>
      <c r="C199" s="365" t="str">
        <f t="shared" ca="1" si="8"/>
        <v>Finados</v>
      </c>
      <c r="D199" s="365" t="s">
        <v>4355</v>
      </c>
      <c r="E199" s="365" t="s">
        <v>4355</v>
      </c>
      <c r="F199" s="300" t="s">
        <v>758</v>
      </c>
    </row>
    <row r="200" spans="1:7" s="365" customFormat="1">
      <c r="A200" s="365">
        <f t="shared" si="7"/>
        <v>932</v>
      </c>
      <c r="B200" s="365" t="s">
        <v>4353</v>
      </c>
      <c r="C200" s="365" t="str">
        <f t="shared" ca="1" si="8"/>
        <v>Advento</v>
      </c>
      <c r="D200" s="365" t="s">
        <v>4353</v>
      </c>
      <c r="E200" s="365" t="s">
        <v>4353</v>
      </c>
      <c r="F200" s="300" t="s">
        <v>4422</v>
      </c>
    </row>
    <row r="201" spans="1:7" s="365" customFormat="1">
      <c r="A201" s="365">
        <f t="shared" si="7"/>
        <v>933</v>
      </c>
      <c r="B201" s="365" t="s">
        <v>4408</v>
      </c>
      <c r="C201" s="365" t="str">
        <f t="shared" ca="1" si="8"/>
        <v>Natal</v>
      </c>
      <c r="D201" s="365" t="s">
        <v>4408</v>
      </c>
      <c r="E201" s="365" t="s">
        <v>4408</v>
      </c>
      <c r="F201" s="300" t="s">
        <v>543</v>
      </c>
      <c r="G201" s="300"/>
    </row>
    <row r="202" spans="1:7" s="365" customFormat="1">
      <c r="A202" s="365">
        <f t="shared" si="7"/>
        <v>934</v>
      </c>
      <c r="B202" s="365" t="s">
        <v>4357</v>
      </c>
      <c r="C202" s="365" t="str">
        <f t="shared" ca="1" si="8"/>
        <v>Santos Inocentes</v>
      </c>
      <c r="D202" s="365" t="s">
        <v>4357</v>
      </c>
      <c r="E202" s="365" t="s">
        <v>4357</v>
      </c>
      <c r="F202" s="300" t="s">
        <v>4424</v>
      </c>
    </row>
    <row r="203" spans="1:7" s="365" customFormat="1">
      <c r="A203" s="365">
        <f t="shared" si="7"/>
        <v>935</v>
      </c>
      <c r="B203" s="365" t="s">
        <v>4360</v>
      </c>
      <c r="C203" s="365" t="str">
        <f t="shared" ca="1" si="8"/>
        <v>Epifania</v>
      </c>
      <c r="D203" s="365" t="s">
        <v>4360</v>
      </c>
      <c r="E203" s="365" t="s">
        <v>4360</v>
      </c>
      <c r="F203" s="300" t="s">
        <v>4418</v>
      </c>
    </row>
    <row r="204" spans="1:7" s="365" customFormat="1">
      <c r="A204" s="365">
        <f t="shared" si="7"/>
        <v>936</v>
      </c>
      <c r="B204" s="365" t="s">
        <v>4356</v>
      </c>
      <c r="C204" s="365" t="str">
        <f t="shared" ca="1" si="8"/>
        <v>Candelária</v>
      </c>
      <c r="D204" s="365" t="s">
        <v>4356</v>
      </c>
      <c r="E204" s="365" t="s">
        <v>4356</v>
      </c>
      <c r="F204" s="365" t="s">
        <v>4425</v>
      </c>
    </row>
    <row r="205" spans="1:7" s="365" customFormat="1">
      <c r="A205" s="365">
        <f t="shared" si="7"/>
        <v>937</v>
      </c>
      <c r="B205" s="365" t="s">
        <v>4417</v>
      </c>
      <c r="C205" s="365" t="str">
        <f t="shared" ca="1" si="8"/>
        <v>Domingo de Ramos</v>
      </c>
      <c r="D205" s="365" t="s">
        <v>4417</v>
      </c>
      <c r="E205" s="301" t="s">
        <v>325</v>
      </c>
      <c r="F205" s="300" t="s">
        <v>755</v>
      </c>
    </row>
    <row r="206" spans="1:7" s="365" customFormat="1">
      <c r="A206" s="365">
        <f t="shared" si="7"/>
        <v>938</v>
      </c>
      <c r="B206" s="365" t="s">
        <v>4374</v>
      </c>
      <c r="C206" s="365" t="str">
        <f t="shared" ca="1" si="8"/>
        <v>Terça-feira de Carnaval</v>
      </c>
      <c r="D206" s="365" t="s">
        <v>4374</v>
      </c>
      <c r="E206" s="365" t="s">
        <v>4374</v>
      </c>
      <c r="F206" s="300" t="s">
        <v>4431</v>
      </c>
      <c r="G206" s="300"/>
    </row>
    <row r="207" spans="1:7" s="365" customFormat="1">
      <c r="A207" s="365">
        <f t="shared" si="7"/>
        <v>939</v>
      </c>
      <c r="B207" s="365" t="s">
        <v>4402</v>
      </c>
      <c r="C207" s="365" t="str">
        <f t="shared" ca="1" si="8"/>
        <v>Quarta-feira de Cinzas</v>
      </c>
      <c r="D207" s="365" t="s">
        <v>4402</v>
      </c>
      <c r="E207" s="365" t="s">
        <v>4402</v>
      </c>
      <c r="F207" s="300" t="s">
        <v>4432</v>
      </c>
      <c r="G207" s="300"/>
    </row>
    <row r="208" spans="1:7" s="365" customFormat="1">
      <c r="A208" s="365">
        <f t="shared" si="7"/>
        <v>940</v>
      </c>
      <c r="B208" s="365" t="s">
        <v>4395</v>
      </c>
      <c r="C208" s="365" t="str">
        <f t="shared" ca="1" si="8"/>
        <v>Quinta-feira Santa</v>
      </c>
      <c r="D208" s="365" t="s">
        <v>4395</v>
      </c>
      <c r="E208" s="365" t="s">
        <v>4395</v>
      </c>
      <c r="F208" s="365" t="s">
        <v>4426</v>
      </c>
    </row>
    <row r="209" spans="1:7" s="365" customFormat="1">
      <c r="A209" s="365">
        <f t="shared" si="7"/>
        <v>941</v>
      </c>
      <c r="B209" s="365" t="s">
        <v>4397</v>
      </c>
      <c r="C209" s="365" t="str">
        <f t="shared" ca="1" si="8"/>
        <v>Paixão de Cristo</v>
      </c>
      <c r="D209" s="365" t="s">
        <v>4397</v>
      </c>
      <c r="E209" s="365" t="s">
        <v>4397</v>
      </c>
      <c r="F209" s="300" t="s">
        <v>544</v>
      </c>
      <c r="G209" s="300"/>
    </row>
    <row r="210" spans="1:7" s="365" customFormat="1">
      <c r="A210" s="365">
        <f t="shared" si="7"/>
        <v>942</v>
      </c>
      <c r="B210" s="365" t="s">
        <v>4359</v>
      </c>
      <c r="C210" s="365" t="str">
        <f t="shared" ca="1" si="8"/>
        <v>Sábado de Aleluia</v>
      </c>
      <c r="D210" s="365" t="s">
        <v>4359</v>
      </c>
      <c r="E210" s="365" t="s">
        <v>4359</v>
      </c>
      <c r="F210" s="300" t="s">
        <v>756</v>
      </c>
    </row>
    <row r="211" spans="1:7" s="365" customFormat="1">
      <c r="A211" s="365">
        <f t="shared" si="7"/>
        <v>943</v>
      </c>
      <c r="B211" s="300" t="s">
        <v>4415</v>
      </c>
      <c r="C211" s="365" t="str">
        <f t="shared" ca="1" si="8"/>
        <v>Domingo de Páscoa</v>
      </c>
      <c r="D211" s="300" t="s">
        <v>4415</v>
      </c>
      <c r="E211" s="300" t="s">
        <v>4415</v>
      </c>
      <c r="F211" s="300" t="s">
        <v>4428</v>
      </c>
      <c r="G211" s="300"/>
    </row>
    <row r="212" spans="1:7" s="365" customFormat="1">
      <c r="A212" s="365">
        <f t="shared" si="7"/>
        <v>944</v>
      </c>
      <c r="B212" s="365" t="s">
        <v>4399</v>
      </c>
      <c r="C212" s="365" t="str">
        <f t="shared" ca="1" si="8"/>
        <v>Segunda-feira de Páscoa</v>
      </c>
      <c r="D212" s="365" t="s">
        <v>4399</v>
      </c>
      <c r="E212" s="365" t="s">
        <v>4399</v>
      </c>
      <c r="F212" s="300" t="s">
        <v>4427</v>
      </c>
    </row>
    <row r="213" spans="1:7" s="365" customFormat="1">
      <c r="A213" s="365">
        <f t="shared" si="7"/>
        <v>945</v>
      </c>
      <c r="B213" s="365" t="s">
        <v>4406</v>
      </c>
      <c r="C213" s="365" t="str">
        <f t="shared" ca="1" si="8"/>
        <v>Ascensão de Jesus</v>
      </c>
      <c r="D213" s="365" t="s">
        <v>4406</v>
      </c>
      <c r="E213" s="365" t="s">
        <v>4406</v>
      </c>
      <c r="F213" s="300" t="s">
        <v>4419</v>
      </c>
    </row>
    <row r="214" spans="1:7" s="365" customFormat="1">
      <c r="A214" s="365">
        <f t="shared" ref="A214:A277" si="9">IF(RIGHT(B214,8)="_section",(INT(A213/100)+1)*100,A213+1)</f>
        <v>946</v>
      </c>
      <c r="B214" s="365" t="s">
        <v>4410</v>
      </c>
      <c r="C214" s="365" t="str">
        <f t="shared" ca="1" si="8"/>
        <v>Pentecostes</v>
      </c>
      <c r="D214" s="365" t="s">
        <v>4410</v>
      </c>
      <c r="E214" s="365" t="s">
        <v>4410</v>
      </c>
      <c r="F214" s="300" t="s">
        <v>760</v>
      </c>
    </row>
    <row r="215" spans="1:7" s="365" customFormat="1">
      <c r="A215" s="365">
        <f t="shared" si="9"/>
        <v>947</v>
      </c>
      <c r="B215" s="300" t="s">
        <v>4381</v>
      </c>
      <c r="C215" s="365" t="str">
        <f t="shared" ca="1" si="8"/>
        <v>Trindade</v>
      </c>
      <c r="D215" s="300" t="s">
        <v>4381</v>
      </c>
      <c r="E215" s="300" t="s">
        <v>4381</v>
      </c>
      <c r="F215" s="300" t="s">
        <v>4423</v>
      </c>
      <c r="G215" s="300"/>
    </row>
    <row r="216" spans="1:7" s="365" customFormat="1">
      <c r="A216" s="365">
        <f t="shared" si="9"/>
        <v>948</v>
      </c>
      <c r="B216" s="365" t="s">
        <v>759</v>
      </c>
      <c r="C216" s="365" t="str">
        <f t="shared" ca="1" si="8"/>
        <v>Corpus Christi</v>
      </c>
      <c r="D216" s="365" t="s">
        <v>759</v>
      </c>
      <c r="E216" s="365" t="s">
        <v>759</v>
      </c>
      <c r="F216" s="365" t="s">
        <v>759</v>
      </c>
      <c r="G216" s="300"/>
    </row>
    <row r="217" spans="1:7" s="365" customFormat="1">
      <c r="A217" s="365">
        <f t="shared" si="9"/>
        <v>949</v>
      </c>
      <c r="B217" s="365" t="s">
        <v>4413</v>
      </c>
      <c r="C217" s="365" t="str">
        <f t="shared" ca="1" si="8"/>
        <v>Ascensão de Maria</v>
      </c>
      <c r="D217" s="365" t="s">
        <v>4413</v>
      </c>
      <c r="E217" s="365" t="s">
        <v>4413</v>
      </c>
      <c r="F217" s="300" t="s">
        <v>4420</v>
      </c>
    </row>
    <row r="218" spans="1:7" s="365" customFormat="1">
      <c r="A218" s="365">
        <f t="shared" si="9"/>
        <v>950</v>
      </c>
      <c r="B218" s="365" t="s">
        <v>4364</v>
      </c>
      <c r="C218" s="365" t="str">
        <f t="shared" ca="1" si="8"/>
        <v>Réveillon</v>
      </c>
      <c r="D218" s="365" t="s">
        <v>4364</v>
      </c>
      <c r="E218" s="365" t="s">
        <v>4364</v>
      </c>
      <c r="F218" s="365" t="s">
        <v>4429</v>
      </c>
    </row>
    <row r="219" spans="1:7">
      <c r="A219" s="365">
        <f t="shared" si="9"/>
        <v>1000</v>
      </c>
      <c r="B219" t="s">
        <v>912</v>
      </c>
      <c r="C219" t="str">
        <f t="shared" ref="C219:C238" ca="1" si="10">OFFSET(C219,0,$C$1)</f>
        <v>Calendário</v>
      </c>
      <c r="D219" t="s">
        <v>727</v>
      </c>
      <c r="E219" s="300" t="s">
        <v>284</v>
      </c>
      <c r="F219" s="297" t="s">
        <v>495</v>
      </c>
    </row>
    <row r="220" spans="1:7">
      <c r="A220" s="365">
        <f t="shared" si="9"/>
        <v>1001</v>
      </c>
      <c r="B220" s="300" t="s">
        <v>283</v>
      </c>
      <c r="C220" t="str">
        <f t="shared" ca="1" si="10"/>
        <v>Calendario</v>
      </c>
      <c r="D220" t="s">
        <v>727</v>
      </c>
      <c r="E220" s="300" t="s">
        <v>284</v>
      </c>
      <c r="F220" s="300" t="s">
        <v>284</v>
      </c>
    </row>
    <row r="221" spans="1:7">
      <c r="A221" s="365">
        <f t="shared" si="9"/>
        <v>1002</v>
      </c>
      <c r="B221" t="s">
        <v>1033</v>
      </c>
      <c r="C221" t="str">
        <f t="shared" ca="1" si="10"/>
        <v>Calendário</v>
      </c>
      <c r="D221" t="s">
        <v>727</v>
      </c>
      <c r="E221" s="300" t="s">
        <v>284</v>
      </c>
      <c r="F221" t="s">
        <v>495</v>
      </c>
    </row>
    <row r="222" spans="1:7">
      <c r="A222" s="365">
        <f t="shared" ca="1" si="9"/>
        <v>1003</v>
      </c>
      <c r="B222" t="str">
        <f ca="1">"cal_"&amp;LOWER(LEFT(C222,3))</f>
        <v>cal_jan</v>
      </c>
      <c r="C222" t="str">
        <f t="shared" ca="1" si="10"/>
        <v>Janeiro</v>
      </c>
      <c r="D222" t="s">
        <v>1111</v>
      </c>
      <c r="E222" t="s">
        <v>1182</v>
      </c>
      <c r="F222" t="s">
        <v>1021</v>
      </c>
    </row>
    <row r="223" spans="1:7">
      <c r="A223" s="365">
        <f t="shared" ca="1" si="9"/>
        <v>1004</v>
      </c>
      <c r="B223" t="str">
        <f t="shared" ref="B223:B233" ca="1" si="11">"cal_"&amp;LOWER(LEFT(C223,3))</f>
        <v>cal_fev</v>
      </c>
      <c r="C223" t="str">
        <f t="shared" ca="1" si="10"/>
        <v>Fevereiro</v>
      </c>
      <c r="D223" t="s">
        <v>1112</v>
      </c>
      <c r="E223" t="s">
        <v>1183</v>
      </c>
      <c r="F223" t="s">
        <v>1022</v>
      </c>
    </row>
    <row r="224" spans="1:7">
      <c r="A224" s="365">
        <f t="shared" ca="1" si="9"/>
        <v>1005</v>
      </c>
      <c r="B224" t="str">
        <f t="shared" ca="1" si="11"/>
        <v>cal_mar</v>
      </c>
      <c r="C224" t="str">
        <f t="shared" ca="1" si="10"/>
        <v>Março</v>
      </c>
      <c r="D224" t="s">
        <v>1113</v>
      </c>
      <c r="E224" t="s">
        <v>1184</v>
      </c>
      <c r="F224" t="s">
        <v>1023</v>
      </c>
    </row>
    <row r="225" spans="1:6">
      <c r="A225" s="365">
        <f t="shared" ca="1" si="9"/>
        <v>1006</v>
      </c>
      <c r="B225" t="str">
        <f t="shared" ca="1" si="11"/>
        <v>cal_abr</v>
      </c>
      <c r="C225" t="str">
        <f t="shared" ca="1" si="10"/>
        <v>Abril</v>
      </c>
      <c r="D225" t="s">
        <v>1114</v>
      </c>
      <c r="E225" t="s">
        <v>1024</v>
      </c>
      <c r="F225" t="s">
        <v>1024</v>
      </c>
    </row>
    <row r="226" spans="1:6">
      <c r="A226" s="365">
        <f t="shared" ca="1" si="9"/>
        <v>1007</v>
      </c>
      <c r="B226" t="str">
        <f t="shared" ca="1" si="11"/>
        <v>cal_mai</v>
      </c>
      <c r="C226" t="str">
        <f t="shared" ca="1" si="10"/>
        <v>Maio</v>
      </c>
      <c r="D226" t="s">
        <v>558</v>
      </c>
      <c r="E226" t="s">
        <v>1185</v>
      </c>
      <c r="F226" t="s">
        <v>1025</v>
      </c>
    </row>
    <row r="227" spans="1:6">
      <c r="A227" s="365">
        <f t="shared" ca="1" si="9"/>
        <v>1008</v>
      </c>
      <c r="B227" t="str">
        <f t="shared" ca="1" si="11"/>
        <v>cal_jun</v>
      </c>
      <c r="C227" t="str">
        <f t="shared" ca="1" si="10"/>
        <v>Junho</v>
      </c>
      <c r="D227" t="s">
        <v>1115</v>
      </c>
      <c r="E227" t="s">
        <v>1186</v>
      </c>
      <c r="F227" t="s">
        <v>1026</v>
      </c>
    </row>
    <row r="228" spans="1:6">
      <c r="A228" s="365">
        <f t="shared" ca="1" si="9"/>
        <v>1009</v>
      </c>
      <c r="B228" t="str">
        <f t="shared" ca="1" si="11"/>
        <v>cal_jul</v>
      </c>
      <c r="C228" t="str">
        <f t="shared" ca="1" si="10"/>
        <v>Julho</v>
      </c>
      <c r="D228" t="s">
        <v>1116</v>
      </c>
      <c r="E228" t="s">
        <v>1187</v>
      </c>
      <c r="F228" t="s">
        <v>1027</v>
      </c>
    </row>
    <row r="229" spans="1:6">
      <c r="A229" s="365">
        <f t="shared" ca="1" si="9"/>
        <v>1010</v>
      </c>
      <c r="B229" t="str">
        <f t="shared" ca="1" si="11"/>
        <v>cal_ago</v>
      </c>
      <c r="C229" t="str">
        <f t="shared" ca="1" si="10"/>
        <v>Agosto</v>
      </c>
      <c r="D229" t="s">
        <v>1117</v>
      </c>
      <c r="E229" t="s">
        <v>1028</v>
      </c>
      <c r="F229" t="s">
        <v>1028</v>
      </c>
    </row>
    <row r="230" spans="1:6">
      <c r="A230" s="365">
        <f t="shared" ca="1" si="9"/>
        <v>1011</v>
      </c>
      <c r="B230" t="str">
        <f t="shared" ca="1" si="11"/>
        <v>cal_set</v>
      </c>
      <c r="C230" t="str">
        <f t="shared" ca="1" si="10"/>
        <v>Setembro</v>
      </c>
      <c r="D230" t="s">
        <v>1118</v>
      </c>
      <c r="E230" t="s">
        <v>1188</v>
      </c>
      <c r="F230" t="s">
        <v>1029</v>
      </c>
    </row>
    <row r="231" spans="1:6">
      <c r="A231" s="365">
        <f t="shared" ca="1" si="9"/>
        <v>1012</v>
      </c>
      <c r="B231" t="str">
        <f t="shared" ca="1" si="11"/>
        <v>cal_out</v>
      </c>
      <c r="C231" t="str">
        <f t="shared" ca="1" si="10"/>
        <v>Outubro</v>
      </c>
      <c r="D231" t="s">
        <v>1119</v>
      </c>
      <c r="E231" t="s">
        <v>1189</v>
      </c>
      <c r="F231" s="300" t="s">
        <v>1110</v>
      </c>
    </row>
    <row r="232" spans="1:6">
      <c r="A232" s="365">
        <f t="shared" ca="1" si="9"/>
        <v>1013</v>
      </c>
      <c r="B232" t="str">
        <f t="shared" ca="1" si="11"/>
        <v>cal_nov</v>
      </c>
      <c r="C232" t="str">
        <f t="shared" ca="1" si="10"/>
        <v>Novembro</v>
      </c>
      <c r="D232" t="s">
        <v>1120</v>
      </c>
      <c r="E232" t="s">
        <v>1190</v>
      </c>
      <c r="F232" t="s">
        <v>1030</v>
      </c>
    </row>
    <row r="233" spans="1:6">
      <c r="A233" s="365">
        <f t="shared" ca="1" si="9"/>
        <v>1014</v>
      </c>
      <c r="B233" t="str">
        <f t="shared" ca="1" si="11"/>
        <v>cal_dez</v>
      </c>
      <c r="C233" t="str">
        <f t="shared" ca="1" si="10"/>
        <v>Dezembro</v>
      </c>
      <c r="D233" t="s">
        <v>1121</v>
      </c>
      <c r="E233" t="s">
        <v>1191</v>
      </c>
      <c r="F233" t="s">
        <v>1031</v>
      </c>
    </row>
    <row r="234" spans="1:6">
      <c r="A234" s="365">
        <f t="shared" ca="1" si="9"/>
        <v>1100</v>
      </c>
      <c r="B234" t="s">
        <v>896</v>
      </c>
      <c r="C234" t="str">
        <f t="shared" ca="1" si="10"/>
        <v>Mensal</v>
      </c>
      <c r="D234" s="300" t="s">
        <v>942</v>
      </c>
      <c r="E234" s="300" t="s">
        <v>1124</v>
      </c>
      <c r="F234" t="s">
        <v>422</v>
      </c>
    </row>
    <row r="235" spans="1:6">
      <c r="A235" s="365">
        <f t="shared" ca="1" si="9"/>
        <v>1101</v>
      </c>
      <c r="B235" s="300" t="s">
        <v>253</v>
      </c>
      <c r="C235" t="str">
        <f t="shared" ca="1" si="10"/>
        <v>Mensal</v>
      </c>
      <c r="D235" s="300" t="s">
        <v>942</v>
      </c>
      <c r="E235" s="300" t="s">
        <v>1124</v>
      </c>
      <c r="F235" t="s">
        <v>422</v>
      </c>
    </row>
    <row r="236" spans="1:6">
      <c r="A236" s="365">
        <f t="shared" ca="1" si="9"/>
        <v>1102</v>
      </c>
      <c r="B236" t="s">
        <v>924</v>
      </c>
      <c r="C236" t="str">
        <f t="shared" ca="1" si="10"/>
        <v>PLANEJAMENTO MENSAL</v>
      </c>
      <c r="D236" s="232" t="s">
        <v>890</v>
      </c>
      <c r="E236" s="300" t="s">
        <v>1199</v>
      </c>
      <c r="F236" s="300" t="s">
        <v>580</v>
      </c>
    </row>
    <row r="237" spans="1:6">
      <c r="A237" s="365">
        <f t="shared" ca="1" si="9"/>
        <v>1103</v>
      </c>
      <c r="B237" t="s">
        <v>254</v>
      </c>
      <c r="C237" t="str">
        <f t="shared" ca="1" si="10"/>
        <v>PRIORIDADES</v>
      </c>
      <c r="D237" t="s">
        <v>891</v>
      </c>
      <c r="E237" s="300" t="s">
        <v>703</v>
      </c>
      <c r="F237" s="300" t="s">
        <v>703</v>
      </c>
    </row>
    <row r="238" spans="1:6">
      <c r="A238" s="365">
        <f t="shared" ca="1" si="9"/>
        <v>1104</v>
      </c>
      <c r="B238" s="232" t="s">
        <v>855</v>
      </c>
      <c r="C238" t="str">
        <f t="shared" ca="1" si="10"/>
        <v>Obs.:</v>
      </c>
      <c r="D238" s="232" t="s">
        <v>892</v>
      </c>
      <c r="E238" s="300" t="s">
        <v>1200</v>
      </c>
      <c r="F238" s="232" t="s">
        <v>856</v>
      </c>
    </row>
    <row r="239" spans="1:6">
      <c r="A239" s="365">
        <f t="shared" ca="1" si="9"/>
        <v>1200</v>
      </c>
      <c r="B239" t="s">
        <v>898</v>
      </c>
      <c r="C239" t="str">
        <f t="shared" ref="C239:C270" ca="1" si="12">OFFSET(C239,0,$C$1)</f>
        <v>Semana-Verso</v>
      </c>
      <c r="D239" s="300" t="s">
        <v>894</v>
      </c>
      <c r="E239" s="295" t="s">
        <v>423</v>
      </c>
      <c r="F239" t="s">
        <v>423</v>
      </c>
    </row>
    <row r="240" spans="1:6">
      <c r="A240" s="365">
        <f t="shared" ca="1" si="9"/>
        <v>1201</v>
      </c>
      <c r="B240" t="s">
        <v>255</v>
      </c>
      <c r="C240" t="str">
        <f t="shared" ca="1" si="12"/>
        <v>Semana-Verso</v>
      </c>
      <c r="D240" s="300" t="s">
        <v>894</v>
      </c>
      <c r="E240" s="295" t="s">
        <v>423</v>
      </c>
      <c r="F240" t="s">
        <v>423</v>
      </c>
    </row>
    <row r="241" spans="1:6">
      <c r="A241" s="365">
        <f t="shared" ca="1" si="9"/>
        <v>1202</v>
      </c>
      <c r="B241" t="s">
        <v>926</v>
      </c>
      <c r="C241" t="str">
        <f t="shared" ca="1" si="12"/>
        <v>---</v>
      </c>
      <c r="D241" s="203" t="s">
        <v>300</v>
      </c>
      <c r="E241" s="203" t="s">
        <v>300</v>
      </c>
      <c r="F241" s="203" t="s">
        <v>300</v>
      </c>
    </row>
    <row r="242" spans="1:6">
      <c r="A242" s="365">
        <f t="shared" ca="1" si="9"/>
        <v>1203</v>
      </c>
      <c r="B242" s="232" t="s">
        <v>886</v>
      </c>
      <c r="C242" t="str">
        <f t="shared" ca="1" si="12"/>
        <v>Dia</v>
      </c>
      <c r="D242" s="232" t="s">
        <v>27</v>
      </c>
      <c r="E242" s="300" t="s">
        <v>1193</v>
      </c>
      <c r="F242" s="232" t="s">
        <v>213</v>
      </c>
    </row>
    <row r="243" spans="1:6">
      <c r="A243" s="365">
        <f t="shared" ca="1" si="9"/>
        <v>1204</v>
      </c>
      <c r="B243" s="232" t="s">
        <v>887</v>
      </c>
      <c r="C243" t="str">
        <f t="shared" ca="1" si="12"/>
        <v>Feriado</v>
      </c>
      <c r="D243" s="232" t="s">
        <v>883</v>
      </c>
      <c r="E243" s="300" t="s">
        <v>1206</v>
      </c>
      <c r="F243" s="232" t="s">
        <v>590</v>
      </c>
    </row>
    <row r="244" spans="1:6">
      <c r="A244" s="365">
        <f t="shared" ca="1" si="9"/>
        <v>1205</v>
      </c>
      <c r="B244" s="232" t="s">
        <v>888</v>
      </c>
      <c r="C244" t="str">
        <f t="shared" ca="1" si="12"/>
        <v>Comemoração</v>
      </c>
      <c r="D244" s="232" t="s">
        <v>879</v>
      </c>
      <c r="E244" s="295" t="s">
        <v>1207</v>
      </c>
      <c r="F244" s="232" t="s">
        <v>591</v>
      </c>
    </row>
    <row r="245" spans="1:6">
      <c r="A245" s="365">
        <f t="shared" ca="1" si="9"/>
        <v>1206</v>
      </c>
      <c r="B245" s="232" t="s">
        <v>889</v>
      </c>
      <c r="C245" t="str">
        <f t="shared" ca="1" si="12"/>
        <v>Jejum</v>
      </c>
      <c r="D245" s="300" t="s">
        <v>880</v>
      </c>
      <c r="E245" s="295" t="s">
        <v>1208</v>
      </c>
      <c r="F245" s="232" t="s">
        <v>592</v>
      </c>
    </row>
    <row r="246" spans="1:6">
      <c r="A246" s="365">
        <f t="shared" ca="1" si="9"/>
        <v>1300</v>
      </c>
      <c r="B246" t="s">
        <v>897</v>
      </c>
      <c r="C246" t="str">
        <f t="shared" ca="1" si="12"/>
        <v>Semana-Frente</v>
      </c>
      <c r="D246" s="300" t="s">
        <v>943</v>
      </c>
      <c r="E246" s="232" t="s">
        <v>424</v>
      </c>
      <c r="F246" s="232" t="s">
        <v>424</v>
      </c>
    </row>
    <row r="247" spans="1:6">
      <c r="A247" s="365">
        <f t="shared" ca="1" si="9"/>
        <v>1301</v>
      </c>
      <c r="B247" t="s">
        <v>301</v>
      </c>
      <c r="C247" t="str">
        <f t="shared" ca="1" si="12"/>
        <v>Semana-Frente</v>
      </c>
      <c r="D247" s="300" t="s">
        <v>943</v>
      </c>
      <c r="E247" s="232" t="s">
        <v>424</v>
      </c>
      <c r="F247" s="232" t="s">
        <v>424</v>
      </c>
    </row>
    <row r="248" spans="1:6">
      <c r="A248" s="365">
        <f t="shared" ca="1" si="9"/>
        <v>1302</v>
      </c>
      <c r="B248" t="s">
        <v>925</v>
      </c>
      <c r="C248" t="str">
        <f t="shared" ca="1" si="12"/>
        <v>---</v>
      </c>
      <c r="D248" s="203" t="s">
        <v>300</v>
      </c>
      <c r="E248" s="203" t="s">
        <v>300</v>
      </c>
      <c r="F248" s="203" t="s">
        <v>300</v>
      </c>
    </row>
    <row r="249" spans="1:6">
      <c r="A249" s="365">
        <f t="shared" ca="1" si="9"/>
        <v>1303</v>
      </c>
      <c r="B249" s="232" t="s">
        <v>857</v>
      </c>
      <c r="C249" t="str">
        <f t="shared" ca="1" si="12"/>
        <v>Semana</v>
      </c>
      <c r="D249" s="232" t="s">
        <v>862</v>
      </c>
      <c r="E249" s="300" t="s">
        <v>494</v>
      </c>
      <c r="F249" s="232" t="s">
        <v>494</v>
      </c>
    </row>
    <row r="250" spans="1:6">
      <c r="A250" s="365">
        <f t="shared" ca="1" si="9"/>
        <v>1304</v>
      </c>
      <c r="B250" t="s">
        <v>302</v>
      </c>
      <c r="C250" t="str">
        <f t="shared" ca="1" si="12"/>
        <v>Aperfeiçoamento Pessoal</v>
      </c>
      <c r="D250" s="300" t="s">
        <v>861</v>
      </c>
      <c r="E250" s="300" t="s">
        <v>1201</v>
      </c>
      <c r="F250" s="232" t="s">
        <v>596</v>
      </c>
    </row>
    <row r="251" spans="1:6">
      <c r="A251" s="365">
        <f t="shared" ca="1" si="9"/>
        <v>1305</v>
      </c>
      <c r="B251" t="s">
        <v>304</v>
      </c>
      <c r="C251" t="str">
        <f t="shared" ca="1" si="12"/>
        <v>Espiritual</v>
      </c>
      <c r="D251" t="s">
        <v>597</v>
      </c>
      <c r="E251" t="s">
        <v>597</v>
      </c>
      <c r="F251" t="s">
        <v>597</v>
      </c>
    </row>
    <row r="252" spans="1:6">
      <c r="A252" s="365">
        <f t="shared" ca="1" si="9"/>
        <v>1306</v>
      </c>
      <c r="B252" t="s">
        <v>305</v>
      </c>
      <c r="C252" t="str">
        <f t="shared" ca="1" si="12"/>
        <v>Emocional</v>
      </c>
      <c r="D252" t="s">
        <v>434</v>
      </c>
      <c r="E252" t="s">
        <v>598</v>
      </c>
      <c r="F252" t="s">
        <v>598</v>
      </c>
    </row>
    <row r="253" spans="1:6">
      <c r="A253" s="365">
        <f t="shared" ca="1" si="9"/>
        <v>1307</v>
      </c>
      <c r="B253" t="s">
        <v>306</v>
      </c>
      <c r="C253" t="str">
        <f t="shared" ca="1" si="12"/>
        <v>Intelectual</v>
      </c>
      <c r="D253" t="s">
        <v>599</v>
      </c>
      <c r="E253" t="s">
        <v>599</v>
      </c>
      <c r="F253" t="s">
        <v>599</v>
      </c>
    </row>
    <row r="254" spans="1:6">
      <c r="A254" s="365">
        <f t="shared" ca="1" si="9"/>
        <v>1308</v>
      </c>
      <c r="B254" t="s">
        <v>307</v>
      </c>
      <c r="C254" t="str">
        <f t="shared" ca="1" si="12"/>
        <v>Físico</v>
      </c>
      <c r="D254" t="s">
        <v>433</v>
      </c>
      <c r="E254" t="s">
        <v>600</v>
      </c>
      <c r="F254" t="s">
        <v>600</v>
      </c>
    </row>
    <row r="255" spans="1:6">
      <c r="A255" s="365">
        <f t="shared" ca="1" si="9"/>
        <v>1309</v>
      </c>
      <c r="B255" t="s">
        <v>303</v>
      </c>
      <c r="C255" t="str">
        <f t="shared" ca="1" si="12"/>
        <v>Importante</v>
      </c>
      <c r="D255" s="232" t="s">
        <v>858</v>
      </c>
      <c r="E255" t="s">
        <v>579</v>
      </c>
      <c r="F255" s="232" t="s">
        <v>579</v>
      </c>
    </row>
    <row r="256" spans="1:6">
      <c r="A256" s="365">
        <f t="shared" ca="1" si="9"/>
        <v>1310</v>
      </c>
      <c r="B256" t="s">
        <v>308</v>
      </c>
      <c r="C256" t="str">
        <f t="shared" ca="1" si="12"/>
        <v>Áreas</v>
      </c>
      <c r="D256" s="232" t="s">
        <v>859</v>
      </c>
      <c r="E256" t="s">
        <v>601</v>
      </c>
      <c r="F256" t="s">
        <v>601</v>
      </c>
    </row>
    <row r="257" spans="1:6">
      <c r="A257" s="365">
        <f t="shared" ca="1" si="9"/>
        <v>1311</v>
      </c>
      <c r="B257" s="232" t="s">
        <v>874</v>
      </c>
      <c r="C257" t="str">
        <f t="shared" ca="1" si="12"/>
        <v>Objetivos</v>
      </c>
      <c r="D257" s="232" t="s">
        <v>860</v>
      </c>
      <c r="E257" t="s">
        <v>602</v>
      </c>
      <c r="F257" t="s">
        <v>602</v>
      </c>
    </row>
    <row r="258" spans="1:6">
      <c r="A258" s="365">
        <f t="shared" ca="1" si="9"/>
        <v>1312</v>
      </c>
      <c r="B258" s="232" t="s">
        <v>875</v>
      </c>
      <c r="C258" t="str">
        <f t="shared" ca="1" si="12"/>
        <v>Nova</v>
      </c>
      <c r="D258" s="232" t="s">
        <v>867</v>
      </c>
      <c r="E258" t="s">
        <v>1202</v>
      </c>
      <c r="F258" t="s">
        <v>863</v>
      </c>
    </row>
    <row r="259" spans="1:6">
      <c r="A259" s="365">
        <f t="shared" ca="1" si="9"/>
        <v>1313</v>
      </c>
      <c r="B259" s="232" t="s">
        <v>876</v>
      </c>
      <c r="C259" t="str">
        <f t="shared" ca="1" si="12"/>
        <v>Cresc</v>
      </c>
      <c r="D259" s="232" t="s">
        <v>868</v>
      </c>
      <c r="E259" t="s">
        <v>1203</v>
      </c>
      <c r="F259" s="232" t="s">
        <v>864</v>
      </c>
    </row>
    <row r="260" spans="1:6">
      <c r="A260" s="365">
        <f t="shared" ca="1" si="9"/>
        <v>1314</v>
      </c>
      <c r="B260" s="232" t="s">
        <v>877</v>
      </c>
      <c r="C260" t="str">
        <f t="shared" ca="1" si="12"/>
        <v>Cheia</v>
      </c>
      <c r="D260" s="232" t="s">
        <v>869</v>
      </c>
      <c r="E260" t="s">
        <v>1204</v>
      </c>
      <c r="F260" s="232" t="s">
        <v>865</v>
      </c>
    </row>
    <row r="261" spans="1:6">
      <c r="A261" s="365">
        <f t="shared" ca="1" si="9"/>
        <v>1315</v>
      </c>
      <c r="B261" s="232" t="s">
        <v>878</v>
      </c>
      <c r="C261" t="str">
        <f t="shared" ca="1" si="12"/>
        <v>Ming</v>
      </c>
      <c r="D261" s="232" t="s">
        <v>870</v>
      </c>
      <c r="E261" t="s">
        <v>1205</v>
      </c>
      <c r="F261" s="232" t="s">
        <v>866</v>
      </c>
    </row>
    <row r="262" spans="1:6">
      <c r="A262" s="365">
        <f t="shared" ca="1" si="9"/>
        <v>1316</v>
      </c>
      <c r="B262" s="232" t="s">
        <v>885</v>
      </c>
      <c r="C262" t="str">
        <f t="shared" ca="1" si="12"/>
        <v>Dia</v>
      </c>
      <c r="D262" s="232" t="s">
        <v>27</v>
      </c>
      <c r="E262" s="300" t="s">
        <v>1193</v>
      </c>
      <c r="F262" s="232" t="s">
        <v>213</v>
      </c>
    </row>
    <row r="263" spans="1:6">
      <c r="A263" s="365">
        <f t="shared" ca="1" si="9"/>
        <v>1317</v>
      </c>
      <c r="B263" s="232" t="s">
        <v>884</v>
      </c>
      <c r="C263" t="str">
        <f t="shared" ca="1" si="12"/>
        <v>Feriado</v>
      </c>
      <c r="D263" s="232" t="s">
        <v>883</v>
      </c>
      <c r="E263" s="300" t="s">
        <v>1206</v>
      </c>
      <c r="F263" s="232" t="s">
        <v>590</v>
      </c>
    </row>
    <row r="264" spans="1:6">
      <c r="A264" s="365">
        <f t="shared" ca="1" si="9"/>
        <v>1318</v>
      </c>
      <c r="B264" s="232" t="s">
        <v>882</v>
      </c>
      <c r="C264" t="str">
        <f t="shared" ca="1" si="12"/>
        <v>Comemoração</v>
      </c>
      <c r="D264" s="232" t="s">
        <v>879</v>
      </c>
      <c r="E264" t="s">
        <v>1207</v>
      </c>
      <c r="F264" s="232" t="s">
        <v>591</v>
      </c>
    </row>
    <row r="265" spans="1:6">
      <c r="A265" s="365">
        <f t="shared" ca="1" si="9"/>
        <v>1319</v>
      </c>
      <c r="B265" s="232" t="s">
        <v>881</v>
      </c>
      <c r="C265" t="str">
        <f t="shared" ca="1" si="12"/>
        <v>Jejum</v>
      </c>
      <c r="D265" s="232" t="s">
        <v>880</v>
      </c>
      <c r="E265" t="s">
        <v>1208</v>
      </c>
      <c r="F265" s="232" t="s">
        <v>592</v>
      </c>
    </row>
    <row r="266" spans="1:6">
      <c r="A266" s="365">
        <f t="shared" ca="1" si="9"/>
        <v>1320</v>
      </c>
      <c r="B266" s="232" t="s">
        <v>1034</v>
      </c>
      <c r="C266" t="str">
        <f t="shared" ca="1" si="12"/>
        <v>Quebra de jejum</v>
      </c>
      <c r="D266" s="232" t="s">
        <v>475</v>
      </c>
      <c r="E266" s="300" t="s">
        <v>1209</v>
      </c>
      <c r="F266" s="300" t="s">
        <v>1020</v>
      </c>
    </row>
    <row r="267" spans="1:6">
      <c r="A267" s="365">
        <f t="shared" ca="1" si="9"/>
        <v>1321</v>
      </c>
      <c r="B267" s="232" t="s">
        <v>1035</v>
      </c>
      <c r="C267" t="str">
        <f t="shared" ca="1" si="12"/>
        <v>Hora</v>
      </c>
      <c r="D267" s="232" t="s">
        <v>825</v>
      </c>
      <c r="E267" t="s">
        <v>1019</v>
      </c>
      <c r="F267" s="232" t="s">
        <v>1019</v>
      </c>
    </row>
    <row r="268" spans="1:6">
      <c r="A268" s="365">
        <f t="shared" ca="1" si="9"/>
        <v>1322</v>
      </c>
      <c r="B268" s="232" t="s">
        <v>1036</v>
      </c>
      <c r="C268" t="str">
        <f t="shared" ca="1" si="12"/>
        <v>Yoga</v>
      </c>
      <c r="D268" s="232" t="s">
        <v>722</v>
      </c>
      <c r="E268" s="232" t="s">
        <v>722</v>
      </c>
      <c r="F268" s="232" t="s">
        <v>722</v>
      </c>
    </row>
    <row r="269" spans="1:6">
      <c r="A269" s="365">
        <f t="shared" ca="1" si="9"/>
        <v>1323</v>
      </c>
      <c r="B269" s="232" t="s">
        <v>1037</v>
      </c>
      <c r="C269" t="str">
        <f t="shared" ca="1" si="12"/>
        <v>Naksatra</v>
      </c>
      <c r="D269" s="232" t="s">
        <v>723</v>
      </c>
      <c r="E269" t="s">
        <v>723</v>
      </c>
      <c r="F269" s="232" t="s">
        <v>723</v>
      </c>
    </row>
    <row r="270" spans="1:6">
      <c r="A270" s="365">
        <f t="shared" ca="1" si="9"/>
        <v>1324</v>
      </c>
      <c r="B270" s="232" t="s">
        <v>881</v>
      </c>
      <c r="C270" t="str">
        <f t="shared" ca="1" si="12"/>
        <v>Tabelas (para Formatação Condicional)</v>
      </c>
      <c r="D270" s="232" t="s">
        <v>893</v>
      </c>
      <c r="E270" s="300" t="s">
        <v>1210</v>
      </c>
      <c r="F270" s="232" t="s">
        <v>754</v>
      </c>
    </row>
    <row r="271" spans="1:6">
      <c r="A271" s="365">
        <f t="shared" ca="1" si="9"/>
        <v>1400</v>
      </c>
      <c r="B271" t="s">
        <v>899</v>
      </c>
      <c r="C271" t="str">
        <f t="shared" ref="C271:C296" ca="1" si="13">OFFSET(C271,0,$C$1)</f>
        <v>Mensal</v>
      </c>
      <c r="D271" s="300" t="s">
        <v>942</v>
      </c>
      <c r="E271" s="301" t="s">
        <v>1124</v>
      </c>
      <c r="F271" t="s">
        <v>422</v>
      </c>
    </row>
    <row r="272" spans="1:6">
      <c r="A272" s="365">
        <f t="shared" ca="1" si="9"/>
        <v>1401</v>
      </c>
      <c r="B272" t="s">
        <v>309</v>
      </c>
      <c r="C272" t="str">
        <f t="shared" ca="1" si="13"/>
        <v>Fin.-Mensal</v>
      </c>
      <c r="D272" s="300" t="s">
        <v>1271</v>
      </c>
      <c r="E272" s="300" t="s">
        <v>1270</v>
      </c>
      <c r="F272" s="300" t="s">
        <v>1269</v>
      </c>
    </row>
    <row r="273" spans="1:6">
      <c r="A273" s="365">
        <f t="shared" ca="1" si="9"/>
        <v>1402</v>
      </c>
      <c r="B273" t="s">
        <v>927</v>
      </c>
      <c r="C273" t="str">
        <f t="shared" ca="1" si="13"/>
        <v>PLANEJAMENTO MENSAL</v>
      </c>
      <c r="D273" t="s">
        <v>890</v>
      </c>
      <c r="E273" s="300" t="s">
        <v>1199</v>
      </c>
      <c r="F273" t="s">
        <v>580</v>
      </c>
    </row>
    <row r="274" spans="1:6">
      <c r="A274" s="365">
        <f t="shared" ca="1" si="9"/>
        <v>1403</v>
      </c>
      <c r="B274" s="232" t="s">
        <v>310</v>
      </c>
      <c r="C274" t="str">
        <f t="shared" ca="1" si="13"/>
        <v>Planejamento</v>
      </c>
      <c r="D274" s="232" t="s">
        <v>999</v>
      </c>
      <c r="E274" t="s">
        <v>1211</v>
      </c>
      <c r="F274" t="s">
        <v>526</v>
      </c>
    </row>
    <row r="275" spans="1:6">
      <c r="A275" s="365">
        <f t="shared" ca="1" si="9"/>
        <v>1404</v>
      </c>
      <c r="B275" s="232" t="s">
        <v>311</v>
      </c>
      <c r="C275" t="str">
        <f t="shared" ca="1" si="13"/>
        <v>Aperfeiçoamento Pessoal</v>
      </c>
      <c r="D275" t="s">
        <v>861</v>
      </c>
      <c r="E275" s="300" t="s">
        <v>1201</v>
      </c>
      <c r="F275" s="232" t="s">
        <v>596</v>
      </c>
    </row>
    <row r="276" spans="1:6">
      <c r="A276" s="365">
        <f t="shared" ca="1" si="9"/>
        <v>1405</v>
      </c>
      <c r="B276" s="232" t="s">
        <v>312</v>
      </c>
      <c r="C276" t="str">
        <f t="shared" ca="1" si="13"/>
        <v>Espiritual</v>
      </c>
      <c r="D276" t="s">
        <v>597</v>
      </c>
      <c r="E276" t="s">
        <v>597</v>
      </c>
      <c r="F276" t="s">
        <v>597</v>
      </c>
    </row>
    <row r="277" spans="1:6">
      <c r="A277" s="365">
        <f t="shared" ca="1" si="9"/>
        <v>1406</v>
      </c>
      <c r="B277" s="232" t="s">
        <v>313</v>
      </c>
      <c r="C277" t="str">
        <f t="shared" ca="1" si="13"/>
        <v>Emocional</v>
      </c>
      <c r="D277" t="s">
        <v>434</v>
      </c>
      <c r="E277" t="s">
        <v>598</v>
      </c>
      <c r="F277" t="s">
        <v>598</v>
      </c>
    </row>
    <row r="278" spans="1:6">
      <c r="A278" s="365">
        <f t="shared" ref="A278:A341" ca="1" si="14">IF(RIGHT(B278,8)="_section",(INT(A277/100)+1)*100,A277+1)</f>
        <v>1407</v>
      </c>
      <c r="B278" s="232" t="s">
        <v>314</v>
      </c>
      <c r="C278" t="str">
        <f t="shared" ca="1" si="13"/>
        <v>Intelectual</v>
      </c>
      <c r="D278" t="s">
        <v>599</v>
      </c>
      <c r="E278" t="s">
        <v>599</v>
      </c>
      <c r="F278" t="s">
        <v>599</v>
      </c>
    </row>
    <row r="279" spans="1:6">
      <c r="A279" s="365">
        <f t="shared" ca="1" si="14"/>
        <v>1408</v>
      </c>
      <c r="B279" s="232" t="s">
        <v>315</v>
      </c>
      <c r="C279" t="str">
        <f t="shared" ca="1" si="13"/>
        <v>Físico</v>
      </c>
      <c r="D279" t="s">
        <v>433</v>
      </c>
      <c r="E279" t="s">
        <v>600</v>
      </c>
      <c r="F279" t="s">
        <v>600</v>
      </c>
    </row>
    <row r="280" spans="1:6">
      <c r="A280" s="365">
        <f t="shared" ca="1" si="14"/>
        <v>1409</v>
      </c>
      <c r="B280" s="300" t="s">
        <v>316</v>
      </c>
      <c r="C280" t="str">
        <f t="shared" ca="1" si="13"/>
        <v>Detalhamentos</v>
      </c>
      <c r="D280" t="s">
        <v>1000</v>
      </c>
      <c r="E280" t="s">
        <v>1212</v>
      </c>
      <c r="F280" s="232" t="s">
        <v>527</v>
      </c>
    </row>
    <row r="281" spans="1:6" s="295" customFormat="1">
      <c r="A281" s="365">
        <f t="shared" ca="1" si="14"/>
        <v>1410</v>
      </c>
      <c r="B281" s="300" t="s">
        <v>1237</v>
      </c>
      <c r="C281" s="295" t="str">
        <f t="shared" ca="1" si="13"/>
        <v>D</v>
      </c>
      <c r="D281" s="300" t="s">
        <v>1244</v>
      </c>
      <c r="E281" s="300" t="s">
        <v>1032</v>
      </c>
      <c r="F281" s="300" t="s">
        <v>574</v>
      </c>
    </row>
    <row r="282" spans="1:6" s="295" customFormat="1">
      <c r="A282" s="365">
        <f t="shared" ca="1" si="14"/>
        <v>1411</v>
      </c>
      <c r="B282" s="300" t="s">
        <v>1238</v>
      </c>
      <c r="C282" s="295" t="str">
        <f t="shared" ca="1" si="13"/>
        <v>S</v>
      </c>
      <c r="D282" s="300" t="s">
        <v>1245</v>
      </c>
      <c r="E282" s="300" t="s">
        <v>1250</v>
      </c>
      <c r="F282" s="300" t="s">
        <v>575</v>
      </c>
    </row>
    <row r="283" spans="1:6" s="295" customFormat="1">
      <c r="A283" s="365">
        <f t="shared" ca="1" si="14"/>
        <v>1412</v>
      </c>
      <c r="B283" s="300" t="s">
        <v>1239</v>
      </c>
      <c r="C283" s="295" t="str">
        <f t="shared" ca="1" si="13"/>
        <v>T</v>
      </c>
      <c r="D283" s="300" t="s">
        <v>1246</v>
      </c>
      <c r="E283" s="300" t="s">
        <v>1251</v>
      </c>
      <c r="F283" s="300" t="s">
        <v>576</v>
      </c>
    </row>
    <row r="284" spans="1:6" s="295" customFormat="1">
      <c r="A284" s="365">
        <f t="shared" ca="1" si="14"/>
        <v>1413</v>
      </c>
      <c r="B284" s="300" t="s">
        <v>1240</v>
      </c>
      <c r="C284" s="295" t="str">
        <f t="shared" ca="1" si="13"/>
        <v>Q</v>
      </c>
      <c r="D284" s="300" t="s">
        <v>1247</v>
      </c>
      <c r="E284" s="300" t="s">
        <v>1252</v>
      </c>
      <c r="F284" s="300" t="s">
        <v>577</v>
      </c>
    </row>
    <row r="285" spans="1:6" s="295" customFormat="1">
      <c r="A285" s="365">
        <f t="shared" ca="1" si="14"/>
        <v>1414</v>
      </c>
      <c r="B285" s="300" t="s">
        <v>1241</v>
      </c>
      <c r="C285" s="295" t="str">
        <f t="shared" ca="1" si="13"/>
        <v>Q</v>
      </c>
      <c r="D285" s="300" t="s">
        <v>1249</v>
      </c>
      <c r="E285" s="300" t="s">
        <v>1253</v>
      </c>
      <c r="F285" s="300" t="s">
        <v>577</v>
      </c>
    </row>
    <row r="286" spans="1:6" s="295" customFormat="1">
      <c r="A286" s="365">
        <f t="shared" ca="1" si="14"/>
        <v>1415</v>
      </c>
      <c r="B286" s="300" t="s">
        <v>1242</v>
      </c>
      <c r="C286" s="295" t="str">
        <f t="shared" ca="1" si="13"/>
        <v>S</v>
      </c>
      <c r="D286" s="300" t="s">
        <v>1248</v>
      </c>
      <c r="E286" s="300" t="s">
        <v>1254</v>
      </c>
      <c r="F286" s="300" t="s">
        <v>575</v>
      </c>
    </row>
    <row r="287" spans="1:6" s="295" customFormat="1">
      <c r="A287" s="365">
        <f t="shared" ca="1" si="14"/>
        <v>1416</v>
      </c>
      <c r="B287" s="300" t="s">
        <v>1243</v>
      </c>
      <c r="C287" s="295" t="str">
        <f t="shared" ca="1" si="13"/>
        <v>S</v>
      </c>
      <c r="D287" s="300" t="s">
        <v>1255</v>
      </c>
      <c r="E287" s="300" t="s">
        <v>1255</v>
      </c>
      <c r="F287" s="300" t="s">
        <v>575</v>
      </c>
    </row>
    <row r="288" spans="1:6">
      <c r="A288" s="365">
        <f t="shared" ca="1" si="14"/>
        <v>1500</v>
      </c>
      <c r="B288" t="s">
        <v>900</v>
      </c>
      <c r="C288" t="str">
        <f t="shared" ca="1" si="13"/>
        <v>Fin. Semana-Verso</v>
      </c>
      <c r="D288" s="300" t="s">
        <v>895</v>
      </c>
      <c r="E288" s="295" t="s">
        <v>293</v>
      </c>
      <c r="F288" t="s">
        <v>293</v>
      </c>
    </row>
    <row r="289" spans="1:6">
      <c r="A289" s="365">
        <f t="shared" ca="1" si="14"/>
        <v>1501</v>
      </c>
      <c r="B289" t="s">
        <v>317</v>
      </c>
      <c r="C289" t="str">
        <f t="shared" ca="1" si="13"/>
        <v>Fin. Semana-Verso</v>
      </c>
      <c r="D289" s="300" t="s">
        <v>895</v>
      </c>
      <c r="E289" s="295" t="s">
        <v>293</v>
      </c>
      <c r="F289" t="s">
        <v>293</v>
      </c>
    </row>
    <row r="290" spans="1:6">
      <c r="A290" s="365">
        <f t="shared" ca="1" si="14"/>
        <v>1502</v>
      </c>
      <c r="B290" t="s">
        <v>928</v>
      </c>
      <c r="C290" t="str">
        <f t="shared" ca="1" si="13"/>
        <v>---</v>
      </c>
      <c r="D290" s="203" t="s">
        <v>300</v>
      </c>
      <c r="E290" s="203" t="s">
        <v>300</v>
      </c>
      <c r="F290" s="203" t="s">
        <v>300</v>
      </c>
    </row>
    <row r="291" spans="1:6">
      <c r="A291" s="365">
        <f t="shared" ca="1" si="14"/>
        <v>1600</v>
      </c>
      <c r="B291" t="s">
        <v>901</v>
      </c>
      <c r="C291" t="str">
        <f t="shared" ca="1" si="13"/>
        <v>Fin. Semana-Frente</v>
      </c>
      <c r="D291" s="300" t="s">
        <v>1002</v>
      </c>
      <c r="E291" s="232" t="s">
        <v>294</v>
      </c>
      <c r="F291" s="232" t="s">
        <v>294</v>
      </c>
    </row>
    <row r="292" spans="1:6">
      <c r="A292" s="365">
        <f t="shared" ca="1" si="14"/>
        <v>1601</v>
      </c>
      <c r="B292" t="s">
        <v>318</v>
      </c>
      <c r="C292" t="str">
        <f t="shared" ca="1" si="13"/>
        <v>Fin. Semana-Frente</v>
      </c>
      <c r="D292" s="300" t="s">
        <v>1002</v>
      </c>
      <c r="E292" s="300" t="s">
        <v>294</v>
      </c>
      <c r="F292" s="300" t="s">
        <v>294</v>
      </c>
    </row>
    <row r="293" spans="1:6">
      <c r="A293" s="365">
        <f t="shared" ca="1" si="14"/>
        <v>1602</v>
      </c>
      <c r="B293" t="s">
        <v>929</v>
      </c>
      <c r="C293" t="str">
        <f t="shared" ca="1" si="13"/>
        <v>---</v>
      </c>
      <c r="D293" s="203" t="s">
        <v>300</v>
      </c>
      <c r="E293" s="203" t="s">
        <v>300</v>
      </c>
      <c r="F293" s="203" t="s">
        <v>300</v>
      </c>
    </row>
    <row r="294" spans="1:6">
      <c r="A294" s="365">
        <f t="shared" ca="1" si="14"/>
        <v>1603</v>
      </c>
      <c r="B294" t="s">
        <v>319</v>
      </c>
      <c r="C294" t="str">
        <f t="shared" ca="1" si="13"/>
        <v>Aperfeiçoamento Pessoal</v>
      </c>
      <c r="D294" t="s">
        <v>861</v>
      </c>
      <c r="E294" s="300" t="s">
        <v>1201</v>
      </c>
      <c r="F294" t="s">
        <v>596</v>
      </c>
    </row>
    <row r="295" spans="1:6">
      <c r="A295" s="365">
        <f t="shared" ca="1" si="14"/>
        <v>1604</v>
      </c>
      <c r="B295" t="s">
        <v>320</v>
      </c>
      <c r="C295" t="str">
        <f t="shared" ca="1" si="13"/>
        <v>Importante</v>
      </c>
      <c r="D295" s="300" t="s">
        <v>858</v>
      </c>
      <c r="E295" s="295" t="s">
        <v>579</v>
      </c>
      <c r="F295" t="s">
        <v>579</v>
      </c>
    </row>
    <row r="296" spans="1:6">
      <c r="A296" s="365">
        <f t="shared" ca="1" si="14"/>
        <v>1700</v>
      </c>
      <c r="B296" t="s">
        <v>902</v>
      </c>
      <c r="C296" t="str">
        <f t="shared" ca="1" si="13"/>
        <v>Anotações-Esquerda</v>
      </c>
      <c r="D296" t="s">
        <v>29</v>
      </c>
      <c r="E296" s="300" t="s">
        <v>1125</v>
      </c>
      <c r="F296" t="s">
        <v>425</v>
      </c>
    </row>
    <row r="297" spans="1:6">
      <c r="A297" s="365">
        <f t="shared" ca="1" si="14"/>
        <v>1701</v>
      </c>
      <c r="B297" t="s">
        <v>321</v>
      </c>
      <c r="C297" t="str">
        <f t="shared" ref="C297:C354" ca="1" si="15">OFFSET(C297,0,$C$1)</f>
        <v>Anotacoes-Esquerda</v>
      </c>
      <c r="D297" t="s">
        <v>29</v>
      </c>
      <c r="E297" s="300" t="s">
        <v>1125</v>
      </c>
      <c r="F297" s="300" t="s">
        <v>1256</v>
      </c>
    </row>
    <row r="298" spans="1:6">
      <c r="A298" s="365">
        <f t="shared" ca="1" si="14"/>
        <v>1702</v>
      </c>
      <c r="B298" t="s">
        <v>930</v>
      </c>
      <c r="C298" t="str">
        <f t="shared" ca="1" si="15"/>
        <v>Anotações</v>
      </c>
      <c r="D298" s="232" t="s">
        <v>31</v>
      </c>
      <c r="E298" s="300" t="s">
        <v>1213</v>
      </c>
      <c r="F298" t="s">
        <v>322</v>
      </c>
    </row>
    <row r="299" spans="1:6">
      <c r="A299" s="365">
        <f t="shared" ca="1" si="14"/>
        <v>1800</v>
      </c>
      <c r="B299" t="s">
        <v>903</v>
      </c>
      <c r="C299" t="str">
        <f t="shared" ca="1" si="15"/>
        <v>Anotações-Direita</v>
      </c>
      <c r="D299" t="s">
        <v>30</v>
      </c>
      <c r="E299" s="300" t="s">
        <v>1126</v>
      </c>
      <c r="F299" t="s">
        <v>426</v>
      </c>
    </row>
    <row r="300" spans="1:6">
      <c r="A300" s="365">
        <f t="shared" ca="1" si="14"/>
        <v>1801</v>
      </c>
      <c r="B300" t="s">
        <v>323</v>
      </c>
      <c r="C300" t="str">
        <f t="shared" ca="1" si="15"/>
        <v>Anotacoes-Direita</v>
      </c>
      <c r="D300" t="s">
        <v>30</v>
      </c>
      <c r="E300" s="300" t="s">
        <v>1126</v>
      </c>
      <c r="F300" s="300" t="s">
        <v>1257</v>
      </c>
    </row>
    <row r="301" spans="1:6">
      <c r="A301" s="365">
        <f t="shared" ca="1" si="14"/>
        <v>1802</v>
      </c>
      <c r="B301" s="300" t="s">
        <v>931</v>
      </c>
      <c r="C301" t="str">
        <f t="shared" ca="1" si="15"/>
        <v>Anotações</v>
      </c>
      <c r="D301" t="s">
        <v>31</v>
      </c>
      <c r="E301" s="300" t="s">
        <v>1213</v>
      </c>
      <c r="F301" t="s">
        <v>322</v>
      </c>
    </row>
    <row r="302" spans="1:6">
      <c r="A302" s="365">
        <f t="shared" ca="1" si="14"/>
        <v>1900</v>
      </c>
      <c r="B302" t="s">
        <v>904</v>
      </c>
      <c r="C302" t="str">
        <f t="shared" ca="1" si="15"/>
        <v>Contato-Esquerda</v>
      </c>
      <c r="D302" t="s">
        <v>32</v>
      </c>
      <c r="E302" s="300" t="s">
        <v>1127</v>
      </c>
      <c r="F302" t="s">
        <v>152</v>
      </c>
    </row>
    <row r="303" spans="1:6">
      <c r="A303" s="365">
        <f t="shared" ca="1" si="14"/>
        <v>1901</v>
      </c>
      <c r="B303" t="s">
        <v>324</v>
      </c>
      <c r="C303" t="str">
        <f t="shared" ca="1" si="15"/>
        <v>Contato-Esquerda</v>
      </c>
      <c r="D303" s="297" t="s">
        <v>32</v>
      </c>
      <c r="E303" s="300" t="s">
        <v>1127</v>
      </c>
      <c r="F303" t="s">
        <v>152</v>
      </c>
    </row>
    <row r="304" spans="1:6">
      <c r="A304" s="365">
        <f t="shared" ca="1" si="14"/>
        <v>1902</v>
      </c>
      <c r="B304" t="s">
        <v>932</v>
      </c>
      <c r="C304" t="str">
        <f t="shared" ca="1" si="15"/>
        <v>CONTATO</v>
      </c>
      <c r="D304" t="s">
        <v>35</v>
      </c>
      <c r="E304" s="300" t="s">
        <v>1214</v>
      </c>
      <c r="F304" t="s">
        <v>603</v>
      </c>
    </row>
    <row r="305" spans="1:6">
      <c r="A305" s="365">
        <f t="shared" ca="1" si="14"/>
        <v>1903</v>
      </c>
      <c r="B305" t="s">
        <v>937</v>
      </c>
      <c r="C305" t="str">
        <f t="shared" ca="1" si="15"/>
        <v>Nome</v>
      </c>
      <c r="D305" t="s">
        <v>33</v>
      </c>
      <c r="E305" t="s">
        <v>58</v>
      </c>
      <c r="F305" t="s">
        <v>215</v>
      </c>
    </row>
    <row r="306" spans="1:6">
      <c r="A306" s="365">
        <f t="shared" ca="1" si="14"/>
        <v>1904</v>
      </c>
      <c r="B306" t="s">
        <v>0</v>
      </c>
      <c r="C306" t="str">
        <f t="shared" ca="1" si="15"/>
        <v>Endereço</v>
      </c>
      <c r="D306" t="s">
        <v>964</v>
      </c>
      <c r="E306" s="300" t="s">
        <v>1151</v>
      </c>
      <c r="F306" t="s">
        <v>216</v>
      </c>
    </row>
    <row r="307" spans="1:6">
      <c r="A307" s="365">
        <f t="shared" ca="1" si="14"/>
        <v>1905</v>
      </c>
      <c r="B307" t="s">
        <v>1</v>
      </c>
      <c r="C307" t="str">
        <f t="shared" ca="1" si="15"/>
        <v>Telefone</v>
      </c>
      <c r="D307" s="232" t="s">
        <v>968</v>
      </c>
      <c r="E307" t="s">
        <v>60</v>
      </c>
      <c r="F307" t="s">
        <v>706</v>
      </c>
    </row>
    <row r="308" spans="1:6">
      <c r="A308" s="365">
        <f t="shared" ca="1" si="14"/>
        <v>1906</v>
      </c>
      <c r="B308" t="s">
        <v>2</v>
      </c>
      <c r="C308" t="str">
        <f t="shared" ca="1" si="15"/>
        <v>Celular</v>
      </c>
      <c r="D308" s="232" t="s">
        <v>969</v>
      </c>
      <c r="E308" t="s">
        <v>220</v>
      </c>
      <c r="F308" t="s">
        <v>220</v>
      </c>
    </row>
    <row r="309" spans="1:6">
      <c r="A309" s="365">
        <f t="shared" ca="1" si="14"/>
        <v>2000</v>
      </c>
      <c r="B309" t="s">
        <v>905</v>
      </c>
      <c r="C309" t="str">
        <f t="shared" ca="1" si="15"/>
        <v>Contato-Direita</v>
      </c>
      <c r="D309" t="s">
        <v>34</v>
      </c>
      <c r="E309" s="300" t="s">
        <v>1128</v>
      </c>
      <c r="F309" t="s">
        <v>153</v>
      </c>
    </row>
    <row r="310" spans="1:6">
      <c r="A310" s="365">
        <f t="shared" ca="1" si="14"/>
        <v>2001</v>
      </c>
      <c r="B310" t="s">
        <v>3</v>
      </c>
      <c r="C310" t="str">
        <f t="shared" ca="1" si="15"/>
        <v>Contato-Direita</v>
      </c>
      <c r="D310" s="297" t="s">
        <v>34</v>
      </c>
      <c r="E310" s="300" t="s">
        <v>1128</v>
      </c>
      <c r="F310" t="s">
        <v>153</v>
      </c>
    </row>
    <row r="311" spans="1:6">
      <c r="A311" s="365">
        <f t="shared" ca="1" si="14"/>
        <v>2002</v>
      </c>
      <c r="B311" t="s">
        <v>933</v>
      </c>
      <c r="C311" t="str">
        <f t="shared" ca="1" si="15"/>
        <v>CONTATO</v>
      </c>
      <c r="D311" t="s">
        <v>35</v>
      </c>
      <c r="E311" s="300" t="s">
        <v>1214</v>
      </c>
      <c r="F311" t="s">
        <v>603</v>
      </c>
    </row>
    <row r="312" spans="1:6">
      <c r="A312" s="365">
        <f t="shared" ca="1" si="14"/>
        <v>2003</v>
      </c>
      <c r="B312" t="s">
        <v>938</v>
      </c>
      <c r="C312" t="str">
        <f t="shared" ca="1" si="15"/>
        <v>Nome</v>
      </c>
      <c r="D312" t="s">
        <v>33</v>
      </c>
      <c r="E312" t="s">
        <v>58</v>
      </c>
      <c r="F312" t="s">
        <v>215</v>
      </c>
    </row>
    <row r="313" spans="1:6">
      <c r="A313" s="365">
        <f t="shared" ca="1" si="14"/>
        <v>2004</v>
      </c>
      <c r="B313" t="s">
        <v>4</v>
      </c>
      <c r="C313" t="str">
        <f t="shared" ca="1" si="15"/>
        <v>Endereço</v>
      </c>
      <c r="D313" t="s">
        <v>964</v>
      </c>
      <c r="E313" t="s">
        <v>59</v>
      </c>
      <c r="F313" t="s">
        <v>216</v>
      </c>
    </row>
    <row r="314" spans="1:6">
      <c r="A314" s="365">
        <f t="shared" ca="1" si="14"/>
        <v>2005</v>
      </c>
      <c r="B314" t="s">
        <v>5</v>
      </c>
      <c r="C314" t="str">
        <f t="shared" ca="1" si="15"/>
        <v>Telefone</v>
      </c>
      <c r="D314" t="s">
        <v>968</v>
      </c>
      <c r="E314" t="s">
        <v>60</v>
      </c>
      <c r="F314" t="s">
        <v>706</v>
      </c>
    </row>
    <row r="315" spans="1:6">
      <c r="A315" s="365">
        <f t="shared" ca="1" si="14"/>
        <v>2006</v>
      </c>
      <c r="B315" t="s">
        <v>6</v>
      </c>
      <c r="C315" t="str">
        <f t="shared" ca="1" si="15"/>
        <v>Celular</v>
      </c>
      <c r="D315" t="s">
        <v>969</v>
      </c>
      <c r="E315" t="s">
        <v>220</v>
      </c>
      <c r="F315" t="s">
        <v>220</v>
      </c>
    </row>
    <row r="316" spans="1:6">
      <c r="A316" s="365">
        <f t="shared" ca="1" si="14"/>
        <v>2100</v>
      </c>
      <c r="B316" t="s">
        <v>906</v>
      </c>
      <c r="C316" t="str">
        <f t="shared" ca="1" si="15"/>
        <v>Fin-Person</v>
      </c>
      <c r="D316" t="s">
        <v>37</v>
      </c>
      <c r="E316" s="300" t="s">
        <v>1215</v>
      </c>
      <c r="F316" t="s">
        <v>8</v>
      </c>
    </row>
    <row r="317" spans="1:6">
      <c r="A317" s="365">
        <f t="shared" ca="1" si="14"/>
        <v>2101</v>
      </c>
      <c r="B317" t="s">
        <v>7</v>
      </c>
      <c r="C317" t="str">
        <f t="shared" ca="1" si="15"/>
        <v>Fin-Person</v>
      </c>
      <c r="D317" t="s">
        <v>8</v>
      </c>
      <c r="E317" s="300" t="s">
        <v>1216</v>
      </c>
      <c r="F317" t="s">
        <v>8</v>
      </c>
    </row>
    <row r="318" spans="1:6">
      <c r="A318" s="365">
        <f t="shared" ca="1" si="14"/>
        <v>2102</v>
      </c>
      <c r="B318" t="s">
        <v>934</v>
      </c>
      <c r="C318" t="str">
        <f t="shared" ca="1" si="15"/>
        <v>Agenda Financeira - Personalização</v>
      </c>
      <c r="D318" t="s">
        <v>36</v>
      </c>
      <c r="E318" s="300" t="s">
        <v>1217</v>
      </c>
      <c r="F318" t="s">
        <v>151</v>
      </c>
    </row>
    <row r="319" spans="1:6">
      <c r="A319" s="365">
        <f t="shared" ca="1" si="14"/>
        <v>2200</v>
      </c>
      <c r="B319" t="s">
        <v>907</v>
      </c>
      <c r="C319" t="str">
        <f t="shared" ca="1" si="15"/>
        <v>Citações</v>
      </c>
      <c r="D319" t="s">
        <v>38</v>
      </c>
      <c r="E319" s="300" t="s">
        <v>1129</v>
      </c>
      <c r="F319" s="297" t="s">
        <v>155</v>
      </c>
    </row>
    <row r="320" spans="1:6">
      <c r="A320" s="365">
        <f t="shared" ca="1" si="14"/>
        <v>2201</v>
      </c>
      <c r="B320" t="s">
        <v>9</v>
      </c>
      <c r="C320" t="str">
        <f t="shared" ca="1" si="15"/>
        <v>Citacoes</v>
      </c>
      <c r="D320" s="297" t="s">
        <v>38</v>
      </c>
      <c r="E320" s="300" t="s">
        <v>1129</v>
      </c>
      <c r="F320" s="297" t="s">
        <v>23</v>
      </c>
    </row>
    <row r="321" spans="1:6">
      <c r="A321" s="365">
        <f t="shared" ca="1" si="14"/>
        <v>2202</v>
      </c>
      <c r="B321" t="s">
        <v>935</v>
      </c>
      <c r="C321" t="str">
        <f t="shared" ca="1" si="15"/>
        <v>Cita-ções</v>
      </c>
      <c r="D321" s="232" t="s">
        <v>1017</v>
      </c>
      <c r="E321" s="300" t="s">
        <v>1218</v>
      </c>
      <c r="F321" t="s">
        <v>604</v>
      </c>
    </row>
    <row r="322" spans="1:6">
      <c r="A322" s="365">
        <f t="shared" ca="1" si="14"/>
        <v>2203</v>
      </c>
      <c r="B322" t="s">
        <v>10</v>
      </c>
      <c r="C322" t="str">
        <f t="shared" ca="1" si="15"/>
        <v>Linha 1</v>
      </c>
      <c r="D322" t="s">
        <v>39</v>
      </c>
      <c r="E322" t="s">
        <v>1219</v>
      </c>
      <c r="F322" t="s">
        <v>17</v>
      </c>
    </row>
    <row r="323" spans="1:6">
      <c r="A323" s="365">
        <f t="shared" ca="1" si="14"/>
        <v>2204</v>
      </c>
      <c r="B323" t="s">
        <v>11</v>
      </c>
      <c r="C323" t="str">
        <f t="shared" ca="1" si="15"/>
        <v>Linha 2</v>
      </c>
      <c r="D323" t="s">
        <v>40</v>
      </c>
      <c r="E323" t="s">
        <v>1220</v>
      </c>
      <c r="F323" t="s">
        <v>18</v>
      </c>
    </row>
    <row r="324" spans="1:6">
      <c r="A324" s="365">
        <f t="shared" ca="1" si="14"/>
        <v>2205</v>
      </c>
      <c r="B324" t="s">
        <v>12</v>
      </c>
      <c r="C324" t="str">
        <f t="shared" ca="1" si="15"/>
        <v>Linha 3</v>
      </c>
      <c r="D324" t="s">
        <v>41</v>
      </c>
      <c r="E324" t="s">
        <v>1221</v>
      </c>
      <c r="F324" t="s">
        <v>19</v>
      </c>
    </row>
    <row r="325" spans="1:6">
      <c r="A325" s="365">
        <f t="shared" ca="1" si="14"/>
        <v>2206</v>
      </c>
      <c r="B325" t="s">
        <v>13</v>
      </c>
      <c r="C325" t="str">
        <f t="shared" ca="1" si="15"/>
        <v>Linha 4</v>
      </c>
      <c r="D325" t="s">
        <v>42</v>
      </c>
      <c r="E325" t="s">
        <v>1222</v>
      </c>
      <c r="F325" t="s">
        <v>20</v>
      </c>
    </row>
    <row r="326" spans="1:6">
      <c r="A326" s="365">
        <f t="shared" ca="1" si="14"/>
        <v>2207</v>
      </c>
      <c r="B326" t="s">
        <v>14</v>
      </c>
      <c r="C326" t="str">
        <f t="shared" ca="1" si="15"/>
        <v>Linha 5</v>
      </c>
      <c r="D326" t="s">
        <v>43</v>
      </c>
      <c r="E326" t="s">
        <v>1223</v>
      </c>
      <c r="F326" t="s">
        <v>21</v>
      </c>
    </row>
    <row r="327" spans="1:6">
      <c r="A327" s="365">
        <f t="shared" ca="1" si="14"/>
        <v>2208</v>
      </c>
      <c r="B327" t="s">
        <v>15</v>
      </c>
      <c r="C327" t="str">
        <f t="shared" ca="1" si="15"/>
        <v>Linha 6</v>
      </c>
      <c r="D327" t="s">
        <v>44</v>
      </c>
      <c r="E327" t="s">
        <v>1224</v>
      </c>
      <c r="F327" t="s">
        <v>22</v>
      </c>
    </row>
    <row r="328" spans="1:6">
      <c r="A328" s="365">
        <f t="shared" ca="1" si="14"/>
        <v>2209</v>
      </c>
      <c r="B328" t="s">
        <v>16</v>
      </c>
      <c r="C328" t="str">
        <f t="shared" ca="1" si="15"/>
        <v>Linha 7</v>
      </c>
      <c r="D328" t="s">
        <v>45</v>
      </c>
      <c r="E328" t="s">
        <v>1225</v>
      </c>
      <c r="F328" t="s">
        <v>605</v>
      </c>
    </row>
    <row r="329" spans="1:6">
      <c r="A329" s="365">
        <f t="shared" ca="1" si="14"/>
        <v>2300</v>
      </c>
      <c r="B329" s="300" t="s">
        <v>4260</v>
      </c>
      <c r="C329" s="365">
        <f t="shared" ca="1" si="15"/>
        <v>0</v>
      </c>
      <c r="E329" s="300"/>
      <c r="F329" s="300"/>
    </row>
    <row r="330" spans="1:6">
      <c r="A330" s="365">
        <f t="shared" ca="1" si="14"/>
        <v>2301</v>
      </c>
      <c r="B330" s="300" t="s">
        <v>4257</v>
      </c>
      <c r="C330" s="365" t="str">
        <f t="shared" ca="1" si="15"/>
        <v>Aguarde: carregando dados do calendário</v>
      </c>
      <c r="D330" s="365" t="s">
        <v>4254</v>
      </c>
      <c r="E330" s="300" t="s">
        <v>4261</v>
      </c>
      <c r="F330" s="300" t="s">
        <v>4261</v>
      </c>
    </row>
    <row r="331" spans="1:6">
      <c r="A331" s="365">
        <f t="shared" ca="1" si="14"/>
        <v>2302</v>
      </c>
      <c r="B331" s="300" t="s">
        <v>4258</v>
      </c>
      <c r="C331" s="365" t="str">
        <f t="shared" ca="1" si="15"/>
        <v>Ocorreu um erro:</v>
      </c>
      <c r="D331" s="365" t="s">
        <v>4255</v>
      </c>
      <c r="E331" s="300" t="s">
        <v>4262</v>
      </c>
      <c r="F331" s="300" t="s">
        <v>4262</v>
      </c>
    </row>
    <row r="332" spans="1:6" s="365" customFormat="1">
      <c r="A332" s="365">
        <f t="shared" ca="1" si="14"/>
        <v>2303</v>
      </c>
      <c r="B332" s="300" t="s">
        <v>4585</v>
      </c>
      <c r="C332" s="365" t="str">
        <f t="shared" ca="1" si="15"/>
        <v>o arquivo gcal.exe não foi encontrado na pasta atual.</v>
      </c>
      <c r="D332" s="300" t="s">
        <v>4588</v>
      </c>
      <c r="E332" s="300" t="s">
        <v>4587</v>
      </c>
      <c r="F332" s="300" t="s">
        <v>4586</v>
      </c>
    </row>
    <row r="333" spans="1:6" s="365" customFormat="1">
      <c r="A333" s="365">
        <f t="shared" ca="1" si="14"/>
        <v>2304</v>
      </c>
      <c r="B333" s="300" t="s">
        <v>4589</v>
      </c>
      <c r="C333" s="365" t="str">
        <f t="shared" ca="1" si="15"/>
        <v>Baixe o Gcal 11, descompacte, e copie para a mesma pasta deste arquivo.</v>
      </c>
      <c r="D333" s="300" t="s">
        <v>5413</v>
      </c>
      <c r="E333" s="300" t="s">
        <v>5414</v>
      </c>
      <c r="F333" s="300" t="s">
        <v>5412</v>
      </c>
    </row>
    <row r="334" spans="1:6" s="365" customFormat="1">
      <c r="A334" s="365">
        <f t="shared" ca="1" si="14"/>
        <v>2305</v>
      </c>
      <c r="B334" s="300" t="s">
        <v>4590</v>
      </c>
      <c r="C334" s="365" t="str">
        <f t="shared" ca="1" si="15"/>
        <v>http://www.krishnadays.com</v>
      </c>
      <c r="D334" s="300" t="s">
        <v>4591</v>
      </c>
      <c r="E334" s="300" t="s">
        <v>4591</v>
      </c>
      <c r="F334" s="300" t="s">
        <v>4591</v>
      </c>
    </row>
    <row r="335" spans="1:6">
      <c r="A335" s="365">
        <f t="shared" ca="1" si="14"/>
        <v>2306</v>
      </c>
      <c r="B335" s="300" t="s">
        <v>4259</v>
      </c>
      <c r="C335" s="365" t="str">
        <f t="shared" ca="1" si="15"/>
        <v>Pronto!</v>
      </c>
      <c r="D335" s="365" t="s">
        <v>4256</v>
      </c>
      <c r="E335" s="300" t="s">
        <v>4263</v>
      </c>
      <c r="F335" s="300" t="s">
        <v>4263</v>
      </c>
    </row>
    <row r="336" spans="1:6">
      <c r="A336" s="365">
        <f t="shared" ca="1" si="14"/>
        <v>2307</v>
      </c>
      <c r="B336" t="s">
        <v>4328</v>
      </c>
      <c r="C336" s="365" t="str">
        <f t="shared" ca="1" si="15"/>
        <v>Carregando...</v>
      </c>
      <c r="D336" s="300" t="s">
        <v>4533</v>
      </c>
      <c r="E336" s="300" t="s">
        <v>4329</v>
      </c>
      <c r="F336" s="300" t="s">
        <v>4329</v>
      </c>
    </row>
    <row r="337" spans="1:6">
      <c r="A337" s="365">
        <f t="shared" ca="1" si="14"/>
        <v>2308</v>
      </c>
      <c r="B337" t="s">
        <v>4259</v>
      </c>
      <c r="C337" s="365" t="str">
        <f t="shared" ca="1" si="15"/>
        <v>Pronto!</v>
      </c>
      <c r="D337" t="s">
        <v>4256</v>
      </c>
      <c r="E337" s="300" t="s">
        <v>4263</v>
      </c>
      <c r="F337" s="300" t="s">
        <v>4263</v>
      </c>
    </row>
    <row r="338" spans="1:6" s="365" customFormat="1">
      <c r="A338" s="365">
        <f t="shared" ca="1" si="14"/>
        <v>2309</v>
      </c>
      <c r="B338" s="300" t="s">
        <v>4534</v>
      </c>
      <c r="C338" s="365" t="str">
        <f t="shared" ca="1" si="15"/>
        <v xml:space="preserve">Aguarde: </v>
      </c>
      <c r="D338" s="300" t="s">
        <v>4535</v>
      </c>
      <c r="E338" s="300" t="s">
        <v>4536</v>
      </c>
      <c r="F338" s="300" t="s">
        <v>4536</v>
      </c>
    </row>
    <row r="339" spans="1:6" s="365" customFormat="1">
      <c r="A339" s="365">
        <f t="shared" ca="1" si="14"/>
        <v>2310</v>
      </c>
      <c r="B339" s="300" t="s">
        <v>4594</v>
      </c>
      <c r="C339" s="365" t="str">
        <f t="shared" ca="1" si="15"/>
        <v>Aguarde: excluindo arquivos anteriores...</v>
      </c>
      <c r="D339" s="300" t="s">
        <v>4593</v>
      </c>
      <c r="E339" s="300" t="s">
        <v>4610</v>
      </c>
      <c r="F339" s="300" t="s">
        <v>4607</v>
      </c>
    </row>
    <row r="340" spans="1:6" s="365" customFormat="1">
      <c r="A340" s="365">
        <f t="shared" ca="1" si="14"/>
        <v>2311</v>
      </c>
      <c r="B340" s="300" t="s">
        <v>4595</v>
      </c>
      <c r="C340" s="365" t="str">
        <f t="shared" ca="1" si="15"/>
        <v>Aguarde: abrindo Gcal...</v>
      </c>
      <c r="D340" s="300" t="s">
        <v>4592</v>
      </c>
      <c r="E340" s="300" t="s">
        <v>4611</v>
      </c>
      <c r="F340" s="300" t="s">
        <v>4606</v>
      </c>
    </row>
    <row r="341" spans="1:6" s="365" customFormat="1">
      <c r="A341" s="365">
        <f t="shared" ca="1" si="14"/>
        <v>2312</v>
      </c>
      <c r="B341" s="300" t="s">
        <v>4601</v>
      </c>
      <c r="C341" s="365" t="str">
        <f t="shared" ca="1" si="15"/>
        <v>Aguarde: selecionando a localidade...</v>
      </c>
      <c r="D341" s="300" t="s">
        <v>4596</v>
      </c>
      <c r="E341" s="300" t="s">
        <v>4612</v>
      </c>
      <c r="F341" s="300" t="s">
        <v>4608</v>
      </c>
    </row>
    <row r="342" spans="1:6" s="365" customFormat="1">
      <c r="A342" s="365">
        <f t="shared" ref="A342:A354" ca="1" si="16">IF(RIGHT(B342,8)="_section",(INT(A341/100)+1)*100,A341+1)</f>
        <v>2313</v>
      </c>
      <c r="B342" s="300" t="s">
        <v>4602</v>
      </c>
      <c r="C342" s="365" t="str">
        <f t="shared" ca="1" si="15"/>
        <v>Aguarde: calculando calendário...</v>
      </c>
      <c r="D342" s="300" t="s">
        <v>4597</v>
      </c>
      <c r="E342" s="300" t="s">
        <v>4615</v>
      </c>
      <c r="F342" s="300" t="s">
        <v>4609</v>
      </c>
    </row>
    <row r="343" spans="1:6" s="365" customFormat="1">
      <c r="A343" s="365">
        <f t="shared" ca="1" si="16"/>
        <v>2314</v>
      </c>
      <c r="B343" s="300" t="s">
        <v>4603</v>
      </c>
      <c r="C343" s="365" t="str">
        <f t="shared" ca="1" si="15"/>
        <v>Aguarde: salvando Calendário em xml...</v>
      </c>
      <c r="D343" s="300" t="s">
        <v>4598</v>
      </c>
      <c r="E343" s="300" t="s">
        <v>4614</v>
      </c>
      <c r="F343" s="300" t="s">
        <v>4616</v>
      </c>
    </row>
    <row r="344" spans="1:6" s="365" customFormat="1">
      <c r="A344" s="365">
        <f t="shared" ca="1" si="16"/>
        <v>2315</v>
      </c>
      <c r="B344" s="300" t="s">
        <v>4604</v>
      </c>
      <c r="C344" s="365" t="str">
        <f t="shared" ca="1" si="15"/>
        <v>Aguarde: salvando Calendário em html...</v>
      </c>
      <c r="D344" s="300" t="s">
        <v>4599</v>
      </c>
      <c r="E344" s="300" t="s">
        <v>4613</v>
      </c>
      <c r="F344" s="300" t="s">
        <v>4617</v>
      </c>
    </row>
    <row r="345" spans="1:6" s="365" customFormat="1">
      <c r="A345" s="365">
        <f t="shared" ca="1" si="16"/>
        <v>2316</v>
      </c>
      <c r="B345" s="300" t="s">
        <v>4605</v>
      </c>
      <c r="C345" s="365" t="str">
        <f t="shared" ca="1" si="15"/>
        <v>Aguarde: fechando Gcal...</v>
      </c>
      <c r="D345" s="300" t="s">
        <v>4600</v>
      </c>
      <c r="E345" s="300" t="s">
        <v>4619</v>
      </c>
      <c r="F345" s="300" t="s">
        <v>4618</v>
      </c>
    </row>
    <row r="346" spans="1:6">
      <c r="A346" s="365">
        <f t="shared" ca="1" si="16"/>
        <v>2400</v>
      </c>
      <c r="B346" s="300" t="s">
        <v>4469</v>
      </c>
      <c r="C346" s="365">
        <f t="shared" ca="1" si="15"/>
        <v>0</v>
      </c>
    </row>
    <row r="347" spans="1:6">
      <c r="A347" s="365">
        <f t="shared" ca="1" si="16"/>
        <v>2401</v>
      </c>
      <c r="B347" s="300" t="s">
        <v>4473</v>
      </c>
      <c r="C347" s="365" t="str">
        <f t="shared" ca="1" si="15"/>
        <v>GetWeekDayOfMonth</v>
      </c>
      <c r="D347" s="365" t="s">
        <v>4470</v>
      </c>
      <c r="E347" s="365" t="s">
        <v>4470</v>
      </c>
      <c r="F347" s="365" t="s">
        <v>4470</v>
      </c>
    </row>
    <row r="348" spans="1:6">
      <c r="A348" s="365">
        <f t="shared" ca="1" si="16"/>
        <v>2402</v>
      </c>
      <c r="B348" s="300" t="s">
        <v>4475</v>
      </c>
      <c r="C348" s="365" t="str">
        <f t="shared" ca="1" si="15"/>
        <v>CalendarXML</v>
      </c>
      <c r="D348" s="365" t="s">
        <v>4474</v>
      </c>
      <c r="E348" s="365" t="s">
        <v>4474</v>
      </c>
      <c r="F348" s="365" t="s">
        <v>4474</v>
      </c>
    </row>
    <row r="349" spans="1:6">
      <c r="A349" s="365">
        <f t="shared" ca="1" si="16"/>
        <v>2403</v>
      </c>
      <c r="B349" s="300" t="s">
        <v>4472</v>
      </c>
      <c r="C349" s="365" t="str">
        <f t="shared" ca="1" si="15"/>
        <v>Retorna uma data do tipo 'segundo domingo de maio', fornecidos: o ano, o mês, o 'dia da semana' (domingo, segunda, etc.) e o número de 'dias da semana' contados a partir do primeiro dia do mês, inclusive</v>
      </c>
      <c r="D349" s="365"/>
      <c r="E349" s="365"/>
      <c r="F349" s="365" t="s">
        <v>4471</v>
      </c>
    </row>
    <row r="350" spans="1:6">
      <c r="A350" s="365">
        <f t="shared" ca="1" si="16"/>
        <v>2404</v>
      </c>
      <c r="B350" s="300" t="s">
        <v>4484</v>
      </c>
      <c r="C350" s="365">
        <f t="shared" ca="1" si="15"/>
        <v>4</v>
      </c>
      <c r="D350" s="365">
        <v>4</v>
      </c>
      <c r="E350" s="365">
        <v>4</v>
      </c>
      <c r="F350" s="365">
        <v>4</v>
      </c>
    </row>
    <row r="351" spans="1:6">
      <c r="A351" s="365">
        <f t="shared" ca="1" si="16"/>
        <v>2405</v>
      </c>
      <c r="B351" s="300" t="s">
        <v>4476</v>
      </c>
      <c r="C351" s="365" t="str">
        <f t="shared" ca="1" si="15"/>
        <v>é o ano desejado</v>
      </c>
      <c r="D351" s="300" t="s">
        <v>4485</v>
      </c>
      <c r="E351" s="300" t="s">
        <v>4486</v>
      </c>
      <c r="F351" s="300" t="s">
        <v>4480</v>
      </c>
    </row>
    <row r="352" spans="1:6">
      <c r="A352" s="365">
        <f t="shared" ca="1" si="16"/>
        <v>2406</v>
      </c>
      <c r="B352" s="300" t="s">
        <v>4477</v>
      </c>
      <c r="C352" s="365" t="str">
        <f t="shared" ca="1" si="15"/>
        <v>é o mês desejado, de 1 a 12 (se menor que 1 será considerado 1 e se maior que 12 será considerado 12)</v>
      </c>
      <c r="D352" s="300" t="s">
        <v>4488</v>
      </c>
      <c r="E352" s="300" t="s">
        <v>4487</v>
      </c>
      <c r="F352" s="300" t="s">
        <v>4481</v>
      </c>
    </row>
    <row r="353" spans="1:6">
      <c r="A353" s="365">
        <f t="shared" ca="1" si="16"/>
        <v>2407</v>
      </c>
      <c r="B353" s="300" t="s">
        <v>4478</v>
      </c>
      <c r="C353" s="365" t="str">
        <f t="shared" ca="1" si="15"/>
        <v>é o 'dia da semana' procurado no mês: 1 para domingo, 2 para segunda, 3 para terça, 4 para quarta, 5 para quinta, 6 para sexta e 7 para sábado (se menor que 1 será considerado 1 e se maior que 7 será considerado 7)</v>
      </c>
      <c r="D353" s="300" t="s">
        <v>4489</v>
      </c>
      <c r="E353" s="300" t="s">
        <v>4490</v>
      </c>
      <c r="F353" t="s">
        <v>4482</v>
      </c>
    </row>
    <row r="354" spans="1:6">
      <c r="A354" s="365">
        <f t="shared" ca="1" si="16"/>
        <v>2408</v>
      </c>
      <c r="B354" s="300" t="s">
        <v>4479</v>
      </c>
      <c r="C354" s="365" t="str">
        <f t="shared" ca="1" si="15"/>
        <v>1 para retornar o primeiro 'dia da semana' (domingo, segunda, etc.) do mês, 2 para segundo, 3 para terceiro, 4 para quarto, e maior que 4 para o último (retorna o quarto se não houver um quinto  'dia da semana' no mês)</v>
      </c>
      <c r="D354" s="300" t="s">
        <v>4491</v>
      </c>
      <c r="E354" s="300" t="s">
        <v>4492</v>
      </c>
      <c r="F354" s="300" t="s">
        <v>4483</v>
      </c>
    </row>
    <row r="355" spans="1:6">
      <c r="D355" s="365"/>
    </row>
    <row r="356" spans="1:6">
      <c r="D356" s="365"/>
    </row>
    <row r="357" spans="1:6">
      <c r="D357" s="365"/>
    </row>
    <row r="358" spans="1:6">
      <c r="D358" s="365"/>
    </row>
    <row r="359" spans="1:6">
      <c r="D359" s="365"/>
    </row>
    <row r="360" spans="1:6">
      <c r="D360" s="300"/>
    </row>
    <row r="361" spans="1:6">
      <c r="D361" s="365"/>
    </row>
    <row r="362" spans="1:6">
      <c r="D362" s="365"/>
    </row>
    <row r="363" spans="1:6">
      <c r="D363" s="365"/>
    </row>
    <row r="364" spans="1:6">
      <c r="D364" s="300"/>
    </row>
    <row r="365" spans="1:6">
      <c r="D365" s="365"/>
    </row>
    <row r="366" spans="1:6">
      <c r="D366" s="365"/>
    </row>
    <row r="367" spans="1:6">
      <c r="D367" s="365"/>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BD"/>
  <dimension ref="A1:ADP98"/>
  <sheetViews>
    <sheetView workbookViewId="0">
      <pane xSplit="2" ySplit="5" topLeftCell="CA69" activePane="bottomRight" state="frozen"/>
      <selection pane="topRight"/>
      <selection pane="bottomLeft"/>
      <selection pane="bottomRight" activeCell="C1" sqref="C1:D98"/>
    </sheetView>
  </sheetViews>
  <sheetFormatPr defaultRowHeight="12.75"/>
  <sheetData>
    <row r="1" spans="1:796">
      <c r="A1" t="s">
        <v>26</v>
      </c>
      <c r="B1">
        <v>1</v>
      </c>
      <c r="C1" t="s">
        <v>4274</v>
      </c>
      <c r="D1">
        <v>10</v>
      </c>
      <c r="E1" s="536">
        <v>42705</v>
      </c>
      <c r="F1" s="536">
        <v>42706</v>
      </c>
      <c r="G1" s="536">
        <v>42707</v>
      </c>
      <c r="H1" s="536">
        <v>42708</v>
      </c>
      <c r="I1" s="536">
        <v>42709</v>
      </c>
      <c r="J1" s="536">
        <v>42710</v>
      </c>
      <c r="K1" s="536">
        <v>42711</v>
      </c>
      <c r="L1" s="536">
        <v>42712</v>
      </c>
      <c r="M1" s="536">
        <v>42713</v>
      </c>
      <c r="N1" s="536">
        <v>42714</v>
      </c>
      <c r="O1" s="536">
        <v>42715</v>
      </c>
      <c r="P1" s="536">
        <v>42716</v>
      </c>
      <c r="Q1" s="536">
        <v>42717</v>
      </c>
      <c r="R1" s="536">
        <v>42718</v>
      </c>
      <c r="S1" s="536">
        <v>42719</v>
      </c>
      <c r="T1" s="536">
        <v>42720</v>
      </c>
      <c r="U1" s="536">
        <v>42721</v>
      </c>
      <c r="V1" s="536">
        <v>42722</v>
      </c>
      <c r="W1" s="536">
        <v>42723</v>
      </c>
      <c r="X1" s="536">
        <v>42724</v>
      </c>
      <c r="Y1" s="536">
        <v>42725</v>
      </c>
      <c r="Z1" s="536">
        <v>42726</v>
      </c>
      <c r="AA1" s="536">
        <v>42727</v>
      </c>
      <c r="AB1" s="536">
        <v>42728</v>
      </c>
      <c r="AC1" s="536">
        <v>42729</v>
      </c>
      <c r="AD1" s="536">
        <v>42730</v>
      </c>
      <c r="AE1" s="536">
        <v>42731</v>
      </c>
      <c r="AF1" s="536">
        <v>42732</v>
      </c>
      <c r="AG1" s="536">
        <v>42733</v>
      </c>
      <c r="AH1" s="536">
        <v>42734</v>
      </c>
      <c r="AI1" s="536">
        <v>42735</v>
      </c>
      <c r="AJ1" s="536">
        <v>42736</v>
      </c>
      <c r="AK1" s="536">
        <v>42737</v>
      </c>
      <c r="AL1" s="536">
        <v>42738</v>
      </c>
      <c r="AM1" s="536">
        <v>42739</v>
      </c>
      <c r="AN1" s="536">
        <v>42740</v>
      </c>
      <c r="AO1" s="536">
        <v>42741</v>
      </c>
      <c r="AP1" s="536">
        <v>42742</v>
      </c>
      <c r="AQ1" s="536">
        <v>42743</v>
      </c>
      <c r="AR1" s="536">
        <v>42744</v>
      </c>
      <c r="AS1" s="536">
        <v>42745</v>
      </c>
      <c r="AT1" s="536">
        <v>42746</v>
      </c>
      <c r="AU1" s="536">
        <v>42747</v>
      </c>
      <c r="AV1" s="536">
        <v>42748</v>
      </c>
      <c r="AW1" s="536">
        <v>42749</v>
      </c>
      <c r="AX1" s="536">
        <v>42750</v>
      </c>
      <c r="AY1" s="536">
        <v>42751</v>
      </c>
      <c r="AZ1" s="536">
        <v>42752</v>
      </c>
      <c r="BA1" s="536">
        <v>42753</v>
      </c>
      <c r="BB1" s="536">
        <v>42754</v>
      </c>
      <c r="BC1" s="536">
        <v>42755</v>
      </c>
      <c r="BD1" s="536">
        <v>42756</v>
      </c>
      <c r="BE1" s="536">
        <v>42757</v>
      </c>
      <c r="BF1" s="536">
        <v>42758</v>
      </c>
      <c r="BG1" s="536">
        <v>42759</v>
      </c>
      <c r="BH1" s="536">
        <v>42760</v>
      </c>
      <c r="BI1" s="536">
        <v>42761</v>
      </c>
      <c r="BJ1" s="536">
        <v>42762</v>
      </c>
      <c r="BK1" s="536">
        <v>42763</v>
      </c>
      <c r="BL1" s="536">
        <v>42764</v>
      </c>
      <c r="BM1" s="536">
        <v>42765</v>
      </c>
      <c r="BN1" s="536">
        <v>42766</v>
      </c>
      <c r="BO1" s="536">
        <v>42767</v>
      </c>
      <c r="BP1" s="536">
        <v>42768</v>
      </c>
      <c r="BQ1" s="536">
        <v>42769</v>
      </c>
      <c r="BR1" s="536">
        <v>42770</v>
      </c>
      <c r="BS1" s="536">
        <v>42771</v>
      </c>
      <c r="BT1" s="536">
        <v>42772</v>
      </c>
      <c r="BU1" s="536">
        <v>42773</v>
      </c>
      <c r="BV1" s="536">
        <v>42774</v>
      </c>
      <c r="BW1" s="536">
        <v>42775</v>
      </c>
      <c r="BX1" s="536">
        <v>42776</v>
      </c>
      <c r="BY1" s="536">
        <v>42777</v>
      </c>
      <c r="BZ1" s="536">
        <v>42778</v>
      </c>
      <c r="CA1" s="536">
        <v>42779</v>
      </c>
      <c r="CB1" s="536">
        <v>42780</v>
      </c>
      <c r="CC1" s="536">
        <v>42781</v>
      </c>
      <c r="CD1" s="536">
        <v>42782</v>
      </c>
      <c r="CE1" s="536">
        <v>42783</v>
      </c>
      <c r="CF1" s="536">
        <v>42784</v>
      </c>
      <c r="CG1" s="536">
        <v>42785</v>
      </c>
      <c r="CH1" s="536">
        <v>42786</v>
      </c>
      <c r="CI1" s="536">
        <v>42787</v>
      </c>
      <c r="CJ1" s="536">
        <v>42788</v>
      </c>
      <c r="CK1" s="536">
        <v>42789</v>
      </c>
      <c r="CL1" s="536">
        <v>42790</v>
      </c>
      <c r="CM1" s="536">
        <v>42791</v>
      </c>
      <c r="CN1" s="536">
        <v>42792</v>
      </c>
      <c r="CO1" s="536">
        <v>42793</v>
      </c>
      <c r="CP1" s="536">
        <v>42794</v>
      </c>
      <c r="CQ1" s="536">
        <v>42795</v>
      </c>
      <c r="CR1" s="536">
        <v>42796</v>
      </c>
      <c r="CS1" s="536">
        <v>42797</v>
      </c>
      <c r="CT1" s="536">
        <v>42798</v>
      </c>
      <c r="CU1" s="536">
        <v>42799</v>
      </c>
      <c r="CV1" s="536">
        <v>42800</v>
      </c>
      <c r="CW1" s="536">
        <v>42801</v>
      </c>
      <c r="CX1" s="536">
        <v>42802</v>
      </c>
      <c r="CY1" s="536">
        <v>42803</v>
      </c>
      <c r="CZ1" s="536">
        <v>42804</v>
      </c>
      <c r="DA1" s="536">
        <v>42805</v>
      </c>
      <c r="DB1" s="536">
        <v>42806</v>
      </c>
      <c r="DC1" s="536">
        <v>42807</v>
      </c>
      <c r="DD1" s="536">
        <v>42808</v>
      </c>
      <c r="DE1" s="536">
        <v>42809</v>
      </c>
      <c r="DF1" s="536">
        <v>42810</v>
      </c>
      <c r="DG1" s="536">
        <v>42811</v>
      </c>
      <c r="DH1" s="536">
        <v>42812</v>
      </c>
      <c r="DI1" s="536">
        <v>42813</v>
      </c>
      <c r="DJ1" s="536">
        <v>42814</v>
      </c>
      <c r="DK1" s="536">
        <v>42815</v>
      </c>
      <c r="DL1" s="536">
        <v>42816</v>
      </c>
      <c r="DM1" s="536">
        <v>42817</v>
      </c>
      <c r="DN1" s="536">
        <v>42818</v>
      </c>
      <c r="DO1" s="536">
        <v>42819</v>
      </c>
      <c r="DP1" s="536">
        <v>42820</v>
      </c>
      <c r="DQ1" s="536">
        <v>42821</v>
      </c>
      <c r="DR1" s="536">
        <v>42822</v>
      </c>
      <c r="DS1" s="536">
        <v>42823</v>
      </c>
      <c r="DT1" s="536">
        <v>42824</v>
      </c>
      <c r="DU1" s="536">
        <v>42825</v>
      </c>
      <c r="DV1" s="536">
        <v>42826</v>
      </c>
      <c r="DW1" s="536">
        <v>42827</v>
      </c>
      <c r="DX1" s="536">
        <v>42828</v>
      </c>
      <c r="DY1" s="536">
        <v>42829</v>
      </c>
      <c r="DZ1" s="536">
        <v>42830</v>
      </c>
      <c r="EA1" s="536">
        <v>42831</v>
      </c>
      <c r="EB1" s="536">
        <v>42832</v>
      </c>
      <c r="EC1" s="536">
        <v>42833</v>
      </c>
      <c r="ED1" s="536">
        <v>42834</v>
      </c>
      <c r="EE1" s="536">
        <v>42835</v>
      </c>
      <c r="EF1" s="536">
        <v>42836</v>
      </c>
      <c r="EG1" s="536">
        <v>42837</v>
      </c>
      <c r="EH1" s="536">
        <v>42838</v>
      </c>
      <c r="EI1" s="536">
        <v>42839</v>
      </c>
      <c r="EJ1" s="536">
        <v>42840</v>
      </c>
      <c r="EK1" s="536">
        <v>42841</v>
      </c>
      <c r="EL1" s="536">
        <v>42842</v>
      </c>
      <c r="EM1" s="536">
        <v>42843</v>
      </c>
      <c r="EN1" s="536">
        <v>42844</v>
      </c>
      <c r="EO1" s="536">
        <v>42845</v>
      </c>
      <c r="EP1" s="536">
        <v>42846</v>
      </c>
      <c r="EQ1" s="536">
        <v>42847</v>
      </c>
      <c r="ER1" s="536">
        <v>42848</v>
      </c>
      <c r="ES1" s="536">
        <v>42849</v>
      </c>
      <c r="ET1" s="536">
        <v>42850</v>
      </c>
      <c r="EU1" s="536">
        <v>42851</v>
      </c>
      <c r="EV1" s="536">
        <v>42852</v>
      </c>
      <c r="EW1" s="536">
        <v>42853</v>
      </c>
      <c r="EX1" s="536">
        <v>42854</v>
      </c>
      <c r="EY1" s="536">
        <v>42855</v>
      </c>
      <c r="EZ1" s="536">
        <v>42856</v>
      </c>
      <c r="FA1" s="536">
        <v>42857</v>
      </c>
      <c r="FB1" s="536">
        <v>42858</v>
      </c>
      <c r="FC1" s="536">
        <v>42859</v>
      </c>
      <c r="FD1" s="536">
        <v>42860</v>
      </c>
      <c r="FE1" s="536">
        <v>42861</v>
      </c>
      <c r="FF1" s="536">
        <v>42862</v>
      </c>
      <c r="FG1" s="536">
        <v>42863</v>
      </c>
      <c r="FH1" s="536">
        <v>42864</v>
      </c>
      <c r="FI1" s="536">
        <v>42865</v>
      </c>
      <c r="FJ1" s="536">
        <v>42866</v>
      </c>
      <c r="FK1" s="536">
        <v>42867</v>
      </c>
      <c r="FL1" s="536">
        <v>42868</v>
      </c>
      <c r="FM1" s="536">
        <v>42869</v>
      </c>
      <c r="FN1" s="536">
        <v>42870</v>
      </c>
      <c r="FO1" s="536">
        <v>42871</v>
      </c>
      <c r="FP1" s="536">
        <v>42872</v>
      </c>
      <c r="FQ1" s="536">
        <v>42873</v>
      </c>
      <c r="FR1" s="536">
        <v>42874</v>
      </c>
      <c r="FS1" s="536">
        <v>42875</v>
      </c>
      <c r="FT1" s="536">
        <v>42876</v>
      </c>
      <c r="FU1" s="536">
        <v>42877</v>
      </c>
      <c r="FV1" s="536">
        <v>42878</v>
      </c>
      <c r="FW1" s="536">
        <v>42879</v>
      </c>
      <c r="FX1" s="536">
        <v>42880</v>
      </c>
      <c r="FY1" s="536">
        <v>42881</v>
      </c>
      <c r="FZ1" s="536">
        <v>42882</v>
      </c>
      <c r="GA1" s="536">
        <v>42883</v>
      </c>
      <c r="GB1" s="536">
        <v>42884</v>
      </c>
      <c r="GC1" s="536">
        <v>42885</v>
      </c>
      <c r="GD1" s="536">
        <v>42886</v>
      </c>
      <c r="GE1" s="536">
        <v>42887</v>
      </c>
      <c r="GF1" s="536">
        <v>42888</v>
      </c>
      <c r="GG1" s="536">
        <v>42889</v>
      </c>
      <c r="GH1" s="536">
        <v>42890</v>
      </c>
      <c r="GI1" s="536">
        <v>42891</v>
      </c>
      <c r="GJ1" s="536">
        <v>42892</v>
      </c>
      <c r="GK1" s="536">
        <v>42893</v>
      </c>
      <c r="GL1" s="536">
        <v>42894</v>
      </c>
      <c r="GM1" s="536">
        <v>42895</v>
      </c>
      <c r="GN1" s="536">
        <v>42896</v>
      </c>
      <c r="GO1" s="536">
        <v>42897</v>
      </c>
      <c r="GP1" s="536">
        <v>42898</v>
      </c>
      <c r="GQ1" s="536">
        <v>42899</v>
      </c>
      <c r="GR1" s="536">
        <v>42900</v>
      </c>
      <c r="GS1" s="536">
        <v>42901</v>
      </c>
      <c r="GT1" s="536">
        <v>42902</v>
      </c>
      <c r="GU1" s="536">
        <v>42903</v>
      </c>
      <c r="GV1" s="536">
        <v>42904</v>
      </c>
      <c r="GW1" s="536">
        <v>42905</v>
      </c>
      <c r="GX1" s="536">
        <v>42906</v>
      </c>
      <c r="GY1" s="536">
        <v>42907</v>
      </c>
      <c r="GZ1" s="536">
        <v>42908</v>
      </c>
      <c r="HA1" s="536">
        <v>42909</v>
      </c>
      <c r="HB1" s="536">
        <v>42910</v>
      </c>
      <c r="HC1" s="536">
        <v>42911</v>
      </c>
      <c r="HD1" s="536">
        <v>42912</v>
      </c>
      <c r="HE1" s="536">
        <v>42913</v>
      </c>
      <c r="HF1" s="536">
        <v>42914</v>
      </c>
      <c r="HG1" s="536">
        <v>42915</v>
      </c>
      <c r="HH1" s="536">
        <v>42916</v>
      </c>
      <c r="HI1" s="536">
        <v>42917</v>
      </c>
      <c r="HJ1" s="536">
        <v>42918</v>
      </c>
      <c r="HK1" s="536">
        <v>42919</v>
      </c>
      <c r="HL1" s="536">
        <v>42920</v>
      </c>
      <c r="HM1" s="536">
        <v>42921</v>
      </c>
      <c r="HN1" s="536">
        <v>42922</v>
      </c>
      <c r="HO1" s="536">
        <v>42923</v>
      </c>
      <c r="HP1" s="536">
        <v>42924</v>
      </c>
      <c r="HQ1" s="536">
        <v>42925</v>
      </c>
      <c r="HR1" s="536">
        <v>42926</v>
      </c>
      <c r="HS1" s="536">
        <v>42927</v>
      </c>
      <c r="HT1" s="536">
        <v>42928</v>
      </c>
      <c r="HU1" s="536">
        <v>42929</v>
      </c>
      <c r="HV1" s="536">
        <v>42930</v>
      </c>
      <c r="HW1" s="536">
        <v>42931</v>
      </c>
      <c r="HX1" s="536">
        <v>42932</v>
      </c>
      <c r="HY1" s="536">
        <v>42933</v>
      </c>
      <c r="HZ1" s="536">
        <v>42934</v>
      </c>
      <c r="IA1" s="536">
        <v>42935</v>
      </c>
      <c r="IB1" s="536">
        <v>42936</v>
      </c>
      <c r="IC1" s="536">
        <v>42937</v>
      </c>
      <c r="ID1" s="536">
        <v>42938</v>
      </c>
      <c r="IE1" s="536">
        <v>42939</v>
      </c>
      <c r="IF1" s="536">
        <v>42940</v>
      </c>
      <c r="IG1" s="536">
        <v>42941</v>
      </c>
      <c r="IH1" s="536">
        <v>42942</v>
      </c>
      <c r="II1" s="536">
        <v>42943</v>
      </c>
      <c r="IJ1" s="536">
        <v>42944</v>
      </c>
      <c r="IK1" s="536">
        <v>42945</v>
      </c>
      <c r="IL1" s="536">
        <v>42946</v>
      </c>
      <c r="IM1" s="536">
        <v>42947</v>
      </c>
      <c r="IN1" s="536">
        <v>42948</v>
      </c>
      <c r="IO1" s="536">
        <v>42949</v>
      </c>
      <c r="IP1" s="536">
        <v>42950</v>
      </c>
      <c r="IQ1" s="536">
        <v>42951</v>
      </c>
      <c r="IR1" s="536">
        <v>42952</v>
      </c>
      <c r="IS1" s="536">
        <v>42953</v>
      </c>
      <c r="IT1" s="536">
        <v>42954</v>
      </c>
      <c r="IU1" s="536">
        <v>42955</v>
      </c>
      <c r="IV1" s="536">
        <v>42956</v>
      </c>
      <c r="IW1" s="536">
        <v>42957</v>
      </c>
      <c r="IX1" s="536">
        <v>42958</v>
      </c>
      <c r="IY1" s="536">
        <v>42959</v>
      </c>
      <c r="IZ1" s="536">
        <v>42960</v>
      </c>
      <c r="JA1" s="536">
        <v>42961</v>
      </c>
      <c r="JB1" s="536">
        <v>42962</v>
      </c>
      <c r="JC1" s="536">
        <v>42963</v>
      </c>
      <c r="JD1" s="536">
        <v>42964</v>
      </c>
      <c r="JE1" s="536">
        <v>42965</v>
      </c>
      <c r="JF1" s="536">
        <v>42966</v>
      </c>
      <c r="JG1" s="536">
        <v>42967</v>
      </c>
      <c r="JH1" s="536">
        <v>42968</v>
      </c>
      <c r="JI1" s="536">
        <v>42969</v>
      </c>
      <c r="JJ1" s="536">
        <v>42970</v>
      </c>
      <c r="JK1" s="536">
        <v>42971</v>
      </c>
      <c r="JL1" s="536">
        <v>42972</v>
      </c>
      <c r="JM1" s="536">
        <v>42973</v>
      </c>
      <c r="JN1" s="536">
        <v>42974</v>
      </c>
      <c r="JO1" s="536">
        <v>42975</v>
      </c>
      <c r="JP1" s="536">
        <v>42976</v>
      </c>
      <c r="JQ1" s="536">
        <v>42977</v>
      </c>
      <c r="JR1" s="536">
        <v>42978</v>
      </c>
      <c r="JS1" s="536">
        <v>42979</v>
      </c>
      <c r="JT1" s="536">
        <v>42980</v>
      </c>
      <c r="JU1" s="536">
        <v>42981</v>
      </c>
      <c r="JV1" s="536">
        <v>42982</v>
      </c>
      <c r="JW1" s="536">
        <v>42983</v>
      </c>
      <c r="JX1" s="536">
        <v>42984</v>
      </c>
      <c r="JY1" s="536">
        <v>42985</v>
      </c>
      <c r="JZ1" s="536">
        <v>42986</v>
      </c>
      <c r="KA1" s="536">
        <v>42987</v>
      </c>
      <c r="KB1" s="536">
        <v>42988</v>
      </c>
      <c r="KC1" s="536">
        <v>42989</v>
      </c>
      <c r="KD1" s="536">
        <v>42990</v>
      </c>
      <c r="KE1" s="536">
        <v>42991</v>
      </c>
      <c r="KF1" s="536">
        <v>42992</v>
      </c>
      <c r="KG1" s="536">
        <v>42993</v>
      </c>
      <c r="KH1" s="536">
        <v>42994</v>
      </c>
      <c r="KI1" s="536">
        <v>42995</v>
      </c>
      <c r="KJ1" s="536">
        <v>42996</v>
      </c>
      <c r="KK1" s="536">
        <v>42997</v>
      </c>
      <c r="KL1" s="536">
        <v>42998</v>
      </c>
      <c r="KM1" s="536">
        <v>42999</v>
      </c>
      <c r="KN1" s="536">
        <v>43000</v>
      </c>
      <c r="KO1" s="536">
        <v>43001</v>
      </c>
      <c r="KP1" s="536">
        <v>43002</v>
      </c>
      <c r="KQ1" s="536">
        <v>43003</v>
      </c>
      <c r="KR1" s="536">
        <v>43004</v>
      </c>
      <c r="KS1" s="536">
        <v>43005</v>
      </c>
      <c r="KT1" s="536">
        <v>43006</v>
      </c>
      <c r="KU1" s="536">
        <v>43007</v>
      </c>
      <c r="KV1" s="536">
        <v>43008</v>
      </c>
      <c r="KW1" s="536">
        <v>43009</v>
      </c>
      <c r="KX1" s="536">
        <v>43010</v>
      </c>
      <c r="KY1" s="536">
        <v>43011</v>
      </c>
      <c r="KZ1" s="536">
        <v>43012</v>
      </c>
      <c r="LA1" s="536">
        <v>43013</v>
      </c>
      <c r="LB1" s="536">
        <v>43014</v>
      </c>
      <c r="LC1" s="536">
        <v>43015</v>
      </c>
      <c r="LD1" s="536">
        <v>43016</v>
      </c>
      <c r="LE1" s="536">
        <v>43017</v>
      </c>
      <c r="LF1" s="536">
        <v>43018</v>
      </c>
      <c r="LG1" s="536">
        <v>43019</v>
      </c>
      <c r="LH1" s="536">
        <v>43020</v>
      </c>
      <c r="LI1" s="536">
        <v>43021</v>
      </c>
      <c r="LJ1" s="536">
        <v>43022</v>
      </c>
      <c r="LK1" s="536">
        <v>43023</v>
      </c>
      <c r="LL1" s="536">
        <v>43024</v>
      </c>
      <c r="LM1" s="536">
        <v>43025</v>
      </c>
      <c r="LN1" s="536">
        <v>43026</v>
      </c>
      <c r="LO1" s="536">
        <v>43027</v>
      </c>
      <c r="LP1" s="536">
        <v>43028</v>
      </c>
      <c r="LQ1" s="536">
        <v>43029</v>
      </c>
      <c r="LR1" s="536">
        <v>43030</v>
      </c>
      <c r="LS1" s="536">
        <v>43031</v>
      </c>
      <c r="LT1" s="536">
        <v>43032</v>
      </c>
      <c r="LU1" s="536">
        <v>43033</v>
      </c>
      <c r="LV1" s="536">
        <v>43034</v>
      </c>
      <c r="LW1" s="536">
        <v>43035</v>
      </c>
      <c r="LX1" s="536">
        <v>43036</v>
      </c>
      <c r="LY1" s="536">
        <v>43037</v>
      </c>
      <c r="LZ1" s="536">
        <v>43038</v>
      </c>
      <c r="MA1" s="536">
        <v>43039</v>
      </c>
      <c r="MB1" s="536">
        <v>43040</v>
      </c>
      <c r="MC1" s="536">
        <v>43041</v>
      </c>
      <c r="MD1" s="536">
        <v>43042</v>
      </c>
      <c r="ME1" s="536">
        <v>43043</v>
      </c>
      <c r="MF1" s="536">
        <v>43044</v>
      </c>
      <c r="MG1" s="536">
        <v>43045</v>
      </c>
      <c r="MH1" s="536">
        <v>43046</v>
      </c>
      <c r="MI1" s="536">
        <v>43047</v>
      </c>
      <c r="MJ1" s="536">
        <v>43048</v>
      </c>
      <c r="MK1" s="536">
        <v>43049</v>
      </c>
      <c r="ML1" s="536">
        <v>43050</v>
      </c>
      <c r="MM1" s="536">
        <v>43051</v>
      </c>
      <c r="MN1" s="536">
        <v>43052</v>
      </c>
      <c r="MO1" s="536">
        <v>43053</v>
      </c>
      <c r="MP1" s="536">
        <v>43054</v>
      </c>
      <c r="MQ1" s="536">
        <v>43055</v>
      </c>
      <c r="MR1" s="536">
        <v>43056</v>
      </c>
      <c r="MS1" s="536">
        <v>43057</v>
      </c>
      <c r="MT1" s="536">
        <v>43058</v>
      </c>
      <c r="MU1" s="536">
        <v>43059</v>
      </c>
      <c r="MV1" s="536">
        <v>43060</v>
      </c>
      <c r="MW1" s="536">
        <v>43061</v>
      </c>
      <c r="MX1" s="536">
        <v>43062</v>
      </c>
      <c r="MY1" s="536">
        <v>43063</v>
      </c>
      <c r="MZ1" s="536">
        <v>43064</v>
      </c>
      <c r="NA1" s="536">
        <v>43065</v>
      </c>
      <c r="NB1" s="536">
        <v>43066</v>
      </c>
      <c r="NC1" s="536">
        <v>43067</v>
      </c>
      <c r="ND1" s="536">
        <v>43068</v>
      </c>
      <c r="NE1" s="536">
        <v>43069</v>
      </c>
      <c r="NF1" s="536">
        <v>43070</v>
      </c>
      <c r="NG1" s="536">
        <v>43071</v>
      </c>
      <c r="NH1" s="536">
        <v>43072</v>
      </c>
      <c r="NI1" s="536">
        <v>43073</v>
      </c>
      <c r="NJ1" s="536">
        <v>43074</v>
      </c>
      <c r="NK1" s="536">
        <v>43075</v>
      </c>
      <c r="NL1" s="536">
        <v>43076</v>
      </c>
      <c r="NM1" s="536">
        <v>43077</v>
      </c>
      <c r="NN1" s="536">
        <v>43078</v>
      </c>
      <c r="NO1" s="536">
        <v>43079</v>
      </c>
      <c r="NP1" s="536">
        <v>43080</v>
      </c>
      <c r="NQ1" s="536">
        <v>43081</v>
      </c>
      <c r="NR1" s="536">
        <v>43082</v>
      </c>
      <c r="NS1" s="536">
        <v>43083</v>
      </c>
      <c r="NT1" s="536">
        <v>43084</v>
      </c>
      <c r="NU1" s="536">
        <v>43085</v>
      </c>
      <c r="NV1" s="536">
        <v>43086</v>
      </c>
      <c r="NW1" s="536">
        <v>43087</v>
      </c>
      <c r="NX1" s="536">
        <v>43088</v>
      </c>
      <c r="NY1" s="536">
        <v>43089</v>
      </c>
      <c r="NZ1" s="536">
        <v>43090</v>
      </c>
      <c r="OA1" s="536">
        <v>43091</v>
      </c>
      <c r="OB1" s="536">
        <v>43092</v>
      </c>
      <c r="OC1" s="536">
        <v>43093</v>
      </c>
      <c r="OD1" s="536">
        <v>43094</v>
      </c>
      <c r="OE1" s="536">
        <v>43095</v>
      </c>
      <c r="OF1" s="536">
        <v>43096</v>
      </c>
      <c r="OG1" s="536">
        <v>43097</v>
      </c>
      <c r="OH1" s="536">
        <v>43098</v>
      </c>
      <c r="OI1" s="536">
        <v>43099</v>
      </c>
      <c r="OJ1" s="536">
        <v>43100</v>
      </c>
      <c r="OK1" s="536">
        <v>43101</v>
      </c>
      <c r="OL1" s="536">
        <v>43102</v>
      </c>
      <c r="OM1" s="536">
        <v>43103</v>
      </c>
      <c r="ON1" s="536">
        <v>43104</v>
      </c>
      <c r="OO1" s="536">
        <v>43105</v>
      </c>
      <c r="OP1" s="536">
        <v>43106</v>
      </c>
      <c r="OQ1" s="536">
        <v>43107</v>
      </c>
      <c r="OR1" s="536">
        <v>43108</v>
      </c>
      <c r="OS1" s="536">
        <v>43109</v>
      </c>
      <c r="OT1" s="536">
        <v>43110</v>
      </c>
      <c r="OU1" s="536">
        <v>43111</v>
      </c>
      <c r="OV1" s="536">
        <v>43112</v>
      </c>
      <c r="OW1" s="536">
        <v>43113</v>
      </c>
      <c r="OX1" s="536">
        <v>43114</v>
      </c>
      <c r="OY1" s="536">
        <v>43115</v>
      </c>
      <c r="OZ1" s="536">
        <v>43116</v>
      </c>
      <c r="PA1" s="536">
        <v>43117</v>
      </c>
      <c r="PB1" s="536">
        <v>43118</v>
      </c>
      <c r="PC1" s="536">
        <v>43119</v>
      </c>
      <c r="PD1" s="536">
        <v>43120</v>
      </c>
      <c r="PE1" s="536">
        <v>43121</v>
      </c>
      <c r="PF1" s="536">
        <v>43122</v>
      </c>
      <c r="PG1" s="536">
        <v>43123</v>
      </c>
      <c r="PH1" s="536">
        <v>43124</v>
      </c>
      <c r="PI1" s="536">
        <v>43125</v>
      </c>
      <c r="PJ1" s="536">
        <v>43126</v>
      </c>
      <c r="PK1" s="536">
        <v>43127</v>
      </c>
      <c r="PL1" s="536">
        <v>43128</v>
      </c>
      <c r="PM1" s="536">
        <v>43129</v>
      </c>
      <c r="PN1" s="536">
        <v>43130</v>
      </c>
      <c r="PO1" s="536">
        <v>43131</v>
      </c>
      <c r="PP1" s="536">
        <v>43132</v>
      </c>
      <c r="PQ1" s="536">
        <v>43133</v>
      </c>
      <c r="PR1" s="536">
        <v>43134</v>
      </c>
      <c r="PS1" s="536">
        <v>43135</v>
      </c>
      <c r="PT1" s="536">
        <v>43136</v>
      </c>
      <c r="PU1" s="536">
        <v>43137</v>
      </c>
      <c r="PV1" s="536">
        <v>43138</v>
      </c>
      <c r="PW1" s="536">
        <v>43139</v>
      </c>
      <c r="PX1" s="536">
        <v>43140</v>
      </c>
      <c r="PY1" s="536">
        <v>43141</v>
      </c>
      <c r="PZ1" s="536">
        <v>43142</v>
      </c>
      <c r="QA1" s="536">
        <v>43143</v>
      </c>
      <c r="QB1" s="536">
        <v>43144</v>
      </c>
      <c r="QC1" s="536">
        <v>43145</v>
      </c>
      <c r="QD1" s="536">
        <v>43146</v>
      </c>
      <c r="QE1" s="536">
        <v>43147</v>
      </c>
      <c r="QF1" s="536">
        <v>43148</v>
      </c>
      <c r="QG1" s="536">
        <v>43149</v>
      </c>
      <c r="QH1" s="536">
        <v>43150</v>
      </c>
      <c r="QI1" s="536">
        <v>43151</v>
      </c>
      <c r="QJ1" s="536">
        <v>43152</v>
      </c>
      <c r="QK1" s="536">
        <v>43153</v>
      </c>
      <c r="QL1" s="536">
        <v>43154</v>
      </c>
      <c r="QM1" s="536">
        <v>43155</v>
      </c>
      <c r="QN1" s="536">
        <v>43156</v>
      </c>
      <c r="QO1" s="536">
        <v>43157</v>
      </c>
      <c r="QP1" s="536">
        <v>43158</v>
      </c>
      <c r="QQ1" s="536">
        <v>43159</v>
      </c>
      <c r="QR1" s="536">
        <v>43160</v>
      </c>
      <c r="QS1" s="536">
        <v>43161</v>
      </c>
      <c r="QT1" s="536">
        <v>43162</v>
      </c>
      <c r="QU1" s="536">
        <v>43163</v>
      </c>
      <c r="QV1" s="536">
        <v>43164</v>
      </c>
      <c r="QW1" s="536">
        <v>43165</v>
      </c>
      <c r="QX1" s="536">
        <v>43166</v>
      </c>
      <c r="QY1" s="536">
        <v>43167</v>
      </c>
      <c r="QZ1" s="536">
        <v>43168</v>
      </c>
      <c r="RA1" s="536">
        <v>43169</v>
      </c>
      <c r="RB1" s="536">
        <v>43170</v>
      </c>
      <c r="RC1" s="536">
        <v>43171</v>
      </c>
      <c r="RD1" s="536">
        <v>43172</v>
      </c>
      <c r="RE1" s="536">
        <v>43173</v>
      </c>
      <c r="RF1" s="536">
        <v>43174</v>
      </c>
      <c r="RG1" s="536">
        <v>43175</v>
      </c>
      <c r="RH1" s="536">
        <v>43176</v>
      </c>
      <c r="RI1" s="536">
        <v>43177</v>
      </c>
      <c r="RJ1" s="536">
        <v>43178</v>
      </c>
      <c r="RK1" s="536">
        <v>43179</v>
      </c>
      <c r="RL1" s="536">
        <v>43180</v>
      </c>
      <c r="RM1" s="536">
        <v>43181</v>
      </c>
      <c r="RN1" s="536">
        <v>43182</v>
      </c>
      <c r="RO1" s="536">
        <v>43183</v>
      </c>
      <c r="RP1" s="536">
        <v>43184</v>
      </c>
      <c r="RQ1" s="536">
        <v>43185</v>
      </c>
      <c r="RR1" s="536">
        <v>43186</v>
      </c>
      <c r="RS1" s="536">
        <v>43187</v>
      </c>
      <c r="RT1" s="536">
        <v>43188</v>
      </c>
      <c r="RU1" s="536">
        <v>43189</v>
      </c>
      <c r="RV1" s="536">
        <v>43190</v>
      </c>
      <c r="RW1" s="536">
        <v>43191</v>
      </c>
      <c r="RX1" s="536">
        <v>43192</v>
      </c>
      <c r="RY1" s="536">
        <v>43193</v>
      </c>
      <c r="RZ1" s="536">
        <v>43194</v>
      </c>
      <c r="SA1" s="536">
        <v>43195</v>
      </c>
      <c r="SB1" s="536">
        <v>43196</v>
      </c>
      <c r="SC1" s="536">
        <v>43197</v>
      </c>
      <c r="SD1" s="536">
        <v>43198</v>
      </c>
      <c r="SE1" s="536">
        <v>43199</v>
      </c>
      <c r="SF1" s="536">
        <v>43200</v>
      </c>
      <c r="SG1" s="536">
        <v>43201</v>
      </c>
      <c r="SH1" s="536">
        <v>43202</v>
      </c>
      <c r="SI1" s="536">
        <v>43203</v>
      </c>
      <c r="SJ1" s="536">
        <v>43204</v>
      </c>
      <c r="SK1" s="536">
        <v>43205</v>
      </c>
      <c r="SL1" s="536">
        <v>43206</v>
      </c>
      <c r="SM1" s="536">
        <v>43207</v>
      </c>
      <c r="SN1" s="536">
        <v>43208</v>
      </c>
      <c r="SO1" s="536">
        <v>43209</v>
      </c>
      <c r="SP1" s="536">
        <v>43210</v>
      </c>
      <c r="SQ1" s="536">
        <v>43211</v>
      </c>
      <c r="SR1" s="536">
        <v>43212</v>
      </c>
      <c r="SS1" s="536">
        <v>43213</v>
      </c>
      <c r="ST1" s="536">
        <v>43214</v>
      </c>
      <c r="SU1" s="536">
        <v>43215</v>
      </c>
      <c r="SV1" s="536">
        <v>43216</v>
      </c>
      <c r="SW1" s="536">
        <v>43217</v>
      </c>
      <c r="SX1" s="536">
        <v>43218</v>
      </c>
      <c r="SY1" s="536">
        <v>43219</v>
      </c>
      <c r="SZ1" s="536">
        <v>43220</v>
      </c>
      <c r="TA1" s="536">
        <v>43221</v>
      </c>
      <c r="TB1" s="536">
        <v>43222</v>
      </c>
      <c r="TC1" s="536">
        <v>43223</v>
      </c>
      <c r="TD1" s="536">
        <v>43224</v>
      </c>
      <c r="TE1" s="536">
        <v>43225</v>
      </c>
      <c r="TF1" s="536">
        <v>43226</v>
      </c>
      <c r="TG1" s="536">
        <v>43227</v>
      </c>
      <c r="TH1" s="536">
        <v>43228</v>
      </c>
      <c r="TI1" s="536">
        <v>43229</v>
      </c>
      <c r="TJ1" s="536">
        <v>43230</v>
      </c>
      <c r="TK1" s="536">
        <v>43231</v>
      </c>
      <c r="TL1" s="536">
        <v>43232</v>
      </c>
      <c r="TM1" s="536">
        <v>43233</v>
      </c>
      <c r="TN1" s="536">
        <v>43234</v>
      </c>
      <c r="TO1" s="536">
        <v>43235</v>
      </c>
      <c r="TP1" s="536">
        <v>43236</v>
      </c>
      <c r="TQ1" s="536">
        <v>43237</v>
      </c>
      <c r="TR1" s="536">
        <v>43238</v>
      </c>
      <c r="TS1" s="536">
        <v>43239</v>
      </c>
      <c r="TT1" s="536">
        <v>43240</v>
      </c>
      <c r="TU1" s="536">
        <v>43241</v>
      </c>
      <c r="TV1" s="536">
        <v>43242</v>
      </c>
      <c r="TW1" s="536">
        <v>43243</v>
      </c>
      <c r="TX1" s="536">
        <v>43244</v>
      </c>
      <c r="TY1" s="536">
        <v>43245</v>
      </c>
      <c r="TZ1" s="536">
        <v>43246</v>
      </c>
      <c r="UA1" s="536">
        <v>43247</v>
      </c>
      <c r="UB1" s="536">
        <v>43248</v>
      </c>
      <c r="UC1" s="536">
        <v>43249</v>
      </c>
      <c r="UD1" s="536">
        <v>43250</v>
      </c>
      <c r="UE1" s="536">
        <v>43251</v>
      </c>
      <c r="UF1" s="536">
        <v>43252</v>
      </c>
      <c r="UG1" s="536">
        <v>43253</v>
      </c>
      <c r="UH1" s="536">
        <v>43254</v>
      </c>
      <c r="UI1" s="536">
        <v>43255</v>
      </c>
      <c r="UJ1" s="536">
        <v>43256</v>
      </c>
      <c r="UK1" s="536">
        <v>43257</v>
      </c>
      <c r="UL1" s="536">
        <v>43258</v>
      </c>
      <c r="UM1" s="536">
        <v>43259</v>
      </c>
      <c r="UN1" s="536">
        <v>43260</v>
      </c>
      <c r="UO1" s="536">
        <v>43261</v>
      </c>
      <c r="UP1" s="536">
        <v>43262</v>
      </c>
      <c r="UQ1" s="536">
        <v>43263</v>
      </c>
      <c r="UR1" s="536">
        <v>43264</v>
      </c>
      <c r="US1" s="536">
        <v>43265</v>
      </c>
      <c r="UT1" s="536">
        <v>43266</v>
      </c>
      <c r="UU1" s="536">
        <v>43267</v>
      </c>
      <c r="UV1" s="536">
        <v>43268</v>
      </c>
      <c r="UW1" s="536">
        <v>43269</v>
      </c>
      <c r="UX1" s="536">
        <v>43270</v>
      </c>
      <c r="UY1" s="536">
        <v>43271</v>
      </c>
      <c r="UZ1" s="536">
        <v>43272</v>
      </c>
      <c r="VA1" s="536">
        <v>43273</v>
      </c>
      <c r="VB1" s="536">
        <v>43274</v>
      </c>
      <c r="VC1" s="536">
        <v>43275</v>
      </c>
      <c r="VD1" s="536">
        <v>43276</v>
      </c>
      <c r="VE1" s="536">
        <v>43277</v>
      </c>
      <c r="VF1" s="536">
        <v>43278</v>
      </c>
      <c r="VG1" s="536">
        <v>43279</v>
      </c>
      <c r="VH1" s="536">
        <v>43280</v>
      </c>
      <c r="VI1" s="536">
        <v>43281</v>
      </c>
      <c r="VJ1" s="536">
        <v>43282</v>
      </c>
      <c r="VK1" s="536">
        <v>43283</v>
      </c>
      <c r="VL1" s="536">
        <v>43284</v>
      </c>
      <c r="VM1" s="536">
        <v>43285</v>
      </c>
      <c r="VN1" s="536">
        <v>43286</v>
      </c>
      <c r="VO1" s="536">
        <v>43287</v>
      </c>
      <c r="VP1" s="536">
        <v>43288</v>
      </c>
      <c r="VQ1" s="536">
        <v>43289</v>
      </c>
      <c r="VR1" s="536">
        <v>43290</v>
      </c>
      <c r="VS1" s="536">
        <v>43291</v>
      </c>
      <c r="VT1" s="536">
        <v>43292</v>
      </c>
      <c r="VU1" s="536">
        <v>43293</v>
      </c>
      <c r="VV1" s="536">
        <v>43294</v>
      </c>
      <c r="VW1" s="536">
        <v>43295</v>
      </c>
      <c r="VX1" s="536">
        <v>43296</v>
      </c>
      <c r="VY1" s="536">
        <v>43297</v>
      </c>
      <c r="VZ1" s="536">
        <v>43298</v>
      </c>
      <c r="WA1" s="536">
        <v>43299</v>
      </c>
      <c r="WB1" s="536">
        <v>43300</v>
      </c>
      <c r="WC1" s="536">
        <v>43301</v>
      </c>
      <c r="WD1" s="536">
        <v>43302</v>
      </c>
      <c r="WE1" s="536">
        <v>43303</v>
      </c>
      <c r="WF1" s="536">
        <v>43304</v>
      </c>
      <c r="WG1" s="536">
        <v>43305</v>
      </c>
      <c r="WH1" s="536">
        <v>43306</v>
      </c>
      <c r="WI1" s="536">
        <v>43307</v>
      </c>
      <c r="WJ1" s="536">
        <v>43308</v>
      </c>
      <c r="WK1" s="536">
        <v>43309</v>
      </c>
      <c r="WL1" s="536">
        <v>43310</v>
      </c>
      <c r="WM1" s="536">
        <v>43311</v>
      </c>
      <c r="WN1" s="536">
        <v>43312</v>
      </c>
      <c r="WO1" s="536">
        <v>43313</v>
      </c>
      <c r="WP1" s="536">
        <v>43314</v>
      </c>
      <c r="WQ1" s="536">
        <v>43315</v>
      </c>
      <c r="WR1" s="536">
        <v>43316</v>
      </c>
      <c r="WS1" s="536">
        <v>43317</v>
      </c>
      <c r="WT1" s="536">
        <v>43318</v>
      </c>
      <c r="WU1" s="536">
        <v>43319</v>
      </c>
      <c r="WV1" s="536">
        <v>43320</v>
      </c>
      <c r="WW1" s="536">
        <v>43321</v>
      </c>
      <c r="WX1" s="536">
        <v>43322</v>
      </c>
      <c r="WY1" s="536">
        <v>43323</v>
      </c>
      <c r="WZ1" s="536">
        <v>43324</v>
      </c>
      <c r="XA1" s="536">
        <v>43325</v>
      </c>
      <c r="XB1" s="536">
        <v>43326</v>
      </c>
      <c r="XC1" s="536">
        <v>43327</v>
      </c>
      <c r="XD1" s="536">
        <v>43328</v>
      </c>
      <c r="XE1" s="536">
        <v>43329</v>
      </c>
      <c r="XF1" s="536">
        <v>43330</v>
      </c>
      <c r="XG1" s="536">
        <v>43331</v>
      </c>
      <c r="XH1" s="536">
        <v>43332</v>
      </c>
      <c r="XI1" s="536">
        <v>43333</v>
      </c>
      <c r="XJ1" s="536">
        <v>43334</v>
      </c>
      <c r="XK1" s="536">
        <v>43335</v>
      </c>
      <c r="XL1" s="536">
        <v>43336</v>
      </c>
      <c r="XM1" s="536">
        <v>43337</v>
      </c>
      <c r="XN1" s="536">
        <v>43338</v>
      </c>
      <c r="XO1" s="536">
        <v>43339</v>
      </c>
      <c r="XP1" s="536">
        <v>43340</v>
      </c>
      <c r="XQ1" s="536">
        <v>43341</v>
      </c>
      <c r="XR1" s="536">
        <v>43342</v>
      </c>
      <c r="XS1" s="536">
        <v>43343</v>
      </c>
      <c r="XT1" s="536">
        <v>43344</v>
      </c>
      <c r="XU1" s="536">
        <v>43345</v>
      </c>
      <c r="XV1" s="536">
        <v>43346</v>
      </c>
      <c r="XW1" s="536">
        <v>43347</v>
      </c>
      <c r="XX1" s="536">
        <v>43348</v>
      </c>
      <c r="XY1" s="536">
        <v>43349</v>
      </c>
      <c r="XZ1" s="536">
        <v>43350</v>
      </c>
      <c r="YA1" s="536">
        <v>43351</v>
      </c>
      <c r="YB1" s="536">
        <v>43352</v>
      </c>
      <c r="YC1" s="536">
        <v>43353</v>
      </c>
      <c r="YD1" s="536">
        <v>43354</v>
      </c>
      <c r="YE1" s="536">
        <v>43355</v>
      </c>
      <c r="YF1" s="536">
        <v>43356</v>
      </c>
      <c r="YG1" s="536">
        <v>43357</v>
      </c>
      <c r="YH1" s="536">
        <v>43358</v>
      </c>
      <c r="YI1" s="536">
        <v>43359</v>
      </c>
      <c r="YJ1" s="536">
        <v>43360</v>
      </c>
      <c r="YK1" s="536">
        <v>43361</v>
      </c>
      <c r="YL1" s="536">
        <v>43362</v>
      </c>
      <c r="YM1" s="536">
        <v>43363</v>
      </c>
      <c r="YN1" s="536">
        <v>43364</v>
      </c>
      <c r="YO1" s="536">
        <v>43365</v>
      </c>
      <c r="YP1" s="536">
        <v>43366</v>
      </c>
      <c r="YQ1" s="536">
        <v>43367</v>
      </c>
      <c r="YR1" s="536">
        <v>43368</v>
      </c>
      <c r="YS1" s="536">
        <v>43369</v>
      </c>
      <c r="YT1" s="536">
        <v>43370</v>
      </c>
      <c r="YU1" s="536">
        <v>43371</v>
      </c>
      <c r="YV1" s="536">
        <v>43372</v>
      </c>
      <c r="YW1" s="536">
        <v>43373</v>
      </c>
      <c r="YX1" s="536">
        <v>43374</v>
      </c>
      <c r="YY1" s="536">
        <v>43375</v>
      </c>
      <c r="YZ1" s="536">
        <v>43376</v>
      </c>
      <c r="ZA1" s="536">
        <v>43377</v>
      </c>
      <c r="ZB1" s="536">
        <v>43378</v>
      </c>
      <c r="ZC1" s="536">
        <v>43379</v>
      </c>
      <c r="ZD1" s="536">
        <v>43380</v>
      </c>
      <c r="ZE1" s="536">
        <v>43381</v>
      </c>
      <c r="ZF1" s="536">
        <v>43382</v>
      </c>
      <c r="ZG1" s="536">
        <v>43383</v>
      </c>
      <c r="ZH1" s="536">
        <v>43384</v>
      </c>
      <c r="ZI1" s="536">
        <v>43385</v>
      </c>
      <c r="ZJ1" s="536">
        <v>43386</v>
      </c>
      <c r="ZK1" s="536">
        <v>43387</v>
      </c>
      <c r="ZL1" s="536">
        <v>43388</v>
      </c>
      <c r="ZM1" s="536">
        <v>43389</v>
      </c>
      <c r="ZN1" s="536">
        <v>43390</v>
      </c>
      <c r="ZO1" s="536">
        <v>43391</v>
      </c>
      <c r="ZP1" s="536">
        <v>43392</v>
      </c>
      <c r="ZQ1" s="536">
        <v>43393</v>
      </c>
      <c r="ZR1" s="536">
        <v>43394</v>
      </c>
      <c r="ZS1" s="536">
        <v>43395</v>
      </c>
      <c r="ZT1" s="536">
        <v>43396</v>
      </c>
      <c r="ZU1" s="536">
        <v>43397</v>
      </c>
      <c r="ZV1" s="536">
        <v>43398</v>
      </c>
      <c r="ZW1" s="536">
        <v>43399</v>
      </c>
      <c r="ZX1" s="536">
        <v>43400</v>
      </c>
      <c r="ZY1" s="536">
        <v>43401</v>
      </c>
      <c r="ZZ1" s="536">
        <v>43402</v>
      </c>
      <c r="AAA1" s="536">
        <v>43403</v>
      </c>
      <c r="AAB1" s="536">
        <v>43404</v>
      </c>
      <c r="AAC1" s="536">
        <v>43405</v>
      </c>
      <c r="AAD1" s="536">
        <v>43406</v>
      </c>
      <c r="AAE1" s="536">
        <v>43407</v>
      </c>
      <c r="AAF1" s="536">
        <v>43408</v>
      </c>
      <c r="AAG1" s="536">
        <v>43409</v>
      </c>
      <c r="AAH1" s="536">
        <v>43410</v>
      </c>
      <c r="AAI1" s="536">
        <v>43411</v>
      </c>
      <c r="AAJ1" s="536">
        <v>43412</v>
      </c>
      <c r="AAK1" s="536">
        <v>43413</v>
      </c>
      <c r="AAL1" s="536">
        <v>43414</v>
      </c>
      <c r="AAM1" s="536">
        <v>43415</v>
      </c>
      <c r="AAN1" s="536">
        <v>43416</v>
      </c>
      <c r="AAO1" s="536">
        <v>43417</v>
      </c>
      <c r="AAP1" s="536">
        <v>43418</v>
      </c>
      <c r="AAQ1" s="536">
        <v>43419</v>
      </c>
      <c r="AAR1" s="536">
        <v>43420</v>
      </c>
      <c r="AAS1" s="536">
        <v>43421</v>
      </c>
      <c r="AAT1" s="536">
        <v>43422</v>
      </c>
      <c r="AAU1" s="536">
        <v>43423</v>
      </c>
      <c r="AAV1" s="536">
        <v>43424</v>
      </c>
      <c r="AAW1" s="536">
        <v>43425</v>
      </c>
      <c r="AAX1" s="536">
        <v>43426</v>
      </c>
      <c r="AAY1" s="536">
        <v>43427</v>
      </c>
      <c r="AAZ1" s="536">
        <v>43428</v>
      </c>
      <c r="ABA1" s="536">
        <v>43429</v>
      </c>
      <c r="ABB1" s="536">
        <v>43430</v>
      </c>
      <c r="ABC1" s="536">
        <v>43431</v>
      </c>
      <c r="ABD1" s="536">
        <v>43432</v>
      </c>
      <c r="ABE1" s="536">
        <v>43433</v>
      </c>
      <c r="ABF1" s="536">
        <v>43434</v>
      </c>
      <c r="ABG1" s="536">
        <v>43435</v>
      </c>
      <c r="ABH1" s="536">
        <v>43436</v>
      </c>
      <c r="ABI1" s="536">
        <v>43437</v>
      </c>
      <c r="ABJ1" s="536">
        <v>43438</v>
      </c>
      <c r="ABK1" s="536">
        <v>43439</v>
      </c>
      <c r="ABL1" s="536">
        <v>43440</v>
      </c>
      <c r="ABM1" s="536">
        <v>43441</v>
      </c>
      <c r="ABN1" s="536">
        <v>43442</v>
      </c>
      <c r="ABO1" s="536">
        <v>43443</v>
      </c>
      <c r="ABP1" s="536">
        <v>43444</v>
      </c>
      <c r="ABQ1" s="536">
        <v>43445</v>
      </c>
      <c r="ABR1" s="536">
        <v>43446</v>
      </c>
      <c r="ABS1" s="536">
        <v>43447</v>
      </c>
      <c r="ABT1" s="536">
        <v>43448</v>
      </c>
      <c r="ABU1" s="536">
        <v>43449</v>
      </c>
      <c r="ABV1" s="536">
        <v>43450</v>
      </c>
      <c r="ABW1" s="536">
        <v>43451</v>
      </c>
      <c r="ABX1" s="536">
        <v>43452</v>
      </c>
      <c r="ABY1" s="536">
        <v>43453</v>
      </c>
      <c r="ABZ1" s="536">
        <v>43454</v>
      </c>
      <c r="ACA1" s="536">
        <v>43455</v>
      </c>
      <c r="ACB1" s="536">
        <v>43456</v>
      </c>
      <c r="ACC1" s="536">
        <v>43457</v>
      </c>
      <c r="ACD1" s="536">
        <v>43458</v>
      </c>
      <c r="ACE1" s="536">
        <v>43459</v>
      </c>
      <c r="ACF1" s="536">
        <v>43460</v>
      </c>
      <c r="ACG1" s="536">
        <v>43461</v>
      </c>
      <c r="ACH1" s="536">
        <v>43462</v>
      </c>
      <c r="ACI1" s="536">
        <v>43463</v>
      </c>
      <c r="ACJ1" s="536">
        <v>43464</v>
      </c>
      <c r="ACK1" s="536">
        <v>43465</v>
      </c>
      <c r="ACL1" s="536">
        <v>43466</v>
      </c>
      <c r="ACM1" s="536">
        <v>43467</v>
      </c>
      <c r="ACN1" s="536">
        <v>43468</v>
      </c>
      <c r="ACO1" s="536">
        <v>43469</v>
      </c>
      <c r="ACP1" s="536">
        <v>43470</v>
      </c>
      <c r="ACQ1" s="536">
        <v>43471</v>
      </c>
      <c r="ACR1" s="536">
        <v>43472</v>
      </c>
      <c r="ACS1" s="536">
        <v>43473</v>
      </c>
      <c r="ACT1" s="536">
        <v>43474</v>
      </c>
      <c r="ACU1" s="536">
        <v>43475</v>
      </c>
      <c r="ACV1" s="536">
        <v>43476</v>
      </c>
      <c r="ACW1" s="536">
        <v>43477</v>
      </c>
      <c r="ACX1" s="536">
        <v>43478</v>
      </c>
      <c r="ACY1" s="536">
        <v>43479</v>
      </c>
      <c r="ACZ1" s="536">
        <v>43480</v>
      </c>
      <c r="ADA1" s="536">
        <v>43481</v>
      </c>
      <c r="ADB1" s="536">
        <v>43482</v>
      </c>
      <c r="ADC1" s="536">
        <v>43483</v>
      </c>
      <c r="ADD1" s="536">
        <v>43484</v>
      </c>
      <c r="ADE1" s="536">
        <v>43485</v>
      </c>
      <c r="ADF1" s="536">
        <v>43486</v>
      </c>
      <c r="ADG1" s="536">
        <v>43487</v>
      </c>
      <c r="ADH1" s="536">
        <v>43488</v>
      </c>
      <c r="ADI1" s="536">
        <v>43489</v>
      </c>
      <c r="ADJ1" s="536">
        <v>43490</v>
      </c>
      <c r="ADK1" s="536">
        <v>43491</v>
      </c>
      <c r="ADL1" s="536">
        <v>43492</v>
      </c>
      <c r="ADM1" s="536">
        <v>43493</v>
      </c>
      <c r="ADN1" s="536">
        <v>43494</v>
      </c>
      <c r="ADO1" s="536">
        <v>43495</v>
      </c>
      <c r="ADP1" s="536">
        <v>43496</v>
      </c>
    </row>
    <row r="2" spans="1:796">
      <c r="A2" t="s">
        <v>4264</v>
      </c>
      <c r="B2">
        <v>2</v>
      </c>
      <c r="C2" t="s">
        <v>4275</v>
      </c>
      <c r="D2">
        <v>26</v>
      </c>
      <c r="E2">
        <v>49</v>
      </c>
      <c r="F2">
        <v>49</v>
      </c>
      <c r="G2">
        <v>49</v>
      </c>
      <c r="H2">
        <v>49</v>
      </c>
      <c r="I2">
        <v>50</v>
      </c>
      <c r="J2">
        <v>50</v>
      </c>
      <c r="K2">
        <v>50</v>
      </c>
      <c r="L2">
        <v>50</v>
      </c>
      <c r="M2">
        <v>50</v>
      </c>
      <c r="N2">
        <v>50</v>
      </c>
      <c r="O2">
        <v>50</v>
      </c>
      <c r="P2">
        <v>51</v>
      </c>
      <c r="Q2">
        <v>51</v>
      </c>
      <c r="R2">
        <v>51</v>
      </c>
      <c r="S2">
        <v>51</v>
      </c>
      <c r="T2">
        <v>51</v>
      </c>
      <c r="U2">
        <v>51</v>
      </c>
      <c r="V2">
        <v>51</v>
      </c>
      <c r="W2">
        <v>52</v>
      </c>
      <c r="X2">
        <v>52</v>
      </c>
      <c r="Y2">
        <v>52</v>
      </c>
      <c r="Z2">
        <v>52</v>
      </c>
      <c r="AA2">
        <v>52</v>
      </c>
      <c r="AB2">
        <v>52</v>
      </c>
      <c r="AC2">
        <v>52</v>
      </c>
      <c r="AD2">
        <v>53</v>
      </c>
      <c r="AE2">
        <v>53</v>
      </c>
      <c r="AF2">
        <v>53</v>
      </c>
      <c r="AG2">
        <v>53</v>
      </c>
      <c r="AH2">
        <v>53</v>
      </c>
      <c r="AI2">
        <v>53</v>
      </c>
      <c r="AJ2">
        <v>1</v>
      </c>
      <c r="AK2">
        <v>2</v>
      </c>
      <c r="AL2">
        <v>2</v>
      </c>
      <c r="AM2">
        <v>2</v>
      </c>
      <c r="AN2">
        <v>2</v>
      </c>
      <c r="AO2">
        <v>2</v>
      </c>
      <c r="AP2">
        <v>2</v>
      </c>
      <c r="AQ2">
        <v>2</v>
      </c>
      <c r="AR2">
        <v>3</v>
      </c>
      <c r="AS2">
        <v>3</v>
      </c>
      <c r="AT2">
        <v>3</v>
      </c>
      <c r="AU2">
        <v>3</v>
      </c>
      <c r="AV2">
        <v>3</v>
      </c>
      <c r="AW2">
        <v>3</v>
      </c>
      <c r="AX2">
        <v>3</v>
      </c>
      <c r="AY2">
        <v>4</v>
      </c>
      <c r="AZ2">
        <v>4</v>
      </c>
      <c r="BA2">
        <v>4</v>
      </c>
      <c r="BB2">
        <v>4</v>
      </c>
      <c r="BC2">
        <v>4</v>
      </c>
      <c r="BD2">
        <v>4</v>
      </c>
      <c r="BE2">
        <v>4</v>
      </c>
      <c r="BF2">
        <v>5</v>
      </c>
      <c r="BG2">
        <v>5</v>
      </c>
      <c r="BH2">
        <v>5</v>
      </c>
      <c r="BI2">
        <v>5</v>
      </c>
      <c r="BJ2">
        <v>5</v>
      </c>
      <c r="BK2">
        <v>5</v>
      </c>
      <c r="BL2">
        <v>5</v>
      </c>
      <c r="BM2">
        <v>6</v>
      </c>
      <c r="BN2">
        <v>6</v>
      </c>
      <c r="BO2">
        <v>6</v>
      </c>
      <c r="BP2">
        <v>6</v>
      </c>
      <c r="BQ2">
        <v>6</v>
      </c>
      <c r="BR2">
        <v>6</v>
      </c>
      <c r="BS2">
        <v>6</v>
      </c>
      <c r="BT2">
        <v>7</v>
      </c>
      <c r="BU2">
        <v>7</v>
      </c>
      <c r="BV2">
        <v>7</v>
      </c>
      <c r="BW2">
        <v>7</v>
      </c>
      <c r="BX2">
        <v>7</v>
      </c>
      <c r="BY2">
        <v>7</v>
      </c>
      <c r="BZ2">
        <v>7</v>
      </c>
      <c r="CA2">
        <v>8</v>
      </c>
      <c r="CB2">
        <v>8</v>
      </c>
      <c r="CC2">
        <v>8</v>
      </c>
      <c r="CD2">
        <v>8</v>
      </c>
      <c r="CE2">
        <v>8</v>
      </c>
      <c r="CF2">
        <v>8</v>
      </c>
      <c r="CG2">
        <v>8</v>
      </c>
      <c r="CH2">
        <v>9</v>
      </c>
      <c r="CI2">
        <v>9</v>
      </c>
      <c r="CJ2">
        <v>9</v>
      </c>
      <c r="CK2">
        <v>9</v>
      </c>
      <c r="CL2">
        <v>9</v>
      </c>
      <c r="CM2">
        <v>9</v>
      </c>
      <c r="CN2">
        <v>9</v>
      </c>
      <c r="CO2">
        <v>10</v>
      </c>
      <c r="CP2">
        <v>10</v>
      </c>
      <c r="CQ2">
        <v>10</v>
      </c>
      <c r="CR2">
        <v>10</v>
      </c>
      <c r="CS2">
        <v>10</v>
      </c>
      <c r="CT2">
        <v>10</v>
      </c>
      <c r="CU2">
        <v>10</v>
      </c>
      <c r="CV2">
        <v>11</v>
      </c>
      <c r="CW2">
        <v>11</v>
      </c>
      <c r="CX2">
        <v>11</v>
      </c>
      <c r="CY2">
        <v>11</v>
      </c>
      <c r="CZ2">
        <v>11</v>
      </c>
      <c r="DA2">
        <v>11</v>
      </c>
      <c r="DB2">
        <v>11</v>
      </c>
      <c r="DC2">
        <v>12</v>
      </c>
      <c r="DD2">
        <v>12</v>
      </c>
      <c r="DE2">
        <v>12</v>
      </c>
      <c r="DF2">
        <v>12</v>
      </c>
      <c r="DG2">
        <v>12</v>
      </c>
      <c r="DH2">
        <v>12</v>
      </c>
      <c r="DI2">
        <v>12</v>
      </c>
      <c r="DJ2">
        <v>13</v>
      </c>
      <c r="DK2">
        <v>13</v>
      </c>
      <c r="DL2">
        <v>13</v>
      </c>
      <c r="DM2">
        <v>13</v>
      </c>
      <c r="DN2">
        <v>13</v>
      </c>
      <c r="DO2">
        <v>13</v>
      </c>
      <c r="DP2">
        <v>13</v>
      </c>
      <c r="DQ2">
        <v>14</v>
      </c>
      <c r="DR2">
        <v>14</v>
      </c>
      <c r="DS2">
        <v>14</v>
      </c>
      <c r="DT2">
        <v>14</v>
      </c>
      <c r="DU2">
        <v>14</v>
      </c>
      <c r="DV2">
        <v>14</v>
      </c>
      <c r="DW2">
        <v>14</v>
      </c>
      <c r="DX2">
        <v>15</v>
      </c>
      <c r="DY2">
        <v>15</v>
      </c>
      <c r="DZ2">
        <v>15</v>
      </c>
      <c r="EA2">
        <v>15</v>
      </c>
      <c r="EB2">
        <v>15</v>
      </c>
      <c r="EC2">
        <v>15</v>
      </c>
      <c r="ED2">
        <v>15</v>
      </c>
      <c r="EE2">
        <v>16</v>
      </c>
      <c r="EF2">
        <v>16</v>
      </c>
      <c r="EG2">
        <v>16</v>
      </c>
      <c r="EH2">
        <v>16</v>
      </c>
      <c r="EI2">
        <v>16</v>
      </c>
      <c r="EJ2">
        <v>16</v>
      </c>
      <c r="EK2">
        <v>16</v>
      </c>
      <c r="EL2">
        <v>17</v>
      </c>
      <c r="EM2">
        <v>17</v>
      </c>
      <c r="EN2">
        <v>17</v>
      </c>
      <c r="EO2">
        <v>17</v>
      </c>
      <c r="EP2">
        <v>17</v>
      </c>
      <c r="EQ2">
        <v>17</v>
      </c>
      <c r="ER2">
        <v>17</v>
      </c>
      <c r="ES2">
        <v>18</v>
      </c>
      <c r="ET2">
        <v>18</v>
      </c>
      <c r="EU2">
        <v>18</v>
      </c>
      <c r="EV2">
        <v>18</v>
      </c>
      <c r="EW2">
        <v>18</v>
      </c>
      <c r="EX2">
        <v>18</v>
      </c>
      <c r="EY2">
        <v>18</v>
      </c>
      <c r="EZ2">
        <v>19</v>
      </c>
      <c r="FA2">
        <v>19</v>
      </c>
      <c r="FB2">
        <v>19</v>
      </c>
      <c r="FC2">
        <v>19</v>
      </c>
      <c r="FD2">
        <v>19</v>
      </c>
      <c r="FE2">
        <v>19</v>
      </c>
      <c r="FF2">
        <v>19</v>
      </c>
      <c r="FG2">
        <v>20</v>
      </c>
      <c r="FH2">
        <v>20</v>
      </c>
      <c r="FI2">
        <v>20</v>
      </c>
      <c r="FJ2">
        <v>20</v>
      </c>
      <c r="FK2">
        <v>20</v>
      </c>
      <c r="FL2">
        <v>20</v>
      </c>
      <c r="FM2">
        <v>20</v>
      </c>
      <c r="FN2">
        <v>21</v>
      </c>
      <c r="FO2">
        <v>21</v>
      </c>
      <c r="FP2">
        <v>21</v>
      </c>
      <c r="FQ2">
        <v>21</v>
      </c>
      <c r="FR2">
        <v>21</v>
      </c>
      <c r="FS2">
        <v>21</v>
      </c>
      <c r="FT2">
        <v>21</v>
      </c>
      <c r="FU2">
        <v>22</v>
      </c>
      <c r="FV2">
        <v>22</v>
      </c>
      <c r="FW2">
        <v>22</v>
      </c>
      <c r="FX2">
        <v>22</v>
      </c>
      <c r="FY2">
        <v>22</v>
      </c>
      <c r="FZ2">
        <v>22</v>
      </c>
      <c r="GA2">
        <v>22</v>
      </c>
      <c r="GB2">
        <v>23</v>
      </c>
      <c r="GC2">
        <v>23</v>
      </c>
      <c r="GD2">
        <v>23</v>
      </c>
      <c r="GE2">
        <v>23</v>
      </c>
      <c r="GF2">
        <v>23</v>
      </c>
      <c r="GG2">
        <v>23</v>
      </c>
      <c r="GH2">
        <v>23</v>
      </c>
      <c r="GI2">
        <v>24</v>
      </c>
      <c r="GJ2">
        <v>24</v>
      </c>
      <c r="GK2">
        <v>24</v>
      </c>
      <c r="GL2">
        <v>24</v>
      </c>
      <c r="GM2">
        <v>24</v>
      </c>
      <c r="GN2">
        <v>24</v>
      </c>
      <c r="GO2">
        <v>24</v>
      </c>
      <c r="GP2">
        <v>25</v>
      </c>
      <c r="GQ2">
        <v>25</v>
      </c>
      <c r="GR2">
        <v>25</v>
      </c>
      <c r="GS2">
        <v>25</v>
      </c>
      <c r="GT2">
        <v>25</v>
      </c>
      <c r="GU2">
        <v>25</v>
      </c>
      <c r="GV2">
        <v>25</v>
      </c>
      <c r="GW2">
        <v>26</v>
      </c>
      <c r="GX2">
        <v>26</v>
      </c>
      <c r="GY2">
        <v>26</v>
      </c>
      <c r="GZ2">
        <v>26</v>
      </c>
      <c r="HA2">
        <v>26</v>
      </c>
      <c r="HB2">
        <v>26</v>
      </c>
      <c r="HC2">
        <v>26</v>
      </c>
      <c r="HD2">
        <v>27</v>
      </c>
      <c r="HE2">
        <v>27</v>
      </c>
      <c r="HF2">
        <v>27</v>
      </c>
      <c r="HG2">
        <v>27</v>
      </c>
      <c r="HH2">
        <v>27</v>
      </c>
      <c r="HI2">
        <v>27</v>
      </c>
      <c r="HJ2">
        <v>27</v>
      </c>
      <c r="HK2">
        <v>28</v>
      </c>
      <c r="HL2">
        <v>28</v>
      </c>
      <c r="HM2">
        <v>28</v>
      </c>
      <c r="HN2">
        <v>28</v>
      </c>
      <c r="HO2">
        <v>28</v>
      </c>
      <c r="HP2">
        <v>28</v>
      </c>
      <c r="HQ2">
        <v>28</v>
      </c>
      <c r="HR2">
        <v>29</v>
      </c>
      <c r="HS2">
        <v>29</v>
      </c>
      <c r="HT2">
        <v>29</v>
      </c>
      <c r="HU2">
        <v>29</v>
      </c>
      <c r="HV2">
        <v>29</v>
      </c>
      <c r="HW2">
        <v>29</v>
      </c>
      <c r="HX2">
        <v>29</v>
      </c>
      <c r="HY2">
        <v>30</v>
      </c>
      <c r="HZ2">
        <v>30</v>
      </c>
      <c r="IA2">
        <v>30</v>
      </c>
      <c r="IB2">
        <v>30</v>
      </c>
      <c r="IC2">
        <v>30</v>
      </c>
      <c r="ID2">
        <v>30</v>
      </c>
      <c r="IE2">
        <v>30</v>
      </c>
      <c r="IF2">
        <v>31</v>
      </c>
      <c r="IG2">
        <v>31</v>
      </c>
      <c r="IH2">
        <v>31</v>
      </c>
      <c r="II2">
        <v>31</v>
      </c>
      <c r="IJ2">
        <v>31</v>
      </c>
      <c r="IK2">
        <v>31</v>
      </c>
      <c r="IL2">
        <v>31</v>
      </c>
      <c r="IM2">
        <v>32</v>
      </c>
      <c r="IN2">
        <v>32</v>
      </c>
      <c r="IO2">
        <v>32</v>
      </c>
      <c r="IP2">
        <v>32</v>
      </c>
      <c r="IQ2">
        <v>32</v>
      </c>
      <c r="IR2">
        <v>32</v>
      </c>
      <c r="IS2">
        <v>32</v>
      </c>
      <c r="IT2">
        <v>33</v>
      </c>
      <c r="IU2">
        <v>33</v>
      </c>
      <c r="IV2">
        <v>33</v>
      </c>
      <c r="IW2">
        <v>33</v>
      </c>
      <c r="IX2">
        <v>33</v>
      </c>
      <c r="IY2">
        <v>33</v>
      </c>
      <c r="IZ2">
        <v>33</v>
      </c>
      <c r="JA2">
        <v>34</v>
      </c>
      <c r="JB2">
        <v>34</v>
      </c>
      <c r="JC2">
        <v>34</v>
      </c>
      <c r="JD2">
        <v>34</v>
      </c>
      <c r="JE2">
        <v>34</v>
      </c>
      <c r="JF2">
        <v>34</v>
      </c>
      <c r="JG2">
        <v>34</v>
      </c>
      <c r="JH2">
        <v>35</v>
      </c>
      <c r="JI2">
        <v>35</v>
      </c>
      <c r="JJ2">
        <v>35</v>
      </c>
      <c r="JK2">
        <v>35</v>
      </c>
      <c r="JL2">
        <v>35</v>
      </c>
      <c r="JM2">
        <v>35</v>
      </c>
      <c r="JN2">
        <v>35</v>
      </c>
      <c r="JO2">
        <v>36</v>
      </c>
      <c r="JP2">
        <v>36</v>
      </c>
      <c r="JQ2">
        <v>36</v>
      </c>
      <c r="JR2">
        <v>36</v>
      </c>
      <c r="JS2">
        <v>36</v>
      </c>
      <c r="JT2">
        <v>36</v>
      </c>
      <c r="JU2">
        <v>36</v>
      </c>
      <c r="JV2">
        <v>37</v>
      </c>
      <c r="JW2">
        <v>37</v>
      </c>
      <c r="JX2">
        <v>37</v>
      </c>
      <c r="JY2">
        <v>37</v>
      </c>
      <c r="JZ2">
        <v>37</v>
      </c>
      <c r="KA2">
        <v>37</v>
      </c>
      <c r="KB2">
        <v>37</v>
      </c>
      <c r="KC2">
        <v>38</v>
      </c>
      <c r="KD2">
        <v>38</v>
      </c>
      <c r="KE2">
        <v>38</v>
      </c>
      <c r="KF2">
        <v>38</v>
      </c>
      <c r="KG2">
        <v>38</v>
      </c>
      <c r="KH2">
        <v>38</v>
      </c>
      <c r="KI2">
        <v>38</v>
      </c>
      <c r="KJ2">
        <v>39</v>
      </c>
      <c r="KK2">
        <v>39</v>
      </c>
      <c r="KL2">
        <v>39</v>
      </c>
      <c r="KM2">
        <v>39</v>
      </c>
      <c r="KN2">
        <v>39</v>
      </c>
      <c r="KO2">
        <v>39</v>
      </c>
      <c r="KP2">
        <v>39</v>
      </c>
      <c r="KQ2">
        <v>40</v>
      </c>
      <c r="KR2">
        <v>40</v>
      </c>
      <c r="KS2">
        <v>40</v>
      </c>
      <c r="KT2">
        <v>40</v>
      </c>
      <c r="KU2">
        <v>40</v>
      </c>
      <c r="KV2">
        <v>40</v>
      </c>
      <c r="KW2">
        <v>40</v>
      </c>
      <c r="KX2">
        <v>41</v>
      </c>
      <c r="KY2">
        <v>41</v>
      </c>
      <c r="KZ2">
        <v>41</v>
      </c>
      <c r="LA2">
        <v>41</v>
      </c>
      <c r="LB2">
        <v>41</v>
      </c>
      <c r="LC2">
        <v>41</v>
      </c>
      <c r="LD2">
        <v>41</v>
      </c>
      <c r="LE2">
        <v>42</v>
      </c>
      <c r="LF2">
        <v>42</v>
      </c>
      <c r="LG2">
        <v>42</v>
      </c>
      <c r="LH2">
        <v>42</v>
      </c>
      <c r="LI2">
        <v>42</v>
      </c>
      <c r="LJ2">
        <v>42</v>
      </c>
      <c r="LK2">
        <v>42</v>
      </c>
      <c r="LL2">
        <v>43</v>
      </c>
      <c r="LM2">
        <v>43</v>
      </c>
      <c r="LN2">
        <v>43</v>
      </c>
      <c r="LO2">
        <v>43</v>
      </c>
      <c r="LP2">
        <v>43</v>
      </c>
      <c r="LQ2">
        <v>43</v>
      </c>
      <c r="LR2">
        <v>43</v>
      </c>
      <c r="LS2">
        <v>44</v>
      </c>
      <c r="LT2">
        <v>44</v>
      </c>
      <c r="LU2">
        <v>44</v>
      </c>
      <c r="LV2">
        <v>44</v>
      </c>
      <c r="LW2">
        <v>44</v>
      </c>
      <c r="LX2">
        <v>44</v>
      </c>
      <c r="LY2">
        <v>44</v>
      </c>
      <c r="LZ2">
        <v>45</v>
      </c>
      <c r="MA2">
        <v>45</v>
      </c>
      <c r="MB2">
        <v>45</v>
      </c>
      <c r="MC2">
        <v>45</v>
      </c>
      <c r="MD2">
        <v>45</v>
      </c>
      <c r="ME2">
        <v>45</v>
      </c>
      <c r="MF2">
        <v>45</v>
      </c>
      <c r="MG2">
        <v>46</v>
      </c>
      <c r="MH2">
        <v>46</v>
      </c>
      <c r="MI2">
        <v>46</v>
      </c>
      <c r="MJ2">
        <v>46</v>
      </c>
      <c r="MK2">
        <v>46</v>
      </c>
      <c r="ML2">
        <v>46</v>
      </c>
      <c r="MM2">
        <v>46</v>
      </c>
      <c r="MN2">
        <v>47</v>
      </c>
      <c r="MO2">
        <v>47</v>
      </c>
      <c r="MP2">
        <v>47</v>
      </c>
      <c r="MQ2">
        <v>47</v>
      </c>
      <c r="MR2">
        <v>47</v>
      </c>
      <c r="MS2">
        <v>47</v>
      </c>
      <c r="MT2">
        <v>47</v>
      </c>
      <c r="MU2">
        <v>48</v>
      </c>
      <c r="MV2">
        <v>48</v>
      </c>
      <c r="MW2">
        <v>48</v>
      </c>
      <c r="MX2">
        <v>48</v>
      </c>
      <c r="MY2">
        <v>48</v>
      </c>
      <c r="MZ2">
        <v>48</v>
      </c>
      <c r="NA2">
        <v>48</v>
      </c>
      <c r="NB2">
        <v>49</v>
      </c>
      <c r="NC2">
        <v>49</v>
      </c>
      <c r="ND2">
        <v>49</v>
      </c>
      <c r="NE2">
        <v>49</v>
      </c>
      <c r="NF2">
        <v>49</v>
      </c>
      <c r="NG2">
        <v>49</v>
      </c>
      <c r="NH2">
        <v>49</v>
      </c>
      <c r="NI2">
        <v>50</v>
      </c>
      <c r="NJ2">
        <v>50</v>
      </c>
      <c r="NK2">
        <v>50</v>
      </c>
      <c r="NL2">
        <v>50</v>
      </c>
      <c r="NM2">
        <v>50</v>
      </c>
      <c r="NN2">
        <v>50</v>
      </c>
      <c r="NO2">
        <v>50</v>
      </c>
      <c r="NP2">
        <v>51</v>
      </c>
      <c r="NQ2">
        <v>51</v>
      </c>
      <c r="NR2">
        <v>51</v>
      </c>
      <c r="NS2">
        <v>51</v>
      </c>
      <c r="NT2">
        <v>51</v>
      </c>
      <c r="NU2">
        <v>51</v>
      </c>
      <c r="NV2">
        <v>51</v>
      </c>
      <c r="NW2">
        <v>52</v>
      </c>
      <c r="NX2">
        <v>52</v>
      </c>
      <c r="NY2">
        <v>52</v>
      </c>
      <c r="NZ2">
        <v>52</v>
      </c>
      <c r="OA2">
        <v>52</v>
      </c>
      <c r="OB2">
        <v>52</v>
      </c>
      <c r="OC2">
        <v>52</v>
      </c>
      <c r="OD2">
        <v>53</v>
      </c>
      <c r="OE2">
        <v>53</v>
      </c>
      <c r="OF2">
        <v>53</v>
      </c>
      <c r="OG2">
        <v>53</v>
      </c>
      <c r="OH2">
        <v>53</v>
      </c>
      <c r="OI2">
        <v>53</v>
      </c>
      <c r="OJ2">
        <v>53</v>
      </c>
      <c r="OK2">
        <v>1</v>
      </c>
      <c r="OL2">
        <v>1</v>
      </c>
      <c r="OM2">
        <v>1</v>
      </c>
      <c r="ON2">
        <v>1</v>
      </c>
      <c r="OO2">
        <v>1</v>
      </c>
      <c r="OP2">
        <v>1</v>
      </c>
      <c r="OQ2">
        <v>1</v>
      </c>
      <c r="OR2">
        <v>2</v>
      </c>
      <c r="OS2">
        <v>2</v>
      </c>
      <c r="OT2">
        <v>2</v>
      </c>
      <c r="OU2">
        <v>2</v>
      </c>
      <c r="OV2">
        <v>2</v>
      </c>
      <c r="OW2">
        <v>2</v>
      </c>
      <c r="OX2">
        <v>2</v>
      </c>
      <c r="OY2">
        <v>3</v>
      </c>
      <c r="OZ2">
        <v>3</v>
      </c>
      <c r="PA2">
        <v>3</v>
      </c>
      <c r="PB2">
        <v>3</v>
      </c>
      <c r="PC2">
        <v>3</v>
      </c>
      <c r="PD2">
        <v>3</v>
      </c>
      <c r="PE2">
        <v>3</v>
      </c>
      <c r="PF2">
        <v>4</v>
      </c>
      <c r="PG2">
        <v>4</v>
      </c>
      <c r="PH2">
        <v>4</v>
      </c>
      <c r="PI2">
        <v>4</v>
      </c>
      <c r="PJ2">
        <v>4</v>
      </c>
      <c r="PK2">
        <v>4</v>
      </c>
      <c r="PL2">
        <v>4</v>
      </c>
      <c r="PM2">
        <v>5</v>
      </c>
      <c r="PN2">
        <v>5</v>
      </c>
      <c r="PO2">
        <v>5</v>
      </c>
      <c r="PP2">
        <v>5</v>
      </c>
      <c r="PQ2">
        <v>5</v>
      </c>
      <c r="PR2">
        <v>5</v>
      </c>
      <c r="PS2">
        <v>5</v>
      </c>
      <c r="PT2">
        <v>6</v>
      </c>
      <c r="PU2">
        <v>6</v>
      </c>
      <c r="PV2">
        <v>6</v>
      </c>
      <c r="PW2">
        <v>6</v>
      </c>
      <c r="PX2">
        <v>6</v>
      </c>
      <c r="PY2">
        <v>6</v>
      </c>
      <c r="PZ2">
        <v>6</v>
      </c>
      <c r="QA2">
        <v>7</v>
      </c>
      <c r="QB2">
        <v>7</v>
      </c>
      <c r="QC2">
        <v>7</v>
      </c>
      <c r="QD2">
        <v>7</v>
      </c>
      <c r="QE2">
        <v>7</v>
      </c>
      <c r="QF2">
        <v>7</v>
      </c>
      <c r="QG2">
        <v>7</v>
      </c>
      <c r="QH2">
        <v>8</v>
      </c>
      <c r="QI2">
        <v>8</v>
      </c>
      <c r="QJ2">
        <v>8</v>
      </c>
      <c r="QK2">
        <v>8</v>
      </c>
      <c r="QL2">
        <v>8</v>
      </c>
      <c r="QM2">
        <v>8</v>
      </c>
      <c r="QN2">
        <v>8</v>
      </c>
      <c r="QO2">
        <v>9</v>
      </c>
      <c r="QP2">
        <v>9</v>
      </c>
      <c r="QQ2">
        <v>9</v>
      </c>
      <c r="QR2">
        <v>9</v>
      </c>
      <c r="QS2">
        <v>9</v>
      </c>
      <c r="QT2">
        <v>9</v>
      </c>
      <c r="QU2">
        <v>9</v>
      </c>
      <c r="QV2">
        <v>10</v>
      </c>
      <c r="QW2">
        <v>10</v>
      </c>
      <c r="QX2">
        <v>10</v>
      </c>
      <c r="QY2">
        <v>10</v>
      </c>
      <c r="QZ2">
        <v>10</v>
      </c>
      <c r="RA2">
        <v>10</v>
      </c>
      <c r="RB2">
        <v>10</v>
      </c>
      <c r="RC2">
        <v>11</v>
      </c>
      <c r="RD2">
        <v>11</v>
      </c>
      <c r="RE2">
        <v>11</v>
      </c>
      <c r="RF2">
        <v>11</v>
      </c>
      <c r="RG2">
        <v>11</v>
      </c>
      <c r="RH2">
        <v>11</v>
      </c>
      <c r="RI2">
        <v>11</v>
      </c>
      <c r="RJ2">
        <v>12</v>
      </c>
      <c r="RK2">
        <v>12</v>
      </c>
      <c r="RL2">
        <v>12</v>
      </c>
      <c r="RM2">
        <v>12</v>
      </c>
      <c r="RN2">
        <v>12</v>
      </c>
      <c r="RO2">
        <v>12</v>
      </c>
      <c r="RP2">
        <v>12</v>
      </c>
      <c r="RQ2">
        <v>13</v>
      </c>
      <c r="RR2">
        <v>13</v>
      </c>
      <c r="RS2">
        <v>13</v>
      </c>
      <c r="RT2">
        <v>13</v>
      </c>
      <c r="RU2">
        <v>13</v>
      </c>
      <c r="RV2">
        <v>13</v>
      </c>
      <c r="RW2">
        <v>13</v>
      </c>
      <c r="RX2">
        <v>14</v>
      </c>
      <c r="RY2">
        <v>14</v>
      </c>
      <c r="RZ2">
        <v>14</v>
      </c>
      <c r="SA2">
        <v>14</v>
      </c>
      <c r="SB2">
        <v>14</v>
      </c>
      <c r="SC2">
        <v>14</v>
      </c>
      <c r="SD2">
        <v>14</v>
      </c>
      <c r="SE2">
        <v>15</v>
      </c>
      <c r="SF2">
        <v>15</v>
      </c>
      <c r="SG2">
        <v>15</v>
      </c>
      <c r="SH2">
        <v>15</v>
      </c>
      <c r="SI2">
        <v>15</v>
      </c>
      <c r="SJ2">
        <v>15</v>
      </c>
      <c r="SK2">
        <v>15</v>
      </c>
      <c r="SL2">
        <v>16</v>
      </c>
      <c r="SM2">
        <v>16</v>
      </c>
      <c r="SN2">
        <v>16</v>
      </c>
      <c r="SO2">
        <v>16</v>
      </c>
      <c r="SP2">
        <v>16</v>
      </c>
      <c r="SQ2">
        <v>16</v>
      </c>
      <c r="SR2">
        <v>16</v>
      </c>
      <c r="SS2">
        <v>17</v>
      </c>
      <c r="ST2">
        <v>17</v>
      </c>
      <c r="SU2">
        <v>17</v>
      </c>
      <c r="SV2">
        <v>17</v>
      </c>
      <c r="SW2">
        <v>17</v>
      </c>
      <c r="SX2">
        <v>17</v>
      </c>
      <c r="SY2">
        <v>17</v>
      </c>
      <c r="SZ2">
        <v>18</v>
      </c>
      <c r="TA2">
        <v>18</v>
      </c>
      <c r="TB2">
        <v>18</v>
      </c>
      <c r="TC2">
        <v>18</v>
      </c>
      <c r="TD2">
        <v>18</v>
      </c>
      <c r="TE2">
        <v>18</v>
      </c>
      <c r="TF2">
        <v>18</v>
      </c>
      <c r="TG2">
        <v>19</v>
      </c>
      <c r="TH2">
        <v>19</v>
      </c>
      <c r="TI2">
        <v>19</v>
      </c>
      <c r="TJ2">
        <v>19</v>
      </c>
      <c r="TK2">
        <v>19</v>
      </c>
      <c r="TL2">
        <v>19</v>
      </c>
      <c r="TM2">
        <v>19</v>
      </c>
      <c r="TN2">
        <v>20</v>
      </c>
      <c r="TO2">
        <v>20</v>
      </c>
      <c r="TP2">
        <v>20</v>
      </c>
      <c r="TQ2">
        <v>20</v>
      </c>
      <c r="TR2">
        <v>20</v>
      </c>
      <c r="TS2">
        <v>20</v>
      </c>
      <c r="TT2">
        <v>20</v>
      </c>
      <c r="TU2">
        <v>21</v>
      </c>
      <c r="TV2">
        <v>21</v>
      </c>
      <c r="TW2">
        <v>21</v>
      </c>
      <c r="TX2">
        <v>21</v>
      </c>
      <c r="TY2">
        <v>21</v>
      </c>
      <c r="TZ2">
        <v>21</v>
      </c>
      <c r="UA2">
        <v>21</v>
      </c>
      <c r="UB2">
        <v>22</v>
      </c>
      <c r="UC2">
        <v>22</v>
      </c>
      <c r="UD2">
        <v>22</v>
      </c>
      <c r="UE2">
        <v>22</v>
      </c>
      <c r="UF2">
        <v>22</v>
      </c>
      <c r="UG2">
        <v>22</v>
      </c>
      <c r="UH2">
        <v>22</v>
      </c>
      <c r="UI2">
        <v>23</v>
      </c>
      <c r="UJ2">
        <v>23</v>
      </c>
      <c r="UK2">
        <v>23</v>
      </c>
      <c r="UL2">
        <v>23</v>
      </c>
      <c r="UM2">
        <v>23</v>
      </c>
      <c r="UN2">
        <v>23</v>
      </c>
      <c r="UO2">
        <v>23</v>
      </c>
      <c r="UP2">
        <v>24</v>
      </c>
      <c r="UQ2">
        <v>24</v>
      </c>
      <c r="UR2">
        <v>24</v>
      </c>
      <c r="US2">
        <v>24</v>
      </c>
      <c r="UT2">
        <v>24</v>
      </c>
      <c r="UU2">
        <v>24</v>
      </c>
      <c r="UV2">
        <v>24</v>
      </c>
      <c r="UW2">
        <v>25</v>
      </c>
      <c r="UX2">
        <v>25</v>
      </c>
      <c r="UY2">
        <v>25</v>
      </c>
      <c r="UZ2">
        <v>25</v>
      </c>
      <c r="VA2">
        <v>25</v>
      </c>
      <c r="VB2">
        <v>25</v>
      </c>
      <c r="VC2">
        <v>25</v>
      </c>
      <c r="VD2">
        <v>26</v>
      </c>
      <c r="VE2">
        <v>26</v>
      </c>
      <c r="VF2">
        <v>26</v>
      </c>
      <c r="VG2">
        <v>26</v>
      </c>
      <c r="VH2">
        <v>26</v>
      </c>
      <c r="VI2">
        <v>26</v>
      </c>
      <c r="VJ2">
        <v>26</v>
      </c>
      <c r="VK2">
        <v>27</v>
      </c>
      <c r="VL2">
        <v>27</v>
      </c>
      <c r="VM2">
        <v>27</v>
      </c>
      <c r="VN2">
        <v>27</v>
      </c>
      <c r="VO2">
        <v>27</v>
      </c>
      <c r="VP2">
        <v>27</v>
      </c>
      <c r="VQ2">
        <v>27</v>
      </c>
      <c r="VR2">
        <v>28</v>
      </c>
      <c r="VS2">
        <v>28</v>
      </c>
      <c r="VT2">
        <v>28</v>
      </c>
      <c r="VU2">
        <v>28</v>
      </c>
      <c r="VV2">
        <v>28</v>
      </c>
      <c r="VW2">
        <v>28</v>
      </c>
      <c r="VX2">
        <v>28</v>
      </c>
      <c r="VY2">
        <v>29</v>
      </c>
      <c r="VZ2">
        <v>29</v>
      </c>
      <c r="WA2">
        <v>29</v>
      </c>
      <c r="WB2">
        <v>29</v>
      </c>
      <c r="WC2">
        <v>29</v>
      </c>
      <c r="WD2">
        <v>29</v>
      </c>
      <c r="WE2">
        <v>29</v>
      </c>
      <c r="WF2">
        <v>30</v>
      </c>
      <c r="WG2">
        <v>30</v>
      </c>
      <c r="WH2">
        <v>30</v>
      </c>
      <c r="WI2">
        <v>30</v>
      </c>
      <c r="WJ2">
        <v>30</v>
      </c>
      <c r="WK2">
        <v>30</v>
      </c>
      <c r="WL2">
        <v>30</v>
      </c>
      <c r="WM2">
        <v>31</v>
      </c>
      <c r="WN2">
        <v>31</v>
      </c>
      <c r="WO2">
        <v>31</v>
      </c>
      <c r="WP2">
        <v>31</v>
      </c>
      <c r="WQ2">
        <v>31</v>
      </c>
      <c r="WR2">
        <v>31</v>
      </c>
      <c r="WS2">
        <v>31</v>
      </c>
      <c r="WT2">
        <v>32</v>
      </c>
      <c r="WU2">
        <v>32</v>
      </c>
      <c r="WV2">
        <v>32</v>
      </c>
      <c r="WW2">
        <v>32</v>
      </c>
      <c r="WX2">
        <v>32</v>
      </c>
      <c r="WY2">
        <v>32</v>
      </c>
      <c r="WZ2">
        <v>32</v>
      </c>
      <c r="XA2">
        <v>33</v>
      </c>
      <c r="XB2">
        <v>33</v>
      </c>
      <c r="XC2">
        <v>33</v>
      </c>
      <c r="XD2">
        <v>33</v>
      </c>
      <c r="XE2">
        <v>33</v>
      </c>
      <c r="XF2">
        <v>33</v>
      </c>
      <c r="XG2">
        <v>33</v>
      </c>
      <c r="XH2">
        <v>34</v>
      </c>
      <c r="XI2">
        <v>34</v>
      </c>
      <c r="XJ2">
        <v>34</v>
      </c>
      <c r="XK2">
        <v>34</v>
      </c>
      <c r="XL2">
        <v>34</v>
      </c>
      <c r="XM2">
        <v>34</v>
      </c>
      <c r="XN2">
        <v>34</v>
      </c>
      <c r="XO2">
        <v>35</v>
      </c>
      <c r="XP2">
        <v>35</v>
      </c>
      <c r="XQ2">
        <v>35</v>
      </c>
      <c r="XR2">
        <v>35</v>
      </c>
      <c r="XS2">
        <v>35</v>
      </c>
      <c r="XT2">
        <v>35</v>
      </c>
      <c r="XU2">
        <v>35</v>
      </c>
      <c r="XV2">
        <v>36</v>
      </c>
      <c r="XW2">
        <v>36</v>
      </c>
      <c r="XX2">
        <v>36</v>
      </c>
      <c r="XY2">
        <v>36</v>
      </c>
      <c r="XZ2">
        <v>36</v>
      </c>
      <c r="YA2">
        <v>36</v>
      </c>
      <c r="YB2">
        <v>36</v>
      </c>
      <c r="YC2">
        <v>37</v>
      </c>
      <c r="YD2">
        <v>37</v>
      </c>
      <c r="YE2">
        <v>37</v>
      </c>
      <c r="YF2">
        <v>37</v>
      </c>
      <c r="YG2">
        <v>37</v>
      </c>
      <c r="YH2">
        <v>37</v>
      </c>
      <c r="YI2">
        <v>37</v>
      </c>
      <c r="YJ2">
        <v>38</v>
      </c>
      <c r="YK2">
        <v>38</v>
      </c>
      <c r="YL2">
        <v>38</v>
      </c>
      <c r="YM2">
        <v>38</v>
      </c>
      <c r="YN2">
        <v>38</v>
      </c>
      <c r="YO2">
        <v>38</v>
      </c>
      <c r="YP2">
        <v>38</v>
      </c>
      <c r="YQ2">
        <v>39</v>
      </c>
      <c r="YR2">
        <v>39</v>
      </c>
      <c r="YS2">
        <v>39</v>
      </c>
      <c r="YT2">
        <v>39</v>
      </c>
      <c r="YU2">
        <v>39</v>
      </c>
      <c r="YV2">
        <v>39</v>
      </c>
      <c r="YW2">
        <v>39</v>
      </c>
      <c r="YX2">
        <v>40</v>
      </c>
      <c r="YY2">
        <v>40</v>
      </c>
      <c r="YZ2">
        <v>40</v>
      </c>
      <c r="ZA2">
        <v>40</v>
      </c>
      <c r="ZB2">
        <v>40</v>
      </c>
      <c r="ZC2">
        <v>40</v>
      </c>
      <c r="ZD2">
        <v>40</v>
      </c>
      <c r="ZE2">
        <v>41</v>
      </c>
      <c r="ZF2">
        <v>41</v>
      </c>
      <c r="ZG2">
        <v>41</v>
      </c>
      <c r="ZH2">
        <v>41</v>
      </c>
      <c r="ZI2">
        <v>41</v>
      </c>
      <c r="ZJ2">
        <v>41</v>
      </c>
      <c r="ZK2">
        <v>41</v>
      </c>
      <c r="ZL2">
        <v>42</v>
      </c>
      <c r="ZM2">
        <v>42</v>
      </c>
      <c r="ZN2">
        <v>42</v>
      </c>
      <c r="ZO2">
        <v>42</v>
      </c>
      <c r="ZP2">
        <v>42</v>
      </c>
      <c r="ZQ2">
        <v>42</v>
      </c>
      <c r="ZR2">
        <v>42</v>
      </c>
      <c r="ZS2">
        <v>43</v>
      </c>
      <c r="ZT2">
        <v>43</v>
      </c>
      <c r="ZU2">
        <v>43</v>
      </c>
      <c r="ZV2">
        <v>43</v>
      </c>
      <c r="ZW2">
        <v>43</v>
      </c>
      <c r="ZX2">
        <v>43</v>
      </c>
      <c r="ZY2">
        <v>43</v>
      </c>
      <c r="ZZ2">
        <v>44</v>
      </c>
      <c r="AAA2">
        <v>44</v>
      </c>
      <c r="AAB2">
        <v>44</v>
      </c>
      <c r="AAC2">
        <v>44</v>
      </c>
      <c r="AAD2">
        <v>44</v>
      </c>
      <c r="AAE2">
        <v>44</v>
      </c>
      <c r="AAF2">
        <v>44</v>
      </c>
      <c r="AAG2">
        <v>45</v>
      </c>
      <c r="AAH2">
        <v>45</v>
      </c>
      <c r="AAI2">
        <v>45</v>
      </c>
      <c r="AAJ2">
        <v>45</v>
      </c>
      <c r="AAK2">
        <v>45</v>
      </c>
      <c r="AAL2">
        <v>45</v>
      </c>
      <c r="AAM2">
        <v>45</v>
      </c>
      <c r="AAN2">
        <v>46</v>
      </c>
      <c r="AAO2">
        <v>46</v>
      </c>
      <c r="AAP2">
        <v>46</v>
      </c>
      <c r="AAQ2">
        <v>46</v>
      </c>
      <c r="AAR2">
        <v>46</v>
      </c>
      <c r="AAS2">
        <v>46</v>
      </c>
      <c r="AAT2">
        <v>46</v>
      </c>
      <c r="AAU2">
        <v>47</v>
      </c>
      <c r="AAV2">
        <v>47</v>
      </c>
      <c r="AAW2">
        <v>47</v>
      </c>
      <c r="AAX2">
        <v>47</v>
      </c>
      <c r="AAY2">
        <v>47</v>
      </c>
      <c r="AAZ2">
        <v>47</v>
      </c>
      <c r="ABA2">
        <v>47</v>
      </c>
      <c r="ABB2">
        <v>48</v>
      </c>
      <c r="ABC2">
        <v>48</v>
      </c>
      <c r="ABD2">
        <v>48</v>
      </c>
      <c r="ABE2">
        <v>48</v>
      </c>
      <c r="ABF2">
        <v>48</v>
      </c>
      <c r="ABG2">
        <v>48</v>
      </c>
      <c r="ABH2">
        <v>48</v>
      </c>
      <c r="ABI2">
        <v>49</v>
      </c>
      <c r="ABJ2">
        <v>49</v>
      </c>
      <c r="ABK2">
        <v>49</v>
      </c>
      <c r="ABL2">
        <v>49</v>
      </c>
      <c r="ABM2">
        <v>49</v>
      </c>
      <c r="ABN2">
        <v>49</v>
      </c>
      <c r="ABO2">
        <v>49</v>
      </c>
      <c r="ABP2">
        <v>50</v>
      </c>
      <c r="ABQ2">
        <v>50</v>
      </c>
      <c r="ABR2">
        <v>50</v>
      </c>
      <c r="ABS2">
        <v>50</v>
      </c>
      <c r="ABT2">
        <v>50</v>
      </c>
      <c r="ABU2">
        <v>50</v>
      </c>
      <c r="ABV2">
        <v>50</v>
      </c>
      <c r="ABW2">
        <v>51</v>
      </c>
      <c r="ABX2">
        <v>51</v>
      </c>
      <c r="ABY2">
        <v>51</v>
      </c>
      <c r="ABZ2">
        <v>51</v>
      </c>
      <c r="ACA2">
        <v>51</v>
      </c>
      <c r="ACB2">
        <v>51</v>
      </c>
      <c r="ACC2">
        <v>51</v>
      </c>
      <c r="ACD2">
        <v>52</v>
      </c>
      <c r="ACE2">
        <v>52</v>
      </c>
      <c r="ACF2">
        <v>52</v>
      </c>
      <c r="ACG2">
        <v>52</v>
      </c>
      <c r="ACH2">
        <v>52</v>
      </c>
      <c r="ACI2">
        <v>52</v>
      </c>
      <c r="ACJ2">
        <v>52</v>
      </c>
      <c r="ACK2">
        <v>53</v>
      </c>
      <c r="ACL2">
        <v>1</v>
      </c>
      <c r="ACM2">
        <v>1</v>
      </c>
      <c r="ACN2">
        <v>1</v>
      </c>
      <c r="ACO2">
        <v>1</v>
      </c>
      <c r="ACP2">
        <v>1</v>
      </c>
      <c r="ACQ2">
        <v>1</v>
      </c>
      <c r="ACR2">
        <v>2</v>
      </c>
      <c r="ACS2">
        <v>2</v>
      </c>
      <c r="ACT2">
        <v>2</v>
      </c>
      <c r="ACU2">
        <v>2</v>
      </c>
      <c r="ACV2">
        <v>2</v>
      </c>
      <c r="ACW2">
        <v>2</v>
      </c>
      <c r="ACX2">
        <v>2</v>
      </c>
      <c r="ACY2">
        <v>3</v>
      </c>
      <c r="ACZ2">
        <v>3</v>
      </c>
      <c r="ADA2">
        <v>3</v>
      </c>
      <c r="ADB2">
        <v>3</v>
      </c>
      <c r="ADC2">
        <v>3</v>
      </c>
      <c r="ADD2">
        <v>3</v>
      </c>
      <c r="ADE2">
        <v>3</v>
      </c>
      <c r="ADF2">
        <v>4</v>
      </c>
      <c r="ADG2">
        <v>4</v>
      </c>
      <c r="ADH2">
        <v>4</v>
      </c>
      <c r="ADI2">
        <v>4</v>
      </c>
      <c r="ADJ2">
        <v>4</v>
      </c>
      <c r="ADK2">
        <v>4</v>
      </c>
      <c r="ADL2">
        <v>4</v>
      </c>
      <c r="ADM2">
        <v>5</v>
      </c>
      <c r="ADN2">
        <v>5</v>
      </c>
      <c r="ADO2">
        <v>5</v>
      </c>
      <c r="ADP2">
        <v>5</v>
      </c>
    </row>
    <row r="3" spans="1:796">
      <c r="A3" t="s">
        <v>27</v>
      </c>
      <c r="B3">
        <v>3</v>
      </c>
      <c r="C3" t="s">
        <v>4300</v>
      </c>
      <c r="D3">
        <v>48</v>
      </c>
      <c r="E3" s="537">
        <v>42705</v>
      </c>
      <c r="F3" s="537">
        <v>42706</v>
      </c>
      <c r="G3" s="537">
        <v>42707</v>
      </c>
      <c r="H3" s="537">
        <v>42708</v>
      </c>
      <c r="I3" s="537">
        <v>42709</v>
      </c>
      <c r="J3" s="537">
        <v>42710</v>
      </c>
      <c r="K3" s="537">
        <v>42711</v>
      </c>
      <c r="L3" s="537">
        <v>42712</v>
      </c>
      <c r="M3" s="537">
        <v>42713</v>
      </c>
      <c r="N3" s="537">
        <v>42714</v>
      </c>
      <c r="O3" s="537">
        <v>42715</v>
      </c>
      <c r="P3" s="537">
        <v>42716</v>
      </c>
      <c r="Q3" s="537">
        <v>42717</v>
      </c>
      <c r="R3" s="537">
        <v>42718</v>
      </c>
      <c r="S3" s="537">
        <v>42719</v>
      </c>
      <c r="T3" s="537">
        <v>42720</v>
      </c>
      <c r="U3" s="537">
        <v>42721</v>
      </c>
      <c r="V3" s="537">
        <v>42722</v>
      </c>
      <c r="W3" s="537">
        <v>42723</v>
      </c>
      <c r="X3" s="537">
        <v>42724</v>
      </c>
      <c r="Y3" s="537">
        <v>42725</v>
      </c>
      <c r="Z3" s="537">
        <v>42726</v>
      </c>
      <c r="AA3" s="537">
        <v>42727</v>
      </c>
      <c r="AB3" s="537">
        <v>42728</v>
      </c>
      <c r="AC3" s="537">
        <v>42729</v>
      </c>
      <c r="AD3" s="537">
        <v>42730</v>
      </c>
      <c r="AE3" s="537">
        <v>42731</v>
      </c>
      <c r="AF3" s="537">
        <v>42732</v>
      </c>
      <c r="AG3" s="537">
        <v>42733</v>
      </c>
      <c r="AH3" s="537">
        <v>42734</v>
      </c>
      <c r="AI3" s="537">
        <v>42735</v>
      </c>
      <c r="AJ3" s="537">
        <v>42736</v>
      </c>
      <c r="AK3" s="537">
        <v>42737</v>
      </c>
      <c r="AL3" s="537">
        <v>42738</v>
      </c>
      <c r="AM3" s="537">
        <v>42739</v>
      </c>
      <c r="AN3" s="537">
        <v>42740</v>
      </c>
      <c r="AO3" s="537">
        <v>42741</v>
      </c>
      <c r="AP3" s="537">
        <v>42742</v>
      </c>
      <c r="AQ3" s="537">
        <v>42743</v>
      </c>
      <c r="AR3" s="537">
        <v>42744</v>
      </c>
      <c r="AS3" s="537">
        <v>42745</v>
      </c>
      <c r="AT3" s="537">
        <v>42746</v>
      </c>
      <c r="AU3" s="537">
        <v>42747</v>
      </c>
      <c r="AV3" s="537">
        <v>42748</v>
      </c>
      <c r="AW3" s="537">
        <v>42749</v>
      </c>
      <c r="AX3" s="537">
        <v>42750</v>
      </c>
      <c r="AY3" s="537">
        <v>42751</v>
      </c>
      <c r="AZ3" s="537">
        <v>42752</v>
      </c>
      <c r="BA3" s="537">
        <v>42753</v>
      </c>
      <c r="BB3" s="537">
        <v>42754</v>
      </c>
      <c r="BC3" s="537">
        <v>42755</v>
      </c>
      <c r="BD3" s="537">
        <v>42756</v>
      </c>
      <c r="BE3" s="537">
        <v>42757</v>
      </c>
      <c r="BF3" s="537">
        <v>42758</v>
      </c>
      <c r="BG3" s="537">
        <v>42759</v>
      </c>
      <c r="BH3" s="537">
        <v>42760</v>
      </c>
      <c r="BI3" s="537">
        <v>42761</v>
      </c>
      <c r="BJ3" s="537">
        <v>42762</v>
      </c>
      <c r="BK3" s="537">
        <v>42763</v>
      </c>
      <c r="BL3" s="537">
        <v>42764</v>
      </c>
      <c r="BM3" s="537">
        <v>42765</v>
      </c>
      <c r="BN3" s="537">
        <v>42766</v>
      </c>
      <c r="BO3" s="537">
        <v>42767</v>
      </c>
      <c r="BP3" s="537">
        <v>42768</v>
      </c>
      <c r="BQ3" s="537">
        <v>42769</v>
      </c>
      <c r="BR3" s="537">
        <v>42770</v>
      </c>
      <c r="BS3" s="537">
        <v>42771</v>
      </c>
      <c r="BT3" s="537">
        <v>42772</v>
      </c>
      <c r="BU3" s="537">
        <v>42773</v>
      </c>
      <c r="BV3" s="537">
        <v>42774</v>
      </c>
      <c r="BW3" s="537">
        <v>42775</v>
      </c>
      <c r="BX3" s="537">
        <v>42776</v>
      </c>
      <c r="BY3" s="537">
        <v>42777</v>
      </c>
      <c r="BZ3" s="537">
        <v>42778</v>
      </c>
      <c r="CA3" s="537">
        <v>42779</v>
      </c>
      <c r="CB3" s="537">
        <v>42780</v>
      </c>
      <c r="CC3" s="537">
        <v>42781</v>
      </c>
      <c r="CD3" s="537">
        <v>42782</v>
      </c>
      <c r="CE3" s="537">
        <v>42783</v>
      </c>
      <c r="CF3" s="537">
        <v>42784</v>
      </c>
      <c r="CG3" s="537">
        <v>42785</v>
      </c>
      <c r="CH3" s="537">
        <v>42786</v>
      </c>
      <c r="CI3" s="537">
        <v>42787</v>
      </c>
      <c r="CJ3" s="537">
        <v>42788</v>
      </c>
      <c r="CK3" s="537">
        <v>42789</v>
      </c>
      <c r="CL3" s="537">
        <v>42790</v>
      </c>
      <c r="CM3" s="537">
        <v>42791</v>
      </c>
      <c r="CN3" s="537">
        <v>42792</v>
      </c>
      <c r="CO3" s="537">
        <v>42793</v>
      </c>
      <c r="CP3" s="537">
        <v>42794</v>
      </c>
      <c r="CQ3" s="537">
        <v>42795</v>
      </c>
      <c r="CR3" s="537">
        <v>42796</v>
      </c>
      <c r="CS3" s="537">
        <v>42797</v>
      </c>
      <c r="CT3" s="537">
        <v>42798</v>
      </c>
      <c r="CU3" s="537">
        <v>42799</v>
      </c>
      <c r="CV3" s="537">
        <v>42800</v>
      </c>
      <c r="CW3" s="537">
        <v>42801</v>
      </c>
      <c r="CX3" s="537">
        <v>42802</v>
      </c>
      <c r="CY3" s="537">
        <v>42803</v>
      </c>
      <c r="CZ3" s="537">
        <v>42804</v>
      </c>
      <c r="DA3" s="537">
        <v>42805</v>
      </c>
      <c r="DB3" s="537">
        <v>42806</v>
      </c>
      <c r="DC3" s="537">
        <v>42807</v>
      </c>
      <c r="DD3" s="537">
        <v>42808</v>
      </c>
      <c r="DE3" s="537">
        <v>42809</v>
      </c>
      <c r="DF3" s="537">
        <v>42810</v>
      </c>
      <c r="DG3" s="537">
        <v>42811</v>
      </c>
      <c r="DH3" s="537">
        <v>42812</v>
      </c>
      <c r="DI3" s="537">
        <v>42813</v>
      </c>
      <c r="DJ3" s="537">
        <v>42814</v>
      </c>
      <c r="DK3" s="537">
        <v>42815</v>
      </c>
      <c r="DL3" s="537">
        <v>42816</v>
      </c>
      <c r="DM3" s="537">
        <v>42817</v>
      </c>
      <c r="DN3" s="537">
        <v>42818</v>
      </c>
      <c r="DO3" s="537">
        <v>42819</v>
      </c>
      <c r="DP3" s="537">
        <v>42820</v>
      </c>
      <c r="DQ3" s="537">
        <v>42821</v>
      </c>
      <c r="DR3" s="537">
        <v>42822</v>
      </c>
      <c r="DS3" s="537">
        <v>42823</v>
      </c>
      <c r="DT3" s="537">
        <v>42824</v>
      </c>
      <c r="DU3" s="537">
        <v>42825</v>
      </c>
      <c r="DV3" s="537">
        <v>42826</v>
      </c>
      <c r="DW3" s="537">
        <v>42827</v>
      </c>
      <c r="DX3" s="537">
        <v>42828</v>
      </c>
      <c r="DY3" s="537">
        <v>42829</v>
      </c>
      <c r="DZ3" s="537">
        <v>42830</v>
      </c>
      <c r="EA3" s="537">
        <v>42831</v>
      </c>
      <c r="EB3" s="537">
        <v>42832</v>
      </c>
      <c r="EC3" s="537">
        <v>42833</v>
      </c>
      <c r="ED3" s="537">
        <v>42834</v>
      </c>
      <c r="EE3" s="537">
        <v>42835</v>
      </c>
      <c r="EF3" s="537">
        <v>42836</v>
      </c>
      <c r="EG3" s="537">
        <v>42837</v>
      </c>
      <c r="EH3" s="537">
        <v>42838</v>
      </c>
      <c r="EI3" s="537">
        <v>42839</v>
      </c>
      <c r="EJ3" s="537">
        <v>42840</v>
      </c>
      <c r="EK3" s="537">
        <v>42841</v>
      </c>
      <c r="EL3" s="537">
        <v>42842</v>
      </c>
      <c r="EM3" s="537">
        <v>42843</v>
      </c>
      <c r="EN3" s="537">
        <v>42844</v>
      </c>
      <c r="EO3" s="537">
        <v>42845</v>
      </c>
      <c r="EP3" s="537">
        <v>42846</v>
      </c>
      <c r="EQ3" s="537">
        <v>42847</v>
      </c>
      <c r="ER3" s="537">
        <v>42848</v>
      </c>
      <c r="ES3" s="537">
        <v>42849</v>
      </c>
      <c r="ET3" s="537">
        <v>42850</v>
      </c>
      <c r="EU3" s="537">
        <v>42851</v>
      </c>
      <c r="EV3" s="537">
        <v>42852</v>
      </c>
      <c r="EW3" s="537">
        <v>42853</v>
      </c>
      <c r="EX3" s="537">
        <v>42854</v>
      </c>
      <c r="EY3" s="537">
        <v>42855</v>
      </c>
      <c r="EZ3" s="537">
        <v>42856</v>
      </c>
      <c r="FA3" s="537">
        <v>42857</v>
      </c>
      <c r="FB3" s="537">
        <v>42858</v>
      </c>
      <c r="FC3" s="537">
        <v>42859</v>
      </c>
      <c r="FD3" s="537">
        <v>42860</v>
      </c>
      <c r="FE3" s="537">
        <v>42861</v>
      </c>
      <c r="FF3" s="537">
        <v>42862</v>
      </c>
      <c r="FG3" s="537">
        <v>42863</v>
      </c>
      <c r="FH3" s="537">
        <v>42864</v>
      </c>
      <c r="FI3" s="537">
        <v>42865</v>
      </c>
      <c r="FJ3" s="537">
        <v>42866</v>
      </c>
      <c r="FK3" s="537">
        <v>42867</v>
      </c>
      <c r="FL3" s="537">
        <v>42868</v>
      </c>
      <c r="FM3" s="537">
        <v>42869</v>
      </c>
      <c r="FN3" s="537">
        <v>42870</v>
      </c>
      <c r="FO3" s="537">
        <v>42871</v>
      </c>
      <c r="FP3" s="537">
        <v>42872</v>
      </c>
      <c r="FQ3" s="537">
        <v>42873</v>
      </c>
      <c r="FR3" s="537">
        <v>42874</v>
      </c>
      <c r="FS3" s="537">
        <v>42875</v>
      </c>
      <c r="FT3" s="537">
        <v>42876</v>
      </c>
      <c r="FU3" s="537">
        <v>42877</v>
      </c>
      <c r="FV3" s="537">
        <v>42878</v>
      </c>
      <c r="FW3" s="537">
        <v>42879</v>
      </c>
      <c r="FX3" s="537">
        <v>42880</v>
      </c>
      <c r="FY3" s="537">
        <v>42881</v>
      </c>
      <c r="FZ3" s="537">
        <v>42882</v>
      </c>
      <c r="GA3" s="537">
        <v>42883</v>
      </c>
      <c r="GB3" s="537">
        <v>42884</v>
      </c>
      <c r="GC3" s="537">
        <v>42885</v>
      </c>
      <c r="GD3" s="537">
        <v>42886</v>
      </c>
      <c r="GE3" s="537">
        <v>42887</v>
      </c>
      <c r="GF3" s="537">
        <v>42888</v>
      </c>
      <c r="GG3" s="537">
        <v>42889</v>
      </c>
      <c r="GH3" s="537">
        <v>42890</v>
      </c>
      <c r="GI3" s="537">
        <v>42891</v>
      </c>
      <c r="GJ3" s="537">
        <v>42892</v>
      </c>
      <c r="GK3" s="537">
        <v>42893</v>
      </c>
      <c r="GL3" s="537">
        <v>42894</v>
      </c>
      <c r="GM3" s="537">
        <v>42895</v>
      </c>
      <c r="GN3" s="537">
        <v>42896</v>
      </c>
      <c r="GO3" s="537">
        <v>42897</v>
      </c>
      <c r="GP3" s="537">
        <v>42898</v>
      </c>
      <c r="GQ3" s="537">
        <v>42899</v>
      </c>
      <c r="GR3" s="537">
        <v>42900</v>
      </c>
      <c r="GS3" s="537">
        <v>42901</v>
      </c>
      <c r="GT3" s="537">
        <v>42902</v>
      </c>
      <c r="GU3" s="537">
        <v>42903</v>
      </c>
      <c r="GV3" s="537">
        <v>42904</v>
      </c>
      <c r="GW3" s="537">
        <v>42905</v>
      </c>
      <c r="GX3" s="537">
        <v>42906</v>
      </c>
      <c r="GY3" s="537">
        <v>42907</v>
      </c>
      <c r="GZ3" s="537">
        <v>42908</v>
      </c>
      <c r="HA3" s="537">
        <v>42909</v>
      </c>
      <c r="HB3" s="537">
        <v>42910</v>
      </c>
      <c r="HC3" s="537">
        <v>42911</v>
      </c>
      <c r="HD3" s="537">
        <v>42912</v>
      </c>
      <c r="HE3" s="537">
        <v>42913</v>
      </c>
      <c r="HF3" s="537">
        <v>42914</v>
      </c>
      <c r="HG3" s="537">
        <v>42915</v>
      </c>
      <c r="HH3" s="537">
        <v>42916</v>
      </c>
      <c r="HI3" s="537">
        <v>42917</v>
      </c>
      <c r="HJ3" s="537">
        <v>42918</v>
      </c>
      <c r="HK3" s="537">
        <v>42919</v>
      </c>
      <c r="HL3" s="537">
        <v>42920</v>
      </c>
      <c r="HM3" s="537">
        <v>42921</v>
      </c>
      <c r="HN3" s="537">
        <v>42922</v>
      </c>
      <c r="HO3" s="537">
        <v>42923</v>
      </c>
      <c r="HP3" s="537">
        <v>42924</v>
      </c>
      <c r="HQ3" s="537">
        <v>42925</v>
      </c>
      <c r="HR3" s="537">
        <v>42926</v>
      </c>
      <c r="HS3" s="537">
        <v>42927</v>
      </c>
      <c r="HT3" s="537">
        <v>42928</v>
      </c>
      <c r="HU3" s="537">
        <v>42929</v>
      </c>
      <c r="HV3" s="537">
        <v>42930</v>
      </c>
      <c r="HW3" s="537">
        <v>42931</v>
      </c>
      <c r="HX3" s="537">
        <v>42932</v>
      </c>
      <c r="HY3" s="537">
        <v>42933</v>
      </c>
      <c r="HZ3" s="537">
        <v>42934</v>
      </c>
      <c r="IA3" s="537">
        <v>42935</v>
      </c>
      <c r="IB3" s="537">
        <v>42936</v>
      </c>
      <c r="IC3" s="537">
        <v>42937</v>
      </c>
      <c r="ID3" s="537">
        <v>42938</v>
      </c>
      <c r="IE3" s="537">
        <v>42939</v>
      </c>
      <c r="IF3" s="537">
        <v>42940</v>
      </c>
      <c r="IG3" s="537">
        <v>42941</v>
      </c>
      <c r="IH3" s="537">
        <v>42942</v>
      </c>
      <c r="II3" s="537">
        <v>42943</v>
      </c>
      <c r="IJ3" s="537">
        <v>42944</v>
      </c>
      <c r="IK3" s="537">
        <v>42945</v>
      </c>
      <c r="IL3" s="537">
        <v>42946</v>
      </c>
      <c r="IM3" s="537">
        <v>42947</v>
      </c>
      <c r="IN3" s="537">
        <v>42948</v>
      </c>
      <c r="IO3" s="537">
        <v>42949</v>
      </c>
      <c r="IP3" s="537">
        <v>42950</v>
      </c>
      <c r="IQ3" s="537">
        <v>42951</v>
      </c>
      <c r="IR3" s="537">
        <v>42952</v>
      </c>
      <c r="IS3" s="537">
        <v>42953</v>
      </c>
      <c r="IT3" s="537">
        <v>42954</v>
      </c>
      <c r="IU3" s="537">
        <v>42955</v>
      </c>
      <c r="IV3" s="537">
        <v>42956</v>
      </c>
      <c r="IW3" s="537">
        <v>42957</v>
      </c>
      <c r="IX3" s="537">
        <v>42958</v>
      </c>
      <c r="IY3" s="537">
        <v>42959</v>
      </c>
      <c r="IZ3" s="537">
        <v>42960</v>
      </c>
      <c r="JA3" s="537">
        <v>42961</v>
      </c>
      <c r="JB3" s="537">
        <v>42962</v>
      </c>
      <c r="JC3" s="537">
        <v>42963</v>
      </c>
      <c r="JD3" s="537">
        <v>42964</v>
      </c>
      <c r="JE3" s="537">
        <v>42965</v>
      </c>
      <c r="JF3" s="537">
        <v>42966</v>
      </c>
      <c r="JG3" s="537">
        <v>42967</v>
      </c>
      <c r="JH3" s="537">
        <v>42968</v>
      </c>
      <c r="JI3" s="537">
        <v>42969</v>
      </c>
      <c r="JJ3" s="537">
        <v>42970</v>
      </c>
      <c r="JK3" s="537">
        <v>42971</v>
      </c>
      <c r="JL3" s="537">
        <v>42972</v>
      </c>
      <c r="JM3" s="537">
        <v>42973</v>
      </c>
      <c r="JN3" s="537">
        <v>42974</v>
      </c>
      <c r="JO3" s="537">
        <v>42975</v>
      </c>
      <c r="JP3" s="537">
        <v>42976</v>
      </c>
      <c r="JQ3" s="537">
        <v>42977</v>
      </c>
      <c r="JR3" s="537">
        <v>42978</v>
      </c>
      <c r="JS3" s="537">
        <v>42979</v>
      </c>
      <c r="JT3" s="537">
        <v>42980</v>
      </c>
      <c r="JU3" s="537">
        <v>42981</v>
      </c>
      <c r="JV3" s="537">
        <v>42982</v>
      </c>
      <c r="JW3" s="537">
        <v>42983</v>
      </c>
      <c r="JX3" s="537">
        <v>42984</v>
      </c>
      <c r="JY3" s="537">
        <v>42985</v>
      </c>
      <c r="JZ3" s="537">
        <v>42986</v>
      </c>
      <c r="KA3" s="537">
        <v>42987</v>
      </c>
      <c r="KB3" s="537">
        <v>42988</v>
      </c>
      <c r="KC3" s="537">
        <v>42989</v>
      </c>
      <c r="KD3" s="537">
        <v>42990</v>
      </c>
      <c r="KE3" s="537">
        <v>42991</v>
      </c>
      <c r="KF3" s="537">
        <v>42992</v>
      </c>
      <c r="KG3" s="537">
        <v>42993</v>
      </c>
      <c r="KH3" s="537">
        <v>42994</v>
      </c>
      <c r="KI3" s="537">
        <v>42995</v>
      </c>
      <c r="KJ3" s="537">
        <v>42996</v>
      </c>
      <c r="KK3" s="537">
        <v>42997</v>
      </c>
      <c r="KL3" s="537">
        <v>42998</v>
      </c>
      <c r="KM3" s="537">
        <v>42999</v>
      </c>
      <c r="KN3" s="537">
        <v>43000</v>
      </c>
      <c r="KO3" s="537">
        <v>43001</v>
      </c>
      <c r="KP3" s="537">
        <v>43002</v>
      </c>
      <c r="KQ3" s="537">
        <v>43003</v>
      </c>
      <c r="KR3" s="537">
        <v>43004</v>
      </c>
      <c r="KS3" s="537">
        <v>43005</v>
      </c>
      <c r="KT3" s="537">
        <v>43006</v>
      </c>
      <c r="KU3" s="537">
        <v>43007</v>
      </c>
      <c r="KV3" s="537">
        <v>43008</v>
      </c>
      <c r="KW3" s="537">
        <v>43009</v>
      </c>
      <c r="KX3" s="537">
        <v>43010</v>
      </c>
      <c r="KY3" s="537">
        <v>43011</v>
      </c>
      <c r="KZ3" s="537">
        <v>43012</v>
      </c>
      <c r="LA3" s="537">
        <v>43013</v>
      </c>
      <c r="LB3" s="537">
        <v>43014</v>
      </c>
      <c r="LC3" s="537">
        <v>43015</v>
      </c>
      <c r="LD3" s="537">
        <v>43016</v>
      </c>
      <c r="LE3" s="537">
        <v>43017</v>
      </c>
      <c r="LF3" s="537">
        <v>43018</v>
      </c>
      <c r="LG3" s="537">
        <v>43019</v>
      </c>
      <c r="LH3" s="537">
        <v>43020</v>
      </c>
      <c r="LI3" s="537">
        <v>43021</v>
      </c>
      <c r="LJ3" s="537">
        <v>43022</v>
      </c>
      <c r="LK3" s="537">
        <v>43023</v>
      </c>
      <c r="LL3" s="537">
        <v>43024</v>
      </c>
      <c r="LM3" s="537">
        <v>43025</v>
      </c>
      <c r="LN3" s="537">
        <v>43026</v>
      </c>
      <c r="LO3" s="537">
        <v>43027</v>
      </c>
      <c r="LP3" s="537">
        <v>43028</v>
      </c>
      <c r="LQ3" s="537">
        <v>43029</v>
      </c>
      <c r="LR3" s="537">
        <v>43030</v>
      </c>
      <c r="LS3" s="537">
        <v>43031</v>
      </c>
      <c r="LT3" s="537">
        <v>43032</v>
      </c>
      <c r="LU3" s="537">
        <v>43033</v>
      </c>
      <c r="LV3" s="537">
        <v>43034</v>
      </c>
      <c r="LW3" s="537">
        <v>43035</v>
      </c>
      <c r="LX3" s="537">
        <v>43036</v>
      </c>
      <c r="LY3" s="537">
        <v>43037</v>
      </c>
      <c r="LZ3" s="537">
        <v>43038</v>
      </c>
      <c r="MA3" s="537">
        <v>43039</v>
      </c>
      <c r="MB3" s="537">
        <v>43040</v>
      </c>
      <c r="MC3" s="537">
        <v>43041</v>
      </c>
      <c r="MD3" s="537">
        <v>43042</v>
      </c>
      <c r="ME3" s="537">
        <v>43043</v>
      </c>
      <c r="MF3" s="537">
        <v>43044</v>
      </c>
      <c r="MG3" s="537">
        <v>43045</v>
      </c>
      <c r="MH3" s="537">
        <v>43046</v>
      </c>
      <c r="MI3" s="537">
        <v>43047</v>
      </c>
      <c r="MJ3" s="537">
        <v>43048</v>
      </c>
      <c r="MK3" s="537">
        <v>43049</v>
      </c>
      <c r="ML3" s="537">
        <v>43050</v>
      </c>
      <c r="MM3" s="537">
        <v>43051</v>
      </c>
      <c r="MN3" s="537">
        <v>43052</v>
      </c>
      <c r="MO3" s="537">
        <v>43053</v>
      </c>
      <c r="MP3" s="537">
        <v>43054</v>
      </c>
      <c r="MQ3" s="537">
        <v>43055</v>
      </c>
      <c r="MR3" s="537">
        <v>43056</v>
      </c>
      <c r="MS3" s="537">
        <v>43057</v>
      </c>
      <c r="MT3" s="537">
        <v>43058</v>
      </c>
      <c r="MU3" s="537">
        <v>43059</v>
      </c>
      <c r="MV3" s="537">
        <v>43060</v>
      </c>
      <c r="MW3" s="537">
        <v>43061</v>
      </c>
      <c r="MX3" s="537">
        <v>43062</v>
      </c>
      <c r="MY3" s="537">
        <v>43063</v>
      </c>
      <c r="MZ3" s="537">
        <v>43064</v>
      </c>
      <c r="NA3" s="537">
        <v>43065</v>
      </c>
      <c r="NB3" s="537">
        <v>43066</v>
      </c>
      <c r="NC3" s="537">
        <v>43067</v>
      </c>
      <c r="ND3" s="537">
        <v>43068</v>
      </c>
      <c r="NE3" s="537">
        <v>43069</v>
      </c>
      <c r="NF3" s="537">
        <v>43070</v>
      </c>
      <c r="NG3" s="537">
        <v>43071</v>
      </c>
      <c r="NH3" s="537">
        <v>43072</v>
      </c>
      <c r="NI3" s="537">
        <v>43073</v>
      </c>
      <c r="NJ3" s="537">
        <v>43074</v>
      </c>
      <c r="NK3" s="537">
        <v>43075</v>
      </c>
      <c r="NL3" s="537">
        <v>43076</v>
      </c>
      <c r="NM3" s="537">
        <v>43077</v>
      </c>
      <c r="NN3" s="537">
        <v>43078</v>
      </c>
      <c r="NO3" s="537">
        <v>43079</v>
      </c>
      <c r="NP3" s="537">
        <v>43080</v>
      </c>
      <c r="NQ3" s="537">
        <v>43081</v>
      </c>
      <c r="NR3" s="537">
        <v>43082</v>
      </c>
      <c r="NS3" s="537">
        <v>43083</v>
      </c>
      <c r="NT3" s="537">
        <v>43084</v>
      </c>
      <c r="NU3" s="537">
        <v>43085</v>
      </c>
      <c r="NV3" s="537">
        <v>43086</v>
      </c>
      <c r="NW3" s="537">
        <v>43087</v>
      </c>
      <c r="NX3" s="537">
        <v>43088</v>
      </c>
      <c r="NY3" s="537">
        <v>43089</v>
      </c>
      <c r="NZ3" s="537">
        <v>43090</v>
      </c>
      <c r="OA3" s="537">
        <v>43091</v>
      </c>
      <c r="OB3" s="537">
        <v>43092</v>
      </c>
      <c r="OC3" s="537">
        <v>43093</v>
      </c>
      <c r="OD3" s="537">
        <v>43094</v>
      </c>
      <c r="OE3" s="537">
        <v>43095</v>
      </c>
      <c r="OF3" s="537">
        <v>43096</v>
      </c>
      <c r="OG3" s="537">
        <v>43097</v>
      </c>
      <c r="OH3" s="537">
        <v>43098</v>
      </c>
      <c r="OI3" s="537">
        <v>43099</v>
      </c>
      <c r="OJ3" s="537">
        <v>43100</v>
      </c>
      <c r="OK3" s="537">
        <v>43101</v>
      </c>
      <c r="OL3" s="537">
        <v>43102</v>
      </c>
      <c r="OM3" s="537">
        <v>43103</v>
      </c>
      <c r="ON3" s="537">
        <v>43104</v>
      </c>
      <c r="OO3" s="537">
        <v>43105</v>
      </c>
      <c r="OP3" s="537">
        <v>43106</v>
      </c>
      <c r="OQ3" s="537">
        <v>43107</v>
      </c>
      <c r="OR3" s="537">
        <v>43108</v>
      </c>
      <c r="OS3" s="537">
        <v>43109</v>
      </c>
      <c r="OT3" s="537">
        <v>43110</v>
      </c>
      <c r="OU3" s="537">
        <v>43111</v>
      </c>
      <c r="OV3" s="537">
        <v>43112</v>
      </c>
      <c r="OW3" s="537">
        <v>43113</v>
      </c>
      <c r="OX3" s="537">
        <v>43114</v>
      </c>
      <c r="OY3" s="537">
        <v>43115</v>
      </c>
      <c r="OZ3" s="537">
        <v>43116</v>
      </c>
      <c r="PA3" s="537">
        <v>43117</v>
      </c>
      <c r="PB3" s="537">
        <v>43118</v>
      </c>
      <c r="PC3" s="537">
        <v>43119</v>
      </c>
      <c r="PD3" s="537">
        <v>43120</v>
      </c>
      <c r="PE3" s="537">
        <v>43121</v>
      </c>
      <c r="PF3" s="537">
        <v>43122</v>
      </c>
      <c r="PG3" s="537">
        <v>43123</v>
      </c>
      <c r="PH3" s="537">
        <v>43124</v>
      </c>
      <c r="PI3" s="537">
        <v>43125</v>
      </c>
      <c r="PJ3" s="537">
        <v>43126</v>
      </c>
      <c r="PK3" s="537">
        <v>43127</v>
      </c>
      <c r="PL3" s="537">
        <v>43128</v>
      </c>
      <c r="PM3" s="537">
        <v>43129</v>
      </c>
      <c r="PN3" s="537">
        <v>43130</v>
      </c>
      <c r="PO3" s="537">
        <v>43131</v>
      </c>
      <c r="PP3" s="537">
        <v>43132</v>
      </c>
      <c r="PQ3" s="537">
        <v>43133</v>
      </c>
      <c r="PR3" s="537">
        <v>43134</v>
      </c>
      <c r="PS3" s="537">
        <v>43135</v>
      </c>
      <c r="PT3" s="537">
        <v>43136</v>
      </c>
      <c r="PU3" s="537">
        <v>43137</v>
      </c>
      <c r="PV3" s="537">
        <v>43138</v>
      </c>
      <c r="PW3" s="537">
        <v>43139</v>
      </c>
      <c r="PX3" s="537">
        <v>43140</v>
      </c>
      <c r="PY3" s="537">
        <v>43141</v>
      </c>
      <c r="PZ3" s="537">
        <v>43142</v>
      </c>
      <c r="QA3" s="537">
        <v>43143</v>
      </c>
      <c r="QB3" s="537">
        <v>43144</v>
      </c>
      <c r="QC3" s="537">
        <v>43145</v>
      </c>
      <c r="QD3" s="537">
        <v>43146</v>
      </c>
      <c r="QE3" s="537">
        <v>43147</v>
      </c>
      <c r="QF3" s="537">
        <v>43148</v>
      </c>
      <c r="QG3" s="537">
        <v>43149</v>
      </c>
      <c r="QH3" s="537">
        <v>43150</v>
      </c>
      <c r="QI3" s="537">
        <v>43151</v>
      </c>
      <c r="QJ3" s="537">
        <v>43152</v>
      </c>
      <c r="QK3" s="537">
        <v>43153</v>
      </c>
      <c r="QL3" s="537">
        <v>43154</v>
      </c>
      <c r="QM3" s="537">
        <v>43155</v>
      </c>
      <c r="QN3" s="537">
        <v>43156</v>
      </c>
      <c r="QO3" s="537">
        <v>43157</v>
      </c>
      <c r="QP3" s="537">
        <v>43158</v>
      </c>
      <c r="QQ3" s="537">
        <v>43159</v>
      </c>
      <c r="QR3" s="537">
        <v>43160</v>
      </c>
      <c r="QS3" s="537">
        <v>43161</v>
      </c>
      <c r="QT3" s="537">
        <v>43162</v>
      </c>
      <c r="QU3" s="537">
        <v>43163</v>
      </c>
      <c r="QV3" s="537">
        <v>43164</v>
      </c>
      <c r="QW3" s="537">
        <v>43165</v>
      </c>
      <c r="QX3" s="537">
        <v>43166</v>
      </c>
      <c r="QY3" s="537">
        <v>43167</v>
      </c>
      <c r="QZ3" s="537">
        <v>43168</v>
      </c>
      <c r="RA3" s="537">
        <v>43169</v>
      </c>
      <c r="RB3" s="537">
        <v>43170</v>
      </c>
      <c r="RC3" s="537">
        <v>43171</v>
      </c>
      <c r="RD3" s="537">
        <v>43172</v>
      </c>
      <c r="RE3" s="537">
        <v>43173</v>
      </c>
      <c r="RF3" s="537">
        <v>43174</v>
      </c>
      <c r="RG3" s="537">
        <v>43175</v>
      </c>
      <c r="RH3" s="537">
        <v>43176</v>
      </c>
      <c r="RI3" s="537">
        <v>43177</v>
      </c>
      <c r="RJ3" s="537">
        <v>43178</v>
      </c>
      <c r="RK3" s="537">
        <v>43179</v>
      </c>
      <c r="RL3" s="537">
        <v>43180</v>
      </c>
      <c r="RM3" s="537">
        <v>43181</v>
      </c>
      <c r="RN3" s="537">
        <v>43182</v>
      </c>
      <c r="RO3" s="537">
        <v>43183</v>
      </c>
      <c r="RP3" s="537">
        <v>43184</v>
      </c>
      <c r="RQ3" s="537">
        <v>43185</v>
      </c>
      <c r="RR3" s="537">
        <v>43186</v>
      </c>
      <c r="RS3" s="537">
        <v>43187</v>
      </c>
      <c r="RT3" s="537">
        <v>43188</v>
      </c>
      <c r="RU3" s="537">
        <v>43189</v>
      </c>
      <c r="RV3" s="537">
        <v>43190</v>
      </c>
      <c r="RW3" s="537">
        <v>43191</v>
      </c>
      <c r="RX3" s="537">
        <v>43192</v>
      </c>
      <c r="RY3" s="537">
        <v>43193</v>
      </c>
      <c r="RZ3" s="537">
        <v>43194</v>
      </c>
      <c r="SA3" s="537">
        <v>43195</v>
      </c>
      <c r="SB3" s="537">
        <v>43196</v>
      </c>
      <c r="SC3" s="537">
        <v>43197</v>
      </c>
      <c r="SD3" s="537">
        <v>43198</v>
      </c>
      <c r="SE3" s="537">
        <v>43199</v>
      </c>
      <c r="SF3" s="537">
        <v>43200</v>
      </c>
      <c r="SG3" s="537">
        <v>43201</v>
      </c>
      <c r="SH3" s="537">
        <v>43202</v>
      </c>
      <c r="SI3" s="537">
        <v>43203</v>
      </c>
      <c r="SJ3" s="537">
        <v>43204</v>
      </c>
      <c r="SK3" s="537">
        <v>43205</v>
      </c>
      <c r="SL3" s="537">
        <v>43206</v>
      </c>
      <c r="SM3" s="537">
        <v>43207</v>
      </c>
      <c r="SN3" s="537">
        <v>43208</v>
      </c>
      <c r="SO3" s="537">
        <v>43209</v>
      </c>
      <c r="SP3" s="537">
        <v>43210</v>
      </c>
      <c r="SQ3" s="537">
        <v>43211</v>
      </c>
      <c r="SR3" s="537">
        <v>43212</v>
      </c>
      <c r="SS3" s="537">
        <v>43213</v>
      </c>
      <c r="ST3" s="537">
        <v>43214</v>
      </c>
      <c r="SU3" s="537">
        <v>43215</v>
      </c>
      <c r="SV3" s="537">
        <v>43216</v>
      </c>
      <c r="SW3" s="537">
        <v>43217</v>
      </c>
      <c r="SX3" s="537">
        <v>43218</v>
      </c>
      <c r="SY3" s="537">
        <v>43219</v>
      </c>
      <c r="SZ3" s="537">
        <v>43220</v>
      </c>
      <c r="TA3" s="537">
        <v>43221</v>
      </c>
      <c r="TB3" s="537">
        <v>43222</v>
      </c>
      <c r="TC3" s="537">
        <v>43223</v>
      </c>
      <c r="TD3" s="537">
        <v>43224</v>
      </c>
      <c r="TE3" s="537">
        <v>43225</v>
      </c>
      <c r="TF3" s="537">
        <v>43226</v>
      </c>
      <c r="TG3" s="537">
        <v>43227</v>
      </c>
      <c r="TH3" s="537">
        <v>43228</v>
      </c>
      <c r="TI3" s="537">
        <v>43229</v>
      </c>
      <c r="TJ3" s="537">
        <v>43230</v>
      </c>
      <c r="TK3" s="537">
        <v>43231</v>
      </c>
      <c r="TL3" s="537">
        <v>43232</v>
      </c>
      <c r="TM3" s="537">
        <v>43233</v>
      </c>
      <c r="TN3" s="537">
        <v>43234</v>
      </c>
      <c r="TO3" s="537">
        <v>43235</v>
      </c>
      <c r="TP3" s="537">
        <v>43236</v>
      </c>
      <c r="TQ3" s="537">
        <v>43237</v>
      </c>
      <c r="TR3" s="537">
        <v>43238</v>
      </c>
      <c r="TS3" s="537">
        <v>43239</v>
      </c>
      <c r="TT3" s="537">
        <v>43240</v>
      </c>
      <c r="TU3" s="537">
        <v>43241</v>
      </c>
      <c r="TV3" s="537">
        <v>43242</v>
      </c>
      <c r="TW3" s="537">
        <v>43243</v>
      </c>
      <c r="TX3" s="537">
        <v>43244</v>
      </c>
      <c r="TY3" s="537">
        <v>43245</v>
      </c>
      <c r="TZ3" s="537">
        <v>43246</v>
      </c>
      <c r="UA3" s="537">
        <v>43247</v>
      </c>
      <c r="UB3" s="537">
        <v>43248</v>
      </c>
      <c r="UC3" s="537">
        <v>43249</v>
      </c>
      <c r="UD3" s="537">
        <v>43250</v>
      </c>
      <c r="UE3" s="537">
        <v>43251</v>
      </c>
      <c r="UF3" s="537">
        <v>43252</v>
      </c>
      <c r="UG3" s="537">
        <v>43253</v>
      </c>
      <c r="UH3" s="537">
        <v>43254</v>
      </c>
      <c r="UI3" s="537">
        <v>43255</v>
      </c>
      <c r="UJ3" s="537">
        <v>43256</v>
      </c>
      <c r="UK3" s="537">
        <v>43257</v>
      </c>
      <c r="UL3" s="537">
        <v>43258</v>
      </c>
      <c r="UM3" s="537">
        <v>43259</v>
      </c>
      <c r="UN3" s="537">
        <v>43260</v>
      </c>
      <c r="UO3" s="537">
        <v>43261</v>
      </c>
      <c r="UP3" s="537">
        <v>43262</v>
      </c>
      <c r="UQ3" s="537">
        <v>43263</v>
      </c>
      <c r="UR3" s="537">
        <v>43264</v>
      </c>
      <c r="US3" s="537">
        <v>43265</v>
      </c>
      <c r="UT3" s="537">
        <v>43266</v>
      </c>
      <c r="UU3" s="537">
        <v>43267</v>
      </c>
      <c r="UV3" s="537">
        <v>43268</v>
      </c>
      <c r="UW3" s="537">
        <v>43269</v>
      </c>
      <c r="UX3" s="537">
        <v>43270</v>
      </c>
      <c r="UY3" s="537">
        <v>43271</v>
      </c>
      <c r="UZ3" s="537">
        <v>43272</v>
      </c>
      <c r="VA3" s="537">
        <v>43273</v>
      </c>
      <c r="VB3" s="537">
        <v>43274</v>
      </c>
      <c r="VC3" s="537">
        <v>43275</v>
      </c>
      <c r="VD3" s="537">
        <v>43276</v>
      </c>
      <c r="VE3" s="537">
        <v>43277</v>
      </c>
      <c r="VF3" s="537">
        <v>43278</v>
      </c>
      <c r="VG3" s="537">
        <v>43279</v>
      </c>
      <c r="VH3" s="537">
        <v>43280</v>
      </c>
      <c r="VI3" s="537">
        <v>43281</v>
      </c>
      <c r="VJ3" s="537">
        <v>43282</v>
      </c>
      <c r="VK3" s="537">
        <v>43283</v>
      </c>
      <c r="VL3" s="537">
        <v>43284</v>
      </c>
      <c r="VM3" s="537">
        <v>43285</v>
      </c>
      <c r="VN3" s="537">
        <v>43286</v>
      </c>
      <c r="VO3" s="537">
        <v>43287</v>
      </c>
      <c r="VP3" s="537">
        <v>43288</v>
      </c>
      <c r="VQ3" s="537">
        <v>43289</v>
      </c>
      <c r="VR3" s="537">
        <v>43290</v>
      </c>
      <c r="VS3" s="537">
        <v>43291</v>
      </c>
      <c r="VT3" s="537">
        <v>43292</v>
      </c>
      <c r="VU3" s="537">
        <v>43293</v>
      </c>
      <c r="VV3" s="537">
        <v>43294</v>
      </c>
      <c r="VW3" s="537">
        <v>43295</v>
      </c>
      <c r="VX3" s="537">
        <v>43296</v>
      </c>
      <c r="VY3" s="537">
        <v>43297</v>
      </c>
      <c r="VZ3" s="537">
        <v>43298</v>
      </c>
      <c r="WA3" s="537">
        <v>43299</v>
      </c>
      <c r="WB3" s="537">
        <v>43300</v>
      </c>
      <c r="WC3" s="537">
        <v>43301</v>
      </c>
      <c r="WD3" s="537">
        <v>43302</v>
      </c>
      <c r="WE3" s="537">
        <v>43303</v>
      </c>
      <c r="WF3" s="537">
        <v>43304</v>
      </c>
      <c r="WG3" s="537">
        <v>43305</v>
      </c>
      <c r="WH3" s="537">
        <v>43306</v>
      </c>
      <c r="WI3" s="537">
        <v>43307</v>
      </c>
      <c r="WJ3" s="537">
        <v>43308</v>
      </c>
      <c r="WK3" s="537">
        <v>43309</v>
      </c>
      <c r="WL3" s="537">
        <v>43310</v>
      </c>
      <c r="WM3" s="537">
        <v>43311</v>
      </c>
      <c r="WN3" s="537">
        <v>43312</v>
      </c>
      <c r="WO3" s="537">
        <v>43313</v>
      </c>
      <c r="WP3" s="537">
        <v>43314</v>
      </c>
      <c r="WQ3" s="537">
        <v>43315</v>
      </c>
      <c r="WR3" s="537">
        <v>43316</v>
      </c>
      <c r="WS3" s="537">
        <v>43317</v>
      </c>
      <c r="WT3" s="537">
        <v>43318</v>
      </c>
      <c r="WU3" s="537">
        <v>43319</v>
      </c>
      <c r="WV3" s="537">
        <v>43320</v>
      </c>
      <c r="WW3" s="537">
        <v>43321</v>
      </c>
      <c r="WX3" s="537">
        <v>43322</v>
      </c>
      <c r="WY3" s="537">
        <v>43323</v>
      </c>
      <c r="WZ3" s="537">
        <v>43324</v>
      </c>
      <c r="XA3" s="537">
        <v>43325</v>
      </c>
      <c r="XB3" s="537">
        <v>43326</v>
      </c>
      <c r="XC3" s="537">
        <v>43327</v>
      </c>
      <c r="XD3" s="537">
        <v>43328</v>
      </c>
      <c r="XE3" s="537">
        <v>43329</v>
      </c>
      <c r="XF3" s="537">
        <v>43330</v>
      </c>
      <c r="XG3" s="537">
        <v>43331</v>
      </c>
      <c r="XH3" s="537">
        <v>43332</v>
      </c>
      <c r="XI3" s="537">
        <v>43333</v>
      </c>
      <c r="XJ3" s="537">
        <v>43334</v>
      </c>
      <c r="XK3" s="537">
        <v>43335</v>
      </c>
      <c r="XL3" s="537">
        <v>43336</v>
      </c>
      <c r="XM3" s="537">
        <v>43337</v>
      </c>
      <c r="XN3" s="537">
        <v>43338</v>
      </c>
      <c r="XO3" s="537">
        <v>43339</v>
      </c>
      <c r="XP3" s="537">
        <v>43340</v>
      </c>
      <c r="XQ3" s="537">
        <v>43341</v>
      </c>
      <c r="XR3" s="537">
        <v>43342</v>
      </c>
      <c r="XS3" s="537">
        <v>43343</v>
      </c>
      <c r="XT3" s="537">
        <v>43344</v>
      </c>
      <c r="XU3" s="537">
        <v>43345</v>
      </c>
      <c r="XV3" s="537">
        <v>43346</v>
      </c>
      <c r="XW3" s="537">
        <v>43347</v>
      </c>
      <c r="XX3" s="537">
        <v>43348</v>
      </c>
      <c r="XY3" s="537">
        <v>43349</v>
      </c>
      <c r="XZ3" s="537">
        <v>43350</v>
      </c>
      <c r="YA3" s="537">
        <v>43351</v>
      </c>
      <c r="YB3" s="537">
        <v>43352</v>
      </c>
      <c r="YC3" s="537">
        <v>43353</v>
      </c>
      <c r="YD3" s="537">
        <v>43354</v>
      </c>
      <c r="YE3" s="537">
        <v>43355</v>
      </c>
      <c r="YF3" s="537">
        <v>43356</v>
      </c>
      <c r="YG3" s="537">
        <v>43357</v>
      </c>
      <c r="YH3" s="537">
        <v>43358</v>
      </c>
      <c r="YI3" s="537">
        <v>43359</v>
      </c>
      <c r="YJ3" s="537">
        <v>43360</v>
      </c>
      <c r="YK3" s="537">
        <v>43361</v>
      </c>
      <c r="YL3" s="537">
        <v>43362</v>
      </c>
      <c r="YM3" s="537">
        <v>43363</v>
      </c>
      <c r="YN3" s="537">
        <v>43364</v>
      </c>
      <c r="YO3" s="537">
        <v>43365</v>
      </c>
      <c r="YP3" s="537">
        <v>43366</v>
      </c>
      <c r="YQ3" s="537">
        <v>43367</v>
      </c>
      <c r="YR3" s="537">
        <v>43368</v>
      </c>
      <c r="YS3" s="537">
        <v>43369</v>
      </c>
      <c r="YT3" s="537">
        <v>43370</v>
      </c>
      <c r="YU3" s="537">
        <v>43371</v>
      </c>
      <c r="YV3" s="537">
        <v>43372</v>
      </c>
      <c r="YW3" s="537">
        <v>43373</v>
      </c>
      <c r="YX3" s="537">
        <v>43374</v>
      </c>
      <c r="YY3" s="537">
        <v>43375</v>
      </c>
      <c r="YZ3" s="537">
        <v>43376</v>
      </c>
      <c r="ZA3" s="537">
        <v>43377</v>
      </c>
      <c r="ZB3" s="537">
        <v>43378</v>
      </c>
      <c r="ZC3" s="537">
        <v>43379</v>
      </c>
      <c r="ZD3" s="537">
        <v>43380</v>
      </c>
      <c r="ZE3" s="537">
        <v>43381</v>
      </c>
      <c r="ZF3" s="537">
        <v>43382</v>
      </c>
      <c r="ZG3" s="537">
        <v>43383</v>
      </c>
      <c r="ZH3" s="537">
        <v>43384</v>
      </c>
      <c r="ZI3" s="537">
        <v>43385</v>
      </c>
      <c r="ZJ3" s="537">
        <v>43386</v>
      </c>
      <c r="ZK3" s="537">
        <v>43387</v>
      </c>
      <c r="ZL3" s="537">
        <v>43388</v>
      </c>
      <c r="ZM3" s="537">
        <v>43389</v>
      </c>
      <c r="ZN3" s="537">
        <v>43390</v>
      </c>
      <c r="ZO3" s="537">
        <v>43391</v>
      </c>
      <c r="ZP3" s="537">
        <v>43392</v>
      </c>
      <c r="ZQ3" s="537">
        <v>43393</v>
      </c>
      <c r="ZR3" s="537">
        <v>43394</v>
      </c>
      <c r="ZS3" s="537">
        <v>43395</v>
      </c>
      <c r="ZT3" s="537">
        <v>43396</v>
      </c>
      <c r="ZU3" s="537">
        <v>43397</v>
      </c>
      <c r="ZV3" s="537">
        <v>43398</v>
      </c>
      <c r="ZW3" s="537">
        <v>43399</v>
      </c>
      <c r="ZX3" s="537">
        <v>43400</v>
      </c>
      <c r="ZY3" s="537">
        <v>43401</v>
      </c>
      <c r="ZZ3" s="537">
        <v>43402</v>
      </c>
      <c r="AAA3" s="537">
        <v>43403</v>
      </c>
      <c r="AAB3" s="537">
        <v>43404</v>
      </c>
      <c r="AAC3" s="537">
        <v>43405</v>
      </c>
      <c r="AAD3" s="537">
        <v>43406</v>
      </c>
      <c r="AAE3" s="537">
        <v>43407</v>
      </c>
      <c r="AAF3" s="537">
        <v>43408</v>
      </c>
      <c r="AAG3" s="537">
        <v>43409</v>
      </c>
      <c r="AAH3" s="537">
        <v>43410</v>
      </c>
      <c r="AAI3" s="537">
        <v>43411</v>
      </c>
      <c r="AAJ3" s="537">
        <v>43412</v>
      </c>
      <c r="AAK3" s="537">
        <v>43413</v>
      </c>
      <c r="AAL3" s="537">
        <v>43414</v>
      </c>
      <c r="AAM3" s="537">
        <v>43415</v>
      </c>
      <c r="AAN3" s="537">
        <v>43416</v>
      </c>
      <c r="AAO3" s="537">
        <v>43417</v>
      </c>
      <c r="AAP3" s="537">
        <v>43418</v>
      </c>
      <c r="AAQ3" s="537">
        <v>43419</v>
      </c>
      <c r="AAR3" s="537">
        <v>43420</v>
      </c>
      <c r="AAS3" s="537">
        <v>43421</v>
      </c>
      <c r="AAT3" s="537">
        <v>43422</v>
      </c>
      <c r="AAU3" s="537">
        <v>43423</v>
      </c>
      <c r="AAV3" s="537">
        <v>43424</v>
      </c>
      <c r="AAW3" s="537">
        <v>43425</v>
      </c>
      <c r="AAX3" s="537">
        <v>43426</v>
      </c>
      <c r="AAY3" s="537">
        <v>43427</v>
      </c>
      <c r="AAZ3" s="537">
        <v>43428</v>
      </c>
      <c r="ABA3" s="537">
        <v>43429</v>
      </c>
      <c r="ABB3" s="537">
        <v>43430</v>
      </c>
      <c r="ABC3" s="537">
        <v>43431</v>
      </c>
      <c r="ABD3" s="537">
        <v>43432</v>
      </c>
      <c r="ABE3" s="537">
        <v>43433</v>
      </c>
      <c r="ABF3" s="537">
        <v>43434</v>
      </c>
      <c r="ABG3" s="537">
        <v>43435</v>
      </c>
      <c r="ABH3" s="537">
        <v>43436</v>
      </c>
      <c r="ABI3" s="537">
        <v>43437</v>
      </c>
      <c r="ABJ3" s="537">
        <v>43438</v>
      </c>
      <c r="ABK3" s="537">
        <v>43439</v>
      </c>
      <c r="ABL3" s="537">
        <v>43440</v>
      </c>
      <c r="ABM3" s="537">
        <v>43441</v>
      </c>
      <c r="ABN3" s="537">
        <v>43442</v>
      </c>
      <c r="ABO3" s="537">
        <v>43443</v>
      </c>
      <c r="ABP3" s="537">
        <v>43444</v>
      </c>
      <c r="ABQ3" s="537">
        <v>43445</v>
      </c>
      <c r="ABR3" s="537">
        <v>43446</v>
      </c>
      <c r="ABS3" s="537">
        <v>43447</v>
      </c>
      <c r="ABT3" s="537">
        <v>43448</v>
      </c>
      <c r="ABU3" s="537">
        <v>43449</v>
      </c>
      <c r="ABV3" s="537">
        <v>43450</v>
      </c>
      <c r="ABW3" s="537">
        <v>43451</v>
      </c>
      <c r="ABX3" s="537">
        <v>43452</v>
      </c>
      <c r="ABY3" s="537">
        <v>43453</v>
      </c>
      <c r="ABZ3" s="537">
        <v>43454</v>
      </c>
      <c r="ACA3" s="537">
        <v>43455</v>
      </c>
      <c r="ACB3" s="537">
        <v>43456</v>
      </c>
      <c r="ACC3" s="537">
        <v>43457</v>
      </c>
      <c r="ACD3" s="537">
        <v>43458</v>
      </c>
      <c r="ACE3" s="537">
        <v>43459</v>
      </c>
      <c r="ACF3" s="537">
        <v>43460</v>
      </c>
      <c r="ACG3" s="537">
        <v>43461</v>
      </c>
      <c r="ACH3" s="537">
        <v>43462</v>
      </c>
      <c r="ACI3" s="537">
        <v>43463</v>
      </c>
      <c r="ACJ3" s="537">
        <v>43464</v>
      </c>
      <c r="ACK3" s="537">
        <v>43465</v>
      </c>
      <c r="ACL3" s="537">
        <v>43466</v>
      </c>
      <c r="ACM3" s="537">
        <v>43467</v>
      </c>
      <c r="ACN3" s="537">
        <v>43468</v>
      </c>
      <c r="ACO3" s="537">
        <v>43469</v>
      </c>
      <c r="ACP3" s="537">
        <v>43470</v>
      </c>
      <c r="ACQ3" s="537">
        <v>43471</v>
      </c>
      <c r="ACR3" s="537">
        <v>43472</v>
      </c>
      <c r="ACS3" s="537">
        <v>43473</v>
      </c>
      <c r="ACT3" s="537">
        <v>43474</v>
      </c>
      <c r="ACU3" s="537">
        <v>43475</v>
      </c>
      <c r="ACV3" s="537">
        <v>43476</v>
      </c>
      <c r="ACW3" s="537">
        <v>43477</v>
      </c>
      <c r="ACX3" s="537">
        <v>43478</v>
      </c>
      <c r="ACY3" s="537">
        <v>43479</v>
      </c>
      <c r="ACZ3" s="537">
        <v>43480</v>
      </c>
      <c r="ADA3" s="537">
        <v>43481</v>
      </c>
      <c r="ADB3" s="537">
        <v>43482</v>
      </c>
      <c r="ADC3" s="537">
        <v>43483</v>
      </c>
      <c r="ADD3" s="537">
        <v>43484</v>
      </c>
      <c r="ADE3" s="537">
        <v>43485</v>
      </c>
      <c r="ADF3" s="537">
        <v>43486</v>
      </c>
      <c r="ADG3" s="537">
        <v>43487</v>
      </c>
      <c r="ADH3" s="537">
        <v>43488</v>
      </c>
      <c r="ADI3" s="537">
        <v>43489</v>
      </c>
      <c r="ADJ3" s="537">
        <v>43490</v>
      </c>
      <c r="ADK3" s="537">
        <v>43491</v>
      </c>
      <c r="ADL3" s="537">
        <v>43492</v>
      </c>
      <c r="ADM3" s="537">
        <v>43493</v>
      </c>
      <c r="ADN3" s="537">
        <v>43494</v>
      </c>
      <c r="ADO3" s="537">
        <v>43495</v>
      </c>
      <c r="ADP3" s="537">
        <v>43496</v>
      </c>
    </row>
    <row r="4" spans="1:796">
      <c r="A4" t="s">
        <v>4265</v>
      </c>
      <c r="B4">
        <v>4</v>
      </c>
      <c r="C4" t="s">
        <v>4301</v>
      </c>
      <c r="D4">
        <v>49</v>
      </c>
      <c r="E4">
        <v>4</v>
      </c>
      <c r="F4">
        <v>5</v>
      </c>
      <c r="G4">
        <v>6</v>
      </c>
      <c r="H4">
        <v>7</v>
      </c>
      <c r="I4">
        <v>1</v>
      </c>
      <c r="J4">
        <v>2</v>
      </c>
      <c r="K4">
        <v>3</v>
      </c>
      <c r="L4">
        <v>4</v>
      </c>
      <c r="M4">
        <v>5</v>
      </c>
      <c r="N4">
        <v>6</v>
      </c>
      <c r="O4">
        <v>7</v>
      </c>
      <c r="P4">
        <v>1</v>
      </c>
      <c r="Q4">
        <v>2</v>
      </c>
      <c r="R4">
        <v>3</v>
      </c>
      <c r="S4">
        <v>4</v>
      </c>
      <c r="T4">
        <v>5</v>
      </c>
      <c r="U4">
        <v>6</v>
      </c>
      <c r="V4">
        <v>7</v>
      </c>
      <c r="W4">
        <v>1</v>
      </c>
      <c r="X4">
        <v>2</v>
      </c>
      <c r="Y4">
        <v>3</v>
      </c>
      <c r="Z4">
        <v>4</v>
      </c>
      <c r="AA4">
        <v>5</v>
      </c>
      <c r="AB4">
        <v>6</v>
      </c>
      <c r="AC4">
        <v>7</v>
      </c>
      <c r="AD4">
        <v>1</v>
      </c>
      <c r="AE4">
        <v>2</v>
      </c>
      <c r="AF4">
        <v>3</v>
      </c>
      <c r="AG4">
        <v>4</v>
      </c>
      <c r="AH4">
        <v>5</v>
      </c>
      <c r="AI4">
        <v>6</v>
      </c>
      <c r="AJ4">
        <v>7</v>
      </c>
      <c r="AK4">
        <v>1</v>
      </c>
      <c r="AL4">
        <v>2</v>
      </c>
      <c r="AM4">
        <v>3</v>
      </c>
      <c r="AN4">
        <v>4</v>
      </c>
      <c r="AO4">
        <v>5</v>
      </c>
      <c r="AP4">
        <v>6</v>
      </c>
      <c r="AQ4">
        <v>7</v>
      </c>
      <c r="AR4">
        <v>1</v>
      </c>
      <c r="AS4">
        <v>2</v>
      </c>
      <c r="AT4">
        <v>3</v>
      </c>
      <c r="AU4">
        <v>4</v>
      </c>
      <c r="AV4">
        <v>5</v>
      </c>
      <c r="AW4">
        <v>6</v>
      </c>
      <c r="AX4">
        <v>7</v>
      </c>
      <c r="AY4">
        <v>1</v>
      </c>
      <c r="AZ4">
        <v>2</v>
      </c>
      <c r="BA4">
        <v>3</v>
      </c>
      <c r="BB4">
        <v>4</v>
      </c>
      <c r="BC4">
        <v>5</v>
      </c>
      <c r="BD4">
        <v>6</v>
      </c>
      <c r="BE4">
        <v>7</v>
      </c>
      <c r="BF4">
        <v>1</v>
      </c>
      <c r="BG4">
        <v>2</v>
      </c>
      <c r="BH4">
        <v>3</v>
      </c>
      <c r="BI4">
        <v>4</v>
      </c>
      <c r="BJ4">
        <v>5</v>
      </c>
      <c r="BK4">
        <v>6</v>
      </c>
      <c r="BL4">
        <v>7</v>
      </c>
      <c r="BM4">
        <v>1</v>
      </c>
      <c r="BN4">
        <v>2</v>
      </c>
      <c r="BO4">
        <v>3</v>
      </c>
      <c r="BP4">
        <v>4</v>
      </c>
      <c r="BQ4">
        <v>5</v>
      </c>
      <c r="BR4">
        <v>6</v>
      </c>
      <c r="BS4">
        <v>7</v>
      </c>
      <c r="BT4">
        <v>1</v>
      </c>
      <c r="BU4">
        <v>2</v>
      </c>
      <c r="BV4">
        <v>3</v>
      </c>
      <c r="BW4">
        <v>4</v>
      </c>
      <c r="BX4">
        <v>5</v>
      </c>
      <c r="BY4">
        <v>6</v>
      </c>
      <c r="BZ4">
        <v>7</v>
      </c>
      <c r="CA4">
        <v>1</v>
      </c>
      <c r="CB4">
        <v>2</v>
      </c>
      <c r="CC4">
        <v>3</v>
      </c>
      <c r="CD4">
        <v>4</v>
      </c>
      <c r="CE4">
        <v>5</v>
      </c>
      <c r="CF4">
        <v>6</v>
      </c>
      <c r="CG4">
        <v>7</v>
      </c>
      <c r="CH4">
        <v>1</v>
      </c>
      <c r="CI4">
        <v>2</v>
      </c>
      <c r="CJ4">
        <v>3</v>
      </c>
      <c r="CK4">
        <v>4</v>
      </c>
      <c r="CL4">
        <v>5</v>
      </c>
      <c r="CM4">
        <v>6</v>
      </c>
      <c r="CN4">
        <v>7</v>
      </c>
      <c r="CO4">
        <v>1</v>
      </c>
      <c r="CP4">
        <v>2</v>
      </c>
      <c r="CQ4">
        <v>3</v>
      </c>
      <c r="CR4">
        <v>4</v>
      </c>
      <c r="CS4">
        <v>5</v>
      </c>
      <c r="CT4">
        <v>6</v>
      </c>
      <c r="CU4">
        <v>7</v>
      </c>
      <c r="CV4">
        <v>1</v>
      </c>
      <c r="CW4">
        <v>2</v>
      </c>
      <c r="CX4">
        <v>3</v>
      </c>
      <c r="CY4">
        <v>4</v>
      </c>
      <c r="CZ4">
        <v>5</v>
      </c>
      <c r="DA4">
        <v>6</v>
      </c>
      <c r="DB4">
        <v>7</v>
      </c>
      <c r="DC4">
        <v>1</v>
      </c>
      <c r="DD4">
        <v>2</v>
      </c>
      <c r="DE4">
        <v>3</v>
      </c>
      <c r="DF4">
        <v>4</v>
      </c>
      <c r="DG4">
        <v>5</v>
      </c>
      <c r="DH4">
        <v>6</v>
      </c>
      <c r="DI4">
        <v>7</v>
      </c>
      <c r="DJ4">
        <v>1</v>
      </c>
      <c r="DK4">
        <v>2</v>
      </c>
      <c r="DL4">
        <v>3</v>
      </c>
      <c r="DM4">
        <v>4</v>
      </c>
      <c r="DN4">
        <v>5</v>
      </c>
      <c r="DO4">
        <v>6</v>
      </c>
      <c r="DP4">
        <v>7</v>
      </c>
      <c r="DQ4">
        <v>1</v>
      </c>
      <c r="DR4">
        <v>2</v>
      </c>
      <c r="DS4">
        <v>3</v>
      </c>
      <c r="DT4">
        <v>4</v>
      </c>
      <c r="DU4">
        <v>5</v>
      </c>
      <c r="DV4">
        <v>6</v>
      </c>
      <c r="DW4">
        <v>7</v>
      </c>
      <c r="DX4">
        <v>1</v>
      </c>
      <c r="DY4">
        <v>2</v>
      </c>
      <c r="DZ4">
        <v>3</v>
      </c>
      <c r="EA4">
        <v>4</v>
      </c>
      <c r="EB4">
        <v>5</v>
      </c>
      <c r="EC4">
        <v>6</v>
      </c>
      <c r="ED4">
        <v>7</v>
      </c>
      <c r="EE4">
        <v>1</v>
      </c>
      <c r="EF4">
        <v>2</v>
      </c>
      <c r="EG4">
        <v>3</v>
      </c>
      <c r="EH4">
        <v>4</v>
      </c>
      <c r="EI4">
        <v>5</v>
      </c>
      <c r="EJ4">
        <v>6</v>
      </c>
      <c r="EK4">
        <v>7</v>
      </c>
      <c r="EL4">
        <v>1</v>
      </c>
      <c r="EM4">
        <v>2</v>
      </c>
      <c r="EN4">
        <v>3</v>
      </c>
      <c r="EO4">
        <v>4</v>
      </c>
      <c r="EP4">
        <v>5</v>
      </c>
      <c r="EQ4">
        <v>6</v>
      </c>
      <c r="ER4">
        <v>7</v>
      </c>
      <c r="ES4">
        <v>1</v>
      </c>
      <c r="ET4">
        <v>2</v>
      </c>
      <c r="EU4">
        <v>3</v>
      </c>
      <c r="EV4">
        <v>4</v>
      </c>
      <c r="EW4">
        <v>5</v>
      </c>
      <c r="EX4">
        <v>6</v>
      </c>
      <c r="EY4">
        <v>7</v>
      </c>
      <c r="EZ4">
        <v>1</v>
      </c>
      <c r="FA4">
        <v>2</v>
      </c>
      <c r="FB4">
        <v>3</v>
      </c>
      <c r="FC4">
        <v>4</v>
      </c>
      <c r="FD4">
        <v>5</v>
      </c>
      <c r="FE4">
        <v>6</v>
      </c>
      <c r="FF4">
        <v>7</v>
      </c>
      <c r="FG4">
        <v>1</v>
      </c>
      <c r="FH4">
        <v>2</v>
      </c>
      <c r="FI4">
        <v>3</v>
      </c>
      <c r="FJ4">
        <v>4</v>
      </c>
      <c r="FK4">
        <v>5</v>
      </c>
      <c r="FL4">
        <v>6</v>
      </c>
      <c r="FM4">
        <v>7</v>
      </c>
      <c r="FN4">
        <v>1</v>
      </c>
      <c r="FO4">
        <v>2</v>
      </c>
      <c r="FP4">
        <v>3</v>
      </c>
      <c r="FQ4">
        <v>4</v>
      </c>
      <c r="FR4">
        <v>5</v>
      </c>
      <c r="FS4">
        <v>6</v>
      </c>
      <c r="FT4">
        <v>7</v>
      </c>
      <c r="FU4">
        <v>1</v>
      </c>
      <c r="FV4">
        <v>2</v>
      </c>
      <c r="FW4">
        <v>3</v>
      </c>
      <c r="FX4">
        <v>4</v>
      </c>
      <c r="FY4">
        <v>5</v>
      </c>
      <c r="FZ4">
        <v>6</v>
      </c>
      <c r="GA4">
        <v>7</v>
      </c>
      <c r="GB4">
        <v>1</v>
      </c>
      <c r="GC4">
        <v>2</v>
      </c>
      <c r="GD4">
        <v>3</v>
      </c>
      <c r="GE4">
        <v>4</v>
      </c>
      <c r="GF4">
        <v>5</v>
      </c>
      <c r="GG4">
        <v>6</v>
      </c>
      <c r="GH4">
        <v>7</v>
      </c>
      <c r="GI4">
        <v>1</v>
      </c>
      <c r="GJ4">
        <v>2</v>
      </c>
      <c r="GK4">
        <v>3</v>
      </c>
      <c r="GL4">
        <v>4</v>
      </c>
      <c r="GM4">
        <v>5</v>
      </c>
      <c r="GN4">
        <v>6</v>
      </c>
      <c r="GO4">
        <v>7</v>
      </c>
      <c r="GP4">
        <v>1</v>
      </c>
      <c r="GQ4">
        <v>2</v>
      </c>
      <c r="GR4">
        <v>3</v>
      </c>
      <c r="GS4">
        <v>4</v>
      </c>
      <c r="GT4">
        <v>5</v>
      </c>
      <c r="GU4">
        <v>6</v>
      </c>
      <c r="GV4">
        <v>7</v>
      </c>
      <c r="GW4">
        <v>1</v>
      </c>
      <c r="GX4">
        <v>2</v>
      </c>
      <c r="GY4">
        <v>3</v>
      </c>
      <c r="GZ4">
        <v>4</v>
      </c>
      <c r="HA4">
        <v>5</v>
      </c>
      <c r="HB4">
        <v>6</v>
      </c>
      <c r="HC4">
        <v>7</v>
      </c>
      <c r="HD4">
        <v>1</v>
      </c>
      <c r="HE4">
        <v>2</v>
      </c>
      <c r="HF4">
        <v>3</v>
      </c>
      <c r="HG4">
        <v>4</v>
      </c>
      <c r="HH4">
        <v>5</v>
      </c>
      <c r="HI4">
        <v>6</v>
      </c>
      <c r="HJ4">
        <v>7</v>
      </c>
      <c r="HK4">
        <v>1</v>
      </c>
      <c r="HL4">
        <v>2</v>
      </c>
      <c r="HM4">
        <v>3</v>
      </c>
      <c r="HN4">
        <v>4</v>
      </c>
      <c r="HO4">
        <v>5</v>
      </c>
      <c r="HP4">
        <v>6</v>
      </c>
      <c r="HQ4">
        <v>7</v>
      </c>
      <c r="HR4">
        <v>1</v>
      </c>
      <c r="HS4">
        <v>2</v>
      </c>
      <c r="HT4">
        <v>3</v>
      </c>
      <c r="HU4">
        <v>4</v>
      </c>
      <c r="HV4">
        <v>5</v>
      </c>
      <c r="HW4">
        <v>6</v>
      </c>
      <c r="HX4">
        <v>7</v>
      </c>
      <c r="HY4">
        <v>1</v>
      </c>
      <c r="HZ4">
        <v>2</v>
      </c>
      <c r="IA4">
        <v>3</v>
      </c>
      <c r="IB4">
        <v>4</v>
      </c>
      <c r="IC4">
        <v>5</v>
      </c>
      <c r="ID4">
        <v>6</v>
      </c>
      <c r="IE4">
        <v>7</v>
      </c>
      <c r="IF4">
        <v>1</v>
      </c>
      <c r="IG4">
        <v>2</v>
      </c>
      <c r="IH4">
        <v>3</v>
      </c>
      <c r="II4">
        <v>4</v>
      </c>
      <c r="IJ4">
        <v>5</v>
      </c>
      <c r="IK4">
        <v>6</v>
      </c>
      <c r="IL4">
        <v>7</v>
      </c>
      <c r="IM4">
        <v>1</v>
      </c>
      <c r="IN4">
        <v>2</v>
      </c>
      <c r="IO4">
        <v>3</v>
      </c>
      <c r="IP4">
        <v>4</v>
      </c>
      <c r="IQ4">
        <v>5</v>
      </c>
      <c r="IR4">
        <v>6</v>
      </c>
      <c r="IS4">
        <v>7</v>
      </c>
      <c r="IT4">
        <v>1</v>
      </c>
      <c r="IU4">
        <v>2</v>
      </c>
      <c r="IV4">
        <v>3</v>
      </c>
      <c r="IW4">
        <v>4</v>
      </c>
      <c r="IX4">
        <v>5</v>
      </c>
      <c r="IY4">
        <v>6</v>
      </c>
      <c r="IZ4">
        <v>7</v>
      </c>
      <c r="JA4">
        <v>1</v>
      </c>
      <c r="JB4">
        <v>2</v>
      </c>
      <c r="JC4">
        <v>3</v>
      </c>
      <c r="JD4">
        <v>4</v>
      </c>
      <c r="JE4">
        <v>5</v>
      </c>
      <c r="JF4">
        <v>6</v>
      </c>
      <c r="JG4">
        <v>7</v>
      </c>
      <c r="JH4">
        <v>1</v>
      </c>
      <c r="JI4">
        <v>2</v>
      </c>
      <c r="JJ4">
        <v>3</v>
      </c>
      <c r="JK4">
        <v>4</v>
      </c>
      <c r="JL4">
        <v>5</v>
      </c>
      <c r="JM4">
        <v>6</v>
      </c>
      <c r="JN4">
        <v>7</v>
      </c>
      <c r="JO4">
        <v>1</v>
      </c>
      <c r="JP4">
        <v>2</v>
      </c>
      <c r="JQ4">
        <v>3</v>
      </c>
      <c r="JR4">
        <v>4</v>
      </c>
      <c r="JS4">
        <v>5</v>
      </c>
      <c r="JT4">
        <v>6</v>
      </c>
      <c r="JU4">
        <v>7</v>
      </c>
      <c r="JV4">
        <v>1</v>
      </c>
      <c r="JW4">
        <v>2</v>
      </c>
      <c r="JX4">
        <v>3</v>
      </c>
      <c r="JY4">
        <v>4</v>
      </c>
      <c r="JZ4">
        <v>5</v>
      </c>
      <c r="KA4">
        <v>6</v>
      </c>
      <c r="KB4">
        <v>7</v>
      </c>
      <c r="KC4">
        <v>1</v>
      </c>
      <c r="KD4">
        <v>2</v>
      </c>
      <c r="KE4">
        <v>3</v>
      </c>
      <c r="KF4">
        <v>4</v>
      </c>
      <c r="KG4">
        <v>5</v>
      </c>
      <c r="KH4">
        <v>6</v>
      </c>
      <c r="KI4">
        <v>7</v>
      </c>
      <c r="KJ4">
        <v>1</v>
      </c>
      <c r="KK4">
        <v>2</v>
      </c>
      <c r="KL4">
        <v>3</v>
      </c>
      <c r="KM4">
        <v>4</v>
      </c>
      <c r="KN4">
        <v>5</v>
      </c>
      <c r="KO4">
        <v>6</v>
      </c>
      <c r="KP4">
        <v>7</v>
      </c>
      <c r="KQ4">
        <v>1</v>
      </c>
      <c r="KR4">
        <v>2</v>
      </c>
      <c r="KS4">
        <v>3</v>
      </c>
      <c r="KT4">
        <v>4</v>
      </c>
      <c r="KU4">
        <v>5</v>
      </c>
      <c r="KV4">
        <v>6</v>
      </c>
      <c r="KW4">
        <v>7</v>
      </c>
      <c r="KX4">
        <v>1</v>
      </c>
      <c r="KY4">
        <v>2</v>
      </c>
      <c r="KZ4">
        <v>3</v>
      </c>
      <c r="LA4">
        <v>4</v>
      </c>
      <c r="LB4">
        <v>5</v>
      </c>
      <c r="LC4">
        <v>6</v>
      </c>
      <c r="LD4">
        <v>7</v>
      </c>
      <c r="LE4">
        <v>1</v>
      </c>
      <c r="LF4">
        <v>2</v>
      </c>
      <c r="LG4">
        <v>3</v>
      </c>
      <c r="LH4">
        <v>4</v>
      </c>
      <c r="LI4">
        <v>5</v>
      </c>
      <c r="LJ4">
        <v>6</v>
      </c>
      <c r="LK4">
        <v>7</v>
      </c>
      <c r="LL4">
        <v>1</v>
      </c>
      <c r="LM4">
        <v>2</v>
      </c>
      <c r="LN4">
        <v>3</v>
      </c>
      <c r="LO4">
        <v>4</v>
      </c>
      <c r="LP4">
        <v>5</v>
      </c>
      <c r="LQ4">
        <v>6</v>
      </c>
      <c r="LR4">
        <v>7</v>
      </c>
      <c r="LS4">
        <v>1</v>
      </c>
      <c r="LT4">
        <v>2</v>
      </c>
      <c r="LU4">
        <v>3</v>
      </c>
      <c r="LV4">
        <v>4</v>
      </c>
      <c r="LW4">
        <v>5</v>
      </c>
      <c r="LX4">
        <v>6</v>
      </c>
      <c r="LY4">
        <v>7</v>
      </c>
      <c r="LZ4">
        <v>1</v>
      </c>
      <c r="MA4">
        <v>2</v>
      </c>
      <c r="MB4">
        <v>3</v>
      </c>
      <c r="MC4">
        <v>4</v>
      </c>
      <c r="MD4">
        <v>5</v>
      </c>
      <c r="ME4">
        <v>6</v>
      </c>
      <c r="MF4">
        <v>7</v>
      </c>
      <c r="MG4">
        <v>1</v>
      </c>
      <c r="MH4">
        <v>2</v>
      </c>
      <c r="MI4">
        <v>3</v>
      </c>
      <c r="MJ4">
        <v>4</v>
      </c>
      <c r="MK4">
        <v>5</v>
      </c>
      <c r="ML4">
        <v>6</v>
      </c>
      <c r="MM4">
        <v>7</v>
      </c>
      <c r="MN4">
        <v>1</v>
      </c>
      <c r="MO4">
        <v>2</v>
      </c>
      <c r="MP4">
        <v>3</v>
      </c>
      <c r="MQ4">
        <v>4</v>
      </c>
      <c r="MR4">
        <v>5</v>
      </c>
      <c r="MS4">
        <v>6</v>
      </c>
      <c r="MT4">
        <v>7</v>
      </c>
      <c r="MU4">
        <v>1</v>
      </c>
      <c r="MV4">
        <v>2</v>
      </c>
      <c r="MW4">
        <v>3</v>
      </c>
      <c r="MX4">
        <v>4</v>
      </c>
      <c r="MY4">
        <v>5</v>
      </c>
      <c r="MZ4">
        <v>6</v>
      </c>
      <c r="NA4">
        <v>7</v>
      </c>
      <c r="NB4">
        <v>1</v>
      </c>
      <c r="NC4">
        <v>2</v>
      </c>
      <c r="ND4">
        <v>3</v>
      </c>
      <c r="NE4">
        <v>4</v>
      </c>
      <c r="NF4">
        <v>5</v>
      </c>
      <c r="NG4">
        <v>6</v>
      </c>
      <c r="NH4">
        <v>7</v>
      </c>
      <c r="NI4">
        <v>1</v>
      </c>
      <c r="NJ4">
        <v>2</v>
      </c>
      <c r="NK4">
        <v>3</v>
      </c>
      <c r="NL4">
        <v>4</v>
      </c>
      <c r="NM4">
        <v>5</v>
      </c>
      <c r="NN4">
        <v>6</v>
      </c>
      <c r="NO4">
        <v>7</v>
      </c>
      <c r="NP4">
        <v>1</v>
      </c>
      <c r="NQ4">
        <v>2</v>
      </c>
      <c r="NR4">
        <v>3</v>
      </c>
      <c r="NS4">
        <v>4</v>
      </c>
      <c r="NT4">
        <v>5</v>
      </c>
      <c r="NU4">
        <v>6</v>
      </c>
      <c r="NV4">
        <v>7</v>
      </c>
      <c r="NW4">
        <v>1</v>
      </c>
      <c r="NX4">
        <v>2</v>
      </c>
      <c r="NY4">
        <v>3</v>
      </c>
      <c r="NZ4">
        <v>4</v>
      </c>
      <c r="OA4">
        <v>5</v>
      </c>
      <c r="OB4">
        <v>6</v>
      </c>
      <c r="OC4">
        <v>7</v>
      </c>
      <c r="OD4">
        <v>1</v>
      </c>
      <c r="OE4">
        <v>2</v>
      </c>
      <c r="OF4">
        <v>3</v>
      </c>
      <c r="OG4">
        <v>4</v>
      </c>
      <c r="OH4">
        <v>5</v>
      </c>
      <c r="OI4">
        <v>6</v>
      </c>
      <c r="OJ4">
        <v>7</v>
      </c>
      <c r="OK4">
        <v>1</v>
      </c>
      <c r="OL4">
        <v>2</v>
      </c>
      <c r="OM4">
        <v>3</v>
      </c>
      <c r="ON4">
        <v>4</v>
      </c>
      <c r="OO4">
        <v>5</v>
      </c>
      <c r="OP4">
        <v>6</v>
      </c>
      <c r="OQ4">
        <v>7</v>
      </c>
      <c r="OR4">
        <v>1</v>
      </c>
      <c r="OS4">
        <v>2</v>
      </c>
      <c r="OT4">
        <v>3</v>
      </c>
      <c r="OU4">
        <v>4</v>
      </c>
      <c r="OV4">
        <v>5</v>
      </c>
      <c r="OW4">
        <v>6</v>
      </c>
      <c r="OX4">
        <v>7</v>
      </c>
      <c r="OY4">
        <v>1</v>
      </c>
      <c r="OZ4">
        <v>2</v>
      </c>
      <c r="PA4">
        <v>3</v>
      </c>
      <c r="PB4">
        <v>4</v>
      </c>
      <c r="PC4">
        <v>5</v>
      </c>
      <c r="PD4">
        <v>6</v>
      </c>
      <c r="PE4">
        <v>7</v>
      </c>
      <c r="PF4">
        <v>1</v>
      </c>
      <c r="PG4">
        <v>2</v>
      </c>
      <c r="PH4">
        <v>3</v>
      </c>
      <c r="PI4">
        <v>4</v>
      </c>
      <c r="PJ4">
        <v>5</v>
      </c>
      <c r="PK4">
        <v>6</v>
      </c>
      <c r="PL4">
        <v>7</v>
      </c>
      <c r="PM4">
        <v>1</v>
      </c>
      <c r="PN4">
        <v>2</v>
      </c>
      <c r="PO4">
        <v>3</v>
      </c>
      <c r="PP4">
        <v>4</v>
      </c>
      <c r="PQ4">
        <v>5</v>
      </c>
      <c r="PR4">
        <v>6</v>
      </c>
      <c r="PS4">
        <v>7</v>
      </c>
      <c r="PT4">
        <v>1</v>
      </c>
      <c r="PU4">
        <v>2</v>
      </c>
      <c r="PV4">
        <v>3</v>
      </c>
      <c r="PW4">
        <v>4</v>
      </c>
      <c r="PX4">
        <v>5</v>
      </c>
      <c r="PY4">
        <v>6</v>
      </c>
      <c r="PZ4">
        <v>7</v>
      </c>
      <c r="QA4">
        <v>1</v>
      </c>
      <c r="QB4">
        <v>2</v>
      </c>
      <c r="QC4">
        <v>3</v>
      </c>
      <c r="QD4">
        <v>4</v>
      </c>
      <c r="QE4">
        <v>5</v>
      </c>
      <c r="QF4">
        <v>6</v>
      </c>
      <c r="QG4">
        <v>7</v>
      </c>
      <c r="QH4">
        <v>1</v>
      </c>
      <c r="QI4">
        <v>2</v>
      </c>
      <c r="QJ4">
        <v>3</v>
      </c>
      <c r="QK4">
        <v>4</v>
      </c>
      <c r="QL4">
        <v>5</v>
      </c>
      <c r="QM4">
        <v>6</v>
      </c>
      <c r="QN4">
        <v>7</v>
      </c>
      <c r="QO4">
        <v>1</v>
      </c>
      <c r="QP4">
        <v>2</v>
      </c>
      <c r="QQ4">
        <v>3</v>
      </c>
      <c r="QR4">
        <v>4</v>
      </c>
      <c r="QS4">
        <v>5</v>
      </c>
      <c r="QT4">
        <v>6</v>
      </c>
      <c r="QU4">
        <v>7</v>
      </c>
      <c r="QV4">
        <v>1</v>
      </c>
      <c r="QW4">
        <v>2</v>
      </c>
      <c r="QX4">
        <v>3</v>
      </c>
      <c r="QY4">
        <v>4</v>
      </c>
      <c r="QZ4">
        <v>5</v>
      </c>
      <c r="RA4">
        <v>6</v>
      </c>
      <c r="RB4">
        <v>7</v>
      </c>
      <c r="RC4">
        <v>1</v>
      </c>
      <c r="RD4">
        <v>2</v>
      </c>
      <c r="RE4">
        <v>3</v>
      </c>
      <c r="RF4">
        <v>4</v>
      </c>
      <c r="RG4">
        <v>5</v>
      </c>
      <c r="RH4">
        <v>6</v>
      </c>
      <c r="RI4">
        <v>7</v>
      </c>
      <c r="RJ4">
        <v>1</v>
      </c>
      <c r="RK4">
        <v>2</v>
      </c>
      <c r="RL4">
        <v>3</v>
      </c>
      <c r="RM4">
        <v>4</v>
      </c>
      <c r="RN4">
        <v>5</v>
      </c>
      <c r="RO4">
        <v>6</v>
      </c>
      <c r="RP4">
        <v>7</v>
      </c>
      <c r="RQ4">
        <v>1</v>
      </c>
      <c r="RR4">
        <v>2</v>
      </c>
      <c r="RS4">
        <v>3</v>
      </c>
      <c r="RT4">
        <v>4</v>
      </c>
      <c r="RU4">
        <v>5</v>
      </c>
      <c r="RV4">
        <v>6</v>
      </c>
      <c r="RW4">
        <v>7</v>
      </c>
      <c r="RX4">
        <v>1</v>
      </c>
      <c r="RY4">
        <v>2</v>
      </c>
      <c r="RZ4">
        <v>3</v>
      </c>
      <c r="SA4">
        <v>4</v>
      </c>
      <c r="SB4">
        <v>5</v>
      </c>
      <c r="SC4">
        <v>6</v>
      </c>
      <c r="SD4">
        <v>7</v>
      </c>
      <c r="SE4">
        <v>1</v>
      </c>
      <c r="SF4">
        <v>2</v>
      </c>
      <c r="SG4">
        <v>3</v>
      </c>
      <c r="SH4">
        <v>4</v>
      </c>
      <c r="SI4">
        <v>5</v>
      </c>
      <c r="SJ4">
        <v>6</v>
      </c>
      <c r="SK4">
        <v>7</v>
      </c>
      <c r="SL4">
        <v>1</v>
      </c>
      <c r="SM4">
        <v>2</v>
      </c>
      <c r="SN4">
        <v>3</v>
      </c>
      <c r="SO4">
        <v>4</v>
      </c>
      <c r="SP4">
        <v>5</v>
      </c>
      <c r="SQ4">
        <v>6</v>
      </c>
      <c r="SR4">
        <v>7</v>
      </c>
      <c r="SS4">
        <v>1</v>
      </c>
      <c r="ST4">
        <v>2</v>
      </c>
      <c r="SU4">
        <v>3</v>
      </c>
      <c r="SV4">
        <v>4</v>
      </c>
      <c r="SW4">
        <v>5</v>
      </c>
      <c r="SX4">
        <v>6</v>
      </c>
      <c r="SY4">
        <v>7</v>
      </c>
      <c r="SZ4">
        <v>1</v>
      </c>
      <c r="TA4">
        <v>2</v>
      </c>
      <c r="TB4">
        <v>3</v>
      </c>
      <c r="TC4">
        <v>4</v>
      </c>
      <c r="TD4">
        <v>5</v>
      </c>
      <c r="TE4">
        <v>6</v>
      </c>
      <c r="TF4">
        <v>7</v>
      </c>
      <c r="TG4">
        <v>1</v>
      </c>
      <c r="TH4">
        <v>2</v>
      </c>
      <c r="TI4">
        <v>3</v>
      </c>
      <c r="TJ4">
        <v>4</v>
      </c>
      <c r="TK4">
        <v>5</v>
      </c>
      <c r="TL4">
        <v>6</v>
      </c>
      <c r="TM4">
        <v>7</v>
      </c>
      <c r="TN4">
        <v>1</v>
      </c>
      <c r="TO4">
        <v>2</v>
      </c>
      <c r="TP4">
        <v>3</v>
      </c>
      <c r="TQ4">
        <v>4</v>
      </c>
      <c r="TR4">
        <v>5</v>
      </c>
      <c r="TS4">
        <v>6</v>
      </c>
      <c r="TT4">
        <v>7</v>
      </c>
      <c r="TU4">
        <v>1</v>
      </c>
      <c r="TV4">
        <v>2</v>
      </c>
      <c r="TW4">
        <v>3</v>
      </c>
      <c r="TX4">
        <v>4</v>
      </c>
      <c r="TY4">
        <v>5</v>
      </c>
      <c r="TZ4">
        <v>6</v>
      </c>
      <c r="UA4">
        <v>7</v>
      </c>
      <c r="UB4">
        <v>1</v>
      </c>
      <c r="UC4">
        <v>2</v>
      </c>
      <c r="UD4">
        <v>3</v>
      </c>
      <c r="UE4">
        <v>4</v>
      </c>
      <c r="UF4">
        <v>5</v>
      </c>
      <c r="UG4">
        <v>6</v>
      </c>
      <c r="UH4">
        <v>7</v>
      </c>
      <c r="UI4">
        <v>1</v>
      </c>
      <c r="UJ4">
        <v>2</v>
      </c>
      <c r="UK4">
        <v>3</v>
      </c>
      <c r="UL4">
        <v>4</v>
      </c>
      <c r="UM4">
        <v>5</v>
      </c>
      <c r="UN4">
        <v>6</v>
      </c>
      <c r="UO4">
        <v>7</v>
      </c>
      <c r="UP4">
        <v>1</v>
      </c>
      <c r="UQ4">
        <v>2</v>
      </c>
      <c r="UR4">
        <v>3</v>
      </c>
      <c r="US4">
        <v>4</v>
      </c>
      <c r="UT4">
        <v>5</v>
      </c>
      <c r="UU4">
        <v>6</v>
      </c>
      <c r="UV4">
        <v>7</v>
      </c>
      <c r="UW4">
        <v>1</v>
      </c>
      <c r="UX4">
        <v>2</v>
      </c>
      <c r="UY4">
        <v>3</v>
      </c>
      <c r="UZ4">
        <v>4</v>
      </c>
      <c r="VA4">
        <v>5</v>
      </c>
      <c r="VB4">
        <v>6</v>
      </c>
      <c r="VC4">
        <v>7</v>
      </c>
      <c r="VD4">
        <v>1</v>
      </c>
      <c r="VE4">
        <v>2</v>
      </c>
      <c r="VF4">
        <v>3</v>
      </c>
      <c r="VG4">
        <v>4</v>
      </c>
      <c r="VH4">
        <v>5</v>
      </c>
      <c r="VI4">
        <v>6</v>
      </c>
      <c r="VJ4">
        <v>7</v>
      </c>
      <c r="VK4">
        <v>1</v>
      </c>
      <c r="VL4">
        <v>2</v>
      </c>
      <c r="VM4">
        <v>3</v>
      </c>
      <c r="VN4">
        <v>4</v>
      </c>
      <c r="VO4">
        <v>5</v>
      </c>
      <c r="VP4">
        <v>6</v>
      </c>
      <c r="VQ4">
        <v>7</v>
      </c>
      <c r="VR4">
        <v>1</v>
      </c>
      <c r="VS4">
        <v>2</v>
      </c>
      <c r="VT4">
        <v>3</v>
      </c>
      <c r="VU4">
        <v>4</v>
      </c>
      <c r="VV4">
        <v>5</v>
      </c>
      <c r="VW4">
        <v>6</v>
      </c>
      <c r="VX4">
        <v>7</v>
      </c>
      <c r="VY4">
        <v>1</v>
      </c>
      <c r="VZ4">
        <v>2</v>
      </c>
      <c r="WA4">
        <v>3</v>
      </c>
      <c r="WB4">
        <v>4</v>
      </c>
      <c r="WC4">
        <v>5</v>
      </c>
      <c r="WD4">
        <v>6</v>
      </c>
      <c r="WE4">
        <v>7</v>
      </c>
      <c r="WF4">
        <v>1</v>
      </c>
      <c r="WG4">
        <v>2</v>
      </c>
      <c r="WH4">
        <v>3</v>
      </c>
      <c r="WI4">
        <v>4</v>
      </c>
      <c r="WJ4">
        <v>5</v>
      </c>
      <c r="WK4">
        <v>6</v>
      </c>
      <c r="WL4">
        <v>7</v>
      </c>
      <c r="WM4">
        <v>1</v>
      </c>
      <c r="WN4">
        <v>2</v>
      </c>
      <c r="WO4">
        <v>3</v>
      </c>
      <c r="WP4">
        <v>4</v>
      </c>
      <c r="WQ4">
        <v>5</v>
      </c>
      <c r="WR4">
        <v>6</v>
      </c>
      <c r="WS4">
        <v>7</v>
      </c>
      <c r="WT4">
        <v>1</v>
      </c>
      <c r="WU4">
        <v>2</v>
      </c>
      <c r="WV4">
        <v>3</v>
      </c>
      <c r="WW4">
        <v>4</v>
      </c>
      <c r="WX4">
        <v>5</v>
      </c>
      <c r="WY4">
        <v>6</v>
      </c>
      <c r="WZ4">
        <v>7</v>
      </c>
      <c r="XA4">
        <v>1</v>
      </c>
      <c r="XB4">
        <v>2</v>
      </c>
      <c r="XC4">
        <v>3</v>
      </c>
      <c r="XD4">
        <v>4</v>
      </c>
      <c r="XE4">
        <v>5</v>
      </c>
      <c r="XF4">
        <v>6</v>
      </c>
      <c r="XG4">
        <v>7</v>
      </c>
      <c r="XH4">
        <v>1</v>
      </c>
      <c r="XI4">
        <v>2</v>
      </c>
      <c r="XJ4">
        <v>3</v>
      </c>
      <c r="XK4">
        <v>4</v>
      </c>
      <c r="XL4">
        <v>5</v>
      </c>
      <c r="XM4">
        <v>6</v>
      </c>
      <c r="XN4">
        <v>7</v>
      </c>
      <c r="XO4">
        <v>1</v>
      </c>
      <c r="XP4">
        <v>2</v>
      </c>
      <c r="XQ4">
        <v>3</v>
      </c>
      <c r="XR4">
        <v>4</v>
      </c>
      <c r="XS4">
        <v>5</v>
      </c>
      <c r="XT4">
        <v>6</v>
      </c>
      <c r="XU4">
        <v>7</v>
      </c>
      <c r="XV4">
        <v>1</v>
      </c>
      <c r="XW4">
        <v>2</v>
      </c>
      <c r="XX4">
        <v>3</v>
      </c>
      <c r="XY4">
        <v>4</v>
      </c>
      <c r="XZ4">
        <v>5</v>
      </c>
      <c r="YA4">
        <v>6</v>
      </c>
      <c r="YB4">
        <v>7</v>
      </c>
      <c r="YC4">
        <v>1</v>
      </c>
      <c r="YD4">
        <v>2</v>
      </c>
      <c r="YE4">
        <v>3</v>
      </c>
      <c r="YF4">
        <v>4</v>
      </c>
      <c r="YG4">
        <v>5</v>
      </c>
      <c r="YH4">
        <v>6</v>
      </c>
      <c r="YI4">
        <v>7</v>
      </c>
      <c r="YJ4">
        <v>1</v>
      </c>
      <c r="YK4">
        <v>2</v>
      </c>
      <c r="YL4">
        <v>3</v>
      </c>
      <c r="YM4">
        <v>4</v>
      </c>
      <c r="YN4">
        <v>5</v>
      </c>
      <c r="YO4">
        <v>6</v>
      </c>
      <c r="YP4">
        <v>7</v>
      </c>
      <c r="YQ4">
        <v>1</v>
      </c>
      <c r="YR4">
        <v>2</v>
      </c>
      <c r="YS4">
        <v>3</v>
      </c>
      <c r="YT4">
        <v>4</v>
      </c>
      <c r="YU4">
        <v>5</v>
      </c>
      <c r="YV4">
        <v>6</v>
      </c>
      <c r="YW4">
        <v>7</v>
      </c>
      <c r="YX4">
        <v>1</v>
      </c>
      <c r="YY4">
        <v>2</v>
      </c>
      <c r="YZ4">
        <v>3</v>
      </c>
      <c r="ZA4">
        <v>4</v>
      </c>
      <c r="ZB4">
        <v>5</v>
      </c>
      <c r="ZC4">
        <v>6</v>
      </c>
      <c r="ZD4">
        <v>7</v>
      </c>
      <c r="ZE4">
        <v>1</v>
      </c>
      <c r="ZF4">
        <v>2</v>
      </c>
      <c r="ZG4">
        <v>3</v>
      </c>
      <c r="ZH4">
        <v>4</v>
      </c>
      <c r="ZI4">
        <v>5</v>
      </c>
      <c r="ZJ4">
        <v>6</v>
      </c>
      <c r="ZK4">
        <v>7</v>
      </c>
      <c r="ZL4">
        <v>1</v>
      </c>
      <c r="ZM4">
        <v>2</v>
      </c>
      <c r="ZN4">
        <v>3</v>
      </c>
      <c r="ZO4">
        <v>4</v>
      </c>
      <c r="ZP4">
        <v>5</v>
      </c>
      <c r="ZQ4">
        <v>6</v>
      </c>
      <c r="ZR4">
        <v>7</v>
      </c>
      <c r="ZS4">
        <v>1</v>
      </c>
      <c r="ZT4">
        <v>2</v>
      </c>
      <c r="ZU4">
        <v>3</v>
      </c>
      <c r="ZV4">
        <v>4</v>
      </c>
      <c r="ZW4">
        <v>5</v>
      </c>
      <c r="ZX4">
        <v>6</v>
      </c>
      <c r="ZY4">
        <v>7</v>
      </c>
      <c r="ZZ4">
        <v>1</v>
      </c>
      <c r="AAA4">
        <v>2</v>
      </c>
      <c r="AAB4">
        <v>3</v>
      </c>
      <c r="AAC4">
        <v>4</v>
      </c>
      <c r="AAD4">
        <v>5</v>
      </c>
      <c r="AAE4">
        <v>6</v>
      </c>
      <c r="AAF4">
        <v>7</v>
      </c>
      <c r="AAG4">
        <v>1</v>
      </c>
      <c r="AAH4">
        <v>2</v>
      </c>
      <c r="AAI4">
        <v>3</v>
      </c>
      <c r="AAJ4">
        <v>4</v>
      </c>
      <c r="AAK4">
        <v>5</v>
      </c>
      <c r="AAL4">
        <v>6</v>
      </c>
      <c r="AAM4">
        <v>7</v>
      </c>
      <c r="AAN4">
        <v>1</v>
      </c>
      <c r="AAO4">
        <v>2</v>
      </c>
      <c r="AAP4">
        <v>3</v>
      </c>
      <c r="AAQ4">
        <v>4</v>
      </c>
      <c r="AAR4">
        <v>5</v>
      </c>
      <c r="AAS4">
        <v>6</v>
      </c>
      <c r="AAT4">
        <v>7</v>
      </c>
      <c r="AAU4">
        <v>1</v>
      </c>
      <c r="AAV4">
        <v>2</v>
      </c>
      <c r="AAW4">
        <v>3</v>
      </c>
      <c r="AAX4">
        <v>4</v>
      </c>
      <c r="AAY4">
        <v>5</v>
      </c>
      <c r="AAZ4">
        <v>6</v>
      </c>
      <c r="ABA4">
        <v>7</v>
      </c>
      <c r="ABB4">
        <v>1</v>
      </c>
      <c r="ABC4">
        <v>2</v>
      </c>
      <c r="ABD4">
        <v>3</v>
      </c>
      <c r="ABE4">
        <v>4</v>
      </c>
      <c r="ABF4">
        <v>5</v>
      </c>
      <c r="ABG4">
        <v>6</v>
      </c>
      <c r="ABH4">
        <v>7</v>
      </c>
      <c r="ABI4">
        <v>1</v>
      </c>
      <c r="ABJ4">
        <v>2</v>
      </c>
      <c r="ABK4">
        <v>3</v>
      </c>
      <c r="ABL4">
        <v>4</v>
      </c>
      <c r="ABM4">
        <v>5</v>
      </c>
      <c r="ABN4">
        <v>6</v>
      </c>
      <c r="ABO4">
        <v>7</v>
      </c>
      <c r="ABP4">
        <v>1</v>
      </c>
      <c r="ABQ4">
        <v>2</v>
      </c>
      <c r="ABR4">
        <v>3</v>
      </c>
      <c r="ABS4">
        <v>4</v>
      </c>
      <c r="ABT4">
        <v>5</v>
      </c>
      <c r="ABU4">
        <v>6</v>
      </c>
      <c r="ABV4">
        <v>7</v>
      </c>
      <c r="ABW4">
        <v>1</v>
      </c>
      <c r="ABX4">
        <v>2</v>
      </c>
      <c r="ABY4">
        <v>3</v>
      </c>
      <c r="ABZ4">
        <v>4</v>
      </c>
      <c r="ACA4">
        <v>5</v>
      </c>
      <c r="ACB4">
        <v>6</v>
      </c>
      <c r="ACC4">
        <v>7</v>
      </c>
      <c r="ACD4">
        <v>1</v>
      </c>
      <c r="ACE4">
        <v>2</v>
      </c>
      <c r="ACF4">
        <v>3</v>
      </c>
      <c r="ACG4">
        <v>4</v>
      </c>
      <c r="ACH4">
        <v>5</v>
      </c>
      <c r="ACI4">
        <v>6</v>
      </c>
      <c r="ACJ4">
        <v>7</v>
      </c>
      <c r="ACK4">
        <v>1</v>
      </c>
      <c r="ACL4">
        <v>2</v>
      </c>
      <c r="ACM4">
        <v>3</v>
      </c>
      <c r="ACN4">
        <v>4</v>
      </c>
      <c r="ACO4">
        <v>5</v>
      </c>
      <c r="ACP4">
        <v>6</v>
      </c>
      <c r="ACQ4">
        <v>7</v>
      </c>
      <c r="ACR4">
        <v>1</v>
      </c>
      <c r="ACS4">
        <v>2</v>
      </c>
      <c r="ACT4">
        <v>3</v>
      </c>
      <c r="ACU4">
        <v>4</v>
      </c>
      <c r="ACV4">
        <v>5</v>
      </c>
      <c r="ACW4">
        <v>6</v>
      </c>
      <c r="ACX4">
        <v>7</v>
      </c>
      <c r="ACY4">
        <v>1</v>
      </c>
      <c r="ACZ4">
        <v>2</v>
      </c>
      <c r="ADA4">
        <v>3</v>
      </c>
      <c r="ADB4">
        <v>4</v>
      </c>
      <c r="ADC4">
        <v>5</v>
      </c>
      <c r="ADD4">
        <v>6</v>
      </c>
      <c r="ADE4">
        <v>7</v>
      </c>
      <c r="ADF4">
        <v>1</v>
      </c>
      <c r="ADG4">
        <v>2</v>
      </c>
      <c r="ADH4">
        <v>3</v>
      </c>
      <c r="ADI4">
        <v>4</v>
      </c>
      <c r="ADJ4">
        <v>5</v>
      </c>
      <c r="ADK4">
        <v>6</v>
      </c>
      <c r="ADL4">
        <v>7</v>
      </c>
      <c r="ADM4">
        <v>1</v>
      </c>
      <c r="ADN4">
        <v>2</v>
      </c>
      <c r="ADO4">
        <v>3</v>
      </c>
      <c r="ADP4">
        <v>4</v>
      </c>
    </row>
    <row r="5" spans="1:796">
      <c r="A5" t="s">
        <v>4325</v>
      </c>
      <c r="B5">
        <v>5</v>
      </c>
      <c r="C5" t="s">
        <v>4294</v>
      </c>
      <c r="D5">
        <v>40</v>
      </c>
      <c r="E5" t="s">
        <v>587</v>
      </c>
      <c r="F5" t="s">
        <v>588</v>
      </c>
      <c r="G5" t="s">
        <v>589</v>
      </c>
      <c r="H5" t="s">
        <v>595</v>
      </c>
      <c r="I5" t="s">
        <v>593</v>
      </c>
      <c r="J5" t="s">
        <v>594</v>
      </c>
      <c r="K5" t="s">
        <v>586</v>
      </c>
      <c r="L5" t="s">
        <v>587</v>
      </c>
      <c r="M5" t="s">
        <v>588</v>
      </c>
      <c r="N5" t="s">
        <v>589</v>
      </c>
      <c r="O5" t="s">
        <v>595</v>
      </c>
      <c r="P5" t="s">
        <v>593</v>
      </c>
      <c r="Q5" t="s">
        <v>594</v>
      </c>
      <c r="R5" t="s">
        <v>586</v>
      </c>
      <c r="S5" t="s">
        <v>587</v>
      </c>
      <c r="T5" t="s">
        <v>588</v>
      </c>
      <c r="U5" t="s">
        <v>589</v>
      </c>
      <c r="V5" t="s">
        <v>595</v>
      </c>
      <c r="W5" t="s">
        <v>593</v>
      </c>
      <c r="X5" t="s">
        <v>594</v>
      </c>
      <c r="Y5" t="s">
        <v>586</v>
      </c>
      <c r="Z5" t="s">
        <v>587</v>
      </c>
      <c r="AA5" t="s">
        <v>588</v>
      </c>
      <c r="AB5" t="s">
        <v>589</v>
      </c>
      <c r="AC5" t="s">
        <v>595</v>
      </c>
      <c r="AD5" t="s">
        <v>593</v>
      </c>
      <c r="AE5" t="s">
        <v>594</v>
      </c>
      <c r="AF5" t="s">
        <v>586</v>
      </c>
      <c r="AG5" t="s">
        <v>587</v>
      </c>
      <c r="AH5" t="s">
        <v>588</v>
      </c>
      <c r="AI5" t="s">
        <v>589</v>
      </c>
      <c r="AJ5" t="s">
        <v>595</v>
      </c>
      <c r="AK5" t="s">
        <v>593</v>
      </c>
      <c r="AL5" t="s">
        <v>594</v>
      </c>
      <c r="AM5" t="s">
        <v>586</v>
      </c>
      <c r="AN5" t="s">
        <v>587</v>
      </c>
      <c r="AO5" t="s">
        <v>588</v>
      </c>
      <c r="AP5" t="s">
        <v>589</v>
      </c>
      <c r="AQ5" t="s">
        <v>595</v>
      </c>
      <c r="AR5" t="s">
        <v>593</v>
      </c>
      <c r="AS5" t="s">
        <v>594</v>
      </c>
      <c r="AT5" t="s">
        <v>586</v>
      </c>
      <c r="AU5" t="s">
        <v>587</v>
      </c>
      <c r="AV5" t="s">
        <v>588</v>
      </c>
      <c r="AW5" t="s">
        <v>589</v>
      </c>
      <c r="AX5" t="s">
        <v>595</v>
      </c>
      <c r="AY5" t="s">
        <v>593</v>
      </c>
      <c r="AZ5" t="s">
        <v>594</v>
      </c>
      <c r="BA5" t="s">
        <v>586</v>
      </c>
      <c r="BB5" t="s">
        <v>587</v>
      </c>
      <c r="BC5" t="s">
        <v>588</v>
      </c>
      <c r="BD5" t="s">
        <v>589</v>
      </c>
      <c r="BE5" t="s">
        <v>595</v>
      </c>
      <c r="BF5" t="s">
        <v>593</v>
      </c>
      <c r="BG5" t="s">
        <v>594</v>
      </c>
      <c r="BH5" t="s">
        <v>586</v>
      </c>
      <c r="BI5" t="s">
        <v>587</v>
      </c>
      <c r="BJ5" t="s">
        <v>588</v>
      </c>
      <c r="BK5" t="s">
        <v>589</v>
      </c>
      <c r="BL5" t="s">
        <v>595</v>
      </c>
      <c r="BM5" t="s">
        <v>593</v>
      </c>
      <c r="BN5" t="s">
        <v>594</v>
      </c>
      <c r="BO5" t="s">
        <v>586</v>
      </c>
      <c r="BP5" t="s">
        <v>587</v>
      </c>
      <c r="BQ5" t="s">
        <v>588</v>
      </c>
      <c r="BR5" t="s">
        <v>589</v>
      </c>
      <c r="BS5" t="s">
        <v>595</v>
      </c>
      <c r="BT5" t="s">
        <v>593</v>
      </c>
      <c r="BU5" t="s">
        <v>594</v>
      </c>
      <c r="BV5" t="s">
        <v>586</v>
      </c>
      <c r="BW5" t="s">
        <v>587</v>
      </c>
      <c r="BX5" t="s">
        <v>588</v>
      </c>
      <c r="BY5" t="s">
        <v>589</v>
      </c>
      <c r="BZ5" t="s">
        <v>595</v>
      </c>
      <c r="CA5" t="s">
        <v>593</v>
      </c>
      <c r="CB5" t="s">
        <v>594</v>
      </c>
      <c r="CC5" t="s">
        <v>586</v>
      </c>
      <c r="CD5" t="s">
        <v>587</v>
      </c>
      <c r="CE5" t="s">
        <v>588</v>
      </c>
      <c r="CF5" t="s">
        <v>589</v>
      </c>
      <c r="CG5" t="s">
        <v>595</v>
      </c>
      <c r="CH5" t="s">
        <v>593</v>
      </c>
      <c r="CI5" t="s">
        <v>594</v>
      </c>
      <c r="CJ5" t="s">
        <v>586</v>
      </c>
      <c r="CK5" t="s">
        <v>587</v>
      </c>
      <c r="CL5" t="s">
        <v>588</v>
      </c>
      <c r="CM5" t="s">
        <v>589</v>
      </c>
      <c r="CN5" t="s">
        <v>595</v>
      </c>
      <c r="CO5" t="s">
        <v>593</v>
      </c>
      <c r="CP5" t="s">
        <v>594</v>
      </c>
      <c r="CQ5" t="s">
        <v>586</v>
      </c>
      <c r="CR5" t="s">
        <v>587</v>
      </c>
      <c r="CS5" t="s">
        <v>588</v>
      </c>
      <c r="CT5" t="s">
        <v>589</v>
      </c>
      <c r="CU5" t="s">
        <v>595</v>
      </c>
      <c r="CV5" t="s">
        <v>593</v>
      </c>
      <c r="CW5" t="s">
        <v>594</v>
      </c>
      <c r="CX5" t="s">
        <v>586</v>
      </c>
      <c r="CY5" t="s">
        <v>587</v>
      </c>
      <c r="CZ5" t="s">
        <v>588</v>
      </c>
      <c r="DA5" t="s">
        <v>589</v>
      </c>
      <c r="DB5" t="s">
        <v>595</v>
      </c>
      <c r="DC5" t="s">
        <v>593</v>
      </c>
      <c r="DD5" t="s">
        <v>594</v>
      </c>
      <c r="DE5" t="s">
        <v>586</v>
      </c>
      <c r="DF5" t="s">
        <v>587</v>
      </c>
      <c r="DG5" t="s">
        <v>588</v>
      </c>
      <c r="DH5" t="s">
        <v>589</v>
      </c>
      <c r="DI5" t="s">
        <v>595</v>
      </c>
      <c r="DJ5" t="s">
        <v>593</v>
      </c>
      <c r="DK5" t="s">
        <v>594</v>
      </c>
      <c r="DL5" t="s">
        <v>586</v>
      </c>
      <c r="DM5" t="s">
        <v>587</v>
      </c>
      <c r="DN5" t="s">
        <v>588</v>
      </c>
      <c r="DO5" t="s">
        <v>589</v>
      </c>
      <c r="DP5" t="s">
        <v>595</v>
      </c>
      <c r="DQ5" t="s">
        <v>593</v>
      </c>
      <c r="DR5" t="s">
        <v>594</v>
      </c>
      <c r="DS5" t="s">
        <v>586</v>
      </c>
      <c r="DT5" t="s">
        <v>587</v>
      </c>
      <c r="DU5" t="s">
        <v>588</v>
      </c>
      <c r="DV5" t="s">
        <v>589</v>
      </c>
      <c r="DW5" t="s">
        <v>595</v>
      </c>
      <c r="DX5" t="s">
        <v>593</v>
      </c>
      <c r="DY5" t="s">
        <v>594</v>
      </c>
      <c r="DZ5" t="s">
        <v>586</v>
      </c>
      <c r="EA5" t="s">
        <v>587</v>
      </c>
      <c r="EB5" t="s">
        <v>588</v>
      </c>
      <c r="EC5" t="s">
        <v>589</v>
      </c>
      <c r="ED5" t="s">
        <v>595</v>
      </c>
      <c r="EE5" t="s">
        <v>593</v>
      </c>
      <c r="EF5" t="s">
        <v>594</v>
      </c>
      <c r="EG5" t="s">
        <v>586</v>
      </c>
      <c r="EH5" t="s">
        <v>587</v>
      </c>
      <c r="EI5" t="s">
        <v>588</v>
      </c>
      <c r="EJ5" t="s">
        <v>589</v>
      </c>
      <c r="EK5" t="s">
        <v>595</v>
      </c>
      <c r="EL5" t="s">
        <v>593</v>
      </c>
      <c r="EM5" t="s">
        <v>594</v>
      </c>
      <c r="EN5" t="s">
        <v>586</v>
      </c>
      <c r="EO5" t="s">
        <v>587</v>
      </c>
      <c r="EP5" t="s">
        <v>588</v>
      </c>
      <c r="EQ5" t="s">
        <v>589</v>
      </c>
      <c r="ER5" t="s">
        <v>595</v>
      </c>
      <c r="ES5" t="s">
        <v>593</v>
      </c>
      <c r="ET5" t="s">
        <v>594</v>
      </c>
      <c r="EU5" t="s">
        <v>586</v>
      </c>
      <c r="EV5" t="s">
        <v>587</v>
      </c>
      <c r="EW5" t="s">
        <v>588</v>
      </c>
      <c r="EX5" t="s">
        <v>589</v>
      </c>
      <c r="EY5" t="s">
        <v>595</v>
      </c>
      <c r="EZ5" t="s">
        <v>593</v>
      </c>
      <c r="FA5" t="s">
        <v>594</v>
      </c>
      <c r="FB5" t="s">
        <v>586</v>
      </c>
      <c r="FC5" t="s">
        <v>587</v>
      </c>
      <c r="FD5" t="s">
        <v>588</v>
      </c>
      <c r="FE5" t="s">
        <v>589</v>
      </c>
      <c r="FF5" t="s">
        <v>595</v>
      </c>
      <c r="FG5" t="s">
        <v>593</v>
      </c>
      <c r="FH5" t="s">
        <v>594</v>
      </c>
      <c r="FI5" t="s">
        <v>586</v>
      </c>
      <c r="FJ5" t="s">
        <v>587</v>
      </c>
      <c r="FK5" t="s">
        <v>588</v>
      </c>
      <c r="FL5" t="s">
        <v>589</v>
      </c>
      <c r="FM5" t="s">
        <v>595</v>
      </c>
      <c r="FN5" t="s">
        <v>593</v>
      </c>
      <c r="FO5" t="s">
        <v>594</v>
      </c>
      <c r="FP5" t="s">
        <v>586</v>
      </c>
      <c r="FQ5" t="s">
        <v>587</v>
      </c>
      <c r="FR5" t="s">
        <v>588</v>
      </c>
      <c r="FS5" t="s">
        <v>589</v>
      </c>
      <c r="FT5" t="s">
        <v>595</v>
      </c>
      <c r="FU5" t="s">
        <v>593</v>
      </c>
      <c r="FV5" t="s">
        <v>594</v>
      </c>
      <c r="FW5" t="s">
        <v>586</v>
      </c>
      <c r="FX5" t="s">
        <v>587</v>
      </c>
      <c r="FY5" t="s">
        <v>588</v>
      </c>
      <c r="FZ5" t="s">
        <v>589</v>
      </c>
      <c r="GA5" t="s">
        <v>595</v>
      </c>
      <c r="GB5" t="s">
        <v>593</v>
      </c>
      <c r="GC5" t="s">
        <v>594</v>
      </c>
      <c r="GD5" t="s">
        <v>586</v>
      </c>
      <c r="GE5" t="s">
        <v>587</v>
      </c>
      <c r="GF5" t="s">
        <v>588</v>
      </c>
      <c r="GG5" t="s">
        <v>589</v>
      </c>
      <c r="GH5" t="s">
        <v>595</v>
      </c>
      <c r="GI5" t="s">
        <v>593</v>
      </c>
      <c r="GJ5" t="s">
        <v>594</v>
      </c>
      <c r="GK5" t="s">
        <v>586</v>
      </c>
      <c r="GL5" t="s">
        <v>587</v>
      </c>
      <c r="GM5" t="s">
        <v>588</v>
      </c>
      <c r="GN5" t="s">
        <v>589</v>
      </c>
      <c r="GO5" t="s">
        <v>595</v>
      </c>
      <c r="GP5" t="s">
        <v>593</v>
      </c>
      <c r="GQ5" t="s">
        <v>594</v>
      </c>
      <c r="GR5" t="s">
        <v>586</v>
      </c>
      <c r="GS5" t="s">
        <v>587</v>
      </c>
      <c r="GT5" t="s">
        <v>588</v>
      </c>
      <c r="GU5" t="s">
        <v>589</v>
      </c>
      <c r="GV5" t="s">
        <v>595</v>
      </c>
      <c r="GW5" t="s">
        <v>593</v>
      </c>
      <c r="GX5" t="s">
        <v>594</v>
      </c>
      <c r="GY5" t="s">
        <v>586</v>
      </c>
      <c r="GZ5" t="s">
        <v>587</v>
      </c>
      <c r="HA5" t="s">
        <v>588</v>
      </c>
      <c r="HB5" t="s">
        <v>589</v>
      </c>
      <c r="HC5" t="s">
        <v>595</v>
      </c>
      <c r="HD5" t="s">
        <v>593</v>
      </c>
      <c r="HE5" t="s">
        <v>594</v>
      </c>
      <c r="HF5" t="s">
        <v>586</v>
      </c>
      <c r="HG5" t="s">
        <v>587</v>
      </c>
      <c r="HH5" t="s">
        <v>588</v>
      </c>
      <c r="HI5" t="s">
        <v>589</v>
      </c>
      <c r="HJ5" t="s">
        <v>595</v>
      </c>
      <c r="HK5" t="s">
        <v>593</v>
      </c>
      <c r="HL5" t="s">
        <v>594</v>
      </c>
      <c r="HM5" t="s">
        <v>586</v>
      </c>
      <c r="HN5" t="s">
        <v>587</v>
      </c>
      <c r="HO5" t="s">
        <v>588</v>
      </c>
      <c r="HP5" t="s">
        <v>589</v>
      </c>
      <c r="HQ5" t="s">
        <v>595</v>
      </c>
      <c r="HR5" t="s">
        <v>593</v>
      </c>
      <c r="HS5" t="s">
        <v>594</v>
      </c>
      <c r="HT5" t="s">
        <v>586</v>
      </c>
      <c r="HU5" t="s">
        <v>587</v>
      </c>
      <c r="HV5" t="s">
        <v>588</v>
      </c>
      <c r="HW5" t="s">
        <v>589</v>
      </c>
      <c r="HX5" t="s">
        <v>595</v>
      </c>
      <c r="HY5" t="s">
        <v>593</v>
      </c>
      <c r="HZ5" t="s">
        <v>594</v>
      </c>
      <c r="IA5" t="s">
        <v>586</v>
      </c>
      <c r="IB5" t="s">
        <v>587</v>
      </c>
      <c r="IC5" t="s">
        <v>588</v>
      </c>
      <c r="ID5" t="s">
        <v>589</v>
      </c>
      <c r="IE5" t="s">
        <v>595</v>
      </c>
      <c r="IF5" t="s">
        <v>593</v>
      </c>
      <c r="IG5" t="s">
        <v>594</v>
      </c>
      <c r="IH5" t="s">
        <v>586</v>
      </c>
      <c r="II5" t="s">
        <v>587</v>
      </c>
      <c r="IJ5" t="s">
        <v>588</v>
      </c>
      <c r="IK5" t="s">
        <v>589</v>
      </c>
      <c r="IL5" t="s">
        <v>595</v>
      </c>
      <c r="IM5" t="s">
        <v>593</v>
      </c>
      <c r="IN5" t="s">
        <v>594</v>
      </c>
      <c r="IO5" t="s">
        <v>586</v>
      </c>
      <c r="IP5" t="s">
        <v>587</v>
      </c>
      <c r="IQ5" t="s">
        <v>588</v>
      </c>
      <c r="IR5" t="s">
        <v>589</v>
      </c>
      <c r="IS5" t="s">
        <v>595</v>
      </c>
      <c r="IT5" t="s">
        <v>593</v>
      </c>
      <c r="IU5" t="s">
        <v>594</v>
      </c>
      <c r="IV5" t="s">
        <v>586</v>
      </c>
      <c r="IW5" t="s">
        <v>587</v>
      </c>
      <c r="IX5" t="s">
        <v>588</v>
      </c>
      <c r="IY5" t="s">
        <v>589</v>
      </c>
      <c r="IZ5" t="s">
        <v>595</v>
      </c>
      <c r="JA5" t="s">
        <v>593</v>
      </c>
      <c r="JB5" t="s">
        <v>594</v>
      </c>
      <c r="JC5" t="s">
        <v>586</v>
      </c>
      <c r="JD5" t="s">
        <v>587</v>
      </c>
      <c r="JE5" t="s">
        <v>588</v>
      </c>
      <c r="JF5" t="s">
        <v>589</v>
      </c>
      <c r="JG5" t="s">
        <v>595</v>
      </c>
      <c r="JH5" t="s">
        <v>593</v>
      </c>
      <c r="JI5" t="s">
        <v>594</v>
      </c>
      <c r="JJ5" t="s">
        <v>586</v>
      </c>
      <c r="JK5" t="s">
        <v>587</v>
      </c>
      <c r="JL5" t="s">
        <v>588</v>
      </c>
      <c r="JM5" t="s">
        <v>589</v>
      </c>
      <c r="JN5" t="s">
        <v>595</v>
      </c>
      <c r="JO5" t="s">
        <v>593</v>
      </c>
      <c r="JP5" t="s">
        <v>594</v>
      </c>
      <c r="JQ5" t="s">
        <v>586</v>
      </c>
      <c r="JR5" t="s">
        <v>587</v>
      </c>
      <c r="JS5" t="s">
        <v>588</v>
      </c>
      <c r="JT5" t="s">
        <v>589</v>
      </c>
      <c r="JU5" t="s">
        <v>595</v>
      </c>
      <c r="JV5" t="s">
        <v>593</v>
      </c>
      <c r="JW5" t="s">
        <v>594</v>
      </c>
      <c r="JX5" t="s">
        <v>586</v>
      </c>
      <c r="JY5" t="s">
        <v>587</v>
      </c>
      <c r="JZ5" t="s">
        <v>588</v>
      </c>
      <c r="KA5" t="s">
        <v>589</v>
      </c>
      <c r="KB5" t="s">
        <v>595</v>
      </c>
      <c r="KC5" t="s">
        <v>593</v>
      </c>
      <c r="KD5" t="s">
        <v>594</v>
      </c>
      <c r="KE5" t="s">
        <v>586</v>
      </c>
      <c r="KF5" t="s">
        <v>587</v>
      </c>
      <c r="KG5" t="s">
        <v>588</v>
      </c>
      <c r="KH5" t="s">
        <v>589</v>
      </c>
      <c r="KI5" t="s">
        <v>595</v>
      </c>
      <c r="KJ5" t="s">
        <v>593</v>
      </c>
      <c r="KK5" t="s">
        <v>594</v>
      </c>
      <c r="KL5" t="s">
        <v>586</v>
      </c>
      <c r="KM5" t="s">
        <v>587</v>
      </c>
      <c r="KN5" t="s">
        <v>588</v>
      </c>
      <c r="KO5" t="s">
        <v>589</v>
      </c>
      <c r="KP5" t="s">
        <v>595</v>
      </c>
      <c r="KQ5" t="s">
        <v>593</v>
      </c>
      <c r="KR5" t="s">
        <v>594</v>
      </c>
      <c r="KS5" t="s">
        <v>586</v>
      </c>
      <c r="KT5" t="s">
        <v>587</v>
      </c>
      <c r="KU5" t="s">
        <v>588</v>
      </c>
      <c r="KV5" t="s">
        <v>589</v>
      </c>
      <c r="KW5" t="s">
        <v>595</v>
      </c>
      <c r="KX5" t="s">
        <v>593</v>
      </c>
      <c r="KY5" t="s">
        <v>594</v>
      </c>
      <c r="KZ5" t="s">
        <v>586</v>
      </c>
      <c r="LA5" t="s">
        <v>587</v>
      </c>
      <c r="LB5" t="s">
        <v>588</v>
      </c>
      <c r="LC5" t="s">
        <v>589</v>
      </c>
      <c r="LD5" t="s">
        <v>595</v>
      </c>
      <c r="LE5" t="s">
        <v>593</v>
      </c>
      <c r="LF5" t="s">
        <v>594</v>
      </c>
      <c r="LG5" t="s">
        <v>586</v>
      </c>
      <c r="LH5" t="s">
        <v>587</v>
      </c>
      <c r="LI5" t="s">
        <v>588</v>
      </c>
      <c r="LJ5" t="s">
        <v>589</v>
      </c>
      <c r="LK5" t="s">
        <v>595</v>
      </c>
      <c r="LL5" t="s">
        <v>593</v>
      </c>
      <c r="LM5" t="s">
        <v>594</v>
      </c>
      <c r="LN5" t="s">
        <v>586</v>
      </c>
      <c r="LO5" t="s">
        <v>587</v>
      </c>
      <c r="LP5" t="s">
        <v>588</v>
      </c>
      <c r="LQ5" t="s">
        <v>589</v>
      </c>
      <c r="LR5" t="s">
        <v>595</v>
      </c>
      <c r="LS5" t="s">
        <v>593</v>
      </c>
      <c r="LT5" t="s">
        <v>594</v>
      </c>
      <c r="LU5" t="s">
        <v>586</v>
      </c>
      <c r="LV5" t="s">
        <v>587</v>
      </c>
      <c r="LW5" t="s">
        <v>588</v>
      </c>
      <c r="LX5" t="s">
        <v>589</v>
      </c>
      <c r="LY5" t="s">
        <v>595</v>
      </c>
      <c r="LZ5" t="s">
        <v>593</v>
      </c>
      <c r="MA5" t="s">
        <v>594</v>
      </c>
      <c r="MB5" t="s">
        <v>586</v>
      </c>
      <c r="MC5" t="s">
        <v>587</v>
      </c>
      <c r="MD5" t="s">
        <v>588</v>
      </c>
      <c r="ME5" t="s">
        <v>589</v>
      </c>
      <c r="MF5" t="s">
        <v>595</v>
      </c>
      <c r="MG5" t="s">
        <v>593</v>
      </c>
      <c r="MH5" t="s">
        <v>594</v>
      </c>
      <c r="MI5" t="s">
        <v>586</v>
      </c>
      <c r="MJ5" t="s">
        <v>587</v>
      </c>
      <c r="MK5" t="s">
        <v>588</v>
      </c>
      <c r="ML5" t="s">
        <v>589</v>
      </c>
      <c r="MM5" t="s">
        <v>595</v>
      </c>
      <c r="MN5" t="s">
        <v>593</v>
      </c>
      <c r="MO5" t="s">
        <v>594</v>
      </c>
      <c r="MP5" t="s">
        <v>586</v>
      </c>
      <c r="MQ5" t="s">
        <v>587</v>
      </c>
      <c r="MR5" t="s">
        <v>588</v>
      </c>
      <c r="MS5" t="s">
        <v>589</v>
      </c>
      <c r="MT5" t="s">
        <v>595</v>
      </c>
      <c r="MU5" t="s">
        <v>593</v>
      </c>
      <c r="MV5" t="s">
        <v>594</v>
      </c>
      <c r="MW5" t="s">
        <v>586</v>
      </c>
      <c r="MX5" t="s">
        <v>587</v>
      </c>
      <c r="MY5" t="s">
        <v>588</v>
      </c>
      <c r="MZ5" t="s">
        <v>589</v>
      </c>
      <c r="NA5" t="s">
        <v>595</v>
      </c>
      <c r="NB5" t="s">
        <v>593</v>
      </c>
      <c r="NC5" t="s">
        <v>594</v>
      </c>
      <c r="ND5" t="s">
        <v>586</v>
      </c>
      <c r="NE5" t="s">
        <v>587</v>
      </c>
      <c r="NF5" t="s">
        <v>588</v>
      </c>
      <c r="NG5" t="s">
        <v>589</v>
      </c>
      <c r="NH5" t="s">
        <v>595</v>
      </c>
      <c r="NI5" t="s">
        <v>593</v>
      </c>
      <c r="NJ5" t="s">
        <v>594</v>
      </c>
      <c r="NK5" t="s">
        <v>586</v>
      </c>
      <c r="NL5" t="s">
        <v>587</v>
      </c>
      <c r="NM5" t="s">
        <v>588</v>
      </c>
      <c r="NN5" t="s">
        <v>589</v>
      </c>
      <c r="NO5" t="s">
        <v>595</v>
      </c>
      <c r="NP5" t="s">
        <v>593</v>
      </c>
      <c r="NQ5" t="s">
        <v>594</v>
      </c>
      <c r="NR5" t="s">
        <v>586</v>
      </c>
      <c r="NS5" t="s">
        <v>587</v>
      </c>
      <c r="NT5" t="s">
        <v>588</v>
      </c>
      <c r="NU5" t="s">
        <v>589</v>
      </c>
      <c r="NV5" t="s">
        <v>595</v>
      </c>
      <c r="NW5" t="s">
        <v>593</v>
      </c>
      <c r="NX5" t="s">
        <v>594</v>
      </c>
      <c r="NY5" t="s">
        <v>586</v>
      </c>
      <c r="NZ5" t="s">
        <v>587</v>
      </c>
      <c r="OA5" t="s">
        <v>588</v>
      </c>
      <c r="OB5" t="s">
        <v>589</v>
      </c>
      <c r="OC5" t="s">
        <v>595</v>
      </c>
      <c r="OD5" t="s">
        <v>593</v>
      </c>
      <c r="OE5" t="s">
        <v>594</v>
      </c>
      <c r="OF5" t="s">
        <v>586</v>
      </c>
      <c r="OG5" t="s">
        <v>587</v>
      </c>
      <c r="OH5" t="s">
        <v>588</v>
      </c>
      <c r="OI5" t="s">
        <v>589</v>
      </c>
      <c r="OJ5" t="s">
        <v>595</v>
      </c>
      <c r="OK5" t="s">
        <v>593</v>
      </c>
      <c r="OL5" t="s">
        <v>594</v>
      </c>
      <c r="OM5" t="s">
        <v>586</v>
      </c>
      <c r="ON5" t="s">
        <v>587</v>
      </c>
      <c r="OO5" t="s">
        <v>588</v>
      </c>
      <c r="OP5" t="s">
        <v>589</v>
      </c>
      <c r="OQ5" t="s">
        <v>595</v>
      </c>
      <c r="OR5" t="s">
        <v>593</v>
      </c>
      <c r="OS5" t="s">
        <v>594</v>
      </c>
      <c r="OT5" t="s">
        <v>586</v>
      </c>
      <c r="OU5" t="s">
        <v>587</v>
      </c>
      <c r="OV5" t="s">
        <v>588</v>
      </c>
      <c r="OW5" t="s">
        <v>589</v>
      </c>
      <c r="OX5" t="s">
        <v>595</v>
      </c>
      <c r="OY5" t="s">
        <v>593</v>
      </c>
      <c r="OZ5" t="s">
        <v>594</v>
      </c>
      <c r="PA5" t="s">
        <v>586</v>
      </c>
      <c r="PB5" t="s">
        <v>587</v>
      </c>
      <c r="PC5" t="s">
        <v>588</v>
      </c>
      <c r="PD5" t="s">
        <v>589</v>
      </c>
      <c r="PE5" t="s">
        <v>595</v>
      </c>
      <c r="PF5" t="s">
        <v>593</v>
      </c>
      <c r="PG5" t="s">
        <v>594</v>
      </c>
      <c r="PH5" t="s">
        <v>586</v>
      </c>
      <c r="PI5" t="s">
        <v>587</v>
      </c>
      <c r="PJ5" t="s">
        <v>588</v>
      </c>
      <c r="PK5" t="s">
        <v>589</v>
      </c>
      <c r="PL5" t="s">
        <v>595</v>
      </c>
      <c r="PM5" t="s">
        <v>593</v>
      </c>
      <c r="PN5" t="s">
        <v>594</v>
      </c>
      <c r="PO5" t="s">
        <v>586</v>
      </c>
      <c r="PP5" t="s">
        <v>587</v>
      </c>
      <c r="PQ5" t="s">
        <v>588</v>
      </c>
      <c r="PR5" t="s">
        <v>589</v>
      </c>
      <c r="PS5" t="s">
        <v>595</v>
      </c>
      <c r="PT5" t="s">
        <v>593</v>
      </c>
      <c r="PU5" t="s">
        <v>594</v>
      </c>
      <c r="PV5" t="s">
        <v>586</v>
      </c>
      <c r="PW5" t="s">
        <v>587</v>
      </c>
      <c r="PX5" t="s">
        <v>588</v>
      </c>
      <c r="PY5" t="s">
        <v>589</v>
      </c>
      <c r="PZ5" t="s">
        <v>595</v>
      </c>
      <c r="QA5" t="s">
        <v>593</v>
      </c>
      <c r="QB5" t="s">
        <v>594</v>
      </c>
      <c r="QC5" t="s">
        <v>586</v>
      </c>
      <c r="QD5" t="s">
        <v>587</v>
      </c>
      <c r="QE5" t="s">
        <v>588</v>
      </c>
      <c r="QF5" t="s">
        <v>589</v>
      </c>
      <c r="QG5" t="s">
        <v>595</v>
      </c>
      <c r="QH5" t="s">
        <v>593</v>
      </c>
      <c r="QI5" t="s">
        <v>594</v>
      </c>
      <c r="QJ5" t="s">
        <v>586</v>
      </c>
      <c r="QK5" t="s">
        <v>587</v>
      </c>
      <c r="QL5" t="s">
        <v>588</v>
      </c>
      <c r="QM5" t="s">
        <v>589</v>
      </c>
      <c r="QN5" t="s">
        <v>595</v>
      </c>
      <c r="QO5" t="s">
        <v>593</v>
      </c>
      <c r="QP5" t="s">
        <v>594</v>
      </c>
      <c r="QQ5" t="s">
        <v>586</v>
      </c>
      <c r="QR5" t="s">
        <v>587</v>
      </c>
      <c r="QS5" t="s">
        <v>588</v>
      </c>
      <c r="QT5" t="s">
        <v>589</v>
      </c>
      <c r="QU5" t="s">
        <v>595</v>
      </c>
      <c r="QV5" t="s">
        <v>593</v>
      </c>
      <c r="QW5" t="s">
        <v>594</v>
      </c>
      <c r="QX5" t="s">
        <v>586</v>
      </c>
      <c r="QY5" t="s">
        <v>587</v>
      </c>
      <c r="QZ5" t="s">
        <v>588</v>
      </c>
      <c r="RA5" t="s">
        <v>589</v>
      </c>
      <c r="RB5" t="s">
        <v>595</v>
      </c>
      <c r="RC5" t="s">
        <v>593</v>
      </c>
      <c r="RD5" t="s">
        <v>594</v>
      </c>
      <c r="RE5" t="s">
        <v>586</v>
      </c>
      <c r="RF5" t="s">
        <v>587</v>
      </c>
      <c r="RG5" t="s">
        <v>588</v>
      </c>
      <c r="RH5" t="s">
        <v>589</v>
      </c>
      <c r="RI5" t="s">
        <v>595</v>
      </c>
      <c r="RJ5" t="s">
        <v>593</v>
      </c>
      <c r="RK5" t="s">
        <v>594</v>
      </c>
      <c r="RL5" t="s">
        <v>586</v>
      </c>
      <c r="RM5" t="s">
        <v>587</v>
      </c>
      <c r="RN5" t="s">
        <v>588</v>
      </c>
      <c r="RO5" t="s">
        <v>589</v>
      </c>
      <c r="RP5" t="s">
        <v>595</v>
      </c>
      <c r="RQ5" t="s">
        <v>593</v>
      </c>
      <c r="RR5" t="s">
        <v>594</v>
      </c>
      <c r="RS5" t="s">
        <v>586</v>
      </c>
      <c r="RT5" t="s">
        <v>587</v>
      </c>
      <c r="RU5" t="s">
        <v>588</v>
      </c>
      <c r="RV5" t="s">
        <v>589</v>
      </c>
      <c r="RW5" t="s">
        <v>595</v>
      </c>
      <c r="RX5" t="s">
        <v>593</v>
      </c>
      <c r="RY5" t="s">
        <v>594</v>
      </c>
      <c r="RZ5" t="s">
        <v>586</v>
      </c>
      <c r="SA5" t="s">
        <v>587</v>
      </c>
      <c r="SB5" t="s">
        <v>588</v>
      </c>
      <c r="SC5" t="s">
        <v>589</v>
      </c>
      <c r="SD5" t="s">
        <v>595</v>
      </c>
      <c r="SE5" t="s">
        <v>593</v>
      </c>
      <c r="SF5" t="s">
        <v>594</v>
      </c>
      <c r="SG5" t="s">
        <v>586</v>
      </c>
      <c r="SH5" t="s">
        <v>587</v>
      </c>
      <c r="SI5" t="s">
        <v>588</v>
      </c>
      <c r="SJ5" t="s">
        <v>589</v>
      </c>
      <c r="SK5" t="s">
        <v>595</v>
      </c>
      <c r="SL5" t="s">
        <v>593</v>
      </c>
      <c r="SM5" t="s">
        <v>594</v>
      </c>
      <c r="SN5" t="s">
        <v>586</v>
      </c>
      <c r="SO5" t="s">
        <v>587</v>
      </c>
      <c r="SP5" t="s">
        <v>588</v>
      </c>
      <c r="SQ5" t="s">
        <v>589</v>
      </c>
      <c r="SR5" t="s">
        <v>595</v>
      </c>
      <c r="SS5" t="s">
        <v>593</v>
      </c>
      <c r="ST5" t="s">
        <v>594</v>
      </c>
      <c r="SU5" t="s">
        <v>586</v>
      </c>
      <c r="SV5" t="s">
        <v>587</v>
      </c>
      <c r="SW5" t="s">
        <v>588</v>
      </c>
      <c r="SX5" t="s">
        <v>589</v>
      </c>
      <c r="SY5" t="s">
        <v>595</v>
      </c>
      <c r="SZ5" t="s">
        <v>593</v>
      </c>
      <c r="TA5" t="s">
        <v>594</v>
      </c>
      <c r="TB5" t="s">
        <v>586</v>
      </c>
      <c r="TC5" t="s">
        <v>587</v>
      </c>
      <c r="TD5" t="s">
        <v>588</v>
      </c>
      <c r="TE5" t="s">
        <v>589</v>
      </c>
      <c r="TF5" t="s">
        <v>595</v>
      </c>
      <c r="TG5" t="s">
        <v>593</v>
      </c>
      <c r="TH5" t="s">
        <v>594</v>
      </c>
      <c r="TI5" t="s">
        <v>586</v>
      </c>
      <c r="TJ5" t="s">
        <v>587</v>
      </c>
      <c r="TK5" t="s">
        <v>588</v>
      </c>
      <c r="TL5" t="s">
        <v>589</v>
      </c>
      <c r="TM5" t="s">
        <v>595</v>
      </c>
      <c r="TN5" t="s">
        <v>593</v>
      </c>
      <c r="TO5" t="s">
        <v>594</v>
      </c>
      <c r="TP5" t="s">
        <v>586</v>
      </c>
      <c r="TQ5" t="s">
        <v>587</v>
      </c>
      <c r="TR5" t="s">
        <v>588</v>
      </c>
      <c r="TS5" t="s">
        <v>589</v>
      </c>
      <c r="TT5" t="s">
        <v>595</v>
      </c>
      <c r="TU5" t="s">
        <v>593</v>
      </c>
      <c r="TV5" t="s">
        <v>594</v>
      </c>
      <c r="TW5" t="s">
        <v>586</v>
      </c>
      <c r="TX5" t="s">
        <v>587</v>
      </c>
      <c r="TY5" t="s">
        <v>588</v>
      </c>
      <c r="TZ5" t="s">
        <v>589</v>
      </c>
      <c r="UA5" t="s">
        <v>595</v>
      </c>
      <c r="UB5" t="s">
        <v>593</v>
      </c>
      <c r="UC5" t="s">
        <v>594</v>
      </c>
      <c r="UD5" t="s">
        <v>586</v>
      </c>
      <c r="UE5" t="s">
        <v>587</v>
      </c>
      <c r="UF5" t="s">
        <v>588</v>
      </c>
      <c r="UG5" t="s">
        <v>589</v>
      </c>
      <c r="UH5" t="s">
        <v>595</v>
      </c>
      <c r="UI5" t="s">
        <v>593</v>
      </c>
      <c r="UJ5" t="s">
        <v>594</v>
      </c>
      <c r="UK5" t="s">
        <v>586</v>
      </c>
      <c r="UL5" t="s">
        <v>587</v>
      </c>
      <c r="UM5" t="s">
        <v>588</v>
      </c>
      <c r="UN5" t="s">
        <v>589</v>
      </c>
      <c r="UO5" t="s">
        <v>595</v>
      </c>
      <c r="UP5" t="s">
        <v>593</v>
      </c>
      <c r="UQ5" t="s">
        <v>594</v>
      </c>
      <c r="UR5" t="s">
        <v>586</v>
      </c>
      <c r="US5" t="s">
        <v>587</v>
      </c>
      <c r="UT5" t="s">
        <v>588</v>
      </c>
      <c r="UU5" t="s">
        <v>589</v>
      </c>
      <c r="UV5" t="s">
        <v>595</v>
      </c>
      <c r="UW5" t="s">
        <v>593</v>
      </c>
      <c r="UX5" t="s">
        <v>594</v>
      </c>
      <c r="UY5" t="s">
        <v>586</v>
      </c>
      <c r="UZ5" t="s">
        <v>587</v>
      </c>
      <c r="VA5" t="s">
        <v>588</v>
      </c>
      <c r="VB5" t="s">
        <v>589</v>
      </c>
      <c r="VC5" t="s">
        <v>595</v>
      </c>
      <c r="VD5" t="s">
        <v>593</v>
      </c>
      <c r="VE5" t="s">
        <v>594</v>
      </c>
      <c r="VF5" t="s">
        <v>586</v>
      </c>
      <c r="VG5" t="s">
        <v>587</v>
      </c>
      <c r="VH5" t="s">
        <v>588</v>
      </c>
      <c r="VI5" t="s">
        <v>589</v>
      </c>
      <c r="VJ5" t="s">
        <v>595</v>
      </c>
      <c r="VK5" t="s">
        <v>593</v>
      </c>
      <c r="VL5" t="s">
        <v>594</v>
      </c>
      <c r="VM5" t="s">
        <v>586</v>
      </c>
      <c r="VN5" t="s">
        <v>587</v>
      </c>
      <c r="VO5" t="s">
        <v>588</v>
      </c>
      <c r="VP5" t="s">
        <v>589</v>
      </c>
      <c r="VQ5" t="s">
        <v>595</v>
      </c>
      <c r="VR5" t="s">
        <v>593</v>
      </c>
      <c r="VS5" t="s">
        <v>594</v>
      </c>
      <c r="VT5" t="s">
        <v>586</v>
      </c>
      <c r="VU5" t="s">
        <v>587</v>
      </c>
      <c r="VV5" t="s">
        <v>588</v>
      </c>
      <c r="VW5" t="s">
        <v>589</v>
      </c>
      <c r="VX5" t="s">
        <v>595</v>
      </c>
      <c r="VY5" t="s">
        <v>593</v>
      </c>
      <c r="VZ5" t="s">
        <v>594</v>
      </c>
      <c r="WA5" t="s">
        <v>586</v>
      </c>
      <c r="WB5" t="s">
        <v>587</v>
      </c>
      <c r="WC5" t="s">
        <v>588</v>
      </c>
      <c r="WD5" t="s">
        <v>589</v>
      </c>
      <c r="WE5" t="s">
        <v>595</v>
      </c>
      <c r="WF5" t="s">
        <v>593</v>
      </c>
      <c r="WG5" t="s">
        <v>594</v>
      </c>
      <c r="WH5" t="s">
        <v>586</v>
      </c>
      <c r="WI5" t="s">
        <v>587</v>
      </c>
      <c r="WJ5" t="s">
        <v>588</v>
      </c>
      <c r="WK5" t="s">
        <v>589</v>
      </c>
      <c r="WL5" t="s">
        <v>595</v>
      </c>
      <c r="WM5" t="s">
        <v>593</v>
      </c>
      <c r="WN5" t="s">
        <v>594</v>
      </c>
      <c r="WO5" t="s">
        <v>586</v>
      </c>
      <c r="WP5" t="s">
        <v>587</v>
      </c>
      <c r="WQ5" t="s">
        <v>588</v>
      </c>
      <c r="WR5" t="s">
        <v>589</v>
      </c>
      <c r="WS5" t="s">
        <v>595</v>
      </c>
      <c r="WT5" t="s">
        <v>593</v>
      </c>
      <c r="WU5" t="s">
        <v>594</v>
      </c>
      <c r="WV5" t="s">
        <v>586</v>
      </c>
      <c r="WW5" t="s">
        <v>587</v>
      </c>
      <c r="WX5" t="s">
        <v>588</v>
      </c>
      <c r="WY5" t="s">
        <v>589</v>
      </c>
      <c r="WZ5" t="s">
        <v>595</v>
      </c>
      <c r="XA5" t="s">
        <v>593</v>
      </c>
      <c r="XB5" t="s">
        <v>594</v>
      </c>
      <c r="XC5" t="s">
        <v>586</v>
      </c>
      <c r="XD5" t="s">
        <v>587</v>
      </c>
      <c r="XE5" t="s">
        <v>588</v>
      </c>
      <c r="XF5" t="s">
        <v>589</v>
      </c>
      <c r="XG5" t="s">
        <v>595</v>
      </c>
      <c r="XH5" t="s">
        <v>593</v>
      </c>
      <c r="XI5" t="s">
        <v>594</v>
      </c>
      <c r="XJ5" t="s">
        <v>586</v>
      </c>
      <c r="XK5" t="s">
        <v>587</v>
      </c>
      <c r="XL5" t="s">
        <v>588</v>
      </c>
      <c r="XM5" t="s">
        <v>589</v>
      </c>
      <c r="XN5" t="s">
        <v>595</v>
      </c>
      <c r="XO5" t="s">
        <v>593</v>
      </c>
      <c r="XP5" t="s">
        <v>594</v>
      </c>
      <c r="XQ5" t="s">
        <v>586</v>
      </c>
      <c r="XR5" t="s">
        <v>587</v>
      </c>
      <c r="XS5" t="s">
        <v>588</v>
      </c>
      <c r="XT5" t="s">
        <v>589</v>
      </c>
      <c r="XU5" t="s">
        <v>595</v>
      </c>
      <c r="XV5" t="s">
        <v>593</v>
      </c>
      <c r="XW5" t="s">
        <v>594</v>
      </c>
      <c r="XX5" t="s">
        <v>586</v>
      </c>
      <c r="XY5" t="s">
        <v>587</v>
      </c>
      <c r="XZ5" t="s">
        <v>588</v>
      </c>
      <c r="YA5" t="s">
        <v>589</v>
      </c>
      <c r="YB5" t="s">
        <v>595</v>
      </c>
      <c r="YC5" t="s">
        <v>593</v>
      </c>
      <c r="YD5" t="s">
        <v>594</v>
      </c>
      <c r="YE5" t="s">
        <v>586</v>
      </c>
      <c r="YF5" t="s">
        <v>587</v>
      </c>
      <c r="YG5" t="s">
        <v>588</v>
      </c>
      <c r="YH5" t="s">
        <v>589</v>
      </c>
      <c r="YI5" t="s">
        <v>595</v>
      </c>
      <c r="YJ5" t="s">
        <v>593</v>
      </c>
      <c r="YK5" t="s">
        <v>594</v>
      </c>
      <c r="YL5" t="s">
        <v>586</v>
      </c>
      <c r="YM5" t="s">
        <v>587</v>
      </c>
      <c r="YN5" t="s">
        <v>588</v>
      </c>
      <c r="YO5" t="s">
        <v>589</v>
      </c>
      <c r="YP5" t="s">
        <v>595</v>
      </c>
      <c r="YQ5" t="s">
        <v>593</v>
      </c>
      <c r="YR5" t="s">
        <v>594</v>
      </c>
      <c r="YS5" t="s">
        <v>586</v>
      </c>
      <c r="YT5" t="s">
        <v>587</v>
      </c>
      <c r="YU5" t="s">
        <v>588</v>
      </c>
      <c r="YV5" t="s">
        <v>589</v>
      </c>
      <c r="YW5" t="s">
        <v>595</v>
      </c>
      <c r="YX5" t="s">
        <v>593</v>
      </c>
      <c r="YY5" t="s">
        <v>594</v>
      </c>
      <c r="YZ5" t="s">
        <v>586</v>
      </c>
      <c r="ZA5" t="s">
        <v>587</v>
      </c>
      <c r="ZB5" t="s">
        <v>588</v>
      </c>
      <c r="ZC5" t="s">
        <v>589</v>
      </c>
      <c r="ZD5" t="s">
        <v>595</v>
      </c>
      <c r="ZE5" t="s">
        <v>593</v>
      </c>
      <c r="ZF5" t="s">
        <v>594</v>
      </c>
      <c r="ZG5" t="s">
        <v>586</v>
      </c>
      <c r="ZH5" t="s">
        <v>587</v>
      </c>
      <c r="ZI5" t="s">
        <v>588</v>
      </c>
      <c r="ZJ5" t="s">
        <v>589</v>
      </c>
      <c r="ZK5" t="s">
        <v>595</v>
      </c>
      <c r="ZL5" t="s">
        <v>593</v>
      </c>
      <c r="ZM5" t="s">
        <v>594</v>
      </c>
      <c r="ZN5" t="s">
        <v>586</v>
      </c>
      <c r="ZO5" t="s">
        <v>587</v>
      </c>
      <c r="ZP5" t="s">
        <v>588</v>
      </c>
      <c r="ZQ5" t="s">
        <v>589</v>
      </c>
      <c r="ZR5" t="s">
        <v>595</v>
      </c>
      <c r="ZS5" t="s">
        <v>593</v>
      </c>
      <c r="ZT5" t="s">
        <v>594</v>
      </c>
      <c r="ZU5" t="s">
        <v>586</v>
      </c>
      <c r="ZV5" t="s">
        <v>587</v>
      </c>
      <c r="ZW5" t="s">
        <v>588</v>
      </c>
      <c r="ZX5" t="s">
        <v>589</v>
      </c>
      <c r="ZY5" t="s">
        <v>595</v>
      </c>
      <c r="ZZ5" t="s">
        <v>593</v>
      </c>
      <c r="AAA5" t="s">
        <v>594</v>
      </c>
      <c r="AAB5" t="s">
        <v>586</v>
      </c>
      <c r="AAC5" t="s">
        <v>587</v>
      </c>
      <c r="AAD5" t="s">
        <v>588</v>
      </c>
      <c r="AAE5" t="s">
        <v>589</v>
      </c>
      <c r="AAF5" t="s">
        <v>595</v>
      </c>
      <c r="AAG5" t="s">
        <v>593</v>
      </c>
      <c r="AAH5" t="s">
        <v>594</v>
      </c>
      <c r="AAI5" t="s">
        <v>586</v>
      </c>
      <c r="AAJ5" t="s">
        <v>587</v>
      </c>
      <c r="AAK5" t="s">
        <v>588</v>
      </c>
      <c r="AAL5" t="s">
        <v>589</v>
      </c>
      <c r="AAM5" t="s">
        <v>595</v>
      </c>
      <c r="AAN5" t="s">
        <v>593</v>
      </c>
      <c r="AAO5" t="s">
        <v>594</v>
      </c>
      <c r="AAP5" t="s">
        <v>586</v>
      </c>
      <c r="AAQ5" t="s">
        <v>587</v>
      </c>
      <c r="AAR5" t="s">
        <v>588</v>
      </c>
      <c r="AAS5" t="s">
        <v>589</v>
      </c>
      <c r="AAT5" t="s">
        <v>595</v>
      </c>
      <c r="AAU5" t="s">
        <v>593</v>
      </c>
      <c r="AAV5" t="s">
        <v>594</v>
      </c>
      <c r="AAW5" t="s">
        <v>586</v>
      </c>
      <c r="AAX5" t="s">
        <v>587</v>
      </c>
      <c r="AAY5" t="s">
        <v>588</v>
      </c>
      <c r="AAZ5" t="s">
        <v>589</v>
      </c>
      <c r="ABA5" t="s">
        <v>595</v>
      </c>
      <c r="ABB5" t="s">
        <v>593</v>
      </c>
      <c r="ABC5" t="s">
        <v>594</v>
      </c>
      <c r="ABD5" t="s">
        <v>586</v>
      </c>
      <c r="ABE5" t="s">
        <v>587</v>
      </c>
      <c r="ABF5" t="s">
        <v>588</v>
      </c>
      <c r="ABG5" t="s">
        <v>589</v>
      </c>
      <c r="ABH5" t="s">
        <v>595</v>
      </c>
      <c r="ABI5" t="s">
        <v>593</v>
      </c>
      <c r="ABJ5" t="s">
        <v>594</v>
      </c>
      <c r="ABK5" t="s">
        <v>586</v>
      </c>
      <c r="ABL5" t="s">
        <v>587</v>
      </c>
      <c r="ABM5" t="s">
        <v>588</v>
      </c>
      <c r="ABN5" t="s">
        <v>589</v>
      </c>
      <c r="ABO5" t="s">
        <v>595</v>
      </c>
      <c r="ABP5" t="s">
        <v>593</v>
      </c>
      <c r="ABQ5" t="s">
        <v>594</v>
      </c>
      <c r="ABR5" t="s">
        <v>586</v>
      </c>
      <c r="ABS5" t="s">
        <v>587</v>
      </c>
      <c r="ABT5" t="s">
        <v>588</v>
      </c>
      <c r="ABU5" t="s">
        <v>589</v>
      </c>
      <c r="ABV5" t="s">
        <v>595</v>
      </c>
      <c r="ABW5" t="s">
        <v>593</v>
      </c>
      <c r="ABX5" t="s">
        <v>594</v>
      </c>
      <c r="ABY5" t="s">
        <v>586</v>
      </c>
      <c r="ABZ5" t="s">
        <v>587</v>
      </c>
      <c r="ACA5" t="s">
        <v>588</v>
      </c>
      <c r="ACB5" t="s">
        <v>589</v>
      </c>
      <c r="ACC5" t="s">
        <v>595</v>
      </c>
      <c r="ACD5" t="s">
        <v>593</v>
      </c>
      <c r="ACE5" t="s">
        <v>594</v>
      </c>
      <c r="ACF5" t="s">
        <v>586</v>
      </c>
      <c r="ACG5" t="s">
        <v>587</v>
      </c>
      <c r="ACH5" t="s">
        <v>588</v>
      </c>
      <c r="ACI5" t="s">
        <v>589</v>
      </c>
      <c r="ACJ5" t="s">
        <v>595</v>
      </c>
      <c r="ACK5" t="s">
        <v>593</v>
      </c>
      <c r="ACL5" t="s">
        <v>594</v>
      </c>
      <c r="ACM5" t="s">
        <v>586</v>
      </c>
      <c r="ACN5" t="s">
        <v>587</v>
      </c>
      <c r="ACO5" t="s">
        <v>588</v>
      </c>
      <c r="ACP5" t="s">
        <v>589</v>
      </c>
      <c r="ACQ5" t="s">
        <v>595</v>
      </c>
      <c r="ACR5" t="s">
        <v>593</v>
      </c>
      <c r="ACS5" t="s">
        <v>594</v>
      </c>
      <c r="ACT5" t="s">
        <v>586</v>
      </c>
      <c r="ACU5" t="s">
        <v>587</v>
      </c>
      <c r="ACV5" t="s">
        <v>588</v>
      </c>
      <c r="ACW5" t="s">
        <v>589</v>
      </c>
      <c r="ACX5" t="s">
        <v>595</v>
      </c>
      <c r="ACY5" t="s">
        <v>593</v>
      </c>
      <c r="ACZ5" t="s">
        <v>594</v>
      </c>
      <c r="ADA5" t="s">
        <v>586</v>
      </c>
      <c r="ADB5" t="s">
        <v>587</v>
      </c>
      <c r="ADC5" t="s">
        <v>588</v>
      </c>
      <c r="ADD5" t="s">
        <v>589</v>
      </c>
      <c r="ADE5" t="s">
        <v>595</v>
      </c>
      <c r="ADF5" t="s">
        <v>593</v>
      </c>
      <c r="ADG5" t="s">
        <v>594</v>
      </c>
      <c r="ADH5" t="s">
        <v>586</v>
      </c>
      <c r="ADI5" t="s">
        <v>587</v>
      </c>
      <c r="ADJ5" t="s">
        <v>588</v>
      </c>
      <c r="ADK5" t="s">
        <v>589</v>
      </c>
      <c r="ADL5" t="s">
        <v>595</v>
      </c>
      <c r="ADM5" t="s">
        <v>593</v>
      </c>
      <c r="ADN5" t="s">
        <v>594</v>
      </c>
      <c r="ADO5" t="s">
        <v>586</v>
      </c>
      <c r="ADP5" t="s">
        <v>587</v>
      </c>
    </row>
    <row r="6" spans="1:796">
      <c r="A6" t="s">
        <v>4324</v>
      </c>
      <c r="B6">
        <v>6</v>
      </c>
      <c r="C6" t="s">
        <v>4295</v>
      </c>
      <c r="D6">
        <v>43</v>
      </c>
      <c r="E6" t="s">
        <v>863</v>
      </c>
      <c r="F6" t="s">
        <v>863</v>
      </c>
      <c r="G6" t="s">
        <v>863</v>
      </c>
      <c r="H6" t="s">
        <v>863</v>
      </c>
      <c r="I6" t="s">
        <v>863</v>
      </c>
      <c r="J6" t="s">
        <v>863</v>
      </c>
      <c r="K6" t="s">
        <v>864</v>
      </c>
      <c r="L6" t="s">
        <v>864</v>
      </c>
      <c r="M6" t="s">
        <v>864</v>
      </c>
      <c r="N6" t="s">
        <v>864</v>
      </c>
      <c r="O6" t="s">
        <v>864</v>
      </c>
      <c r="P6" t="s">
        <v>864</v>
      </c>
      <c r="Q6" t="s">
        <v>865</v>
      </c>
      <c r="R6" t="s">
        <v>865</v>
      </c>
      <c r="S6" t="s">
        <v>865</v>
      </c>
      <c r="T6" t="s">
        <v>865</v>
      </c>
      <c r="U6" t="s">
        <v>865</v>
      </c>
      <c r="V6" t="s">
        <v>865</v>
      </c>
      <c r="W6" t="s">
        <v>865</v>
      </c>
      <c r="X6" t="s">
        <v>865</v>
      </c>
      <c r="Y6" t="s">
        <v>866</v>
      </c>
      <c r="Z6" t="s">
        <v>866</v>
      </c>
      <c r="AA6" t="s">
        <v>866</v>
      </c>
      <c r="AB6" t="s">
        <v>866</v>
      </c>
      <c r="AC6" t="s">
        <v>866</v>
      </c>
      <c r="AD6" t="s">
        <v>866</v>
      </c>
      <c r="AE6" t="s">
        <v>866</v>
      </c>
      <c r="AF6" t="s">
        <v>863</v>
      </c>
      <c r="AG6" t="s">
        <v>863</v>
      </c>
      <c r="AH6" t="s">
        <v>863</v>
      </c>
      <c r="AI6" t="s">
        <v>863</v>
      </c>
      <c r="AJ6" t="s">
        <v>863</v>
      </c>
      <c r="AK6" t="s">
        <v>863</v>
      </c>
      <c r="AL6" t="s">
        <v>863</v>
      </c>
      <c r="AM6" t="s">
        <v>863</v>
      </c>
      <c r="AN6" t="s">
        <v>863</v>
      </c>
      <c r="AO6" t="s">
        <v>864</v>
      </c>
      <c r="AP6" t="s">
        <v>864</v>
      </c>
      <c r="AQ6" t="s">
        <v>864</v>
      </c>
      <c r="AR6" t="s">
        <v>864</v>
      </c>
      <c r="AS6" t="s">
        <v>864</v>
      </c>
      <c r="AT6" t="s">
        <v>864</v>
      </c>
      <c r="AU6" t="s">
        <v>865</v>
      </c>
      <c r="AV6" t="s">
        <v>865</v>
      </c>
      <c r="AW6" t="s">
        <v>865</v>
      </c>
      <c r="AX6" t="s">
        <v>865</v>
      </c>
      <c r="AY6" t="s">
        <v>865</v>
      </c>
      <c r="AZ6" t="s">
        <v>865</v>
      </c>
      <c r="BA6" t="s">
        <v>865</v>
      </c>
      <c r="BB6" t="s">
        <v>865</v>
      </c>
      <c r="BC6" t="s">
        <v>866</v>
      </c>
      <c r="BD6" t="s">
        <v>866</v>
      </c>
      <c r="BE6" t="s">
        <v>866</v>
      </c>
      <c r="BF6" t="s">
        <v>866</v>
      </c>
      <c r="BG6" t="s">
        <v>866</v>
      </c>
      <c r="BH6" t="s">
        <v>866</v>
      </c>
      <c r="BI6" t="s">
        <v>866</v>
      </c>
      <c r="BJ6" t="s">
        <v>863</v>
      </c>
      <c r="BK6" t="s">
        <v>863</v>
      </c>
      <c r="BL6" t="s">
        <v>863</v>
      </c>
      <c r="BM6" t="s">
        <v>863</v>
      </c>
      <c r="BN6" t="s">
        <v>863</v>
      </c>
      <c r="BO6" t="s">
        <v>863</v>
      </c>
      <c r="BP6" t="s">
        <v>863</v>
      </c>
      <c r="BQ6" t="s">
        <v>863</v>
      </c>
      <c r="BR6" t="s">
        <v>864</v>
      </c>
      <c r="BS6" t="s">
        <v>864</v>
      </c>
      <c r="BT6" t="s">
        <v>864</v>
      </c>
      <c r="BU6" t="s">
        <v>864</v>
      </c>
      <c r="BV6" t="s">
        <v>864</v>
      </c>
      <c r="BW6" t="s">
        <v>864</v>
      </c>
      <c r="BX6" t="s">
        <v>865</v>
      </c>
      <c r="BY6" t="s">
        <v>865</v>
      </c>
      <c r="BZ6" t="s">
        <v>865</v>
      </c>
      <c r="CA6" t="s">
        <v>865</v>
      </c>
      <c r="CB6" t="s">
        <v>865</v>
      </c>
      <c r="CC6" t="s">
        <v>865</v>
      </c>
      <c r="CD6" t="s">
        <v>865</v>
      </c>
      <c r="CE6" t="s">
        <v>865</v>
      </c>
      <c r="CF6" t="s">
        <v>866</v>
      </c>
      <c r="CG6" t="s">
        <v>866</v>
      </c>
      <c r="CH6" t="s">
        <v>866</v>
      </c>
      <c r="CI6" t="s">
        <v>866</v>
      </c>
      <c r="CJ6" t="s">
        <v>866</v>
      </c>
      <c r="CK6" t="s">
        <v>866</v>
      </c>
      <c r="CL6" t="s">
        <v>866</v>
      </c>
      <c r="CM6" t="s">
        <v>866</v>
      </c>
      <c r="CN6" t="s">
        <v>863</v>
      </c>
      <c r="CO6" t="s">
        <v>863</v>
      </c>
      <c r="CP6" t="s">
        <v>863</v>
      </c>
      <c r="CQ6" t="s">
        <v>863</v>
      </c>
      <c r="CR6" t="s">
        <v>863</v>
      </c>
      <c r="CS6" t="s">
        <v>863</v>
      </c>
      <c r="CT6" t="s">
        <v>863</v>
      </c>
      <c r="CU6" t="s">
        <v>864</v>
      </c>
      <c r="CV6" t="s">
        <v>864</v>
      </c>
      <c r="CW6" t="s">
        <v>864</v>
      </c>
      <c r="CX6" t="s">
        <v>864</v>
      </c>
      <c r="CY6" t="s">
        <v>864</v>
      </c>
      <c r="CZ6" t="s">
        <v>864</v>
      </c>
      <c r="DA6" t="s">
        <v>864</v>
      </c>
      <c r="DB6" t="s">
        <v>865</v>
      </c>
      <c r="DC6" t="s">
        <v>865</v>
      </c>
      <c r="DD6" t="s">
        <v>865</v>
      </c>
      <c r="DE6" t="s">
        <v>865</v>
      </c>
      <c r="DF6" t="s">
        <v>865</v>
      </c>
      <c r="DG6" t="s">
        <v>865</v>
      </c>
      <c r="DH6" t="s">
        <v>865</v>
      </c>
      <c r="DI6" t="s">
        <v>865</v>
      </c>
      <c r="DJ6" t="s">
        <v>866</v>
      </c>
      <c r="DK6" t="s">
        <v>866</v>
      </c>
      <c r="DL6" t="s">
        <v>866</v>
      </c>
      <c r="DM6" t="s">
        <v>866</v>
      </c>
      <c r="DN6" t="s">
        <v>866</v>
      </c>
      <c r="DO6" t="s">
        <v>866</v>
      </c>
      <c r="DP6" t="s">
        <v>866</v>
      </c>
      <c r="DQ6" t="s">
        <v>863</v>
      </c>
      <c r="DR6" t="s">
        <v>863</v>
      </c>
      <c r="DS6" t="s">
        <v>863</v>
      </c>
      <c r="DT6" t="s">
        <v>863</v>
      </c>
      <c r="DU6" t="s">
        <v>863</v>
      </c>
      <c r="DV6" t="s">
        <v>863</v>
      </c>
      <c r="DW6" t="s">
        <v>863</v>
      </c>
      <c r="DX6" t="s">
        <v>864</v>
      </c>
      <c r="DY6" t="s">
        <v>864</v>
      </c>
      <c r="DZ6" t="s">
        <v>864</v>
      </c>
      <c r="EA6" t="s">
        <v>864</v>
      </c>
      <c r="EB6" t="s">
        <v>864</v>
      </c>
      <c r="EC6" t="s">
        <v>864</v>
      </c>
      <c r="ED6" t="s">
        <v>864</v>
      </c>
      <c r="EE6" t="s">
        <v>865</v>
      </c>
      <c r="EF6" t="s">
        <v>865</v>
      </c>
      <c r="EG6" t="s">
        <v>865</v>
      </c>
      <c r="EH6" t="s">
        <v>865</v>
      </c>
      <c r="EI6" t="s">
        <v>865</v>
      </c>
      <c r="EJ6" t="s">
        <v>865</v>
      </c>
      <c r="EK6" t="s">
        <v>865</v>
      </c>
      <c r="EL6" t="s">
        <v>865</v>
      </c>
      <c r="EM6" t="s">
        <v>865</v>
      </c>
      <c r="EN6" t="s">
        <v>866</v>
      </c>
      <c r="EO6" t="s">
        <v>866</v>
      </c>
      <c r="EP6" t="s">
        <v>866</v>
      </c>
      <c r="EQ6" t="s">
        <v>866</v>
      </c>
      <c r="ER6" t="s">
        <v>866</v>
      </c>
      <c r="ES6" t="s">
        <v>866</v>
      </c>
      <c r="ET6" t="s">
        <v>866</v>
      </c>
      <c r="EU6" t="s">
        <v>863</v>
      </c>
      <c r="EV6" t="s">
        <v>863</v>
      </c>
      <c r="EW6" t="s">
        <v>863</v>
      </c>
      <c r="EX6" t="s">
        <v>863</v>
      </c>
      <c r="EY6" t="s">
        <v>863</v>
      </c>
      <c r="EZ6" t="s">
        <v>863</v>
      </c>
      <c r="FA6" t="s">
        <v>863</v>
      </c>
      <c r="FB6" t="s">
        <v>864</v>
      </c>
      <c r="FC6" t="s">
        <v>864</v>
      </c>
      <c r="FD6" t="s">
        <v>864</v>
      </c>
      <c r="FE6" t="s">
        <v>864</v>
      </c>
      <c r="FF6" t="s">
        <v>864</v>
      </c>
      <c r="FG6" t="s">
        <v>864</v>
      </c>
      <c r="FH6" t="s">
        <v>864</v>
      </c>
      <c r="FI6" t="s">
        <v>865</v>
      </c>
      <c r="FJ6" t="s">
        <v>865</v>
      </c>
      <c r="FK6" t="s">
        <v>865</v>
      </c>
      <c r="FL6" t="s">
        <v>865</v>
      </c>
      <c r="FM6" t="s">
        <v>865</v>
      </c>
      <c r="FN6" t="s">
        <v>865</v>
      </c>
      <c r="FO6" t="s">
        <v>865</v>
      </c>
      <c r="FP6" t="s">
        <v>865</v>
      </c>
      <c r="FQ6" t="s">
        <v>865</v>
      </c>
      <c r="FR6" t="s">
        <v>866</v>
      </c>
      <c r="FS6" t="s">
        <v>866</v>
      </c>
      <c r="FT6" t="s">
        <v>866</v>
      </c>
      <c r="FU6" t="s">
        <v>866</v>
      </c>
      <c r="FV6" t="s">
        <v>866</v>
      </c>
      <c r="FW6" t="s">
        <v>866</v>
      </c>
      <c r="FX6" t="s">
        <v>863</v>
      </c>
      <c r="FY6" t="s">
        <v>863</v>
      </c>
      <c r="FZ6" t="s">
        <v>863</v>
      </c>
      <c r="GA6" t="s">
        <v>863</v>
      </c>
      <c r="GB6" t="s">
        <v>863</v>
      </c>
      <c r="GC6" t="s">
        <v>863</v>
      </c>
      <c r="GD6" t="s">
        <v>863</v>
      </c>
      <c r="GE6" t="s">
        <v>864</v>
      </c>
      <c r="GF6" t="s">
        <v>864</v>
      </c>
      <c r="GG6" t="s">
        <v>864</v>
      </c>
      <c r="GH6" t="s">
        <v>864</v>
      </c>
      <c r="GI6" t="s">
        <v>864</v>
      </c>
      <c r="GJ6" t="s">
        <v>864</v>
      </c>
      <c r="GK6" t="s">
        <v>864</v>
      </c>
      <c r="GL6" t="s">
        <v>864</v>
      </c>
      <c r="GM6" t="s">
        <v>865</v>
      </c>
      <c r="GN6" t="s">
        <v>865</v>
      </c>
      <c r="GO6" t="s">
        <v>865</v>
      </c>
      <c r="GP6" t="s">
        <v>865</v>
      </c>
      <c r="GQ6" t="s">
        <v>865</v>
      </c>
      <c r="GR6" t="s">
        <v>865</v>
      </c>
      <c r="GS6" t="s">
        <v>865</v>
      </c>
      <c r="GT6" t="s">
        <v>865</v>
      </c>
      <c r="GU6" t="s">
        <v>866</v>
      </c>
      <c r="GV6" t="s">
        <v>866</v>
      </c>
      <c r="GW6" t="s">
        <v>866</v>
      </c>
      <c r="GX6" t="s">
        <v>866</v>
      </c>
      <c r="GY6" t="s">
        <v>866</v>
      </c>
      <c r="GZ6" t="s">
        <v>866</v>
      </c>
      <c r="HA6" t="s">
        <v>863</v>
      </c>
      <c r="HB6" t="s">
        <v>863</v>
      </c>
      <c r="HC6" t="s">
        <v>863</v>
      </c>
      <c r="HD6" t="s">
        <v>863</v>
      </c>
      <c r="HE6" t="s">
        <v>863</v>
      </c>
      <c r="HF6" t="s">
        <v>863</v>
      </c>
      <c r="HG6" t="s">
        <v>863</v>
      </c>
      <c r="HH6" t="s">
        <v>863</v>
      </c>
      <c r="HI6" t="s">
        <v>864</v>
      </c>
      <c r="HJ6" t="s">
        <v>864</v>
      </c>
      <c r="HK6" t="s">
        <v>864</v>
      </c>
      <c r="HL6" t="s">
        <v>864</v>
      </c>
      <c r="HM6" t="s">
        <v>864</v>
      </c>
      <c r="HN6" t="s">
        <v>864</v>
      </c>
      <c r="HO6" t="s">
        <v>864</v>
      </c>
      <c r="HP6" t="s">
        <v>865</v>
      </c>
      <c r="HQ6" t="s">
        <v>865</v>
      </c>
      <c r="HR6" t="s">
        <v>865</v>
      </c>
      <c r="HS6" t="s">
        <v>865</v>
      </c>
      <c r="HT6" t="s">
        <v>865</v>
      </c>
      <c r="HU6" t="s">
        <v>865</v>
      </c>
      <c r="HV6" t="s">
        <v>865</v>
      </c>
      <c r="HW6" t="s">
        <v>865</v>
      </c>
      <c r="HX6" t="s">
        <v>866</v>
      </c>
      <c r="HY6" t="s">
        <v>866</v>
      </c>
      <c r="HZ6" t="s">
        <v>866</v>
      </c>
      <c r="IA6" t="s">
        <v>866</v>
      </c>
      <c r="IB6" t="s">
        <v>866</v>
      </c>
      <c r="IC6" t="s">
        <v>866</v>
      </c>
      <c r="ID6" t="s">
        <v>866</v>
      </c>
      <c r="IE6" t="s">
        <v>863</v>
      </c>
      <c r="IF6" t="s">
        <v>863</v>
      </c>
      <c r="IG6" t="s">
        <v>863</v>
      </c>
      <c r="IH6" t="s">
        <v>863</v>
      </c>
      <c r="II6" t="s">
        <v>863</v>
      </c>
      <c r="IJ6" t="s">
        <v>863</v>
      </c>
      <c r="IK6" t="s">
        <v>863</v>
      </c>
      <c r="IL6" t="s">
        <v>864</v>
      </c>
      <c r="IM6" t="s">
        <v>864</v>
      </c>
      <c r="IN6" t="s">
        <v>864</v>
      </c>
      <c r="IO6" t="s">
        <v>864</v>
      </c>
      <c r="IP6" t="s">
        <v>864</v>
      </c>
      <c r="IQ6" t="s">
        <v>864</v>
      </c>
      <c r="IR6" t="s">
        <v>864</v>
      </c>
      <c r="IS6" t="s">
        <v>864</v>
      </c>
      <c r="IT6" t="s">
        <v>865</v>
      </c>
      <c r="IU6" t="s">
        <v>865</v>
      </c>
      <c r="IV6" t="s">
        <v>865</v>
      </c>
      <c r="IW6" t="s">
        <v>865</v>
      </c>
      <c r="IX6" t="s">
        <v>865</v>
      </c>
      <c r="IY6" t="s">
        <v>865</v>
      </c>
      <c r="IZ6" t="s">
        <v>865</v>
      </c>
      <c r="JA6" t="s">
        <v>865</v>
      </c>
      <c r="JB6" t="s">
        <v>866</v>
      </c>
      <c r="JC6" t="s">
        <v>866</v>
      </c>
      <c r="JD6" t="s">
        <v>866</v>
      </c>
      <c r="JE6" t="s">
        <v>866</v>
      </c>
      <c r="JF6" t="s">
        <v>866</v>
      </c>
      <c r="JG6" t="s">
        <v>866</v>
      </c>
      <c r="JH6" t="s">
        <v>863</v>
      </c>
      <c r="JI6" t="s">
        <v>863</v>
      </c>
      <c r="JJ6" t="s">
        <v>863</v>
      </c>
      <c r="JK6" t="s">
        <v>863</v>
      </c>
      <c r="JL6" t="s">
        <v>863</v>
      </c>
      <c r="JM6" t="s">
        <v>863</v>
      </c>
      <c r="JN6" t="s">
        <v>863</v>
      </c>
      <c r="JO6" t="s">
        <v>863</v>
      </c>
      <c r="JP6" t="s">
        <v>864</v>
      </c>
      <c r="JQ6" t="s">
        <v>864</v>
      </c>
      <c r="JR6" t="s">
        <v>864</v>
      </c>
      <c r="JS6" t="s">
        <v>864</v>
      </c>
      <c r="JT6" t="s">
        <v>864</v>
      </c>
      <c r="JU6" t="s">
        <v>864</v>
      </c>
      <c r="JV6" t="s">
        <v>864</v>
      </c>
      <c r="JW6" t="s">
        <v>865</v>
      </c>
      <c r="JX6" t="s">
        <v>865</v>
      </c>
      <c r="JY6" t="s">
        <v>865</v>
      </c>
      <c r="JZ6" t="s">
        <v>865</v>
      </c>
      <c r="KA6" t="s">
        <v>865</v>
      </c>
      <c r="KB6" t="s">
        <v>865</v>
      </c>
      <c r="KC6" t="s">
        <v>865</v>
      </c>
      <c r="KD6" t="s">
        <v>865</v>
      </c>
      <c r="KE6" t="s">
        <v>866</v>
      </c>
      <c r="KF6" t="s">
        <v>866</v>
      </c>
      <c r="KG6" t="s">
        <v>866</v>
      </c>
      <c r="KH6" t="s">
        <v>866</v>
      </c>
      <c r="KI6" t="s">
        <v>866</v>
      </c>
      <c r="KJ6" t="s">
        <v>866</v>
      </c>
      <c r="KK6" t="s">
        <v>863</v>
      </c>
      <c r="KL6" t="s">
        <v>863</v>
      </c>
      <c r="KM6" t="s">
        <v>863</v>
      </c>
      <c r="KN6" t="s">
        <v>863</v>
      </c>
      <c r="KO6" t="s">
        <v>863</v>
      </c>
      <c r="KP6" t="s">
        <v>863</v>
      </c>
      <c r="KQ6" t="s">
        <v>863</v>
      </c>
      <c r="KR6" t="s">
        <v>863</v>
      </c>
      <c r="KS6" t="s">
        <v>863</v>
      </c>
      <c r="KT6" t="s">
        <v>864</v>
      </c>
      <c r="KU6" t="s">
        <v>864</v>
      </c>
      <c r="KV6" t="s">
        <v>864</v>
      </c>
      <c r="KW6" t="s">
        <v>864</v>
      </c>
      <c r="KX6" t="s">
        <v>864</v>
      </c>
      <c r="KY6" t="s">
        <v>864</v>
      </c>
      <c r="KZ6" t="s">
        <v>864</v>
      </c>
      <c r="LA6" t="s">
        <v>865</v>
      </c>
      <c r="LB6" t="s">
        <v>865</v>
      </c>
      <c r="LC6" t="s">
        <v>865</v>
      </c>
      <c r="LD6" t="s">
        <v>865</v>
      </c>
      <c r="LE6" t="s">
        <v>865</v>
      </c>
      <c r="LF6" t="s">
        <v>865</v>
      </c>
      <c r="LG6" t="s">
        <v>865</v>
      </c>
      <c r="LH6" t="s">
        <v>866</v>
      </c>
      <c r="LI6" t="s">
        <v>866</v>
      </c>
      <c r="LJ6" t="s">
        <v>866</v>
      </c>
      <c r="LK6" t="s">
        <v>866</v>
      </c>
      <c r="LL6" t="s">
        <v>866</v>
      </c>
      <c r="LM6" t="s">
        <v>866</v>
      </c>
      <c r="LN6" t="s">
        <v>866</v>
      </c>
      <c r="LO6" t="s">
        <v>863</v>
      </c>
      <c r="LP6" t="s">
        <v>863</v>
      </c>
      <c r="LQ6" t="s">
        <v>863</v>
      </c>
      <c r="LR6" t="s">
        <v>863</v>
      </c>
      <c r="LS6" t="s">
        <v>863</v>
      </c>
      <c r="LT6" t="s">
        <v>863</v>
      </c>
      <c r="LU6" t="s">
        <v>863</v>
      </c>
      <c r="LV6" t="s">
        <v>863</v>
      </c>
      <c r="LW6" t="s">
        <v>863</v>
      </c>
      <c r="LX6" t="s">
        <v>864</v>
      </c>
      <c r="LY6" t="s">
        <v>864</v>
      </c>
      <c r="LZ6" t="s">
        <v>864</v>
      </c>
      <c r="MA6" t="s">
        <v>864</v>
      </c>
      <c r="MB6" t="s">
        <v>864</v>
      </c>
      <c r="MC6" t="s">
        <v>864</v>
      </c>
      <c r="MD6" t="s">
        <v>864</v>
      </c>
      <c r="ME6" t="s">
        <v>865</v>
      </c>
      <c r="MF6" t="s">
        <v>865</v>
      </c>
      <c r="MG6" t="s">
        <v>865</v>
      </c>
      <c r="MH6" t="s">
        <v>865</v>
      </c>
      <c r="MI6" t="s">
        <v>865</v>
      </c>
      <c r="MJ6" t="s">
        <v>865</v>
      </c>
      <c r="MK6" t="s">
        <v>865</v>
      </c>
      <c r="ML6" t="s">
        <v>866</v>
      </c>
      <c r="MM6" t="s">
        <v>866</v>
      </c>
      <c r="MN6" t="s">
        <v>866</v>
      </c>
      <c r="MO6" t="s">
        <v>866</v>
      </c>
      <c r="MP6" t="s">
        <v>866</v>
      </c>
      <c r="MQ6" t="s">
        <v>866</v>
      </c>
      <c r="MR6" t="s">
        <v>866</v>
      </c>
      <c r="MS6" t="s">
        <v>863</v>
      </c>
      <c r="MT6" t="s">
        <v>863</v>
      </c>
      <c r="MU6" t="s">
        <v>863</v>
      </c>
      <c r="MV6" t="s">
        <v>863</v>
      </c>
      <c r="MW6" t="s">
        <v>863</v>
      </c>
      <c r="MX6" t="s">
        <v>863</v>
      </c>
      <c r="MY6" t="s">
        <v>863</v>
      </c>
      <c r="MZ6" t="s">
        <v>863</v>
      </c>
      <c r="NA6" t="s">
        <v>864</v>
      </c>
      <c r="NB6" t="s">
        <v>864</v>
      </c>
      <c r="NC6" t="s">
        <v>864</v>
      </c>
      <c r="ND6" t="s">
        <v>864</v>
      </c>
      <c r="NE6" t="s">
        <v>864</v>
      </c>
      <c r="NF6" t="s">
        <v>864</v>
      </c>
      <c r="NG6" t="s">
        <v>864</v>
      </c>
      <c r="NH6" t="s">
        <v>865</v>
      </c>
      <c r="NI6" t="s">
        <v>865</v>
      </c>
      <c r="NJ6" t="s">
        <v>865</v>
      </c>
      <c r="NK6" t="s">
        <v>865</v>
      </c>
      <c r="NL6" t="s">
        <v>865</v>
      </c>
      <c r="NM6" t="s">
        <v>865</v>
      </c>
      <c r="NN6" t="s">
        <v>865</v>
      </c>
      <c r="NO6" t="s">
        <v>866</v>
      </c>
      <c r="NP6" t="s">
        <v>866</v>
      </c>
      <c r="NQ6" t="s">
        <v>866</v>
      </c>
      <c r="NR6" t="s">
        <v>866</v>
      </c>
      <c r="NS6" t="s">
        <v>866</v>
      </c>
      <c r="NT6" t="s">
        <v>866</v>
      </c>
      <c r="NU6" t="s">
        <v>866</v>
      </c>
      <c r="NV6" t="s">
        <v>863</v>
      </c>
      <c r="NW6" t="s">
        <v>863</v>
      </c>
      <c r="NX6" t="s">
        <v>863</v>
      </c>
      <c r="NY6" t="s">
        <v>863</v>
      </c>
      <c r="NZ6" t="s">
        <v>863</v>
      </c>
      <c r="OA6" t="s">
        <v>863</v>
      </c>
      <c r="OB6" t="s">
        <v>863</v>
      </c>
      <c r="OC6" t="s">
        <v>863</v>
      </c>
      <c r="OD6" t="s">
        <v>863</v>
      </c>
      <c r="OE6" t="s">
        <v>864</v>
      </c>
      <c r="OF6" t="s">
        <v>864</v>
      </c>
      <c r="OG6" t="s">
        <v>864</v>
      </c>
      <c r="OH6" t="s">
        <v>864</v>
      </c>
      <c r="OI6" t="s">
        <v>864</v>
      </c>
      <c r="OJ6" t="s">
        <v>864</v>
      </c>
      <c r="OK6" t="s">
        <v>865</v>
      </c>
      <c r="OL6" t="s">
        <v>865</v>
      </c>
      <c r="OM6" t="s">
        <v>865</v>
      </c>
      <c r="ON6" t="s">
        <v>865</v>
      </c>
      <c r="OO6" t="s">
        <v>865</v>
      </c>
      <c r="OP6" t="s">
        <v>865</v>
      </c>
      <c r="OQ6" t="s">
        <v>865</v>
      </c>
      <c r="OR6" t="s">
        <v>865</v>
      </c>
      <c r="OS6" t="s">
        <v>866</v>
      </c>
      <c r="OT6" t="s">
        <v>866</v>
      </c>
      <c r="OU6" t="s">
        <v>866</v>
      </c>
      <c r="OV6" t="s">
        <v>866</v>
      </c>
      <c r="OW6" t="s">
        <v>866</v>
      </c>
      <c r="OX6" t="s">
        <v>866</v>
      </c>
      <c r="OY6" t="s">
        <v>866</v>
      </c>
      <c r="OZ6" t="s">
        <v>863</v>
      </c>
      <c r="PA6" t="s">
        <v>863</v>
      </c>
      <c r="PB6" t="s">
        <v>863</v>
      </c>
      <c r="PC6" t="s">
        <v>863</v>
      </c>
      <c r="PD6" t="s">
        <v>863</v>
      </c>
      <c r="PE6" t="s">
        <v>863</v>
      </c>
      <c r="PF6" t="s">
        <v>863</v>
      </c>
      <c r="PG6" t="s">
        <v>863</v>
      </c>
      <c r="PH6" t="s">
        <v>863</v>
      </c>
      <c r="PI6" t="s">
        <v>864</v>
      </c>
      <c r="PJ6" t="s">
        <v>864</v>
      </c>
      <c r="PK6" t="s">
        <v>864</v>
      </c>
      <c r="PL6" t="s">
        <v>864</v>
      </c>
      <c r="PM6" t="s">
        <v>864</v>
      </c>
      <c r="PN6" t="s">
        <v>864</v>
      </c>
      <c r="PO6" t="s">
        <v>865</v>
      </c>
      <c r="PP6" t="s">
        <v>865</v>
      </c>
      <c r="PQ6" t="s">
        <v>865</v>
      </c>
      <c r="PR6" t="s">
        <v>865</v>
      </c>
      <c r="PS6" t="s">
        <v>865</v>
      </c>
      <c r="PT6" t="s">
        <v>865</v>
      </c>
      <c r="PU6" t="s">
        <v>865</v>
      </c>
      <c r="PV6" t="s">
        <v>866</v>
      </c>
      <c r="PW6" t="s">
        <v>866</v>
      </c>
      <c r="PX6" t="s">
        <v>866</v>
      </c>
      <c r="PY6" t="s">
        <v>866</v>
      </c>
      <c r="PZ6" t="s">
        <v>866</v>
      </c>
      <c r="QA6" t="s">
        <v>866</v>
      </c>
      <c r="QB6" t="s">
        <v>866</v>
      </c>
      <c r="QC6" t="s">
        <v>866</v>
      </c>
      <c r="QD6" t="s">
        <v>863</v>
      </c>
      <c r="QE6" t="s">
        <v>863</v>
      </c>
      <c r="QF6" t="s">
        <v>863</v>
      </c>
      <c r="QG6" t="s">
        <v>863</v>
      </c>
      <c r="QH6" t="s">
        <v>863</v>
      </c>
      <c r="QI6" t="s">
        <v>863</v>
      </c>
      <c r="QJ6" t="s">
        <v>863</v>
      </c>
      <c r="QK6" t="s">
        <v>863</v>
      </c>
      <c r="QL6" t="s">
        <v>864</v>
      </c>
      <c r="QM6" t="s">
        <v>864</v>
      </c>
      <c r="QN6" t="s">
        <v>864</v>
      </c>
      <c r="QO6" t="s">
        <v>864</v>
      </c>
      <c r="QP6" t="s">
        <v>864</v>
      </c>
      <c r="QQ6" t="s">
        <v>864</v>
      </c>
      <c r="QR6" t="s">
        <v>865</v>
      </c>
      <c r="QS6" t="s">
        <v>865</v>
      </c>
      <c r="QT6" t="s">
        <v>865</v>
      </c>
      <c r="QU6" t="s">
        <v>865</v>
      </c>
      <c r="QV6" t="s">
        <v>865</v>
      </c>
      <c r="QW6" t="s">
        <v>865</v>
      </c>
      <c r="QX6" t="s">
        <v>865</v>
      </c>
      <c r="QY6" t="s">
        <v>865</v>
      </c>
      <c r="QZ6" t="s">
        <v>866</v>
      </c>
      <c r="RA6" t="s">
        <v>866</v>
      </c>
      <c r="RB6" t="s">
        <v>866</v>
      </c>
      <c r="RC6" t="s">
        <v>866</v>
      </c>
      <c r="RD6" t="s">
        <v>866</v>
      </c>
      <c r="RE6" t="s">
        <v>866</v>
      </c>
      <c r="RF6" t="s">
        <v>866</v>
      </c>
      <c r="RG6" t="s">
        <v>866</v>
      </c>
      <c r="RH6" t="s">
        <v>863</v>
      </c>
      <c r="RI6" t="s">
        <v>863</v>
      </c>
      <c r="RJ6" t="s">
        <v>863</v>
      </c>
      <c r="RK6" t="s">
        <v>863</v>
      </c>
      <c r="RL6" t="s">
        <v>863</v>
      </c>
      <c r="RM6" t="s">
        <v>863</v>
      </c>
      <c r="RN6" t="s">
        <v>863</v>
      </c>
      <c r="RO6" t="s">
        <v>864</v>
      </c>
      <c r="RP6" t="s">
        <v>864</v>
      </c>
      <c r="RQ6" t="s">
        <v>864</v>
      </c>
      <c r="RR6" t="s">
        <v>864</v>
      </c>
      <c r="RS6" t="s">
        <v>864</v>
      </c>
      <c r="RT6" t="s">
        <v>864</v>
      </c>
      <c r="RU6" t="s">
        <v>864</v>
      </c>
      <c r="RV6" t="s">
        <v>865</v>
      </c>
      <c r="RW6" t="s">
        <v>865</v>
      </c>
      <c r="RX6" t="s">
        <v>865</v>
      </c>
      <c r="RY6" t="s">
        <v>865</v>
      </c>
      <c r="RZ6" t="s">
        <v>865</v>
      </c>
      <c r="SA6" t="s">
        <v>865</v>
      </c>
      <c r="SB6" t="s">
        <v>865</v>
      </c>
      <c r="SC6" t="s">
        <v>865</v>
      </c>
      <c r="SD6" t="s">
        <v>866</v>
      </c>
      <c r="SE6" t="s">
        <v>866</v>
      </c>
      <c r="SF6" t="s">
        <v>866</v>
      </c>
      <c r="SG6" t="s">
        <v>866</v>
      </c>
      <c r="SH6" t="s">
        <v>866</v>
      </c>
      <c r="SI6" t="s">
        <v>866</v>
      </c>
      <c r="SJ6" t="s">
        <v>866</v>
      </c>
      <c r="SK6" t="s">
        <v>863</v>
      </c>
      <c r="SL6" t="s">
        <v>863</v>
      </c>
      <c r="SM6" t="s">
        <v>863</v>
      </c>
      <c r="SN6" t="s">
        <v>863</v>
      </c>
      <c r="SO6" t="s">
        <v>863</v>
      </c>
      <c r="SP6" t="s">
        <v>863</v>
      </c>
      <c r="SQ6" t="s">
        <v>863</v>
      </c>
      <c r="SR6" t="s">
        <v>863</v>
      </c>
      <c r="SS6" t="s">
        <v>864</v>
      </c>
      <c r="ST6" t="s">
        <v>864</v>
      </c>
      <c r="SU6" t="s">
        <v>864</v>
      </c>
      <c r="SV6" t="s">
        <v>864</v>
      </c>
      <c r="SW6" t="s">
        <v>864</v>
      </c>
      <c r="SX6" t="s">
        <v>864</v>
      </c>
      <c r="SY6" t="s">
        <v>865</v>
      </c>
      <c r="SZ6" t="s">
        <v>865</v>
      </c>
      <c r="TA6" t="s">
        <v>865</v>
      </c>
      <c r="TB6" t="s">
        <v>865</v>
      </c>
      <c r="TC6" t="s">
        <v>865</v>
      </c>
      <c r="TD6" t="s">
        <v>865</v>
      </c>
      <c r="TE6" t="s">
        <v>865</v>
      </c>
      <c r="TF6" t="s">
        <v>865</v>
      </c>
      <c r="TG6" t="s">
        <v>865</v>
      </c>
      <c r="TH6" t="s">
        <v>866</v>
      </c>
      <c r="TI6" t="s">
        <v>866</v>
      </c>
      <c r="TJ6" t="s">
        <v>866</v>
      </c>
      <c r="TK6" t="s">
        <v>866</v>
      </c>
      <c r="TL6" t="s">
        <v>866</v>
      </c>
      <c r="TM6" t="s">
        <v>866</v>
      </c>
      <c r="TN6" t="s">
        <v>866</v>
      </c>
      <c r="TO6" t="s">
        <v>863</v>
      </c>
      <c r="TP6" t="s">
        <v>863</v>
      </c>
      <c r="TQ6" t="s">
        <v>863</v>
      </c>
      <c r="TR6" t="s">
        <v>863</v>
      </c>
      <c r="TS6" t="s">
        <v>863</v>
      </c>
      <c r="TT6" t="s">
        <v>863</v>
      </c>
      <c r="TU6" t="s">
        <v>863</v>
      </c>
      <c r="TV6" t="s">
        <v>864</v>
      </c>
      <c r="TW6" t="s">
        <v>864</v>
      </c>
      <c r="TX6" t="s">
        <v>864</v>
      </c>
      <c r="TY6" t="s">
        <v>864</v>
      </c>
      <c r="TZ6" t="s">
        <v>864</v>
      </c>
      <c r="UA6" t="s">
        <v>864</v>
      </c>
      <c r="UB6" t="s">
        <v>864</v>
      </c>
      <c r="UC6" t="s">
        <v>865</v>
      </c>
      <c r="UD6" t="s">
        <v>865</v>
      </c>
      <c r="UE6" t="s">
        <v>865</v>
      </c>
      <c r="UF6" t="s">
        <v>865</v>
      </c>
      <c r="UG6" t="s">
        <v>865</v>
      </c>
      <c r="UH6" t="s">
        <v>865</v>
      </c>
      <c r="UI6" t="s">
        <v>865</v>
      </c>
      <c r="UJ6" t="s">
        <v>865</v>
      </c>
      <c r="UK6" t="s">
        <v>866</v>
      </c>
      <c r="UL6" t="s">
        <v>866</v>
      </c>
      <c r="UM6" t="s">
        <v>866</v>
      </c>
      <c r="UN6" t="s">
        <v>866</v>
      </c>
      <c r="UO6" t="s">
        <v>866</v>
      </c>
      <c r="UP6" t="s">
        <v>866</v>
      </c>
      <c r="UQ6" t="s">
        <v>866</v>
      </c>
      <c r="UR6" t="s">
        <v>863</v>
      </c>
      <c r="US6" t="s">
        <v>863</v>
      </c>
      <c r="UT6" t="s">
        <v>863</v>
      </c>
      <c r="UU6" t="s">
        <v>863</v>
      </c>
      <c r="UV6" t="s">
        <v>863</v>
      </c>
      <c r="UW6" t="s">
        <v>863</v>
      </c>
      <c r="UX6" t="s">
        <v>863</v>
      </c>
      <c r="UY6" t="s">
        <v>864</v>
      </c>
      <c r="UZ6" t="s">
        <v>864</v>
      </c>
      <c r="VA6" t="s">
        <v>864</v>
      </c>
      <c r="VB6" t="s">
        <v>864</v>
      </c>
      <c r="VC6" t="s">
        <v>864</v>
      </c>
      <c r="VD6" t="s">
        <v>864</v>
      </c>
      <c r="VE6" t="s">
        <v>864</v>
      </c>
      <c r="VF6" t="s">
        <v>865</v>
      </c>
      <c r="VG6" t="s">
        <v>865</v>
      </c>
      <c r="VH6" t="s">
        <v>865</v>
      </c>
      <c r="VI6" t="s">
        <v>865</v>
      </c>
      <c r="VJ6" t="s">
        <v>865</v>
      </c>
      <c r="VK6" t="s">
        <v>865</v>
      </c>
      <c r="VL6" t="s">
        <v>865</v>
      </c>
      <c r="VM6" t="s">
        <v>865</v>
      </c>
      <c r="VN6" t="s">
        <v>865</v>
      </c>
      <c r="VO6" t="s">
        <v>866</v>
      </c>
      <c r="VP6" t="s">
        <v>866</v>
      </c>
      <c r="VQ6" t="s">
        <v>866</v>
      </c>
      <c r="VR6" t="s">
        <v>866</v>
      </c>
      <c r="VS6" t="s">
        <v>866</v>
      </c>
      <c r="VT6" t="s">
        <v>866</v>
      </c>
      <c r="VU6" t="s">
        <v>863</v>
      </c>
      <c r="VV6" t="s">
        <v>863</v>
      </c>
      <c r="VW6" t="s">
        <v>863</v>
      </c>
      <c r="VX6" t="s">
        <v>863</v>
      </c>
      <c r="VY6" t="s">
        <v>863</v>
      </c>
      <c r="VZ6" t="s">
        <v>863</v>
      </c>
      <c r="WA6" t="s">
        <v>863</v>
      </c>
      <c r="WB6" t="s">
        <v>864</v>
      </c>
      <c r="WC6" t="s">
        <v>864</v>
      </c>
      <c r="WD6" t="s">
        <v>864</v>
      </c>
      <c r="WE6" t="s">
        <v>864</v>
      </c>
      <c r="WF6" t="s">
        <v>864</v>
      </c>
      <c r="WG6" t="s">
        <v>864</v>
      </c>
      <c r="WH6" t="s">
        <v>864</v>
      </c>
      <c r="WI6" t="s">
        <v>864</v>
      </c>
      <c r="WJ6" t="s">
        <v>865</v>
      </c>
      <c r="WK6" t="s">
        <v>865</v>
      </c>
      <c r="WL6" t="s">
        <v>865</v>
      </c>
      <c r="WM6" t="s">
        <v>865</v>
      </c>
      <c r="WN6" t="s">
        <v>865</v>
      </c>
      <c r="WO6" t="s">
        <v>865</v>
      </c>
      <c r="WP6" t="s">
        <v>865</v>
      </c>
      <c r="WQ6" t="s">
        <v>865</v>
      </c>
      <c r="WR6" t="s">
        <v>866</v>
      </c>
      <c r="WS6" t="s">
        <v>866</v>
      </c>
      <c r="WT6" t="s">
        <v>866</v>
      </c>
      <c r="WU6" t="s">
        <v>866</v>
      </c>
      <c r="WV6" t="s">
        <v>866</v>
      </c>
      <c r="WW6" t="s">
        <v>866</v>
      </c>
      <c r="WX6" t="s">
        <v>866</v>
      </c>
      <c r="WY6" t="s">
        <v>863</v>
      </c>
      <c r="WZ6" t="s">
        <v>863</v>
      </c>
      <c r="XA6" t="s">
        <v>863</v>
      </c>
      <c r="XB6" t="s">
        <v>863</v>
      </c>
      <c r="XC6" t="s">
        <v>863</v>
      </c>
      <c r="XD6" t="s">
        <v>863</v>
      </c>
      <c r="XE6" t="s">
        <v>863</v>
      </c>
      <c r="XF6" t="s">
        <v>864</v>
      </c>
      <c r="XG6" t="s">
        <v>864</v>
      </c>
      <c r="XH6" t="s">
        <v>864</v>
      </c>
      <c r="XI6" t="s">
        <v>864</v>
      </c>
      <c r="XJ6" t="s">
        <v>864</v>
      </c>
      <c r="XK6" t="s">
        <v>864</v>
      </c>
      <c r="XL6" t="s">
        <v>864</v>
      </c>
      <c r="XM6" t="s">
        <v>864</v>
      </c>
      <c r="XN6" t="s">
        <v>865</v>
      </c>
      <c r="XO6" t="s">
        <v>865</v>
      </c>
      <c r="XP6" t="s">
        <v>865</v>
      </c>
      <c r="XQ6" t="s">
        <v>865</v>
      </c>
      <c r="XR6" t="s">
        <v>865</v>
      </c>
      <c r="XS6" t="s">
        <v>865</v>
      </c>
      <c r="XT6" t="s">
        <v>865</v>
      </c>
      <c r="XU6" t="s">
        <v>865</v>
      </c>
      <c r="XV6" t="s">
        <v>866</v>
      </c>
      <c r="XW6" t="s">
        <v>866</v>
      </c>
      <c r="XX6" t="s">
        <v>866</v>
      </c>
      <c r="XY6" t="s">
        <v>866</v>
      </c>
      <c r="XZ6" t="s">
        <v>866</v>
      </c>
      <c r="YA6" t="s">
        <v>866</v>
      </c>
      <c r="YB6" t="s">
        <v>863</v>
      </c>
      <c r="YC6" t="s">
        <v>863</v>
      </c>
      <c r="YD6" t="s">
        <v>863</v>
      </c>
      <c r="YE6" t="s">
        <v>863</v>
      </c>
      <c r="YF6" t="s">
        <v>863</v>
      </c>
      <c r="YG6" t="s">
        <v>863</v>
      </c>
      <c r="YH6" t="s">
        <v>863</v>
      </c>
      <c r="YI6" t="s">
        <v>863</v>
      </c>
      <c r="YJ6" t="s">
        <v>864</v>
      </c>
      <c r="YK6" t="s">
        <v>864</v>
      </c>
      <c r="YL6" t="s">
        <v>864</v>
      </c>
      <c r="YM6" t="s">
        <v>864</v>
      </c>
      <c r="YN6" t="s">
        <v>864</v>
      </c>
      <c r="YO6" t="s">
        <v>864</v>
      </c>
      <c r="YP6" t="s">
        <v>864</v>
      </c>
      <c r="YQ6" t="s">
        <v>865</v>
      </c>
      <c r="YR6" t="s">
        <v>865</v>
      </c>
      <c r="YS6" t="s">
        <v>865</v>
      </c>
      <c r="YT6" t="s">
        <v>865</v>
      </c>
      <c r="YU6" t="s">
        <v>865</v>
      </c>
      <c r="YV6" t="s">
        <v>865</v>
      </c>
      <c r="YW6" t="s">
        <v>865</v>
      </c>
      <c r="YX6" t="s">
        <v>865</v>
      </c>
      <c r="YY6" t="s">
        <v>866</v>
      </c>
      <c r="YZ6" t="s">
        <v>866</v>
      </c>
      <c r="ZA6" t="s">
        <v>866</v>
      </c>
      <c r="ZB6" t="s">
        <v>866</v>
      </c>
      <c r="ZC6" t="s">
        <v>866</v>
      </c>
      <c r="ZD6" t="s">
        <v>866</v>
      </c>
      <c r="ZE6" t="s">
        <v>863</v>
      </c>
      <c r="ZF6" t="s">
        <v>863</v>
      </c>
      <c r="ZG6" t="s">
        <v>863</v>
      </c>
      <c r="ZH6" t="s">
        <v>863</v>
      </c>
      <c r="ZI6" t="s">
        <v>863</v>
      </c>
      <c r="ZJ6" t="s">
        <v>863</v>
      </c>
      <c r="ZK6" t="s">
        <v>863</v>
      </c>
      <c r="ZL6" t="s">
        <v>863</v>
      </c>
      <c r="ZM6" t="s">
        <v>864</v>
      </c>
      <c r="ZN6" t="s">
        <v>864</v>
      </c>
      <c r="ZO6" t="s">
        <v>864</v>
      </c>
      <c r="ZP6" t="s">
        <v>864</v>
      </c>
      <c r="ZQ6" t="s">
        <v>864</v>
      </c>
      <c r="ZR6" t="s">
        <v>864</v>
      </c>
      <c r="ZS6" t="s">
        <v>864</v>
      </c>
      <c r="ZT6" t="s">
        <v>864</v>
      </c>
      <c r="ZU6" t="s">
        <v>865</v>
      </c>
      <c r="ZV6" t="s">
        <v>865</v>
      </c>
      <c r="ZW6" t="s">
        <v>865</v>
      </c>
      <c r="ZX6" t="s">
        <v>865</v>
      </c>
      <c r="ZY6" t="s">
        <v>865</v>
      </c>
      <c r="ZZ6" t="s">
        <v>865</v>
      </c>
      <c r="AAA6" t="s">
        <v>865</v>
      </c>
      <c r="AAB6" t="s">
        <v>866</v>
      </c>
      <c r="AAC6" t="s">
        <v>866</v>
      </c>
      <c r="AAD6" t="s">
        <v>866</v>
      </c>
      <c r="AAE6" t="s">
        <v>866</v>
      </c>
      <c r="AAF6" t="s">
        <v>866</v>
      </c>
      <c r="AAG6" t="s">
        <v>866</v>
      </c>
      <c r="AAH6" t="s">
        <v>866</v>
      </c>
      <c r="AAI6" t="s">
        <v>863</v>
      </c>
      <c r="AAJ6" t="s">
        <v>863</v>
      </c>
      <c r="AAK6" t="s">
        <v>863</v>
      </c>
      <c r="AAL6" t="s">
        <v>863</v>
      </c>
      <c r="AAM6" t="s">
        <v>863</v>
      </c>
      <c r="AAN6" t="s">
        <v>863</v>
      </c>
      <c r="AAO6" t="s">
        <v>863</v>
      </c>
      <c r="AAP6" t="s">
        <v>863</v>
      </c>
      <c r="AAQ6" t="s">
        <v>864</v>
      </c>
      <c r="AAR6" t="s">
        <v>864</v>
      </c>
      <c r="AAS6" t="s">
        <v>864</v>
      </c>
      <c r="AAT6" t="s">
        <v>864</v>
      </c>
      <c r="AAU6" t="s">
        <v>864</v>
      </c>
      <c r="AAV6" t="s">
        <v>864</v>
      </c>
      <c r="AAW6" t="s">
        <v>864</v>
      </c>
      <c r="AAX6" t="s">
        <v>865</v>
      </c>
      <c r="AAY6" t="s">
        <v>865</v>
      </c>
      <c r="AAZ6" t="s">
        <v>865</v>
      </c>
      <c r="ABA6" t="s">
        <v>865</v>
      </c>
      <c r="ABB6" t="s">
        <v>865</v>
      </c>
      <c r="ABC6" t="s">
        <v>865</v>
      </c>
      <c r="ABD6" t="s">
        <v>865</v>
      </c>
      <c r="ABE6" t="s">
        <v>865</v>
      </c>
      <c r="ABF6" t="s">
        <v>866</v>
      </c>
      <c r="ABG6" t="s">
        <v>866</v>
      </c>
      <c r="ABH6" t="s">
        <v>866</v>
      </c>
      <c r="ABI6" t="s">
        <v>866</v>
      </c>
      <c r="ABJ6" t="s">
        <v>866</v>
      </c>
      <c r="ABK6" t="s">
        <v>866</v>
      </c>
      <c r="ABL6" t="s">
        <v>863</v>
      </c>
      <c r="ABM6" t="s">
        <v>863</v>
      </c>
      <c r="ABN6" t="s">
        <v>863</v>
      </c>
      <c r="ABO6" t="s">
        <v>863</v>
      </c>
      <c r="ABP6" t="s">
        <v>863</v>
      </c>
      <c r="ABQ6" t="s">
        <v>863</v>
      </c>
      <c r="ABR6" t="s">
        <v>863</v>
      </c>
      <c r="ABS6" t="s">
        <v>863</v>
      </c>
      <c r="ABT6" t="s">
        <v>863</v>
      </c>
      <c r="ABU6" t="s">
        <v>864</v>
      </c>
      <c r="ABV6" t="s">
        <v>864</v>
      </c>
      <c r="ABW6" t="s">
        <v>864</v>
      </c>
      <c r="ABX6" t="s">
        <v>864</v>
      </c>
      <c r="ABY6" t="s">
        <v>864</v>
      </c>
      <c r="ABZ6" t="s">
        <v>864</v>
      </c>
      <c r="ACA6" t="s">
        <v>864</v>
      </c>
      <c r="ACB6" t="s">
        <v>865</v>
      </c>
      <c r="ACC6" t="s">
        <v>865</v>
      </c>
      <c r="ACD6" t="s">
        <v>865</v>
      </c>
      <c r="ACE6" t="s">
        <v>865</v>
      </c>
      <c r="ACF6" t="s">
        <v>865</v>
      </c>
      <c r="ACG6" t="s">
        <v>865</v>
      </c>
      <c r="ACH6" t="s">
        <v>865</v>
      </c>
      <c r="ACI6" t="s">
        <v>866</v>
      </c>
      <c r="ACJ6" t="s">
        <v>866</v>
      </c>
      <c r="ACK6" t="s">
        <v>866</v>
      </c>
      <c r="ACL6" t="s">
        <v>866</v>
      </c>
      <c r="ACM6" t="s">
        <v>866</v>
      </c>
      <c r="ACN6" t="s">
        <v>866</v>
      </c>
      <c r="ACO6" t="s">
        <v>866</v>
      </c>
      <c r="ACP6" t="s">
        <v>863</v>
      </c>
      <c r="ACQ6" t="s">
        <v>863</v>
      </c>
      <c r="ACR6" t="s">
        <v>863</v>
      </c>
      <c r="ACS6" t="s">
        <v>863</v>
      </c>
      <c r="ACT6" t="s">
        <v>863</v>
      </c>
      <c r="ACU6" t="s">
        <v>863</v>
      </c>
      <c r="ACV6" t="s">
        <v>863</v>
      </c>
      <c r="ACW6" t="s">
        <v>863</v>
      </c>
      <c r="ACX6" t="s">
        <v>863</v>
      </c>
      <c r="ACY6" t="s">
        <v>864</v>
      </c>
      <c r="ACZ6" t="s">
        <v>864</v>
      </c>
      <c r="ADA6" t="s">
        <v>864</v>
      </c>
      <c r="ADB6" t="s">
        <v>864</v>
      </c>
      <c r="ADC6" t="s">
        <v>864</v>
      </c>
      <c r="ADD6" t="s">
        <v>864</v>
      </c>
      <c r="ADE6" t="s">
        <v>864</v>
      </c>
      <c r="ADF6" t="s">
        <v>865</v>
      </c>
      <c r="ADG6" t="s">
        <v>865</v>
      </c>
      <c r="ADH6" t="s">
        <v>865</v>
      </c>
      <c r="ADI6" t="s">
        <v>865</v>
      </c>
      <c r="ADJ6" t="s">
        <v>865</v>
      </c>
      <c r="ADK6" t="s">
        <v>865</v>
      </c>
      <c r="ADL6" t="s">
        <v>865</v>
      </c>
      <c r="ADM6" t="s">
        <v>866</v>
      </c>
      <c r="ADN6" t="s">
        <v>866</v>
      </c>
      <c r="ADO6" t="s">
        <v>866</v>
      </c>
      <c r="ADP6" t="s">
        <v>866</v>
      </c>
    </row>
    <row r="7" spans="1:796">
      <c r="A7" t="s">
        <v>4572</v>
      </c>
      <c r="B7">
        <v>7</v>
      </c>
      <c r="C7" t="s">
        <v>4296</v>
      </c>
      <c r="D7">
        <v>44</v>
      </c>
      <c r="E7" t="s">
        <v>667</v>
      </c>
      <c r="F7" t="s">
        <v>667</v>
      </c>
      <c r="G7" t="s">
        <v>667</v>
      </c>
      <c r="H7" t="s">
        <v>667</v>
      </c>
      <c r="I7" t="s">
        <v>667</v>
      </c>
      <c r="J7" t="s">
        <v>667</v>
      </c>
      <c r="K7" t="s">
        <v>383</v>
      </c>
      <c r="L7" t="s">
        <v>383</v>
      </c>
      <c r="M7" t="s">
        <v>383</v>
      </c>
      <c r="N7" t="s">
        <v>383</v>
      </c>
      <c r="O7" t="s">
        <v>383</v>
      </c>
      <c r="P7" t="s">
        <v>383</v>
      </c>
      <c r="Q7" t="s">
        <v>456</v>
      </c>
      <c r="R7" t="s">
        <v>456</v>
      </c>
      <c r="S7" t="s">
        <v>456</v>
      </c>
      <c r="T7" t="s">
        <v>456</v>
      </c>
      <c r="U7" t="s">
        <v>456</v>
      </c>
      <c r="V7" t="s">
        <v>456</v>
      </c>
      <c r="W7" t="s">
        <v>456</v>
      </c>
      <c r="X7" t="s">
        <v>456</v>
      </c>
      <c r="Y7" t="s">
        <v>384</v>
      </c>
      <c r="Z7" t="s">
        <v>384</v>
      </c>
      <c r="AA7" t="s">
        <v>384</v>
      </c>
      <c r="AB7" t="s">
        <v>384</v>
      </c>
      <c r="AC7" t="s">
        <v>384</v>
      </c>
      <c r="AD7" t="s">
        <v>384</v>
      </c>
      <c r="AE7" t="s">
        <v>384</v>
      </c>
      <c r="AF7" t="s">
        <v>667</v>
      </c>
      <c r="AG7" t="s">
        <v>667</v>
      </c>
      <c r="AH7" t="s">
        <v>667</v>
      </c>
      <c r="AI7" t="s">
        <v>667</v>
      </c>
      <c r="AJ7" t="s">
        <v>667</v>
      </c>
      <c r="AK7" t="s">
        <v>667</v>
      </c>
      <c r="AL7" t="s">
        <v>667</v>
      </c>
      <c r="AM7" t="s">
        <v>667</v>
      </c>
      <c r="AN7" t="s">
        <v>667</v>
      </c>
      <c r="AO7" t="s">
        <v>383</v>
      </c>
      <c r="AP7" t="s">
        <v>383</v>
      </c>
      <c r="AQ7" t="s">
        <v>383</v>
      </c>
      <c r="AR7" t="s">
        <v>383</v>
      </c>
      <c r="AS7" t="s">
        <v>383</v>
      </c>
      <c r="AT7" t="s">
        <v>383</v>
      </c>
      <c r="AU7" t="s">
        <v>456</v>
      </c>
      <c r="AV7" t="s">
        <v>456</v>
      </c>
      <c r="AW7" t="s">
        <v>456</v>
      </c>
      <c r="AX7" t="s">
        <v>456</v>
      </c>
      <c r="AY7" t="s">
        <v>456</v>
      </c>
      <c r="AZ7" t="s">
        <v>456</v>
      </c>
      <c r="BA7" t="s">
        <v>456</v>
      </c>
      <c r="BB7" t="s">
        <v>456</v>
      </c>
      <c r="BC7" t="s">
        <v>384</v>
      </c>
      <c r="BD7" t="s">
        <v>384</v>
      </c>
      <c r="BE7" t="s">
        <v>384</v>
      </c>
      <c r="BF7" t="s">
        <v>384</v>
      </c>
      <c r="BG7" t="s">
        <v>384</v>
      </c>
      <c r="BH7" t="s">
        <v>384</v>
      </c>
      <c r="BI7" t="s">
        <v>384</v>
      </c>
      <c r="BJ7" t="s">
        <v>667</v>
      </c>
      <c r="BK7" t="s">
        <v>667</v>
      </c>
      <c r="BL7" t="s">
        <v>667</v>
      </c>
      <c r="BM7" t="s">
        <v>667</v>
      </c>
      <c r="BN7" t="s">
        <v>667</v>
      </c>
      <c r="BO7" t="s">
        <v>667</v>
      </c>
      <c r="BP7" t="s">
        <v>667</v>
      </c>
      <c r="BQ7" t="s">
        <v>667</v>
      </c>
      <c r="BR7" t="s">
        <v>383</v>
      </c>
      <c r="BS7" t="s">
        <v>383</v>
      </c>
      <c r="BT7" t="s">
        <v>383</v>
      </c>
      <c r="BU7" t="s">
        <v>383</v>
      </c>
      <c r="BV7" t="s">
        <v>383</v>
      </c>
      <c r="BW7" t="s">
        <v>383</v>
      </c>
      <c r="BX7" t="s">
        <v>456</v>
      </c>
      <c r="BY7" t="s">
        <v>456</v>
      </c>
      <c r="BZ7" t="s">
        <v>456</v>
      </c>
      <c r="CA7" t="s">
        <v>456</v>
      </c>
      <c r="CB7" t="s">
        <v>456</v>
      </c>
      <c r="CC7" t="s">
        <v>456</v>
      </c>
      <c r="CD7" t="s">
        <v>456</v>
      </c>
      <c r="CE7" t="s">
        <v>456</v>
      </c>
      <c r="CF7" t="s">
        <v>384</v>
      </c>
      <c r="CG7" t="s">
        <v>384</v>
      </c>
      <c r="CH7" t="s">
        <v>384</v>
      </c>
      <c r="CI7" t="s">
        <v>384</v>
      </c>
      <c r="CJ7" t="s">
        <v>384</v>
      </c>
      <c r="CK7" t="s">
        <v>384</v>
      </c>
      <c r="CL7" t="s">
        <v>384</v>
      </c>
      <c r="CM7" t="s">
        <v>384</v>
      </c>
      <c r="CN7" t="s">
        <v>667</v>
      </c>
      <c r="CO7" t="s">
        <v>667</v>
      </c>
      <c r="CP7" t="s">
        <v>667</v>
      </c>
      <c r="CQ7" t="s">
        <v>667</v>
      </c>
      <c r="CR7" t="s">
        <v>667</v>
      </c>
      <c r="CS7" t="s">
        <v>667</v>
      </c>
      <c r="CT7" t="s">
        <v>667</v>
      </c>
      <c r="CU7" t="s">
        <v>383</v>
      </c>
      <c r="CV7" t="s">
        <v>383</v>
      </c>
      <c r="CW7" t="s">
        <v>383</v>
      </c>
      <c r="CX7" t="s">
        <v>383</v>
      </c>
      <c r="CY7" t="s">
        <v>383</v>
      </c>
      <c r="CZ7" t="s">
        <v>383</v>
      </c>
      <c r="DA7" t="s">
        <v>383</v>
      </c>
      <c r="DB7" t="s">
        <v>456</v>
      </c>
      <c r="DC7" t="s">
        <v>456</v>
      </c>
      <c r="DD7" t="s">
        <v>456</v>
      </c>
      <c r="DE7" t="s">
        <v>456</v>
      </c>
      <c r="DF7" t="s">
        <v>456</v>
      </c>
      <c r="DG7" t="s">
        <v>456</v>
      </c>
      <c r="DH7" t="s">
        <v>456</v>
      </c>
      <c r="DI7" t="s">
        <v>456</v>
      </c>
      <c r="DJ7" t="s">
        <v>384</v>
      </c>
      <c r="DK7" t="s">
        <v>384</v>
      </c>
      <c r="DL7" t="s">
        <v>384</v>
      </c>
      <c r="DM7" t="s">
        <v>384</v>
      </c>
      <c r="DN7" t="s">
        <v>384</v>
      </c>
      <c r="DO7" t="s">
        <v>384</v>
      </c>
      <c r="DP7" t="s">
        <v>384</v>
      </c>
      <c r="DQ7" t="s">
        <v>667</v>
      </c>
      <c r="DR7" t="s">
        <v>667</v>
      </c>
      <c r="DS7" t="s">
        <v>667</v>
      </c>
      <c r="DT7" t="s">
        <v>667</v>
      </c>
      <c r="DU7" t="s">
        <v>667</v>
      </c>
      <c r="DV7" t="s">
        <v>667</v>
      </c>
      <c r="DW7" t="s">
        <v>667</v>
      </c>
      <c r="DX7" t="s">
        <v>383</v>
      </c>
      <c r="DY7" t="s">
        <v>383</v>
      </c>
      <c r="DZ7" t="s">
        <v>383</v>
      </c>
      <c r="EA7" t="s">
        <v>383</v>
      </c>
      <c r="EB7" t="s">
        <v>383</v>
      </c>
      <c r="EC7" t="s">
        <v>383</v>
      </c>
      <c r="ED7" t="s">
        <v>383</v>
      </c>
      <c r="EE7" t="s">
        <v>456</v>
      </c>
      <c r="EF7" t="s">
        <v>456</v>
      </c>
      <c r="EG7" t="s">
        <v>456</v>
      </c>
      <c r="EH7" t="s">
        <v>456</v>
      </c>
      <c r="EI7" t="s">
        <v>456</v>
      </c>
      <c r="EJ7" t="s">
        <v>456</v>
      </c>
      <c r="EK7" t="s">
        <v>456</v>
      </c>
      <c r="EL7" t="s">
        <v>456</v>
      </c>
      <c r="EM7" t="s">
        <v>456</v>
      </c>
      <c r="EN7" t="s">
        <v>384</v>
      </c>
      <c r="EO7" t="s">
        <v>384</v>
      </c>
      <c r="EP7" t="s">
        <v>384</v>
      </c>
      <c r="EQ7" t="s">
        <v>384</v>
      </c>
      <c r="ER7" t="s">
        <v>384</v>
      </c>
      <c r="ES7" t="s">
        <v>384</v>
      </c>
      <c r="ET7" t="s">
        <v>384</v>
      </c>
      <c r="EU7" t="s">
        <v>667</v>
      </c>
      <c r="EV7" t="s">
        <v>667</v>
      </c>
      <c r="EW7" t="s">
        <v>667</v>
      </c>
      <c r="EX7" t="s">
        <v>667</v>
      </c>
      <c r="EY7" t="s">
        <v>667</v>
      </c>
      <c r="EZ7" t="s">
        <v>667</v>
      </c>
      <c r="FA7" t="s">
        <v>667</v>
      </c>
      <c r="FB7" t="s">
        <v>383</v>
      </c>
      <c r="FC7" t="s">
        <v>383</v>
      </c>
      <c r="FD7" t="s">
        <v>383</v>
      </c>
      <c r="FE7" t="s">
        <v>383</v>
      </c>
      <c r="FF7" t="s">
        <v>383</v>
      </c>
      <c r="FG7" t="s">
        <v>383</v>
      </c>
      <c r="FH7" t="s">
        <v>383</v>
      </c>
      <c r="FI7" t="s">
        <v>456</v>
      </c>
      <c r="FJ7" t="s">
        <v>456</v>
      </c>
      <c r="FK7" t="s">
        <v>456</v>
      </c>
      <c r="FL7" t="s">
        <v>456</v>
      </c>
      <c r="FM7" t="s">
        <v>456</v>
      </c>
      <c r="FN7" t="s">
        <v>456</v>
      </c>
      <c r="FO7" t="s">
        <v>456</v>
      </c>
      <c r="FP7" t="s">
        <v>456</v>
      </c>
      <c r="FQ7" t="s">
        <v>456</v>
      </c>
      <c r="FR7" t="s">
        <v>384</v>
      </c>
      <c r="FS7" t="s">
        <v>384</v>
      </c>
      <c r="FT7" t="s">
        <v>384</v>
      </c>
      <c r="FU7" t="s">
        <v>384</v>
      </c>
      <c r="FV7" t="s">
        <v>384</v>
      </c>
      <c r="FW7" t="s">
        <v>384</v>
      </c>
      <c r="FX7" t="s">
        <v>667</v>
      </c>
      <c r="FY7" t="s">
        <v>667</v>
      </c>
      <c r="FZ7" t="s">
        <v>667</v>
      </c>
      <c r="GA7" t="s">
        <v>667</v>
      </c>
      <c r="GB7" t="s">
        <v>667</v>
      </c>
      <c r="GC7" t="s">
        <v>667</v>
      </c>
      <c r="GD7" t="s">
        <v>667</v>
      </c>
      <c r="GE7" t="s">
        <v>383</v>
      </c>
      <c r="GF7" t="s">
        <v>383</v>
      </c>
      <c r="GG7" t="s">
        <v>383</v>
      </c>
      <c r="GH7" t="s">
        <v>383</v>
      </c>
      <c r="GI7" t="s">
        <v>383</v>
      </c>
      <c r="GJ7" t="s">
        <v>383</v>
      </c>
      <c r="GK7" t="s">
        <v>383</v>
      </c>
      <c r="GL7" t="s">
        <v>383</v>
      </c>
      <c r="GM7" t="s">
        <v>456</v>
      </c>
      <c r="GN7" t="s">
        <v>456</v>
      </c>
      <c r="GO7" t="s">
        <v>456</v>
      </c>
      <c r="GP7" t="s">
        <v>456</v>
      </c>
      <c r="GQ7" t="s">
        <v>456</v>
      </c>
      <c r="GR7" t="s">
        <v>456</v>
      </c>
      <c r="GS7" t="s">
        <v>456</v>
      </c>
      <c r="GT7" t="s">
        <v>456</v>
      </c>
      <c r="GU7" t="s">
        <v>384</v>
      </c>
      <c r="GV7" t="s">
        <v>384</v>
      </c>
      <c r="GW7" t="s">
        <v>384</v>
      </c>
      <c r="GX7" t="s">
        <v>384</v>
      </c>
      <c r="GY7" t="s">
        <v>384</v>
      </c>
      <c r="GZ7" t="s">
        <v>384</v>
      </c>
      <c r="HA7" t="s">
        <v>667</v>
      </c>
      <c r="HB7" t="s">
        <v>667</v>
      </c>
      <c r="HC7" t="s">
        <v>667</v>
      </c>
      <c r="HD7" t="s">
        <v>667</v>
      </c>
      <c r="HE7" t="s">
        <v>667</v>
      </c>
      <c r="HF7" t="s">
        <v>667</v>
      </c>
      <c r="HG7" t="s">
        <v>667</v>
      </c>
      <c r="HH7" t="s">
        <v>667</v>
      </c>
      <c r="HI7" t="s">
        <v>383</v>
      </c>
      <c r="HJ7" t="s">
        <v>383</v>
      </c>
      <c r="HK7" t="s">
        <v>383</v>
      </c>
      <c r="HL7" t="s">
        <v>383</v>
      </c>
      <c r="HM7" t="s">
        <v>383</v>
      </c>
      <c r="HN7" t="s">
        <v>383</v>
      </c>
      <c r="HO7" t="s">
        <v>383</v>
      </c>
      <c r="HP7" t="s">
        <v>456</v>
      </c>
      <c r="HQ7" t="s">
        <v>456</v>
      </c>
      <c r="HR7" t="s">
        <v>456</v>
      </c>
      <c r="HS7" t="s">
        <v>456</v>
      </c>
      <c r="HT7" t="s">
        <v>456</v>
      </c>
      <c r="HU7" t="s">
        <v>456</v>
      </c>
      <c r="HV7" t="s">
        <v>456</v>
      </c>
      <c r="HW7" t="s">
        <v>456</v>
      </c>
      <c r="HX7" t="s">
        <v>384</v>
      </c>
      <c r="HY7" t="s">
        <v>384</v>
      </c>
      <c r="HZ7" t="s">
        <v>384</v>
      </c>
      <c r="IA7" t="s">
        <v>384</v>
      </c>
      <c r="IB7" t="s">
        <v>384</v>
      </c>
      <c r="IC7" t="s">
        <v>384</v>
      </c>
      <c r="ID7" t="s">
        <v>384</v>
      </c>
      <c r="IE7" t="s">
        <v>667</v>
      </c>
      <c r="IF7" t="s">
        <v>667</v>
      </c>
      <c r="IG7" t="s">
        <v>667</v>
      </c>
      <c r="IH7" t="s">
        <v>667</v>
      </c>
      <c r="II7" t="s">
        <v>667</v>
      </c>
      <c r="IJ7" t="s">
        <v>667</v>
      </c>
      <c r="IK7" t="s">
        <v>667</v>
      </c>
      <c r="IL7" t="s">
        <v>383</v>
      </c>
      <c r="IM7" t="s">
        <v>383</v>
      </c>
      <c r="IN7" t="s">
        <v>383</v>
      </c>
      <c r="IO7" t="s">
        <v>383</v>
      </c>
      <c r="IP7" t="s">
        <v>383</v>
      </c>
      <c r="IQ7" t="s">
        <v>383</v>
      </c>
      <c r="IR7" t="s">
        <v>383</v>
      </c>
      <c r="IS7" t="s">
        <v>383</v>
      </c>
      <c r="IT7" t="s">
        <v>456</v>
      </c>
      <c r="IU7" t="s">
        <v>456</v>
      </c>
      <c r="IV7" t="s">
        <v>456</v>
      </c>
      <c r="IW7" t="s">
        <v>456</v>
      </c>
      <c r="IX7" t="s">
        <v>456</v>
      </c>
      <c r="IY7" t="s">
        <v>456</v>
      </c>
      <c r="IZ7" t="s">
        <v>456</v>
      </c>
      <c r="JA7" t="s">
        <v>456</v>
      </c>
      <c r="JB7" t="s">
        <v>384</v>
      </c>
      <c r="JC7" t="s">
        <v>384</v>
      </c>
      <c r="JD7" t="s">
        <v>384</v>
      </c>
      <c r="JE7" t="s">
        <v>384</v>
      </c>
      <c r="JF7" t="s">
        <v>384</v>
      </c>
      <c r="JG7" t="s">
        <v>384</v>
      </c>
      <c r="JH7" t="s">
        <v>667</v>
      </c>
      <c r="JI7" t="s">
        <v>667</v>
      </c>
      <c r="JJ7" t="s">
        <v>667</v>
      </c>
      <c r="JK7" t="s">
        <v>667</v>
      </c>
      <c r="JL7" t="s">
        <v>667</v>
      </c>
      <c r="JM7" t="s">
        <v>667</v>
      </c>
      <c r="JN7" t="s">
        <v>667</v>
      </c>
      <c r="JO7" t="s">
        <v>667</v>
      </c>
      <c r="JP7" t="s">
        <v>383</v>
      </c>
      <c r="JQ7" t="s">
        <v>383</v>
      </c>
      <c r="JR7" t="s">
        <v>383</v>
      </c>
      <c r="JS7" t="s">
        <v>383</v>
      </c>
      <c r="JT7" t="s">
        <v>383</v>
      </c>
      <c r="JU7" t="s">
        <v>383</v>
      </c>
      <c r="JV7" t="s">
        <v>383</v>
      </c>
      <c r="JW7" t="s">
        <v>456</v>
      </c>
      <c r="JX7" t="s">
        <v>456</v>
      </c>
      <c r="JY7" t="s">
        <v>456</v>
      </c>
      <c r="JZ7" t="s">
        <v>456</v>
      </c>
      <c r="KA7" t="s">
        <v>456</v>
      </c>
      <c r="KB7" t="s">
        <v>456</v>
      </c>
      <c r="KC7" t="s">
        <v>456</v>
      </c>
      <c r="KD7" t="s">
        <v>456</v>
      </c>
      <c r="KE7" t="s">
        <v>384</v>
      </c>
      <c r="KF7" t="s">
        <v>384</v>
      </c>
      <c r="KG7" t="s">
        <v>384</v>
      </c>
      <c r="KH7" t="s">
        <v>384</v>
      </c>
      <c r="KI7" t="s">
        <v>384</v>
      </c>
      <c r="KJ7" t="s">
        <v>384</v>
      </c>
      <c r="KK7" t="s">
        <v>667</v>
      </c>
      <c r="KL7" t="s">
        <v>667</v>
      </c>
      <c r="KM7" t="s">
        <v>667</v>
      </c>
      <c r="KN7" t="s">
        <v>667</v>
      </c>
      <c r="KO7" t="s">
        <v>667</v>
      </c>
      <c r="KP7" t="s">
        <v>667</v>
      </c>
      <c r="KQ7" t="s">
        <v>667</v>
      </c>
      <c r="KR7" t="s">
        <v>667</v>
      </c>
      <c r="KS7" t="s">
        <v>667</v>
      </c>
      <c r="KT7" t="s">
        <v>383</v>
      </c>
      <c r="KU7" t="s">
        <v>383</v>
      </c>
      <c r="KV7" t="s">
        <v>383</v>
      </c>
      <c r="KW7" t="s">
        <v>383</v>
      </c>
      <c r="KX7" t="s">
        <v>383</v>
      </c>
      <c r="KY7" t="s">
        <v>383</v>
      </c>
      <c r="KZ7" t="s">
        <v>383</v>
      </c>
      <c r="LA7" t="s">
        <v>456</v>
      </c>
      <c r="LB7" t="s">
        <v>456</v>
      </c>
      <c r="LC7" t="s">
        <v>456</v>
      </c>
      <c r="LD7" t="s">
        <v>456</v>
      </c>
      <c r="LE7" t="s">
        <v>456</v>
      </c>
      <c r="LF7" t="s">
        <v>456</v>
      </c>
      <c r="LG7" t="s">
        <v>456</v>
      </c>
      <c r="LH7" t="s">
        <v>384</v>
      </c>
      <c r="LI7" t="s">
        <v>384</v>
      </c>
      <c r="LJ7" t="s">
        <v>384</v>
      </c>
      <c r="LK7" t="s">
        <v>384</v>
      </c>
      <c r="LL7" t="s">
        <v>384</v>
      </c>
      <c r="LM7" t="s">
        <v>384</v>
      </c>
      <c r="LN7" t="s">
        <v>384</v>
      </c>
      <c r="LO7" t="s">
        <v>667</v>
      </c>
      <c r="LP7" t="s">
        <v>667</v>
      </c>
      <c r="LQ7" t="s">
        <v>667</v>
      </c>
      <c r="LR7" t="s">
        <v>667</v>
      </c>
      <c r="LS7" t="s">
        <v>667</v>
      </c>
      <c r="LT7" t="s">
        <v>667</v>
      </c>
      <c r="LU7" t="s">
        <v>667</v>
      </c>
      <c r="LV7" t="s">
        <v>667</v>
      </c>
      <c r="LW7" t="s">
        <v>667</v>
      </c>
      <c r="LX7" t="s">
        <v>383</v>
      </c>
      <c r="LY7" t="s">
        <v>383</v>
      </c>
      <c r="LZ7" t="s">
        <v>383</v>
      </c>
      <c r="MA7" t="s">
        <v>383</v>
      </c>
      <c r="MB7" t="s">
        <v>383</v>
      </c>
      <c r="MC7" t="s">
        <v>383</v>
      </c>
      <c r="MD7" t="s">
        <v>383</v>
      </c>
      <c r="ME7" t="s">
        <v>456</v>
      </c>
      <c r="MF7" t="s">
        <v>456</v>
      </c>
      <c r="MG7" t="s">
        <v>456</v>
      </c>
      <c r="MH7" t="s">
        <v>456</v>
      </c>
      <c r="MI7" t="s">
        <v>456</v>
      </c>
      <c r="MJ7" t="s">
        <v>456</v>
      </c>
      <c r="MK7" t="s">
        <v>456</v>
      </c>
      <c r="ML7" t="s">
        <v>384</v>
      </c>
      <c r="MM7" t="s">
        <v>384</v>
      </c>
      <c r="MN7" t="s">
        <v>384</v>
      </c>
      <c r="MO7" t="s">
        <v>384</v>
      </c>
      <c r="MP7" t="s">
        <v>384</v>
      </c>
      <c r="MQ7" t="s">
        <v>384</v>
      </c>
      <c r="MR7" t="s">
        <v>384</v>
      </c>
      <c r="MS7" t="s">
        <v>667</v>
      </c>
      <c r="MT7" t="s">
        <v>667</v>
      </c>
      <c r="MU7" t="s">
        <v>667</v>
      </c>
      <c r="MV7" t="s">
        <v>667</v>
      </c>
      <c r="MW7" t="s">
        <v>667</v>
      </c>
      <c r="MX7" t="s">
        <v>667</v>
      </c>
      <c r="MY7" t="s">
        <v>667</v>
      </c>
      <c r="MZ7" t="s">
        <v>667</v>
      </c>
      <c r="NA7" t="s">
        <v>383</v>
      </c>
      <c r="NB7" t="s">
        <v>383</v>
      </c>
      <c r="NC7" t="s">
        <v>383</v>
      </c>
      <c r="ND7" t="s">
        <v>383</v>
      </c>
      <c r="NE7" t="s">
        <v>383</v>
      </c>
      <c r="NF7" t="s">
        <v>383</v>
      </c>
      <c r="NG7" t="s">
        <v>383</v>
      </c>
      <c r="NH7" t="s">
        <v>456</v>
      </c>
      <c r="NI7" t="s">
        <v>456</v>
      </c>
      <c r="NJ7" t="s">
        <v>456</v>
      </c>
      <c r="NK7" t="s">
        <v>456</v>
      </c>
      <c r="NL7" t="s">
        <v>456</v>
      </c>
      <c r="NM7" t="s">
        <v>456</v>
      </c>
      <c r="NN7" t="s">
        <v>456</v>
      </c>
      <c r="NO7" t="s">
        <v>384</v>
      </c>
      <c r="NP7" t="s">
        <v>384</v>
      </c>
      <c r="NQ7" t="s">
        <v>384</v>
      </c>
      <c r="NR7" t="s">
        <v>384</v>
      </c>
      <c r="NS7" t="s">
        <v>384</v>
      </c>
      <c r="NT7" t="s">
        <v>384</v>
      </c>
      <c r="NU7" t="s">
        <v>384</v>
      </c>
      <c r="NV7" t="s">
        <v>667</v>
      </c>
      <c r="NW7" t="s">
        <v>667</v>
      </c>
      <c r="NX7" t="s">
        <v>667</v>
      </c>
      <c r="NY7" t="s">
        <v>667</v>
      </c>
      <c r="NZ7" t="s">
        <v>667</v>
      </c>
      <c r="OA7" t="s">
        <v>667</v>
      </c>
      <c r="OB7" t="s">
        <v>667</v>
      </c>
      <c r="OC7" t="s">
        <v>667</v>
      </c>
      <c r="OD7" t="s">
        <v>667</v>
      </c>
      <c r="OE7" t="s">
        <v>383</v>
      </c>
      <c r="OF7" t="s">
        <v>383</v>
      </c>
      <c r="OG7" t="s">
        <v>383</v>
      </c>
      <c r="OH7" t="s">
        <v>383</v>
      </c>
      <c r="OI7" t="s">
        <v>383</v>
      </c>
      <c r="OJ7" t="s">
        <v>383</v>
      </c>
      <c r="OK7" t="s">
        <v>456</v>
      </c>
      <c r="OL7" t="s">
        <v>456</v>
      </c>
      <c r="OM7" t="s">
        <v>456</v>
      </c>
      <c r="ON7" t="s">
        <v>456</v>
      </c>
      <c r="OO7" t="s">
        <v>456</v>
      </c>
      <c r="OP7" t="s">
        <v>456</v>
      </c>
      <c r="OQ7" t="s">
        <v>456</v>
      </c>
      <c r="OR7" t="s">
        <v>456</v>
      </c>
      <c r="OS7" t="s">
        <v>384</v>
      </c>
      <c r="OT7" t="s">
        <v>384</v>
      </c>
      <c r="OU7" t="s">
        <v>384</v>
      </c>
      <c r="OV7" t="s">
        <v>384</v>
      </c>
      <c r="OW7" t="s">
        <v>384</v>
      </c>
      <c r="OX7" t="s">
        <v>384</v>
      </c>
      <c r="OY7" t="s">
        <v>384</v>
      </c>
      <c r="OZ7" t="s">
        <v>667</v>
      </c>
      <c r="PA7" t="s">
        <v>667</v>
      </c>
      <c r="PB7" t="s">
        <v>667</v>
      </c>
      <c r="PC7" t="s">
        <v>667</v>
      </c>
      <c r="PD7" t="s">
        <v>667</v>
      </c>
      <c r="PE7" t="s">
        <v>667</v>
      </c>
      <c r="PF7" t="s">
        <v>667</v>
      </c>
      <c r="PG7" t="s">
        <v>667</v>
      </c>
      <c r="PH7" t="s">
        <v>667</v>
      </c>
      <c r="PI7" t="s">
        <v>383</v>
      </c>
      <c r="PJ7" t="s">
        <v>383</v>
      </c>
      <c r="PK7" t="s">
        <v>383</v>
      </c>
      <c r="PL7" t="s">
        <v>383</v>
      </c>
      <c r="PM7" t="s">
        <v>383</v>
      </c>
      <c r="PN7" t="s">
        <v>383</v>
      </c>
      <c r="PO7" t="s">
        <v>456</v>
      </c>
      <c r="PP7" t="s">
        <v>456</v>
      </c>
      <c r="PQ7" t="s">
        <v>456</v>
      </c>
      <c r="PR7" t="s">
        <v>456</v>
      </c>
      <c r="PS7" t="s">
        <v>456</v>
      </c>
      <c r="PT7" t="s">
        <v>456</v>
      </c>
      <c r="PU7" t="s">
        <v>456</v>
      </c>
      <c r="PV7" t="s">
        <v>384</v>
      </c>
      <c r="PW7" t="s">
        <v>384</v>
      </c>
      <c r="PX7" t="s">
        <v>384</v>
      </c>
      <c r="PY7" t="s">
        <v>384</v>
      </c>
      <c r="PZ7" t="s">
        <v>384</v>
      </c>
      <c r="QA7" t="s">
        <v>384</v>
      </c>
      <c r="QB7" t="s">
        <v>384</v>
      </c>
      <c r="QC7" t="s">
        <v>384</v>
      </c>
      <c r="QD7" t="s">
        <v>667</v>
      </c>
      <c r="QE7" t="s">
        <v>667</v>
      </c>
      <c r="QF7" t="s">
        <v>667</v>
      </c>
      <c r="QG7" t="s">
        <v>667</v>
      </c>
      <c r="QH7" t="s">
        <v>667</v>
      </c>
      <c r="QI7" t="s">
        <v>667</v>
      </c>
      <c r="QJ7" t="s">
        <v>667</v>
      </c>
      <c r="QK7" t="s">
        <v>667</v>
      </c>
      <c r="QL7" t="s">
        <v>383</v>
      </c>
      <c r="QM7" t="s">
        <v>383</v>
      </c>
      <c r="QN7" t="s">
        <v>383</v>
      </c>
      <c r="QO7" t="s">
        <v>383</v>
      </c>
      <c r="QP7" t="s">
        <v>383</v>
      </c>
      <c r="QQ7" t="s">
        <v>383</v>
      </c>
      <c r="QR7" t="s">
        <v>456</v>
      </c>
      <c r="QS7" t="s">
        <v>456</v>
      </c>
      <c r="QT7" t="s">
        <v>456</v>
      </c>
      <c r="QU7" t="s">
        <v>456</v>
      </c>
      <c r="QV7" t="s">
        <v>456</v>
      </c>
      <c r="QW7" t="s">
        <v>456</v>
      </c>
      <c r="QX7" t="s">
        <v>456</v>
      </c>
      <c r="QY7" t="s">
        <v>456</v>
      </c>
      <c r="QZ7" t="s">
        <v>384</v>
      </c>
      <c r="RA7" t="s">
        <v>384</v>
      </c>
      <c r="RB7" t="s">
        <v>384</v>
      </c>
      <c r="RC7" t="s">
        <v>384</v>
      </c>
      <c r="RD7" t="s">
        <v>384</v>
      </c>
      <c r="RE7" t="s">
        <v>384</v>
      </c>
      <c r="RF7" t="s">
        <v>384</v>
      </c>
      <c r="RG7" t="s">
        <v>384</v>
      </c>
      <c r="RH7" t="s">
        <v>667</v>
      </c>
      <c r="RI7" t="s">
        <v>667</v>
      </c>
      <c r="RJ7" t="s">
        <v>667</v>
      </c>
      <c r="RK7" t="s">
        <v>667</v>
      </c>
      <c r="RL7" t="s">
        <v>667</v>
      </c>
      <c r="RM7" t="s">
        <v>667</v>
      </c>
      <c r="RN7" t="s">
        <v>667</v>
      </c>
      <c r="RO7" t="s">
        <v>383</v>
      </c>
      <c r="RP7" t="s">
        <v>383</v>
      </c>
      <c r="RQ7" t="s">
        <v>383</v>
      </c>
      <c r="RR7" t="s">
        <v>383</v>
      </c>
      <c r="RS7" t="s">
        <v>383</v>
      </c>
      <c r="RT7" t="s">
        <v>383</v>
      </c>
      <c r="RU7" t="s">
        <v>383</v>
      </c>
      <c r="RV7" t="s">
        <v>456</v>
      </c>
      <c r="RW7" t="s">
        <v>456</v>
      </c>
      <c r="RX7" t="s">
        <v>456</v>
      </c>
      <c r="RY7" t="s">
        <v>456</v>
      </c>
      <c r="RZ7" t="s">
        <v>456</v>
      </c>
      <c r="SA7" t="s">
        <v>456</v>
      </c>
      <c r="SB7" t="s">
        <v>456</v>
      </c>
      <c r="SC7" t="s">
        <v>456</v>
      </c>
      <c r="SD7" t="s">
        <v>384</v>
      </c>
      <c r="SE7" t="s">
        <v>384</v>
      </c>
      <c r="SF7" t="s">
        <v>384</v>
      </c>
      <c r="SG7" t="s">
        <v>384</v>
      </c>
      <c r="SH7" t="s">
        <v>384</v>
      </c>
      <c r="SI7" t="s">
        <v>384</v>
      </c>
      <c r="SJ7" t="s">
        <v>384</v>
      </c>
      <c r="SK7" t="s">
        <v>667</v>
      </c>
      <c r="SL7" t="s">
        <v>667</v>
      </c>
      <c r="SM7" t="s">
        <v>667</v>
      </c>
      <c r="SN7" t="s">
        <v>667</v>
      </c>
      <c r="SO7" t="s">
        <v>667</v>
      </c>
      <c r="SP7" t="s">
        <v>667</v>
      </c>
      <c r="SQ7" t="s">
        <v>667</v>
      </c>
      <c r="SR7" t="s">
        <v>667</v>
      </c>
      <c r="SS7" t="s">
        <v>383</v>
      </c>
      <c r="ST7" t="s">
        <v>383</v>
      </c>
      <c r="SU7" t="s">
        <v>383</v>
      </c>
      <c r="SV7" t="s">
        <v>383</v>
      </c>
      <c r="SW7" t="s">
        <v>383</v>
      </c>
      <c r="SX7" t="s">
        <v>383</v>
      </c>
      <c r="SY7" t="s">
        <v>456</v>
      </c>
      <c r="SZ7" t="s">
        <v>456</v>
      </c>
      <c r="TA7" t="s">
        <v>456</v>
      </c>
      <c r="TB7" t="s">
        <v>456</v>
      </c>
      <c r="TC7" t="s">
        <v>456</v>
      </c>
      <c r="TD7" t="s">
        <v>456</v>
      </c>
      <c r="TE7" t="s">
        <v>456</v>
      </c>
      <c r="TF7" t="s">
        <v>456</v>
      </c>
      <c r="TG7" t="s">
        <v>456</v>
      </c>
      <c r="TH7" t="s">
        <v>384</v>
      </c>
      <c r="TI7" t="s">
        <v>384</v>
      </c>
      <c r="TJ7" t="s">
        <v>384</v>
      </c>
      <c r="TK7" t="s">
        <v>384</v>
      </c>
      <c r="TL7" t="s">
        <v>384</v>
      </c>
      <c r="TM7" t="s">
        <v>384</v>
      </c>
      <c r="TN7" t="s">
        <v>384</v>
      </c>
      <c r="TO7" t="s">
        <v>667</v>
      </c>
      <c r="TP7" t="s">
        <v>667</v>
      </c>
      <c r="TQ7" t="s">
        <v>667</v>
      </c>
      <c r="TR7" t="s">
        <v>667</v>
      </c>
      <c r="TS7" t="s">
        <v>667</v>
      </c>
      <c r="TT7" t="s">
        <v>667</v>
      </c>
      <c r="TU7" t="s">
        <v>667</v>
      </c>
      <c r="TV7" t="s">
        <v>383</v>
      </c>
      <c r="TW7" t="s">
        <v>383</v>
      </c>
      <c r="TX7" t="s">
        <v>383</v>
      </c>
      <c r="TY7" t="s">
        <v>383</v>
      </c>
      <c r="TZ7" t="s">
        <v>383</v>
      </c>
      <c r="UA7" t="s">
        <v>383</v>
      </c>
      <c r="UB7" t="s">
        <v>383</v>
      </c>
      <c r="UC7" t="s">
        <v>456</v>
      </c>
      <c r="UD7" t="s">
        <v>456</v>
      </c>
      <c r="UE7" t="s">
        <v>456</v>
      </c>
      <c r="UF7" t="s">
        <v>456</v>
      </c>
      <c r="UG7" t="s">
        <v>456</v>
      </c>
      <c r="UH7" t="s">
        <v>456</v>
      </c>
      <c r="UI7" t="s">
        <v>456</v>
      </c>
      <c r="UJ7" t="s">
        <v>456</v>
      </c>
      <c r="UK7" t="s">
        <v>384</v>
      </c>
      <c r="UL7" t="s">
        <v>384</v>
      </c>
      <c r="UM7" t="s">
        <v>384</v>
      </c>
      <c r="UN7" t="s">
        <v>384</v>
      </c>
      <c r="UO7" t="s">
        <v>384</v>
      </c>
      <c r="UP7" t="s">
        <v>384</v>
      </c>
      <c r="UQ7" t="s">
        <v>384</v>
      </c>
      <c r="UR7" t="s">
        <v>667</v>
      </c>
      <c r="US7" t="s">
        <v>667</v>
      </c>
      <c r="UT7" t="s">
        <v>667</v>
      </c>
      <c r="UU7" t="s">
        <v>667</v>
      </c>
      <c r="UV7" t="s">
        <v>667</v>
      </c>
      <c r="UW7" t="s">
        <v>667</v>
      </c>
      <c r="UX7" t="s">
        <v>667</v>
      </c>
      <c r="UY7" t="s">
        <v>383</v>
      </c>
      <c r="UZ7" t="s">
        <v>383</v>
      </c>
      <c r="VA7" t="s">
        <v>383</v>
      </c>
      <c r="VB7" t="s">
        <v>383</v>
      </c>
      <c r="VC7" t="s">
        <v>383</v>
      </c>
      <c r="VD7" t="s">
        <v>383</v>
      </c>
      <c r="VE7" t="s">
        <v>383</v>
      </c>
      <c r="VF7" t="s">
        <v>456</v>
      </c>
      <c r="VG7" t="s">
        <v>456</v>
      </c>
      <c r="VH7" t="s">
        <v>456</v>
      </c>
      <c r="VI7" t="s">
        <v>456</v>
      </c>
      <c r="VJ7" t="s">
        <v>456</v>
      </c>
      <c r="VK7" t="s">
        <v>456</v>
      </c>
      <c r="VL7" t="s">
        <v>456</v>
      </c>
      <c r="VM7" t="s">
        <v>456</v>
      </c>
      <c r="VN7" t="s">
        <v>456</v>
      </c>
      <c r="VO7" t="s">
        <v>384</v>
      </c>
      <c r="VP7" t="s">
        <v>384</v>
      </c>
      <c r="VQ7" t="s">
        <v>384</v>
      </c>
      <c r="VR7" t="s">
        <v>384</v>
      </c>
      <c r="VS7" t="s">
        <v>384</v>
      </c>
      <c r="VT7" t="s">
        <v>384</v>
      </c>
      <c r="VU7" t="s">
        <v>667</v>
      </c>
      <c r="VV7" t="s">
        <v>667</v>
      </c>
      <c r="VW7" t="s">
        <v>667</v>
      </c>
      <c r="VX7" t="s">
        <v>667</v>
      </c>
      <c r="VY7" t="s">
        <v>667</v>
      </c>
      <c r="VZ7" t="s">
        <v>667</v>
      </c>
      <c r="WA7" t="s">
        <v>667</v>
      </c>
      <c r="WB7" t="s">
        <v>383</v>
      </c>
      <c r="WC7" t="s">
        <v>383</v>
      </c>
      <c r="WD7" t="s">
        <v>383</v>
      </c>
      <c r="WE7" t="s">
        <v>383</v>
      </c>
      <c r="WF7" t="s">
        <v>383</v>
      </c>
      <c r="WG7" t="s">
        <v>383</v>
      </c>
      <c r="WH7" t="s">
        <v>383</v>
      </c>
      <c r="WI7" t="s">
        <v>383</v>
      </c>
      <c r="WJ7" t="s">
        <v>456</v>
      </c>
      <c r="WK7" t="s">
        <v>456</v>
      </c>
      <c r="WL7" t="s">
        <v>456</v>
      </c>
      <c r="WM7" t="s">
        <v>456</v>
      </c>
      <c r="WN7" t="s">
        <v>456</v>
      </c>
      <c r="WO7" t="s">
        <v>456</v>
      </c>
      <c r="WP7" t="s">
        <v>456</v>
      </c>
      <c r="WQ7" t="s">
        <v>456</v>
      </c>
      <c r="WR7" t="s">
        <v>384</v>
      </c>
      <c r="WS7" t="s">
        <v>384</v>
      </c>
      <c r="WT7" t="s">
        <v>384</v>
      </c>
      <c r="WU7" t="s">
        <v>384</v>
      </c>
      <c r="WV7" t="s">
        <v>384</v>
      </c>
      <c r="WW7" t="s">
        <v>384</v>
      </c>
      <c r="WX7" t="s">
        <v>384</v>
      </c>
      <c r="WY7" t="s">
        <v>667</v>
      </c>
      <c r="WZ7" t="s">
        <v>667</v>
      </c>
      <c r="XA7" t="s">
        <v>667</v>
      </c>
      <c r="XB7" t="s">
        <v>667</v>
      </c>
      <c r="XC7" t="s">
        <v>667</v>
      </c>
      <c r="XD7" t="s">
        <v>667</v>
      </c>
      <c r="XE7" t="s">
        <v>667</v>
      </c>
      <c r="XF7" t="s">
        <v>383</v>
      </c>
      <c r="XG7" t="s">
        <v>383</v>
      </c>
      <c r="XH7" t="s">
        <v>383</v>
      </c>
      <c r="XI7" t="s">
        <v>383</v>
      </c>
      <c r="XJ7" t="s">
        <v>383</v>
      </c>
      <c r="XK7" t="s">
        <v>383</v>
      </c>
      <c r="XL7" t="s">
        <v>383</v>
      </c>
      <c r="XM7" t="s">
        <v>383</v>
      </c>
      <c r="XN7" t="s">
        <v>456</v>
      </c>
      <c r="XO7" t="s">
        <v>456</v>
      </c>
      <c r="XP7" t="s">
        <v>456</v>
      </c>
      <c r="XQ7" t="s">
        <v>456</v>
      </c>
      <c r="XR7" t="s">
        <v>456</v>
      </c>
      <c r="XS7" t="s">
        <v>456</v>
      </c>
      <c r="XT7" t="s">
        <v>456</v>
      </c>
      <c r="XU7" t="s">
        <v>456</v>
      </c>
      <c r="XV7" t="s">
        <v>384</v>
      </c>
      <c r="XW7" t="s">
        <v>384</v>
      </c>
      <c r="XX7" t="s">
        <v>384</v>
      </c>
      <c r="XY7" t="s">
        <v>384</v>
      </c>
      <c r="XZ7" t="s">
        <v>384</v>
      </c>
      <c r="YA7" t="s">
        <v>384</v>
      </c>
      <c r="YB7" t="s">
        <v>667</v>
      </c>
      <c r="YC7" t="s">
        <v>667</v>
      </c>
      <c r="YD7" t="s">
        <v>667</v>
      </c>
      <c r="YE7" t="s">
        <v>667</v>
      </c>
      <c r="YF7" t="s">
        <v>667</v>
      </c>
      <c r="YG7" t="s">
        <v>667</v>
      </c>
      <c r="YH7" t="s">
        <v>667</v>
      </c>
      <c r="YI7" t="s">
        <v>667</v>
      </c>
      <c r="YJ7" t="s">
        <v>383</v>
      </c>
      <c r="YK7" t="s">
        <v>383</v>
      </c>
      <c r="YL7" t="s">
        <v>383</v>
      </c>
      <c r="YM7" t="s">
        <v>383</v>
      </c>
      <c r="YN7" t="s">
        <v>383</v>
      </c>
      <c r="YO7" t="s">
        <v>383</v>
      </c>
      <c r="YP7" t="s">
        <v>383</v>
      </c>
      <c r="YQ7" t="s">
        <v>456</v>
      </c>
      <c r="YR7" t="s">
        <v>456</v>
      </c>
      <c r="YS7" t="s">
        <v>456</v>
      </c>
      <c r="YT7" t="s">
        <v>456</v>
      </c>
      <c r="YU7" t="s">
        <v>456</v>
      </c>
      <c r="YV7" t="s">
        <v>456</v>
      </c>
      <c r="YW7" t="s">
        <v>456</v>
      </c>
      <c r="YX7" t="s">
        <v>456</v>
      </c>
      <c r="YY7" t="s">
        <v>384</v>
      </c>
      <c r="YZ7" t="s">
        <v>384</v>
      </c>
      <c r="ZA7" t="s">
        <v>384</v>
      </c>
      <c r="ZB7" t="s">
        <v>384</v>
      </c>
      <c r="ZC7" t="s">
        <v>384</v>
      </c>
      <c r="ZD7" t="s">
        <v>384</v>
      </c>
      <c r="ZE7" t="s">
        <v>667</v>
      </c>
      <c r="ZF7" t="s">
        <v>667</v>
      </c>
      <c r="ZG7" t="s">
        <v>667</v>
      </c>
      <c r="ZH7" t="s">
        <v>667</v>
      </c>
      <c r="ZI7" t="s">
        <v>667</v>
      </c>
      <c r="ZJ7" t="s">
        <v>667</v>
      </c>
      <c r="ZK7" t="s">
        <v>667</v>
      </c>
      <c r="ZL7" t="s">
        <v>667</v>
      </c>
      <c r="ZM7" t="s">
        <v>383</v>
      </c>
      <c r="ZN7" t="s">
        <v>383</v>
      </c>
      <c r="ZO7" t="s">
        <v>383</v>
      </c>
      <c r="ZP7" t="s">
        <v>383</v>
      </c>
      <c r="ZQ7" t="s">
        <v>383</v>
      </c>
      <c r="ZR7" t="s">
        <v>383</v>
      </c>
      <c r="ZS7" t="s">
        <v>383</v>
      </c>
      <c r="ZT7" t="s">
        <v>383</v>
      </c>
      <c r="ZU7" t="s">
        <v>456</v>
      </c>
      <c r="ZV7" t="s">
        <v>456</v>
      </c>
      <c r="ZW7" t="s">
        <v>456</v>
      </c>
      <c r="ZX7" t="s">
        <v>456</v>
      </c>
      <c r="ZY7" t="s">
        <v>456</v>
      </c>
      <c r="ZZ7" t="s">
        <v>456</v>
      </c>
      <c r="AAA7" t="s">
        <v>456</v>
      </c>
      <c r="AAB7" t="s">
        <v>384</v>
      </c>
      <c r="AAC7" t="s">
        <v>384</v>
      </c>
      <c r="AAD7" t="s">
        <v>384</v>
      </c>
      <c r="AAE7" t="s">
        <v>384</v>
      </c>
      <c r="AAF7" t="s">
        <v>384</v>
      </c>
      <c r="AAG7" t="s">
        <v>384</v>
      </c>
      <c r="AAH7" t="s">
        <v>384</v>
      </c>
      <c r="AAI7" t="s">
        <v>667</v>
      </c>
      <c r="AAJ7" t="s">
        <v>667</v>
      </c>
      <c r="AAK7" t="s">
        <v>667</v>
      </c>
      <c r="AAL7" t="s">
        <v>667</v>
      </c>
      <c r="AAM7" t="s">
        <v>667</v>
      </c>
      <c r="AAN7" t="s">
        <v>667</v>
      </c>
      <c r="AAO7" t="s">
        <v>667</v>
      </c>
      <c r="AAP7" t="s">
        <v>667</v>
      </c>
      <c r="AAQ7" t="s">
        <v>383</v>
      </c>
      <c r="AAR7" t="s">
        <v>383</v>
      </c>
      <c r="AAS7" t="s">
        <v>383</v>
      </c>
      <c r="AAT7" t="s">
        <v>383</v>
      </c>
      <c r="AAU7" t="s">
        <v>383</v>
      </c>
      <c r="AAV7" t="s">
        <v>383</v>
      </c>
      <c r="AAW7" t="s">
        <v>383</v>
      </c>
      <c r="AAX7" t="s">
        <v>456</v>
      </c>
      <c r="AAY7" t="s">
        <v>456</v>
      </c>
      <c r="AAZ7" t="s">
        <v>456</v>
      </c>
      <c r="ABA7" t="s">
        <v>456</v>
      </c>
      <c r="ABB7" t="s">
        <v>456</v>
      </c>
      <c r="ABC7" t="s">
        <v>456</v>
      </c>
      <c r="ABD7" t="s">
        <v>456</v>
      </c>
      <c r="ABE7" t="s">
        <v>456</v>
      </c>
      <c r="ABF7" t="s">
        <v>384</v>
      </c>
      <c r="ABG7" t="s">
        <v>384</v>
      </c>
      <c r="ABH7" t="s">
        <v>384</v>
      </c>
      <c r="ABI7" t="s">
        <v>384</v>
      </c>
      <c r="ABJ7" t="s">
        <v>384</v>
      </c>
      <c r="ABK7" t="s">
        <v>384</v>
      </c>
      <c r="ABL7" t="s">
        <v>667</v>
      </c>
      <c r="ABM7" t="s">
        <v>667</v>
      </c>
      <c r="ABN7" t="s">
        <v>667</v>
      </c>
      <c r="ABO7" t="s">
        <v>667</v>
      </c>
      <c r="ABP7" t="s">
        <v>667</v>
      </c>
      <c r="ABQ7" t="s">
        <v>667</v>
      </c>
      <c r="ABR7" t="s">
        <v>667</v>
      </c>
      <c r="ABS7" t="s">
        <v>667</v>
      </c>
      <c r="ABT7" t="s">
        <v>667</v>
      </c>
      <c r="ABU7" t="s">
        <v>383</v>
      </c>
      <c r="ABV7" t="s">
        <v>383</v>
      </c>
      <c r="ABW7" t="s">
        <v>383</v>
      </c>
      <c r="ABX7" t="s">
        <v>383</v>
      </c>
      <c r="ABY7" t="s">
        <v>383</v>
      </c>
      <c r="ABZ7" t="s">
        <v>383</v>
      </c>
      <c r="ACA7" t="s">
        <v>383</v>
      </c>
      <c r="ACB7" t="s">
        <v>456</v>
      </c>
      <c r="ACC7" t="s">
        <v>456</v>
      </c>
      <c r="ACD7" t="s">
        <v>456</v>
      </c>
      <c r="ACE7" t="s">
        <v>456</v>
      </c>
      <c r="ACF7" t="s">
        <v>456</v>
      </c>
      <c r="ACG7" t="s">
        <v>456</v>
      </c>
      <c r="ACH7" t="s">
        <v>456</v>
      </c>
      <c r="ACI7" t="s">
        <v>384</v>
      </c>
      <c r="ACJ7" t="s">
        <v>384</v>
      </c>
      <c r="ACK7" t="s">
        <v>384</v>
      </c>
      <c r="ACL7" t="s">
        <v>384</v>
      </c>
      <c r="ACM7" t="s">
        <v>384</v>
      </c>
      <c r="ACN7" t="s">
        <v>384</v>
      </c>
      <c r="ACO7" t="s">
        <v>384</v>
      </c>
      <c r="ACP7" t="s">
        <v>667</v>
      </c>
      <c r="ACQ7" t="s">
        <v>667</v>
      </c>
      <c r="ACR7" t="s">
        <v>667</v>
      </c>
      <c r="ACS7" t="s">
        <v>667</v>
      </c>
      <c r="ACT7" t="s">
        <v>667</v>
      </c>
      <c r="ACU7" t="s">
        <v>667</v>
      </c>
      <c r="ACV7" t="s">
        <v>667</v>
      </c>
      <c r="ACW7" t="s">
        <v>667</v>
      </c>
      <c r="ACX7" t="s">
        <v>667</v>
      </c>
      <c r="ACY7" t="s">
        <v>383</v>
      </c>
      <c r="ACZ7" t="s">
        <v>383</v>
      </c>
      <c r="ADA7" t="s">
        <v>383</v>
      </c>
      <c r="ADB7" t="s">
        <v>383</v>
      </c>
      <c r="ADC7" t="s">
        <v>383</v>
      </c>
      <c r="ADD7" t="s">
        <v>383</v>
      </c>
      <c r="ADE7" t="s">
        <v>383</v>
      </c>
      <c r="ADF7" t="s">
        <v>456</v>
      </c>
      <c r="ADG7" t="s">
        <v>456</v>
      </c>
      <c r="ADH7" t="s">
        <v>456</v>
      </c>
      <c r="ADI7" t="s">
        <v>456</v>
      </c>
      <c r="ADJ7" t="s">
        <v>456</v>
      </c>
      <c r="ADK7" t="s">
        <v>456</v>
      </c>
      <c r="ADL7" t="s">
        <v>456</v>
      </c>
      <c r="ADM7" t="s">
        <v>384</v>
      </c>
      <c r="ADN7" t="s">
        <v>384</v>
      </c>
      <c r="ADO7" t="s">
        <v>384</v>
      </c>
      <c r="ADP7" t="s">
        <v>384</v>
      </c>
    </row>
    <row r="8" spans="1:796">
      <c r="A8" t="s">
        <v>4280</v>
      </c>
      <c r="B8">
        <v>8</v>
      </c>
      <c r="C8" t="s">
        <v>4297</v>
      </c>
      <c r="D8">
        <v>45</v>
      </c>
      <c r="T8" t="s">
        <v>845</v>
      </c>
      <c r="AW8" t="s">
        <v>846</v>
      </c>
      <c r="CA8" t="s">
        <v>847</v>
      </c>
      <c r="DD8" t="s">
        <v>848</v>
      </c>
      <c r="EI8" t="s">
        <v>837</v>
      </c>
      <c r="FN8" t="s">
        <v>838</v>
      </c>
      <c r="GS8" t="s">
        <v>839</v>
      </c>
      <c r="HX8" t="s">
        <v>840</v>
      </c>
      <c r="JD8" t="s">
        <v>841</v>
      </c>
      <c r="KI8" t="s">
        <v>842</v>
      </c>
      <c r="LM8" t="s">
        <v>843</v>
      </c>
      <c r="MQ8" t="s">
        <v>844</v>
      </c>
      <c r="NU8" t="s">
        <v>845</v>
      </c>
      <c r="OX8" t="s">
        <v>846</v>
      </c>
      <c r="QB8" t="s">
        <v>847</v>
      </c>
      <c r="RF8" t="s">
        <v>848</v>
      </c>
      <c r="SJ8" t="s">
        <v>837</v>
      </c>
      <c r="TO8" t="s">
        <v>838</v>
      </c>
      <c r="UT8" t="s">
        <v>839</v>
      </c>
      <c r="VZ8" t="s">
        <v>840</v>
      </c>
      <c r="XE8" t="s">
        <v>841</v>
      </c>
      <c r="YJ8" t="s">
        <v>842</v>
      </c>
      <c r="ZN8" t="s">
        <v>843</v>
      </c>
      <c r="AAR8" t="s">
        <v>844</v>
      </c>
      <c r="ABV8" t="s">
        <v>845</v>
      </c>
      <c r="ACY8" t="s">
        <v>846</v>
      </c>
    </row>
    <row r="9" spans="1:796">
      <c r="A9" t="s">
        <v>4273</v>
      </c>
      <c r="B9">
        <v>9</v>
      </c>
      <c r="C9" t="s">
        <v>4298</v>
      </c>
      <c r="D9">
        <v>46</v>
      </c>
    </row>
    <row r="10" spans="1:796">
      <c r="A10" t="s">
        <v>4274</v>
      </c>
      <c r="B10">
        <v>10</v>
      </c>
      <c r="C10" t="s">
        <v>4299</v>
      </c>
      <c r="D10">
        <v>47</v>
      </c>
      <c r="E10" s="538">
        <v>0.13609953703703703</v>
      </c>
      <c r="F10" s="538">
        <v>0.13629629629629628</v>
      </c>
      <c r="G10" s="538">
        <v>0.13649305555555555</v>
      </c>
      <c r="H10" s="538">
        <v>0.13671296296296295</v>
      </c>
      <c r="I10" s="538">
        <v>0.13694444444444445</v>
      </c>
      <c r="J10" s="538">
        <v>0.13717592592592592</v>
      </c>
      <c r="K10" s="538">
        <v>0.13741898148148149</v>
      </c>
      <c r="L10" s="538">
        <v>0.13767361111111112</v>
      </c>
      <c r="M10" s="538">
        <v>0.13793981481481482</v>
      </c>
      <c r="N10" s="538">
        <v>0.13820601851851852</v>
      </c>
      <c r="O10" s="538">
        <v>0.13848379629629629</v>
      </c>
      <c r="P10" s="538">
        <v>0.13877314814814815</v>
      </c>
      <c r="Q10" s="538">
        <v>0.13906250000000001</v>
      </c>
      <c r="R10" s="538">
        <v>0.139375</v>
      </c>
      <c r="S10" s="538">
        <v>0.13967592592592593</v>
      </c>
      <c r="T10" s="538">
        <v>0.13999999999999999</v>
      </c>
      <c r="U10" s="538">
        <v>0.14031250000000001</v>
      </c>
      <c r="V10" s="538">
        <v>0.14064814814814816</v>
      </c>
      <c r="W10" s="538">
        <v>0.14097222222222222</v>
      </c>
      <c r="X10" s="538">
        <v>0.14131944444444444</v>
      </c>
      <c r="Y10" s="538">
        <v>0.1416550925925926</v>
      </c>
      <c r="Z10" s="538">
        <v>0.14200231481481482</v>
      </c>
      <c r="AA10" s="538">
        <v>0.1423611111111111</v>
      </c>
      <c r="AB10" s="538">
        <v>0.14270833333333333</v>
      </c>
      <c r="AC10" s="538">
        <v>0.14306712962962961</v>
      </c>
      <c r="AD10" s="538">
        <v>0.14342592592592593</v>
      </c>
      <c r="AE10" s="538">
        <v>0.14379629629629628</v>
      </c>
      <c r="AF10" s="538">
        <v>0.1441550925925926</v>
      </c>
      <c r="AG10" s="538">
        <v>0.14452546296296295</v>
      </c>
      <c r="AH10" s="538">
        <v>0.14488425925925927</v>
      </c>
      <c r="AI10" s="538">
        <v>0.14525462962962962</v>
      </c>
      <c r="AJ10" s="538">
        <v>0.145625</v>
      </c>
      <c r="AK10" s="538">
        <v>0.14599537037037039</v>
      </c>
      <c r="AL10" s="538">
        <v>0.14635416666666667</v>
      </c>
      <c r="AM10" s="538">
        <v>0.14672453703703703</v>
      </c>
      <c r="AN10" s="538">
        <v>0.14709490740740741</v>
      </c>
      <c r="AO10" s="538">
        <v>0.1474537037037037</v>
      </c>
      <c r="AP10" s="538">
        <v>0.14781249999999999</v>
      </c>
      <c r="AQ10" s="538">
        <v>0.1481712962962963</v>
      </c>
      <c r="AR10" s="538">
        <v>0.14853009259259259</v>
      </c>
      <c r="AS10" s="538">
        <v>0.14887731481481481</v>
      </c>
      <c r="AT10" s="538">
        <v>0.1492361111111111</v>
      </c>
      <c r="AU10" s="538">
        <v>0.14957175925925925</v>
      </c>
      <c r="AV10" s="538">
        <v>0.1499189814814815</v>
      </c>
      <c r="AW10" s="538">
        <v>0.15025462962962963</v>
      </c>
      <c r="AX10" s="538">
        <v>0.15059027777777778</v>
      </c>
      <c r="AY10" s="538">
        <v>0.15091435185185184</v>
      </c>
      <c r="AZ10" s="538">
        <v>0.15123842592592593</v>
      </c>
      <c r="BA10" s="538">
        <v>0.15156250000000002</v>
      </c>
      <c r="BB10" s="538">
        <v>0.15186342592592592</v>
      </c>
      <c r="BC10" s="538">
        <v>0.15217592592592591</v>
      </c>
      <c r="BD10" s="538">
        <v>0.15247685185185186</v>
      </c>
      <c r="BE10" s="538">
        <v>0.15276620370370372</v>
      </c>
      <c r="BF10" s="538">
        <v>0.15305555555555556</v>
      </c>
      <c r="BG10" s="538">
        <v>0.15333333333333332</v>
      </c>
      <c r="BH10" s="538">
        <v>0.15361111111111111</v>
      </c>
      <c r="BI10" s="538">
        <v>0.15387731481481481</v>
      </c>
      <c r="BJ10" s="538">
        <v>0.15413194444444445</v>
      </c>
      <c r="BK10" s="538">
        <v>0.15438657407407408</v>
      </c>
      <c r="BL10" s="538">
        <v>0.15462962962962964</v>
      </c>
      <c r="BM10" s="538">
        <v>0.15486111111111112</v>
      </c>
      <c r="BN10" s="538">
        <v>0.15509259259259259</v>
      </c>
      <c r="BO10" s="538">
        <v>0.15531249999999999</v>
      </c>
      <c r="BP10" s="538">
        <v>0.1555324074074074</v>
      </c>
      <c r="BQ10" s="538">
        <v>0.15574074074074074</v>
      </c>
      <c r="BR10" s="538">
        <v>0.15593749999999998</v>
      </c>
      <c r="BS10" s="538">
        <v>0.15612268518518518</v>
      </c>
      <c r="BT10" s="538">
        <v>0.15630787037037039</v>
      </c>
      <c r="BU10" s="538">
        <v>0.15648148148148147</v>
      </c>
      <c r="BV10" s="538">
        <v>0.15664351851851852</v>
      </c>
      <c r="BW10" s="538">
        <v>0.15680555555555556</v>
      </c>
      <c r="BX10" s="538">
        <v>0.15695601851851851</v>
      </c>
      <c r="BY10" s="538">
        <v>0.15710648148148149</v>
      </c>
      <c r="BZ10" s="538">
        <v>0.15724537037037037</v>
      </c>
      <c r="CA10" s="538">
        <v>0.15737268518518518</v>
      </c>
      <c r="CB10" s="538">
        <v>0.15748842592592593</v>
      </c>
      <c r="CC10" s="538">
        <v>0.15760416666666668</v>
      </c>
      <c r="CD10" s="538">
        <v>0.15770833333333334</v>
      </c>
      <c r="CE10" s="538">
        <v>0.15781249999999999</v>
      </c>
      <c r="CF10" s="538">
        <v>0.15789351851851852</v>
      </c>
      <c r="CG10" s="538">
        <v>0.1579861111111111</v>
      </c>
      <c r="CH10" s="538">
        <v>0.15805555555555556</v>
      </c>
      <c r="CI10" s="538">
        <v>0.15813657407407408</v>
      </c>
      <c r="CJ10" s="538">
        <v>0.15819444444444444</v>
      </c>
      <c r="CK10" s="538">
        <v>0.1582523148148148</v>
      </c>
      <c r="CL10" s="538">
        <v>0.15829861111111113</v>
      </c>
      <c r="CM10" s="538">
        <v>0.15834490740740739</v>
      </c>
      <c r="CN10" s="538">
        <v>0.15839120370370371</v>
      </c>
      <c r="CO10" s="538">
        <v>0.15841435185185185</v>
      </c>
      <c r="CP10" s="538">
        <v>0.15844907407407408</v>
      </c>
      <c r="CQ10" s="538">
        <v>0.15847222222222221</v>
      </c>
      <c r="CR10" s="538">
        <v>0.1584837962962963</v>
      </c>
      <c r="CS10" s="538">
        <v>0.15849537037037037</v>
      </c>
      <c r="CT10" s="538">
        <v>0.15849537037037037</v>
      </c>
      <c r="CU10" s="538">
        <v>0.15849537037037037</v>
      </c>
      <c r="CV10" s="538">
        <v>0.15849537037037037</v>
      </c>
      <c r="CW10" s="538">
        <v>0.1584837962962963</v>
      </c>
      <c r="CX10" s="538">
        <v>0.15847222222222221</v>
      </c>
      <c r="CY10" s="538">
        <v>0.15846064814814814</v>
      </c>
      <c r="CZ10" s="538">
        <v>0.15843750000000001</v>
      </c>
      <c r="DA10" s="538">
        <v>0.15841435185185185</v>
      </c>
      <c r="DB10" s="538">
        <v>0.15837962962962962</v>
      </c>
      <c r="DC10" s="538">
        <v>0.15834490740740739</v>
      </c>
      <c r="DD10" s="538">
        <v>0.15831018518518519</v>
      </c>
      <c r="DE10" s="538">
        <v>0.15827546296296297</v>
      </c>
      <c r="DF10" s="538">
        <v>0.15824074074074074</v>
      </c>
      <c r="DG10" s="538">
        <v>0.15819444444444444</v>
      </c>
      <c r="DH10" s="538">
        <v>0.15814814814814815</v>
      </c>
      <c r="DI10" s="538">
        <v>0.15810185185185185</v>
      </c>
      <c r="DJ10" s="538">
        <v>0.15805555555555556</v>
      </c>
      <c r="DK10" s="538">
        <v>0.15799768518518517</v>
      </c>
      <c r="DL10" s="538">
        <v>0.15795138888888891</v>
      </c>
      <c r="DM10" s="538">
        <v>0.15789351851851852</v>
      </c>
      <c r="DN10" s="538">
        <v>0.15783564814814813</v>
      </c>
      <c r="DO10" s="538">
        <v>0.15778935185185186</v>
      </c>
      <c r="DP10" s="538">
        <v>0.1577314814814815</v>
      </c>
      <c r="DQ10" s="538">
        <v>0.15767361111111111</v>
      </c>
      <c r="DR10" s="538">
        <v>0.15761574074074072</v>
      </c>
      <c r="DS10" s="538">
        <v>0.15755787037037036</v>
      </c>
      <c r="DT10" s="538">
        <v>0.1575</v>
      </c>
      <c r="DU10" s="538">
        <v>0.15744212962962964</v>
      </c>
      <c r="DV10" s="538">
        <v>0.15739583333333332</v>
      </c>
      <c r="DW10" s="538">
        <v>0.15733796296296296</v>
      </c>
      <c r="DX10" s="538">
        <v>0.1572800925925926</v>
      </c>
      <c r="DY10" s="538">
        <v>0.1572337962962963</v>
      </c>
      <c r="DZ10" s="538">
        <v>0.15717592592592591</v>
      </c>
      <c r="EA10" s="538">
        <v>0.15712962962962962</v>
      </c>
      <c r="EB10" s="538">
        <v>0.15708333333333332</v>
      </c>
      <c r="EC10" s="538">
        <v>0.15703703703703703</v>
      </c>
      <c r="ED10" s="538">
        <v>0.15699074074074074</v>
      </c>
      <c r="EE10" s="538">
        <v>0.15695601851851851</v>
      </c>
      <c r="EF10" s="538">
        <v>0.15692129629629628</v>
      </c>
      <c r="EG10" s="538">
        <v>0.15688657407407405</v>
      </c>
      <c r="EH10" s="538">
        <v>0.15685185185185185</v>
      </c>
      <c r="EI10" s="538">
        <v>0.15681712962962963</v>
      </c>
      <c r="EJ10" s="538">
        <v>0.15679398148148146</v>
      </c>
      <c r="EK10" s="538">
        <v>0.15677083333333333</v>
      </c>
      <c r="EL10" s="538">
        <v>0.1567476851851852</v>
      </c>
      <c r="EM10" s="538">
        <v>0.1567361111111111</v>
      </c>
      <c r="EN10" s="538">
        <v>0.15671296296296297</v>
      </c>
      <c r="EO10" s="538">
        <v>0.15671296296296297</v>
      </c>
      <c r="EP10" s="538">
        <v>0.15670138888888888</v>
      </c>
      <c r="EQ10" s="538">
        <v>0.15670138888888888</v>
      </c>
      <c r="ER10" s="538">
        <v>0.15670138888888888</v>
      </c>
      <c r="ES10" s="538">
        <v>0.15671296296296297</v>
      </c>
      <c r="ET10" s="538">
        <v>0.15672453703703704</v>
      </c>
      <c r="EU10" s="538">
        <v>0.1567361111111111</v>
      </c>
      <c r="EV10" s="538">
        <v>0.15675925925925926</v>
      </c>
      <c r="EW10" s="538">
        <v>0.15678240740740743</v>
      </c>
      <c r="EX10" s="538">
        <v>0.15681712962962963</v>
      </c>
      <c r="EY10" s="538">
        <v>0.15685185185185185</v>
      </c>
      <c r="EZ10" s="538">
        <v>0.15688657407407405</v>
      </c>
      <c r="FA10" s="538">
        <v>0.15693287037037038</v>
      </c>
      <c r="FB10" s="538">
        <v>0.15697916666666667</v>
      </c>
      <c r="FC10" s="538">
        <v>0.15703703703703703</v>
      </c>
      <c r="FD10" s="538">
        <v>0.15709490740740742</v>
      </c>
      <c r="FE10" s="538">
        <v>0.15716435185185185</v>
      </c>
      <c r="FF10" s="538">
        <v>0.15722222222222224</v>
      </c>
      <c r="FG10" s="538">
        <v>0.15730324074074073</v>
      </c>
      <c r="FH10" s="538">
        <v>0.15738425925925925</v>
      </c>
      <c r="FI10" s="538">
        <v>0.15746527777777777</v>
      </c>
      <c r="FJ10" s="538">
        <v>0.1575462962962963</v>
      </c>
      <c r="FK10" s="538">
        <v>0.15763888888888888</v>
      </c>
      <c r="FL10" s="538">
        <v>0.15774305555555554</v>
      </c>
      <c r="FM10" s="538">
        <v>0.15784722222222222</v>
      </c>
      <c r="FN10" s="538">
        <v>0.15795138888888891</v>
      </c>
      <c r="FO10" s="538">
        <v>0.15805555555555556</v>
      </c>
      <c r="FP10" s="538">
        <v>0.15817129629629631</v>
      </c>
      <c r="FQ10" s="538">
        <v>0.15829861111111113</v>
      </c>
      <c r="FR10" s="538">
        <v>0.15841435185185185</v>
      </c>
      <c r="FS10" s="538">
        <v>0.15854166666666666</v>
      </c>
      <c r="FT10" s="538">
        <v>0.15868055555555557</v>
      </c>
      <c r="FU10" s="538">
        <v>0.15881944444444443</v>
      </c>
      <c r="FV10" s="538">
        <v>0.15895833333333334</v>
      </c>
      <c r="FW10" s="538">
        <v>0.15909722222222222</v>
      </c>
      <c r="FX10" s="538">
        <v>0.1592476851851852</v>
      </c>
      <c r="FY10" s="538">
        <v>0.15939814814814815</v>
      </c>
      <c r="FZ10" s="538">
        <v>0.1595486111111111</v>
      </c>
      <c r="GA10" s="538">
        <v>0.15969907407407408</v>
      </c>
      <c r="GB10" s="538">
        <v>0.15986111111111112</v>
      </c>
      <c r="GC10" s="538">
        <v>0.16002314814814814</v>
      </c>
      <c r="GD10" s="538">
        <v>0.16018518518518518</v>
      </c>
      <c r="GE10" s="538">
        <v>0.16034722222222222</v>
      </c>
      <c r="GF10" s="538">
        <v>0.16052083333333333</v>
      </c>
      <c r="GG10" s="538">
        <v>0.16068287037037035</v>
      </c>
      <c r="GH10" s="538">
        <v>0.16085648148148149</v>
      </c>
      <c r="GI10" s="538">
        <v>0.1610300925925926</v>
      </c>
      <c r="GJ10" s="538">
        <v>0.16120370370370371</v>
      </c>
      <c r="GK10" s="538">
        <v>0.16137731481481482</v>
      </c>
      <c r="GL10" s="538">
        <v>0.16153935185185184</v>
      </c>
      <c r="GM10" s="538">
        <v>0.16171296296296298</v>
      </c>
      <c r="GN10" s="538">
        <v>0.16188657407407406</v>
      </c>
      <c r="GO10" s="538">
        <v>0.1620601851851852</v>
      </c>
      <c r="GP10" s="538">
        <v>0.16223379629629631</v>
      </c>
      <c r="GQ10" s="538">
        <v>0.16240740740740742</v>
      </c>
      <c r="GR10" s="538">
        <v>0.16256944444444446</v>
      </c>
      <c r="GS10" s="538">
        <v>0.16274305555555554</v>
      </c>
      <c r="GT10" s="538">
        <v>0.16290509259259259</v>
      </c>
      <c r="GU10" s="538">
        <v>0.16306712962962963</v>
      </c>
      <c r="GV10" s="538">
        <v>0.16322916666666668</v>
      </c>
      <c r="GW10" s="538">
        <v>0.16339120370370372</v>
      </c>
      <c r="GX10" s="538">
        <v>0.16354166666666667</v>
      </c>
      <c r="GY10" s="538">
        <v>0.16369212962962962</v>
      </c>
      <c r="GZ10" s="538">
        <v>0.1638425925925926</v>
      </c>
      <c r="HA10" s="538">
        <v>0.16399305555555554</v>
      </c>
      <c r="HB10" s="538">
        <v>0.16413194444444446</v>
      </c>
      <c r="HC10" s="538">
        <v>0.16427083333333334</v>
      </c>
      <c r="HD10" s="538">
        <v>0.16439814814814815</v>
      </c>
      <c r="HE10" s="538">
        <v>0.16452546296296297</v>
      </c>
      <c r="HF10" s="538">
        <v>0.16465277777777779</v>
      </c>
      <c r="HG10" s="538">
        <v>0.16476851851851851</v>
      </c>
      <c r="HH10" s="538">
        <v>0.16487268518518519</v>
      </c>
      <c r="HI10" s="538">
        <v>0.16498842592592591</v>
      </c>
      <c r="HJ10" s="538">
        <v>0.16508101851851853</v>
      </c>
      <c r="HK10" s="538">
        <v>0.16517361111111112</v>
      </c>
      <c r="HL10" s="538">
        <v>0.16526620370370371</v>
      </c>
      <c r="HM10" s="538">
        <v>0.16534722222222223</v>
      </c>
      <c r="HN10" s="538">
        <v>0.16541666666666668</v>
      </c>
      <c r="HO10" s="538">
        <v>0.16548611111111111</v>
      </c>
      <c r="HP10" s="538">
        <v>0.1655439814814815</v>
      </c>
      <c r="HQ10" s="538">
        <v>0.16559027777777777</v>
      </c>
      <c r="HR10" s="538">
        <v>0.16563657407407409</v>
      </c>
      <c r="HS10" s="538">
        <v>0.16567129629629629</v>
      </c>
      <c r="HT10" s="538">
        <v>0.16569444444444445</v>
      </c>
      <c r="HU10" s="538">
        <v>0.16571759259259258</v>
      </c>
      <c r="HV10" s="538">
        <v>0.16572916666666668</v>
      </c>
      <c r="HW10" s="538">
        <v>0.16572916666666668</v>
      </c>
      <c r="HX10" s="538">
        <v>0.16572916666666668</v>
      </c>
      <c r="HY10" s="538">
        <v>0.16571759259259258</v>
      </c>
      <c r="HZ10" s="538">
        <v>0.16569444444444445</v>
      </c>
      <c r="IA10" s="538">
        <v>0.16565972222222222</v>
      </c>
      <c r="IB10" s="538">
        <v>0.16562499999999999</v>
      </c>
      <c r="IC10" s="538">
        <v>0.1655787037037037</v>
      </c>
      <c r="ID10" s="538">
        <v>0.16552083333333334</v>
      </c>
      <c r="IE10" s="538">
        <v>0.16545138888888888</v>
      </c>
      <c r="IF10" s="538">
        <v>0.16538194444444446</v>
      </c>
      <c r="IG10" s="538">
        <v>0.16528935185185187</v>
      </c>
      <c r="IH10" s="538">
        <v>0.16519675925925925</v>
      </c>
      <c r="II10" s="538">
        <v>0.1650925925925926</v>
      </c>
      <c r="IJ10" s="538">
        <v>0.16498842592592591</v>
      </c>
      <c r="IK10" s="538">
        <v>0.16487268518518519</v>
      </c>
      <c r="IL10" s="538">
        <v>0.16473379629629628</v>
      </c>
      <c r="IM10" s="538">
        <v>0.16459490740740743</v>
      </c>
      <c r="IN10" s="538">
        <v>0.16445601851851852</v>
      </c>
      <c r="IO10" s="538">
        <v>0.16429398148148147</v>
      </c>
      <c r="IP10" s="538">
        <v>0.16413194444444446</v>
      </c>
      <c r="IQ10" s="538">
        <v>0.16395833333333334</v>
      </c>
      <c r="IR10" s="538">
        <v>0.16378472222222221</v>
      </c>
      <c r="IS10" s="538">
        <v>0.16358796296296296</v>
      </c>
      <c r="IT10" s="538">
        <v>0.16339120370370372</v>
      </c>
      <c r="IU10" s="538">
        <v>0.16318287037037038</v>
      </c>
      <c r="IV10" s="538">
        <v>0.16297453703703704</v>
      </c>
      <c r="IW10" s="538">
        <v>0.16274305555555554</v>
      </c>
      <c r="IX10" s="538">
        <v>0.16251157407407407</v>
      </c>
      <c r="IY10" s="538">
        <v>0.1622800925925926</v>
      </c>
      <c r="IZ10" s="538">
        <v>0.16202546296296297</v>
      </c>
      <c r="JA10" s="538">
        <v>0.16177083333333334</v>
      </c>
      <c r="JB10" s="538">
        <v>0.1615162037037037</v>
      </c>
      <c r="JC10" s="538">
        <v>0.16123842592592594</v>
      </c>
      <c r="JD10" s="538">
        <v>0.16096064814814814</v>
      </c>
      <c r="JE10" s="538">
        <v>0.16068287037037035</v>
      </c>
      <c r="JF10" s="538">
        <v>0.16039351851851852</v>
      </c>
      <c r="JG10" s="538">
        <v>0.16009259259259259</v>
      </c>
      <c r="JH10" s="538">
        <v>0.15979166666666667</v>
      </c>
      <c r="JI10" s="538">
        <v>0.15947916666666667</v>
      </c>
      <c r="JJ10" s="538">
        <v>0.15916666666666668</v>
      </c>
      <c r="JK10" s="538">
        <v>0.15884259259259259</v>
      </c>
      <c r="JL10" s="538">
        <v>0.15851851851851853</v>
      </c>
      <c r="JM10" s="538">
        <v>0.15818287037037038</v>
      </c>
      <c r="JN10" s="538">
        <v>0.15784722222222222</v>
      </c>
      <c r="JO10" s="538">
        <v>0.1575</v>
      </c>
      <c r="JP10" s="538">
        <v>0.15715277777777778</v>
      </c>
      <c r="JQ10" s="538">
        <v>0.15679398148148146</v>
      </c>
      <c r="JR10" s="538">
        <v>0.15643518518518518</v>
      </c>
      <c r="JS10" s="538">
        <v>0.15607638888888889</v>
      </c>
      <c r="JT10" s="538">
        <v>0.15570601851851854</v>
      </c>
      <c r="JU10" s="538">
        <v>0.15533564814814815</v>
      </c>
      <c r="JV10" s="538">
        <v>0.15496527777777777</v>
      </c>
      <c r="JW10" s="538">
        <v>0.15458333333333332</v>
      </c>
      <c r="JX10" s="538">
        <v>0.15420138888888887</v>
      </c>
      <c r="JY10" s="538">
        <v>0.15381944444444443</v>
      </c>
      <c r="JZ10" s="538">
        <v>0.1534375</v>
      </c>
      <c r="KA10" s="538">
        <v>0.15304398148148149</v>
      </c>
      <c r="KB10" s="538">
        <v>0.15266203703703704</v>
      </c>
      <c r="KC10" s="538">
        <v>0.15226851851851853</v>
      </c>
      <c r="KD10" s="538">
        <v>0.15187500000000001</v>
      </c>
      <c r="KE10" s="538">
        <v>0.1514699074074074</v>
      </c>
      <c r="KF10" s="538">
        <v>0.15107638888888889</v>
      </c>
      <c r="KG10" s="538">
        <v>0.15068287037037037</v>
      </c>
      <c r="KH10" s="538">
        <v>0.15027777777777776</v>
      </c>
      <c r="KI10" s="538">
        <v>0.14988425925925927</v>
      </c>
      <c r="KJ10" s="538">
        <v>0.14947916666666666</v>
      </c>
      <c r="KK10" s="538">
        <v>0.14908564814814815</v>
      </c>
      <c r="KL10" s="538">
        <v>0.14868055555555557</v>
      </c>
      <c r="KM10" s="538">
        <v>0.14828703703703702</v>
      </c>
      <c r="KN10" s="538">
        <v>0.14788194444444444</v>
      </c>
      <c r="KO10" s="538">
        <v>0.14748842592592593</v>
      </c>
      <c r="KP10" s="538">
        <v>0.14709490740740741</v>
      </c>
      <c r="KQ10" s="538">
        <v>0.1467013888888889</v>
      </c>
      <c r="KR10" s="538">
        <v>0.14630787037037038</v>
      </c>
      <c r="KS10" s="538">
        <v>0.14591435185185184</v>
      </c>
      <c r="KT10" s="538">
        <v>0.14553240740740739</v>
      </c>
      <c r="KU10" s="538">
        <v>0.1451388888888889</v>
      </c>
      <c r="KV10" s="538">
        <v>0.14475694444444445</v>
      </c>
      <c r="KW10" s="538">
        <v>0.14438657407407407</v>
      </c>
      <c r="KX10" s="538">
        <v>0.14400462962962965</v>
      </c>
      <c r="KY10" s="538">
        <v>0.14363425925925924</v>
      </c>
      <c r="KZ10" s="538">
        <v>0.14326388888888889</v>
      </c>
      <c r="LA10" s="538">
        <v>0.1429050925925926</v>
      </c>
      <c r="LB10" s="538">
        <v>0.14254629629629631</v>
      </c>
      <c r="LC10" s="538">
        <v>0.14218749999999999</v>
      </c>
      <c r="LD10" s="538">
        <v>0.14184027777777777</v>
      </c>
      <c r="LE10" s="538">
        <v>0.14149305555555555</v>
      </c>
      <c r="LF10" s="538">
        <v>0.14115740740740743</v>
      </c>
      <c r="LG10" s="538">
        <v>0.14082175925925924</v>
      </c>
      <c r="LH10" s="538">
        <v>0.14049768518518518</v>
      </c>
      <c r="LI10" s="538">
        <v>0.14017361111111112</v>
      </c>
      <c r="LJ10" s="538">
        <v>0.1398611111111111</v>
      </c>
      <c r="LK10" s="538">
        <v>0.13954861111111111</v>
      </c>
      <c r="LL10" s="538">
        <v>0.13924768518518518</v>
      </c>
      <c r="LM10" s="538">
        <v>0.13895833333333332</v>
      </c>
      <c r="LN10" s="538">
        <v>0.13866898148148146</v>
      </c>
      <c r="LO10" s="538">
        <v>0.1383912037037037</v>
      </c>
      <c r="LP10" s="538">
        <v>0.138125</v>
      </c>
      <c r="LQ10" s="538">
        <v>0.1378587962962963</v>
      </c>
      <c r="LR10" s="538">
        <v>0.13760416666666667</v>
      </c>
      <c r="LS10" s="538">
        <v>0.13736111111111113</v>
      </c>
      <c r="LT10" s="538">
        <v>0.13711805555555556</v>
      </c>
      <c r="LU10" s="538">
        <v>0.13689814814814816</v>
      </c>
      <c r="LV10" s="538">
        <v>0.13667824074074073</v>
      </c>
      <c r="LW10" s="538">
        <v>0.13646990740740741</v>
      </c>
      <c r="LX10" s="538">
        <v>0.13626157407407408</v>
      </c>
      <c r="LY10" s="538">
        <v>0.13607638888888887</v>
      </c>
      <c r="LZ10" s="538">
        <v>0.13589120370370369</v>
      </c>
      <c r="MA10" s="538">
        <v>0.13572916666666665</v>
      </c>
      <c r="MB10" s="538">
        <v>0.13556712962962963</v>
      </c>
      <c r="MC10" s="538">
        <v>0.13541666666666666</v>
      </c>
      <c r="MD10" s="538">
        <v>0.13527777777777777</v>
      </c>
      <c r="ME10" s="538">
        <v>0.13515046296296296</v>
      </c>
      <c r="MF10" s="538">
        <v>0.13503472222222221</v>
      </c>
      <c r="MG10" s="538">
        <v>0.13493055555555555</v>
      </c>
      <c r="MH10" s="538">
        <v>0.13483796296296297</v>
      </c>
      <c r="MI10" s="538">
        <v>0.13474537037037038</v>
      </c>
      <c r="MJ10" s="538">
        <v>0.13467592592592592</v>
      </c>
      <c r="MK10" s="538">
        <v>0.13461805555555556</v>
      </c>
      <c r="ML10" s="538">
        <v>0.13457175925925927</v>
      </c>
      <c r="MM10" s="538">
        <v>0.13452546296296297</v>
      </c>
      <c r="MN10" s="538">
        <v>0.13450231481481481</v>
      </c>
      <c r="MO10" s="538">
        <v>0.13449074074074074</v>
      </c>
      <c r="MP10" s="538">
        <v>0.13449074074074074</v>
      </c>
      <c r="MQ10" s="538">
        <v>0.13450231481481481</v>
      </c>
      <c r="MR10" s="538">
        <v>0.13452546296296297</v>
      </c>
      <c r="MS10" s="538">
        <v>0.1345486111111111</v>
      </c>
      <c r="MT10" s="538">
        <v>0.1345949074074074</v>
      </c>
      <c r="MU10" s="538">
        <v>0.13465277777777776</v>
      </c>
      <c r="MV10" s="538">
        <v>0.13472222222222222</v>
      </c>
      <c r="MW10" s="538">
        <v>0.13480324074074074</v>
      </c>
      <c r="MX10" s="538">
        <v>0.13489583333333333</v>
      </c>
      <c r="MY10" s="538">
        <v>0.13500000000000001</v>
      </c>
      <c r="MZ10" s="538">
        <v>0.13511574074074076</v>
      </c>
      <c r="NA10" s="538">
        <v>0.13524305555555555</v>
      </c>
      <c r="NB10" s="538">
        <v>0.13538194444444443</v>
      </c>
      <c r="NC10" s="538">
        <v>0.13553240740740741</v>
      </c>
      <c r="ND10" s="538">
        <v>0.13569444444444445</v>
      </c>
      <c r="NE10" s="538">
        <v>0.13586805555555556</v>
      </c>
      <c r="NF10" s="538">
        <v>0.13605324074074074</v>
      </c>
      <c r="NG10" s="538">
        <v>0.13623842592592592</v>
      </c>
      <c r="NH10" s="538">
        <v>0.13644675925925925</v>
      </c>
      <c r="NI10" s="538">
        <v>0.13665509259259259</v>
      </c>
      <c r="NJ10" s="538">
        <v>0.13688657407407409</v>
      </c>
      <c r="NK10" s="538">
        <v>0.13711805555555556</v>
      </c>
      <c r="NL10" s="538">
        <v>0.13736111111111113</v>
      </c>
      <c r="NM10" s="538">
        <v>0.13760416666666667</v>
      </c>
      <c r="NN10" s="538">
        <v>0.13787037037037037</v>
      </c>
      <c r="NO10" s="538">
        <v>0.13813657407407406</v>
      </c>
      <c r="NP10" s="538">
        <v>0.13841435185185186</v>
      </c>
      <c r="NQ10" s="538">
        <v>0.13870370370370369</v>
      </c>
      <c r="NR10" s="538">
        <v>0.13899305555555555</v>
      </c>
      <c r="NS10" s="538">
        <v>0.13929398148148148</v>
      </c>
      <c r="NT10" s="538">
        <v>0.1396064814814815</v>
      </c>
      <c r="NU10" s="538">
        <v>0.13991898148148149</v>
      </c>
      <c r="NV10" s="538">
        <v>0.14023148148148148</v>
      </c>
      <c r="NW10" s="538">
        <v>0.14056712962962961</v>
      </c>
      <c r="NX10" s="538">
        <v>0.1408912037037037</v>
      </c>
      <c r="NY10" s="538">
        <v>0.14122685185185185</v>
      </c>
      <c r="NZ10" s="538">
        <v>0.14157407407407407</v>
      </c>
      <c r="OA10" s="538">
        <v>0.1419212962962963</v>
      </c>
      <c r="OB10" s="538">
        <v>0.14226851851851852</v>
      </c>
      <c r="OC10" s="538">
        <v>0.1426273148148148</v>
      </c>
      <c r="OD10" s="538">
        <v>0.14297453703703702</v>
      </c>
      <c r="OE10" s="538">
        <v>0.14334490740740741</v>
      </c>
      <c r="OF10" s="538">
        <v>0.14370370370370369</v>
      </c>
      <c r="OG10" s="538">
        <v>0.14406250000000001</v>
      </c>
      <c r="OH10" s="538">
        <v>0.14443287037037036</v>
      </c>
      <c r="OI10" s="538">
        <v>0.14479166666666668</v>
      </c>
      <c r="OJ10" s="538">
        <v>0.14516203703703703</v>
      </c>
      <c r="OK10" s="538">
        <v>0.14553240740740739</v>
      </c>
      <c r="OL10" s="538">
        <v>0.1459027777777778</v>
      </c>
      <c r="OM10" s="538">
        <v>0.14627314814814815</v>
      </c>
      <c r="ON10" s="538">
        <v>0.14663194444444444</v>
      </c>
      <c r="OO10" s="538">
        <v>0.14700231481481482</v>
      </c>
      <c r="OP10" s="538">
        <v>0.14736111111111111</v>
      </c>
      <c r="OQ10" s="538">
        <v>0.1477199074074074</v>
      </c>
      <c r="OR10" s="538">
        <v>0.14807870370370371</v>
      </c>
      <c r="OS10" s="538">
        <v>0.1484375</v>
      </c>
      <c r="OT10" s="538">
        <v>0.14879629629629629</v>
      </c>
      <c r="OU10" s="538">
        <v>0.14914351851851851</v>
      </c>
      <c r="OV10" s="538">
        <v>0.14949074074074073</v>
      </c>
      <c r="OW10" s="538">
        <v>0.14983796296296295</v>
      </c>
      <c r="OX10" s="538">
        <v>0.1501736111111111</v>
      </c>
      <c r="OY10" s="538">
        <v>0.15050925925925926</v>
      </c>
      <c r="OZ10" s="538">
        <v>0.15083333333333335</v>
      </c>
      <c r="PA10" s="538">
        <v>0.15115740740740741</v>
      </c>
      <c r="PB10" s="538">
        <v>0.15148148148148147</v>
      </c>
      <c r="PC10" s="538">
        <v>0.15179398148148149</v>
      </c>
      <c r="PD10" s="538">
        <v>0.15209490740740741</v>
      </c>
      <c r="PE10" s="538">
        <v>0.15239583333333334</v>
      </c>
      <c r="PF10" s="538">
        <v>0.15269675925925927</v>
      </c>
      <c r="PG10" s="538">
        <v>0.15298611111111113</v>
      </c>
      <c r="PH10" s="538">
        <v>0.15326388888888889</v>
      </c>
      <c r="PI10" s="538">
        <v>0.15354166666666666</v>
      </c>
      <c r="PJ10" s="538">
        <v>0.15380787037037039</v>
      </c>
      <c r="PK10" s="538">
        <v>0.15406249999999999</v>
      </c>
      <c r="PL10" s="538">
        <v>0.15431712962962962</v>
      </c>
      <c r="PM10" s="538">
        <v>0.15457175925925926</v>
      </c>
      <c r="PN10" s="538">
        <v>0.15480324074074073</v>
      </c>
      <c r="PO10" s="538">
        <v>0.15503472222222223</v>
      </c>
      <c r="PP10" s="538">
        <v>0.1552662037037037</v>
      </c>
      <c r="PQ10" s="538">
        <v>0.15547453703703704</v>
      </c>
      <c r="PR10" s="538">
        <v>0.15568287037037037</v>
      </c>
      <c r="PS10" s="538">
        <v>0.15587962962962962</v>
      </c>
      <c r="PT10" s="538">
        <v>0.15607638888888889</v>
      </c>
      <c r="PU10" s="538">
        <v>0.15626157407407407</v>
      </c>
      <c r="PV10" s="538">
        <v>0.15643518518518518</v>
      </c>
      <c r="PW10" s="538">
        <v>0.15660879629629629</v>
      </c>
      <c r="PX10" s="538">
        <v>0.15677083333333333</v>
      </c>
      <c r="PY10" s="538">
        <v>0.15692129629629628</v>
      </c>
      <c r="PZ10" s="538">
        <v>0.15707175925925926</v>
      </c>
      <c r="QA10" s="538">
        <v>0.15721064814814814</v>
      </c>
      <c r="QB10" s="538">
        <v>0.15733796296296296</v>
      </c>
      <c r="QC10" s="538">
        <v>0.15745370370370371</v>
      </c>
      <c r="QD10" s="538">
        <v>0.15756944444444446</v>
      </c>
      <c r="QE10" s="538">
        <v>0.15768518518518518</v>
      </c>
      <c r="QF10" s="538">
        <v>0.15777777777777777</v>
      </c>
      <c r="QG10" s="538">
        <v>0.15787037037037036</v>
      </c>
      <c r="QH10" s="538">
        <v>0.15796296296296297</v>
      </c>
      <c r="QI10" s="538">
        <v>0.15804398148148149</v>
      </c>
      <c r="QJ10" s="538">
        <v>0.15811342592592592</v>
      </c>
      <c r="QK10" s="538">
        <v>0.15818287037037038</v>
      </c>
      <c r="QL10" s="538">
        <v>0.15824074074074074</v>
      </c>
      <c r="QM10" s="538">
        <v>0.15828703703703703</v>
      </c>
      <c r="QN10" s="538">
        <v>0.15833333333333333</v>
      </c>
      <c r="QO10" s="538">
        <v>0.15837962962962962</v>
      </c>
      <c r="QP10" s="538">
        <v>0.15841435185185185</v>
      </c>
      <c r="QQ10" s="538">
        <v>0.15843750000000001</v>
      </c>
      <c r="QR10" s="538">
        <v>0.15846064814814814</v>
      </c>
      <c r="QS10" s="538">
        <v>0.15847222222222221</v>
      </c>
      <c r="QT10" s="538">
        <v>0.15849537037037037</v>
      </c>
      <c r="QU10" s="538">
        <v>0.15849537037037037</v>
      </c>
      <c r="QV10" s="538">
        <v>0.15849537037037037</v>
      </c>
      <c r="QW10" s="538">
        <v>0.15849537037037037</v>
      </c>
      <c r="QX10" s="538">
        <v>0.1584837962962963</v>
      </c>
      <c r="QY10" s="538">
        <v>0.15847222222222221</v>
      </c>
      <c r="QZ10" s="538">
        <v>0.15846064814814814</v>
      </c>
      <c r="RA10" s="538">
        <v>0.15843750000000001</v>
      </c>
      <c r="RB10" s="538">
        <v>0.15841435185185185</v>
      </c>
      <c r="RC10" s="538">
        <v>0.15839120370370371</v>
      </c>
      <c r="RD10" s="538">
        <v>0.15835648148148149</v>
      </c>
      <c r="RE10" s="538">
        <v>0.15832175925925926</v>
      </c>
      <c r="RF10" s="538">
        <v>0.15828703703703703</v>
      </c>
      <c r="RG10" s="538">
        <v>0.15824074074074074</v>
      </c>
      <c r="RH10" s="538">
        <v>0.15820601851851854</v>
      </c>
      <c r="RI10" s="538">
        <v>0.15815972222222222</v>
      </c>
      <c r="RJ10" s="538">
        <v>0.15811342592592592</v>
      </c>
      <c r="RK10" s="538">
        <v>0.15806712962962963</v>
      </c>
      <c r="RL10" s="538">
        <v>0.15800925925925927</v>
      </c>
      <c r="RM10" s="538">
        <v>0.15796296296296297</v>
      </c>
      <c r="RN10" s="538">
        <v>0.15790509259259258</v>
      </c>
      <c r="RO10" s="538">
        <v>0.15784722222222222</v>
      </c>
      <c r="RP10" s="538">
        <v>0.15780092592592593</v>
      </c>
      <c r="RQ10" s="538">
        <v>0.15774305555555554</v>
      </c>
      <c r="RR10" s="538">
        <v>0.15768518518518518</v>
      </c>
      <c r="RS10" s="538">
        <v>0.15762731481481482</v>
      </c>
      <c r="RT10" s="538">
        <v>0.15756944444444446</v>
      </c>
      <c r="RU10" s="538">
        <v>0.1575115740740741</v>
      </c>
      <c r="RV10" s="538">
        <v>0.15746527777777777</v>
      </c>
      <c r="RW10" s="538">
        <v>0.15740740740740741</v>
      </c>
      <c r="RX10" s="538">
        <v>0.15734953703703705</v>
      </c>
      <c r="RY10" s="538">
        <v>0.15729166666666666</v>
      </c>
      <c r="RZ10" s="538">
        <v>0.15724537037037037</v>
      </c>
      <c r="SA10" s="538">
        <v>0.15719907407407407</v>
      </c>
      <c r="SB10" s="538">
        <v>0.15714120370370369</v>
      </c>
      <c r="SC10" s="538">
        <v>0.15709490740740742</v>
      </c>
      <c r="SD10" s="538">
        <v>0.1570486111111111</v>
      </c>
      <c r="SE10" s="538">
        <v>0.15700231481481483</v>
      </c>
      <c r="SF10" s="538">
        <v>0.1569675925925926</v>
      </c>
      <c r="SG10" s="538">
        <v>0.15692129629629628</v>
      </c>
      <c r="SH10" s="538">
        <v>0.15688657407407405</v>
      </c>
      <c r="SI10" s="538">
        <v>0.15685185185185185</v>
      </c>
      <c r="SJ10" s="538">
        <v>0.15682870370370369</v>
      </c>
      <c r="SK10" s="538">
        <v>0.15679398148148146</v>
      </c>
      <c r="SL10" s="538">
        <v>0.15677083333333333</v>
      </c>
      <c r="SM10" s="538">
        <v>0.1567476851851852</v>
      </c>
      <c r="SN10" s="538">
        <v>0.1567361111111111</v>
      </c>
      <c r="SO10" s="538">
        <v>0.15672453703703704</v>
      </c>
      <c r="SP10" s="538">
        <v>0.15671296296296297</v>
      </c>
      <c r="SQ10" s="538">
        <v>0.15670138888888888</v>
      </c>
      <c r="SR10" s="538">
        <v>0.15670138888888888</v>
      </c>
      <c r="SS10" s="538">
        <v>0.15670138888888888</v>
      </c>
      <c r="ST10" s="538">
        <v>0.15671296296296297</v>
      </c>
      <c r="SU10" s="538">
        <v>0.15672453703703704</v>
      </c>
      <c r="SV10" s="538">
        <v>0.1567361111111111</v>
      </c>
      <c r="SW10" s="538">
        <v>0.15675925925925926</v>
      </c>
      <c r="SX10" s="538">
        <v>0.15678240740740743</v>
      </c>
      <c r="SY10" s="538">
        <v>0.15680555555555556</v>
      </c>
      <c r="SZ10" s="538">
        <v>0.15684027777777779</v>
      </c>
      <c r="TA10" s="538">
        <v>0.15688657407407405</v>
      </c>
      <c r="TB10" s="538">
        <v>0.15692129629629628</v>
      </c>
      <c r="TC10" s="538">
        <v>0.1569675925925926</v>
      </c>
      <c r="TD10" s="538">
        <v>0.15702546296296296</v>
      </c>
      <c r="TE10" s="538">
        <v>0.15708333333333332</v>
      </c>
      <c r="TF10" s="538">
        <v>0.15714120370370369</v>
      </c>
      <c r="TG10" s="538">
        <v>0.15721064814814814</v>
      </c>
      <c r="TH10" s="538">
        <v>0.1572800925925926</v>
      </c>
      <c r="TI10" s="538">
        <v>0.15736111111111112</v>
      </c>
      <c r="TJ10" s="538">
        <v>0.15744212962962964</v>
      </c>
      <c r="TK10" s="538">
        <v>0.15753472222222223</v>
      </c>
      <c r="TL10" s="538">
        <v>0.15761574074074072</v>
      </c>
      <c r="TM10" s="538">
        <v>0.15771990740740741</v>
      </c>
      <c r="TN10" s="538">
        <v>0.15781249999999999</v>
      </c>
      <c r="TO10" s="538">
        <v>0.15792824074074074</v>
      </c>
      <c r="TP10" s="538">
        <v>0.1580324074074074</v>
      </c>
      <c r="TQ10" s="538">
        <v>0.15814814814814815</v>
      </c>
      <c r="TR10" s="538">
        <v>0.1582638888888889</v>
      </c>
      <c r="TS10" s="538">
        <v>0.15839120370370371</v>
      </c>
      <c r="TT10" s="538">
        <v>0.15851851851851853</v>
      </c>
      <c r="TU10" s="538">
        <v>0.15864583333333335</v>
      </c>
      <c r="TV10" s="538">
        <v>0.1587847222222222</v>
      </c>
      <c r="TW10" s="538">
        <v>0.15892361111111111</v>
      </c>
      <c r="TX10" s="538">
        <v>0.1590625</v>
      </c>
      <c r="TY10" s="538">
        <v>0.15921296296296297</v>
      </c>
      <c r="TZ10" s="538">
        <v>0.15936342592592592</v>
      </c>
      <c r="UA10" s="538">
        <v>0.15951388888888887</v>
      </c>
      <c r="UB10" s="538">
        <v>0.15966435185185185</v>
      </c>
      <c r="UC10" s="538">
        <v>0.15982638888888889</v>
      </c>
      <c r="UD10" s="538">
        <v>0.15998842592592591</v>
      </c>
      <c r="UE10" s="538">
        <v>0.16015046296296295</v>
      </c>
      <c r="UF10" s="538">
        <v>0.1603125</v>
      </c>
      <c r="UG10" s="538">
        <v>0.16047453703703704</v>
      </c>
      <c r="UH10" s="538">
        <v>0.16064814814814815</v>
      </c>
      <c r="UI10" s="538">
        <v>0.16082175925925926</v>
      </c>
      <c r="UJ10" s="538">
        <v>0.16098379629629631</v>
      </c>
      <c r="UK10" s="538">
        <v>0.16115740740740742</v>
      </c>
      <c r="UL10" s="538">
        <v>0.16133101851851853</v>
      </c>
      <c r="UM10" s="538">
        <v>0.16150462962962964</v>
      </c>
      <c r="UN10" s="538">
        <v>0.16167824074074075</v>
      </c>
      <c r="UO10" s="538">
        <v>0.16185185185185186</v>
      </c>
      <c r="UP10" s="538">
        <v>0.16202546296296297</v>
      </c>
      <c r="UQ10" s="538">
        <v>0.16219907407407408</v>
      </c>
      <c r="UR10" s="538">
        <v>0.16236111111111109</v>
      </c>
      <c r="US10" s="538">
        <v>0.16253472222222223</v>
      </c>
      <c r="UT10" s="538">
        <v>0.16269675925925928</v>
      </c>
      <c r="UU10" s="538">
        <v>0.16287037037037036</v>
      </c>
      <c r="UV10" s="538">
        <v>0.1630324074074074</v>
      </c>
      <c r="UW10" s="538">
        <v>0.16319444444444445</v>
      </c>
      <c r="UX10" s="538">
        <v>0.16335648148148149</v>
      </c>
      <c r="UY10" s="538">
        <v>0.16350694444444444</v>
      </c>
      <c r="UZ10" s="538">
        <v>0.16365740740740739</v>
      </c>
      <c r="VA10" s="538">
        <v>0.16380787037037037</v>
      </c>
      <c r="VB10" s="538">
        <v>0.16395833333333334</v>
      </c>
      <c r="VC10" s="538">
        <v>0.16409722222222223</v>
      </c>
      <c r="VD10" s="538">
        <v>0.16423611111111111</v>
      </c>
      <c r="VE10" s="538">
        <v>0.16437500000000002</v>
      </c>
      <c r="VF10" s="538">
        <v>0.16450231481481481</v>
      </c>
      <c r="VG10" s="538">
        <v>0.16461805555555556</v>
      </c>
      <c r="VH10" s="538">
        <v>0.16474537037037038</v>
      </c>
      <c r="VI10" s="538">
        <v>0.16484953703703703</v>
      </c>
      <c r="VJ10" s="538">
        <v>0.16496527777777778</v>
      </c>
      <c r="VK10" s="538">
        <v>0.16505787037037037</v>
      </c>
      <c r="VL10" s="538">
        <v>0.16515046296296296</v>
      </c>
      <c r="VM10" s="538">
        <v>0.16524305555555555</v>
      </c>
      <c r="VN10" s="538">
        <v>0.1653240740740741</v>
      </c>
      <c r="VO10" s="538">
        <v>0.16540509259259259</v>
      </c>
      <c r="VP10" s="538">
        <v>0.16546296296296295</v>
      </c>
      <c r="VQ10" s="538">
        <v>0.16553240740740741</v>
      </c>
      <c r="VR10" s="538">
        <v>0.1655787037037037</v>
      </c>
      <c r="VS10" s="538">
        <v>0.16562499999999999</v>
      </c>
      <c r="VT10" s="538">
        <v>0.16565972222222222</v>
      </c>
      <c r="VU10" s="538">
        <v>0.16569444444444445</v>
      </c>
      <c r="VV10" s="538">
        <v>0.16571759259259258</v>
      </c>
      <c r="VW10" s="538">
        <v>0.16572916666666668</v>
      </c>
      <c r="VX10" s="538">
        <v>0.16574074074074074</v>
      </c>
      <c r="VY10" s="538">
        <v>0.16572916666666668</v>
      </c>
      <c r="VZ10" s="538">
        <v>0.16571759259259258</v>
      </c>
      <c r="WA10" s="538">
        <v>0.16570601851851852</v>
      </c>
      <c r="WB10" s="538">
        <v>0.16567129629629629</v>
      </c>
      <c r="WC10" s="538">
        <v>0.16563657407407409</v>
      </c>
      <c r="WD10" s="538">
        <v>0.16559027777777777</v>
      </c>
      <c r="WE10" s="538">
        <v>0.16553240740740741</v>
      </c>
      <c r="WF10" s="538">
        <v>0.16547453703703704</v>
      </c>
      <c r="WG10" s="538">
        <v>0.16539351851851852</v>
      </c>
      <c r="WH10" s="538">
        <v>0.1653125</v>
      </c>
      <c r="WI10" s="538">
        <v>0.16521990740740741</v>
      </c>
      <c r="WJ10" s="538">
        <v>0.16512731481481482</v>
      </c>
      <c r="WK10" s="538">
        <v>0.16501157407407407</v>
      </c>
      <c r="WL10" s="538">
        <v>0.16489583333333332</v>
      </c>
      <c r="WM10" s="538">
        <v>0.16476851851851851</v>
      </c>
      <c r="WN10" s="538">
        <v>0.16464120370370369</v>
      </c>
      <c r="WO10" s="538">
        <v>0.16449074074074074</v>
      </c>
      <c r="WP10" s="538">
        <v>0.16434027777777779</v>
      </c>
      <c r="WQ10" s="538">
        <v>0.16417824074074075</v>
      </c>
      <c r="WR10" s="538">
        <v>0.16400462962962961</v>
      </c>
      <c r="WS10" s="538">
        <v>0.16383101851851853</v>
      </c>
      <c r="WT10" s="538">
        <v>0.16363425925925926</v>
      </c>
      <c r="WU10" s="538">
        <v>0.16343749999999999</v>
      </c>
      <c r="WV10" s="538">
        <v>0.16324074074074074</v>
      </c>
      <c r="WW10" s="538">
        <v>0.16302083333333334</v>
      </c>
      <c r="WX10" s="538">
        <v>0.1628009259259259</v>
      </c>
      <c r="WY10" s="538">
        <v>0.16256944444444446</v>
      </c>
      <c r="WZ10" s="538">
        <v>0.16233796296296296</v>
      </c>
      <c r="XA10" s="538">
        <v>0.1620949074074074</v>
      </c>
      <c r="XB10" s="538">
        <v>0.16184027777777779</v>
      </c>
      <c r="XC10" s="538">
        <v>0.16157407407407406</v>
      </c>
      <c r="XD10" s="538">
        <v>0.16130787037037037</v>
      </c>
      <c r="XE10" s="538">
        <v>0.1610300925925926</v>
      </c>
      <c r="XF10" s="538">
        <v>0.16075231481481481</v>
      </c>
      <c r="XG10" s="538">
        <v>0.16046296296296295</v>
      </c>
      <c r="XH10" s="538">
        <v>0.16017361111111111</v>
      </c>
      <c r="XI10" s="538">
        <v>0.15986111111111112</v>
      </c>
      <c r="XJ10" s="538">
        <v>0.15956018518518519</v>
      </c>
      <c r="XK10" s="538">
        <v>0.1592476851851852</v>
      </c>
      <c r="XL10" s="538">
        <v>0.15892361111111111</v>
      </c>
      <c r="XM10" s="538">
        <v>0.15859953703703702</v>
      </c>
      <c r="XN10" s="538">
        <v>0.1582638888888889</v>
      </c>
      <c r="XO10" s="538">
        <v>0.15792824074074074</v>
      </c>
      <c r="XP10" s="538">
        <v>0.15758101851851852</v>
      </c>
      <c r="XQ10" s="538">
        <v>0.1572337962962963</v>
      </c>
      <c r="XR10" s="538">
        <v>0.15688657407407405</v>
      </c>
      <c r="XS10" s="538">
        <v>0.15652777777777779</v>
      </c>
      <c r="XT10" s="538">
        <v>0.15616898148148148</v>
      </c>
      <c r="XU10" s="538">
        <v>0.15579861111111112</v>
      </c>
      <c r="XV10" s="538">
        <v>0.15542824074074074</v>
      </c>
      <c r="XW10" s="538">
        <v>0.15505787037037036</v>
      </c>
      <c r="XX10" s="538">
        <v>0.15467592592592591</v>
      </c>
      <c r="XY10" s="538">
        <v>0.15429398148148146</v>
      </c>
      <c r="XZ10" s="538">
        <v>0.15391203703703704</v>
      </c>
      <c r="YA10" s="538">
        <v>0.15353009259259259</v>
      </c>
      <c r="YB10" s="538">
        <v>0.15314814814814814</v>
      </c>
      <c r="YC10" s="538">
        <v>0.15275462962962963</v>
      </c>
      <c r="YD10" s="538">
        <v>0.15236111111111111</v>
      </c>
      <c r="YE10" s="538">
        <v>0.1519675925925926</v>
      </c>
      <c r="YF10" s="538">
        <v>0.15157407407407408</v>
      </c>
      <c r="YG10" s="538">
        <v>0.15116898148148147</v>
      </c>
      <c r="YH10" s="538">
        <v>0.15077546296296296</v>
      </c>
      <c r="YI10" s="538">
        <v>0.15038194444444444</v>
      </c>
      <c r="YJ10" s="538">
        <v>0.14997685185185186</v>
      </c>
      <c r="YK10" s="538">
        <v>0.14957175925925925</v>
      </c>
      <c r="YL10" s="538">
        <v>0.14917824074074074</v>
      </c>
      <c r="YM10" s="538">
        <v>0.14877314814814815</v>
      </c>
      <c r="YN10" s="538">
        <v>0.14837962962962961</v>
      </c>
      <c r="YO10" s="538">
        <v>0.14798611111111112</v>
      </c>
      <c r="YP10" s="538">
        <v>0.14758101851851851</v>
      </c>
      <c r="YQ10" s="538">
        <v>0.1471875</v>
      </c>
      <c r="YR10" s="538">
        <v>0.14679398148148148</v>
      </c>
      <c r="YS10" s="538">
        <v>0.14640046296296297</v>
      </c>
      <c r="YT10" s="538">
        <v>0.14600694444444443</v>
      </c>
      <c r="YU10" s="538">
        <v>0.145625</v>
      </c>
      <c r="YV10" s="538">
        <v>0.14523148148148149</v>
      </c>
      <c r="YW10" s="538">
        <v>0.14484953703703704</v>
      </c>
      <c r="YX10" s="538">
        <v>0.14446759259259259</v>
      </c>
      <c r="YY10" s="538">
        <v>0.14409722222222224</v>
      </c>
      <c r="YZ10" s="538">
        <v>0.14372685185185186</v>
      </c>
      <c r="ZA10" s="538">
        <v>0.14335648148148147</v>
      </c>
      <c r="ZB10" s="538">
        <v>0.14298611111111112</v>
      </c>
      <c r="ZC10" s="538">
        <v>0.1426273148148148</v>
      </c>
      <c r="ZD10" s="538">
        <v>0.14226851851851852</v>
      </c>
      <c r="ZE10" s="538">
        <v>0.1419212962962963</v>
      </c>
      <c r="ZF10" s="538">
        <v>0.14157407407407407</v>
      </c>
      <c r="ZG10" s="538">
        <v>0.14123842592592592</v>
      </c>
      <c r="ZH10" s="538">
        <v>0.14090277777777779</v>
      </c>
      <c r="ZI10" s="538">
        <v>0.14057870370370371</v>
      </c>
      <c r="ZJ10" s="538">
        <v>0.14025462962962962</v>
      </c>
      <c r="ZK10" s="538">
        <v>0.13993055555555556</v>
      </c>
      <c r="ZL10" s="538">
        <v>0.13962962962962963</v>
      </c>
      <c r="ZM10" s="538">
        <v>0.13931712962962964</v>
      </c>
      <c r="ZN10" s="538">
        <v>0.13902777777777778</v>
      </c>
      <c r="ZO10" s="538">
        <v>0.13873842592592592</v>
      </c>
      <c r="ZP10" s="538">
        <v>0.13846064814814815</v>
      </c>
      <c r="ZQ10" s="538">
        <v>0.13818287037037039</v>
      </c>
      <c r="ZR10" s="538">
        <v>0.13791666666666666</v>
      </c>
      <c r="ZS10" s="538">
        <v>0.13766203703703703</v>
      </c>
      <c r="ZT10" s="538">
        <v>0.13741898148148149</v>
      </c>
      <c r="ZU10" s="538">
        <v>0.13717592592592592</v>
      </c>
      <c r="ZV10" s="538">
        <v>0.13694444444444445</v>
      </c>
      <c r="ZW10" s="538">
        <v>0.13672453703703705</v>
      </c>
      <c r="ZX10" s="538">
        <v>0.13651620370370371</v>
      </c>
      <c r="ZY10" s="538">
        <v>0.13630787037037037</v>
      </c>
      <c r="ZZ10" s="538">
        <v>0.13612268518518519</v>
      </c>
      <c r="AAA10" s="538">
        <v>0.13593750000000002</v>
      </c>
      <c r="AAB10" s="538">
        <v>0.13576388888888888</v>
      </c>
      <c r="AAC10" s="538">
        <v>0.13560185185185183</v>
      </c>
      <c r="AAD10" s="538">
        <v>0.13545138888888889</v>
      </c>
      <c r="AAE10" s="538">
        <v>0.1353125</v>
      </c>
      <c r="AAF10" s="538">
        <v>0.13517361111111112</v>
      </c>
      <c r="AAG10" s="538">
        <v>0.13505787037037037</v>
      </c>
      <c r="AAH10" s="538">
        <v>0.13495370370370371</v>
      </c>
      <c r="AAI10" s="538">
        <v>0.13484953703703703</v>
      </c>
      <c r="AAJ10" s="538">
        <v>0.13476851851851851</v>
      </c>
      <c r="AAK10" s="538">
        <v>0.13468749999999999</v>
      </c>
      <c r="AAL10" s="538">
        <v>0.13462962962962963</v>
      </c>
      <c r="AAM10" s="538">
        <v>0.13457175925925927</v>
      </c>
      <c r="AAN10" s="538">
        <v>0.13453703703703704</v>
      </c>
      <c r="AAO10" s="538">
        <v>0.13451388888888891</v>
      </c>
      <c r="AAP10" s="538">
        <v>0.13449074074074074</v>
      </c>
      <c r="AAQ10" s="538">
        <v>0.13449074074074074</v>
      </c>
      <c r="AAR10" s="538">
        <v>0.13449074074074074</v>
      </c>
      <c r="AAS10" s="538">
        <v>0.13451388888888891</v>
      </c>
      <c r="AAT10" s="538">
        <v>0.1345486111111111</v>
      </c>
      <c r="AAU10" s="538">
        <v>0.13458333333333333</v>
      </c>
      <c r="AAV10" s="538">
        <v>0.13464120370370372</v>
      </c>
      <c r="AAW10" s="538">
        <v>0.13471064814814815</v>
      </c>
      <c r="AAX10" s="538">
        <v>0.13478009259259258</v>
      </c>
      <c r="AAY10" s="538">
        <v>0.13487268518518519</v>
      </c>
      <c r="AAZ10" s="538">
        <v>0.13497685185185185</v>
      </c>
      <c r="ABA10" s="538">
        <v>0.1350925925925926</v>
      </c>
      <c r="ABB10" s="538">
        <v>0.13520833333333335</v>
      </c>
      <c r="ABC10" s="538">
        <v>0.13534722222222223</v>
      </c>
      <c r="ABD10" s="538">
        <v>0.13549768518518518</v>
      </c>
      <c r="ABE10" s="538">
        <v>0.13564814814814816</v>
      </c>
      <c r="ABF10" s="538">
        <v>0.13582175925925927</v>
      </c>
      <c r="ABG10" s="538">
        <v>0.13600694444444444</v>
      </c>
      <c r="ABH10" s="538">
        <v>0.13619212962962965</v>
      </c>
      <c r="ABI10" s="538">
        <v>0.13638888888888889</v>
      </c>
      <c r="ABJ10" s="538">
        <v>0.1366087962962963</v>
      </c>
      <c r="ABK10" s="538">
        <v>0.1368287037037037</v>
      </c>
      <c r="ABL10" s="538">
        <v>0.13706018518518517</v>
      </c>
      <c r="ABM10" s="538">
        <v>0.13729166666666667</v>
      </c>
      <c r="ABN10" s="538">
        <v>0.13754629629629631</v>
      </c>
      <c r="ABO10" s="538">
        <v>0.13780092592592594</v>
      </c>
      <c r="ABP10" s="538">
        <v>0.13806712962962964</v>
      </c>
      <c r="ABQ10" s="538">
        <v>0.1383449074074074</v>
      </c>
      <c r="ABR10" s="538">
        <v>0.13863425925925926</v>
      </c>
      <c r="ABS10" s="538">
        <v>0.13892361111111109</v>
      </c>
      <c r="ABT10" s="538">
        <v>0.13922453703703705</v>
      </c>
      <c r="ABU10" s="538">
        <v>0.13952546296296295</v>
      </c>
      <c r="ABV10" s="538">
        <v>0.13983796296296297</v>
      </c>
      <c r="ABW10" s="538">
        <v>0.14015046296296296</v>
      </c>
      <c r="ABX10" s="538">
        <v>0.14048611111111112</v>
      </c>
      <c r="ABY10" s="538">
        <v>0.14081018518518518</v>
      </c>
      <c r="ABZ10" s="538">
        <v>0.14114583333333333</v>
      </c>
      <c r="ACA10" s="538">
        <v>0.14149305555555555</v>
      </c>
      <c r="ACB10" s="538">
        <v>0.14182870370370371</v>
      </c>
      <c r="ACC10" s="538">
        <v>0.14218749999999999</v>
      </c>
      <c r="ACD10" s="538">
        <v>0.14253472222222222</v>
      </c>
      <c r="ACE10" s="538">
        <v>0.14289351851851853</v>
      </c>
      <c r="ACF10" s="538">
        <v>0.14325231481481482</v>
      </c>
      <c r="ACG10" s="538">
        <v>0.14361111111111111</v>
      </c>
      <c r="ACH10" s="538">
        <v>0.14396990740740742</v>
      </c>
      <c r="ACI10" s="538">
        <v>0.14434027777777778</v>
      </c>
      <c r="ACJ10" s="538">
        <v>0.14471064814814816</v>
      </c>
      <c r="ACK10" s="538">
        <v>0.14506944444444445</v>
      </c>
      <c r="ACL10" s="538">
        <v>0.1454398148148148</v>
      </c>
      <c r="ACM10" s="538">
        <v>0.14581018518518518</v>
      </c>
      <c r="ACN10" s="538">
        <v>0.14618055555555556</v>
      </c>
      <c r="ACO10" s="538">
        <v>0.14653935185185185</v>
      </c>
      <c r="ACP10" s="538">
        <v>0.14690972222222223</v>
      </c>
      <c r="ACQ10" s="538">
        <v>0.14726851851851852</v>
      </c>
      <c r="ACR10" s="538">
        <v>0.1476388888888889</v>
      </c>
      <c r="ACS10" s="538">
        <v>0.14799768518518519</v>
      </c>
      <c r="ACT10" s="538">
        <v>0.14835648148148148</v>
      </c>
      <c r="ACU10" s="538">
        <v>0.1487037037037037</v>
      </c>
      <c r="ACV10" s="538">
        <v>0.14906250000000001</v>
      </c>
      <c r="ACW10" s="538">
        <v>0.14940972222222224</v>
      </c>
      <c r="ACX10" s="538">
        <v>0.14974537037037036</v>
      </c>
      <c r="ACY10" s="538">
        <v>0.15009259259259258</v>
      </c>
      <c r="ACZ10" s="538">
        <v>0.15042824074074074</v>
      </c>
      <c r="ADA10" s="538">
        <v>0.1507523148148148</v>
      </c>
      <c r="ADB10" s="538">
        <v>0.15107638888888889</v>
      </c>
      <c r="ADC10" s="538">
        <v>0.15140046296296297</v>
      </c>
      <c r="ADD10" s="538">
        <v>0.15171296296296297</v>
      </c>
      <c r="ADE10" s="538">
        <v>0.15202546296296296</v>
      </c>
      <c r="ADF10" s="538">
        <v>0.15232638888888889</v>
      </c>
      <c r="ADG10" s="538">
        <v>0.15262731481481481</v>
      </c>
      <c r="ADH10" s="538">
        <v>0.15291666666666667</v>
      </c>
      <c r="ADI10" s="538">
        <v>0.15319444444444444</v>
      </c>
      <c r="ADJ10" s="538">
        <v>0.15347222222222223</v>
      </c>
      <c r="ADK10" s="538">
        <v>0.15373842592592593</v>
      </c>
      <c r="ADL10" s="538">
        <v>0.15400462962962963</v>
      </c>
      <c r="ADM10" s="538">
        <v>0.15425925925925926</v>
      </c>
      <c r="ADN10" s="538">
        <v>0.15450231481481483</v>
      </c>
      <c r="ADO10" s="538">
        <v>0.15474537037037037</v>
      </c>
      <c r="ADP10" s="538">
        <v>0.15497685185185187</v>
      </c>
    </row>
    <row r="11" spans="1:796">
      <c r="A11" t="s">
        <v>4266</v>
      </c>
      <c r="B11">
        <v>11</v>
      </c>
      <c r="C11" t="s">
        <v>4292</v>
      </c>
      <c r="D11">
        <v>39</v>
      </c>
      <c r="E11" s="538">
        <v>0.20276620370370368</v>
      </c>
      <c r="F11" s="538">
        <v>0.20296296296296298</v>
      </c>
      <c r="G11" s="538">
        <v>0.20315972222222223</v>
      </c>
      <c r="H11" s="538">
        <v>0.20337962962962963</v>
      </c>
      <c r="I11" s="538">
        <v>0.2036111111111111</v>
      </c>
      <c r="J11" s="538">
        <v>0.2038425925925926</v>
      </c>
      <c r="K11" s="538">
        <v>0.20408564814814814</v>
      </c>
      <c r="L11" s="538">
        <v>0.20434027777777777</v>
      </c>
      <c r="M11" s="538">
        <v>0.2046064814814815</v>
      </c>
      <c r="N11" s="538">
        <v>0.2048726851851852</v>
      </c>
      <c r="O11" s="538">
        <v>0.20515046296296294</v>
      </c>
      <c r="P11" s="538">
        <v>0.2054398148148148</v>
      </c>
      <c r="Q11" s="538">
        <v>0.20572916666666666</v>
      </c>
      <c r="R11" s="538">
        <v>0.20604166666666668</v>
      </c>
      <c r="S11" s="538">
        <v>0.20634259259259258</v>
      </c>
      <c r="T11" s="538">
        <v>0.20666666666666667</v>
      </c>
      <c r="U11" s="538">
        <v>0.20697916666666669</v>
      </c>
      <c r="V11" s="538">
        <v>0.20731481481481481</v>
      </c>
      <c r="W11" s="538">
        <v>0.2076388888888889</v>
      </c>
      <c r="X11" s="538">
        <v>0.20798611111111112</v>
      </c>
      <c r="Y11" s="538">
        <v>0.20832175925925925</v>
      </c>
      <c r="Z11" s="538">
        <v>0.2086689814814815</v>
      </c>
      <c r="AA11" s="538">
        <v>0.20902777777777778</v>
      </c>
      <c r="AB11" s="538">
        <v>0.20937500000000001</v>
      </c>
      <c r="AC11" s="538">
        <v>0.20973379629629629</v>
      </c>
      <c r="AD11" s="538">
        <v>0.21009259259259261</v>
      </c>
      <c r="AE11" s="538">
        <v>0.21046296296296296</v>
      </c>
      <c r="AF11" s="538">
        <v>0.21082175925925925</v>
      </c>
      <c r="AG11" s="538">
        <v>0.21119212962962963</v>
      </c>
      <c r="AH11" s="538">
        <v>0.21155092592592592</v>
      </c>
      <c r="AI11" s="538">
        <v>0.2119212962962963</v>
      </c>
      <c r="AJ11" s="538">
        <v>0.21229166666666666</v>
      </c>
      <c r="AK11" s="538">
        <v>0.21266203703703704</v>
      </c>
      <c r="AL11" s="538">
        <v>0.21302083333333333</v>
      </c>
      <c r="AM11" s="538">
        <v>0.21339120370370371</v>
      </c>
      <c r="AN11" s="538">
        <v>0.21376157407407406</v>
      </c>
      <c r="AO11" s="538">
        <v>0.21412037037037038</v>
      </c>
      <c r="AP11" s="538">
        <v>0.21447916666666667</v>
      </c>
      <c r="AQ11" s="538">
        <v>0.21483796296296298</v>
      </c>
      <c r="AR11" s="538">
        <v>0.21519675925925927</v>
      </c>
      <c r="AS11" s="538">
        <v>0.21554398148148149</v>
      </c>
      <c r="AT11" s="538">
        <v>0.21590277777777778</v>
      </c>
      <c r="AU11" s="538">
        <v>0.21623842592592593</v>
      </c>
      <c r="AV11" s="538">
        <v>0.21658564814814815</v>
      </c>
      <c r="AW11" s="538">
        <v>0.21692129629629631</v>
      </c>
      <c r="AX11" s="538">
        <v>0.21725694444444443</v>
      </c>
      <c r="AY11" s="538">
        <v>0.21758101851851852</v>
      </c>
      <c r="AZ11" s="538">
        <v>0.21790509259259261</v>
      </c>
      <c r="BA11" s="538">
        <v>0.21822916666666667</v>
      </c>
      <c r="BB11" s="538">
        <v>0.2185300925925926</v>
      </c>
      <c r="BC11" s="538">
        <v>0.21884259259259262</v>
      </c>
      <c r="BD11" s="538">
        <v>0.21914351851851852</v>
      </c>
      <c r="BE11" s="538">
        <v>0.21943287037037038</v>
      </c>
      <c r="BF11" s="538">
        <v>0.21972222222222224</v>
      </c>
      <c r="BG11" s="538">
        <v>0.22</v>
      </c>
      <c r="BH11" s="538">
        <v>0.22027777777777779</v>
      </c>
      <c r="BI11" s="538">
        <v>0.22054398148148147</v>
      </c>
      <c r="BJ11" s="538">
        <v>0.2207986111111111</v>
      </c>
      <c r="BK11" s="538">
        <v>0.22105324074074073</v>
      </c>
      <c r="BL11" s="538">
        <v>0.2212962962962963</v>
      </c>
      <c r="BM11" s="538">
        <v>0.22152777777777777</v>
      </c>
      <c r="BN11" s="538">
        <v>0.22175925925925924</v>
      </c>
      <c r="BO11" s="538">
        <v>0.22197916666666664</v>
      </c>
      <c r="BP11" s="538">
        <v>0.22219907407407405</v>
      </c>
      <c r="BQ11" s="538">
        <v>0.22240740740740741</v>
      </c>
      <c r="BR11" s="538">
        <v>0.22260416666666669</v>
      </c>
      <c r="BS11" s="538">
        <v>0.22278935185185186</v>
      </c>
      <c r="BT11" s="538">
        <v>0.22297453703703704</v>
      </c>
      <c r="BU11" s="538">
        <v>0.22314814814814812</v>
      </c>
      <c r="BV11" s="538">
        <v>0.22331018518518519</v>
      </c>
      <c r="BW11" s="538">
        <v>0.22347222222222221</v>
      </c>
      <c r="BX11" s="538">
        <v>0.22362268518518516</v>
      </c>
      <c r="BY11" s="538">
        <v>0.22377314814814817</v>
      </c>
      <c r="BZ11" s="538">
        <v>0.22391203703703702</v>
      </c>
      <c r="CA11" s="538">
        <v>0.22403935185185186</v>
      </c>
      <c r="CB11" s="538">
        <v>0.22415509259259259</v>
      </c>
      <c r="CC11" s="538">
        <v>0.22427083333333334</v>
      </c>
      <c r="CD11" s="538">
        <v>0.22437499999999999</v>
      </c>
      <c r="CE11" s="538">
        <v>0.22447916666666667</v>
      </c>
      <c r="CF11" s="538">
        <v>0.22456018518518517</v>
      </c>
      <c r="CG11" s="538">
        <v>0.22465277777777778</v>
      </c>
      <c r="CH11" s="538">
        <v>0.22472222222222224</v>
      </c>
      <c r="CI11" s="538">
        <v>0.22480324074074073</v>
      </c>
      <c r="CJ11" s="538">
        <v>0.22486111111111109</v>
      </c>
      <c r="CK11" s="538">
        <v>0.22491898148148148</v>
      </c>
      <c r="CL11" s="538">
        <v>0.22496527777777778</v>
      </c>
      <c r="CM11" s="538">
        <v>0.2250115740740741</v>
      </c>
      <c r="CN11" s="538">
        <v>0.22505787037037037</v>
      </c>
      <c r="CO11" s="538">
        <v>0.2250810185185185</v>
      </c>
      <c r="CP11" s="538">
        <v>0.22511574074074073</v>
      </c>
      <c r="CQ11" s="538">
        <v>0.22513888888888889</v>
      </c>
      <c r="CR11" s="538">
        <v>0.22515046296296296</v>
      </c>
      <c r="CS11" s="538">
        <v>0.22516203703703705</v>
      </c>
      <c r="CT11" s="538">
        <v>0.22516203703703705</v>
      </c>
      <c r="CU11" s="538">
        <v>0.22516203703703705</v>
      </c>
      <c r="CV11" s="538">
        <v>0.22516203703703705</v>
      </c>
      <c r="CW11" s="538">
        <v>0.22515046296296296</v>
      </c>
      <c r="CX11" s="538">
        <v>0.22513888888888889</v>
      </c>
      <c r="CY11" s="538">
        <v>0.22512731481481482</v>
      </c>
      <c r="CZ11" s="538">
        <v>0.22510416666666666</v>
      </c>
      <c r="DA11" s="538">
        <v>0.2250810185185185</v>
      </c>
      <c r="DB11" s="538">
        <v>0.22504629629629627</v>
      </c>
      <c r="DC11" s="538">
        <v>0.2250115740740741</v>
      </c>
      <c r="DD11" s="538">
        <v>0.22497685185185187</v>
      </c>
      <c r="DE11" s="538">
        <v>0.22494212962962964</v>
      </c>
      <c r="DF11" s="538">
        <v>0.22490740740740742</v>
      </c>
      <c r="DG11" s="538">
        <v>0.22486111111111109</v>
      </c>
      <c r="DH11" s="538">
        <v>0.2248148148148148</v>
      </c>
      <c r="DI11" s="538">
        <v>0.22476851851851853</v>
      </c>
      <c r="DJ11" s="538">
        <v>0.22472222222222224</v>
      </c>
      <c r="DK11" s="538">
        <v>0.22466435185185185</v>
      </c>
      <c r="DL11" s="538">
        <v>0.22461805555555556</v>
      </c>
      <c r="DM11" s="538">
        <v>0.22456018518518517</v>
      </c>
      <c r="DN11" s="538">
        <v>0.22450231481481484</v>
      </c>
      <c r="DO11" s="538">
        <v>0.22445601851851851</v>
      </c>
      <c r="DP11" s="538">
        <v>0.22439814814814815</v>
      </c>
      <c r="DQ11" s="538">
        <v>0.22434027777777776</v>
      </c>
      <c r="DR11" s="538">
        <v>0.22428240740740743</v>
      </c>
      <c r="DS11" s="538">
        <v>0.22422453703703704</v>
      </c>
      <c r="DT11" s="538">
        <v>0.22416666666666665</v>
      </c>
      <c r="DU11" s="538">
        <v>0.22410879629629629</v>
      </c>
      <c r="DV11" s="538">
        <v>0.22406250000000003</v>
      </c>
      <c r="DW11" s="538">
        <v>0.22400462962962964</v>
      </c>
      <c r="DX11" s="538">
        <v>0.22394675925925925</v>
      </c>
      <c r="DY11" s="538">
        <v>0.22390046296296295</v>
      </c>
      <c r="DZ11" s="538">
        <v>0.22384259259259257</v>
      </c>
      <c r="EA11" s="538">
        <v>0.2237962962962963</v>
      </c>
      <c r="EB11" s="538">
        <v>0.22375</v>
      </c>
      <c r="EC11" s="538">
        <v>0.22370370370370371</v>
      </c>
      <c r="ED11" s="538">
        <v>0.22365740740740739</v>
      </c>
      <c r="EE11" s="538">
        <v>0.22362268518518516</v>
      </c>
      <c r="EF11" s="538">
        <v>0.22358796296296299</v>
      </c>
      <c r="EG11" s="538">
        <v>0.22355324074074076</v>
      </c>
      <c r="EH11" s="538">
        <v>0.22351851851851853</v>
      </c>
      <c r="EI11" s="538">
        <v>0.22348379629629631</v>
      </c>
      <c r="EJ11" s="538">
        <v>0.22346064814814814</v>
      </c>
      <c r="EK11" s="538">
        <v>0.22343749999999998</v>
      </c>
      <c r="EL11" s="538">
        <v>0.22341435185185185</v>
      </c>
      <c r="EM11" s="538">
        <v>0.22340277777777776</v>
      </c>
      <c r="EN11" s="538">
        <v>0.22337962962962962</v>
      </c>
      <c r="EO11" s="538">
        <v>0.22337962962962962</v>
      </c>
      <c r="EP11" s="538">
        <v>0.22336805555555553</v>
      </c>
      <c r="EQ11" s="538">
        <v>0.22336805555555553</v>
      </c>
      <c r="ER11" s="538">
        <v>0.22336805555555553</v>
      </c>
      <c r="ES11" s="538">
        <v>0.22337962962962962</v>
      </c>
      <c r="ET11" s="538">
        <v>0.22339120370370369</v>
      </c>
      <c r="EU11" s="538">
        <v>0.22340277777777776</v>
      </c>
      <c r="EV11" s="538">
        <v>0.22342592592592592</v>
      </c>
      <c r="EW11" s="538">
        <v>0.22344907407407408</v>
      </c>
      <c r="EX11" s="538">
        <v>0.22348379629629631</v>
      </c>
      <c r="EY11" s="538">
        <v>0.22351851851851853</v>
      </c>
      <c r="EZ11" s="538">
        <v>0.22355324074074076</v>
      </c>
      <c r="FA11" s="538">
        <v>0.22359953703703705</v>
      </c>
      <c r="FB11" s="538">
        <v>0.22364583333333332</v>
      </c>
      <c r="FC11" s="538">
        <v>0.22370370370370371</v>
      </c>
      <c r="FD11" s="538">
        <v>0.22376157407407407</v>
      </c>
      <c r="FE11" s="538">
        <v>0.22383101851851853</v>
      </c>
      <c r="FF11" s="538">
        <v>0.22388888888888889</v>
      </c>
      <c r="FG11" s="538">
        <v>0.22396990740740741</v>
      </c>
      <c r="FH11" s="538">
        <v>0.22405092592592593</v>
      </c>
      <c r="FI11" s="538">
        <v>0.22413194444444443</v>
      </c>
      <c r="FJ11" s="538">
        <v>0.22421296296296298</v>
      </c>
      <c r="FK11" s="538">
        <v>0.22430555555555556</v>
      </c>
      <c r="FL11" s="538">
        <v>0.22440972222222222</v>
      </c>
      <c r="FM11" s="538">
        <v>0.2245138888888889</v>
      </c>
      <c r="FN11" s="538">
        <v>0.22461805555555556</v>
      </c>
      <c r="FO11" s="538">
        <v>0.22472222222222224</v>
      </c>
      <c r="FP11" s="538">
        <v>0.22483796296296296</v>
      </c>
      <c r="FQ11" s="538">
        <v>0.22496527777777778</v>
      </c>
      <c r="FR11" s="538">
        <v>0.2250810185185185</v>
      </c>
      <c r="FS11" s="538">
        <v>0.22520833333333334</v>
      </c>
      <c r="FT11" s="538">
        <v>0.22534722222222223</v>
      </c>
      <c r="FU11" s="538">
        <v>0.22548611111111114</v>
      </c>
      <c r="FV11" s="538">
        <v>0.22562499999999999</v>
      </c>
      <c r="FW11" s="538">
        <v>0.22576388888888888</v>
      </c>
      <c r="FX11" s="538">
        <v>0.22591435185185185</v>
      </c>
      <c r="FY11" s="538">
        <v>0.2260648148148148</v>
      </c>
      <c r="FZ11" s="538">
        <v>0.22621527777777775</v>
      </c>
      <c r="GA11" s="538">
        <v>0.22636574074074076</v>
      </c>
      <c r="GB11" s="538">
        <v>0.22652777777777777</v>
      </c>
      <c r="GC11" s="538">
        <v>0.22668981481481479</v>
      </c>
      <c r="GD11" s="538">
        <v>0.22685185185185186</v>
      </c>
      <c r="GE11" s="538">
        <v>0.22701388888888888</v>
      </c>
      <c r="GF11" s="538">
        <v>0.22718749999999999</v>
      </c>
      <c r="GG11" s="538">
        <v>0.22734953703703706</v>
      </c>
      <c r="GH11" s="538">
        <v>0.22752314814814814</v>
      </c>
      <c r="GI11" s="538">
        <v>0.22769675925925925</v>
      </c>
      <c r="GJ11" s="538">
        <v>0.22787037037037036</v>
      </c>
      <c r="GK11" s="538">
        <v>0.2280439814814815</v>
      </c>
      <c r="GL11" s="538">
        <v>0.22820601851851852</v>
      </c>
      <c r="GM11" s="538">
        <v>0.22837962962962963</v>
      </c>
      <c r="GN11" s="538">
        <v>0.22855324074074077</v>
      </c>
      <c r="GO11" s="538">
        <v>0.22872685185185185</v>
      </c>
      <c r="GP11" s="538">
        <v>0.22890046296296296</v>
      </c>
      <c r="GQ11" s="538">
        <v>0.22907407407407407</v>
      </c>
      <c r="GR11" s="538">
        <v>0.22923611111111111</v>
      </c>
      <c r="GS11" s="538">
        <v>0.22940972222222222</v>
      </c>
      <c r="GT11" s="538">
        <v>0.22957175925925924</v>
      </c>
      <c r="GU11" s="538">
        <v>0.22973379629629631</v>
      </c>
      <c r="GV11" s="538">
        <v>0.22989583333333333</v>
      </c>
      <c r="GW11" s="538">
        <v>0.23005787037037037</v>
      </c>
      <c r="GX11" s="538">
        <v>0.23020833333333335</v>
      </c>
      <c r="GY11" s="538">
        <v>0.2303587962962963</v>
      </c>
      <c r="GZ11" s="538">
        <v>0.23050925925925925</v>
      </c>
      <c r="HA11" s="538">
        <v>0.23065972222222222</v>
      </c>
      <c r="HB11" s="538">
        <v>0.23079861111111111</v>
      </c>
      <c r="HC11" s="538">
        <v>0.23093750000000002</v>
      </c>
      <c r="HD11" s="538">
        <v>0.23106481481481481</v>
      </c>
      <c r="HE11" s="538">
        <v>0.23119212962962962</v>
      </c>
      <c r="HF11" s="538">
        <v>0.23131944444444444</v>
      </c>
      <c r="HG11" s="538">
        <v>0.23143518518518516</v>
      </c>
      <c r="HH11" s="538">
        <v>0.23153935185185184</v>
      </c>
      <c r="HI11" s="538">
        <v>0.23165509259259257</v>
      </c>
      <c r="HJ11" s="538">
        <v>0.23174768518518518</v>
      </c>
      <c r="HK11" s="538">
        <v>0.2318402777777778</v>
      </c>
      <c r="HL11" s="538">
        <v>0.23193287037037036</v>
      </c>
      <c r="HM11" s="538">
        <v>0.23201388888888888</v>
      </c>
      <c r="HN11" s="538">
        <v>0.23208333333333334</v>
      </c>
      <c r="HO11" s="538">
        <v>0.23215277777777776</v>
      </c>
      <c r="HP11" s="538">
        <v>0.23221064814814815</v>
      </c>
      <c r="HQ11" s="538">
        <v>0.23225694444444445</v>
      </c>
      <c r="HR11" s="538">
        <v>0.23230324074074074</v>
      </c>
      <c r="HS11" s="538">
        <v>0.23233796296296297</v>
      </c>
      <c r="HT11" s="538">
        <v>0.2323611111111111</v>
      </c>
      <c r="HU11" s="538">
        <v>0.23238425925925923</v>
      </c>
      <c r="HV11" s="538">
        <v>0.23239583333333333</v>
      </c>
      <c r="HW11" s="538">
        <v>0.23239583333333333</v>
      </c>
      <c r="HX11" s="538">
        <v>0.23239583333333333</v>
      </c>
      <c r="HY11" s="538">
        <v>0.23238425925925923</v>
      </c>
      <c r="HZ11" s="538">
        <v>0.2323611111111111</v>
      </c>
      <c r="IA11" s="538">
        <v>0.2323263888888889</v>
      </c>
      <c r="IB11" s="538">
        <v>0.23229166666666667</v>
      </c>
      <c r="IC11" s="538">
        <v>0.23224537037037038</v>
      </c>
      <c r="ID11" s="538">
        <v>0.23218749999999999</v>
      </c>
      <c r="IE11" s="538">
        <v>0.23211805555555554</v>
      </c>
      <c r="IF11" s="538">
        <v>0.23204861111111111</v>
      </c>
      <c r="IG11" s="538">
        <v>0.23195601851851852</v>
      </c>
      <c r="IH11" s="538">
        <v>0.23186342592592593</v>
      </c>
      <c r="II11" s="538">
        <v>0.23175925925925925</v>
      </c>
      <c r="IJ11" s="538">
        <v>0.23165509259259257</v>
      </c>
      <c r="IK11" s="538">
        <v>0.23153935185185184</v>
      </c>
      <c r="IL11" s="538">
        <v>0.23140046296296299</v>
      </c>
      <c r="IM11" s="538">
        <v>0.23126157407407408</v>
      </c>
      <c r="IN11" s="538">
        <v>0.23112268518518519</v>
      </c>
      <c r="IO11" s="538">
        <v>0.23096064814814818</v>
      </c>
      <c r="IP11" s="538">
        <v>0.23079861111111111</v>
      </c>
      <c r="IQ11" s="538">
        <v>0.230625</v>
      </c>
      <c r="IR11" s="538">
        <v>0.23045138888888891</v>
      </c>
      <c r="IS11" s="538">
        <v>0.23025462962962961</v>
      </c>
      <c r="IT11" s="538">
        <v>0.23005787037037037</v>
      </c>
      <c r="IU11" s="538">
        <v>0.22984953703703703</v>
      </c>
      <c r="IV11" s="538">
        <v>0.22964120370370369</v>
      </c>
      <c r="IW11" s="538">
        <v>0.22940972222222222</v>
      </c>
      <c r="IX11" s="538">
        <v>0.22917824074074075</v>
      </c>
      <c r="IY11" s="538">
        <v>0.22894675925925925</v>
      </c>
      <c r="IZ11" s="538">
        <v>0.22869212962962962</v>
      </c>
      <c r="JA11" s="538">
        <v>0.22843749999999999</v>
      </c>
      <c r="JB11" s="538">
        <v>0.22818287037037036</v>
      </c>
      <c r="JC11" s="538">
        <v>0.22790509259259259</v>
      </c>
      <c r="JD11" s="538">
        <v>0.22762731481481482</v>
      </c>
      <c r="JE11" s="538">
        <v>0.22734953703703706</v>
      </c>
      <c r="JF11" s="538">
        <v>0.2270601851851852</v>
      </c>
      <c r="JG11" s="538">
        <v>0.22675925925925924</v>
      </c>
      <c r="JH11" s="538">
        <v>0.22645833333333332</v>
      </c>
      <c r="JI11" s="538">
        <v>0.22614583333333335</v>
      </c>
      <c r="JJ11" s="538">
        <v>0.22583333333333333</v>
      </c>
      <c r="JK11" s="538">
        <v>0.22550925925925924</v>
      </c>
      <c r="JL11" s="538">
        <v>0.22518518518518518</v>
      </c>
      <c r="JM11" s="538">
        <v>0.22484953703703703</v>
      </c>
      <c r="JN11" s="538">
        <v>0.2245138888888889</v>
      </c>
      <c r="JO11" s="538">
        <v>0.22416666666666665</v>
      </c>
      <c r="JP11" s="538">
        <v>0.22381944444444446</v>
      </c>
      <c r="JQ11" s="538">
        <v>0.22346064814814814</v>
      </c>
      <c r="JR11" s="538">
        <v>0.22310185185185186</v>
      </c>
      <c r="JS11" s="538">
        <v>0.22274305555555554</v>
      </c>
      <c r="JT11" s="538">
        <v>0.22237268518518519</v>
      </c>
      <c r="JU11" s="538">
        <v>0.22200231481481481</v>
      </c>
      <c r="JV11" s="538">
        <v>0.22163194444444445</v>
      </c>
      <c r="JW11" s="538">
        <v>0.22124999999999997</v>
      </c>
      <c r="JX11" s="538">
        <v>0.22086805555555555</v>
      </c>
      <c r="JY11" s="538">
        <v>0.22048611111111113</v>
      </c>
      <c r="JZ11" s="538">
        <v>0.22010416666666666</v>
      </c>
      <c r="KA11" s="538">
        <v>0.21971064814814814</v>
      </c>
      <c r="KB11" s="538">
        <v>0.21932870370370372</v>
      </c>
      <c r="KC11" s="538">
        <v>0.21893518518518518</v>
      </c>
      <c r="KD11" s="538">
        <v>0.21854166666666666</v>
      </c>
      <c r="KE11" s="538">
        <v>0.21813657407407408</v>
      </c>
      <c r="KF11" s="538">
        <v>0.21774305555555554</v>
      </c>
      <c r="KG11" s="538">
        <v>0.21734953703703705</v>
      </c>
      <c r="KH11" s="538">
        <v>0.21694444444444447</v>
      </c>
      <c r="KI11" s="538">
        <v>0.21655092592592592</v>
      </c>
      <c r="KJ11" s="538">
        <v>0.21614583333333334</v>
      </c>
      <c r="KK11" s="538">
        <v>0.21575231481481483</v>
      </c>
      <c r="KL11" s="538">
        <v>0.21534722222222222</v>
      </c>
      <c r="KM11" s="538">
        <v>0.2149537037037037</v>
      </c>
      <c r="KN11" s="538">
        <v>0.21454861111111112</v>
      </c>
      <c r="KO11" s="538">
        <v>0.21415509259259258</v>
      </c>
      <c r="KP11" s="538">
        <v>0.21376157407407406</v>
      </c>
      <c r="KQ11" s="538">
        <v>0.21336805555555557</v>
      </c>
      <c r="KR11" s="538">
        <v>0.21297453703703703</v>
      </c>
      <c r="KS11" s="538">
        <v>0.21258101851851852</v>
      </c>
      <c r="KT11" s="538">
        <v>0.2121990740740741</v>
      </c>
      <c r="KU11" s="538">
        <v>0.21180555555555555</v>
      </c>
      <c r="KV11" s="538">
        <v>0.2114236111111111</v>
      </c>
      <c r="KW11" s="538">
        <v>0.21105324074074075</v>
      </c>
      <c r="KX11" s="538">
        <v>0.2106712962962963</v>
      </c>
      <c r="KY11" s="538">
        <v>0.21030092592592595</v>
      </c>
      <c r="KZ11" s="538">
        <v>0.20993055555555554</v>
      </c>
      <c r="LA11" s="538">
        <v>0.20957175925925928</v>
      </c>
      <c r="LB11" s="538">
        <v>0.20921296296296296</v>
      </c>
      <c r="LC11" s="538">
        <v>0.20885416666666667</v>
      </c>
      <c r="LD11" s="538">
        <v>0.20850694444444443</v>
      </c>
      <c r="LE11" s="538">
        <v>0.20815972222222223</v>
      </c>
      <c r="LF11" s="538">
        <v>0.20782407407407408</v>
      </c>
      <c r="LG11" s="538">
        <v>0.2074884259259259</v>
      </c>
      <c r="LH11" s="538">
        <v>0.20716435185185186</v>
      </c>
      <c r="LI11" s="538">
        <v>0.20684027777777778</v>
      </c>
      <c r="LJ11" s="538">
        <v>0.20652777777777778</v>
      </c>
      <c r="LK11" s="538">
        <v>0.20621527777777779</v>
      </c>
      <c r="LL11" s="538">
        <v>0.20591435185185183</v>
      </c>
      <c r="LM11" s="538">
        <v>0.20562500000000003</v>
      </c>
      <c r="LN11" s="538">
        <v>0.20533564814814817</v>
      </c>
      <c r="LO11" s="538">
        <v>0.20505787037037038</v>
      </c>
      <c r="LP11" s="538">
        <v>0.20479166666666668</v>
      </c>
      <c r="LQ11" s="538">
        <v>0.20452546296296295</v>
      </c>
      <c r="LR11" s="538">
        <v>0.20427083333333332</v>
      </c>
      <c r="LS11" s="538">
        <v>0.20402777777777778</v>
      </c>
      <c r="LT11" s="538">
        <v>0.20378472222222221</v>
      </c>
      <c r="LU11" s="538">
        <v>0.20356481481481481</v>
      </c>
      <c r="LV11" s="538">
        <v>0.2033449074074074</v>
      </c>
      <c r="LW11" s="538">
        <v>0.20313657407407407</v>
      </c>
      <c r="LX11" s="538">
        <v>0.20292824074074076</v>
      </c>
      <c r="LY11" s="538">
        <v>0.20274305555555558</v>
      </c>
      <c r="LZ11" s="538">
        <v>0.20255787037037035</v>
      </c>
      <c r="MA11" s="538">
        <v>0.20239583333333333</v>
      </c>
      <c r="MB11" s="538">
        <v>0.20223379629629631</v>
      </c>
      <c r="MC11" s="538">
        <v>0.20208333333333331</v>
      </c>
      <c r="MD11" s="538">
        <v>0.20194444444444445</v>
      </c>
      <c r="ME11" s="538">
        <v>0.20181712962962961</v>
      </c>
      <c r="MF11" s="538">
        <v>0.20170138888888889</v>
      </c>
      <c r="MG11" s="538">
        <v>0.20159722222222221</v>
      </c>
      <c r="MH11" s="538">
        <v>0.20150462962962964</v>
      </c>
      <c r="MI11" s="538">
        <v>0.20141203703703703</v>
      </c>
      <c r="MJ11" s="538">
        <v>0.2013425925925926</v>
      </c>
      <c r="MK11" s="538">
        <v>0.20128472222222224</v>
      </c>
      <c r="ML11" s="538">
        <v>0.20123842592592592</v>
      </c>
      <c r="MM11" s="538">
        <v>0.20119212962962962</v>
      </c>
      <c r="MN11" s="538">
        <v>0.20116898148148146</v>
      </c>
      <c r="MO11" s="538">
        <v>0.2011574074074074</v>
      </c>
      <c r="MP11" s="538">
        <v>0.2011574074074074</v>
      </c>
      <c r="MQ11" s="538">
        <v>0.20116898148148146</v>
      </c>
      <c r="MR11" s="538">
        <v>0.20119212962962962</v>
      </c>
      <c r="MS11" s="538">
        <v>0.20121527777777778</v>
      </c>
      <c r="MT11" s="538">
        <v>0.20126157407407408</v>
      </c>
      <c r="MU11" s="538">
        <v>0.20131944444444447</v>
      </c>
      <c r="MV11" s="538">
        <v>0.20138888888888887</v>
      </c>
      <c r="MW11" s="538">
        <v>0.20146990740740742</v>
      </c>
      <c r="MX11" s="538">
        <v>0.20156250000000001</v>
      </c>
      <c r="MY11" s="538">
        <v>0.20166666666666666</v>
      </c>
      <c r="MZ11" s="538">
        <v>0.20178240740740741</v>
      </c>
      <c r="NA11" s="538">
        <v>0.20190972222222223</v>
      </c>
      <c r="NB11" s="538">
        <v>0.20204861111111114</v>
      </c>
      <c r="NC11" s="538">
        <v>0.20219907407407409</v>
      </c>
      <c r="ND11" s="538">
        <v>0.2023611111111111</v>
      </c>
      <c r="NE11" s="538">
        <v>0.20253472222222224</v>
      </c>
      <c r="NF11" s="538">
        <v>0.20271990740740742</v>
      </c>
      <c r="NG11" s="538">
        <v>0.2029050925925926</v>
      </c>
      <c r="NH11" s="538">
        <v>0.20311342592592593</v>
      </c>
      <c r="NI11" s="538">
        <v>0.20332175925925924</v>
      </c>
      <c r="NJ11" s="538">
        <v>0.20355324074074074</v>
      </c>
      <c r="NK11" s="538">
        <v>0.20378472222222221</v>
      </c>
      <c r="NL11" s="538">
        <v>0.20402777777777778</v>
      </c>
      <c r="NM11" s="538">
        <v>0.20427083333333332</v>
      </c>
      <c r="NN11" s="538">
        <v>0.20453703703703704</v>
      </c>
      <c r="NO11" s="538">
        <v>0.20480324074074074</v>
      </c>
      <c r="NP11" s="538">
        <v>0.20508101851851854</v>
      </c>
      <c r="NQ11" s="538">
        <v>0.20537037037037034</v>
      </c>
      <c r="NR11" s="538">
        <v>0.2056597222222222</v>
      </c>
      <c r="NS11" s="538">
        <v>0.20596064814814816</v>
      </c>
      <c r="NT11" s="538">
        <v>0.20627314814814815</v>
      </c>
      <c r="NU11" s="538">
        <v>0.20658564814814814</v>
      </c>
      <c r="NV11" s="538">
        <v>0.20689814814814814</v>
      </c>
      <c r="NW11" s="538">
        <v>0.20723379629629632</v>
      </c>
      <c r="NX11" s="538">
        <v>0.20755787037037035</v>
      </c>
      <c r="NY11" s="538">
        <v>0.20789351851851853</v>
      </c>
      <c r="NZ11" s="538">
        <v>0.20824074074074073</v>
      </c>
      <c r="OA11" s="538">
        <v>0.20858796296296298</v>
      </c>
      <c r="OB11" s="538">
        <v>0.20893518518518517</v>
      </c>
      <c r="OC11" s="538">
        <v>0.20929398148148148</v>
      </c>
      <c r="OD11" s="538">
        <v>0.20964120370370368</v>
      </c>
      <c r="OE11" s="538">
        <v>0.21001157407407409</v>
      </c>
      <c r="OF11" s="538">
        <v>0.21037037037037035</v>
      </c>
      <c r="OG11" s="538">
        <v>0.21072916666666666</v>
      </c>
      <c r="OH11" s="538">
        <v>0.21109953703703702</v>
      </c>
      <c r="OI11" s="538">
        <v>0.21145833333333333</v>
      </c>
      <c r="OJ11" s="538">
        <v>0.21182870370370369</v>
      </c>
      <c r="OK11" s="538">
        <v>0.2121990740740741</v>
      </c>
      <c r="OL11" s="538">
        <v>0.21256944444444445</v>
      </c>
      <c r="OM11" s="538">
        <v>0.21293981481481483</v>
      </c>
      <c r="ON11" s="538">
        <v>0.21329861111111112</v>
      </c>
      <c r="OO11" s="538">
        <v>0.21366898148148147</v>
      </c>
      <c r="OP11" s="538">
        <v>0.21402777777777779</v>
      </c>
      <c r="OQ11" s="538">
        <v>0.21438657407407405</v>
      </c>
      <c r="OR11" s="538">
        <v>0.21474537037037036</v>
      </c>
      <c r="OS11" s="538">
        <v>0.21510416666666665</v>
      </c>
      <c r="OT11" s="538">
        <v>0.21546296296296297</v>
      </c>
      <c r="OU11" s="538">
        <v>0.21581018518518516</v>
      </c>
      <c r="OV11" s="538">
        <v>0.21615740740740741</v>
      </c>
      <c r="OW11" s="538">
        <v>0.21650462962962966</v>
      </c>
      <c r="OX11" s="538">
        <v>0.21684027777777778</v>
      </c>
      <c r="OY11" s="538">
        <v>0.21717592592592594</v>
      </c>
      <c r="OZ11" s="538">
        <v>0.2175</v>
      </c>
      <c r="PA11" s="538">
        <v>0.21782407407407409</v>
      </c>
      <c r="PB11" s="538">
        <v>0.21814814814814817</v>
      </c>
      <c r="PC11" s="538">
        <v>0.21846064814814814</v>
      </c>
      <c r="PD11" s="538">
        <v>0.21876157407407407</v>
      </c>
      <c r="PE11" s="538">
        <v>0.21906250000000002</v>
      </c>
      <c r="PF11" s="538">
        <v>0.21936342592592592</v>
      </c>
      <c r="PG11" s="538">
        <v>0.21965277777777778</v>
      </c>
      <c r="PH11" s="538">
        <v>0.21993055555555555</v>
      </c>
      <c r="PI11" s="538">
        <v>0.22020833333333334</v>
      </c>
      <c r="PJ11" s="538">
        <v>0.22047453703703704</v>
      </c>
      <c r="PK11" s="538">
        <v>0.22072916666666667</v>
      </c>
      <c r="PL11" s="538">
        <v>0.2209837962962963</v>
      </c>
      <c r="PM11" s="538">
        <v>0.22123842592592591</v>
      </c>
      <c r="PN11" s="538">
        <v>0.22146990740740743</v>
      </c>
      <c r="PO11" s="538">
        <v>0.22170138888888891</v>
      </c>
      <c r="PP11" s="538">
        <v>0.22193287037037038</v>
      </c>
      <c r="PQ11" s="538">
        <v>0.22214120370370372</v>
      </c>
      <c r="PR11" s="538">
        <v>0.22234953703703705</v>
      </c>
      <c r="PS11" s="538">
        <v>0.2225462962962963</v>
      </c>
      <c r="PT11" s="538">
        <v>0.22274305555555554</v>
      </c>
      <c r="PU11" s="538">
        <v>0.22292824074074072</v>
      </c>
      <c r="PV11" s="538">
        <v>0.22310185185185186</v>
      </c>
      <c r="PW11" s="538">
        <v>0.22327546296296297</v>
      </c>
      <c r="PX11" s="538">
        <v>0.22343749999999998</v>
      </c>
      <c r="PY11" s="538">
        <v>0.22358796296296299</v>
      </c>
      <c r="PZ11" s="538">
        <v>0.22373842592592594</v>
      </c>
      <c r="QA11" s="538">
        <v>0.22387731481481479</v>
      </c>
      <c r="QB11" s="538">
        <v>0.22400462962962964</v>
      </c>
      <c r="QC11" s="538">
        <v>0.22412037037037036</v>
      </c>
      <c r="QD11" s="538">
        <v>0.22423611111111111</v>
      </c>
      <c r="QE11" s="538">
        <v>0.22435185185185183</v>
      </c>
      <c r="QF11" s="538">
        <v>0.22444444444444445</v>
      </c>
      <c r="QG11" s="538">
        <v>0.22453703703703706</v>
      </c>
      <c r="QH11" s="538">
        <v>0.22462962962962962</v>
      </c>
      <c r="QI11" s="538">
        <v>0.22471064814814815</v>
      </c>
      <c r="QJ11" s="538">
        <v>0.2247800925925926</v>
      </c>
      <c r="QK11" s="538">
        <v>0.22484953703703703</v>
      </c>
      <c r="QL11" s="538">
        <v>0.22490740740740742</v>
      </c>
      <c r="QM11" s="538">
        <v>0.22495370370370371</v>
      </c>
      <c r="QN11" s="538">
        <v>0.22500000000000001</v>
      </c>
      <c r="QO11" s="538">
        <v>0.22504629629629627</v>
      </c>
      <c r="QP11" s="538">
        <v>0.2250810185185185</v>
      </c>
      <c r="QQ11" s="538">
        <v>0.22510416666666666</v>
      </c>
      <c r="QR11" s="538">
        <v>0.22512731481481482</v>
      </c>
      <c r="QS11" s="538">
        <v>0.22513888888888889</v>
      </c>
      <c r="QT11" s="538">
        <v>0.22516203703703705</v>
      </c>
      <c r="QU11" s="538">
        <v>0.22516203703703705</v>
      </c>
      <c r="QV11" s="538">
        <v>0.22516203703703705</v>
      </c>
      <c r="QW11" s="538">
        <v>0.22516203703703705</v>
      </c>
      <c r="QX11" s="538">
        <v>0.22515046296296296</v>
      </c>
      <c r="QY11" s="538">
        <v>0.22513888888888889</v>
      </c>
      <c r="QZ11" s="538">
        <v>0.22512731481481482</v>
      </c>
      <c r="RA11" s="538">
        <v>0.22510416666666666</v>
      </c>
      <c r="RB11" s="538">
        <v>0.2250810185185185</v>
      </c>
      <c r="RC11" s="538">
        <v>0.22505787037037037</v>
      </c>
      <c r="RD11" s="538">
        <v>0.22502314814814817</v>
      </c>
      <c r="RE11" s="538">
        <v>0.22498842592592594</v>
      </c>
      <c r="RF11" s="538">
        <v>0.22495370370370371</v>
      </c>
      <c r="RG11" s="538">
        <v>0.22490740740740742</v>
      </c>
      <c r="RH11" s="538">
        <v>0.22487268518518519</v>
      </c>
      <c r="RI11" s="538">
        <v>0.22482638888888887</v>
      </c>
      <c r="RJ11" s="538">
        <v>0.2247800925925926</v>
      </c>
      <c r="RK11" s="538">
        <v>0.22473379629629631</v>
      </c>
      <c r="RL11" s="538">
        <v>0.22467592592592592</v>
      </c>
      <c r="RM11" s="538">
        <v>0.22462962962962962</v>
      </c>
      <c r="RN11" s="538">
        <v>0.22457175925925923</v>
      </c>
      <c r="RO11" s="538">
        <v>0.2245138888888889</v>
      </c>
      <c r="RP11" s="538">
        <v>0.22446759259259261</v>
      </c>
      <c r="RQ11" s="538">
        <v>0.22440972222222222</v>
      </c>
      <c r="RR11" s="538">
        <v>0.22435185185185183</v>
      </c>
      <c r="RS11" s="538">
        <v>0.2242939814814815</v>
      </c>
      <c r="RT11" s="538">
        <v>0.22423611111111111</v>
      </c>
      <c r="RU11" s="538">
        <v>0.22417824074074075</v>
      </c>
      <c r="RV11" s="538">
        <v>0.22413194444444443</v>
      </c>
      <c r="RW11" s="538">
        <v>0.22407407407407409</v>
      </c>
      <c r="RX11" s="538">
        <v>0.2240162037037037</v>
      </c>
      <c r="RY11" s="538">
        <v>0.22395833333333334</v>
      </c>
      <c r="RZ11" s="538">
        <v>0.22391203703703702</v>
      </c>
      <c r="SA11" s="538">
        <v>0.22386574074074073</v>
      </c>
      <c r="SB11" s="538">
        <v>0.22380787037037039</v>
      </c>
      <c r="SC11" s="538">
        <v>0.22376157407407407</v>
      </c>
      <c r="SD11" s="538">
        <v>0.22371527777777778</v>
      </c>
      <c r="SE11" s="538">
        <v>0.22366898148148148</v>
      </c>
      <c r="SF11" s="538">
        <v>0.22363425925925925</v>
      </c>
      <c r="SG11" s="538">
        <v>0.22358796296296299</v>
      </c>
      <c r="SH11" s="538">
        <v>0.22355324074074076</v>
      </c>
      <c r="SI11" s="538">
        <v>0.22351851851851853</v>
      </c>
      <c r="SJ11" s="538">
        <v>0.22349537037037037</v>
      </c>
      <c r="SK11" s="538">
        <v>0.22346064814814814</v>
      </c>
      <c r="SL11" s="538">
        <v>0.22343749999999998</v>
      </c>
      <c r="SM11" s="538">
        <v>0.22341435185185185</v>
      </c>
      <c r="SN11" s="538">
        <v>0.22340277777777776</v>
      </c>
      <c r="SO11" s="538">
        <v>0.22339120370370369</v>
      </c>
      <c r="SP11" s="538">
        <v>0.22337962962962962</v>
      </c>
      <c r="SQ11" s="538">
        <v>0.22336805555555553</v>
      </c>
      <c r="SR11" s="538">
        <v>0.22336805555555553</v>
      </c>
      <c r="SS11" s="538">
        <v>0.22336805555555553</v>
      </c>
      <c r="ST11" s="538">
        <v>0.22337962962962962</v>
      </c>
      <c r="SU11" s="538">
        <v>0.22339120370370369</v>
      </c>
      <c r="SV11" s="538">
        <v>0.22340277777777776</v>
      </c>
      <c r="SW11" s="538">
        <v>0.22342592592592592</v>
      </c>
      <c r="SX11" s="538">
        <v>0.22344907407407408</v>
      </c>
      <c r="SY11" s="538">
        <v>0.22347222222222221</v>
      </c>
      <c r="SZ11" s="538">
        <v>0.22350694444444444</v>
      </c>
      <c r="TA11" s="538">
        <v>0.22355324074074076</v>
      </c>
      <c r="TB11" s="538">
        <v>0.22358796296296299</v>
      </c>
      <c r="TC11" s="538">
        <v>0.22363425925925925</v>
      </c>
      <c r="TD11" s="538">
        <v>0.22369212962962962</v>
      </c>
      <c r="TE11" s="538">
        <v>0.22375</v>
      </c>
      <c r="TF11" s="538">
        <v>0.22380787037037039</v>
      </c>
      <c r="TG11" s="538">
        <v>0.22387731481481479</v>
      </c>
      <c r="TH11" s="538">
        <v>0.22394675925925925</v>
      </c>
      <c r="TI11" s="538">
        <v>0.2240277777777778</v>
      </c>
      <c r="TJ11" s="538">
        <v>0.22410879629629629</v>
      </c>
      <c r="TK11" s="538">
        <v>0.22420138888888888</v>
      </c>
      <c r="TL11" s="538">
        <v>0.22428240740740743</v>
      </c>
      <c r="TM11" s="538">
        <v>0.22438657407407406</v>
      </c>
      <c r="TN11" s="538">
        <v>0.22447916666666667</v>
      </c>
      <c r="TO11" s="538">
        <v>0.2245949074074074</v>
      </c>
      <c r="TP11" s="538">
        <v>0.22469907407407408</v>
      </c>
      <c r="TQ11" s="538">
        <v>0.2248148148148148</v>
      </c>
      <c r="TR11" s="538">
        <v>0.22493055555555555</v>
      </c>
      <c r="TS11" s="538">
        <v>0.22505787037037037</v>
      </c>
      <c r="TT11" s="538">
        <v>0.22518518518518518</v>
      </c>
      <c r="TU11" s="538">
        <v>0.2253125</v>
      </c>
      <c r="TV11" s="538">
        <v>0.22545138888888891</v>
      </c>
      <c r="TW11" s="538">
        <v>0.22559027777777776</v>
      </c>
      <c r="TX11" s="538">
        <v>0.22572916666666668</v>
      </c>
      <c r="TY11" s="538">
        <v>0.22587962962962962</v>
      </c>
      <c r="TZ11" s="538">
        <v>0.22603009259259257</v>
      </c>
      <c r="UA11" s="538">
        <v>0.22618055555555558</v>
      </c>
      <c r="UB11" s="538">
        <v>0.22633101851851853</v>
      </c>
      <c r="UC11" s="538">
        <v>0.22649305555555554</v>
      </c>
      <c r="UD11" s="538">
        <v>0.22665509259259262</v>
      </c>
      <c r="UE11" s="538">
        <v>0.22681712962962963</v>
      </c>
      <c r="UF11" s="538">
        <v>0.22697916666666665</v>
      </c>
      <c r="UG11" s="538">
        <v>0.22714120370370372</v>
      </c>
      <c r="UH11" s="538">
        <v>0.22731481481481483</v>
      </c>
      <c r="UI11" s="538">
        <v>0.22748842592592591</v>
      </c>
      <c r="UJ11" s="538">
        <v>0.22765046296296296</v>
      </c>
      <c r="UK11" s="538">
        <v>0.2278240740740741</v>
      </c>
      <c r="UL11" s="538">
        <v>0.22799768518518518</v>
      </c>
      <c r="UM11" s="538">
        <v>0.22817129629629629</v>
      </c>
      <c r="UN11" s="538">
        <v>0.2283449074074074</v>
      </c>
      <c r="UO11" s="538">
        <v>0.22851851851851854</v>
      </c>
      <c r="UP11" s="538">
        <v>0.22869212962962962</v>
      </c>
      <c r="UQ11" s="538">
        <v>0.22886574074074073</v>
      </c>
      <c r="UR11" s="538">
        <v>0.2290277777777778</v>
      </c>
      <c r="US11" s="538">
        <v>0.22920138888888889</v>
      </c>
      <c r="UT11" s="538">
        <v>0.22936342592592593</v>
      </c>
      <c r="UU11" s="538">
        <v>0.22953703703703701</v>
      </c>
      <c r="UV11" s="538">
        <v>0.22969907407407408</v>
      </c>
      <c r="UW11" s="538">
        <v>0.2298611111111111</v>
      </c>
      <c r="UX11" s="538">
        <v>0.23002314814814814</v>
      </c>
      <c r="UY11" s="538">
        <v>0.23017361111111112</v>
      </c>
      <c r="UZ11" s="538">
        <v>0.23032407407407407</v>
      </c>
      <c r="VA11" s="538">
        <v>0.23047453703703705</v>
      </c>
      <c r="VB11" s="538">
        <v>0.230625</v>
      </c>
      <c r="VC11" s="538">
        <v>0.23076388888888888</v>
      </c>
      <c r="VD11" s="538">
        <v>0.23090277777777779</v>
      </c>
      <c r="VE11" s="538">
        <v>0.23104166666666667</v>
      </c>
      <c r="VF11" s="538">
        <v>0.23116898148148146</v>
      </c>
      <c r="VG11" s="538">
        <v>0.23128472222222221</v>
      </c>
      <c r="VH11" s="538">
        <v>0.23141203703703703</v>
      </c>
      <c r="VI11" s="538">
        <v>0.23151620370370371</v>
      </c>
      <c r="VJ11" s="538">
        <v>0.23163194444444443</v>
      </c>
      <c r="VK11" s="538">
        <v>0.23172453703703702</v>
      </c>
      <c r="VL11" s="538">
        <v>0.23181712962962964</v>
      </c>
      <c r="VM11" s="538">
        <v>0.23190972222222225</v>
      </c>
      <c r="VN11" s="538">
        <v>0.23199074074074075</v>
      </c>
      <c r="VO11" s="538">
        <v>0.23207175925925927</v>
      </c>
      <c r="VP11" s="538">
        <v>0.23212962962962966</v>
      </c>
      <c r="VQ11" s="538">
        <v>0.23219907407407406</v>
      </c>
      <c r="VR11" s="538">
        <v>0.23224537037037038</v>
      </c>
      <c r="VS11" s="538">
        <v>0.23229166666666667</v>
      </c>
      <c r="VT11" s="538">
        <v>0.2323263888888889</v>
      </c>
      <c r="VU11" s="538">
        <v>0.2323611111111111</v>
      </c>
      <c r="VV11" s="538">
        <v>0.23238425925925923</v>
      </c>
      <c r="VW11" s="538">
        <v>0.23239583333333333</v>
      </c>
      <c r="VX11" s="538">
        <v>0.2324074074074074</v>
      </c>
      <c r="VY11" s="538">
        <v>0.23239583333333333</v>
      </c>
      <c r="VZ11" s="538">
        <v>0.23238425925925923</v>
      </c>
      <c r="WA11" s="538">
        <v>0.2323726851851852</v>
      </c>
      <c r="WB11" s="538">
        <v>0.23233796296296297</v>
      </c>
      <c r="WC11" s="538">
        <v>0.23230324074074074</v>
      </c>
      <c r="WD11" s="538">
        <v>0.23225694444444445</v>
      </c>
      <c r="WE11" s="538">
        <v>0.23219907407407406</v>
      </c>
      <c r="WF11" s="538">
        <v>0.2321412037037037</v>
      </c>
      <c r="WG11" s="538">
        <v>0.2320601851851852</v>
      </c>
      <c r="WH11" s="538">
        <v>0.23197916666666665</v>
      </c>
      <c r="WI11" s="538">
        <v>0.23188657407407409</v>
      </c>
      <c r="WJ11" s="538">
        <v>0.23179398148148148</v>
      </c>
      <c r="WK11" s="538">
        <v>0.23167824074074073</v>
      </c>
      <c r="WL11" s="538">
        <v>0.2315625</v>
      </c>
      <c r="WM11" s="538">
        <v>0.23143518518518516</v>
      </c>
      <c r="WN11" s="538">
        <v>0.23130787037037037</v>
      </c>
      <c r="WO11" s="538">
        <v>0.23115740740740742</v>
      </c>
      <c r="WP11" s="538">
        <v>0.23100694444444445</v>
      </c>
      <c r="WQ11" s="538">
        <v>0.2308449074074074</v>
      </c>
      <c r="WR11" s="538">
        <v>0.23067129629629632</v>
      </c>
      <c r="WS11" s="538">
        <v>0.23049768518518518</v>
      </c>
      <c r="WT11" s="538">
        <v>0.23030092592592591</v>
      </c>
      <c r="WU11" s="538">
        <v>0.23010416666666667</v>
      </c>
      <c r="WV11" s="538">
        <v>0.22990740740740742</v>
      </c>
      <c r="WW11" s="538">
        <v>0.22968750000000002</v>
      </c>
      <c r="WX11" s="538">
        <v>0.22946759259259261</v>
      </c>
      <c r="WY11" s="538">
        <v>0.22923611111111111</v>
      </c>
      <c r="WZ11" s="538">
        <v>0.22900462962962964</v>
      </c>
      <c r="XA11" s="538">
        <v>0.22876157407407408</v>
      </c>
      <c r="XB11" s="538">
        <v>0.22850694444444444</v>
      </c>
      <c r="XC11" s="538">
        <v>0.22824074074074074</v>
      </c>
      <c r="XD11" s="538">
        <v>0.22797453703703704</v>
      </c>
      <c r="XE11" s="538">
        <v>0.22769675925925925</v>
      </c>
      <c r="XF11" s="538">
        <v>0.22741898148148146</v>
      </c>
      <c r="XG11" s="538">
        <v>0.22712962962962965</v>
      </c>
      <c r="XH11" s="538">
        <v>0.22684027777777779</v>
      </c>
      <c r="XI11" s="538">
        <v>0.22652777777777777</v>
      </c>
      <c r="XJ11" s="538">
        <v>0.22622685185185185</v>
      </c>
      <c r="XK11" s="538">
        <v>0.22591435185185185</v>
      </c>
      <c r="XL11" s="538">
        <v>0.22559027777777776</v>
      </c>
      <c r="XM11" s="538">
        <v>0.22526620370370368</v>
      </c>
      <c r="XN11" s="538">
        <v>0.22493055555555555</v>
      </c>
      <c r="XO11" s="538">
        <v>0.2245949074074074</v>
      </c>
      <c r="XP11" s="538">
        <v>0.2242476851851852</v>
      </c>
      <c r="XQ11" s="538">
        <v>0.22390046296296295</v>
      </c>
      <c r="XR11" s="538">
        <v>0.22355324074074076</v>
      </c>
      <c r="XS11" s="538">
        <v>0.22319444444444445</v>
      </c>
      <c r="XT11" s="538">
        <v>0.22283564814814816</v>
      </c>
      <c r="XU11" s="538">
        <v>0.22246527777777778</v>
      </c>
      <c r="XV11" s="538">
        <v>0.22209490740740742</v>
      </c>
      <c r="XW11" s="538">
        <v>0.22172453703703701</v>
      </c>
      <c r="XX11" s="538">
        <v>0.22134259259259259</v>
      </c>
      <c r="XY11" s="538">
        <v>0.22096064814814817</v>
      </c>
      <c r="XZ11" s="538">
        <v>0.22057870370370369</v>
      </c>
      <c r="YA11" s="538">
        <v>0.22019675925925927</v>
      </c>
      <c r="YB11" s="538">
        <v>0.21981481481481482</v>
      </c>
      <c r="YC11" s="538">
        <v>0.21942129629629628</v>
      </c>
      <c r="YD11" s="538">
        <v>0.21902777777777779</v>
      </c>
      <c r="YE11" s="538">
        <v>0.21863425925925925</v>
      </c>
      <c r="YF11" s="538">
        <v>0.21824074074074074</v>
      </c>
      <c r="YG11" s="538">
        <v>0.21783564814814815</v>
      </c>
      <c r="YH11" s="538">
        <v>0.21744212962962964</v>
      </c>
      <c r="YI11" s="538">
        <v>0.21704861111111109</v>
      </c>
      <c r="YJ11" s="538">
        <v>0.21664351851851851</v>
      </c>
      <c r="YK11" s="538">
        <v>0.21623842592592593</v>
      </c>
      <c r="YL11" s="538">
        <v>0.21584490740740739</v>
      </c>
      <c r="YM11" s="538">
        <v>0.21543981481481481</v>
      </c>
      <c r="YN11" s="538">
        <v>0.21504629629629632</v>
      </c>
      <c r="YO11" s="538">
        <v>0.21465277777777778</v>
      </c>
      <c r="YP11" s="538">
        <v>0.21424768518518519</v>
      </c>
      <c r="YQ11" s="538">
        <v>0.21385416666666668</v>
      </c>
      <c r="YR11" s="538">
        <v>0.21346064814814814</v>
      </c>
      <c r="YS11" s="538">
        <v>0.21306712962962962</v>
      </c>
      <c r="YT11" s="538">
        <v>0.21267361111111113</v>
      </c>
      <c r="YU11" s="538">
        <v>0.21229166666666666</v>
      </c>
      <c r="YV11" s="538">
        <v>0.21189814814814814</v>
      </c>
      <c r="YW11" s="538">
        <v>0.21151620370370372</v>
      </c>
      <c r="YX11" s="538">
        <v>0.21113425925925924</v>
      </c>
      <c r="YY11" s="538">
        <v>0.21076388888888889</v>
      </c>
      <c r="YZ11" s="538">
        <v>0.21039351851851851</v>
      </c>
      <c r="ZA11" s="538">
        <v>0.21002314814814815</v>
      </c>
      <c r="ZB11" s="538">
        <v>0.20965277777777777</v>
      </c>
      <c r="ZC11" s="538">
        <v>0.20929398148148148</v>
      </c>
      <c r="ZD11" s="538">
        <v>0.20893518518518517</v>
      </c>
      <c r="ZE11" s="538">
        <v>0.20858796296296298</v>
      </c>
      <c r="ZF11" s="538">
        <v>0.20824074074074073</v>
      </c>
      <c r="ZG11" s="538">
        <v>0.2079050925925926</v>
      </c>
      <c r="ZH11" s="538">
        <v>0.20756944444444445</v>
      </c>
      <c r="ZI11" s="538">
        <v>0.20724537037037036</v>
      </c>
      <c r="ZJ11" s="538">
        <v>0.2069212962962963</v>
      </c>
      <c r="ZK11" s="538">
        <v>0.20659722222222221</v>
      </c>
      <c r="ZL11" s="538">
        <v>0.20629629629629631</v>
      </c>
      <c r="ZM11" s="538">
        <v>0.20598379629629629</v>
      </c>
      <c r="ZN11" s="538">
        <v>0.20569444444444443</v>
      </c>
      <c r="ZO11" s="538">
        <v>0.20540509259259257</v>
      </c>
      <c r="ZP11" s="538">
        <v>0.2051273148148148</v>
      </c>
      <c r="ZQ11" s="538">
        <v>0.20484953703703704</v>
      </c>
      <c r="ZR11" s="538">
        <v>0.20458333333333334</v>
      </c>
      <c r="ZS11" s="538">
        <v>0.20432870370370371</v>
      </c>
      <c r="ZT11" s="538">
        <v>0.20408564814814814</v>
      </c>
      <c r="ZU11" s="538">
        <v>0.2038425925925926</v>
      </c>
      <c r="ZV11" s="538">
        <v>0.2036111111111111</v>
      </c>
      <c r="ZW11" s="538">
        <v>0.2033912037037037</v>
      </c>
      <c r="ZX11" s="538">
        <v>0.20318287037037039</v>
      </c>
      <c r="ZY11" s="538">
        <v>0.20297453703703705</v>
      </c>
      <c r="ZZ11" s="538">
        <v>0.20278935185185185</v>
      </c>
      <c r="AAA11" s="538">
        <v>0.20260416666666667</v>
      </c>
      <c r="AAB11" s="538">
        <v>0.20243055555555556</v>
      </c>
      <c r="AAC11" s="538">
        <v>0.20226851851851854</v>
      </c>
      <c r="AAD11" s="538">
        <v>0.20211805555555554</v>
      </c>
      <c r="AAE11" s="538">
        <v>0.20197916666666668</v>
      </c>
      <c r="AAF11" s="538">
        <v>0.20184027777777777</v>
      </c>
      <c r="AAG11" s="538">
        <v>0.20172453703703705</v>
      </c>
      <c r="AAH11" s="538">
        <v>0.20162037037037037</v>
      </c>
      <c r="AAI11" s="538">
        <v>0.20151620370370371</v>
      </c>
      <c r="AAJ11" s="538">
        <v>0.20143518518518519</v>
      </c>
      <c r="AAK11" s="538">
        <v>0.20135416666666664</v>
      </c>
      <c r="AAL11" s="538">
        <v>0.20129629629629631</v>
      </c>
      <c r="AAM11" s="538">
        <v>0.20123842592592592</v>
      </c>
      <c r="AAN11" s="538">
        <v>0.20120370370370369</v>
      </c>
      <c r="AAO11" s="538">
        <v>0.20118055555555556</v>
      </c>
      <c r="AAP11" s="538">
        <v>0.2011574074074074</v>
      </c>
      <c r="AAQ11" s="538">
        <v>0.2011574074074074</v>
      </c>
      <c r="AAR11" s="538">
        <v>0.2011574074074074</v>
      </c>
      <c r="AAS11" s="538">
        <v>0.20118055555555556</v>
      </c>
      <c r="AAT11" s="538">
        <v>0.20121527777777778</v>
      </c>
      <c r="AAU11" s="538">
        <v>0.20125000000000001</v>
      </c>
      <c r="AAV11" s="538">
        <v>0.20130787037037037</v>
      </c>
      <c r="AAW11" s="538">
        <v>0.2013773148148148</v>
      </c>
      <c r="AAX11" s="538">
        <v>0.20144675925925926</v>
      </c>
      <c r="AAY11" s="538">
        <v>0.20153935185185187</v>
      </c>
      <c r="AAZ11" s="538">
        <v>0.2016435185185185</v>
      </c>
      <c r="ABA11" s="538">
        <v>0.20175925925925928</v>
      </c>
      <c r="ABB11" s="538">
        <v>0.201875</v>
      </c>
      <c r="ABC11" s="538">
        <v>0.20201388888888891</v>
      </c>
      <c r="ABD11" s="538">
        <v>0.20216435185185186</v>
      </c>
      <c r="ABE11" s="538">
        <v>0.20231481481481484</v>
      </c>
      <c r="ABF11" s="538">
        <v>0.20248842592592595</v>
      </c>
      <c r="ABG11" s="538">
        <v>0.20267361111111112</v>
      </c>
      <c r="ABH11" s="538">
        <v>0.2028587962962963</v>
      </c>
      <c r="ABI11" s="538">
        <v>0.20305555555555554</v>
      </c>
      <c r="ABJ11" s="538">
        <v>0.20327546296296295</v>
      </c>
      <c r="ABK11" s="538">
        <v>0.20349537037037035</v>
      </c>
      <c r="ABL11" s="538">
        <v>0.20372685185185188</v>
      </c>
      <c r="ABM11" s="538">
        <v>0.20395833333333332</v>
      </c>
      <c r="ABN11" s="538">
        <v>0.20421296296296299</v>
      </c>
      <c r="ABO11" s="538">
        <v>0.20446759259259259</v>
      </c>
      <c r="ABP11" s="538">
        <v>0.20473379629629629</v>
      </c>
      <c r="ABQ11" s="538">
        <v>0.20501157407407408</v>
      </c>
      <c r="ABR11" s="538">
        <v>0.20530092592592594</v>
      </c>
      <c r="ABS11" s="538">
        <v>0.20559027777777775</v>
      </c>
      <c r="ABT11" s="538">
        <v>0.2058912037037037</v>
      </c>
      <c r="ABU11" s="538">
        <v>0.20619212962962963</v>
      </c>
      <c r="ABV11" s="538">
        <v>0.20650462962962965</v>
      </c>
      <c r="ABW11" s="538">
        <v>0.20681712962962964</v>
      </c>
      <c r="ABX11" s="538">
        <v>0.20715277777777777</v>
      </c>
      <c r="ABY11" s="538">
        <v>0.20747685185185186</v>
      </c>
      <c r="ABZ11" s="538">
        <v>0.20781249999999998</v>
      </c>
      <c r="ACA11" s="538">
        <v>0.20815972222222223</v>
      </c>
      <c r="ACB11" s="538">
        <v>0.20849537037037036</v>
      </c>
      <c r="ACC11" s="538">
        <v>0.20885416666666667</v>
      </c>
      <c r="ACD11" s="538">
        <v>0.20920138888888887</v>
      </c>
      <c r="ACE11" s="538">
        <v>0.20956018518518518</v>
      </c>
      <c r="ACF11" s="538">
        <v>0.20991898148148147</v>
      </c>
      <c r="ACG11" s="538">
        <v>0.21027777777777779</v>
      </c>
      <c r="ACH11" s="538">
        <v>0.21063657407407407</v>
      </c>
      <c r="ACI11" s="538">
        <v>0.21100694444444446</v>
      </c>
      <c r="ACJ11" s="538">
        <v>0.21137731481481481</v>
      </c>
      <c r="ACK11" s="538">
        <v>0.21173611111111112</v>
      </c>
      <c r="ACL11" s="538">
        <v>0.21210648148148148</v>
      </c>
      <c r="ACM11" s="538">
        <v>0.21247685185185183</v>
      </c>
      <c r="ACN11" s="538">
        <v>0.21284722222222222</v>
      </c>
      <c r="ACO11" s="538">
        <v>0.2132060185185185</v>
      </c>
      <c r="ACP11" s="538">
        <v>0.21357638888888889</v>
      </c>
      <c r="ACQ11" s="538">
        <v>0.21393518518518517</v>
      </c>
      <c r="ACR11" s="538">
        <v>0.21430555555555555</v>
      </c>
      <c r="ACS11" s="538">
        <v>0.21466435185185184</v>
      </c>
      <c r="ACT11" s="538">
        <v>0.21502314814814816</v>
      </c>
      <c r="ACU11" s="538">
        <v>0.21537037037037035</v>
      </c>
      <c r="ACV11" s="538">
        <v>0.21572916666666667</v>
      </c>
      <c r="ACW11" s="538">
        <v>0.21607638888888889</v>
      </c>
      <c r="ACX11" s="538">
        <v>0.21641203703703704</v>
      </c>
      <c r="ACY11" s="538">
        <v>0.21675925925925923</v>
      </c>
      <c r="ACZ11" s="538">
        <v>0.21709490740740742</v>
      </c>
      <c r="ADA11" s="538">
        <v>0.2174189814814815</v>
      </c>
      <c r="ADB11" s="538">
        <v>0.21774305555555554</v>
      </c>
      <c r="ADC11" s="538">
        <v>0.21806712962962962</v>
      </c>
      <c r="ADD11" s="538">
        <v>0.21837962962962965</v>
      </c>
      <c r="ADE11" s="538">
        <v>0.21869212962962961</v>
      </c>
      <c r="ADF11" s="538">
        <v>0.21899305555555557</v>
      </c>
      <c r="ADG11" s="538">
        <v>0.21929398148148149</v>
      </c>
      <c r="ADH11" s="538">
        <v>0.21958333333333332</v>
      </c>
      <c r="ADI11" s="538">
        <v>0.21986111111111109</v>
      </c>
      <c r="ADJ11" s="538">
        <v>0.22013888888888888</v>
      </c>
      <c r="ADK11" s="538">
        <v>0.22040509259259258</v>
      </c>
      <c r="ADL11" s="538">
        <v>0.22067129629629631</v>
      </c>
      <c r="ADM11" s="538">
        <v>0.22092592592592594</v>
      </c>
      <c r="ADN11" s="538">
        <v>0.22116898148148148</v>
      </c>
      <c r="ADO11" s="538">
        <v>0.22141203703703705</v>
      </c>
      <c r="ADP11" s="538">
        <v>0.22164351851851852</v>
      </c>
    </row>
    <row r="12" spans="1:796">
      <c r="A12" t="s">
        <v>4276</v>
      </c>
      <c r="B12">
        <v>12</v>
      </c>
      <c r="C12" t="s">
        <v>4293</v>
      </c>
      <c r="D12">
        <v>42</v>
      </c>
      <c r="E12" s="538">
        <v>0.4644212962962963</v>
      </c>
      <c r="F12" s="538">
        <v>0.46468749999999998</v>
      </c>
      <c r="G12" s="538">
        <v>0.4649652777777778</v>
      </c>
      <c r="H12" s="538">
        <v>0.46524305555555556</v>
      </c>
      <c r="I12" s="538">
        <v>0.46553240740740742</v>
      </c>
      <c r="J12" s="538">
        <v>0.46583333333333332</v>
      </c>
      <c r="K12" s="538">
        <v>0.46612268518518518</v>
      </c>
      <c r="L12" s="538">
        <v>0.46643518518518517</v>
      </c>
      <c r="M12" s="538">
        <v>0.46673611111111107</v>
      </c>
      <c r="N12" s="538">
        <v>0.46706018518518522</v>
      </c>
      <c r="O12" s="538">
        <v>0.46737268518518515</v>
      </c>
      <c r="P12" s="538">
        <v>0.4676967592592593</v>
      </c>
      <c r="Q12" s="538">
        <v>0.46803240740740742</v>
      </c>
      <c r="R12" s="538">
        <v>0.46835648148148151</v>
      </c>
      <c r="S12" s="538">
        <v>0.46869212962962964</v>
      </c>
      <c r="T12" s="538">
        <v>0.46902777777777777</v>
      </c>
      <c r="U12" s="538">
        <v>0.46936342592592589</v>
      </c>
      <c r="V12" s="538">
        <v>0.46971064814814811</v>
      </c>
      <c r="W12" s="538">
        <v>0.4700462962962963</v>
      </c>
      <c r="X12" s="538">
        <v>0.47039351851851857</v>
      </c>
      <c r="Y12" s="538">
        <v>0.47074074074074074</v>
      </c>
      <c r="Z12" s="538">
        <v>0.47108796296296296</v>
      </c>
      <c r="AA12" s="538">
        <v>0.47142361111111114</v>
      </c>
      <c r="AB12" s="538">
        <v>0.47177083333333331</v>
      </c>
      <c r="AC12" s="538">
        <v>0.47211805555555553</v>
      </c>
      <c r="AD12" s="538">
        <v>0.47245370370370371</v>
      </c>
      <c r="AE12" s="538">
        <v>0.47280092592592587</v>
      </c>
      <c r="AF12" s="538">
        <v>0.47313657407407406</v>
      </c>
      <c r="AG12" s="538">
        <v>0.47347222222222224</v>
      </c>
      <c r="AH12" s="538">
        <v>0.47380787037037037</v>
      </c>
      <c r="AI12" s="538">
        <v>0.47413194444444445</v>
      </c>
      <c r="AJ12" s="538">
        <v>0.47446759259259258</v>
      </c>
      <c r="AK12" s="538">
        <v>0.47478009259259263</v>
      </c>
      <c r="AL12" s="538">
        <v>0.47510416666666666</v>
      </c>
      <c r="AM12" s="538">
        <v>0.47541666666666665</v>
      </c>
      <c r="AN12" s="538">
        <v>0.4757291666666667</v>
      </c>
      <c r="AO12" s="538">
        <v>0.4760300925925926</v>
      </c>
      <c r="AP12" s="538">
        <v>0.4763310185185185</v>
      </c>
      <c r="AQ12" s="538">
        <v>0.47662037037037036</v>
      </c>
      <c r="AR12" s="538">
        <v>0.47690972222222222</v>
      </c>
      <c r="AS12" s="538">
        <v>0.47718750000000004</v>
      </c>
      <c r="AT12" s="538">
        <v>0.47746527777777775</v>
      </c>
      <c r="AU12" s="538">
        <v>0.47773148148148148</v>
      </c>
      <c r="AV12" s="538">
        <v>0.47798611111111117</v>
      </c>
      <c r="AW12" s="538">
        <v>0.47824074074074074</v>
      </c>
      <c r="AX12" s="538">
        <v>0.47848379629629628</v>
      </c>
      <c r="AY12" s="538">
        <v>0.47871527777777773</v>
      </c>
      <c r="AZ12" s="538">
        <v>0.47894675925925928</v>
      </c>
      <c r="BA12" s="538">
        <v>0.47916666666666669</v>
      </c>
      <c r="BB12" s="538">
        <v>0.47937500000000005</v>
      </c>
      <c r="BC12" s="538">
        <v>0.47958333333333331</v>
      </c>
      <c r="BD12" s="538">
        <v>0.47978009259259258</v>
      </c>
      <c r="BE12" s="538">
        <v>0.47996527777777781</v>
      </c>
      <c r="BF12" s="538">
        <v>0.48013888888888889</v>
      </c>
      <c r="BG12" s="538">
        <v>0.48030092592592594</v>
      </c>
      <c r="BH12" s="538">
        <v>0.48046296296296293</v>
      </c>
      <c r="BI12" s="538">
        <v>0.48061342592592587</v>
      </c>
      <c r="BJ12" s="538">
        <v>0.48075231481481479</v>
      </c>
      <c r="BK12" s="538">
        <v>0.4808796296296296</v>
      </c>
      <c r="BL12" s="538">
        <v>0.48100694444444447</v>
      </c>
      <c r="BM12" s="538">
        <v>0.4811111111111111</v>
      </c>
      <c r="BN12" s="538">
        <v>0.48121527777777778</v>
      </c>
      <c r="BO12" s="538">
        <v>0.48130787037037037</v>
      </c>
      <c r="BP12" s="538">
        <v>0.48138888888888887</v>
      </c>
      <c r="BQ12" s="538">
        <v>0.48146990740740742</v>
      </c>
      <c r="BR12" s="538">
        <v>0.48152777777777778</v>
      </c>
      <c r="BS12" s="538">
        <v>0.48158564814814814</v>
      </c>
      <c r="BT12" s="538">
        <v>0.4816319444444444</v>
      </c>
      <c r="BU12" s="538">
        <v>0.48166666666666669</v>
      </c>
      <c r="BV12" s="538">
        <v>0.48168981481481482</v>
      </c>
      <c r="BW12" s="538">
        <v>0.48171296296296301</v>
      </c>
      <c r="BX12" s="538">
        <v>0.48172453703703705</v>
      </c>
      <c r="BY12" s="538">
        <v>0.48172453703703705</v>
      </c>
      <c r="BZ12" s="538">
        <v>0.48171296296296301</v>
      </c>
      <c r="CA12" s="538">
        <v>0.48170138888888886</v>
      </c>
      <c r="CB12" s="538">
        <v>0.48166666666666669</v>
      </c>
      <c r="CC12" s="538">
        <v>0.48164351851851855</v>
      </c>
      <c r="CD12" s="538">
        <v>0.48159722222222223</v>
      </c>
      <c r="CE12" s="538">
        <v>0.48155092592592591</v>
      </c>
      <c r="CF12" s="538">
        <v>0.48148148148148145</v>
      </c>
      <c r="CG12" s="538">
        <v>0.48142361111111115</v>
      </c>
      <c r="CH12" s="538">
        <v>0.48134259259259254</v>
      </c>
      <c r="CI12" s="538">
        <v>0.48126157407407405</v>
      </c>
      <c r="CJ12" s="538">
        <v>0.48118055555555556</v>
      </c>
      <c r="CK12" s="538">
        <v>0.48107638888888887</v>
      </c>
      <c r="CL12" s="538">
        <v>0.48098379629629634</v>
      </c>
      <c r="CM12" s="538">
        <v>0.48086805555555556</v>
      </c>
      <c r="CN12" s="538">
        <v>0.48075231481481479</v>
      </c>
      <c r="CO12" s="538">
        <v>0.48062500000000002</v>
      </c>
      <c r="CP12" s="538">
        <v>0.48049768518518521</v>
      </c>
      <c r="CQ12" s="538">
        <v>0.48037037037037034</v>
      </c>
      <c r="CR12" s="538">
        <v>0.48023148148148148</v>
      </c>
      <c r="CS12" s="538">
        <v>0.48008101851851853</v>
      </c>
      <c r="CT12" s="538">
        <v>0.47993055555555553</v>
      </c>
      <c r="CU12" s="538">
        <v>0.47976851851851854</v>
      </c>
      <c r="CV12" s="538">
        <v>0.47960648148148149</v>
      </c>
      <c r="CW12" s="538">
        <v>0.4794444444444444</v>
      </c>
      <c r="CX12" s="538">
        <v>0.47927083333333331</v>
      </c>
      <c r="CY12" s="538">
        <v>0.47909722222222223</v>
      </c>
      <c r="CZ12" s="538">
        <v>0.47892361111111109</v>
      </c>
      <c r="DA12" s="538">
        <v>0.47873842592592591</v>
      </c>
      <c r="DB12" s="538">
        <v>0.47855324074074074</v>
      </c>
      <c r="DC12" s="538">
        <v>0.47836805555555556</v>
      </c>
      <c r="DD12" s="538">
        <v>0.47817129629629629</v>
      </c>
      <c r="DE12" s="538">
        <v>0.47798611111111117</v>
      </c>
      <c r="DF12" s="538">
        <v>0.47778935185185184</v>
      </c>
      <c r="DG12" s="538">
        <v>0.47758101851851853</v>
      </c>
      <c r="DH12" s="538">
        <v>0.47738425925925926</v>
      </c>
      <c r="DI12" s="538">
        <v>0.47717592592592589</v>
      </c>
      <c r="DJ12" s="538">
        <v>0.47697916666666668</v>
      </c>
      <c r="DK12" s="538">
        <v>0.47677083333333337</v>
      </c>
      <c r="DL12" s="538">
        <v>0.4765625</v>
      </c>
      <c r="DM12" s="538">
        <v>0.47635416666666663</v>
      </c>
      <c r="DN12" s="538">
        <v>0.47614583333333332</v>
      </c>
      <c r="DO12" s="538">
        <v>0.47593749999999996</v>
      </c>
      <c r="DP12" s="538">
        <v>0.4757291666666667</v>
      </c>
      <c r="DQ12" s="538">
        <v>0.4755092592592593</v>
      </c>
      <c r="DR12" s="538">
        <v>0.47530092592592593</v>
      </c>
      <c r="DS12" s="538">
        <v>0.47509259259259262</v>
      </c>
      <c r="DT12" s="538">
        <v>0.47488425925925926</v>
      </c>
      <c r="DU12" s="538">
        <v>0.47467592592592595</v>
      </c>
      <c r="DV12" s="538">
        <v>0.47447916666666662</v>
      </c>
      <c r="DW12" s="538">
        <v>0.47427083333333336</v>
      </c>
      <c r="DX12" s="538">
        <v>0.4740625</v>
      </c>
      <c r="DY12" s="538">
        <v>0.47386574074074073</v>
      </c>
      <c r="DZ12" s="538">
        <v>0.47366898148148145</v>
      </c>
      <c r="EA12" s="538">
        <v>0.47347222222222224</v>
      </c>
      <c r="EB12" s="538">
        <v>0.47327546296296297</v>
      </c>
      <c r="EC12" s="538">
        <v>0.4730787037037037</v>
      </c>
      <c r="ED12" s="538">
        <v>0.47289351851851852</v>
      </c>
      <c r="EE12" s="538">
        <v>0.47270833333333334</v>
      </c>
      <c r="EF12" s="538">
        <v>0.47252314814814816</v>
      </c>
      <c r="EG12" s="538">
        <v>0.47234953703703703</v>
      </c>
      <c r="EH12" s="538">
        <v>0.47217592592592594</v>
      </c>
      <c r="EI12" s="538">
        <v>0.47200231481481486</v>
      </c>
      <c r="EJ12" s="538">
        <v>0.47182870370370367</v>
      </c>
      <c r="EK12" s="538">
        <v>0.47166666666666668</v>
      </c>
      <c r="EL12" s="538">
        <v>0.47150462962962963</v>
      </c>
      <c r="EM12" s="538">
        <v>0.47135416666666669</v>
      </c>
      <c r="EN12" s="538">
        <v>0.47120370370370374</v>
      </c>
      <c r="EO12" s="538">
        <v>0.47105324074074079</v>
      </c>
      <c r="EP12" s="538">
        <v>0.47091435185185188</v>
      </c>
      <c r="EQ12" s="538">
        <v>0.47078703703703706</v>
      </c>
      <c r="ER12" s="538">
        <v>0.47064814814814815</v>
      </c>
      <c r="ES12" s="538">
        <v>0.47053240740740737</v>
      </c>
      <c r="ET12" s="538">
        <v>0.47040509259259261</v>
      </c>
      <c r="EU12" s="538">
        <v>0.47030092592592593</v>
      </c>
      <c r="EV12" s="538">
        <v>0.47018518518518521</v>
      </c>
      <c r="EW12" s="538">
        <v>0.47009259259259256</v>
      </c>
      <c r="EX12" s="538">
        <v>0.46998842592592593</v>
      </c>
      <c r="EY12" s="538">
        <v>0.46990740740740744</v>
      </c>
      <c r="EZ12" s="538">
        <v>0.46981481481481485</v>
      </c>
      <c r="FA12" s="538">
        <v>0.4697453703703704</v>
      </c>
      <c r="FB12" s="538">
        <v>0.46967592592592594</v>
      </c>
      <c r="FC12" s="538">
        <v>0.46960648148148149</v>
      </c>
      <c r="FD12" s="538">
        <v>0.46954861111111112</v>
      </c>
      <c r="FE12" s="538">
        <v>0.4695023148148148</v>
      </c>
      <c r="FF12" s="538">
        <v>0.46945601851851854</v>
      </c>
      <c r="FG12" s="538">
        <v>0.46940972222222221</v>
      </c>
      <c r="FH12" s="538">
        <v>0.46938657407407408</v>
      </c>
      <c r="FI12" s="538">
        <v>0.46936342592592589</v>
      </c>
      <c r="FJ12" s="538">
        <v>0.46934027777777776</v>
      </c>
      <c r="FK12" s="538">
        <v>0.46932870370370372</v>
      </c>
      <c r="FL12" s="538">
        <v>0.46932870370370372</v>
      </c>
      <c r="FM12" s="538">
        <v>0.46932870370370372</v>
      </c>
      <c r="FN12" s="538">
        <v>0.46932870370370372</v>
      </c>
      <c r="FO12" s="538">
        <v>0.46935185185185185</v>
      </c>
      <c r="FP12" s="538">
        <v>0.46937500000000004</v>
      </c>
      <c r="FQ12" s="538">
        <v>0.46939814814814818</v>
      </c>
      <c r="FR12" s="538">
        <v>0.46943287037037035</v>
      </c>
      <c r="FS12" s="538">
        <v>0.46946759259259263</v>
      </c>
      <c r="FT12" s="538">
        <v>0.46951388888888884</v>
      </c>
      <c r="FU12" s="538">
        <v>0.46957175925925926</v>
      </c>
      <c r="FV12" s="538">
        <v>0.46962962962962962</v>
      </c>
      <c r="FW12" s="538">
        <v>0.46969907407407407</v>
      </c>
      <c r="FX12" s="538">
        <v>0.46976851851851853</v>
      </c>
      <c r="FY12" s="538">
        <v>0.46983796296296299</v>
      </c>
      <c r="FZ12" s="538">
        <v>0.46991898148148148</v>
      </c>
      <c r="GA12" s="538">
        <v>0.47001157407407407</v>
      </c>
      <c r="GB12" s="538">
        <v>0.47010416666666671</v>
      </c>
      <c r="GC12" s="538">
        <v>0.47019675925925924</v>
      </c>
      <c r="GD12" s="538">
        <v>0.47030092592592593</v>
      </c>
      <c r="GE12" s="538">
        <v>0.47040509259259261</v>
      </c>
      <c r="GF12" s="538">
        <v>0.47052083333333333</v>
      </c>
      <c r="GG12" s="538">
        <v>0.47063657407407405</v>
      </c>
      <c r="GH12" s="538">
        <v>0.47075231481481478</v>
      </c>
      <c r="GI12" s="538">
        <v>0.47087962962962965</v>
      </c>
      <c r="GJ12" s="538">
        <v>0.47100694444444446</v>
      </c>
      <c r="GK12" s="538">
        <v>0.47113425925925928</v>
      </c>
      <c r="GL12" s="538">
        <v>0.47127314814814819</v>
      </c>
      <c r="GM12" s="538">
        <v>0.47140046296296295</v>
      </c>
      <c r="GN12" s="538">
        <v>0.47153935185185186</v>
      </c>
      <c r="GO12" s="538">
        <v>0.47168981481481481</v>
      </c>
      <c r="GP12" s="538">
        <v>0.47182870370370367</v>
      </c>
      <c r="GQ12" s="538">
        <v>0.47197916666666667</v>
      </c>
      <c r="GR12" s="538">
        <v>0.47211805555555553</v>
      </c>
      <c r="GS12" s="538">
        <v>0.47226851851851853</v>
      </c>
      <c r="GT12" s="538">
        <v>0.47241898148148148</v>
      </c>
      <c r="GU12" s="538">
        <v>0.47256944444444443</v>
      </c>
      <c r="GV12" s="538">
        <v>0.47273148148148153</v>
      </c>
      <c r="GW12" s="538">
        <v>0.47288194444444448</v>
      </c>
      <c r="GX12" s="538">
        <v>0.47303240740740743</v>
      </c>
      <c r="GY12" s="538">
        <v>0.47318287037037038</v>
      </c>
      <c r="GZ12" s="538">
        <v>0.47333333333333333</v>
      </c>
      <c r="HA12" s="538">
        <v>0.47348379629629633</v>
      </c>
      <c r="HB12" s="538">
        <v>0.47363425925925928</v>
      </c>
      <c r="HC12" s="538">
        <v>0.47378472222222223</v>
      </c>
      <c r="HD12" s="538">
        <v>0.47392361111111114</v>
      </c>
      <c r="HE12" s="538">
        <v>0.47407407407407409</v>
      </c>
      <c r="HF12" s="538">
        <v>0.47421296296296295</v>
      </c>
      <c r="HG12" s="538">
        <v>0.47435185185185186</v>
      </c>
      <c r="HH12" s="538">
        <v>0.47449074074074077</v>
      </c>
      <c r="HI12" s="538">
        <v>0.47462962962962968</v>
      </c>
      <c r="HJ12" s="538">
        <v>0.47475694444444444</v>
      </c>
      <c r="HK12" s="538">
        <v>0.47489583333333335</v>
      </c>
      <c r="HL12" s="538">
        <v>0.47501157407407407</v>
      </c>
      <c r="HM12" s="538">
        <v>0.47513888888888883</v>
      </c>
      <c r="HN12" s="538">
        <v>0.47525462962962961</v>
      </c>
      <c r="HO12" s="538">
        <v>0.47537037037037039</v>
      </c>
      <c r="HP12" s="538">
        <v>0.47547453703703701</v>
      </c>
      <c r="HQ12" s="538">
        <v>0.47557870370370375</v>
      </c>
      <c r="HR12" s="538">
        <v>0.47567129629629629</v>
      </c>
      <c r="HS12" s="538">
        <v>0.47576388888888888</v>
      </c>
      <c r="HT12" s="538">
        <v>0.47585648148148146</v>
      </c>
      <c r="HU12" s="538">
        <v>0.47593749999999996</v>
      </c>
      <c r="HV12" s="538">
        <v>0.47601851851851856</v>
      </c>
      <c r="HW12" s="538">
        <v>0.47608796296296302</v>
      </c>
      <c r="HX12" s="538">
        <v>0.47615740740740736</v>
      </c>
      <c r="HY12" s="538">
        <v>0.47621527777777778</v>
      </c>
      <c r="HZ12" s="538">
        <v>0.4762615740740741</v>
      </c>
      <c r="IA12" s="538">
        <v>0.47630787037037042</v>
      </c>
      <c r="IB12" s="538">
        <v>0.47635416666666663</v>
      </c>
      <c r="IC12" s="538">
        <v>0.47638888888888892</v>
      </c>
      <c r="ID12" s="538">
        <v>0.47641203703703705</v>
      </c>
      <c r="IE12" s="538">
        <v>0.47643518518518518</v>
      </c>
      <c r="IF12" s="538">
        <v>0.47644675925925922</v>
      </c>
      <c r="IG12" s="538">
        <v>0.47645833333333337</v>
      </c>
      <c r="IH12" s="538">
        <v>0.47645833333333337</v>
      </c>
      <c r="II12" s="538">
        <v>0.47644675925925922</v>
      </c>
      <c r="IJ12" s="538">
        <v>0.47643518518518518</v>
      </c>
      <c r="IK12" s="538">
        <v>0.47641203703703705</v>
      </c>
      <c r="IL12" s="538">
        <v>0.47637731481481477</v>
      </c>
      <c r="IM12" s="538">
        <v>0.4763425925925926</v>
      </c>
      <c r="IN12" s="538">
        <v>0.47630787037037042</v>
      </c>
      <c r="IO12" s="538">
        <v>0.47625000000000001</v>
      </c>
      <c r="IP12" s="538">
        <v>0.47620370370370368</v>
      </c>
      <c r="IQ12" s="538">
        <v>0.47613425925925923</v>
      </c>
      <c r="IR12" s="538">
        <v>0.47606481481481483</v>
      </c>
      <c r="IS12" s="538">
        <v>0.47598379629629628</v>
      </c>
      <c r="IT12" s="538">
        <v>0.47590277777777779</v>
      </c>
      <c r="IU12" s="538">
        <v>0.4758101851851852</v>
      </c>
      <c r="IV12" s="538">
        <v>0.47571759259259255</v>
      </c>
      <c r="IW12" s="538">
        <v>0.47561342592592593</v>
      </c>
      <c r="IX12" s="538">
        <v>0.47549768518518515</v>
      </c>
      <c r="IY12" s="538">
        <v>0.47538194444444448</v>
      </c>
      <c r="IZ12" s="538">
        <v>0.47525462962962961</v>
      </c>
      <c r="JA12" s="538">
        <v>0.47512731481481479</v>
      </c>
      <c r="JB12" s="538">
        <v>0.47498842592592588</v>
      </c>
      <c r="JC12" s="538">
        <v>0.47484953703703708</v>
      </c>
      <c r="JD12" s="538">
        <v>0.47469907407407402</v>
      </c>
      <c r="JE12" s="538">
        <v>0.47454861111111107</v>
      </c>
      <c r="JF12" s="538">
        <v>0.47438657407407409</v>
      </c>
      <c r="JG12" s="538">
        <v>0.47422453703703704</v>
      </c>
      <c r="JH12" s="538">
        <v>0.47405092592592596</v>
      </c>
      <c r="JI12" s="538">
        <v>0.47387731481481482</v>
      </c>
      <c r="JJ12" s="538">
        <v>0.47369212962962964</v>
      </c>
      <c r="JK12" s="538">
        <v>0.47350694444444441</v>
      </c>
      <c r="JL12" s="538">
        <v>0.47331018518518514</v>
      </c>
      <c r="JM12" s="538">
        <v>0.47311342592592592</v>
      </c>
      <c r="JN12" s="538">
        <v>0.47291666666666665</v>
      </c>
      <c r="JO12" s="538">
        <v>0.47270833333333334</v>
      </c>
      <c r="JP12" s="538">
        <v>0.47249999999999998</v>
      </c>
      <c r="JQ12" s="538">
        <v>0.47229166666666672</v>
      </c>
      <c r="JR12" s="538">
        <v>0.47207175925925932</v>
      </c>
      <c r="JS12" s="538">
        <v>0.4718518518518518</v>
      </c>
      <c r="JT12" s="538">
        <v>0.4716319444444444</v>
      </c>
      <c r="JU12" s="538">
        <v>0.47140046296296295</v>
      </c>
      <c r="JV12" s="538">
        <v>0.47118055555555555</v>
      </c>
      <c r="JW12" s="538">
        <v>0.47094907407407405</v>
      </c>
      <c r="JX12" s="538">
        <v>0.47070601851851851</v>
      </c>
      <c r="JY12" s="538">
        <v>0.47047453703703707</v>
      </c>
      <c r="JZ12" s="538">
        <v>0.47023148148148147</v>
      </c>
      <c r="KA12" s="538">
        <v>0.46998842592592593</v>
      </c>
      <c r="KB12" s="538">
        <v>0.4697453703703704</v>
      </c>
      <c r="KC12" s="538">
        <v>0.4695023148148148</v>
      </c>
      <c r="KD12" s="538">
        <v>0.46925925925925926</v>
      </c>
      <c r="KE12" s="538">
        <v>0.46901620370370373</v>
      </c>
      <c r="KF12" s="538">
        <v>0.46876157407407404</v>
      </c>
      <c r="KG12" s="538">
        <v>0.4685185185185185</v>
      </c>
      <c r="KH12" s="538">
        <v>0.46827546296296302</v>
      </c>
      <c r="KI12" s="538">
        <v>0.46802083333333333</v>
      </c>
      <c r="KJ12" s="538">
        <v>0.46777777777777779</v>
      </c>
      <c r="KK12" s="538">
        <v>0.46752314814814816</v>
      </c>
      <c r="KL12" s="538">
        <v>0.46728009259259262</v>
      </c>
      <c r="KM12" s="538">
        <v>0.46703703703703708</v>
      </c>
      <c r="KN12" s="538">
        <v>0.46679398148148149</v>
      </c>
      <c r="KO12" s="538">
        <v>0.46655092592592595</v>
      </c>
      <c r="KP12" s="538">
        <v>0.46630787037037041</v>
      </c>
      <c r="KQ12" s="538">
        <v>0.46606481481481482</v>
      </c>
      <c r="KR12" s="538">
        <v>0.46582175925925928</v>
      </c>
      <c r="KS12" s="538">
        <v>0.46559027777777778</v>
      </c>
      <c r="KT12" s="538">
        <v>0.46535879629629634</v>
      </c>
      <c r="KU12" s="538">
        <v>0.46512731481481479</v>
      </c>
      <c r="KV12" s="538">
        <v>0.46489583333333334</v>
      </c>
      <c r="KW12" s="538">
        <v>0.46467592592592594</v>
      </c>
      <c r="KX12" s="538">
        <v>0.46445601851851853</v>
      </c>
      <c r="KY12" s="538">
        <v>0.46423611111111113</v>
      </c>
      <c r="KZ12" s="538">
        <v>0.46402777777777776</v>
      </c>
      <c r="LA12" s="538">
        <v>0.46380787037037036</v>
      </c>
      <c r="LB12" s="538">
        <v>0.46361111111111114</v>
      </c>
      <c r="LC12" s="538">
        <v>0.46340277777777777</v>
      </c>
      <c r="LD12" s="538">
        <v>0.4632175925925926</v>
      </c>
      <c r="LE12" s="538">
        <v>0.46302083333333338</v>
      </c>
      <c r="LF12" s="538">
        <v>0.46283564814814815</v>
      </c>
      <c r="LG12" s="538">
        <v>0.46266203703703707</v>
      </c>
      <c r="LH12" s="538">
        <v>0.46248842592592593</v>
      </c>
      <c r="LI12" s="538">
        <v>0.46231481481481485</v>
      </c>
      <c r="LJ12" s="538">
        <v>0.4621527777777778</v>
      </c>
      <c r="LK12" s="538">
        <v>0.46200231481481485</v>
      </c>
      <c r="LL12" s="538">
        <v>0.4618518518518519</v>
      </c>
      <c r="LM12" s="538">
        <v>0.46171296296296299</v>
      </c>
      <c r="LN12" s="538">
        <v>0.46157407407407408</v>
      </c>
      <c r="LO12" s="538">
        <v>0.46144675925925926</v>
      </c>
      <c r="LP12" s="538">
        <v>0.46133101851851849</v>
      </c>
      <c r="LQ12" s="538">
        <v>0.46121527777777777</v>
      </c>
      <c r="LR12" s="538">
        <v>0.46111111111111108</v>
      </c>
      <c r="LS12" s="538">
        <v>0.46100694444444446</v>
      </c>
      <c r="LT12" s="538">
        <v>0.46092592592592596</v>
      </c>
      <c r="LU12" s="538">
        <v>0.46084490740740741</v>
      </c>
      <c r="LV12" s="538">
        <v>0.46076388888888892</v>
      </c>
      <c r="LW12" s="538">
        <v>0.4607060185185185</v>
      </c>
      <c r="LX12" s="538">
        <v>0.46064814814814814</v>
      </c>
      <c r="LY12" s="538">
        <v>0.46060185185185182</v>
      </c>
      <c r="LZ12" s="538">
        <v>0.46056712962962965</v>
      </c>
      <c r="MA12" s="538">
        <v>0.46053240740740736</v>
      </c>
      <c r="MB12" s="538">
        <v>0.46052083333333332</v>
      </c>
      <c r="MC12" s="538">
        <v>0.46050925925925923</v>
      </c>
      <c r="MD12" s="538">
        <v>0.46050925925925923</v>
      </c>
      <c r="ME12" s="538">
        <v>0.46050925925925923</v>
      </c>
      <c r="MF12" s="538">
        <v>0.46053240740740736</v>
      </c>
      <c r="MG12" s="538">
        <v>0.46055555555555555</v>
      </c>
      <c r="MH12" s="538">
        <v>0.46060185185185182</v>
      </c>
      <c r="MI12" s="538">
        <v>0.46064814814814814</v>
      </c>
      <c r="MJ12" s="538">
        <v>0.4607060185185185</v>
      </c>
      <c r="MK12" s="538">
        <v>0.46076388888888892</v>
      </c>
      <c r="ML12" s="538">
        <v>0.46084490740740741</v>
      </c>
      <c r="MM12" s="538">
        <v>0.46092592592592596</v>
      </c>
      <c r="MN12" s="538">
        <v>0.46103009259259259</v>
      </c>
      <c r="MO12" s="538">
        <v>0.46113425925925927</v>
      </c>
      <c r="MP12" s="538">
        <v>0.46124999999999999</v>
      </c>
      <c r="MQ12" s="538">
        <v>0.46137731481481481</v>
      </c>
      <c r="MR12" s="538">
        <v>0.46150462962962963</v>
      </c>
      <c r="MS12" s="538">
        <v>0.46165509259259258</v>
      </c>
      <c r="MT12" s="538">
        <v>0.46180555555555558</v>
      </c>
      <c r="MU12" s="538">
        <v>0.46196759259259257</v>
      </c>
      <c r="MV12" s="538">
        <v>0.46214120370370365</v>
      </c>
      <c r="MW12" s="538">
        <v>0.46232638888888888</v>
      </c>
      <c r="MX12" s="538">
        <v>0.46252314814814816</v>
      </c>
      <c r="MY12" s="538">
        <v>0.46271990740740737</v>
      </c>
      <c r="MZ12" s="538">
        <v>0.46292824074074074</v>
      </c>
      <c r="NA12" s="538">
        <v>0.46314814814814814</v>
      </c>
      <c r="NB12" s="538">
        <v>0.46337962962962959</v>
      </c>
      <c r="NC12" s="538">
        <v>0.46361111111111114</v>
      </c>
      <c r="ND12" s="538">
        <v>0.46385416666666668</v>
      </c>
      <c r="NE12" s="538">
        <v>0.46409722222222222</v>
      </c>
      <c r="NF12" s="538">
        <v>0.46436342592592594</v>
      </c>
      <c r="NG12" s="538">
        <v>0.46462962962962967</v>
      </c>
      <c r="NH12" s="538">
        <v>0.46489583333333334</v>
      </c>
      <c r="NI12" s="538">
        <v>0.46517361111111111</v>
      </c>
      <c r="NJ12" s="538">
        <v>0.46546296296296297</v>
      </c>
      <c r="NK12" s="538">
        <v>0.46575231481481483</v>
      </c>
      <c r="NL12" s="538">
        <v>0.46605324074074073</v>
      </c>
      <c r="NM12" s="538">
        <v>0.46635416666666668</v>
      </c>
      <c r="NN12" s="538">
        <v>0.46666666666666662</v>
      </c>
      <c r="NO12" s="538">
        <v>0.46697916666666667</v>
      </c>
      <c r="NP12" s="538">
        <v>0.46729166666666666</v>
      </c>
      <c r="NQ12" s="538">
        <v>0.46761574074074069</v>
      </c>
      <c r="NR12" s="538">
        <v>0.46793981481481484</v>
      </c>
      <c r="NS12" s="538">
        <v>0.46827546296296302</v>
      </c>
      <c r="NT12" s="538">
        <v>0.46861111111111109</v>
      </c>
      <c r="NU12" s="538">
        <v>0.46894675925925927</v>
      </c>
      <c r="NV12" s="538">
        <v>0.4692824074074074</v>
      </c>
      <c r="NW12" s="538">
        <v>0.46961805555555558</v>
      </c>
      <c r="NX12" s="538">
        <v>0.4699652777777778</v>
      </c>
      <c r="NY12" s="538">
        <v>0.47031249999999997</v>
      </c>
      <c r="NZ12" s="538">
        <v>0.47064814814814815</v>
      </c>
      <c r="OA12" s="538">
        <v>0.47099537037037037</v>
      </c>
      <c r="OB12" s="538">
        <v>0.47134259259259265</v>
      </c>
      <c r="OC12" s="538">
        <v>0.47168981481481481</v>
      </c>
      <c r="OD12" s="538">
        <v>0.47202546296296299</v>
      </c>
      <c r="OE12" s="538">
        <v>0.47237268518518521</v>
      </c>
      <c r="OF12" s="538">
        <v>0.47270833333333334</v>
      </c>
      <c r="OG12" s="538">
        <v>0.47305555555555556</v>
      </c>
      <c r="OH12" s="538">
        <v>0.47339120370370374</v>
      </c>
      <c r="OI12" s="538">
        <v>0.47372685185185182</v>
      </c>
      <c r="OJ12" s="538">
        <v>0.47405092592592596</v>
      </c>
      <c r="OK12" s="538">
        <v>0.47438657407407409</v>
      </c>
      <c r="OL12" s="538">
        <v>0.47471064814814817</v>
      </c>
      <c r="OM12" s="538">
        <v>0.47502314814814817</v>
      </c>
      <c r="ON12" s="538">
        <v>0.47533564814814816</v>
      </c>
      <c r="OO12" s="538">
        <v>0.4756481481481481</v>
      </c>
      <c r="OP12" s="538">
        <v>0.47596064814814815</v>
      </c>
      <c r="OQ12" s="538">
        <v>0.47625000000000001</v>
      </c>
      <c r="OR12" s="538">
        <v>0.47655092592592596</v>
      </c>
      <c r="OS12" s="538">
        <v>0.47684027777777777</v>
      </c>
      <c r="OT12" s="538">
        <v>0.47711805555555559</v>
      </c>
      <c r="OU12" s="538">
        <v>0.4773958333333333</v>
      </c>
      <c r="OV12" s="538">
        <v>0.47766203703703702</v>
      </c>
      <c r="OW12" s="538">
        <v>0.47792824074074075</v>
      </c>
      <c r="OX12" s="538">
        <v>0.47817129629629629</v>
      </c>
      <c r="OY12" s="538">
        <v>0.47842592592592598</v>
      </c>
      <c r="OZ12" s="538">
        <v>0.47865740740740742</v>
      </c>
      <c r="PA12" s="538">
        <v>0.47888888888888892</v>
      </c>
      <c r="PB12" s="538">
        <v>0.47910879629629632</v>
      </c>
      <c r="PC12" s="538">
        <v>0.47932870370370373</v>
      </c>
      <c r="PD12" s="538">
        <v>0.479525462962963</v>
      </c>
      <c r="PE12" s="538">
        <v>0.47972222222222222</v>
      </c>
      <c r="PF12" s="538">
        <v>0.47991898148148149</v>
      </c>
      <c r="PG12" s="538">
        <v>0.48009259259259257</v>
      </c>
      <c r="PH12" s="538">
        <v>0.48026620370370371</v>
      </c>
      <c r="PI12" s="538">
        <v>0.48042824074074075</v>
      </c>
      <c r="PJ12" s="538">
        <v>0.4805787037037037</v>
      </c>
      <c r="PK12" s="538">
        <v>0.48071759259259261</v>
      </c>
      <c r="PL12" s="538">
        <v>0.48084490740740743</v>
      </c>
      <c r="PM12" s="538">
        <v>0.48097222222222219</v>
      </c>
      <c r="PN12" s="538">
        <v>0.48108796296296297</v>
      </c>
      <c r="PO12" s="538">
        <v>0.48119212962962959</v>
      </c>
      <c r="PP12" s="538">
        <v>0.48128472222222224</v>
      </c>
      <c r="PQ12" s="538">
        <v>0.48136574074074073</v>
      </c>
      <c r="PR12" s="538">
        <v>0.48144675925925928</v>
      </c>
      <c r="PS12" s="538">
        <v>0.48151620370370374</v>
      </c>
      <c r="PT12" s="538">
        <v>0.4815740740740741</v>
      </c>
      <c r="PU12" s="538">
        <v>0.48162037037037037</v>
      </c>
      <c r="PV12" s="538">
        <v>0.48165509259259259</v>
      </c>
      <c r="PW12" s="538">
        <v>0.48168981481481482</v>
      </c>
      <c r="PX12" s="538">
        <v>0.48171296296296301</v>
      </c>
      <c r="PY12" s="538">
        <v>0.48172453703703705</v>
      </c>
      <c r="PZ12" s="538">
        <v>0.48172453703703705</v>
      </c>
      <c r="QA12" s="538">
        <v>0.48171296296296301</v>
      </c>
      <c r="QB12" s="538">
        <v>0.48170138888888886</v>
      </c>
      <c r="QC12" s="538">
        <v>0.48167824074074073</v>
      </c>
      <c r="QD12" s="538">
        <v>0.48164351851851855</v>
      </c>
      <c r="QE12" s="538">
        <v>0.48160879629629627</v>
      </c>
      <c r="QF12" s="538">
        <v>0.48156249999999995</v>
      </c>
      <c r="QG12" s="538">
        <v>0.48150462962962964</v>
      </c>
      <c r="QH12" s="538">
        <v>0.48143518518518519</v>
      </c>
      <c r="QI12" s="538">
        <v>0.48136574074074073</v>
      </c>
      <c r="QJ12" s="538">
        <v>0.48128472222222224</v>
      </c>
      <c r="QK12" s="538">
        <v>0.48120370370370374</v>
      </c>
      <c r="QL12" s="538">
        <v>0.48109953703703701</v>
      </c>
      <c r="QM12" s="538">
        <v>0.48100694444444447</v>
      </c>
      <c r="QN12" s="538">
        <v>0.4808912037037037</v>
      </c>
      <c r="QO12" s="538">
        <v>0.48077546296296297</v>
      </c>
      <c r="QP12" s="538">
        <v>0.4806597222222222</v>
      </c>
      <c r="QQ12" s="538">
        <v>0.48053240740740738</v>
      </c>
      <c r="QR12" s="538">
        <v>0.48039351851851847</v>
      </c>
      <c r="QS12" s="538">
        <v>0.48025462962962967</v>
      </c>
      <c r="QT12" s="538">
        <v>0.48011574074074076</v>
      </c>
      <c r="QU12" s="538">
        <v>0.47996527777777781</v>
      </c>
      <c r="QV12" s="538">
        <v>0.47981481481481486</v>
      </c>
      <c r="QW12" s="538">
        <v>0.47965277777777776</v>
      </c>
      <c r="QX12" s="538">
        <v>0.47949074074074072</v>
      </c>
      <c r="QY12" s="538">
        <v>0.47931712962962963</v>
      </c>
      <c r="QZ12" s="538">
        <v>0.4791435185185185</v>
      </c>
      <c r="RA12" s="538">
        <v>0.47896990740740741</v>
      </c>
      <c r="RB12" s="538">
        <v>0.47878472222222218</v>
      </c>
      <c r="RC12" s="538">
        <v>0.47859953703703706</v>
      </c>
      <c r="RD12" s="538">
        <v>0.47841435185185183</v>
      </c>
      <c r="RE12" s="538">
        <v>0.47821759259259261</v>
      </c>
      <c r="RF12" s="538">
        <v>0.47803240740740738</v>
      </c>
      <c r="RG12" s="538">
        <v>0.47783564814814811</v>
      </c>
      <c r="RH12" s="538">
        <v>0.47762731481481485</v>
      </c>
      <c r="RI12" s="538">
        <v>0.47743055555555558</v>
      </c>
      <c r="RJ12" s="538">
        <v>0.47723379629629631</v>
      </c>
      <c r="RK12" s="538">
        <v>0.47702546296296294</v>
      </c>
      <c r="RL12" s="538">
        <v>0.47681712962962958</v>
      </c>
      <c r="RM12" s="538">
        <v>0.47660879629629632</v>
      </c>
      <c r="RN12" s="538">
        <v>0.47640046296296296</v>
      </c>
      <c r="RO12" s="538">
        <v>0.47619212962962965</v>
      </c>
      <c r="RP12" s="538">
        <v>0.47598379629629628</v>
      </c>
      <c r="RQ12" s="538">
        <v>0.47577546296296297</v>
      </c>
      <c r="RR12" s="538">
        <v>0.4755671296296296</v>
      </c>
      <c r="RS12" s="538">
        <v>0.47535879629629635</v>
      </c>
      <c r="RT12" s="538">
        <v>0.47515046296296298</v>
      </c>
      <c r="RU12" s="538">
        <v>0.47494212962962962</v>
      </c>
      <c r="RV12" s="538">
        <v>0.47473379629629631</v>
      </c>
      <c r="RW12" s="538">
        <v>0.47452546296296294</v>
      </c>
      <c r="RX12" s="538">
        <v>0.47431712962962963</v>
      </c>
      <c r="RY12" s="538">
        <v>0.47412037037037041</v>
      </c>
      <c r="RZ12" s="538">
        <v>0.47391203703703705</v>
      </c>
      <c r="SA12" s="538">
        <v>0.47371527777777778</v>
      </c>
      <c r="SB12" s="538">
        <v>0.47351851851851851</v>
      </c>
      <c r="SC12" s="538">
        <v>0.47332175925925929</v>
      </c>
      <c r="SD12" s="538">
        <v>0.47312500000000002</v>
      </c>
      <c r="SE12" s="538">
        <v>0.47293981481481479</v>
      </c>
      <c r="SF12" s="538">
        <v>0.47275462962962966</v>
      </c>
      <c r="SG12" s="538">
        <v>0.47256944444444443</v>
      </c>
      <c r="SH12" s="538">
        <v>0.47238425925925925</v>
      </c>
      <c r="SI12" s="538">
        <v>0.47221064814814812</v>
      </c>
      <c r="SJ12" s="538">
        <v>0.47203703703703703</v>
      </c>
      <c r="SK12" s="538">
        <v>0.47187499999999999</v>
      </c>
      <c r="SL12" s="538">
        <v>0.47170138888888885</v>
      </c>
      <c r="SM12" s="538">
        <v>0.4715509259259259</v>
      </c>
      <c r="SN12" s="538">
        <v>0.47138888888888886</v>
      </c>
      <c r="SO12" s="538">
        <v>0.47123842592592591</v>
      </c>
      <c r="SP12" s="538">
        <v>0.47108796296296296</v>
      </c>
      <c r="SQ12" s="538">
        <v>0.47094907407407405</v>
      </c>
      <c r="SR12" s="538">
        <v>0.47081018518518519</v>
      </c>
      <c r="SS12" s="538">
        <v>0.47068287037037032</v>
      </c>
      <c r="ST12" s="538">
        <v>0.47055555555555556</v>
      </c>
      <c r="SU12" s="538">
        <v>0.47043981481481478</v>
      </c>
      <c r="SV12" s="538">
        <v>0.47032407407407412</v>
      </c>
      <c r="SW12" s="538">
        <v>0.47021990740740738</v>
      </c>
      <c r="SX12" s="538">
        <v>0.47011574074074075</v>
      </c>
      <c r="SY12" s="538">
        <v>0.47001157407407407</v>
      </c>
      <c r="SZ12" s="538">
        <v>0.46991898148148148</v>
      </c>
      <c r="TA12" s="538">
        <v>0.46983796296296299</v>
      </c>
      <c r="TB12" s="538">
        <v>0.46975694444444444</v>
      </c>
      <c r="TC12" s="538">
        <v>0.46968750000000004</v>
      </c>
      <c r="TD12" s="538">
        <v>0.46961805555555558</v>
      </c>
      <c r="TE12" s="538">
        <v>0.46956018518518516</v>
      </c>
      <c r="TF12" s="538">
        <v>0.46951388888888884</v>
      </c>
      <c r="TG12" s="538">
        <v>0.46946759259259263</v>
      </c>
      <c r="TH12" s="538">
        <v>0.46942129629629631</v>
      </c>
      <c r="TI12" s="538">
        <v>0.46938657407407408</v>
      </c>
      <c r="TJ12" s="538">
        <v>0.46936342592592589</v>
      </c>
      <c r="TK12" s="538">
        <v>0.46934027777777776</v>
      </c>
      <c r="TL12" s="538">
        <v>0.46932870370370372</v>
      </c>
      <c r="TM12" s="538">
        <v>0.46932870370370372</v>
      </c>
      <c r="TN12" s="538">
        <v>0.46932870370370372</v>
      </c>
      <c r="TO12" s="538">
        <v>0.46932870370370372</v>
      </c>
      <c r="TP12" s="538">
        <v>0.46934027777777776</v>
      </c>
      <c r="TQ12" s="538">
        <v>0.46936342592592589</v>
      </c>
      <c r="TR12" s="538">
        <v>0.46938657407407408</v>
      </c>
      <c r="TS12" s="538">
        <v>0.46942129629629631</v>
      </c>
      <c r="TT12" s="538">
        <v>0.46946759259259263</v>
      </c>
      <c r="TU12" s="538">
        <v>0.4695023148148148</v>
      </c>
      <c r="TV12" s="538">
        <v>0.46956018518518516</v>
      </c>
      <c r="TW12" s="538">
        <v>0.46961805555555558</v>
      </c>
      <c r="TX12" s="538">
        <v>0.46967592592592594</v>
      </c>
      <c r="TY12" s="538">
        <v>0.4697453703703704</v>
      </c>
      <c r="TZ12" s="538">
        <v>0.46982638888888889</v>
      </c>
      <c r="UA12" s="538">
        <v>0.46990740740740744</v>
      </c>
      <c r="UB12" s="538">
        <v>0.46998842592592593</v>
      </c>
      <c r="UC12" s="538">
        <v>0.47008101851851852</v>
      </c>
      <c r="UD12" s="538">
        <v>0.47017361111111117</v>
      </c>
      <c r="UE12" s="538">
        <v>0.47027777777777779</v>
      </c>
      <c r="UF12" s="538">
        <v>0.47038194444444442</v>
      </c>
      <c r="UG12" s="538">
        <v>0.4704976851851852</v>
      </c>
      <c r="UH12" s="538">
        <v>0.47060185185185183</v>
      </c>
      <c r="UI12" s="538">
        <v>0.47072916666666664</v>
      </c>
      <c r="UJ12" s="538">
        <v>0.47084490740740742</v>
      </c>
      <c r="UK12" s="538">
        <v>0.47097222222222218</v>
      </c>
      <c r="UL12" s="538">
        <v>0.47109953703703705</v>
      </c>
      <c r="UM12" s="538">
        <v>0.47123842592592591</v>
      </c>
      <c r="UN12" s="538">
        <v>0.47137731481481482</v>
      </c>
      <c r="UO12" s="538">
        <v>0.47151620370370373</v>
      </c>
      <c r="UP12" s="538">
        <v>0.47165509259259258</v>
      </c>
      <c r="UQ12" s="538">
        <v>0.47179398148148149</v>
      </c>
      <c r="UR12" s="538">
        <v>0.47194444444444444</v>
      </c>
      <c r="US12" s="538">
        <v>0.47209490740740739</v>
      </c>
      <c r="UT12" s="538">
        <v>0.4722337962962963</v>
      </c>
      <c r="UU12" s="538">
        <v>0.47238425925925925</v>
      </c>
      <c r="UV12" s="538">
        <v>0.4725347222222222</v>
      </c>
      <c r="UW12" s="538">
        <v>0.47269675925925925</v>
      </c>
      <c r="UX12" s="538">
        <v>0.4728472222222222</v>
      </c>
      <c r="UY12" s="538">
        <v>0.4729976851851852</v>
      </c>
      <c r="UZ12" s="538">
        <v>0.47314814814814815</v>
      </c>
      <c r="VA12" s="538">
        <v>0.4732986111111111</v>
      </c>
      <c r="VB12" s="538">
        <v>0.47344907407407405</v>
      </c>
      <c r="VC12" s="538">
        <v>0.473599537037037</v>
      </c>
      <c r="VD12" s="538">
        <v>0.47374999999999995</v>
      </c>
      <c r="VE12" s="538">
        <v>0.47390046296296301</v>
      </c>
      <c r="VF12" s="538">
        <v>0.47403935185185181</v>
      </c>
      <c r="VG12" s="538">
        <v>0.47418981481481487</v>
      </c>
      <c r="VH12" s="538">
        <v>0.47432870370370367</v>
      </c>
      <c r="VI12" s="538">
        <v>0.47446759259259258</v>
      </c>
      <c r="VJ12" s="538">
        <v>0.4745949074074074</v>
      </c>
      <c r="VK12" s="538">
        <v>0.47473379629629631</v>
      </c>
      <c r="VL12" s="538">
        <v>0.47486111111111112</v>
      </c>
      <c r="VM12" s="538">
        <v>0.47498842592592588</v>
      </c>
      <c r="VN12" s="538">
        <v>0.47510416666666666</v>
      </c>
      <c r="VO12" s="538">
        <v>0.47523148148148148</v>
      </c>
      <c r="VP12" s="538">
        <v>0.47533564814814816</v>
      </c>
      <c r="VQ12" s="538">
        <v>0.47545138888888888</v>
      </c>
      <c r="VR12" s="538">
        <v>0.47555555555555556</v>
      </c>
      <c r="VS12" s="538">
        <v>0.47565972222222225</v>
      </c>
      <c r="VT12" s="538">
        <v>0.47575231481481484</v>
      </c>
      <c r="VU12" s="538">
        <v>0.47583333333333333</v>
      </c>
      <c r="VV12" s="538">
        <v>0.47592592592592592</v>
      </c>
      <c r="VW12" s="538">
        <v>0.47599537037037037</v>
      </c>
      <c r="VX12" s="538">
        <v>0.47607638888888887</v>
      </c>
      <c r="VY12" s="538">
        <v>0.47613425925925923</v>
      </c>
      <c r="VZ12" s="538">
        <v>0.47620370370370368</v>
      </c>
      <c r="WA12" s="538">
        <v>0.47625000000000001</v>
      </c>
      <c r="WB12" s="538">
        <v>0.47630787037037042</v>
      </c>
      <c r="WC12" s="538">
        <v>0.4763425925925926</v>
      </c>
      <c r="WD12" s="538">
        <v>0.47637731481481477</v>
      </c>
      <c r="WE12" s="538">
        <v>0.47641203703703705</v>
      </c>
      <c r="WF12" s="538">
        <v>0.47643518518518518</v>
      </c>
      <c r="WG12" s="538">
        <v>0.47644675925925922</v>
      </c>
      <c r="WH12" s="538">
        <v>0.47645833333333337</v>
      </c>
      <c r="WI12" s="538">
        <v>0.47645833333333337</v>
      </c>
      <c r="WJ12" s="538">
        <v>0.47644675925925922</v>
      </c>
      <c r="WK12" s="538">
        <v>0.47643518518518518</v>
      </c>
      <c r="WL12" s="538">
        <v>0.47642361111111109</v>
      </c>
      <c r="WM12" s="538">
        <v>0.47638888888888892</v>
      </c>
      <c r="WN12" s="538">
        <v>0.47635416666666663</v>
      </c>
      <c r="WO12" s="538">
        <v>0.47631944444444446</v>
      </c>
      <c r="WP12" s="538">
        <v>0.47627314814814814</v>
      </c>
      <c r="WQ12" s="538">
        <v>0.47621527777777778</v>
      </c>
      <c r="WR12" s="538">
        <v>0.47615740740740736</v>
      </c>
      <c r="WS12" s="538">
        <v>0.47608796296296302</v>
      </c>
      <c r="WT12" s="538">
        <v>0.47600694444444441</v>
      </c>
      <c r="WU12" s="538">
        <v>0.47592592592592592</v>
      </c>
      <c r="WV12" s="538">
        <v>0.47583333333333333</v>
      </c>
      <c r="WW12" s="538">
        <v>0.47574074074074074</v>
      </c>
      <c r="WX12" s="538">
        <v>0.47563657407407406</v>
      </c>
      <c r="WY12" s="538">
        <v>0.47553240740740743</v>
      </c>
      <c r="WZ12" s="538">
        <v>0.47541666666666665</v>
      </c>
      <c r="XA12" s="538">
        <v>0.47528935185185189</v>
      </c>
      <c r="XB12" s="538">
        <v>0.47516203703703702</v>
      </c>
      <c r="XC12" s="538">
        <v>0.47502314814814817</v>
      </c>
      <c r="XD12" s="538">
        <v>0.47488425925925926</v>
      </c>
      <c r="XE12" s="538">
        <v>0.47473379629629631</v>
      </c>
      <c r="XF12" s="538">
        <v>0.47458333333333336</v>
      </c>
      <c r="XG12" s="538">
        <v>0.47443287037037035</v>
      </c>
      <c r="XH12" s="538">
        <v>0.47425925925925921</v>
      </c>
      <c r="XI12" s="538">
        <v>0.47409722222222223</v>
      </c>
      <c r="XJ12" s="538">
        <v>0.47392361111111114</v>
      </c>
      <c r="XK12" s="538">
        <v>0.47373842592592591</v>
      </c>
      <c r="XL12" s="538">
        <v>0.47355324074074073</v>
      </c>
      <c r="XM12" s="538">
        <v>0.47335648148148146</v>
      </c>
      <c r="XN12" s="538">
        <v>0.47317129629629634</v>
      </c>
      <c r="XO12" s="538">
        <v>0.47296296296296297</v>
      </c>
      <c r="XP12" s="538">
        <v>0.4727662037037037</v>
      </c>
      <c r="XQ12" s="538">
        <v>0.47255787037037034</v>
      </c>
      <c r="XR12" s="538">
        <v>0.47234953703703703</v>
      </c>
      <c r="XS12" s="538">
        <v>0.47212962962962962</v>
      </c>
      <c r="XT12" s="538">
        <v>0.47190972222222222</v>
      </c>
      <c r="XU12" s="538">
        <v>0.47168981481481481</v>
      </c>
      <c r="XV12" s="538">
        <v>0.47145833333333331</v>
      </c>
      <c r="XW12" s="538">
        <v>0.47122685185185187</v>
      </c>
      <c r="XX12" s="538">
        <v>0.47099537037037037</v>
      </c>
      <c r="XY12" s="538">
        <v>0.47076388888888893</v>
      </c>
      <c r="XZ12" s="538">
        <v>0.47053240740740737</v>
      </c>
      <c r="YA12" s="538">
        <v>0.47028935185185183</v>
      </c>
      <c r="YB12" s="538">
        <v>0.4700462962962963</v>
      </c>
      <c r="YC12" s="538">
        <v>0.4698032407407407</v>
      </c>
      <c r="YD12" s="538">
        <v>0.46956018518518516</v>
      </c>
      <c r="YE12" s="538">
        <v>0.46931712962962963</v>
      </c>
      <c r="YF12" s="538">
        <v>0.46907407407407403</v>
      </c>
      <c r="YG12" s="538">
        <v>0.46883101851851849</v>
      </c>
      <c r="YH12" s="538">
        <v>0.46857638888888892</v>
      </c>
      <c r="YI12" s="538">
        <v>0.46833333333333332</v>
      </c>
      <c r="YJ12" s="538">
        <v>0.46807870370370369</v>
      </c>
      <c r="YK12" s="538">
        <v>0.4678356481481481</v>
      </c>
      <c r="YL12" s="538">
        <v>0.46759259259259256</v>
      </c>
      <c r="YM12" s="538">
        <v>0.46733796296296298</v>
      </c>
      <c r="YN12" s="538">
        <v>0.46709490740740739</v>
      </c>
      <c r="YO12" s="538">
        <v>0.46685185185185185</v>
      </c>
      <c r="YP12" s="538">
        <v>0.46660879629629631</v>
      </c>
      <c r="YQ12" s="538">
        <v>0.46636574074074072</v>
      </c>
      <c r="YR12" s="538">
        <v>0.46612268518518518</v>
      </c>
      <c r="YS12" s="538">
        <v>0.46587962962962964</v>
      </c>
      <c r="YT12" s="538">
        <v>0.4656481481481482</v>
      </c>
      <c r="YU12" s="538">
        <v>0.46541666666666665</v>
      </c>
      <c r="YV12" s="538">
        <v>0.4651851851851852</v>
      </c>
      <c r="YW12" s="538">
        <v>0.4649537037037037</v>
      </c>
      <c r="YX12" s="538">
        <v>0.4647337962962963</v>
      </c>
      <c r="YY12" s="538">
        <v>0.4645023148148148</v>
      </c>
      <c r="YZ12" s="538">
        <v>0.46428240740740739</v>
      </c>
      <c r="ZA12" s="538">
        <v>0.46407407407407408</v>
      </c>
      <c r="ZB12" s="538">
        <v>0.46386574074074072</v>
      </c>
      <c r="ZC12" s="538">
        <v>0.46365740740740741</v>
      </c>
      <c r="ZD12" s="538">
        <v>0.46346064814814819</v>
      </c>
      <c r="ZE12" s="538">
        <v>0.46326388888888892</v>
      </c>
      <c r="ZF12" s="538">
        <v>0.46306712962962965</v>
      </c>
      <c r="ZG12" s="538">
        <v>0.46288194444444447</v>
      </c>
      <c r="ZH12" s="538">
        <v>0.46269675925925924</v>
      </c>
      <c r="ZI12" s="538">
        <v>0.46252314814814816</v>
      </c>
      <c r="ZJ12" s="538">
        <v>0.46236111111111106</v>
      </c>
      <c r="ZK12" s="538">
        <v>0.46219907407407407</v>
      </c>
      <c r="ZL12" s="538">
        <v>0.46203703703703702</v>
      </c>
      <c r="ZM12" s="538">
        <v>0.46188657407407407</v>
      </c>
      <c r="ZN12" s="538">
        <v>0.46174768518518516</v>
      </c>
      <c r="ZO12" s="538">
        <v>0.46160879629629631</v>
      </c>
      <c r="ZP12" s="538">
        <v>0.46148148148148144</v>
      </c>
      <c r="ZQ12" s="538">
        <v>0.46135416666666668</v>
      </c>
      <c r="ZR12" s="538">
        <v>0.4612384259259259</v>
      </c>
      <c r="ZS12" s="538">
        <v>0.46113425925925927</v>
      </c>
      <c r="ZT12" s="538">
        <v>0.46103009259259259</v>
      </c>
      <c r="ZU12" s="538">
        <v>0.4609375</v>
      </c>
      <c r="ZV12" s="538">
        <v>0.46085648148148151</v>
      </c>
      <c r="ZW12" s="538">
        <v>0.46078703703703705</v>
      </c>
      <c r="ZX12" s="538">
        <v>0.4607175925925926</v>
      </c>
      <c r="ZY12" s="538">
        <v>0.46065972222222223</v>
      </c>
      <c r="ZZ12" s="538">
        <v>0.46061342592592597</v>
      </c>
      <c r="AAA12" s="538">
        <v>0.46056712962962965</v>
      </c>
      <c r="AAB12" s="538">
        <v>0.46054398148148151</v>
      </c>
      <c r="AAC12" s="538">
        <v>0.46052083333333332</v>
      </c>
      <c r="AAD12" s="538">
        <v>0.46050925925925923</v>
      </c>
      <c r="AAE12" s="538">
        <v>0.46049768518518519</v>
      </c>
      <c r="AAF12" s="538">
        <v>0.46050925925925923</v>
      </c>
      <c r="AAG12" s="538">
        <v>0.46052083333333332</v>
      </c>
      <c r="AAH12" s="538">
        <v>0.46055555555555555</v>
      </c>
      <c r="AAI12" s="538">
        <v>0.46059027777777778</v>
      </c>
      <c r="AAJ12" s="538">
        <v>0.4606365740740741</v>
      </c>
      <c r="AAK12" s="538">
        <v>0.46068287037037042</v>
      </c>
      <c r="AAL12" s="538">
        <v>0.46075231481481477</v>
      </c>
      <c r="AAM12" s="538">
        <v>0.46082175925925922</v>
      </c>
      <c r="AAN12" s="538">
        <v>0.46090277777777783</v>
      </c>
      <c r="AAO12" s="538">
        <v>0.46100694444444446</v>
      </c>
      <c r="AAP12" s="538">
        <v>0.46111111111111108</v>
      </c>
      <c r="AAQ12" s="538">
        <v>0.46121527777777777</v>
      </c>
      <c r="AAR12" s="538">
        <v>0.46134259259259264</v>
      </c>
      <c r="AAS12" s="538">
        <v>0.4614699074074074</v>
      </c>
      <c r="AAT12" s="538">
        <v>0.46162037037037035</v>
      </c>
      <c r="AAU12" s="538">
        <v>0.4617708333333333</v>
      </c>
      <c r="AAV12" s="538">
        <v>0.4619328703703704</v>
      </c>
      <c r="AAW12" s="538">
        <v>0.46210648148148148</v>
      </c>
      <c r="AAX12" s="538">
        <v>0.46228009259259256</v>
      </c>
      <c r="AAY12" s="538">
        <v>0.46247685185185183</v>
      </c>
      <c r="AAZ12" s="538">
        <v>0.4626736111111111</v>
      </c>
      <c r="ABA12" s="538">
        <v>0.46288194444444447</v>
      </c>
      <c r="ABB12" s="538">
        <v>0.46309027777777773</v>
      </c>
      <c r="ABC12" s="538">
        <v>0.46332175925925928</v>
      </c>
      <c r="ABD12" s="538">
        <v>0.46355324074074072</v>
      </c>
      <c r="ABE12" s="538">
        <v>0.46378472222222222</v>
      </c>
      <c r="ABF12" s="538">
        <v>0.4640393518518518</v>
      </c>
      <c r="ABG12" s="538">
        <v>0.46429398148148149</v>
      </c>
      <c r="ABH12" s="538">
        <v>0.46456018518518521</v>
      </c>
      <c r="ABI12" s="538">
        <v>0.46482638888888889</v>
      </c>
      <c r="ABJ12" s="538">
        <v>0.46510416666666665</v>
      </c>
      <c r="ABK12" s="538">
        <v>0.46539351851851851</v>
      </c>
      <c r="ABL12" s="538">
        <v>0.46568287037037037</v>
      </c>
      <c r="ABM12" s="538">
        <v>0.46597222222222223</v>
      </c>
      <c r="ABN12" s="538">
        <v>0.46628472222222223</v>
      </c>
      <c r="ABO12" s="538">
        <v>0.46658564814814812</v>
      </c>
      <c r="ABP12" s="538">
        <v>0.46689814814814817</v>
      </c>
      <c r="ABQ12" s="538">
        <v>0.46722222222222221</v>
      </c>
      <c r="ABR12" s="538">
        <v>0.4675347222222222</v>
      </c>
      <c r="ABS12" s="538">
        <v>0.46785879629629629</v>
      </c>
      <c r="ABT12" s="538">
        <v>0.46819444444444441</v>
      </c>
      <c r="ABU12" s="538">
        <v>0.4685300925925926</v>
      </c>
      <c r="ABV12" s="538">
        <v>0.46886574074074078</v>
      </c>
      <c r="ABW12" s="538">
        <v>0.4692013888888889</v>
      </c>
      <c r="ABX12" s="538">
        <v>0.46953703703703703</v>
      </c>
      <c r="ABY12" s="538">
        <v>0.46988425925925931</v>
      </c>
      <c r="ABZ12" s="538">
        <v>0.47021990740740738</v>
      </c>
      <c r="ACA12" s="538">
        <v>0.47056712962962965</v>
      </c>
      <c r="ACB12" s="538">
        <v>0.47091435185185188</v>
      </c>
      <c r="ACC12" s="538">
        <v>0.47126157407407404</v>
      </c>
      <c r="ACD12" s="538">
        <v>0.47159722222222222</v>
      </c>
      <c r="ACE12" s="538">
        <v>0.47194444444444444</v>
      </c>
      <c r="ACF12" s="538">
        <v>0.47229166666666672</v>
      </c>
      <c r="ACG12" s="538">
        <v>0.47262731481481479</v>
      </c>
      <c r="ACH12" s="538">
        <v>0.47297453703703707</v>
      </c>
      <c r="ACI12" s="538">
        <v>0.47331018518518514</v>
      </c>
      <c r="ACJ12" s="538">
        <v>0.47364583333333332</v>
      </c>
      <c r="ACK12" s="538">
        <v>0.47396990740740735</v>
      </c>
      <c r="ACL12" s="538">
        <v>0.47430555555555554</v>
      </c>
      <c r="ACM12" s="538">
        <v>0.47462962962962968</v>
      </c>
      <c r="ACN12" s="538">
        <v>0.47494212962962962</v>
      </c>
      <c r="ACO12" s="538">
        <v>0.4752662037037037</v>
      </c>
      <c r="ACP12" s="538">
        <v>0.47557870370370375</v>
      </c>
      <c r="ACQ12" s="538">
        <v>0.47587962962962965</v>
      </c>
      <c r="ACR12" s="538">
        <v>0.47618055555555555</v>
      </c>
      <c r="ACS12" s="538">
        <v>0.47648148148148151</v>
      </c>
      <c r="ACT12" s="538">
        <v>0.47677083333333337</v>
      </c>
      <c r="ACU12" s="538">
        <v>0.47704861111111113</v>
      </c>
      <c r="ACV12" s="538">
        <v>0.47732638888888884</v>
      </c>
      <c r="ACW12" s="538">
        <v>0.47759259259259257</v>
      </c>
      <c r="ACX12" s="538">
        <v>0.4778587962962963</v>
      </c>
      <c r="ACY12" s="538">
        <v>0.47811342592592593</v>
      </c>
      <c r="ACZ12" s="538">
        <v>0.47835648148148152</v>
      </c>
      <c r="ADA12" s="538">
        <v>0.47859953703703706</v>
      </c>
      <c r="ADB12" s="538">
        <v>0.4788310185185185</v>
      </c>
      <c r="ADC12" s="538">
        <v>0.4790625</v>
      </c>
      <c r="ADD12" s="538">
        <v>0.47927083333333331</v>
      </c>
      <c r="ADE12" s="538">
        <v>0.47947916666666668</v>
      </c>
      <c r="ADF12" s="538">
        <v>0.47967592592592595</v>
      </c>
      <c r="ADG12" s="538">
        <v>0.47987268518518517</v>
      </c>
      <c r="ADH12" s="538">
        <v>0.4800462962962963</v>
      </c>
      <c r="ADI12" s="538">
        <v>0.48021990740740739</v>
      </c>
      <c r="ADJ12" s="538">
        <v>0.48038194444444443</v>
      </c>
      <c r="ADK12" s="538">
        <v>0.48053240740740738</v>
      </c>
      <c r="ADL12" s="538">
        <v>0.48068287037037033</v>
      </c>
      <c r="ADM12" s="538">
        <v>0.48082175925925924</v>
      </c>
      <c r="ADN12" s="538">
        <v>0.48093750000000002</v>
      </c>
      <c r="ADO12" s="538">
        <v>0.4810532407407408</v>
      </c>
      <c r="ADP12" s="538">
        <v>0.48116898148148146</v>
      </c>
    </row>
    <row r="13" spans="1:796">
      <c r="A13" t="s">
        <v>4277</v>
      </c>
      <c r="B13">
        <v>13</v>
      </c>
      <c r="C13" t="s">
        <v>4290</v>
      </c>
      <c r="D13">
        <v>38</v>
      </c>
      <c r="E13" s="538">
        <v>0.72608796296296296</v>
      </c>
      <c r="F13" s="538">
        <v>0.72642361111111109</v>
      </c>
      <c r="G13" s="538">
        <v>0.72677083333333325</v>
      </c>
      <c r="H13" s="538">
        <v>0.72711805555555553</v>
      </c>
      <c r="I13" s="538">
        <v>0.72746527777777781</v>
      </c>
      <c r="J13" s="538">
        <v>0.72781250000000008</v>
      </c>
      <c r="K13" s="538">
        <v>0.7281712962962964</v>
      </c>
      <c r="L13" s="538">
        <v>0.72851851851851857</v>
      </c>
      <c r="M13" s="538">
        <v>0.72887731481481488</v>
      </c>
      <c r="N13" s="538">
        <v>0.72923611111111108</v>
      </c>
      <c r="O13" s="538">
        <v>0.7295949074074074</v>
      </c>
      <c r="P13" s="538">
        <v>0.72996527777777775</v>
      </c>
      <c r="Q13" s="538">
        <v>0.73032407407407407</v>
      </c>
      <c r="R13" s="538">
        <v>0.73068287037037039</v>
      </c>
      <c r="S13" s="538">
        <v>0.7310416666666667</v>
      </c>
      <c r="T13" s="538">
        <v>0.73140046296296291</v>
      </c>
      <c r="U13" s="538">
        <v>0.73174768518518529</v>
      </c>
      <c r="V13" s="538">
        <v>0.73210648148148139</v>
      </c>
      <c r="W13" s="538">
        <v>0.73245370370370377</v>
      </c>
      <c r="X13" s="538">
        <v>0.73281249999999998</v>
      </c>
      <c r="Y13" s="538">
        <v>0.73314814814814822</v>
      </c>
      <c r="Z13" s="538">
        <v>0.73349537037037038</v>
      </c>
      <c r="AA13" s="538">
        <v>0.73383101851851851</v>
      </c>
      <c r="AB13" s="538">
        <v>0.73416666666666675</v>
      </c>
      <c r="AC13" s="538">
        <v>0.73449074074074072</v>
      </c>
      <c r="AD13" s="538">
        <v>0.73481481481481481</v>
      </c>
      <c r="AE13" s="538">
        <v>0.7351388888888889</v>
      </c>
      <c r="AF13" s="538">
        <v>0.73545138888888895</v>
      </c>
      <c r="AG13" s="538">
        <v>0.73575231481481485</v>
      </c>
      <c r="AH13" s="538">
        <v>0.73605324074074074</v>
      </c>
      <c r="AI13" s="538">
        <v>0.73635416666666664</v>
      </c>
      <c r="AJ13" s="538">
        <v>0.73663194444444446</v>
      </c>
      <c r="AK13" s="538">
        <v>0.73690972222222229</v>
      </c>
      <c r="AL13" s="538">
        <v>0.7371875</v>
      </c>
      <c r="AM13" s="538">
        <v>0.73744212962962974</v>
      </c>
      <c r="AN13" s="538">
        <v>0.73769675925925926</v>
      </c>
      <c r="AO13" s="538">
        <v>0.73793981481481474</v>
      </c>
      <c r="AP13" s="538">
        <v>0.73818287037037045</v>
      </c>
      <c r="AQ13" s="538">
        <v>0.73840277777777785</v>
      </c>
      <c r="AR13" s="538">
        <v>0.73862268518518526</v>
      </c>
      <c r="AS13" s="538">
        <v>0.73883101851851851</v>
      </c>
      <c r="AT13" s="538">
        <v>0.73902777777777784</v>
      </c>
      <c r="AU13" s="538">
        <v>0.73921296296296291</v>
      </c>
      <c r="AV13" s="538">
        <v>0.73938657407407404</v>
      </c>
      <c r="AW13" s="538">
        <v>0.73956018518518529</v>
      </c>
      <c r="AX13" s="538">
        <v>0.73971064814814813</v>
      </c>
      <c r="AY13" s="538">
        <v>0.73984953703703704</v>
      </c>
      <c r="AZ13" s="538">
        <v>0.73998842592592595</v>
      </c>
      <c r="BA13" s="538">
        <v>0.74011574074074071</v>
      </c>
      <c r="BB13" s="538">
        <v>0.74021990740740751</v>
      </c>
      <c r="BC13" s="538">
        <v>0.74032407407407408</v>
      </c>
      <c r="BD13" s="538">
        <v>0.74041666666666661</v>
      </c>
      <c r="BE13" s="538">
        <v>0.74048611111111118</v>
      </c>
      <c r="BF13" s="538">
        <v>0.74055555555555552</v>
      </c>
      <c r="BG13" s="538">
        <v>0.74061342592592594</v>
      </c>
      <c r="BH13" s="538">
        <v>0.74064814814814817</v>
      </c>
      <c r="BI13" s="538">
        <v>0.74068287037037039</v>
      </c>
      <c r="BJ13" s="538">
        <v>0.74070601851851858</v>
      </c>
      <c r="BK13" s="538">
        <v>0.74071759259259251</v>
      </c>
      <c r="BL13" s="538">
        <v>0.74070601851851858</v>
      </c>
      <c r="BM13" s="538">
        <v>0.74069444444444443</v>
      </c>
      <c r="BN13" s="538">
        <v>0.74067129629629624</v>
      </c>
      <c r="BO13" s="538">
        <v>0.74063657407407402</v>
      </c>
      <c r="BP13" s="538">
        <v>0.74059027777777775</v>
      </c>
      <c r="BQ13" s="538">
        <v>0.74053240740740733</v>
      </c>
      <c r="BR13" s="538">
        <v>0.74046296296296299</v>
      </c>
      <c r="BS13" s="538">
        <v>0.7403819444444445</v>
      </c>
      <c r="BT13" s="538">
        <v>0.74028935185185185</v>
      </c>
      <c r="BU13" s="538">
        <v>0.74018518518518517</v>
      </c>
      <c r="BV13" s="538">
        <v>0.74006944444444445</v>
      </c>
      <c r="BW13" s="538">
        <v>0.73995370370370372</v>
      </c>
      <c r="BX13" s="538">
        <v>0.73981481481481481</v>
      </c>
      <c r="BY13" s="538">
        <v>0.7396759259259259</v>
      </c>
      <c r="BZ13" s="538">
        <v>0.73952546296296295</v>
      </c>
      <c r="CA13" s="538">
        <v>0.73936342592592597</v>
      </c>
      <c r="CB13" s="538">
        <v>0.73918981481481483</v>
      </c>
      <c r="CC13" s="538">
        <v>0.73900462962962965</v>
      </c>
      <c r="CD13" s="538">
        <v>0.73881944444444436</v>
      </c>
      <c r="CE13" s="538">
        <v>0.73862268518518526</v>
      </c>
      <c r="CF13" s="538">
        <v>0.73840277777777785</v>
      </c>
      <c r="CG13" s="538">
        <v>0.73819444444444438</v>
      </c>
      <c r="CH13" s="538">
        <v>0.73796296296296304</v>
      </c>
      <c r="CI13" s="538">
        <v>0.73773148148148149</v>
      </c>
      <c r="CJ13" s="538">
        <v>0.73748842592592589</v>
      </c>
      <c r="CK13" s="538">
        <v>0.73724537037037041</v>
      </c>
      <c r="CL13" s="538">
        <v>0.73699074074074078</v>
      </c>
      <c r="CM13" s="538">
        <v>0.73672453703703711</v>
      </c>
      <c r="CN13" s="538">
        <v>0.73644675925925929</v>
      </c>
      <c r="CO13" s="538">
        <v>0.73616898148148147</v>
      </c>
      <c r="CP13" s="538">
        <v>0.73589120370370376</v>
      </c>
      <c r="CQ13" s="538">
        <v>0.73560185185185178</v>
      </c>
      <c r="CR13" s="538">
        <v>0.73530092592592589</v>
      </c>
      <c r="CS13" s="538">
        <v>0.73499999999999999</v>
      </c>
      <c r="CT13" s="538">
        <v>0.73469907407407409</v>
      </c>
      <c r="CU13" s="538">
        <v>0.73438657407407415</v>
      </c>
      <c r="CV13" s="538">
        <v>0.73406249999999995</v>
      </c>
      <c r="CW13" s="538">
        <v>0.73373842592592586</v>
      </c>
      <c r="CX13" s="538">
        <v>0.73341435185185189</v>
      </c>
      <c r="CY13" s="538">
        <v>0.73307870370370365</v>
      </c>
      <c r="CZ13" s="538">
        <v>0.73274305555555552</v>
      </c>
      <c r="DA13" s="538">
        <v>0.73240740740740751</v>
      </c>
      <c r="DB13" s="538">
        <v>0.73207175925925927</v>
      </c>
      <c r="DC13" s="538">
        <v>0.73172453703703699</v>
      </c>
      <c r="DD13" s="538">
        <v>0.73137731481481483</v>
      </c>
      <c r="DE13" s="538">
        <v>0.73101851851851851</v>
      </c>
      <c r="DF13" s="538">
        <v>0.73067129629629635</v>
      </c>
      <c r="DG13" s="538">
        <v>0.73031250000000003</v>
      </c>
      <c r="DH13" s="538">
        <v>0.72995370370370372</v>
      </c>
      <c r="DI13" s="538">
        <v>0.7295949074074074</v>
      </c>
      <c r="DJ13" s="538">
        <v>0.72923611111111108</v>
      </c>
      <c r="DK13" s="538">
        <v>0.72887731481481488</v>
      </c>
      <c r="DL13" s="538">
        <v>0.72850694444444442</v>
      </c>
      <c r="DM13" s="538">
        <v>0.7281481481481481</v>
      </c>
      <c r="DN13" s="538">
        <v>0.72777777777777775</v>
      </c>
      <c r="DO13" s="538">
        <v>0.72741898148148154</v>
      </c>
      <c r="DP13" s="538">
        <v>0.72706018518518523</v>
      </c>
      <c r="DQ13" s="538">
        <v>0.72668981481481476</v>
      </c>
      <c r="DR13" s="538">
        <v>0.72633101851851845</v>
      </c>
      <c r="DS13" s="538">
        <v>0.72597222222222213</v>
      </c>
      <c r="DT13" s="538">
        <v>0.72561342592592604</v>
      </c>
      <c r="DU13" s="538">
        <v>0.72525462962962972</v>
      </c>
      <c r="DV13" s="538">
        <v>0.72489583333333341</v>
      </c>
      <c r="DW13" s="538">
        <v>0.72453703703703709</v>
      </c>
      <c r="DX13" s="538">
        <v>0.72417824074074078</v>
      </c>
      <c r="DY13" s="538">
        <v>0.7238310185185185</v>
      </c>
      <c r="DZ13" s="538">
        <v>0.72348379629629633</v>
      </c>
      <c r="EA13" s="538">
        <v>0.72313657407407417</v>
      </c>
      <c r="EB13" s="538">
        <v>0.72280092592592593</v>
      </c>
      <c r="EC13" s="538">
        <v>0.7224652777777778</v>
      </c>
      <c r="ED13" s="538">
        <v>0.72212962962962957</v>
      </c>
      <c r="EE13" s="538">
        <v>0.72179398148148144</v>
      </c>
      <c r="EF13" s="538">
        <v>0.72146990740740735</v>
      </c>
      <c r="EG13" s="538">
        <v>0.72114583333333337</v>
      </c>
      <c r="EH13" s="538">
        <v>0.72082175925925929</v>
      </c>
      <c r="EI13" s="538">
        <v>0.72050925925925924</v>
      </c>
      <c r="EJ13" s="538">
        <v>0.72019675925925919</v>
      </c>
      <c r="EK13" s="538">
        <v>0.71989583333333329</v>
      </c>
      <c r="EL13" s="538">
        <v>0.71959490740740739</v>
      </c>
      <c r="EM13" s="538">
        <v>0.71930555555555553</v>
      </c>
      <c r="EN13" s="538">
        <v>0.71901620370370367</v>
      </c>
      <c r="EO13" s="538">
        <v>0.71873842592592585</v>
      </c>
      <c r="EP13" s="538">
        <v>0.71846064814814825</v>
      </c>
      <c r="EQ13" s="538">
        <v>0.71819444444444447</v>
      </c>
      <c r="ER13" s="538">
        <v>0.7179282407407408</v>
      </c>
      <c r="ES13" s="538">
        <v>0.71767361111111105</v>
      </c>
      <c r="ET13" s="538">
        <v>0.71743055555555557</v>
      </c>
      <c r="EU13" s="538">
        <v>0.71718749999999998</v>
      </c>
      <c r="EV13" s="538">
        <v>0.7169444444444445</v>
      </c>
      <c r="EW13" s="538">
        <v>0.71672453703703709</v>
      </c>
      <c r="EX13" s="538">
        <v>0.71650462962962969</v>
      </c>
      <c r="EY13" s="538">
        <v>0.71628472222222228</v>
      </c>
      <c r="EZ13" s="538">
        <v>0.71607638888888892</v>
      </c>
      <c r="FA13" s="538">
        <v>0.71587962962962959</v>
      </c>
      <c r="FB13" s="538">
        <v>0.71569444444444441</v>
      </c>
      <c r="FC13" s="538">
        <v>0.71550925925925923</v>
      </c>
      <c r="FD13" s="538">
        <v>0.7153356481481481</v>
      </c>
      <c r="FE13" s="538">
        <v>0.71517361111111111</v>
      </c>
      <c r="FF13" s="538">
        <v>0.71501157407407412</v>
      </c>
      <c r="FG13" s="538">
        <v>0.71486111111111106</v>
      </c>
      <c r="FH13" s="538">
        <v>0.71472222222222215</v>
      </c>
      <c r="FI13" s="538">
        <v>0.71458333333333324</v>
      </c>
      <c r="FJ13" s="538">
        <v>0.71446759259259263</v>
      </c>
      <c r="FK13" s="538">
        <v>0.7143518518518519</v>
      </c>
      <c r="FL13" s="538">
        <v>0.71423611111111107</v>
      </c>
      <c r="FM13" s="538">
        <v>0.71414351851851843</v>
      </c>
      <c r="FN13" s="538">
        <v>0.71405092592592589</v>
      </c>
      <c r="FO13" s="538">
        <v>0.7139699074074074</v>
      </c>
      <c r="FP13" s="538">
        <v>0.71390046296296295</v>
      </c>
      <c r="FQ13" s="538">
        <v>0.71383101851851849</v>
      </c>
      <c r="FR13" s="538">
        <v>0.71377314814814818</v>
      </c>
      <c r="FS13" s="538">
        <v>0.71372685185185192</v>
      </c>
      <c r="FT13" s="538">
        <v>0.71369212962962969</v>
      </c>
      <c r="FU13" s="538">
        <v>0.71365740740740735</v>
      </c>
      <c r="FV13" s="538">
        <v>0.71363425925925927</v>
      </c>
      <c r="FW13" s="538">
        <v>0.71362268518518512</v>
      </c>
      <c r="FX13" s="538">
        <v>0.71361111111111108</v>
      </c>
      <c r="FY13" s="538">
        <v>0.71362268518518512</v>
      </c>
      <c r="FZ13" s="538">
        <v>0.71363425925925927</v>
      </c>
      <c r="GA13" s="538">
        <v>0.71364583333333342</v>
      </c>
      <c r="GB13" s="538">
        <v>0.7136689814814815</v>
      </c>
      <c r="GC13" s="538">
        <v>0.71370370370370362</v>
      </c>
      <c r="GD13" s="538">
        <v>0.71375</v>
      </c>
      <c r="GE13" s="538">
        <v>0.71379629629629626</v>
      </c>
      <c r="GF13" s="538">
        <v>0.71385416666666668</v>
      </c>
      <c r="GG13" s="538">
        <v>0.71391203703703709</v>
      </c>
      <c r="GH13" s="538">
        <v>0.71398148148148144</v>
      </c>
      <c r="GI13" s="538">
        <v>0.71406249999999993</v>
      </c>
      <c r="GJ13" s="538">
        <v>0.71414351851851843</v>
      </c>
      <c r="GK13" s="538">
        <v>0.71422453703703714</v>
      </c>
      <c r="GL13" s="538">
        <v>0.71432870370370372</v>
      </c>
      <c r="GM13" s="538">
        <v>0.71442129629629625</v>
      </c>
      <c r="GN13" s="538">
        <v>0.71453703703703697</v>
      </c>
      <c r="GO13" s="538">
        <v>0.71464120370370365</v>
      </c>
      <c r="GP13" s="538">
        <v>0.71475694444444438</v>
      </c>
      <c r="GQ13" s="538">
        <v>0.71488425925925936</v>
      </c>
      <c r="GR13" s="538">
        <v>0.71501157407407412</v>
      </c>
      <c r="GS13" s="538">
        <v>0.71513888888888888</v>
      </c>
      <c r="GT13" s="538">
        <v>0.71527777777777779</v>
      </c>
      <c r="GU13" s="538">
        <v>0.7154166666666667</v>
      </c>
      <c r="GV13" s="538">
        <v>0.7155555555555555</v>
      </c>
      <c r="GW13" s="538">
        <v>0.71570601851851856</v>
      </c>
      <c r="GX13" s="538">
        <v>0.71584490740740747</v>
      </c>
      <c r="GY13" s="538">
        <v>0.71599537037037031</v>
      </c>
      <c r="GZ13" s="538">
        <v>0.71615740740740741</v>
      </c>
      <c r="HA13" s="538">
        <v>0.71630787037037036</v>
      </c>
      <c r="HB13" s="538">
        <v>0.71646990740740746</v>
      </c>
      <c r="HC13" s="538">
        <v>0.71663194444444445</v>
      </c>
      <c r="HD13" s="538">
        <v>0.71679398148148143</v>
      </c>
      <c r="HE13" s="538">
        <v>0.71695601851851853</v>
      </c>
      <c r="HF13" s="538">
        <v>0.71711805555555552</v>
      </c>
      <c r="HG13" s="538">
        <v>0.71728009259259251</v>
      </c>
      <c r="HH13" s="538">
        <v>0.71744212962962972</v>
      </c>
      <c r="HI13" s="538">
        <v>0.71761574074074075</v>
      </c>
      <c r="HJ13" s="538">
        <v>0.71777777777777774</v>
      </c>
      <c r="HK13" s="538">
        <v>0.71793981481481473</v>
      </c>
      <c r="HL13" s="538">
        <v>0.71810185185185194</v>
      </c>
      <c r="HM13" s="538">
        <v>0.71826388888888892</v>
      </c>
      <c r="HN13" s="538">
        <v>0.71842592592592591</v>
      </c>
      <c r="HO13" s="538">
        <v>0.71858796296296301</v>
      </c>
      <c r="HP13" s="538">
        <v>0.71873842592592585</v>
      </c>
      <c r="HQ13" s="538">
        <v>0.71890046296296306</v>
      </c>
      <c r="HR13" s="538">
        <v>0.7190509259259259</v>
      </c>
      <c r="HS13" s="538">
        <v>0.71920138888888896</v>
      </c>
      <c r="HT13" s="538">
        <v>0.7193518518518518</v>
      </c>
      <c r="HU13" s="538">
        <v>0.71949074074074071</v>
      </c>
      <c r="HV13" s="538">
        <v>0.71964120370370377</v>
      </c>
      <c r="HW13" s="538">
        <v>0.71976851851851853</v>
      </c>
      <c r="HX13" s="538">
        <v>0.71990740740740744</v>
      </c>
      <c r="HY13" s="538">
        <v>0.72004629629629635</v>
      </c>
      <c r="HZ13" s="538">
        <v>0.72017361111111111</v>
      </c>
      <c r="IA13" s="538">
        <v>0.72028935185185183</v>
      </c>
      <c r="IB13" s="538">
        <v>0.72041666666666659</v>
      </c>
      <c r="IC13" s="538">
        <v>0.72053240740740743</v>
      </c>
      <c r="ID13" s="538">
        <v>0.720636574074074</v>
      </c>
      <c r="IE13" s="538">
        <v>0.72075231481481483</v>
      </c>
      <c r="IF13" s="538">
        <v>0.72084490740740748</v>
      </c>
      <c r="IG13" s="538">
        <v>0.72094907407407405</v>
      </c>
      <c r="IH13" s="538">
        <v>0.72104166666666669</v>
      </c>
      <c r="II13" s="538">
        <v>0.72112268518518519</v>
      </c>
      <c r="IJ13" s="538">
        <v>0.72121527777777772</v>
      </c>
      <c r="IK13" s="538">
        <v>0.72128472222222229</v>
      </c>
      <c r="IL13" s="538">
        <v>0.72136574074074078</v>
      </c>
      <c r="IM13" s="538">
        <v>0.72142361111111108</v>
      </c>
      <c r="IN13" s="538">
        <v>0.72149305555555554</v>
      </c>
      <c r="IO13" s="538">
        <v>0.72155092592592596</v>
      </c>
      <c r="IP13" s="538">
        <v>0.72159722222222233</v>
      </c>
      <c r="IQ13" s="538">
        <v>0.72164351851851849</v>
      </c>
      <c r="IR13" s="538">
        <v>0.72168981481481476</v>
      </c>
      <c r="IS13" s="538">
        <v>0.72172453703703709</v>
      </c>
      <c r="IT13" s="538">
        <v>0.72174768518518517</v>
      </c>
      <c r="IU13" s="538">
        <v>0.72177083333333336</v>
      </c>
      <c r="IV13" s="538">
        <v>0.72179398148148144</v>
      </c>
      <c r="IW13" s="538">
        <v>0.72180555555555559</v>
      </c>
      <c r="IX13" s="538">
        <v>0.72181712962962974</v>
      </c>
      <c r="IY13" s="538">
        <v>0.72182870370370367</v>
      </c>
      <c r="IZ13" s="538">
        <v>0.72181712962962974</v>
      </c>
      <c r="JA13" s="538">
        <v>0.72181712962962974</v>
      </c>
      <c r="JB13" s="538">
        <v>0.72180555555555559</v>
      </c>
      <c r="JC13" s="538">
        <v>0.72179398148148144</v>
      </c>
      <c r="JD13" s="538">
        <v>0.72177083333333336</v>
      </c>
      <c r="JE13" s="538">
        <v>0.72174768518518517</v>
      </c>
      <c r="JF13" s="538">
        <v>0.72171296296296295</v>
      </c>
      <c r="JG13" s="538">
        <v>0.72167824074074083</v>
      </c>
      <c r="JH13" s="538">
        <v>0.72164351851851849</v>
      </c>
      <c r="JI13" s="538">
        <v>0.72159722222222233</v>
      </c>
      <c r="JJ13" s="538">
        <v>0.72155092592592596</v>
      </c>
      <c r="JK13" s="538">
        <v>0.72150462962962969</v>
      </c>
      <c r="JL13" s="538">
        <v>0.72144675925925927</v>
      </c>
      <c r="JM13" s="538">
        <v>0.72138888888888886</v>
      </c>
      <c r="JN13" s="538">
        <v>0.72133101851851855</v>
      </c>
      <c r="JO13" s="538">
        <v>0.7212615740740741</v>
      </c>
      <c r="JP13" s="538">
        <v>0.72119212962962964</v>
      </c>
      <c r="JQ13" s="538">
        <v>0.72112268518518519</v>
      </c>
      <c r="JR13" s="538">
        <v>0.72104166666666669</v>
      </c>
      <c r="JS13" s="538">
        <v>0.72097222222222224</v>
      </c>
      <c r="JT13" s="538">
        <v>0.72089120370370363</v>
      </c>
      <c r="JU13" s="538">
        <v>0.72081018518518514</v>
      </c>
      <c r="JV13" s="538">
        <v>0.72071759259259249</v>
      </c>
      <c r="JW13" s="538">
        <v>0.720636574074074</v>
      </c>
      <c r="JX13" s="538">
        <v>0.72054398148148147</v>
      </c>
      <c r="JY13" s="538">
        <v>0.72045138888888882</v>
      </c>
      <c r="JZ13" s="538">
        <v>0.7203587962962964</v>
      </c>
      <c r="KA13" s="538">
        <v>0.72026620370370376</v>
      </c>
      <c r="KB13" s="538">
        <v>0.72017361111111111</v>
      </c>
      <c r="KC13" s="538">
        <v>0.72008101851851858</v>
      </c>
      <c r="KD13" s="538">
        <v>0.71998842592592593</v>
      </c>
      <c r="KE13" s="538">
        <v>0.71988425925925925</v>
      </c>
      <c r="KF13" s="538">
        <v>0.71979166666666661</v>
      </c>
      <c r="KG13" s="538">
        <v>0.71968750000000004</v>
      </c>
      <c r="KH13" s="538">
        <v>0.71959490740740739</v>
      </c>
      <c r="KI13" s="538">
        <v>0.71950231481481486</v>
      </c>
      <c r="KJ13" s="538">
        <v>0.71939814814814806</v>
      </c>
      <c r="KK13" s="538">
        <v>0.71930555555555553</v>
      </c>
      <c r="KL13" s="538">
        <v>0.719212962962963</v>
      </c>
      <c r="KM13" s="538">
        <v>0.71912037037037047</v>
      </c>
      <c r="KN13" s="538">
        <v>0.71902777777777782</v>
      </c>
      <c r="KO13" s="538">
        <v>0.71893518518518518</v>
      </c>
      <c r="KP13" s="538">
        <v>0.71885416666666668</v>
      </c>
      <c r="KQ13" s="538">
        <v>0.71876157407407415</v>
      </c>
      <c r="KR13" s="538">
        <v>0.71868055555555566</v>
      </c>
      <c r="KS13" s="538">
        <v>0.71859953703703694</v>
      </c>
      <c r="KT13" s="538">
        <v>0.71851851851851845</v>
      </c>
      <c r="KU13" s="538">
        <v>0.71843749999999995</v>
      </c>
      <c r="KV13" s="538">
        <v>0.71836805555555561</v>
      </c>
      <c r="KW13" s="538">
        <v>0.71829861111111104</v>
      </c>
      <c r="KX13" s="538">
        <v>0.7182291666666667</v>
      </c>
      <c r="KY13" s="538">
        <v>0.71817129629629628</v>
      </c>
      <c r="KZ13" s="538">
        <v>0.71811342592592586</v>
      </c>
      <c r="LA13" s="538">
        <v>0.71805555555555556</v>
      </c>
      <c r="LB13" s="538">
        <v>0.71800925925925929</v>
      </c>
      <c r="LC13" s="538">
        <v>0.71796296296296302</v>
      </c>
      <c r="LD13" s="538">
        <v>0.71791666666666665</v>
      </c>
      <c r="LE13" s="538">
        <v>0.71788194444444453</v>
      </c>
      <c r="LF13" s="538">
        <v>0.71785879629629623</v>
      </c>
      <c r="LG13" s="538">
        <v>0.71782407407407411</v>
      </c>
      <c r="LH13" s="538">
        <v>0.71781249999999996</v>
      </c>
      <c r="LI13" s="538">
        <v>0.71778935185185189</v>
      </c>
      <c r="LJ13" s="538">
        <v>0.71778935185185189</v>
      </c>
      <c r="LK13" s="538">
        <v>0.71777777777777774</v>
      </c>
      <c r="LL13" s="538">
        <v>0.71778935185185189</v>
      </c>
      <c r="LM13" s="538">
        <v>0.71780092592592604</v>
      </c>
      <c r="LN13" s="538">
        <v>0.71781249999999996</v>
      </c>
      <c r="LO13" s="538">
        <v>0.71783564814814815</v>
      </c>
      <c r="LP13" s="538">
        <v>0.71787037037037038</v>
      </c>
      <c r="LQ13" s="538">
        <v>0.71790509259259261</v>
      </c>
      <c r="LR13" s="538">
        <v>0.71795138888888888</v>
      </c>
      <c r="LS13" s="538">
        <v>0.71799768518518514</v>
      </c>
      <c r="LT13" s="538">
        <v>0.71805555555555556</v>
      </c>
      <c r="LU13" s="538">
        <v>0.71812500000000001</v>
      </c>
      <c r="LV13" s="538">
        <v>0.71819444444444447</v>
      </c>
      <c r="LW13" s="538">
        <v>0.71827546296296296</v>
      </c>
      <c r="LX13" s="538">
        <v>0.71836805555555561</v>
      </c>
      <c r="LY13" s="538">
        <v>0.71846064814814825</v>
      </c>
      <c r="LZ13" s="538">
        <v>0.71856481481481482</v>
      </c>
      <c r="MA13" s="538">
        <v>0.71868055555555566</v>
      </c>
      <c r="MB13" s="538">
        <v>0.71879629629629627</v>
      </c>
      <c r="MC13" s="538">
        <v>0.71892361111111114</v>
      </c>
      <c r="MD13" s="538">
        <v>0.71906250000000005</v>
      </c>
      <c r="ME13" s="538">
        <v>0.719212962962963</v>
      </c>
      <c r="MF13" s="538">
        <v>0.71936342592592595</v>
      </c>
      <c r="MG13" s="538">
        <v>0.71952546296296294</v>
      </c>
      <c r="MH13" s="538">
        <v>0.71969907407407396</v>
      </c>
      <c r="MI13" s="538">
        <v>0.71987268518518521</v>
      </c>
      <c r="MJ13" s="538">
        <v>0.72005787037037028</v>
      </c>
      <c r="MK13" s="538">
        <v>0.72025462962962961</v>
      </c>
      <c r="ML13" s="538">
        <v>0.72045138888888882</v>
      </c>
      <c r="MM13" s="538">
        <v>0.7206597222222223</v>
      </c>
      <c r="MN13" s="538">
        <v>0.7208796296296297</v>
      </c>
      <c r="MO13" s="538">
        <v>0.72111111111111104</v>
      </c>
      <c r="MP13" s="538">
        <v>0.72134259259259259</v>
      </c>
      <c r="MQ13" s="538">
        <v>0.72158564814814818</v>
      </c>
      <c r="MR13" s="538">
        <v>0.72182870370370367</v>
      </c>
      <c r="MS13" s="538">
        <v>0.7220833333333333</v>
      </c>
      <c r="MT13" s="538">
        <v>0.72234953703703697</v>
      </c>
      <c r="MU13" s="538">
        <v>0.72262731481481479</v>
      </c>
      <c r="MV13" s="538">
        <v>0.72290509259259261</v>
      </c>
      <c r="MW13" s="538">
        <v>0.72318287037037043</v>
      </c>
      <c r="MX13" s="538">
        <v>0.72347222222222218</v>
      </c>
      <c r="MY13" s="538">
        <v>0.72377314814814808</v>
      </c>
      <c r="MZ13" s="538">
        <v>0.72407407407407398</v>
      </c>
      <c r="NA13" s="538">
        <v>0.72438657407407403</v>
      </c>
      <c r="NB13" s="538">
        <v>0.72469907407407408</v>
      </c>
      <c r="NC13" s="538">
        <v>0.72501157407407402</v>
      </c>
      <c r="ND13" s="538">
        <v>0.72533564814814822</v>
      </c>
      <c r="NE13" s="538">
        <v>0.72567129629629623</v>
      </c>
      <c r="NF13" s="538">
        <v>0.72600694444444447</v>
      </c>
      <c r="NG13" s="538">
        <v>0.7263425925925926</v>
      </c>
      <c r="NH13" s="538">
        <v>0.72667824074074072</v>
      </c>
      <c r="NI13" s="538">
        <v>0.727025462962963</v>
      </c>
      <c r="NJ13" s="538">
        <v>0.72737268518518527</v>
      </c>
      <c r="NK13" s="538">
        <v>0.72773148148148159</v>
      </c>
      <c r="NL13" s="538">
        <v>0.72807870370370376</v>
      </c>
      <c r="NM13" s="538">
        <v>0.72843750000000007</v>
      </c>
      <c r="NN13" s="538">
        <v>0.72879629629629628</v>
      </c>
      <c r="NO13" s="538">
        <v>0.72915509259259259</v>
      </c>
      <c r="NP13" s="538">
        <v>0.72951388888888891</v>
      </c>
      <c r="NQ13" s="538">
        <v>0.72987268518518522</v>
      </c>
      <c r="NR13" s="538">
        <v>0.73023148148148154</v>
      </c>
      <c r="NS13" s="538">
        <v>0.73059027777777785</v>
      </c>
      <c r="NT13" s="538">
        <v>0.73094907407407417</v>
      </c>
      <c r="NU13" s="538">
        <v>0.73130787037037026</v>
      </c>
      <c r="NV13" s="538">
        <v>0.73166666666666658</v>
      </c>
      <c r="NW13" s="538">
        <v>0.73201388888888896</v>
      </c>
      <c r="NX13" s="538">
        <v>0.73237268518518517</v>
      </c>
      <c r="NY13" s="538">
        <v>0.73271990740740733</v>
      </c>
      <c r="NZ13" s="538">
        <v>0.73306712962962972</v>
      </c>
      <c r="OA13" s="538">
        <v>0.73341435185185189</v>
      </c>
      <c r="OB13" s="538">
        <v>0.73375000000000001</v>
      </c>
      <c r="OC13" s="538">
        <v>0.73408564814814825</v>
      </c>
      <c r="OD13" s="538">
        <v>0.73440972222222223</v>
      </c>
      <c r="OE13" s="538">
        <v>0.73474537037037047</v>
      </c>
      <c r="OF13" s="538">
        <v>0.7350578703703704</v>
      </c>
      <c r="OG13" s="538">
        <v>0.73537037037037034</v>
      </c>
      <c r="OH13" s="538">
        <v>0.73568287037037028</v>
      </c>
      <c r="OI13" s="538">
        <v>0.7359837962962964</v>
      </c>
      <c r="OJ13" s="538">
        <v>0.73627314814814815</v>
      </c>
      <c r="OK13" s="538">
        <v>0.7365624999999999</v>
      </c>
      <c r="OL13" s="538">
        <v>0.73684027777777772</v>
      </c>
      <c r="OM13" s="538">
        <v>0.73711805555555554</v>
      </c>
      <c r="ON13" s="538">
        <v>0.73738425925925932</v>
      </c>
      <c r="OO13" s="538">
        <v>0.73763888888888884</v>
      </c>
      <c r="OP13" s="538">
        <v>0.73788194444444455</v>
      </c>
      <c r="OQ13" s="538">
        <v>0.73812500000000003</v>
      </c>
      <c r="OR13" s="538">
        <v>0.73834490740740744</v>
      </c>
      <c r="OS13" s="538">
        <v>0.73856481481481484</v>
      </c>
      <c r="OT13" s="538">
        <v>0.7387731481481481</v>
      </c>
      <c r="OU13" s="538">
        <v>0.73898148148148157</v>
      </c>
      <c r="OV13" s="538">
        <v>0.73916666666666664</v>
      </c>
      <c r="OW13" s="538">
        <v>0.73934027777777767</v>
      </c>
      <c r="OX13" s="538">
        <v>0.73951388888888892</v>
      </c>
      <c r="OY13" s="538">
        <v>0.7396759259259259</v>
      </c>
      <c r="OZ13" s="538">
        <v>0.73981481481481481</v>
      </c>
      <c r="PA13" s="538">
        <v>0.73995370370370372</v>
      </c>
      <c r="PB13" s="538">
        <v>0.7400810185185186</v>
      </c>
      <c r="PC13" s="538">
        <v>0.74019675925925921</v>
      </c>
      <c r="PD13" s="538">
        <v>0.740300925925926</v>
      </c>
      <c r="PE13" s="538">
        <v>0.74039351851851853</v>
      </c>
      <c r="PF13" s="538">
        <v>0.74047453703703703</v>
      </c>
      <c r="PG13" s="538">
        <v>0.74054398148148148</v>
      </c>
      <c r="PH13" s="538">
        <v>0.74059027777777775</v>
      </c>
      <c r="PI13" s="538">
        <v>0.74063657407407402</v>
      </c>
      <c r="PJ13" s="538">
        <v>0.74067129629629624</v>
      </c>
      <c r="PK13" s="538">
        <v>0.74069444444444443</v>
      </c>
      <c r="PL13" s="538">
        <v>0.74070601851851858</v>
      </c>
      <c r="PM13" s="538">
        <v>0.74070601851851858</v>
      </c>
      <c r="PN13" s="538">
        <v>0.74070601851851858</v>
      </c>
      <c r="PO13" s="538">
        <v>0.74068287037037039</v>
      </c>
      <c r="PP13" s="538">
        <v>0.74064814814814817</v>
      </c>
      <c r="PQ13" s="538">
        <v>0.7406018518518519</v>
      </c>
      <c r="PR13" s="538">
        <v>0.74054398148148148</v>
      </c>
      <c r="PS13" s="538">
        <v>0.74047453703703703</v>
      </c>
      <c r="PT13" s="538">
        <v>0.74039351851851853</v>
      </c>
      <c r="PU13" s="538">
        <v>0.74031249999999993</v>
      </c>
      <c r="PV13" s="538">
        <v>0.74020833333333336</v>
      </c>
      <c r="PW13" s="538">
        <v>0.74010416666666667</v>
      </c>
      <c r="PX13" s="538">
        <v>0.7399768518518518</v>
      </c>
      <c r="PY13" s="538">
        <v>0.73984953703703704</v>
      </c>
      <c r="PZ13" s="538">
        <v>0.73971064814814813</v>
      </c>
      <c r="QA13" s="538">
        <v>0.73956018518518529</v>
      </c>
      <c r="QB13" s="538">
        <v>0.73939814814814808</v>
      </c>
      <c r="QC13" s="538">
        <v>0.73922453703703705</v>
      </c>
      <c r="QD13" s="538">
        <v>0.73905092592592592</v>
      </c>
      <c r="QE13" s="538">
        <v>0.73886574074074074</v>
      </c>
      <c r="QF13" s="538">
        <v>0.73866898148148152</v>
      </c>
      <c r="QG13" s="538">
        <v>0.73846064814814805</v>
      </c>
      <c r="QH13" s="538">
        <v>0.73824074074074064</v>
      </c>
      <c r="QI13" s="538">
        <v>0.73802083333333324</v>
      </c>
      <c r="QJ13" s="538">
        <v>0.7377893518518519</v>
      </c>
      <c r="QK13" s="538">
        <v>0.73754629629629631</v>
      </c>
      <c r="QL13" s="538">
        <v>0.73730324074074083</v>
      </c>
      <c r="QM13" s="538">
        <v>0.73704861111111108</v>
      </c>
      <c r="QN13" s="538">
        <v>0.7367824074074073</v>
      </c>
      <c r="QO13" s="538">
        <v>0.73651620370370363</v>
      </c>
      <c r="QP13" s="538">
        <v>0.73623842592592592</v>
      </c>
      <c r="QQ13" s="538">
        <v>0.7359606481481481</v>
      </c>
      <c r="QR13" s="538">
        <v>0.73567129629629635</v>
      </c>
      <c r="QS13" s="538">
        <v>0.73537037037037034</v>
      </c>
      <c r="QT13" s="538">
        <v>0.73506944444444444</v>
      </c>
      <c r="QU13" s="538">
        <v>0.73476851851851854</v>
      </c>
      <c r="QV13" s="538">
        <v>0.73445601851851849</v>
      </c>
      <c r="QW13" s="538">
        <v>0.73414351851851845</v>
      </c>
      <c r="QX13" s="538">
        <v>0.73381944444444447</v>
      </c>
      <c r="QY13" s="538">
        <v>0.73349537037037038</v>
      </c>
      <c r="QZ13" s="538">
        <v>0.73315972222222225</v>
      </c>
      <c r="RA13" s="538">
        <v>0.73282407407407402</v>
      </c>
      <c r="RB13" s="538">
        <v>0.732488425925926</v>
      </c>
      <c r="RC13" s="538">
        <v>0.73215277777777776</v>
      </c>
      <c r="RD13" s="538">
        <v>0.73180555555555549</v>
      </c>
      <c r="RE13" s="538">
        <v>0.73145833333333332</v>
      </c>
      <c r="RF13" s="538">
        <v>0.73111111111111116</v>
      </c>
      <c r="RG13" s="538">
        <v>0.73075231481481484</v>
      </c>
      <c r="RH13" s="538">
        <v>0.73039351851851853</v>
      </c>
      <c r="RI13" s="538">
        <v>0.73003472222222221</v>
      </c>
      <c r="RJ13" s="538">
        <v>0.72967592592592589</v>
      </c>
      <c r="RK13" s="538">
        <v>0.72931712962962969</v>
      </c>
      <c r="RL13" s="538">
        <v>0.72895833333333337</v>
      </c>
      <c r="RM13" s="538">
        <v>0.72859953703703706</v>
      </c>
      <c r="RN13" s="538">
        <v>0.72822916666666659</v>
      </c>
      <c r="RO13" s="538">
        <v>0.72787037037037028</v>
      </c>
      <c r="RP13" s="538">
        <v>0.72751157407407396</v>
      </c>
      <c r="RQ13" s="538">
        <v>0.72714120370370372</v>
      </c>
      <c r="RR13" s="538">
        <v>0.7267824074074074</v>
      </c>
      <c r="RS13" s="538">
        <v>0.72641203703703694</v>
      </c>
      <c r="RT13" s="538">
        <v>0.72605324074074085</v>
      </c>
      <c r="RU13" s="538">
        <v>0.72569444444444453</v>
      </c>
      <c r="RV13" s="538">
        <v>0.72533564814814822</v>
      </c>
      <c r="RW13" s="538">
        <v>0.7249768518518519</v>
      </c>
      <c r="RX13" s="538">
        <v>0.72461805555555558</v>
      </c>
      <c r="RY13" s="538">
        <v>0.72427083333333331</v>
      </c>
      <c r="RZ13" s="538">
        <v>0.72391203703703699</v>
      </c>
      <c r="SA13" s="538">
        <v>0.72356481481481483</v>
      </c>
      <c r="SB13" s="538">
        <v>0.72321759259259266</v>
      </c>
      <c r="SC13" s="538">
        <v>0.72288194444444442</v>
      </c>
      <c r="SD13" s="538">
        <v>0.7225462962962963</v>
      </c>
      <c r="SE13" s="538">
        <v>0.72221064814814817</v>
      </c>
      <c r="SF13" s="538">
        <v>0.72187499999999993</v>
      </c>
      <c r="SG13" s="538">
        <v>0.72155092592592596</v>
      </c>
      <c r="SH13" s="538">
        <v>0.72122685185185187</v>
      </c>
      <c r="SI13" s="538">
        <v>0.72090277777777778</v>
      </c>
      <c r="SJ13" s="538">
        <v>0.72059027777777773</v>
      </c>
      <c r="SK13" s="538">
        <v>0.72027777777777768</v>
      </c>
      <c r="SL13" s="538">
        <v>0.71997685185185178</v>
      </c>
      <c r="SM13" s="538">
        <v>0.71967592592592589</v>
      </c>
      <c r="SN13" s="538">
        <v>0.71937499999999999</v>
      </c>
      <c r="SO13" s="538">
        <v>0.71908564814814813</v>
      </c>
      <c r="SP13" s="538">
        <v>0.71880787037037042</v>
      </c>
      <c r="SQ13" s="538">
        <v>0.7185300925925926</v>
      </c>
      <c r="SR13" s="538">
        <v>0.71826388888888892</v>
      </c>
      <c r="SS13" s="538">
        <v>0.71799768518518514</v>
      </c>
      <c r="ST13" s="538">
        <v>0.71774305555555562</v>
      </c>
      <c r="SU13" s="538">
        <v>0.71748842592592599</v>
      </c>
      <c r="SV13" s="538">
        <v>0.71724537037037039</v>
      </c>
      <c r="SW13" s="538">
        <v>0.71700231481481491</v>
      </c>
      <c r="SX13" s="538">
        <v>0.71677083333333336</v>
      </c>
      <c r="SY13" s="538">
        <v>0.71655092592592595</v>
      </c>
      <c r="SZ13" s="538">
        <v>0.7163425925925927</v>
      </c>
      <c r="TA13" s="538">
        <v>0.71613425925925922</v>
      </c>
      <c r="TB13" s="538">
        <v>0.71592592592592597</v>
      </c>
      <c r="TC13" s="538">
        <v>0.71574074074074068</v>
      </c>
      <c r="TD13" s="538">
        <v>0.7155555555555555</v>
      </c>
      <c r="TE13" s="538">
        <v>0.71538194444444436</v>
      </c>
      <c r="TF13" s="538">
        <v>0.71520833333333333</v>
      </c>
      <c r="TG13" s="538">
        <v>0.71504629629629635</v>
      </c>
      <c r="TH13" s="538">
        <v>0.71489583333333329</v>
      </c>
      <c r="TI13" s="538">
        <v>0.71475694444444438</v>
      </c>
      <c r="TJ13" s="538">
        <v>0.71461805555555558</v>
      </c>
      <c r="TK13" s="538">
        <v>0.7144907407407407</v>
      </c>
      <c r="TL13" s="538">
        <v>0.71437499999999998</v>
      </c>
      <c r="TM13" s="538">
        <v>0.7142708333333333</v>
      </c>
      <c r="TN13" s="538">
        <v>0.71416666666666673</v>
      </c>
      <c r="TO13" s="538">
        <v>0.71407407407407408</v>
      </c>
      <c r="TP13" s="538">
        <v>0.71399305555555559</v>
      </c>
      <c r="TQ13" s="538">
        <v>0.71391203703703709</v>
      </c>
      <c r="TR13" s="538">
        <v>0.71384259259259253</v>
      </c>
      <c r="TS13" s="538">
        <v>0.71378472222222211</v>
      </c>
      <c r="TT13" s="538">
        <v>0.71373842592592596</v>
      </c>
      <c r="TU13" s="538">
        <v>0.71370370370370362</v>
      </c>
      <c r="TV13" s="538">
        <v>0.7136689814814815</v>
      </c>
      <c r="TW13" s="538">
        <v>0.71364583333333342</v>
      </c>
      <c r="TX13" s="538">
        <v>0.71362268518518512</v>
      </c>
      <c r="TY13" s="538">
        <v>0.71362268518518512</v>
      </c>
      <c r="TZ13" s="538">
        <v>0.71362268518518512</v>
      </c>
      <c r="UA13" s="538">
        <v>0.71362268518518512</v>
      </c>
      <c r="UB13" s="538">
        <v>0.71364583333333342</v>
      </c>
      <c r="UC13" s="538">
        <v>0.7136689814814815</v>
      </c>
      <c r="UD13" s="538">
        <v>0.71370370370370362</v>
      </c>
      <c r="UE13" s="538">
        <v>0.71373842592592596</v>
      </c>
      <c r="UF13" s="538">
        <v>0.71378472222222211</v>
      </c>
      <c r="UG13" s="538">
        <v>0.71384259259259253</v>
      </c>
      <c r="UH13" s="538">
        <v>0.71390046296296295</v>
      </c>
      <c r="UI13" s="538">
        <v>0.7139699074074074</v>
      </c>
      <c r="UJ13" s="538">
        <v>0.71403935185185186</v>
      </c>
      <c r="UK13" s="538">
        <v>0.71412037037037035</v>
      </c>
      <c r="UL13" s="538">
        <v>0.71421296296296299</v>
      </c>
      <c r="UM13" s="538">
        <v>0.71430555555555564</v>
      </c>
      <c r="UN13" s="538">
        <v>0.71439814814814817</v>
      </c>
      <c r="UO13" s="538">
        <v>0.71450231481481474</v>
      </c>
      <c r="UP13" s="538">
        <v>0.71461805555555558</v>
      </c>
      <c r="UQ13" s="538">
        <v>0.7147337962962963</v>
      </c>
      <c r="UR13" s="538">
        <v>0.71484953703703702</v>
      </c>
      <c r="US13" s="538">
        <v>0.71497685185185178</v>
      </c>
      <c r="UT13" s="538">
        <v>0.71510416666666676</v>
      </c>
      <c r="UU13" s="538">
        <v>0.71524305555555545</v>
      </c>
      <c r="UV13" s="538">
        <v>0.71538194444444436</v>
      </c>
      <c r="UW13" s="538">
        <v>0.71552083333333327</v>
      </c>
      <c r="UX13" s="538">
        <v>0.71567129629629633</v>
      </c>
      <c r="UY13" s="538">
        <v>0.71581018518518524</v>
      </c>
      <c r="UZ13" s="538">
        <v>0.71596064814814808</v>
      </c>
      <c r="VA13" s="538">
        <v>0.71612268518518529</v>
      </c>
      <c r="VB13" s="538">
        <v>0.71627314814814813</v>
      </c>
      <c r="VC13" s="538">
        <v>0.71643518518518512</v>
      </c>
      <c r="VD13" s="538">
        <v>0.71659722222222222</v>
      </c>
      <c r="VE13" s="538">
        <v>0.71675925925925921</v>
      </c>
      <c r="VF13" s="538">
        <v>0.7169212962962962</v>
      </c>
      <c r="VG13" s="538">
        <v>0.71708333333333341</v>
      </c>
      <c r="VH13" s="538">
        <v>0.71724537037037039</v>
      </c>
      <c r="VI13" s="538">
        <v>0.71740740740740738</v>
      </c>
      <c r="VJ13" s="538">
        <v>0.71756944444444448</v>
      </c>
      <c r="VK13" s="538">
        <v>0.71773148148148147</v>
      </c>
      <c r="VL13" s="538">
        <v>0.71790509259259261</v>
      </c>
      <c r="VM13" s="538">
        <v>0.7180671296296296</v>
      </c>
      <c r="VN13" s="538">
        <v>0.7182291666666667</v>
      </c>
      <c r="VO13" s="538">
        <v>0.71839120370370368</v>
      </c>
      <c r="VP13" s="538">
        <v>0.71854166666666675</v>
      </c>
      <c r="VQ13" s="538">
        <v>0.71870370370370373</v>
      </c>
      <c r="VR13" s="538">
        <v>0.71886574074074072</v>
      </c>
      <c r="VS13" s="538">
        <v>0.71901620370370367</v>
      </c>
      <c r="VT13" s="538">
        <v>0.71916666666666673</v>
      </c>
      <c r="VU13" s="538">
        <v>0.71931712962962957</v>
      </c>
      <c r="VV13" s="538">
        <v>0.71945601851851848</v>
      </c>
      <c r="VW13" s="538">
        <v>0.71960648148148154</v>
      </c>
      <c r="VX13" s="538">
        <v>0.71974537037037034</v>
      </c>
      <c r="VY13" s="538">
        <v>0.71988425925925925</v>
      </c>
      <c r="VZ13" s="538">
        <v>0.72001157407407401</v>
      </c>
      <c r="WA13" s="538">
        <v>0.72013888888888899</v>
      </c>
      <c r="WB13" s="538">
        <v>0.72026620370370376</v>
      </c>
      <c r="WC13" s="538">
        <v>0.72038194444444448</v>
      </c>
      <c r="WD13" s="538">
        <v>0.72050925925925924</v>
      </c>
      <c r="WE13" s="538">
        <v>0.72061342592592592</v>
      </c>
      <c r="WF13" s="538">
        <v>0.72072916666666664</v>
      </c>
      <c r="WG13" s="538">
        <v>0.72082175925925929</v>
      </c>
      <c r="WH13" s="538">
        <v>0.72092592592592597</v>
      </c>
      <c r="WI13" s="538">
        <v>0.72101851851851861</v>
      </c>
      <c r="WJ13" s="538">
        <v>0.72111111111111104</v>
      </c>
      <c r="WK13" s="538">
        <v>0.72119212962962964</v>
      </c>
      <c r="WL13" s="538">
        <v>0.72127314814814814</v>
      </c>
      <c r="WM13" s="538">
        <v>0.72134259259259259</v>
      </c>
      <c r="WN13" s="538">
        <v>0.72141203703703705</v>
      </c>
      <c r="WO13" s="538">
        <v>0.7214814814814815</v>
      </c>
      <c r="WP13" s="538">
        <v>0.72153935185185192</v>
      </c>
      <c r="WQ13" s="538">
        <v>0.72158564814814818</v>
      </c>
      <c r="WR13" s="538">
        <v>0.72163194444444445</v>
      </c>
      <c r="WS13" s="538">
        <v>0.72167824074074083</v>
      </c>
      <c r="WT13" s="538">
        <v>0.72171296296296295</v>
      </c>
      <c r="WU13" s="538">
        <v>0.72174768518518517</v>
      </c>
      <c r="WV13" s="538">
        <v>0.72177083333333336</v>
      </c>
      <c r="WW13" s="538">
        <v>0.72179398148148144</v>
      </c>
      <c r="WX13" s="538">
        <v>0.72180555555555559</v>
      </c>
      <c r="WY13" s="538">
        <v>0.72181712962962974</v>
      </c>
      <c r="WZ13" s="538">
        <v>0.72182870370370367</v>
      </c>
      <c r="XA13" s="538">
        <v>0.72182870370370367</v>
      </c>
      <c r="XB13" s="538">
        <v>0.72181712962962974</v>
      </c>
      <c r="XC13" s="538">
        <v>0.72180555555555559</v>
      </c>
      <c r="XD13" s="538">
        <v>0.72179398148148144</v>
      </c>
      <c r="XE13" s="538">
        <v>0.72177083333333336</v>
      </c>
      <c r="XF13" s="538">
        <v>0.72174768518518517</v>
      </c>
      <c r="XG13" s="538">
        <v>0.72172453703703709</v>
      </c>
      <c r="XH13" s="538">
        <v>0.72168981481481476</v>
      </c>
      <c r="XI13" s="538">
        <v>0.72165509259259253</v>
      </c>
      <c r="XJ13" s="538">
        <v>0.72160879629629626</v>
      </c>
      <c r="XK13" s="538">
        <v>0.7215625</v>
      </c>
      <c r="XL13" s="538">
        <v>0.72151620370370362</v>
      </c>
      <c r="XM13" s="538">
        <v>0.72145833333333342</v>
      </c>
      <c r="XN13" s="538">
        <v>0.72140046296296301</v>
      </c>
      <c r="XO13" s="538">
        <v>0.72134259259259259</v>
      </c>
      <c r="XP13" s="538">
        <v>0.72127314814814814</v>
      </c>
      <c r="XQ13" s="538">
        <v>0.72121527777777772</v>
      </c>
      <c r="XR13" s="538">
        <v>0.72113425925925922</v>
      </c>
      <c r="XS13" s="538">
        <v>0.72106481481481488</v>
      </c>
      <c r="XT13" s="538">
        <v>0.72098379629629628</v>
      </c>
      <c r="XU13" s="538">
        <v>0.72090277777777778</v>
      </c>
      <c r="XV13" s="538">
        <v>0.72082175925925929</v>
      </c>
      <c r="XW13" s="538">
        <v>0.72074074074074079</v>
      </c>
      <c r="XX13" s="538">
        <v>0.7206597222222223</v>
      </c>
      <c r="XY13" s="538">
        <v>0.72056712962962965</v>
      </c>
      <c r="XZ13" s="538">
        <v>0.72047453703703701</v>
      </c>
      <c r="YA13" s="538">
        <v>0.72038194444444448</v>
      </c>
      <c r="YB13" s="538">
        <v>0.72028935185185183</v>
      </c>
      <c r="YC13" s="538">
        <v>0.72019675925925919</v>
      </c>
      <c r="YD13" s="538">
        <v>0.72010416666666666</v>
      </c>
      <c r="YE13" s="538">
        <v>0.72001157407407401</v>
      </c>
      <c r="YF13" s="538">
        <v>0.71990740740740744</v>
      </c>
      <c r="YG13" s="538">
        <v>0.7198148148148148</v>
      </c>
      <c r="YH13" s="538">
        <v>0.71972222222222226</v>
      </c>
      <c r="YI13" s="538">
        <v>0.71961805555555547</v>
      </c>
      <c r="YJ13" s="538">
        <v>0.71952546296296294</v>
      </c>
      <c r="YK13" s="538">
        <v>0.71942129629629636</v>
      </c>
      <c r="YL13" s="538">
        <v>0.71932870370370372</v>
      </c>
      <c r="YM13" s="538">
        <v>0.71923611111111108</v>
      </c>
      <c r="YN13" s="538">
        <v>0.71914351851851854</v>
      </c>
      <c r="YO13" s="538">
        <v>0.7190509259259259</v>
      </c>
      <c r="YP13" s="538">
        <v>0.71895833333333325</v>
      </c>
      <c r="YQ13" s="538">
        <v>0.71887731481481476</v>
      </c>
      <c r="YR13" s="538">
        <v>0.71878472222222223</v>
      </c>
      <c r="YS13" s="538">
        <v>0.71870370370370373</v>
      </c>
      <c r="YT13" s="538">
        <v>0.71862268518518524</v>
      </c>
      <c r="YU13" s="538">
        <v>0.71854166666666675</v>
      </c>
      <c r="YV13" s="538">
        <v>0.71846064814814825</v>
      </c>
      <c r="YW13" s="538">
        <v>0.71839120370370368</v>
      </c>
      <c r="YX13" s="538">
        <v>0.71832175925925934</v>
      </c>
      <c r="YY13" s="538">
        <v>0.71825231481481477</v>
      </c>
      <c r="YZ13" s="538">
        <v>0.71818287037037043</v>
      </c>
      <c r="ZA13" s="538">
        <v>0.71812500000000001</v>
      </c>
      <c r="ZB13" s="538">
        <v>0.7180671296296296</v>
      </c>
      <c r="ZC13" s="538">
        <v>0.71802083333333344</v>
      </c>
      <c r="ZD13" s="538">
        <v>0.71797453703703706</v>
      </c>
      <c r="ZE13" s="538">
        <v>0.7179282407407408</v>
      </c>
      <c r="ZF13" s="538">
        <v>0.71789351851851846</v>
      </c>
      <c r="ZG13" s="538">
        <v>0.71785879629629623</v>
      </c>
      <c r="ZH13" s="538">
        <v>0.71783564814814815</v>
      </c>
      <c r="ZI13" s="538">
        <v>0.71781249999999996</v>
      </c>
      <c r="ZJ13" s="538">
        <v>0.71780092592592604</v>
      </c>
      <c r="ZK13" s="538">
        <v>0.71778935185185189</v>
      </c>
      <c r="ZL13" s="538">
        <v>0.71777777777777774</v>
      </c>
      <c r="ZM13" s="538">
        <v>0.71778935185185189</v>
      </c>
      <c r="ZN13" s="538">
        <v>0.71778935185185189</v>
      </c>
      <c r="ZO13" s="538">
        <v>0.71781249999999996</v>
      </c>
      <c r="ZP13" s="538">
        <v>0.71782407407407411</v>
      </c>
      <c r="ZQ13" s="538">
        <v>0.71785879629629623</v>
      </c>
      <c r="ZR13" s="538">
        <v>0.71789351851851846</v>
      </c>
      <c r="ZS13" s="538">
        <v>0.7179282407407408</v>
      </c>
      <c r="ZT13" s="538">
        <v>0.7179861111111111</v>
      </c>
      <c r="ZU13" s="538">
        <v>0.71804398148148152</v>
      </c>
      <c r="ZV13" s="538">
        <v>0.71810185185185194</v>
      </c>
      <c r="ZW13" s="538">
        <v>0.71817129629629628</v>
      </c>
      <c r="ZX13" s="538">
        <v>0.71825231481481477</v>
      </c>
      <c r="ZY13" s="538">
        <v>0.71834490740740742</v>
      </c>
      <c r="ZZ13" s="538">
        <v>0.71843749999999995</v>
      </c>
      <c r="AAA13" s="538">
        <v>0.71854166666666675</v>
      </c>
      <c r="AAB13" s="538">
        <v>0.71864583333333332</v>
      </c>
      <c r="AAC13" s="538">
        <v>0.71877314814814808</v>
      </c>
      <c r="AAD13" s="538">
        <v>0.71890046296296306</v>
      </c>
      <c r="AAE13" s="538">
        <v>0.71902777777777782</v>
      </c>
      <c r="AAF13" s="538">
        <v>0.71917824074074066</v>
      </c>
      <c r="AAG13" s="538">
        <v>0.71932870370370372</v>
      </c>
      <c r="AAH13" s="538">
        <v>0.71947916666666656</v>
      </c>
      <c r="AAI13" s="538">
        <v>0.71965277777777781</v>
      </c>
      <c r="AAJ13" s="538">
        <v>0.71982638888888895</v>
      </c>
      <c r="AAK13" s="538">
        <v>0.72001157407407401</v>
      </c>
      <c r="AAL13" s="538">
        <v>0.72020833333333334</v>
      </c>
      <c r="AAM13" s="538">
        <v>0.72040509259259267</v>
      </c>
      <c r="AAN13" s="538">
        <v>0.72061342592592592</v>
      </c>
      <c r="AAO13" s="538">
        <v>0.72083333333333333</v>
      </c>
      <c r="AAP13" s="538">
        <v>0.72105324074074073</v>
      </c>
      <c r="AAQ13" s="538">
        <v>0.72128472222222229</v>
      </c>
      <c r="AAR13" s="538">
        <v>0.72152777777777777</v>
      </c>
      <c r="AAS13" s="538">
        <v>0.72177083333333336</v>
      </c>
      <c r="AAT13" s="538">
        <v>0.72202546296296299</v>
      </c>
      <c r="AAU13" s="538">
        <v>0.72229166666666667</v>
      </c>
      <c r="AAV13" s="538">
        <v>0.72255787037037045</v>
      </c>
      <c r="AAW13" s="538">
        <v>0.72283564814814805</v>
      </c>
      <c r="AAX13" s="538">
        <v>0.72311342592592587</v>
      </c>
      <c r="AAY13" s="538">
        <v>0.72340277777777784</v>
      </c>
      <c r="AAZ13" s="538">
        <v>0.72369212962962959</v>
      </c>
      <c r="ABA13" s="538">
        <v>0.72400462962962964</v>
      </c>
      <c r="ABB13" s="538">
        <v>0.72430555555555554</v>
      </c>
      <c r="ABC13" s="538">
        <v>0.72461805555555558</v>
      </c>
      <c r="ABD13" s="538">
        <v>0.72494212962962967</v>
      </c>
      <c r="ABE13" s="538">
        <v>0.72525462962962972</v>
      </c>
      <c r="ABF13" s="538">
        <v>0.72559027777777774</v>
      </c>
      <c r="ABG13" s="538">
        <v>0.72592592592592586</v>
      </c>
      <c r="ABH13" s="538">
        <v>0.7262615740740741</v>
      </c>
      <c r="ABI13" s="538">
        <v>0.72659722222222223</v>
      </c>
      <c r="ABJ13" s="538">
        <v>0.72694444444444439</v>
      </c>
      <c r="ABK13" s="538">
        <v>0.72729166666666656</v>
      </c>
      <c r="ABL13" s="538">
        <v>0.72763888888888895</v>
      </c>
      <c r="ABM13" s="538">
        <v>0.72799768518518515</v>
      </c>
      <c r="ABN13" s="538">
        <v>0.72834490740740743</v>
      </c>
      <c r="ABO13" s="538">
        <v>0.72870370370370363</v>
      </c>
      <c r="ABP13" s="538">
        <v>0.72906249999999995</v>
      </c>
      <c r="ABQ13" s="538">
        <v>0.72942129629629626</v>
      </c>
      <c r="ABR13" s="538">
        <v>0.72978009259259258</v>
      </c>
      <c r="ABS13" s="538">
        <v>0.73013888888888889</v>
      </c>
      <c r="ABT13" s="538">
        <v>0.73049768518518521</v>
      </c>
      <c r="ABU13" s="538">
        <v>0.73085648148148152</v>
      </c>
      <c r="ABV13" s="538">
        <v>0.73121527777777784</v>
      </c>
      <c r="ABW13" s="538">
        <v>0.73157407407407404</v>
      </c>
      <c r="ABX13" s="538">
        <v>0.73193287037037036</v>
      </c>
      <c r="ABY13" s="538">
        <v>0.73228009259259252</v>
      </c>
      <c r="ABZ13" s="538">
        <v>0.73263888888888884</v>
      </c>
      <c r="ACA13" s="538">
        <v>0.73298611111111101</v>
      </c>
      <c r="ACB13" s="538">
        <v>0.73332175925925924</v>
      </c>
      <c r="ACC13" s="538">
        <v>0.73366898148148152</v>
      </c>
      <c r="ACD13" s="538">
        <v>0.73400462962962953</v>
      </c>
      <c r="ACE13" s="538">
        <v>0.73432870370370373</v>
      </c>
      <c r="ACF13" s="538">
        <v>0.73466435185185175</v>
      </c>
      <c r="ACG13" s="538">
        <v>0.7349768518518518</v>
      </c>
      <c r="ACH13" s="538">
        <v>0.73530092592592589</v>
      </c>
      <c r="ACI13" s="538">
        <v>0.73560185185185178</v>
      </c>
      <c r="ACJ13" s="538">
        <v>0.73590277777777768</v>
      </c>
      <c r="ACK13" s="538">
        <v>0.7362037037037038</v>
      </c>
      <c r="ACL13" s="538">
        <v>0.73649305555555555</v>
      </c>
      <c r="ACM13" s="538">
        <v>0.73677083333333337</v>
      </c>
      <c r="ACN13" s="538">
        <v>0.73704861111111108</v>
      </c>
      <c r="ACO13" s="538">
        <v>0.73731481481481476</v>
      </c>
      <c r="ACP13" s="538">
        <v>0.7375694444444445</v>
      </c>
      <c r="ACQ13" s="538">
        <v>0.73782407407407413</v>
      </c>
      <c r="ACR13" s="538">
        <v>0.73805555555555558</v>
      </c>
      <c r="ACS13" s="538">
        <v>0.73828703703703702</v>
      </c>
      <c r="ACT13" s="538">
        <v>0.73851851851851846</v>
      </c>
      <c r="ACU13" s="538">
        <v>0.73872685185185183</v>
      </c>
      <c r="ACV13" s="538">
        <v>0.73892361111111116</v>
      </c>
      <c r="ACW13" s="538">
        <v>0.73912037037037026</v>
      </c>
      <c r="ACX13" s="538">
        <v>0.73930555555555555</v>
      </c>
      <c r="ACY13" s="538">
        <v>0.73946759259259265</v>
      </c>
      <c r="ACZ13" s="538">
        <v>0.73962962962962964</v>
      </c>
      <c r="ADA13" s="538">
        <v>0.7397800925925927</v>
      </c>
      <c r="ADB13" s="538">
        <v>0.73991898148148139</v>
      </c>
      <c r="ADC13" s="538">
        <v>0.74004629629629637</v>
      </c>
      <c r="ADD13" s="538">
        <v>0.74016203703703709</v>
      </c>
      <c r="ADE13" s="538">
        <v>0.74026620370370377</v>
      </c>
      <c r="ADF13" s="538">
        <v>0.74037037037037035</v>
      </c>
      <c r="ADG13" s="538">
        <v>0.74045138888888884</v>
      </c>
      <c r="ADH13" s="538">
        <v>0.74052083333333341</v>
      </c>
      <c r="ADI13" s="538">
        <v>0.7405787037037036</v>
      </c>
      <c r="ADJ13" s="538">
        <v>0.74062499999999998</v>
      </c>
      <c r="ADK13" s="538">
        <v>0.74067129629629624</v>
      </c>
      <c r="ADL13" s="538">
        <v>0.74069444444444443</v>
      </c>
      <c r="ADM13" s="538">
        <v>0.74070601851851858</v>
      </c>
      <c r="ADN13" s="538">
        <v>0.74070601851851858</v>
      </c>
      <c r="ADO13" s="538">
        <v>0.74070601851851858</v>
      </c>
      <c r="ADP13" s="538">
        <v>0.74068287037037039</v>
      </c>
    </row>
    <row r="14" spans="1:796">
      <c r="A14" t="s">
        <v>4282</v>
      </c>
      <c r="B14">
        <v>14</v>
      </c>
      <c r="C14" t="s">
        <v>4291</v>
      </c>
      <c r="D14">
        <v>41</v>
      </c>
      <c r="P14" s="552">
        <v>0.1875</v>
      </c>
      <c r="AO14" s="552">
        <v>0.16388888888888889</v>
      </c>
      <c r="AW14" s="552">
        <v>0.18124999999999999</v>
      </c>
      <c r="BU14" s="552">
        <v>0.22152777777777777</v>
      </c>
      <c r="CR14" s="552">
        <v>0.19097222222222221</v>
      </c>
      <c r="DO14" s="552">
        <v>0.21249999999999999</v>
      </c>
      <c r="DX14" s="552">
        <v>0.19236111111111112</v>
      </c>
      <c r="EW14" s="552">
        <v>8.4027777777777771E-2</v>
      </c>
      <c r="FV14" s="552">
        <v>0.14930555555555555</v>
      </c>
      <c r="GB14" s="552">
        <v>0.11041666666666666</v>
      </c>
      <c r="HA14" s="552">
        <v>0.14027777777777778</v>
      </c>
      <c r="HX14" s="552">
        <v>0.21458333333333335</v>
      </c>
      <c r="IF14" s="552">
        <v>0.16250000000000001</v>
      </c>
      <c r="JD14" s="552">
        <v>0.17708333333333334</v>
      </c>
      <c r="KJ14" s="552">
        <v>0.19375000000000001</v>
      </c>
      <c r="LF14" s="552">
        <v>0.13194444444444445</v>
      </c>
      <c r="ME14" s="552">
        <v>9.9999999999999992E-2</v>
      </c>
      <c r="MM14" s="552">
        <v>0.1763888888888889</v>
      </c>
      <c r="NK14" s="552">
        <v>7.6388888888888895E-2</v>
      </c>
      <c r="OK14" s="552">
        <v>0.1361111111111111</v>
      </c>
      <c r="PJ14" s="552">
        <v>0.21041666666666667</v>
      </c>
      <c r="PQ14" s="552">
        <v>0.18402777777777779</v>
      </c>
      <c r="QQ14" s="552">
        <v>0.13749999999999998</v>
      </c>
      <c r="RN14" s="552">
        <v>0.14930555555555555</v>
      </c>
      <c r="ST14" s="552">
        <v>0.16458333333333333</v>
      </c>
      <c r="TQ14" s="552">
        <v>0.12430555555555556</v>
      </c>
      <c r="UV14" s="552">
        <v>0.13194444444444445</v>
      </c>
      <c r="VU14" s="552">
        <v>0.14791666666666667</v>
      </c>
      <c r="WB14" s="552">
        <v>0.21388888888888891</v>
      </c>
      <c r="WZ14" s="552">
        <v>0.14305555555555557</v>
      </c>
      <c r="XY14" s="552">
        <v>0.15763888888888888</v>
      </c>
      <c r="ZE14" s="552">
        <v>0.1277777777777778</v>
      </c>
      <c r="AAA14" s="552">
        <v>0.19444444444444445</v>
      </c>
      <c r="AAX14" s="552">
        <v>0.18402777777777779</v>
      </c>
      <c r="ABI14" s="552">
        <v>0.18888888888888888</v>
      </c>
      <c r="ACF14" s="552">
        <v>9.5833333333333326E-2</v>
      </c>
      <c r="ADF14" s="552">
        <v>9.5138888888888884E-2</v>
      </c>
    </row>
    <row r="15" spans="1:796">
      <c r="A15" t="s">
        <v>4283</v>
      </c>
      <c r="B15">
        <v>15</v>
      </c>
      <c r="C15" t="s">
        <v>4504</v>
      </c>
      <c r="D15">
        <v>74</v>
      </c>
      <c r="P15" s="552">
        <v>0.3354166666666667</v>
      </c>
      <c r="AO15" s="552">
        <v>0.23055555555555554</v>
      </c>
      <c r="AW15" s="552">
        <v>0.25763888888888892</v>
      </c>
      <c r="BU15" s="552">
        <v>0.32013888888888892</v>
      </c>
      <c r="CR15" s="552">
        <v>0.28402777777777777</v>
      </c>
      <c r="DO15" s="552">
        <v>0.22569444444444445</v>
      </c>
      <c r="DX15" s="552">
        <v>0.28333333333333333</v>
      </c>
      <c r="EW15" s="552">
        <v>0.23680555555555557</v>
      </c>
      <c r="FV15" s="552">
        <v>0.26111111111111113</v>
      </c>
      <c r="GB15" s="552">
        <v>0.23333333333333331</v>
      </c>
      <c r="HA15" s="552">
        <v>0.2986111111111111</v>
      </c>
      <c r="HX15" s="552">
        <v>0.25416666666666665</v>
      </c>
      <c r="IF15" s="552">
        <v>0.28263888888888888</v>
      </c>
      <c r="JD15" s="552">
        <v>0.28402777777777777</v>
      </c>
      <c r="KJ15" s="552">
        <v>0.25972222222222224</v>
      </c>
      <c r="LF15" s="552">
        <v>0.24166666666666667</v>
      </c>
      <c r="ME15" s="552">
        <v>0.22083333333333333</v>
      </c>
      <c r="MM15" s="552">
        <v>0.20972222222222223</v>
      </c>
      <c r="NK15" s="552">
        <v>0.22083333333333333</v>
      </c>
      <c r="OK15" s="552">
        <v>0.29166666666666669</v>
      </c>
      <c r="PJ15" s="552">
        <v>0.28125</v>
      </c>
      <c r="PQ15" s="552">
        <v>0.30208333333333331</v>
      </c>
      <c r="QQ15" s="552">
        <v>0.25763888888888892</v>
      </c>
      <c r="RN15" s="552">
        <v>0.22430555555555556</v>
      </c>
      <c r="ST15" s="552">
        <v>0.24166666666666667</v>
      </c>
      <c r="TQ15" s="552">
        <v>0.25</v>
      </c>
      <c r="UV15" s="552">
        <v>0.26250000000000001</v>
      </c>
      <c r="VU15" s="552">
        <v>0.29583333333333334</v>
      </c>
      <c r="WB15" s="552">
        <v>0.25555555555555559</v>
      </c>
      <c r="WZ15" s="552">
        <v>0.29097222222222224</v>
      </c>
      <c r="XY15" s="552">
        <v>0.27291666666666664</v>
      </c>
      <c r="ZE15" s="552">
        <v>0.23194444444444443</v>
      </c>
      <c r="AAA15" s="552">
        <v>0.27430555555555552</v>
      </c>
      <c r="AAX15" s="552">
        <v>0.23472222222222219</v>
      </c>
      <c r="ABI15" s="552">
        <v>0.23055555555555554</v>
      </c>
      <c r="ACF15" s="552">
        <v>0.22152777777777777</v>
      </c>
      <c r="ADF15" s="552">
        <v>0.24305555555555555</v>
      </c>
    </row>
    <row r="16" spans="1:796">
      <c r="A16" t="s">
        <v>4289</v>
      </c>
      <c r="B16">
        <v>16</v>
      </c>
      <c r="C16" t="s">
        <v>26</v>
      </c>
      <c r="D16">
        <v>1</v>
      </c>
      <c r="O16" s="552">
        <v>0.20486111111111113</v>
      </c>
      <c r="AC16" s="552">
        <v>0.20972222222222223</v>
      </c>
      <c r="AR16" s="552">
        <v>0.21458333333333335</v>
      </c>
      <c r="BG16" s="552">
        <v>0.21944444444444444</v>
      </c>
      <c r="BV16" s="552">
        <v>0.22291666666666665</v>
      </c>
      <c r="CK16" s="552">
        <v>0.22430555555555556</v>
      </c>
      <c r="CY16" s="552">
        <v>0.22500000000000001</v>
      </c>
      <c r="DO16" s="552">
        <v>0.22430555555555556</v>
      </c>
      <c r="EB16" s="552">
        <v>0.26944444444444443</v>
      </c>
      <c r="ER16" s="552">
        <v>0.22291666666666665</v>
      </c>
      <c r="FF16" s="552">
        <v>0.22361111111111109</v>
      </c>
      <c r="FV16" s="552">
        <v>0.22500000000000001</v>
      </c>
      <c r="GI16" s="552">
        <v>0.32291666666666669</v>
      </c>
      <c r="GY16" s="552">
        <v>0.2298611111111111</v>
      </c>
      <c r="HM16" s="552">
        <v>0.23194444444444443</v>
      </c>
      <c r="IB16" s="552">
        <v>0.23194444444444443</v>
      </c>
      <c r="IQ16" s="552">
        <v>0.23055555555555554</v>
      </c>
      <c r="JF16" s="552">
        <v>0.22638888888888889</v>
      </c>
      <c r="JT16" s="552">
        <v>0.31458333333333333</v>
      </c>
      <c r="KI16" s="552">
        <v>0.21597222222222223</v>
      </c>
      <c r="KX16" s="552">
        <v>0.21041666666666667</v>
      </c>
      <c r="LL16" s="552">
        <v>0.20555555555555557</v>
      </c>
      <c r="MB16" s="552">
        <v>0.20208333333333331</v>
      </c>
      <c r="MP16" s="552">
        <v>0.20069444444444443</v>
      </c>
      <c r="NE16" s="552">
        <v>0.26666666666666666</v>
      </c>
      <c r="NS16" s="552">
        <v>0.20555555555555557</v>
      </c>
      <c r="OI16" s="552">
        <v>0.21111111111111111</v>
      </c>
      <c r="OW16" s="552">
        <v>0.21597222222222223</v>
      </c>
      <c r="PL16" s="552">
        <v>0.22083333333333333</v>
      </c>
      <c r="QA16" s="552">
        <v>0.22361111111111109</v>
      </c>
      <c r="QP16" s="552">
        <v>0.22500000000000001</v>
      </c>
      <c r="RE16" s="552">
        <v>0.22430555555555556</v>
      </c>
      <c r="RS16" s="552">
        <v>0.22361111111111109</v>
      </c>
      <c r="SH16" s="552">
        <v>0.24861111111111112</v>
      </c>
      <c r="SV16" s="552">
        <v>0.27361111111111108</v>
      </c>
      <c r="TL16" s="552">
        <v>0.22361111111111109</v>
      </c>
      <c r="TZ16" s="552">
        <v>0.22569444444444445</v>
      </c>
      <c r="UP16" s="552">
        <v>0.22847222222222222</v>
      </c>
      <c r="VC16" s="552">
        <v>0.23055555555555554</v>
      </c>
      <c r="VS16" s="552">
        <v>0.23194444444444443</v>
      </c>
      <c r="WG16" s="552">
        <v>0.23194444444444443</v>
      </c>
      <c r="WV16" s="552">
        <v>0.2298611111111111</v>
      </c>
      <c r="XJ16" s="552">
        <v>0.24374999999999999</v>
      </c>
      <c r="XZ16" s="552">
        <v>0.22013888888888888</v>
      </c>
      <c r="YN16" s="552">
        <v>0.21458333333333335</v>
      </c>
      <c r="ZC16" s="552">
        <v>0.20902777777777778</v>
      </c>
      <c r="ZR16" s="552">
        <v>0.20416666666666669</v>
      </c>
      <c r="AAF16" s="552">
        <v>0.20138888888888887</v>
      </c>
      <c r="AAV16" s="552">
        <v>0.20069444444444443</v>
      </c>
      <c r="ABJ16" s="552">
        <v>0.20277777777777781</v>
      </c>
      <c r="ABY16" s="552">
        <v>0.20694444444444446</v>
      </c>
      <c r="ACM16" s="552">
        <v>0.21180555555555555</v>
      </c>
      <c r="ADC16" s="552">
        <v>0.21805555555555556</v>
      </c>
    </row>
    <row r="17" spans="1:796">
      <c r="A17" t="s">
        <v>4288</v>
      </c>
      <c r="B17">
        <v>17</v>
      </c>
      <c r="C17" t="s">
        <v>27</v>
      </c>
      <c r="D17">
        <v>3</v>
      </c>
      <c r="O17" s="552">
        <v>0.3354166666666667</v>
      </c>
      <c r="AC17" s="552">
        <v>0.3840277777777778</v>
      </c>
      <c r="AR17" s="552">
        <v>0.38958333333333334</v>
      </c>
      <c r="BG17" s="552">
        <v>0.39305555555555555</v>
      </c>
      <c r="BV17" s="552">
        <v>0.39513888888888887</v>
      </c>
      <c r="CK17" s="552">
        <v>0.39513888888888887</v>
      </c>
      <c r="CY17" s="552">
        <v>0.39444444444444443</v>
      </c>
      <c r="DO17" s="552">
        <v>0.39166666666666666</v>
      </c>
      <c r="EB17" s="552">
        <v>0.38958333333333334</v>
      </c>
      <c r="ER17" s="552">
        <v>0.38819444444444445</v>
      </c>
      <c r="FF17" s="552">
        <v>0.38750000000000001</v>
      </c>
      <c r="FV17" s="552">
        <v>0.38819444444444445</v>
      </c>
      <c r="GI17" s="552">
        <v>0.38958333333333334</v>
      </c>
      <c r="GY17" s="552">
        <v>0.39166666666666666</v>
      </c>
      <c r="HM17" s="552">
        <v>0.39374999999999999</v>
      </c>
      <c r="IB17" s="552">
        <v>0.39444444444444443</v>
      </c>
      <c r="IQ17" s="552">
        <v>0.39374999999999999</v>
      </c>
      <c r="JF17" s="552">
        <v>0.39166666666666666</v>
      </c>
      <c r="JT17" s="552">
        <v>0.38819444444444445</v>
      </c>
      <c r="KI17" s="552">
        <v>0.25972222222222224</v>
      </c>
      <c r="KX17" s="552">
        <v>0.37986111111111115</v>
      </c>
      <c r="LL17" s="552">
        <v>0.37638888888888888</v>
      </c>
      <c r="MB17" s="552">
        <v>0.3743055555555555</v>
      </c>
      <c r="MP17" s="552">
        <v>0.3743055555555555</v>
      </c>
      <c r="NE17" s="552">
        <v>0.37638888888888888</v>
      </c>
      <c r="NS17" s="552">
        <v>0.38055555555555554</v>
      </c>
      <c r="OI17" s="552">
        <v>0.38611111111111113</v>
      </c>
      <c r="OW17" s="552">
        <v>0.39027777777777778</v>
      </c>
      <c r="PL17" s="552">
        <v>0.39374999999999999</v>
      </c>
      <c r="QA17" s="552">
        <v>0.39513888888888887</v>
      </c>
      <c r="QP17" s="552">
        <v>0.25763888888888892</v>
      </c>
      <c r="RE17" s="552">
        <v>0.30416666666666664</v>
      </c>
      <c r="RS17" s="552">
        <v>0.39166666666666666</v>
      </c>
      <c r="SH17" s="552">
        <v>0.3888888888888889</v>
      </c>
      <c r="SV17" s="552">
        <v>0.38750000000000001</v>
      </c>
      <c r="TL17" s="552">
        <v>0.38750000000000001</v>
      </c>
      <c r="TZ17" s="552">
        <v>0.3833333333333333</v>
      </c>
      <c r="UP17" s="552">
        <v>0.39027777777777778</v>
      </c>
      <c r="VC17" s="552">
        <v>0.3923611111111111</v>
      </c>
      <c r="VS17" s="552">
        <v>0.39444444444444443</v>
      </c>
      <c r="WG17" s="552">
        <v>0.39444444444444443</v>
      </c>
      <c r="WV17" s="552">
        <v>0.39374999999999999</v>
      </c>
      <c r="XJ17" s="552">
        <v>0.39097222222222222</v>
      </c>
      <c r="XZ17" s="552">
        <v>0.38680555555555557</v>
      </c>
      <c r="YN17" s="552">
        <v>0.38263888888888892</v>
      </c>
      <c r="ZC17" s="552">
        <v>0.34166666666666662</v>
      </c>
      <c r="ZR17" s="552">
        <v>0.375</v>
      </c>
      <c r="AAF17" s="552">
        <v>0.37361111111111112</v>
      </c>
      <c r="AAV17" s="552">
        <v>0.25833333333333336</v>
      </c>
      <c r="ABJ17" s="552">
        <v>0.37777777777777777</v>
      </c>
      <c r="ABY17" s="552">
        <v>0.38194444444444442</v>
      </c>
      <c r="ACM17" s="552">
        <v>0.38680555555555557</v>
      </c>
      <c r="ADC17" s="552">
        <v>0.39166666666666666</v>
      </c>
    </row>
    <row r="18" spans="1:796">
      <c r="A18" t="s">
        <v>4287</v>
      </c>
      <c r="B18">
        <v>18</v>
      </c>
      <c r="C18" t="s">
        <v>4575</v>
      </c>
      <c r="D18">
        <v>73</v>
      </c>
    </row>
    <row r="19" spans="1:796">
      <c r="A19" t="s">
        <v>4281</v>
      </c>
      <c r="B19">
        <v>19</v>
      </c>
      <c r="C19" t="s">
        <v>4325</v>
      </c>
      <c r="D19">
        <v>5</v>
      </c>
      <c r="T19" s="538">
        <v>0.51153935185185184</v>
      </c>
      <c r="AW19" s="538">
        <v>0.9584259259259259</v>
      </c>
      <c r="CA19" s="538">
        <v>0.49855324074074076</v>
      </c>
      <c r="DD19" s="538">
        <v>0.36831018518518516</v>
      </c>
      <c r="EI19" s="538">
        <v>0.72206018518518522</v>
      </c>
      <c r="FN19" s="538">
        <v>0.59168981481481475</v>
      </c>
      <c r="GS19" s="538">
        <v>0.86693287037037037</v>
      </c>
      <c r="HX19" s="538">
        <v>0.31965277777777779</v>
      </c>
      <c r="JD19" s="538">
        <v>0.67027777777777775</v>
      </c>
      <c r="KI19" s="538">
        <v>0.66849537037037043</v>
      </c>
      <c r="LM19" s="538">
        <v>0.16700231481481484</v>
      </c>
      <c r="MQ19" s="538">
        <v>0.15771990740740741</v>
      </c>
      <c r="NU19" s="538">
        <v>0.76837962962962969</v>
      </c>
      <c r="OX19" s="538">
        <v>0.21493055555555554</v>
      </c>
      <c r="QB19" s="538">
        <v>0.75535879629629632</v>
      </c>
      <c r="RF19" s="538">
        <v>0.62400462962962966</v>
      </c>
      <c r="SJ19" s="538">
        <v>0.97766203703703702</v>
      </c>
      <c r="TO19" s="538">
        <v>0.84718749999999998</v>
      </c>
      <c r="UT19" s="538">
        <v>0.12202546296296296</v>
      </c>
      <c r="VZ19" s="538">
        <v>0.57508101851851856</v>
      </c>
      <c r="XE19" s="538">
        <v>0.92575231481481479</v>
      </c>
      <c r="YJ19" s="538">
        <v>0.92407407407407405</v>
      </c>
      <c r="ZN19" s="538">
        <v>0.42268518518518516</v>
      </c>
      <c r="AAR19" s="538">
        <v>0.41348379629629628</v>
      </c>
      <c r="ABV19" s="538">
        <v>2.3865740740740743E-2</v>
      </c>
      <c r="ACY19" s="538">
        <v>0.47076388888888893</v>
      </c>
    </row>
    <row r="20" spans="1:796">
      <c r="A20" t="s">
        <v>4279</v>
      </c>
      <c r="B20">
        <v>20</v>
      </c>
      <c r="C20" t="s">
        <v>4273</v>
      </c>
      <c r="D20">
        <v>9</v>
      </c>
      <c r="LO20" s="538">
        <v>0.26081018518518517</v>
      </c>
      <c r="LP20" s="538">
        <v>0.23067129629629632</v>
      </c>
      <c r="AAI20" s="538">
        <v>0.26605324074074072</v>
      </c>
      <c r="AAJ20" s="538">
        <v>0.23269675925925926</v>
      </c>
    </row>
    <row r="21" spans="1:796">
      <c r="A21" t="s">
        <v>4278</v>
      </c>
      <c r="B21">
        <v>21</v>
      </c>
      <c r="C21" t="s">
        <v>4349</v>
      </c>
      <c r="D21">
        <v>94</v>
      </c>
      <c r="LO21" s="538">
        <v>0.78533564814814805</v>
      </c>
      <c r="LP21" s="538">
        <v>0.75206018518518514</v>
      </c>
      <c r="AAI21" s="538">
        <v>0.79697916666666668</v>
      </c>
      <c r="AAJ21" s="538">
        <v>0.76076388888888891</v>
      </c>
    </row>
    <row r="22" spans="1:796">
      <c r="A22" t="s">
        <v>4573</v>
      </c>
      <c r="B22">
        <v>22</v>
      </c>
      <c r="C22" t="s">
        <v>4348</v>
      </c>
      <c r="D22">
        <v>93</v>
      </c>
      <c r="E22">
        <v>40.5</v>
      </c>
      <c r="F22">
        <v>31.5</v>
      </c>
      <c r="G22">
        <v>23.4</v>
      </c>
      <c r="H22">
        <v>16.600000000000001</v>
      </c>
      <c r="I22">
        <v>11.3</v>
      </c>
      <c r="J22">
        <v>8</v>
      </c>
      <c r="K22">
        <v>7.1</v>
      </c>
      <c r="L22">
        <v>9.1</v>
      </c>
      <c r="M22">
        <v>14.2</v>
      </c>
      <c r="N22">
        <v>22.4</v>
      </c>
      <c r="O22">
        <v>33.5</v>
      </c>
      <c r="P22">
        <v>46.7</v>
      </c>
      <c r="Q22">
        <v>60.8</v>
      </c>
      <c r="R22">
        <v>74.5</v>
      </c>
      <c r="S22">
        <v>86.5</v>
      </c>
      <c r="T22">
        <v>95.6</v>
      </c>
      <c r="U22">
        <v>1.3</v>
      </c>
      <c r="V22">
        <v>3.3</v>
      </c>
      <c r="W22">
        <v>1.7</v>
      </c>
      <c r="X22">
        <v>97</v>
      </c>
      <c r="Y22">
        <v>89.7</v>
      </c>
      <c r="Z22">
        <v>80.5</v>
      </c>
      <c r="AA22">
        <v>70.099999999999994</v>
      </c>
      <c r="AB22">
        <v>59</v>
      </c>
      <c r="AC22">
        <v>47.8</v>
      </c>
      <c r="AD22">
        <v>36.799999999999997</v>
      </c>
      <c r="AE22">
        <v>26.6</v>
      </c>
      <c r="AF22">
        <v>17.100000000000001</v>
      </c>
      <c r="AG22">
        <v>8.6999999999999993</v>
      </c>
      <c r="AH22">
        <v>1.4</v>
      </c>
      <c r="AI22">
        <v>95.2</v>
      </c>
      <c r="AJ22">
        <v>90.3</v>
      </c>
      <c r="AK22">
        <v>86.8</v>
      </c>
      <c r="AL22">
        <v>84.8</v>
      </c>
      <c r="AM22">
        <v>84.7</v>
      </c>
      <c r="AN22">
        <v>86.5</v>
      </c>
      <c r="AO22">
        <v>90.7</v>
      </c>
      <c r="AP22">
        <v>97</v>
      </c>
      <c r="AQ22">
        <v>5.5</v>
      </c>
      <c r="AR22">
        <v>15.5</v>
      </c>
      <c r="AS22">
        <v>26.5</v>
      </c>
      <c r="AT22">
        <v>37.5</v>
      </c>
      <c r="AU22">
        <v>47.3</v>
      </c>
      <c r="AV22">
        <v>55.2</v>
      </c>
      <c r="AW22">
        <v>60.4</v>
      </c>
      <c r="AX22">
        <v>62.5</v>
      </c>
      <c r="AY22">
        <v>61.4</v>
      </c>
      <c r="AZ22">
        <v>57.3</v>
      </c>
      <c r="BA22">
        <v>50.7</v>
      </c>
      <c r="BB22">
        <v>42</v>
      </c>
      <c r="BC22">
        <v>31.9</v>
      </c>
      <c r="BD22">
        <v>21.1</v>
      </c>
      <c r="BE22">
        <v>10</v>
      </c>
      <c r="BF22">
        <v>99.3</v>
      </c>
      <c r="BG22">
        <v>89.5</v>
      </c>
      <c r="BH22">
        <v>80.8</v>
      </c>
      <c r="BI22">
        <v>73.599999999999994</v>
      </c>
      <c r="BJ22">
        <v>68</v>
      </c>
      <c r="BK22">
        <v>64.099999999999994</v>
      </c>
      <c r="BL22">
        <v>61.9</v>
      </c>
      <c r="BM22">
        <v>61.2</v>
      </c>
      <c r="BN22">
        <v>62.1</v>
      </c>
      <c r="BO22">
        <v>64.400000000000006</v>
      </c>
      <c r="BP22">
        <v>67.900000000000006</v>
      </c>
      <c r="BQ22">
        <v>72.7</v>
      </c>
      <c r="BR22">
        <v>78.599999999999994</v>
      </c>
      <c r="BS22">
        <v>85.3</v>
      </c>
      <c r="BT22">
        <v>92.6</v>
      </c>
      <c r="BU22">
        <v>0.1</v>
      </c>
      <c r="BV22">
        <v>7.2</v>
      </c>
      <c r="BW22">
        <v>13.4</v>
      </c>
      <c r="BX22">
        <v>18.2</v>
      </c>
      <c r="BY22">
        <v>21</v>
      </c>
      <c r="BZ22">
        <v>21.6</v>
      </c>
      <c r="CA22">
        <v>19.7</v>
      </c>
      <c r="CB22">
        <v>15.5</v>
      </c>
      <c r="CC22">
        <v>9</v>
      </c>
      <c r="CD22">
        <v>0.7</v>
      </c>
      <c r="CE22">
        <v>91</v>
      </c>
      <c r="CF22">
        <v>80.3</v>
      </c>
      <c r="CG22">
        <v>69.400000000000006</v>
      </c>
      <c r="CH22">
        <v>58.8</v>
      </c>
      <c r="CI22">
        <v>49</v>
      </c>
      <c r="CJ22">
        <v>40.6</v>
      </c>
      <c r="CK22">
        <v>34.1</v>
      </c>
      <c r="CL22">
        <v>29.7</v>
      </c>
      <c r="CM22">
        <v>27.6</v>
      </c>
      <c r="CN22">
        <v>27.9</v>
      </c>
      <c r="CO22">
        <v>30.4</v>
      </c>
      <c r="CP22">
        <v>34.700000000000003</v>
      </c>
      <c r="CQ22">
        <v>40.5</v>
      </c>
      <c r="CR22">
        <v>47.3</v>
      </c>
      <c r="CS22">
        <v>54.5</v>
      </c>
      <c r="CT22">
        <v>61.7</v>
      </c>
      <c r="CU22">
        <v>68.400000000000006</v>
      </c>
      <c r="CV22">
        <v>74.400000000000006</v>
      </c>
      <c r="CW22">
        <v>79.5</v>
      </c>
      <c r="CX22">
        <v>83.4</v>
      </c>
      <c r="CY22">
        <v>85.9</v>
      </c>
      <c r="CZ22">
        <v>87.1</v>
      </c>
      <c r="DA22">
        <v>86.7</v>
      </c>
      <c r="DB22">
        <v>84.7</v>
      </c>
      <c r="DC22">
        <v>80.900000000000006</v>
      </c>
      <c r="DD22">
        <v>75.400000000000006</v>
      </c>
      <c r="DE22">
        <v>68.3</v>
      </c>
      <c r="DF22">
        <v>59.7</v>
      </c>
      <c r="DG22">
        <v>49.9</v>
      </c>
      <c r="DH22">
        <v>39.299999999999997</v>
      </c>
      <c r="DI22">
        <v>28.4</v>
      </c>
      <c r="DJ22">
        <v>17.600000000000001</v>
      </c>
      <c r="DK22">
        <v>7.7</v>
      </c>
      <c r="DL22">
        <v>99.1</v>
      </c>
      <c r="DM22">
        <v>92.5</v>
      </c>
      <c r="DN22">
        <v>88.3</v>
      </c>
      <c r="DO22">
        <v>87</v>
      </c>
      <c r="DP22">
        <v>88.8</v>
      </c>
      <c r="DQ22">
        <v>93.5</v>
      </c>
      <c r="DR22">
        <v>0.8</v>
      </c>
      <c r="DS22">
        <v>10.199999999999999</v>
      </c>
      <c r="DT22">
        <v>20.6</v>
      </c>
      <c r="DU22">
        <v>31.1</v>
      </c>
      <c r="DV22">
        <v>40.9</v>
      </c>
      <c r="DW22">
        <v>49.3</v>
      </c>
      <c r="DX22">
        <v>55.7</v>
      </c>
      <c r="DY22">
        <v>60</v>
      </c>
      <c r="DZ22">
        <v>62.2</v>
      </c>
      <c r="EA22">
        <v>62.3</v>
      </c>
      <c r="EB22">
        <v>60.7</v>
      </c>
      <c r="EC22">
        <v>57.4</v>
      </c>
      <c r="ED22">
        <v>52.7</v>
      </c>
      <c r="EE22">
        <v>46.6</v>
      </c>
      <c r="EF22">
        <v>39.4</v>
      </c>
      <c r="EG22">
        <v>31</v>
      </c>
      <c r="EH22">
        <v>21.7</v>
      </c>
      <c r="EI22">
        <v>11.5</v>
      </c>
      <c r="EJ22">
        <v>0.7</v>
      </c>
      <c r="EK22">
        <v>89.6</v>
      </c>
      <c r="EL22">
        <v>78.8</v>
      </c>
      <c r="EM22">
        <v>68.599999999999994</v>
      </c>
      <c r="EN22">
        <v>59.6</v>
      </c>
      <c r="EO22">
        <v>52.6</v>
      </c>
      <c r="EP22">
        <v>48.1</v>
      </c>
      <c r="EQ22">
        <v>46.5</v>
      </c>
      <c r="ER22">
        <v>48.5</v>
      </c>
      <c r="ES22">
        <v>53.9</v>
      </c>
      <c r="ET22">
        <v>62.8</v>
      </c>
      <c r="EU22">
        <v>74.2</v>
      </c>
      <c r="EV22">
        <v>87.4</v>
      </c>
      <c r="EW22">
        <v>0.9</v>
      </c>
      <c r="EX22">
        <v>13.5</v>
      </c>
      <c r="EY22">
        <v>24.2</v>
      </c>
      <c r="EZ22">
        <v>32.200000000000003</v>
      </c>
      <c r="FA22">
        <v>37.200000000000003</v>
      </c>
      <c r="FB22">
        <v>39.200000000000003</v>
      </c>
      <c r="FC22">
        <v>38.5</v>
      </c>
      <c r="FD22">
        <v>35.4</v>
      </c>
      <c r="FE22">
        <v>30.3</v>
      </c>
      <c r="FF22">
        <v>23.7</v>
      </c>
      <c r="FG22">
        <v>15.8</v>
      </c>
      <c r="FH22">
        <v>7</v>
      </c>
      <c r="FI22">
        <v>97.3</v>
      </c>
      <c r="FJ22">
        <v>87.1</v>
      </c>
      <c r="FK22">
        <v>76.400000000000006</v>
      </c>
      <c r="FL22">
        <v>65.5</v>
      </c>
      <c r="FM22">
        <v>54.5</v>
      </c>
      <c r="FN22">
        <v>43.7</v>
      </c>
      <c r="FO22">
        <v>33.6</v>
      </c>
      <c r="FP22">
        <v>24.6</v>
      </c>
      <c r="FQ22">
        <v>17.3</v>
      </c>
      <c r="FR22">
        <v>12.4</v>
      </c>
      <c r="FS22">
        <v>10.3</v>
      </c>
      <c r="FT22">
        <v>11.6</v>
      </c>
      <c r="FU22">
        <v>16.600000000000001</v>
      </c>
      <c r="FV22">
        <v>25.2</v>
      </c>
      <c r="FW22">
        <v>36.9</v>
      </c>
      <c r="FX22">
        <v>50.9</v>
      </c>
      <c r="FY22">
        <v>65.7</v>
      </c>
      <c r="FZ22">
        <v>80.099999999999994</v>
      </c>
      <c r="GA22">
        <v>92.6</v>
      </c>
      <c r="GB22">
        <v>2.2999999999999998</v>
      </c>
      <c r="GC22">
        <v>8.6</v>
      </c>
      <c r="GD22">
        <v>11.4</v>
      </c>
      <c r="GE22">
        <v>11</v>
      </c>
      <c r="GF22">
        <v>7.6</v>
      </c>
      <c r="GG22">
        <v>2</v>
      </c>
      <c r="GH22">
        <v>94.4</v>
      </c>
      <c r="GI22">
        <v>85.5</v>
      </c>
      <c r="GJ22">
        <v>75.7</v>
      </c>
      <c r="GK22">
        <v>65.2</v>
      </c>
      <c r="GL22">
        <v>54.4</v>
      </c>
      <c r="GM22">
        <v>43.5</v>
      </c>
      <c r="GN22">
        <v>32.6</v>
      </c>
      <c r="GO22">
        <v>22</v>
      </c>
      <c r="GP22">
        <v>11.8</v>
      </c>
      <c r="GQ22">
        <v>2.2999999999999998</v>
      </c>
      <c r="GR22">
        <v>94</v>
      </c>
      <c r="GS22">
        <v>87.2</v>
      </c>
      <c r="GT22">
        <v>82.4</v>
      </c>
      <c r="GU22">
        <v>80.099999999999994</v>
      </c>
      <c r="GV22">
        <v>80.8</v>
      </c>
      <c r="GW22">
        <v>84.8</v>
      </c>
      <c r="GX22">
        <v>92.2</v>
      </c>
      <c r="GY22">
        <v>2.6</v>
      </c>
      <c r="GZ22">
        <v>15.4</v>
      </c>
      <c r="HA22">
        <v>29.6</v>
      </c>
      <c r="HB22">
        <v>43.7</v>
      </c>
      <c r="HC22">
        <v>56.4</v>
      </c>
      <c r="HD22">
        <v>66.8</v>
      </c>
      <c r="HE22">
        <v>74</v>
      </c>
      <c r="HF22">
        <v>77.8</v>
      </c>
      <c r="HG22">
        <v>78.099999999999994</v>
      </c>
      <c r="HH22">
        <v>75.3</v>
      </c>
      <c r="HI22">
        <v>69.8</v>
      </c>
      <c r="HJ22">
        <v>62.2</v>
      </c>
      <c r="HK22">
        <v>53</v>
      </c>
      <c r="HL22">
        <v>42.8</v>
      </c>
      <c r="HM22">
        <v>31.9</v>
      </c>
      <c r="HN22">
        <v>20.9</v>
      </c>
      <c r="HO22">
        <v>10.1</v>
      </c>
      <c r="HP22">
        <v>99.6</v>
      </c>
      <c r="HQ22">
        <v>89.7</v>
      </c>
      <c r="HR22">
        <v>80.599999999999994</v>
      </c>
      <c r="HS22">
        <v>72.5</v>
      </c>
      <c r="HT22">
        <v>65.7</v>
      </c>
      <c r="HU22">
        <v>60.3</v>
      </c>
      <c r="HV22">
        <v>56.7</v>
      </c>
      <c r="HW22">
        <v>55.2</v>
      </c>
      <c r="HX22">
        <v>56</v>
      </c>
      <c r="HY22">
        <v>59.5</v>
      </c>
      <c r="HZ22">
        <v>65.5</v>
      </c>
      <c r="IA22">
        <v>74</v>
      </c>
      <c r="IB22">
        <v>84.4</v>
      </c>
      <c r="IC22">
        <v>96.1</v>
      </c>
      <c r="ID22">
        <v>8.1</v>
      </c>
      <c r="IE22">
        <v>19.2</v>
      </c>
      <c r="IF22">
        <v>28.6</v>
      </c>
      <c r="IG22">
        <v>35.5</v>
      </c>
      <c r="IH22">
        <v>39.4</v>
      </c>
      <c r="II22">
        <v>40.1</v>
      </c>
      <c r="IJ22">
        <v>37.799999999999997</v>
      </c>
      <c r="IK22">
        <v>32.799999999999997</v>
      </c>
      <c r="IL22">
        <v>25.5</v>
      </c>
      <c r="IM22">
        <v>16.5</v>
      </c>
      <c r="IN22">
        <v>6.3</v>
      </c>
      <c r="IO22">
        <v>95.4</v>
      </c>
      <c r="IP22">
        <v>84.4</v>
      </c>
      <c r="IQ22">
        <v>73.8</v>
      </c>
      <c r="IR22">
        <v>63.8</v>
      </c>
      <c r="IS22">
        <v>54.9</v>
      </c>
      <c r="IT22">
        <v>47.3</v>
      </c>
      <c r="IU22">
        <v>41.1</v>
      </c>
      <c r="IV22">
        <v>36.4</v>
      </c>
      <c r="IW22">
        <v>33.5</v>
      </c>
      <c r="IX22">
        <v>32.200000000000003</v>
      </c>
      <c r="IY22">
        <v>32.6</v>
      </c>
      <c r="IZ22">
        <v>34.799999999999997</v>
      </c>
      <c r="JA22">
        <v>38.700000000000003</v>
      </c>
      <c r="JB22">
        <v>44.2</v>
      </c>
      <c r="JC22">
        <v>51.1</v>
      </c>
      <c r="JD22">
        <v>59.1</v>
      </c>
      <c r="JE22">
        <v>67.7</v>
      </c>
      <c r="JF22">
        <v>76.400000000000006</v>
      </c>
      <c r="JG22">
        <v>84.6</v>
      </c>
      <c r="JH22">
        <v>91.4</v>
      </c>
      <c r="JI22">
        <v>96.5</v>
      </c>
      <c r="JJ22">
        <v>99.3</v>
      </c>
      <c r="JK22">
        <v>99.5</v>
      </c>
      <c r="JL22">
        <v>97.2</v>
      </c>
      <c r="JM22">
        <v>92.3</v>
      </c>
      <c r="JN22">
        <v>85.2</v>
      </c>
      <c r="JO22">
        <v>76.3</v>
      </c>
      <c r="JP22">
        <v>66.2</v>
      </c>
      <c r="JQ22">
        <v>55.3</v>
      </c>
      <c r="JR22">
        <v>44.4</v>
      </c>
      <c r="JS22">
        <v>33.799999999999997</v>
      </c>
      <c r="JT22">
        <v>24.3</v>
      </c>
      <c r="JU22">
        <v>16.2</v>
      </c>
      <c r="JV22">
        <v>9.9</v>
      </c>
      <c r="JW22">
        <v>5.6</v>
      </c>
      <c r="JX22">
        <v>3.5</v>
      </c>
      <c r="JY22">
        <v>3.4</v>
      </c>
      <c r="JZ22">
        <v>5.4</v>
      </c>
      <c r="KA22">
        <v>8.9</v>
      </c>
      <c r="KB22">
        <v>13.7</v>
      </c>
      <c r="KC22">
        <v>19.399999999999999</v>
      </c>
      <c r="KD22">
        <v>25.7</v>
      </c>
      <c r="KE22">
        <v>32.200000000000003</v>
      </c>
      <c r="KF22">
        <v>38.6</v>
      </c>
      <c r="KG22">
        <v>44.6</v>
      </c>
      <c r="KH22">
        <v>50.1</v>
      </c>
      <c r="KI22">
        <v>54.8</v>
      </c>
      <c r="KJ22">
        <v>58.4</v>
      </c>
      <c r="KK22">
        <v>60.6</v>
      </c>
      <c r="KL22">
        <v>61.2</v>
      </c>
      <c r="KM22">
        <v>59.8</v>
      </c>
      <c r="KN22">
        <v>56.4</v>
      </c>
      <c r="KO22">
        <v>51</v>
      </c>
      <c r="KP22">
        <v>43.6</v>
      </c>
      <c r="KQ22">
        <v>34.6</v>
      </c>
      <c r="KR22">
        <v>24.4</v>
      </c>
      <c r="KS22">
        <v>13.4</v>
      </c>
      <c r="KT22">
        <v>2.2999999999999998</v>
      </c>
      <c r="KU22">
        <v>91.7</v>
      </c>
      <c r="KV22">
        <v>82.1</v>
      </c>
      <c r="KW22">
        <v>74.2</v>
      </c>
      <c r="KX22">
        <v>68.599999999999994</v>
      </c>
      <c r="KY22">
        <v>65.599999999999994</v>
      </c>
      <c r="KZ22">
        <v>65.5</v>
      </c>
      <c r="LA22">
        <v>68.2</v>
      </c>
      <c r="LB22">
        <v>73.3</v>
      </c>
      <c r="LC22">
        <v>80.400000000000006</v>
      </c>
      <c r="LD22">
        <v>88.7</v>
      </c>
      <c r="LE22">
        <v>97.5</v>
      </c>
      <c r="LF22">
        <v>6</v>
      </c>
      <c r="LG22">
        <v>13.5</v>
      </c>
      <c r="LH22">
        <v>19.8</v>
      </c>
      <c r="LI22">
        <v>24.7</v>
      </c>
      <c r="LJ22">
        <v>28.1</v>
      </c>
      <c r="LK22">
        <v>30</v>
      </c>
      <c r="LL22">
        <v>30.5</v>
      </c>
      <c r="LM22">
        <v>29.7</v>
      </c>
      <c r="LN22">
        <v>27.5</v>
      </c>
      <c r="LO22">
        <v>23.8</v>
      </c>
      <c r="LP22">
        <v>18.7</v>
      </c>
      <c r="LQ22">
        <v>12</v>
      </c>
      <c r="LR22">
        <v>3.8</v>
      </c>
      <c r="LS22">
        <v>94.3</v>
      </c>
      <c r="LT22">
        <v>83.8</v>
      </c>
      <c r="LU22">
        <v>72.5</v>
      </c>
      <c r="LV22">
        <v>61.1</v>
      </c>
      <c r="LW22">
        <v>50.1</v>
      </c>
      <c r="LX22">
        <v>40.200000000000003</v>
      </c>
      <c r="LY22">
        <v>32</v>
      </c>
      <c r="LZ22">
        <v>26.2</v>
      </c>
      <c r="MA22">
        <v>23.5</v>
      </c>
      <c r="MB22">
        <v>24</v>
      </c>
      <c r="MC22">
        <v>28.1</v>
      </c>
      <c r="MD22">
        <v>35.4</v>
      </c>
      <c r="ME22">
        <v>45.4</v>
      </c>
      <c r="MF22">
        <v>57</v>
      </c>
      <c r="MG22">
        <v>69.2</v>
      </c>
      <c r="MH22">
        <v>80.7</v>
      </c>
      <c r="MI22">
        <v>90.7</v>
      </c>
      <c r="MJ22">
        <v>98.5</v>
      </c>
      <c r="MK22">
        <v>3.9</v>
      </c>
      <c r="ML22">
        <v>6.8</v>
      </c>
      <c r="MM22">
        <v>7.4</v>
      </c>
      <c r="MN22">
        <v>6</v>
      </c>
      <c r="MO22">
        <v>2.8</v>
      </c>
      <c r="MP22">
        <v>98.2</v>
      </c>
      <c r="MQ22">
        <v>92.3</v>
      </c>
      <c r="MR22">
        <v>85.1</v>
      </c>
      <c r="MS22">
        <v>76.900000000000006</v>
      </c>
      <c r="MT22">
        <v>67.599999999999994</v>
      </c>
      <c r="MU22">
        <v>57.4</v>
      </c>
      <c r="MV22">
        <v>46.4</v>
      </c>
      <c r="MW22">
        <v>34.9</v>
      </c>
      <c r="MX22">
        <v>23.4</v>
      </c>
      <c r="MY22">
        <v>12.2</v>
      </c>
      <c r="MZ22">
        <v>1.9</v>
      </c>
      <c r="NA22">
        <v>93.3</v>
      </c>
      <c r="NB22">
        <v>87</v>
      </c>
      <c r="NC22">
        <v>83.5</v>
      </c>
      <c r="ND22">
        <v>83.5</v>
      </c>
      <c r="NE22">
        <v>87.3</v>
      </c>
      <c r="NF22">
        <v>94.9</v>
      </c>
      <c r="NG22">
        <v>5.8</v>
      </c>
      <c r="NH22">
        <v>19</v>
      </c>
      <c r="NI22">
        <v>33.4</v>
      </c>
      <c r="NJ22">
        <v>47.6</v>
      </c>
      <c r="NK22">
        <v>60.3</v>
      </c>
      <c r="NL22">
        <v>70.599999999999994</v>
      </c>
      <c r="NM22">
        <v>77.8</v>
      </c>
      <c r="NN22">
        <v>81.8</v>
      </c>
      <c r="NO22">
        <v>82.7</v>
      </c>
      <c r="NP22">
        <v>80.900000000000006</v>
      </c>
      <c r="NQ22">
        <v>76.8</v>
      </c>
      <c r="NR22">
        <v>70.8</v>
      </c>
      <c r="NS22">
        <v>63.2</v>
      </c>
      <c r="NT22">
        <v>54.5</v>
      </c>
      <c r="NU22">
        <v>44.8</v>
      </c>
      <c r="NV22">
        <v>34.4</v>
      </c>
      <c r="NW22">
        <v>23.5</v>
      </c>
      <c r="NX22">
        <v>12.2</v>
      </c>
      <c r="NY22">
        <v>0.8</v>
      </c>
      <c r="NZ22">
        <v>89.5</v>
      </c>
      <c r="OA22">
        <v>78.7</v>
      </c>
      <c r="OB22">
        <v>68.900000000000006</v>
      </c>
      <c r="OC22">
        <v>60.4</v>
      </c>
      <c r="OD22">
        <v>53.8</v>
      </c>
      <c r="OE22">
        <v>49.8</v>
      </c>
      <c r="OF22">
        <v>48.9</v>
      </c>
      <c r="OG22">
        <v>51.4</v>
      </c>
      <c r="OH22">
        <v>57.5</v>
      </c>
      <c r="OI22">
        <v>67.099999999999994</v>
      </c>
      <c r="OJ22">
        <v>79.5</v>
      </c>
      <c r="OK22">
        <v>93.8</v>
      </c>
      <c r="OL22">
        <v>8.6</v>
      </c>
      <c r="OM22">
        <v>22.6</v>
      </c>
      <c r="ON22">
        <v>34.6</v>
      </c>
      <c r="OO22">
        <v>43.8</v>
      </c>
      <c r="OP22">
        <v>49.6</v>
      </c>
      <c r="OQ22">
        <v>52</v>
      </c>
      <c r="OR22">
        <v>51.1</v>
      </c>
      <c r="OS22">
        <v>47.3</v>
      </c>
      <c r="OT22">
        <v>41.1</v>
      </c>
      <c r="OU22">
        <v>32.9</v>
      </c>
      <c r="OV22">
        <v>23.3</v>
      </c>
      <c r="OW22">
        <v>12.8</v>
      </c>
      <c r="OX22">
        <v>1.7</v>
      </c>
      <c r="OY22">
        <v>90.3</v>
      </c>
      <c r="OZ22">
        <v>79</v>
      </c>
      <c r="PA22">
        <v>68</v>
      </c>
      <c r="PB22">
        <v>57.6</v>
      </c>
      <c r="PC22">
        <v>47.9</v>
      </c>
      <c r="PD22">
        <v>39.200000000000003</v>
      </c>
      <c r="PE22">
        <v>31.9</v>
      </c>
      <c r="PF22">
        <v>26.3</v>
      </c>
      <c r="PG22">
        <v>22.8</v>
      </c>
      <c r="PH22">
        <v>21.6</v>
      </c>
      <c r="PI22">
        <v>23.2</v>
      </c>
      <c r="PJ22">
        <v>27.6</v>
      </c>
      <c r="PK22">
        <v>34.9</v>
      </c>
      <c r="PL22">
        <v>44.7</v>
      </c>
      <c r="PM22">
        <v>56.5</v>
      </c>
      <c r="PN22">
        <v>69.400000000000006</v>
      </c>
      <c r="PO22">
        <v>82.3</v>
      </c>
      <c r="PP22">
        <v>94</v>
      </c>
      <c r="PQ22">
        <v>3.8</v>
      </c>
      <c r="PR22">
        <v>10.6</v>
      </c>
      <c r="PS22">
        <v>14.3</v>
      </c>
      <c r="PT22">
        <v>14.6</v>
      </c>
      <c r="PU22">
        <v>11.8</v>
      </c>
      <c r="PV22">
        <v>6.1</v>
      </c>
      <c r="PW22">
        <v>98.2</v>
      </c>
      <c r="PX22">
        <v>88.5</v>
      </c>
      <c r="PY22">
        <v>77.7</v>
      </c>
      <c r="PZ22">
        <v>66.3</v>
      </c>
      <c r="QA22">
        <v>54.9</v>
      </c>
      <c r="QB22">
        <v>43.8</v>
      </c>
      <c r="QC22">
        <v>33.4</v>
      </c>
      <c r="QD22">
        <v>24.1</v>
      </c>
      <c r="QE22">
        <v>16.100000000000001</v>
      </c>
      <c r="QF22">
        <v>9.4</v>
      </c>
      <c r="QG22">
        <v>4.4000000000000004</v>
      </c>
      <c r="QH22">
        <v>1</v>
      </c>
      <c r="QI22">
        <v>99.3</v>
      </c>
      <c r="QJ22">
        <v>99.4</v>
      </c>
      <c r="QK22">
        <v>1.3</v>
      </c>
      <c r="QL22">
        <v>5.0999999999999996</v>
      </c>
      <c r="QM22">
        <v>10.7</v>
      </c>
      <c r="QN22">
        <v>17.899999999999999</v>
      </c>
      <c r="QO22">
        <v>26.5</v>
      </c>
      <c r="QP22">
        <v>36</v>
      </c>
      <c r="QQ22">
        <v>45.9</v>
      </c>
      <c r="QR22">
        <v>55.2</v>
      </c>
      <c r="QS22">
        <v>63.3</v>
      </c>
      <c r="QT22">
        <v>69.400000000000006</v>
      </c>
      <c r="QU22">
        <v>72.900000000000006</v>
      </c>
      <c r="QV22">
        <v>73.599999999999994</v>
      </c>
      <c r="QW22">
        <v>71.3</v>
      </c>
      <c r="QX22">
        <v>66.3</v>
      </c>
      <c r="QY22">
        <v>58.8</v>
      </c>
      <c r="QZ22">
        <v>49.4</v>
      </c>
      <c r="RA22">
        <v>38.700000000000003</v>
      </c>
      <c r="RB22">
        <v>27.3</v>
      </c>
      <c r="RC22">
        <v>15.9</v>
      </c>
      <c r="RD22">
        <v>5.0999999999999996</v>
      </c>
      <c r="RE22">
        <v>95.4</v>
      </c>
      <c r="RF22">
        <v>87.2</v>
      </c>
      <c r="RG22">
        <v>80.8</v>
      </c>
      <c r="RH22">
        <v>76.400000000000006</v>
      </c>
      <c r="RI22">
        <v>74.099999999999994</v>
      </c>
      <c r="RJ22">
        <v>73.7</v>
      </c>
      <c r="RK22">
        <v>75</v>
      </c>
      <c r="RL22">
        <v>77.8</v>
      </c>
      <c r="RM22">
        <v>81.7</v>
      </c>
      <c r="RN22">
        <v>86.5</v>
      </c>
      <c r="RO22">
        <v>92</v>
      </c>
      <c r="RP22">
        <v>97.9</v>
      </c>
      <c r="RQ22">
        <v>4.2</v>
      </c>
      <c r="RR22">
        <v>10.7</v>
      </c>
      <c r="RS22">
        <v>17</v>
      </c>
      <c r="RT22">
        <v>22.9</v>
      </c>
      <c r="RU22">
        <v>27.9</v>
      </c>
      <c r="RV22">
        <v>31.6</v>
      </c>
      <c r="RW22">
        <v>33.4</v>
      </c>
      <c r="RX22">
        <v>32.9</v>
      </c>
      <c r="RY22">
        <v>30.1</v>
      </c>
      <c r="RZ22">
        <v>24.8</v>
      </c>
      <c r="SA22">
        <v>17.3</v>
      </c>
      <c r="SB22">
        <v>8</v>
      </c>
      <c r="SC22">
        <v>97.4</v>
      </c>
      <c r="SD22">
        <v>86.1</v>
      </c>
      <c r="SE22">
        <v>74.8</v>
      </c>
      <c r="SF22">
        <v>64.099999999999994</v>
      </c>
      <c r="SG22">
        <v>54.7</v>
      </c>
      <c r="SH22">
        <v>47.2</v>
      </c>
      <c r="SI22">
        <v>42</v>
      </c>
      <c r="SJ22">
        <v>39.4</v>
      </c>
      <c r="SK22">
        <v>39.4</v>
      </c>
      <c r="SL22">
        <v>42</v>
      </c>
      <c r="SM22">
        <v>46.6</v>
      </c>
      <c r="SN22">
        <v>52.8</v>
      </c>
      <c r="SO22">
        <v>59.7</v>
      </c>
      <c r="SP22">
        <v>67</v>
      </c>
      <c r="SQ22">
        <v>73.900000000000006</v>
      </c>
      <c r="SR22">
        <v>80.3</v>
      </c>
      <c r="SS22">
        <v>86</v>
      </c>
      <c r="ST22">
        <v>90.7</v>
      </c>
      <c r="SU22">
        <v>94.6</v>
      </c>
      <c r="SV22">
        <v>97.5</v>
      </c>
      <c r="SW22">
        <v>99.3</v>
      </c>
      <c r="SX22">
        <v>99.9</v>
      </c>
      <c r="SY22">
        <v>98.9</v>
      </c>
      <c r="SZ22">
        <v>96.3</v>
      </c>
      <c r="TA22">
        <v>91.8</v>
      </c>
      <c r="TB22">
        <v>85.4</v>
      </c>
      <c r="TC22">
        <v>77.2</v>
      </c>
      <c r="TD22">
        <v>67.599999999999994</v>
      </c>
      <c r="TE22">
        <v>56.8</v>
      </c>
      <c r="TF22">
        <v>45.4</v>
      </c>
      <c r="TG22">
        <v>34</v>
      </c>
      <c r="TH22">
        <v>23.3</v>
      </c>
      <c r="TI22">
        <v>13.9</v>
      </c>
      <c r="TJ22">
        <v>6.5</v>
      </c>
      <c r="TK22">
        <v>1.8</v>
      </c>
      <c r="TL22">
        <v>0</v>
      </c>
      <c r="TM22">
        <v>1.5</v>
      </c>
      <c r="TN22">
        <v>6</v>
      </c>
      <c r="TO22">
        <v>13.2</v>
      </c>
      <c r="TP22">
        <v>22.3</v>
      </c>
      <c r="TQ22">
        <v>32.5</v>
      </c>
      <c r="TR22">
        <v>42.8</v>
      </c>
      <c r="TS22">
        <v>52.3</v>
      </c>
      <c r="TT22">
        <v>60.5</v>
      </c>
      <c r="TU22">
        <v>67</v>
      </c>
      <c r="TV22">
        <v>71.7</v>
      </c>
      <c r="TW22">
        <v>74.5</v>
      </c>
      <c r="TX22">
        <v>75.599999999999994</v>
      </c>
      <c r="TY22">
        <v>75.099999999999994</v>
      </c>
      <c r="TZ22">
        <v>73</v>
      </c>
      <c r="UA22">
        <v>69.3</v>
      </c>
      <c r="UB22">
        <v>64.2</v>
      </c>
      <c r="UC22">
        <v>57.7</v>
      </c>
      <c r="UD22">
        <v>49.7</v>
      </c>
      <c r="UE22">
        <v>40.4</v>
      </c>
      <c r="UF22">
        <v>30</v>
      </c>
      <c r="UG22">
        <v>18.8</v>
      </c>
      <c r="UH22">
        <v>7.2</v>
      </c>
      <c r="UI22">
        <v>95.8</v>
      </c>
      <c r="UJ22">
        <v>85</v>
      </c>
      <c r="UK22">
        <v>75.599999999999994</v>
      </c>
      <c r="UL22">
        <v>68.099999999999994</v>
      </c>
      <c r="UM22">
        <v>63.2</v>
      </c>
      <c r="UN22">
        <v>61.4</v>
      </c>
      <c r="UO22">
        <v>63.1</v>
      </c>
      <c r="UP22">
        <v>68.2</v>
      </c>
      <c r="UQ22">
        <v>76.400000000000006</v>
      </c>
      <c r="UR22">
        <v>87.2</v>
      </c>
      <c r="US22">
        <v>99.6</v>
      </c>
      <c r="UT22">
        <v>12.4</v>
      </c>
      <c r="UU22">
        <v>24.5</v>
      </c>
      <c r="UV22">
        <v>35</v>
      </c>
      <c r="UW22">
        <v>43.4</v>
      </c>
      <c r="UX22">
        <v>49.2</v>
      </c>
      <c r="UY22">
        <v>52.3</v>
      </c>
      <c r="UZ22">
        <v>52.9</v>
      </c>
      <c r="VA22">
        <v>51.2</v>
      </c>
      <c r="VB22">
        <v>47.4</v>
      </c>
      <c r="VC22">
        <v>41.8</v>
      </c>
      <c r="VD22">
        <v>34.700000000000003</v>
      </c>
      <c r="VE22">
        <v>26.2</v>
      </c>
      <c r="VF22">
        <v>16.7</v>
      </c>
      <c r="VG22">
        <v>6.2</v>
      </c>
      <c r="VH22">
        <v>95.1</v>
      </c>
      <c r="VI22">
        <v>83.6</v>
      </c>
      <c r="VJ22">
        <v>72.099999999999994</v>
      </c>
      <c r="VK22">
        <v>60.8</v>
      </c>
      <c r="VL22">
        <v>50.3</v>
      </c>
      <c r="VM22">
        <v>41.1</v>
      </c>
      <c r="VN22">
        <v>33.700000000000003</v>
      </c>
      <c r="VO22">
        <v>28.6</v>
      </c>
      <c r="VP22">
        <v>26.3</v>
      </c>
      <c r="VQ22">
        <v>27.3</v>
      </c>
      <c r="VR22">
        <v>31.7</v>
      </c>
      <c r="VS22">
        <v>39.5</v>
      </c>
      <c r="VT22">
        <v>50.1</v>
      </c>
      <c r="VU22">
        <v>62.9</v>
      </c>
      <c r="VV22">
        <v>76.7</v>
      </c>
      <c r="VW22">
        <v>90.3</v>
      </c>
      <c r="VX22">
        <v>2.7</v>
      </c>
      <c r="VY22">
        <v>13</v>
      </c>
      <c r="VZ22">
        <v>20.3</v>
      </c>
      <c r="WA22">
        <v>24.6</v>
      </c>
      <c r="WB22">
        <v>25.7</v>
      </c>
      <c r="WC22">
        <v>23.9</v>
      </c>
      <c r="WD22">
        <v>19.399999999999999</v>
      </c>
      <c r="WE22">
        <v>12.8</v>
      </c>
      <c r="WF22">
        <v>4.4000000000000004</v>
      </c>
      <c r="WG22">
        <v>94.7</v>
      </c>
      <c r="WH22">
        <v>84</v>
      </c>
      <c r="WI22">
        <v>72.8</v>
      </c>
      <c r="WJ22">
        <v>61.3</v>
      </c>
      <c r="WK22">
        <v>49.8</v>
      </c>
      <c r="WL22">
        <v>38.6</v>
      </c>
      <c r="WM22">
        <v>28.1</v>
      </c>
      <c r="WN22">
        <v>18.399999999999999</v>
      </c>
      <c r="WO22">
        <v>10</v>
      </c>
      <c r="WP22">
        <v>3.2</v>
      </c>
      <c r="WQ22">
        <v>98.4</v>
      </c>
      <c r="WR22">
        <v>96</v>
      </c>
      <c r="WS22">
        <v>96.3</v>
      </c>
      <c r="WT22">
        <v>99.5</v>
      </c>
      <c r="WU22">
        <v>5.7</v>
      </c>
      <c r="WV22">
        <v>14.7</v>
      </c>
      <c r="WW22">
        <v>26.1</v>
      </c>
      <c r="WX22">
        <v>39</v>
      </c>
      <c r="WY22">
        <v>52.4</v>
      </c>
      <c r="WZ22">
        <v>65.2</v>
      </c>
      <c r="XA22">
        <v>76.3</v>
      </c>
      <c r="XB22">
        <v>84.9</v>
      </c>
      <c r="XC22">
        <v>90.2</v>
      </c>
      <c r="XD22">
        <v>92.3</v>
      </c>
      <c r="XE22">
        <v>91</v>
      </c>
      <c r="XF22">
        <v>86.6</v>
      </c>
      <c r="XG22">
        <v>79.8</v>
      </c>
      <c r="XH22">
        <v>70.900000000000006</v>
      </c>
      <c r="XI22">
        <v>60.5</v>
      </c>
      <c r="XJ22">
        <v>49.3</v>
      </c>
      <c r="XK22">
        <v>37.799999999999997</v>
      </c>
      <c r="XL22">
        <v>26.2</v>
      </c>
      <c r="XM22">
        <v>15.1</v>
      </c>
      <c r="XN22">
        <v>4.8</v>
      </c>
      <c r="XO22">
        <v>95.5</v>
      </c>
      <c r="XP22">
        <v>87.4</v>
      </c>
      <c r="XQ22">
        <v>80.599999999999994</v>
      </c>
      <c r="XR22">
        <v>75.400000000000006</v>
      </c>
      <c r="XS22">
        <v>71.8</v>
      </c>
      <c r="XT22">
        <v>70.099999999999994</v>
      </c>
      <c r="XU22">
        <v>70.400000000000006</v>
      </c>
      <c r="XV22">
        <v>72.8</v>
      </c>
      <c r="XW22">
        <v>77.5</v>
      </c>
      <c r="XX22">
        <v>84.5</v>
      </c>
      <c r="XY22">
        <v>93.4</v>
      </c>
      <c r="XZ22">
        <v>3.9</v>
      </c>
      <c r="YA22">
        <v>15.2</v>
      </c>
      <c r="YB22">
        <v>26.6</v>
      </c>
      <c r="YC22">
        <v>36.9</v>
      </c>
      <c r="YD22">
        <v>45.3</v>
      </c>
      <c r="YE22">
        <v>50.9</v>
      </c>
      <c r="YF22">
        <v>53.4</v>
      </c>
      <c r="YG22">
        <v>52.6</v>
      </c>
      <c r="YH22">
        <v>48.6</v>
      </c>
      <c r="YI22">
        <v>42</v>
      </c>
      <c r="YJ22">
        <v>33.1</v>
      </c>
      <c r="YK22">
        <v>22.6</v>
      </c>
      <c r="YL22">
        <v>11.3</v>
      </c>
      <c r="YM22">
        <v>99.7</v>
      </c>
      <c r="YN22">
        <v>88.4</v>
      </c>
      <c r="YO22">
        <v>77.900000000000006</v>
      </c>
      <c r="YP22">
        <v>68.599999999999994</v>
      </c>
      <c r="YQ22">
        <v>60.9</v>
      </c>
      <c r="YR22">
        <v>54.7</v>
      </c>
      <c r="YS22">
        <v>50.3</v>
      </c>
      <c r="YT22">
        <v>47.5</v>
      </c>
      <c r="YU22">
        <v>46.3</v>
      </c>
      <c r="YV22">
        <v>46.5</v>
      </c>
      <c r="YW22">
        <v>48.1</v>
      </c>
      <c r="YX22">
        <v>51</v>
      </c>
      <c r="YY22">
        <v>55.2</v>
      </c>
      <c r="YZ22">
        <v>60.7</v>
      </c>
      <c r="ZA22">
        <v>67.400000000000006</v>
      </c>
      <c r="ZB22">
        <v>75.099999999999994</v>
      </c>
      <c r="ZC22">
        <v>83.4</v>
      </c>
      <c r="ZD22">
        <v>91.8</v>
      </c>
      <c r="ZE22">
        <v>99.7</v>
      </c>
      <c r="ZF22">
        <v>6.2</v>
      </c>
      <c r="ZG22">
        <v>10.6</v>
      </c>
      <c r="ZH22">
        <v>12.4</v>
      </c>
      <c r="ZI22">
        <v>11.3</v>
      </c>
      <c r="ZJ22">
        <v>7.4</v>
      </c>
      <c r="ZK22">
        <v>0.8</v>
      </c>
      <c r="ZL22">
        <v>92</v>
      </c>
      <c r="ZM22">
        <v>81.599999999999994</v>
      </c>
      <c r="ZN22">
        <v>70.3</v>
      </c>
      <c r="ZO22">
        <v>58.8</v>
      </c>
      <c r="ZP22">
        <v>47.7</v>
      </c>
      <c r="ZQ22">
        <v>37.6</v>
      </c>
      <c r="ZR22">
        <v>29.2</v>
      </c>
      <c r="ZS22">
        <v>22.7</v>
      </c>
      <c r="ZT22">
        <v>18.5</v>
      </c>
      <c r="ZU22">
        <v>16.5</v>
      </c>
      <c r="ZV22">
        <v>16.5</v>
      </c>
      <c r="ZW22">
        <v>18.399999999999999</v>
      </c>
      <c r="ZX22">
        <v>21.7</v>
      </c>
      <c r="ZY22">
        <v>26</v>
      </c>
      <c r="ZZ22">
        <v>30.9</v>
      </c>
      <c r="AAA22">
        <v>36.200000000000003</v>
      </c>
      <c r="AAB22">
        <v>41.7</v>
      </c>
      <c r="AAC22">
        <v>47.4</v>
      </c>
      <c r="AAD22">
        <v>53.1</v>
      </c>
      <c r="AAE22">
        <v>58.7</v>
      </c>
      <c r="AAF22">
        <v>63.9</v>
      </c>
      <c r="AAG22">
        <v>68.5</v>
      </c>
      <c r="AAH22">
        <v>71.8</v>
      </c>
      <c r="AAI22">
        <v>73.599999999999994</v>
      </c>
      <c r="AAJ22">
        <v>73.400000000000006</v>
      </c>
      <c r="AAK22">
        <v>71</v>
      </c>
      <c r="AAL22">
        <v>66.099999999999994</v>
      </c>
      <c r="AAM22">
        <v>59.1</v>
      </c>
      <c r="AAN22">
        <v>50.1</v>
      </c>
      <c r="AAO22">
        <v>39.700000000000003</v>
      </c>
      <c r="AAP22">
        <v>28.4</v>
      </c>
      <c r="AAQ22">
        <v>16.8</v>
      </c>
      <c r="AAR22">
        <v>5.7</v>
      </c>
      <c r="AAS22">
        <v>95.8</v>
      </c>
      <c r="AAT22">
        <v>87.6</v>
      </c>
      <c r="AAU22">
        <v>81.7</v>
      </c>
      <c r="AAV22">
        <v>78.400000000000006</v>
      </c>
      <c r="AAW22">
        <v>78.099999999999994</v>
      </c>
      <c r="AAX22">
        <v>80.400000000000006</v>
      </c>
      <c r="AAY22">
        <v>85.2</v>
      </c>
      <c r="AAZ22">
        <v>91.8</v>
      </c>
      <c r="ABA22">
        <v>99.5</v>
      </c>
      <c r="ABB22">
        <v>7.7</v>
      </c>
      <c r="ABC22">
        <v>15.7</v>
      </c>
      <c r="ABD22">
        <v>23.1</v>
      </c>
      <c r="ABE22">
        <v>29.6</v>
      </c>
      <c r="ABF22">
        <v>35</v>
      </c>
      <c r="ABG22">
        <v>39.1</v>
      </c>
      <c r="ABH22">
        <v>42</v>
      </c>
      <c r="ABI22">
        <v>43.6</v>
      </c>
      <c r="ABJ22">
        <v>43.8</v>
      </c>
      <c r="ABK22">
        <v>42.4</v>
      </c>
      <c r="ABL22">
        <v>39.4</v>
      </c>
      <c r="ABM22">
        <v>34.700000000000003</v>
      </c>
      <c r="ABN22">
        <v>28.2</v>
      </c>
      <c r="ABO22">
        <v>20</v>
      </c>
      <c r="ABP22">
        <v>10.4</v>
      </c>
      <c r="ABQ22">
        <v>99.7</v>
      </c>
      <c r="ABR22">
        <v>88.2</v>
      </c>
      <c r="ABS22">
        <v>76.599999999999994</v>
      </c>
      <c r="ABT22">
        <v>65.400000000000006</v>
      </c>
      <c r="ABU22">
        <v>55.3</v>
      </c>
      <c r="ABV22">
        <v>46.8</v>
      </c>
      <c r="ABW22">
        <v>40.6</v>
      </c>
      <c r="ABX22">
        <v>37.299999999999997</v>
      </c>
      <c r="ABY22">
        <v>37.1</v>
      </c>
      <c r="ABZ22">
        <v>40.200000000000003</v>
      </c>
      <c r="ACA22">
        <v>46.4</v>
      </c>
      <c r="ACB22">
        <v>55.2</v>
      </c>
      <c r="ACC22">
        <v>65.8</v>
      </c>
      <c r="ACD22">
        <v>77.400000000000006</v>
      </c>
      <c r="ACE22">
        <v>88.9</v>
      </c>
      <c r="ACF22">
        <v>99.4</v>
      </c>
      <c r="ACG22">
        <v>8.3000000000000007</v>
      </c>
      <c r="ACH22">
        <v>15.1</v>
      </c>
      <c r="ACI22">
        <v>19.600000000000001</v>
      </c>
      <c r="ACJ22">
        <v>21.8</v>
      </c>
      <c r="ACK22">
        <v>21.7</v>
      </c>
      <c r="ACL22">
        <v>19.600000000000001</v>
      </c>
      <c r="ACM22">
        <v>15.6</v>
      </c>
      <c r="ACN22">
        <v>9.9</v>
      </c>
      <c r="ACO22">
        <v>2.7</v>
      </c>
      <c r="ACP22">
        <v>94.3</v>
      </c>
      <c r="ACQ22">
        <v>84.7</v>
      </c>
      <c r="ACR22">
        <v>74.2</v>
      </c>
      <c r="ACS22">
        <v>63</v>
      </c>
      <c r="ACT22">
        <v>51.5</v>
      </c>
      <c r="ACU22">
        <v>39.9</v>
      </c>
      <c r="ACV22">
        <v>28.8</v>
      </c>
      <c r="ACW22">
        <v>18.600000000000001</v>
      </c>
      <c r="ACX22">
        <v>9.9</v>
      </c>
      <c r="ACY22">
        <v>3.2</v>
      </c>
      <c r="ACZ22">
        <v>99</v>
      </c>
      <c r="ADA22">
        <v>97.9</v>
      </c>
      <c r="ADB22">
        <v>0.1</v>
      </c>
      <c r="ADC22">
        <v>5.8</v>
      </c>
      <c r="ADD22">
        <v>14.7</v>
      </c>
      <c r="ADE22">
        <v>26.3</v>
      </c>
      <c r="ADF22">
        <v>39.6</v>
      </c>
      <c r="ADG22">
        <v>53.6</v>
      </c>
      <c r="ADH22">
        <v>67.099999999999994</v>
      </c>
      <c r="ADI22">
        <v>78.900000000000006</v>
      </c>
      <c r="ADJ22">
        <v>88.1</v>
      </c>
      <c r="ADK22">
        <v>94.3</v>
      </c>
      <c r="ADL22">
        <v>97.3</v>
      </c>
      <c r="ADM22">
        <v>97.2</v>
      </c>
      <c r="ADN22">
        <v>94.2</v>
      </c>
      <c r="ADO22">
        <v>88.8</v>
      </c>
      <c r="ADP22">
        <v>81.400000000000006</v>
      </c>
    </row>
    <row r="23" spans="1:796">
      <c r="A23" t="s">
        <v>4269</v>
      </c>
      <c r="B23">
        <v>23</v>
      </c>
      <c r="C23" t="s">
        <v>4351</v>
      </c>
      <c r="D23">
        <v>96</v>
      </c>
      <c r="E23">
        <v>66.099999999999994</v>
      </c>
      <c r="F23">
        <v>58.7</v>
      </c>
      <c r="G23">
        <v>52.4</v>
      </c>
      <c r="H23">
        <v>47.5</v>
      </c>
      <c r="I23">
        <v>44.3</v>
      </c>
      <c r="J23">
        <v>43.3</v>
      </c>
      <c r="K23">
        <v>44.9</v>
      </c>
      <c r="L23">
        <v>49.8</v>
      </c>
      <c r="M23">
        <v>58.1</v>
      </c>
      <c r="N23">
        <v>69.900000000000006</v>
      </c>
      <c r="O23">
        <v>84.8</v>
      </c>
      <c r="P23">
        <v>2.1</v>
      </c>
      <c r="Q23">
        <v>20.399999999999999</v>
      </c>
      <c r="R23">
        <v>38.299999999999997</v>
      </c>
      <c r="S23">
        <v>54.2</v>
      </c>
      <c r="T23">
        <v>67</v>
      </c>
      <c r="U23">
        <v>76</v>
      </c>
      <c r="V23">
        <v>80.8</v>
      </c>
      <c r="W23">
        <v>81.7</v>
      </c>
      <c r="X23">
        <v>79</v>
      </c>
      <c r="Y23">
        <v>73.5</v>
      </c>
      <c r="Z23">
        <v>66</v>
      </c>
      <c r="AA23">
        <v>57</v>
      </c>
      <c r="AB23">
        <v>47.3</v>
      </c>
      <c r="AC23">
        <v>37.4</v>
      </c>
      <c r="AD23">
        <v>27.9</v>
      </c>
      <c r="AE23">
        <v>19.100000000000001</v>
      </c>
      <c r="AF23">
        <v>11.3</v>
      </c>
      <c r="AG23">
        <v>4.5</v>
      </c>
      <c r="AH23">
        <v>99</v>
      </c>
      <c r="AI23">
        <v>94.7</v>
      </c>
      <c r="AJ23">
        <v>91.9</v>
      </c>
      <c r="AK23">
        <v>90.6</v>
      </c>
      <c r="AL23">
        <v>91</v>
      </c>
      <c r="AM23">
        <v>93.5</v>
      </c>
      <c r="AN23">
        <v>98.2</v>
      </c>
      <c r="AO23">
        <v>5.4</v>
      </c>
      <c r="AP23">
        <v>15.1</v>
      </c>
      <c r="AQ23">
        <v>27</v>
      </c>
      <c r="AR23">
        <v>40.9</v>
      </c>
      <c r="AS23">
        <v>55.7</v>
      </c>
      <c r="AT23">
        <v>70.5</v>
      </c>
      <c r="AU23">
        <v>84</v>
      </c>
      <c r="AV23">
        <v>95.4</v>
      </c>
      <c r="AW23">
        <v>3.8</v>
      </c>
      <c r="AX23">
        <v>8.6999999999999993</v>
      </c>
      <c r="AY23">
        <v>10.1</v>
      </c>
      <c r="AZ23">
        <v>8.1999999999999993</v>
      </c>
      <c r="BA23">
        <v>3.5</v>
      </c>
      <c r="BB23">
        <v>96.5</v>
      </c>
      <c r="BC23">
        <v>87.9</v>
      </c>
      <c r="BD23">
        <v>78.5</v>
      </c>
      <c r="BE23">
        <v>68.8</v>
      </c>
      <c r="BF23">
        <v>59.6</v>
      </c>
      <c r="BG23">
        <v>51.3</v>
      </c>
      <c r="BH23">
        <v>44.3</v>
      </c>
      <c r="BI23">
        <v>38.9</v>
      </c>
      <c r="BJ23">
        <v>35.299999999999997</v>
      </c>
      <c r="BK23">
        <v>33.6</v>
      </c>
      <c r="BL23">
        <v>33.799999999999997</v>
      </c>
      <c r="BM23">
        <v>35.700000000000003</v>
      </c>
      <c r="BN23">
        <v>39.299999999999997</v>
      </c>
      <c r="BO23">
        <v>44.5</v>
      </c>
      <c r="BP23">
        <v>51.1</v>
      </c>
      <c r="BQ23">
        <v>59.1</v>
      </c>
      <c r="BR23">
        <v>68.3</v>
      </c>
      <c r="BS23">
        <v>78.400000000000006</v>
      </c>
      <c r="BT23">
        <v>89.2</v>
      </c>
      <c r="BU23">
        <v>0.2</v>
      </c>
      <c r="BV23">
        <v>10.7</v>
      </c>
      <c r="BW23">
        <v>20.3</v>
      </c>
      <c r="BX23">
        <v>28.3</v>
      </c>
      <c r="BY23">
        <v>34.1</v>
      </c>
      <c r="BZ23">
        <v>37.4</v>
      </c>
      <c r="CA23">
        <v>38</v>
      </c>
      <c r="CB23">
        <v>36</v>
      </c>
      <c r="CC23">
        <v>31.5</v>
      </c>
      <c r="CD23">
        <v>25</v>
      </c>
      <c r="CE23">
        <v>16.8</v>
      </c>
      <c r="CF23">
        <v>7.7</v>
      </c>
      <c r="CG23">
        <v>98.3</v>
      </c>
      <c r="CH23">
        <v>89.2</v>
      </c>
      <c r="CI23">
        <v>81.099999999999994</v>
      </c>
      <c r="CJ23">
        <v>74.5</v>
      </c>
      <c r="CK23">
        <v>69.900000000000006</v>
      </c>
      <c r="CL23">
        <v>67.7</v>
      </c>
      <c r="CM23">
        <v>68.2</v>
      </c>
      <c r="CN23">
        <v>71.2</v>
      </c>
      <c r="CO23">
        <v>76.7</v>
      </c>
      <c r="CP23">
        <v>84.3</v>
      </c>
      <c r="CQ23">
        <v>93.5</v>
      </c>
      <c r="CR23">
        <v>3.8</v>
      </c>
      <c r="CS23">
        <v>14.5</v>
      </c>
      <c r="CT23">
        <v>25.3</v>
      </c>
      <c r="CU23">
        <v>35.5</v>
      </c>
      <c r="CV23">
        <v>45</v>
      </c>
      <c r="CW23">
        <v>53.3</v>
      </c>
      <c r="CX23">
        <v>60.4</v>
      </c>
      <c r="CY23">
        <v>66</v>
      </c>
      <c r="CZ23">
        <v>70.099999999999994</v>
      </c>
      <c r="DA23">
        <v>72.5</v>
      </c>
      <c r="DB23">
        <v>73</v>
      </c>
      <c r="DC23">
        <v>71.599999999999994</v>
      </c>
      <c r="DD23">
        <v>68.3</v>
      </c>
      <c r="DE23">
        <v>63.2</v>
      </c>
      <c r="DF23">
        <v>56.5</v>
      </c>
      <c r="DG23">
        <v>48.4</v>
      </c>
      <c r="DH23">
        <v>39.4</v>
      </c>
      <c r="DI23">
        <v>30.1</v>
      </c>
      <c r="DJ23">
        <v>21</v>
      </c>
      <c r="DK23">
        <v>12.8</v>
      </c>
      <c r="DL23">
        <v>6.1</v>
      </c>
      <c r="DM23">
        <v>1.6</v>
      </c>
      <c r="DN23">
        <v>99.8</v>
      </c>
      <c r="DO23">
        <v>1.2</v>
      </c>
      <c r="DP23">
        <v>6</v>
      </c>
      <c r="DQ23">
        <v>14.1</v>
      </c>
      <c r="DR23">
        <v>25.2</v>
      </c>
      <c r="DS23">
        <v>38.4</v>
      </c>
      <c r="DT23">
        <v>52.8</v>
      </c>
      <c r="DU23">
        <v>67.5</v>
      </c>
      <c r="DV23">
        <v>81.2</v>
      </c>
      <c r="DW23">
        <v>93.4</v>
      </c>
      <c r="DX23">
        <v>3.4</v>
      </c>
      <c r="DY23">
        <v>11.1</v>
      </c>
      <c r="DZ23">
        <v>16.399999999999999</v>
      </c>
      <c r="EA23">
        <v>19.5</v>
      </c>
      <c r="EB23">
        <v>20.6</v>
      </c>
      <c r="EC23">
        <v>19.8</v>
      </c>
      <c r="ED23">
        <v>17.5</v>
      </c>
      <c r="EE23">
        <v>13.8</v>
      </c>
      <c r="EF23">
        <v>8.6</v>
      </c>
      <c r="EG23">
        <v>2.2999999999999998</v>
      </c>
      <c r="EH23">
        <v>94.8</v>
      </c>
      <c r="EI23">
        <v>86.4</v>
      </c>
      <c r="EJ23">
        <v>77.400000000000006</v>
      </c>
      <c r="EK23">
        <v>68.099999999999994</v>
      </c>
      <c r="EL23">
        <v>58.9</v>
      </c>
      <c r="EM23">
        <v>50.6</v>
      </c>
      <c r="EN23">
        <v>43.6</v>
      </c>
      <c r="EO23">
        <v>38.799999999999997</v>
      </c>
      <c r="EP23">
        <v>36.700000000000003</v>
      </c>
      <c r="EQ23">
        <v>38</v>
      </c>
      <c r="ER23">
        <v>43.1</v>
      </c>
      <c r="ES23">
        <v>52.2</v>
      </c>
      <c r="ET23">
        <v>65</v>
      </c>
      <c r="EU23">
        <v>80.8</v>
      </c>
      <c r="EV23">
        <v>98.4</v>
      </c>
      <c r="EW23">
        <v>16.399999999999999</v>
      </c>
      <c r="EX23">
        <v>33.5</v>
      </c>
      <c r="EY23">
        <v>48.3</v>
      </c>
      <c r="EZ23">
        <v>60.3</v>
      </c>
      <c r="FA23">
        <v>68.8</v>
      </c>
      <c r="FB23">
        <v>74.099999999999994</v>
      </c>
      <c r="FC23">
        <v>76.3</v>
      </c>
      <c r="FD23">
        <v>75.900000000000006</v>
      </c>
      <c r="FE23">
        <v>73.3</v>
      </c>
      <c r="FF23">
        <v>68.900000000000006</v>
      </c>
      <c r="FG23">
        <v>63.2</v>
      </c>
      <c r="FH23">
        <v>56.5</v>
      </c>
      <c r="FI23">
        <v>48.9</v>
      </c>
      <c r="FJ23">
        <v>40.6</v>
      </c>
      <c r="FK23">
        <v>31.8</v>
      </c>
      <c r="FL23">
        <v>22.6</v>
      </c>
      <c r="FM23">
        <v>13.5</v>
      </c>
      <c r="FN23">
        <v>4.5999999999999996</v>
      </c>
      <c r="FO23">
        <v>96.4</v>
      </c>
      <c r="FP23">
        <v>89.5</v>
      </c>
      <c r="FQ23">
        <v>84.5</v>
      </c>
      <c r="FR23">
        <v>82.1</v>
      </c>
      <c r="FS23">
        <v>82.9</v>
      </c>
      <c r="FT23">
        <v>87.4</v>
      </c>
      <c r="FU23">
        <v>96</v>
      </c>
      <c r="FV23">
        <v>8.6999999999999993</v>
      </c>
      <c r="FW23">
        <v>24.8</v>
      </c>
      <c r="FX23">
        <v>43.4</v>
      </c>
      <c r="FY23">
        <v>63.1</v>
      </c>
      <c r="FZ23">
        <v>82.1</v>
      </c>
      <c r="GA23">
        <v>99.1</v>
      </c>
      <c r="GB23">
        <v>13</v>
      </c>
      <c r="GC23">
        <v>23.2</v>
      </c>
      <c r="GD23">
        <v>29.4</v>
      </c>
      <c r="GE23">
        <v>32</v>
      </c>
      <c r="GF23">
        <v>31.5</v>
      </c>
      <c r="GG23">
        <v>28.3</v>
      </c>
      <c r="GH23">
        <v>23</v>
      </c>
      <c r="GI23">
        <v>16.3</v>
      </c>
      <c r="GJ23">
        <v>8.5</v>
      </c>
      <c r="GK23">
        <v>100</v>
      </c>
      <c r="GL23">
        <v>91.1</v>
      </c>
      <c r="GM23">
        <v>82.1</v>
      </c>
      <c r="GN23">
        <v>73.2</v>
      </c>
      <c r="GO23">
        <v>64.5</v>
      </c>
      <c r="GP23">
        <v>56.3</v>
      </c>
      <c r="GQ23">
        <v>49</v>
      </c>
      <c r="GR23">
        <v>42.9</v>
      </c>
      <c r="GS23">
        <v>38.4</v>
      </c>
      <c r="GT23">
        <v>36.299999999999997</v>
      </c>
      <c r="GU23">
        <v>36.9</v>
      </c>
      <c r="GV23">
        <v>40.799999999999997</v>
      </c>
      <c r="GW23">
        <v>48.4</v>
      </c>
      <c r="GX23">
        <v>59.8</v>
      </c>
      <c r="GY23">
        <v>74.5</v>
      </c>
      <c r="GZ23">
        <v>91.9</v>
      </c>
      <c r="HA23">
        <v>10.8</v>
      </c>
      <c r="HB23">
        <v>29.6</v>
      </c>
      <c r="HC23">
        <v>47</v>
      </c>
      <c r="HD23">
        <v>61.6</v>
      </c>
      <c r="HE23">
        <v>72.8</v>
      </c>
      <c r="HF23">
        <v>80.099999999999994</v>
      </c>
      <c r="HG23">
        <v>83.7</v>
      </c>
      <c r="HH23">
        <v>83.7</v>
      </c>
      <c r="HI23">
        <v>80.8</v>
      </c>
      <c r="HJ23">
        <v>75.5</v>
      </c>
      <c r="HK23">
        <v>68.400000000000006</v>
      </c>
      <c r="HL23">
        <v>60.2</v>
      </c>
      <c r="HM23">
        <v>51.4</v>
      </c>
      <c r="HN23">
        <v>42.3</v>
      </c>
      <c r="HO23">
        <v>33.4</v>
      </c>
      <c r="HP23">
        <v>24.9</v>
      </c>
      <c r="HQ23">
        <v>17.100000000000001</v>
      </c>
      <c r="HR23">
        <v>10.1</v>
      </c>
      <c r="HS23">
        <v>4.3</v>
      </c>
      <c r="HT23">
        <v>99.9</v>
      </c>
      <c r="HU23">
        <v>97.1</v>
      </c>
      <c r="HV23">
        <v>96.3</v>
      </c>
      <c r="HW23">
        <v>97.7</v>
      </c>
      <c r="HX23">
        <v>1.8</v>
      </c>
      <c r="HY23">
        <v>8.8000000000000007</v>
      </c>
      <c r="HZ23">
        <v>18.7</v>
      </c>
      <c r="IA23">
        <v>31.3</v>
      </c>
      <c r="IB23">
        <v>46</v>
      </c>
      <c r="IC23">
        <v>62.2</v>
      </c>
      <c r="ID23">
        <v>78.599999999999994</v>
      </c>
      <c r="IE23">
        <v>94.2</v>
      </c>
      <c r="IF23">
        <v>7.8</v>
      </c>
      <c r="IG23">
        <v>18.600000000000001</v>
      </c>
      <c r="IH23">
        <v>26</v>
      </c>
      <c r="II23">
        <v>30</v>
      </c>
      <c r="IJ23">
        <v>30.6</v>
      </c>
      <c r="IK23">
        <v>28.2</v>
      </c>
      <c r="IL23">
        <v>23.2</v>
      </c>
      <c r="IM23">
        <v>16.3</v>
      </c>
      <c r="IN23">
        <v>8.1</v>
      </c>
      <c r="IO23">
        <v>99.2</v>
      </c>
      <c r="IP23">
        <v>90.1</v>
      </c>
      <c r="IQ23">
        <v>81.400000000000006</v>
      </c>
      <c r="IR23">
        <v>73.5</v>
      </c>
      <c r="IS23">
        <v>66.7</v>
      </c>
      <c r="IT23">
        <v>61.3</v>
      </c>
      <c r="IU23">
        <v>57.6</v>
      </c>
      <c r="IV23">
        <v>55.6</v>
      </c>
      <c r="IW23">
        <v>55.4</v>
      </c>
      <c r="IX23">
        <v>57.1</v>
      </c>
      <c r="IY23">
        <v>60.7</v>
      </c>
      <c r="IZ23">
        <v>66.3</v>
      </c>
      <c r="JA23">
        <v>73.7</v>
      </c>
      <c r="JB23">
        <v>82.9</v>
      </c>
      <c r="JC23">
        <v>93.7</v>
      </c>
      <c r="JD23">
        <v>5.7</v>
      </c>
      <c r="JE23">
        <v>18.3</v>
      </c>
      <c r="JF23">
        <v>31.1</v>
      </c>
      <c r="JG23">
        <v>43.2</v>
      </c>
      <c r="JH23">
        <v>54</v>
      </c>
      <c r="JI23">
        <v>62.7</v>
      </c>
      <c r="JJ23">
        <v>68.900000000000006</v>
      </c>
      <c r="JK23">
        <v>72.2</v>
      </c>
      <c r="JL23">
        <v>72.599999999999994</v>
      </c>
      <c r="JM23">
        <v>70.3</v>
      </c>
      <c r="JN23">
        <v>65.5</v>
      </c>
      <c r="JO23">
        <v>58.7</v>
      </c>
      <c r="JP23">
        <v>50.5</v>
      </c>
      <c r="JQ23">
        <v>41.5</v>
      </c>
      <c r="JR23">
        <v>32.4</v>
      </c>
      <c r="JS23">
        <v>23.7</v>
      </c>
      <c r="JT23">
        <v>16.2</v>
      </c>
      <c r="JU23">
        <v>10.199999999999999</v>
      </c>
      <c r="JV23">
        <v>6.2</v>
      </c>
      <c r="JW23">
        <v>4.5</v>
      </c>
      <c r="JX23">
        <v>5.2</v>
      </c>
      <c r="JY23">
        <v>8.1999999999999993</v>
      </c>
      <c r="JZ23">
        <v>13.3</v>
      </c>
      <c r="KA23">
        <v>20.3</v>
      </c>
      <c r="KB23">
        <v>28.7</v>
      </c>
      <c r="KC23">
        <v>38</v>
      </c>
      <c r="KD23">
        <v>48</v>
      </c>
      <c r="KE23">
        <v>58.2</v>
      </c>
      <c r="KF23">
        <v>68.3</v>
      </c>
      <c r="KG23">
        <v>78</v>
      </c>
      <c r="KH23">
        <v>87.2</v>
      </c>
      <c r="KI23">
        <v>95.3</v>
      </c>
      <c r="KJ23">
        <v>2.2999999999999998</v>
      </c>
      <c r="KK23">
        <v>7.7</v>
      </c>
      <c r="KL23">
        <v>11.3</v>
      </c>
      <c r="KM23">
        <v>12.8</v>
      </c>
      <c r="KN23">
        <v>12</v>
      </c>
      <c r="KO23">
        <v>8.9</v>
      </c>
      <c r="KP23">
        <v>3.7</v>
      </c>
      <c r="KQ23">
        <v>96.7</v>
      </c>
      <c r="KR23">
        <v>88.2</v>
      </c>
      <c r="KS23">
        <v>79</v>
      </c>
      <c r="KT23">
        <v>69.599999999999994</v>
      </c>
      <c r="KU23">
        <v>60.7</v>
      </c>
      <c r="KV23">
        <v>53</v>
      </c>
      <c r="KW23">
        <v>47.2</v>
      </c>
      <c r="KX23">
        <v>43.8</v>
      </c>
      <c r="KY23">
        <v>43.4</v>
      </c>
      <c r="KZ23">
        <v>46.2</v>
      </c>
      <c r="LA23">
        <v>52</v>
      </c>
      <c r="LB23">
        <v>60.7</v>
      </c>
      <c r="LC23">
        <v>71.5</v>
      </c>
      <c r="LD23">
        <v>83.6</v>
      </c>
      <c r="LE23">
        <v>96.2</v>
      </c>
      <c r="LF23">
        <v>8.5</v>
      </c>
      <c r="LG23">
        <v>19.8</v>
      </c>
      <c r="LH23">
        <v>29.6</v>
      </c>
      <c r="LI23">
        <v>37.9</v>
      </c>
      <c r="LJ23">
        <v>44.5</v>
      </c>
      <c r="LK23">
        <v>49.5</v>
      </c>
      <c r="LL23">
        <v>53</v>
      </c>
      <c r="LM23">
        <v>54.9</v>
      </c>
      <c r="LN23">
        <v>55.3</v>
      </c>
      <c r="LO23">
        <v>54</v>
      </c>
      <c r="LP23">
        <v>51.1</v>
      </c>
      <c r="LQ23">
        <v>46.6</v>
      </c>
      <c r="LR23">
        <v>40.299999999999997</v>
      </c>
      <c r="LS23">
        <v>32.6</v>
      </c>
      <c r="LT23">
        <v>23.7</v>
      </c>
      <c r="LU23">
        <v>14</v>
      </c>
      <c r="LV23">
        <v>4.0999999999999996</v>
      </c>
      <c r="LW23">
        <v>94.7</v>
      </c>
      <c r="LX23">
        <v>86.5</v>
      </c>
      <c r="LY23">
        <v>80.2</v>
      </c>
      <c r="LZ23">
        <v>76.5</v>
      </c>
      <c r="MA23">
        <v>76.2</v>
      </c>
      <c r="MB23">
        <v>79.599999999999994</v>
      </c>
      <c r="MC23">
        <v>86.9</v>
      </c>
      <c r="MD23">
        <v>97.8</v>
      </c>
      <c r="ME23">
        <v>11.7</v>
      </c>
      <c r="MF23">
        <v>27.3</v>
      </c>
      <c r="MG23">
        <v>43.6</v>
      </c>
      <c r="MH23">
        <v>59.2</v>
      </c>
      <c r="MI23">
        <v>73</v>
      </c>
      <c r="MJ23">
        <v>84.5</v>
      </c>
      <c r="MK23">
        <v>93.1</v>
      </c>
      <c r="ML23">
        <v>99.1</v>
      </c>
      <c r="MM23">
        <v>2.5</v>
      </c>
      <c r="MN23">
        <v>3.7</v>
      </c>
      <c r="MO23">
        <v>2.9</v>
      </c>
      <c r="MP23">
        <v>0.5</v>
      </c>
      <c r="MQ23">
        <v>96.6</v>
      </c>
      <c r="MR23">
        <v>91.4</v>
      </c>
      <c r="MS23">
        <v>84.9</v>
      </c>
      <c r="MT23">
        <v>77.3</v>
      </c>
      <c r="MU23">
        <v>68.599999999999994</v>
      </c>
      <c r="MV23">
        <v>59.1</v>
      </c>
      <c r="MW23">
        <v>49.1</v>
      </c>
      <c r="MX23">
        <v>38.9</v>
      </c>
      <c r="MY23">
        <v>29.2</v>
      </c>
      <c r="MZ23">
        <v>20.5</v>
      </c>
      <c r="NA23">
        <v>13.6</v>
      </c>
      <c r="NB23">
        <v>9.1999999999999993</v>
      </c>
      <c r="NC23">
        <v>8.1</v>
      </c>
      <c r="ND23">
        <v>10.8</v>
      </c>
      <c r="NE23">
        <v>17.7</v>
      </c>
      <c r="NF23">
        <v>28.7</v>
      </c>
      <c r="NG23">
        <v>43.4</v>
      </c>
      <c r="NH23">
        <v>60.8</v>
      </c>
      <c r="NI23">
        <v>79.5</v>
      </c>
      <c r="NJ23">
        <v>97.9</v>
      </c>
      <c r="NK23">
        <v>14.7</v>
      </c>
      <c r="NL23">
        <v>28.7</v>
      </c>
      <c r="NM23">
        <v>39.4</v>
      </c>
      <c r="NN23">
        <v>46.4</v>
      </c>
      <c r="NO23">
        <v>50.1</v>
      </c>
      <c r="NP23">
        <v>50.8</v>
      </c>
      <c r="NQ23">
        <v>48.8</v>
      </c>
      <c r="NR23">
        <v>44.8</v>
      </c>
      <c r="NS23">
        <v>39</v>
      </c>
      <c r="NT23">
        <v>32</v>
      </c>
      <c r="NU23">
        <v>23.8</v>
      </c>
      <c r="NV23">
        <v>14.9</v>
      </c>
      <c r="NW23">
        <v>5.4</v>
      </c>
      <c r="NX23">
        <v>95.5</v>
      </c>
      <c r="NY23">
        <v>85.5</v>
      </c>
      <c r="NZ23">
        <v>75.599999999999994</v>
      </c>
      <c r="OA23">
        <v>66.2</v>
      </c>
      <c r="OB23">
        <v>57.8</v>
      </c>
      <c r="OC23">
        <v>51</v>
      </c>
      <c r="OD23">
        <v>46.4</v>
      </c>
      <c r="OE23">
        <v>44.5</v>
      </c>
      <c r="OF23">
        <v>46.1</v>
      </c>
      <c r="OG23">
        <v>51.5</v>
      </c>
      <c r="OH23">
        <v>60.9</v>
      </c>
      <c r="OI23">
        <v>74.2</v>
      </c>
      <c r="OJ23">
        <v>90.6</v>
      </c>
      <c r="OK23">
        <v>9</v>
      </c>
      <c r="OL23">
        <v>28.1</v>
      </c>
      <c r="OM23">
        <v>46.3</v>
      </c>
      <c r="ON23">
        <v>62.3</v>
      </c>
      <c r="OO23">
        <v>75.099999999999994</v>
      </c>
      <c r="OP23">
        <v>84.2</v>
      </c>
      <c r="OQ23">
        <v>89.4</v>
      </c>
      <c r="OR23">
        <v>91.1</v>
      </c>
      <c r="OS23">
        <v>89.4</v>
      </c>
      <c r="OT23">
        <v>85.1</v>
      </c>
      <c r="OU23">
        <v>78.7</v>
      </c>
      <c r="OV23">
        <v>70.7</v>
      </c>
      <c r="OW23">
        <v>61.6</v>
      </c>
      <c r="OX23">
        <v>51.8</v>
      </c>
      <c r="OY23">
        <v>41.8</v>
      </c>
      <c r="OZ23">
        <v>31.9</v>
      </c>
      <c r="PA23">
        <v>22.3</v>
      </c>
      <c r="PB23">
        <v>13.3</v>
      </c>
      <c r="PC23">
        <v>5.2</v>
      </c>
      <c r="PD23">
        <v>98.2</v>
      </c>
      <c r="PE23">
        <v>92.7</v>
      </c>
      <c r="PF23">
        <v>89.1</v>
      </c>
      <c r="PG23">
        <v>87.8</v>
      </c>
      <c r="PH23">
        <v>89.2</v>
      </c>
      <c r="PI23">
        <v>93.5</v>
      </c>
      <c r="PJ23">
        <v>1.1000000000000001</v>
      </c>
      <c r="PK23">
        <v>11.8</v>
      </c>
      <c r="PL23">
        <v>25.3</v>
      </c>
      <c r="PM23">
        <v>41.1</v>
      </c>
      <c r="PN23">
        <v>58.1</v>
      </c>
      <c r="PO23">
        <v>75</v>
      </c>
      <c r="PP23">
        <v>90.8</v>
      </c>
      <c r="PQ23">
        <v>4.2</v>
      </c>
      <c r="PR23">
        <v>14.5</v>
      </c>
      <c r="PS23">
        <v>21.2</v>
      </c>
      <c r="PT23">
        <v>24.2</v>
      </c>
      <c r="PU23">
        <v>23.7</v>
      </c>
      <c r="PV23">
        <v>20.100000000000001</v>
      </c>
      <c r="PW23">
        <v>14</v>
      </c>
      <c r="PX23">
        <v>5.9</v>
      </c>
      <c r="PY23">
        <v>96.6</v>
      </c>
      <c r="PZ23">
        <v>86.6</v>
      </c>
      <c r="QA23">
        <v>76.599999999999994</v>
      </c>
      <c r="QB23">
        <v>66.900000000000006</v>
      </c>
      <c r="QC23">
        <v>58.1</v>
      </c>
      <c r="QD23">
        <v>50.4</v>
      </c>
      <c r="QE23">
        <v>44.2</v>
      </c>
      <c r="QF23">
        <v>39.5</v>
      </c>
      <c r="QG23">
        <v>36.6</v>
      </c>
      <c r="QH23">
        <v>35.6</v>
      </c>
      <c r="QI23">
        <v>36.4</v>
      </c>
      <c r="QJ23">
        <v>39.200000000000003</v>
      </c>
      <c r="QK23">
        <v>44.1</v>
      </c>
      <c r="QL23">
        <v>51</v>
      </c>
      <c r="QM23">
        <v>59.9</v>
      </c>
      <c r="QN23">
        <v>70.7</v>
      </c>
      <c r="QO23">
        <v>83</v>
      </c>
      <c r="QP23">
        <v>96.3</v>
      </c>
      <c r="QQ23">
        <v>9.9</v>
      </c>
      <c r="QR23">
        <v>23</v>
      </c>
      <c r="QS23">
        <v>34.799999999999997</v>
      </c>
      <c r="QT23">
        <v>44.3</v>
      </c>
      <c r="QU23">
        <v>51</v>
      </c>
      <c r="QV23">
        <v>54.5</v>
      </c>
      <c r="QW23">
        <v>54.7</v>
      </c>
      <c r="QX23">
        <v>51.9</v>
      </c>
      <c r="QY23">
        <v>46.3</v>
      </c>
      <c r="QZ23">
        <v>38.700000000000003</v>
      </c>
      <c r="RA23">
        <v>29.6</v>
      </c>
      <c r="RB23">
        <v>19.8</v>
      </c>
      <c r="RC23">
        <v>9.9</v>
      </c>
      <c r="RD23">
        <v>0.6</v>
      </c>
      <c r="RE23">
        <v>92.6</v>
      </c>
      <c r="RF23">
        <v>86.3</v>
      </c>
      <c r="RG23">
        <v>82</v>
      </c>
      <c r="RH23">
        <v>80</v>
      </c>
      <c r="RI23">
        <v>80.2</v>
      </c>
      <c r="RJ23">
        <v>82.6</v>
      </c>
      <c r="RK23">
        <v>86.9</v>
      </c>
      <c r="RL23">
        <v>92.8</v>
      </c>
      <c r="RM23">
        <v>100</v>
      </c>
      <c r="RN23">
        <v>8.1999999999999993</v>
      </c>
      <c r="RO23">
        <v>17.100000000000001</v>
      </c>
      <c r="RP23">
        <v>26.5</v>
      </c>
      <c r="RQ23">
        <v>36.4</v>
      </c>
      <c r="RR23">
        <v>46.4</v>
      </c>
      <c r="RS23">
        <v>56.4</v>
      </c>
      <c r="RT23">
        <v>65.8</v>
      </c>
      <c r="RU23">
        <v>74.2</v>
      </c>
      <c r="RV23">
        <v>81.2</v>
      </c>
      <c r="RW23">
        <v>86</v>
      </c>
      <c r="RX23">
        <v>88.4</v>
      </c>
      <c r="RY23">
        <v>88.1</v>
      </c>
      <c r="RZ23">
        <v>85.2</v>
      </c>
      <c r="SA23">
        <v>79.8</v>
      </c>
      <c r="SB23">
        <v>72.400000000000006</v>
      </c>
      <c r="SC23">
        <v>63.5</v>
      </c>
      <c r="SD23">
        <v>53.9</v>
      </c>
      <c r="SE23">
        <v>44.2</v>
      </c>
      <c r="SF23">
        <v>35.200000000000003</v>
      </c>
      <c r="SG23">
        <v>27.7</v>
      </c>
      <c r="SH23">
        <v>22.3</v>
      </c>
      <c r="SI23">
        <v>19.5</v>
      </c>
      <c r="SJ23">
        <v>19.5</v>
      </c>
      <c r="SK23">
        <v>22.5</v>
      </c>
      <c r="SL23">
        <v>28.3</v>
      </c>
      <c r="SM23">
        <v>36.4</v>
      </c>
      <c r="SN23">
        <v>46.2</v>
      </c>
      <c r="SO23">
        <v>56.9</v>
      </c>
      <c r="SP23">
        <v>67.900000000000006</v>
      </c>
      <c r="SQ23">
        <v>78.7</v>
      </c>
      <c r="SR23">
        <v>88.7</v>
      </c>
      <c r="SS23">
        <v>98</v>
      </c>
      <c r="ST23">
        <v>6.3</v>
      </c>
      <c r="SU23">
        <v>13.6</v>
      </c>
      <c r="SV23">
        <v>19.8</v>
      </c>
      <c r="SW23">
        <v>24.8</v>
      </c>
      <c r="SX23">
        <v>28.4</v>
      </c>
      <c r="SY23">
        <v>30.4</v>
      </c>
      <c r="SZ23">
        <v>30.5</v>
      </c>
      <c r="TA23">
        <v>28.5</v>
      </c>
      <c r="TB23">
        <v>24.4</v>
      </c>
      <c r="TC23">
        <v>18.399999999999999</v>
      </c>
      <c r="TD23">
        <v>10.7</v>
      </c>
      <c r="TE23">
        <v>1.7</v>
      </c>
      <c r="TF23">
        <v>92.1</v>
      </c>
      <c r="TG23">
        <v>82.5</v>
      </c>
      <c r="TH23">
        <v>73.599999999999994</v>
      </c>
      <c r="TI23">
        <v>66.2</v>
      </c>
      <c r="TJ23">
        <v>61.1</v>
      </c>
      <c r="TK23">
        <v>58.9</v>
      </c>
      <c r="TL23">
        <v>60</v>
      </c>
      <c r="TM23">
        <v>64.7</v>
      </c>
      <c r="TN23">
        <v>72.8</v>
      </c>
      <c r="TO23">
        <v>83.9</v>
      </c>
      <c r="TP23">
        <v>97.1</v>
      </c>
      <c r="TQ23">
        <v>11.5</v>
      </c>
      <c r="TR23">
        <v>26</v>
      </c>
      <c r="TS23">
        <v>39.6</v>
      </c>
      <c r="TT23">
        <v>51.8</v>
      </c>
      <c r="TU23">
        <v>62.1</v>
      </c>
      <c r="TV23">
        <v>70.400000000000006</v>
      </c>
      <c r="TW23">
        <v>76.7</v>
      </c>
      <c r="TX23">
        <v>81</v>
      </c>
      <c r="TY23">
        <v>83.5</v>
      </c>
      <c r="TZ23">
        <v>84.2</v>
      </c>
      <c r="UA23">
        <v>83.3</v>
      </c>
      <c r="UB23">
        <v>80.8</v>
      </c>
      <c r="UC23">
        <v>76.599999999999994</v>
      </c>
      <c r="UD23">
        <v>70.8</v>
      </c>
      <c r="UE23">
        <v>63.6</v>
      </c>
      <c r="UF23">
        <v>55.2</v>
      </c>
      <c r="UG23">
        <v>45.9</v>
      </c>
      <c r="UH23">
        <v>36.200000000000003</v>
      </c>
      <c r="UI23">
        <v>26.6</v>
      </c>
      <c r="UJ23">
        <v>17.7</v>
      </c>
      <c r="UK23">
        <v>10.4</v>
      </c>
      <c r="UL23">
        <v>5.2</v>
      </c>
      <c r="UM23">
        <v>3</v>
      </c>
      <c r="UN23">
        <v>4.0999999999999996</v>
      </c>
      <c r="UO23">
        <v>9.1</v>
      </c>
      <c r="UP23">
        <v>17.899999999999999</v>
      </c>
      <c r="UQ23">
        <v>30.2</v>
      </c>
      <c r="UR23">
        <v>45.3</v>
      </c>
      <c r="US23">
        <v>62.2</v>
      </c>
      <c r="UT23">
        <v>79.5</v>
      </c>
      <c r="UU23">
        <v>96.2</v>
      </c>
      <c r="UV23">
        <v>11.1</v>
      </c>
      <c r="UW23">
        <v>23.5</v>
      </c>
      <c r="UX23">
        <v>33</v>
      </c>
      <c r="UY23">
        <v>39.700000000000003</v>
      </c>
      <c r="UZ23">
        <v>43.5</v>
      </c>
      <c r="VA23">
        <v>44.8</v>
      </c>
      <c r="VB23">
        <v>43.7</v>
      </c>
      <c r="VC23">
        <v>40.700000000000003</v>
      </c>
      <c r="VD23">
        <v>35.9</v>
      </c>
      <c r="VE23">
        <v>29.7</v>
      </c>
      <c r="VF23">
        <v>22.2</v>
      </c>
      <c r="VG23">
        <v>13.8</v>
      </c>
      <c r="VH23">
        <v>4.5999999999999996</v>
      </c>
      <c r="VI23">
        <v>95</v>
      </c>
      <c r="VJ23">
        <v>85.3</v>
      </c>
      <c r="VK23">
        <v>76</v>
      </c>
      <c r="VL23">
        <v>67.5</v>
      </c>
      <c r="VM23">
        <v>60.4</v>
      </c>
      <c r="VN23">
        <v>55.3</v>
      </c>
      <c r="VO23">
        <v>52.8</v>
      </c>
      <c r="VP23">
        <v>53.5</v>
      </c>
      <c r="VQ23">
        <v>57.8</v>
      </c>
      <c r="VR23">
        <v>65.8</v>
      </c>
      <c r="VS23">
        <v>77.599999999999994</v>
      </c>
      <c r="VT23">
        <v>92.6</v>
      </c>
      <c r="VU23">
        <v>9.9</v>
      </c>
      <c r="VV23">
        <v>28.4</v>
      </c>
      <c r="VW23">
        <v>46.8</v>
      </c>
      <c r="VX23">
        <v>63.7</v>
      </c>
      <c r="VY23">
        <v>78.2</v>
      </c>
      <c r="VZ23">
        <v>89.6</v>
      </c>
      <c r="WA23">
        <v>97.5</v>
      </c>
      <c r="WB23">
        <v>1.9</v>
      </c>
      <c r="WC23">
        <v>3</v>
      </c>
      <c r="WD23">
        <v>1.2</v>
      </c>
      <c r="WE23">
        <v>97</v>
      </c>
      <c r="WF23">
        <v>90.8</v>
      </c>
      <c r="WG23">
        <v>83.2</v>
      </c>
      <c r="WH23">
        <v>74.5</v>
      </c>
      <c r="WI23">
        <v>65.2</v>
      </c>
      <c r="WJ23">
        <v>55.5</v>
      </c>
      <c r="WK23">
        <v>45.9</v>
      </c>
      <c r="WL23">
        <v>36.700000000000003</v>
      </c>
      <c r="WM23">
        <v>28.1</v>
      </c>
      <c r="WN23">
        <v>20.5</v>
      </c>
      <c r="WO23">
        <v>14.3</v>
      </c>
      <c r="WP23">
        <v>9.9</v>
      </c>
      <c r="WQ23">
        <v>7.7</v>
      </c>
      <c r="WR23">
        <v>8.1</v>
      </c>
      <c r="WS23">
        <v>11.6</v>
      </c>
      <c r="WT23">
        <v>18.3</v>
      </c>
      <c r="WU23">
        <v>28.3</v>
      </c>
      <c r="WV23">
        <v>41.5</v>
      </c>
      <c r="WW23">
        <v>57.2</v>
      </c>
      <c r="WX23">
        <v>74.599999999999994</v>
      </c>
      <c r="WY23">
        <v>92.7</v>
      </c>
      <c r="WZ23">
        <v>10</v>
      </c>
      <c r="XA23">
        <v>25.5</v>
      </c>
      <c r="XB23">
        <v>38.1</v>
      </c>
      <c r="XC23">
        <v>47.2</v>
      </c>
      <c r="XD23">
        <v>52.5</v>
      </c>
      <c r="XE23">
        <v>54.2</v>
      </c>
      <c r="XF23">
        <v>52.5</v>
      </c>
      <c r="XG23">
        <v>48</v>
      </c>
      <c r="XH23">
        <v>41.2</v>
      </c>
      <c r="XI23">
        <v>32.799999999999997</v>
      </c>
      <c r="XJ23">
        <v>23.4</v>
      </c>
      <c r="XK23">
        <v>13.6</v>
      </c>
      <c r="XL23">
        <v>3.9</v>
      </c>
      <c r="XM23">
        <v>94.7</v>
      </c>
      <c r="XN23">
        <v>86.3</v>
      </c>
      <c r="XO23">
        <v>79</v>
      </c>
      <c r="XP23">
        <v>73</v>
      </c>
      <c r="XQ23">
        <v>68.599999999999994</v>
      </c>
      <c r="XR23">
        <v>65.8</v>
      </c>
      <c r="XS23">
        <v>64.900000000000006</v>
      </c>
      <c r="XT23">
        <v>66.099999999999994</v>
      </c>
      <c r="XU23">
        <v>69.400000000000006</v>
      </c>
      <c r="XV23">
        <v>75.2</v>
      </c>
      <c r="XW23">
        <v>83.5</v>
      </c>
      <c r="XX23">
        <v>94.2</v>
      </c>
      <c r="XY23">
        <v>7.2</v>
      </c>
      <c r="XZ23">
        <v>21.9</v>
      </c>
      <c r="YA23">
        <v>37.5</v>
      </c>
      <c r="YB23">
        <v>53.1</v>
      </c>
      <c r="YC23">
        <v>67.599999999999994</v>
      </c>
      <c r="YD23">
        <v>79.900000000000006</v>
      </c>
      <c r="YE23">
        <v>89.2</v>
      </c>
      <c r="YF23">
        <v>95</v>
      </c>
      <c r="YG23">
        <v>97.1</v>
      </c>
      <c r="YH23">
        <v>95.7</v>
      </c>
      <c r="YI23">
        <v>91.3</v>
      </c>
      <c r="YJ23">
        <v>84.4</v>
      </c>
      <c r="YK23">
        <v>75.8</v>
      </c>
      <c r="YL23">
        <v>66.2</v>
      </c>
      <c r="YM23">
        <v>56.2</v>
      </c>
      <c r="YN23">
        <v>46.6</v>
      </c>
      <c r="YO23">
        <v>38</v>
      </c>
      <c r="YP23">
        <v>30.6</v>
      </c>
      <c r="YQ23">
        <v>24.9</v>
      </c>
      <c r="YR23">
        <v>21.1</v>
      </c>
      <c r="YS23">
        <v>19.100000000000001</v>
      </c>
      <c r="YT23">
        <v>18.899999999999999</v>
      </c>
      <c r="YU23">
        <v>20.5</v>
      </c>
      <c r="YV23">
        <v>23.7</v>
      </c>
      <c r="YW23">
        <v>28.4</v>
      </c>
      <c r="YX23">
        <v>34.6</v>
      </c>
      <c r="YY23">
        <v>42.2</v>
      </c>
      <c r="YZ23">
        <v>51.2</v>
      </c>
      <c r="ZA23">
        <v>61.5</v>
      </c>
      <c r="ZB23">
        <v>72.900000000000006</v>
      </c>
      <c r="ZC23">
        <v>85.1</v>
      </c>
      <c r="ZD23">
        <v>97.4</v>
      </c>
      <c r="ZE23">
        <v>9</v>
      </c>
      <c r="ZF23">
        <v>19.100000000000001</v>
      </c>
      <c r="ZG23">
        <v>26.8</v>
      </c>
      <c r="ZH23">
        <v>31.7</v>
      </c>
      <c r="ZI23">
        <v>33.4</v>
      </c>
      <c r="ZJ23">
        <v>31.9</v>
      </c>
      <c r="ZK23">
        <v>27.4</v>
      </c>
      <c r="ZL23">
        <v>20.5</v>
      </c>
      <c r="ZM23">
        <v>11.9</v>
      </c>
      <c r="ZN23">
        <v>2.2000000000000002</v>
      </c>
      <c r="ZO23">
        <v>92.2</v>
      </c>
      <c r="ZP23">
        <v>82.7</v>
      </c>
      <c r="ZQ23">
        <v>74.400000000000006</v>
      </c>
      <c r="ZR23">
        <v>67.8</v>
      </c>
      <c r="ZS23">
        <v>63.4</v>
      </c>
      <c r="ZT23">
        <v>61.5</v>
      </c>
      <c r="ZU23">
        <v>62.1</v>
      </c>
      <c r="ZV23">
        <v>65</v>
      </c>
      <c r="ZW23">
        <v>69.900000000000006</v>
      </c>
      <c r="ZX23">
        <v>76.3</v>
      </c>
      <c r="ZY23">
        <v>83.9</v>
      </c>
      <c r="ZZ23">
        <v>92.2</v>
      </c>
      <c r="AAA23">
        <v>0.8</v>
      </c>
      <c r="AAB23">
        <v>9.8000000000000007</v>
      </c>
      <c r="AAC23">
        <v>18.8</v>
      </c>
      <c r="AAD23">
        <v>27.9</v>
      </c>
      <c r="AAE23">
        <v>36.9</v>
      </c>
      <c r="AAF23">
        <v>45.5</v>
      </c>
      <c r="AAG23">
        <v>53.3</v>
      </c>
      <c r="AAH23">
        <v>59.8</v>
      </c>
      <c r="AAI23">
        <v>64.599999999999994</v>
      </c>
      <c r="AAJ23">
        <v>67.099999999999994</v>
      </c>
      <c r="AAK23">
        <v>67.099999999999994</v>
      </c>
      <c r="AAL23">
        <v>64.5</v>
      </c>
      <c r="AAM23">
        <v>59.4</v>
      </c>
      <c r="AAN23">
        <v>52.2</v>
      </c>
      <c r="AAO23">
        <v>43.3</v>
      </c>
      <c r="AAP23">
        <v>33.5</v>
      </c>
      <c r="AAQ23">
        <v>23.3</v>
      </c>
      <c r="AAR23">
        <v>13.7</v>
      </c>
      <c r="AAS23">
        <v>5.4</v>
      </c>
      <c r="AAT23">
        <v>98.9</v>
      </c>
      <c r="AAU23">
        <v>95.1</v>
      </c>
      <c r="AAV23">
        <v>94.2</v>
      </c>
      <c r="AAW23">
        <v>96.5</v>
      </c>
      <c r="AAX23">
        <v>1.8</v>
      </c>
      <c r="AAY23">
        <v>9.8000000000000007</v>
      </c>
      <c r="AAZ23">
        <v>19.8</v>
      </c>
      <c r="ABA23">
        <v>31.1</v>
      </c>
      <c r="ABB23">
        <v>42.9</v>
      </c>
      <c r="ABC23">
        <v>54.5</v>
      </c>
      <c r="ABD23">
        <v>65.400000000000006</v>
      </c>
      <c r="ABE23">
        <v>75.2</v>
      </c>
      <c r="ABF23">
        <v>83.8</v>
      </c>
      <c r="ABG23">
        <v>91.1</v>
      </c>
      <c r="ABH23">
        <v>97</v>
      </c>
      <c r="ABI23">
        <v>1.4</v>
      </c>
      <c r="ABJ23">
        <v>4.3</v>
      </c>
      <c r="ABK23">
        <v>5.4</v>
      </c>
      <c r="ABL23">
        <v>4.7</v>
      </c>
      <c r="ABM23">
        <v>2.1</v>
      </c>
      <c r="ABN23">
        <v>97.5</v>
      </c>
      <c r="ABO23">
        <v>91.1</v>
      </c>
      <c r="ABP23">
        <v>83.1</v>
      </c>
      <c r="ABQ23">
        <v>73.8</v>
      </c>
      <c r="ABR23">
        <v>63.7</v>
      </c>
      <c r="ABS23">
        <v>53.5</v>
      </c>
      <c r="ABT23">
        <v>43.7</v>
      </c>
      <c r="ABU23">
        <v>35</v>
      </c>
      <c r="ABV23">
        <v>28.2</v>
      </c>
      <c r="ABW23">
        <v>24</v>
      </c>
      <c r="ABX23">
        <v>22.9</v>
      </c>
      <c r="ABY23">
        <v>25.3</v>
      </c>
      <c r="ABZ23">
        <v>31.4</v>
      </c>
      <c r="ACA23">
        <v>40.9</v>
      </c>
      <c r="ACB23">
        <v>53.3</v>
      </c>
      <c r="ACC23">
        <v>67.7</v>
      </c>
      <c r="ACD23">
        <v>83.2</v>
      </c>
      <c r="ACE23">
        <v>98.6</v>
      </c>
      <c r="ACF23">
        <v>12.9</v>
      </c>
      <c r="ACG23">
        <v>25.4</v>
      </c>
      <c r="ACH23">
        <v>35.5</v>
      </c>
      <c r="ACI23">
        <v>43.2</v>
      </c>
      <c r="ACJ23">
        <v>48.2</v>
      </c>
      <c r="ACK23">
        <v>50.8</v>
      </c>
      <c r="ACL23">
        <v>51</v>
      </c>
      <c r="ACM23">
        <v>49.2</v>
      </c>
      <c r="ACN23">
        <v>45.5</v>
      </c>
      <c r="ACO23">
        <v>40.200000000000003</v>
      </c>
      <c r="ACP23">
        <v>33.4</v>
      </c>
      <c r="ACQ23">
        <v>25.3</v>
      </c>
      <c r="ACR23">
        <v>16.2</v>
      </c>
      <c r="ACS23">
        <v>6.4</v>
      </c>
      <c r="ACT23">
        <v>96.2</v>
      </c>
      <c r="ACU23">
        <v>86</v>
      </c>
      <c r="ACV23">
        <v>76.3</v>
      </c>
      <c r="ACW23">
        <v>67.599999999999994</v>
      </c>
      <c r="ACX23">
        <v>60.5</v>
      </c>
      <c r="ACY23">
        <v>55.7</v>
      </c>
      <c r="ACZ23">
        <v>53.7</v>
      </c>
      <c r="ADA23">
        <v>55.1</v>
      </c>
      <c r="ADB23">
        <v>60.2</v>
      </c>
      <c r="ADC23">
        <v>69.099999999999994</v>
      </c>
      <c r="ADD23">
        <v>81.599999999999994</v>
      </c>
      <c r="ADE23">
        <v>97.1</v>
      </c>
      <c r="ADF23">
        <v>14.6</v>
      </c>
      <c r="ADG23">
        <v>32.700000000000003</v>
      </c>
      <c r="ADH23">
        <v>50.3</v>
      </c>
      <c r="ADI23">
        <v>66</v>
      </c>
      <c r="ADJ23">
        <v>79</v>
      </c>
      <c r="ADK23">
        <v>88.5</v>
      </c>
      <c r="ADL23">
        <v>94.5</v>
      </c>
      <c r="ADM23">
        <v>97</v>
      </c>
      <c r="ADN23">
        <v>96.3</v>
      </c>
      <c r="ADO23">
        <v>92.9</v>
      </c>
      <c r="ADP23">
        <v>87.4</v>
      </c>
    </row>
    <row r="24" spans="1:796">
      <c r="A24" t="s">
        <v>4284</v>
      </c>
      <c r="B24">
        <v>24</v>
      </c>
      <c r="C24" t="s">
        <v>4350</v>
      </c>
      <c r="D24">
        <v>95</v>
      </c>
      <c r="AH24" t="s">
        <v>850</v>
      </c>
      <c r="BB24" t="s">
        <v>850</v>
      </c>
      <c r="CG24" t="s">
        <v>850</v>
      </c>
      <c r="DN24" t="s">
        <v>850</v>
      </c>
      <c r="EH24" t="s">
        <v>850</v>
      </c>
      <c r="FO24" t="s">
        <v>850</v>
      </c>
      <c r="GK24" t="s">
        <v>850</v>
      </c>
      <c r="HT24" t="s">
        <v>850</v>
      </c>
      <c r="IO24" t="s">
        <v>850</v>
      </c>
      <c r="KQ24" t="s">
        <v>850</v>
      </c>
      <c r="LW24" t="s">
        <v>850</v>
      </c>
      <c r="MQ24" t="s">
        <v>850</v>
      </c>
      <c r="NX24" t="s">
        <v>850</v>
      </c>
      <c r="PD24" t="s">
        <v>850</v>
      </c>
      <c r="PY24" t="s">
        <v>850</v>
      </c>
      <c r="RE24" t="s">
        <v>850</v>
      </c>
      <c r="TF24" t="s">
        <v>850</v>
      </c>
      <c r="VI24" t="s">
        <v>850</v>
      </c>
      <c r="WE24" t="s">
        <v>850</v>
      </c>
      <c r="XM24" t="s">
        <v>850</v>
      </c>
      <c r="ZO24" t="s">
        <v>850</v>
      </c>
      <c r="AAT24" t="s">
        <v>850</v>
      </c>
      <c r="ABN24" t="s">
        <v>850</v>
      </c>
      <c r="ACT24" t="s">
        <v>850</v>
      </c>
    </row>
    <row r="25" spans="1:796">
      <c r="A25" t="s">
        <v>4268</v>
      </c>
      <c r="B25">
        <v>25</v>
      </c>
      <c r="C25" t="s">
        <v>4331</v>
      </c>
      <c r="D25">
        <v>76</v>
      </c>
      <c r="E25">
        <v>17</v>
      </c>
      <c r="F25">
        <v>18</v>
      </c>
      <c r="G25">
        <v>19</v>
      </c>
      <c r="H25">
        <v>20</v>
      </c>
      <c r="I25">
        <v>21</v>
      </c>
      <c r="J25">
        <v>22</v>
      </c>
      <c r="K25">
        <v>23</v>
      </c>
      <c r="L25">
        <v>24</v>
      </c>
      <c r="M25">
        <v>25</v>
      </c>
      <c r="N25">
        <v>26</v>
      </c>
      <c r="O25">
        <v>27</v>
      </c>
      <c r="P25">
        <v>29</v>
      </c>
      <c r="Q25">
        <v>30</v>
      </c>
      <c r="R25">
        <v>1</v>
      </c>
      <c r="S25">
        <v>2</v>
      </c>
      <c r="T25">
        <v>3</v>
      </c>
      <c r="U25">
        <v>4</v>
      </c>
      <c r="V25">
        <v>5</v>
      </c>
      <c r="W25">
        <v>6</v>
      </c>
      <c r="X25">
        <v>7</v>
      </c>
      <c r="Y25">
        <v>8</v>
      </c>
      <c r="Z25">
        <v>9</v>
      </c>
      <c r="AA25">
        <v>10</v>
      </c>
      <c r="AB25">
        <v>11</v>
      </c>
      <c r="AC25">
        <v>12</v>
      </c>
      <c r="AD25">
        <v>13</v>
      </c>
      <c r="AE25">
        <v>14</v>
      </c>
      <c r="AF25">
        <v>15</v>
      </c>
      <c r="AG25">
        <v>16</v>
      </c>
      <c r="AH25">
        <v>16</v>
      </c>
      <c r="AI25">
        <v>17</v>
      </c>
      <c r="AJ25">
        <v>18</v>
      </c>
      <c r="AK25">
        <v>19</v>
      </c>
      <c r="AL25">
        <v>20</v>
      </c>
      <c r="AM25">
        <v>21</v>
      </c>
      <c r="AN25">
        <v>22</v>
      </c>
      <c r="AO25">
        <v>24</v>
      </c>
      <c r="AP25">
        <v>25</v>
      </c>
      <c r="AQ25">
        <v>26</v>
      </c>
      <c r="AR25">
        <v>27</v>
      </c>
      <c r="AS25">
        <v>28</v>
      </c>
      <c r="AT25">
        <v>29</v>
      </c>
      <c r="AU25">
        <v>30</v>
      </c>
      <c r="AV25">
        <v>1</v>
      </c>
      <c r="AW25">
        <v>3</v>
      </c>
      <c r="AX25">
        <v>4</v>
      </c>
      <c r="AY25">
        <v>5</v>
      </c>
      <c r="AZ25">
        <v>6</v>
      </c>
      <c r="BA25">
        <v>7</v>
      </c>
      <c r="BB25">
        <v>7</v>
      </c>
      <c r="BC25">
        <v>8</v>
      </c>
      <c r="BD25">
        <v>9</v>
      </c>
      <c r="BE25">
        <v>10</v>
      </c>
      <c r="BF25">
        <v>11</v>
      </c>
      <c r="BG25">
        <v>12</v>
      </c>
      <c r="BH25">
        <v>13</v>
      </c>
      <c r="BI25">
        <v>14</v>
      </c>
      <c r="BJ25">
        <v>15</v>
      </c>
      <c r="BK25">
        <v>16</v>
      </c>
      <c r="BL25">
        <v>17</v>
      </c>
      <c r="BM25">
        <v>18</v>
      </c>
      <c r="BN25">
        <v>19</v>
      </c>
      <c r="BO25">
        <v>20</v>
      </c>
      <c r="BP25">
        <v>21</v>
      </c>
      <c r="BQ25">
        <v>22</v>
      </c>
      <c r="BR25">
        <v>23</v>
      </c>
      <c r="BS25">
        <v>24</v>
      </c>
      <c r="BT25">
        <v>25</v>
      </c>
      <c r="BU25">
        <v>27</v>
      </c>
      <c r="BV25">
        <v>28</v>
      </c>
      <c r="BW25">
        <v>29</v>
      </c>
      <c r="BX25">
        <v>30</v>
      </c>
      <c r="BY25">
        <v>1</v>
      </c>
      <c r="BZ25">
        <v>2</v>
      </c>
      <c r="CA25">
        <v>3</v>
      </c>
      <c r="CB25">
        <v>4</v>
      </c>
      <c r="CC25">
        <v>5</v>
      </c>
      <c r="CD25">
        <v>6</v>
      </c>
      <c r="CE25">
        <v>7</v>
      </c>
      <c r="CF25">
        <v>8</v>
      </c>
      <c r="CG25">
        <v>8</v>
      </c>
      <c r="CH25">
        <v>9</v>
      </c>
      <c r="CI25">
        <v>10</v>
      </c>
      <c r="CJ25">
        <v>11</v>
      </c>
      <c r="CK25">
        <v>12</v>
      </c>
      <c r="CL25">
        <v>13</v>
      </c>
      <c r="CM25">
        <v>14</v>
      </c>
      <c r="CN25">
        <v>15</v>
      </c>
      <c r="CO25">
        <v>16</v>
      </c>
      <c r="CP25">
        <v>17</v>
      </c>
      <c r="CQ25">
        <v>18</v>
      </c>
      <c r="CR25">
        <v>20</v>
      </c>
      <c r="CS25">
        <v>21</v>
      </c>
      <c r="CT25">
        <v>22</v>
      </c>
      <c r="CU25">
        <v>23</v>
      </c>
      <c r="CV25">
        <v>24</v>
      </c>
      <c r="CW25">
        <v>25</v>
      </c>
      <c r="CX25">
        <v>26</v>
      </c>
      <c r="CY25">
        <v>27</v>
      </c>
      <c r="CZ25">
        <v>28</v>
      </c>
      <c r="DA25">
        <v>29</v>
      </c>
      <c r="DB25">
        <v>30</v>
      </c>
      <c r="DC25">
        <v>1</v>
      </c>
      <c r="DD25">
        <v>2</v>
      </c>
      <c r="DE25">
        <v>3</v>
      </c>
      <c r="DF25">
        <v>4</v>
      </c>
      <c r="DG25">
        <v>5</v>
      </c>
      <c r="DH25">
        <v>6</v>
      </c>
      <c r="DI25">
        <v>7</v>
      </c>
      <c r="DJ25">
        <v>8</v>
      </c>
      <c r="DK25">
        <v>9</v>
      </c>
      <c r="DL25">
        <v>10</v>
      </c>
      <c r="DM25">
        <v>11</v>
      </c>
      <c r="DN25">
        <v>11</v>
      </c>
      <c r="DO25">
        <v>13</v>
      </c>
      <c r="DP25">
        <v>14</v>
      </c>
      <c r="DQ25">
        <v>15</v>
      </c>
      <c r="DR25">
        <v>16</v>
      </c>
      <c r="DS25">
        <v>17</v>
      </c>
      <c r="DT25">
        <v>18</v>
      </c>
      <c r="DU25">
        <v>19</v>
      </c>
      <c r="DV25">
        <v>20</v>
      </c>
      <c r="DW25">
        <v>21</v>
      </c>
      <c r="DX25">
        <v>23</v>
      </c>
      <c r="DY25">
        <v>24</v>
      </c>
      <c r="DZ25">
        <v>25</v>
      </c>
      <c r="EA25">
        <v>26</v>
      </c>
      <c r="EB25">
        <v>27</v>
      </c>
      <c r="EC25">
        <v>28</v>
      </c>
      <c r="ED25">
        <v>29</v>
      </c>
      <c r="EE25">
        <v>30</v>
      </c>
      <c r="EF25">
        <v>1</v>
      </c>
      <c r="EG25">
        <v>2</v>
      </c>
      <c r="EH25">
        <v>2</v>
      </c>
      <c r="EI25">
        <v>3</v>
      </c>
      <c r="EJ25">
        <v>4</v>
      </c>
      <c r="EK25">
        <v>5</v>
      </c>
      <c r="EL25">
        <v>6</v>
      </c>
      <c r="EM25">
        <v>7</v>
      </c>
      <c r="EN25">
        <v>8</v>
      </c>
      <c r="EO25">
        <v>9</v>
      </c>
      <c r="EP25">
        <v>10</v>
      </c>
      <c r="EQ25">
        <v>11</v>
      </c>
      <c r="ER25">
        <v>12</v>
      </c>
      <c r="ES25">
        <v>13</v>
      </c>
      <c r="ET25">
        <v>14</v>
      </c>
      <c r="EU25">
        <v>15</v>
      </c>
      <c r="EV25">
        <v>16</v>
      </c>
      <c r="EW25">
        <v>18</v>
      </c>
      <c r="EX25">
        <v>19</v>
      </c>
      <c r="EY25">
        <v>20</v>
      </c>
      <c r="EZ25">
        <v>21</v>
      </c>
      <c r="FA25">
        <v>22</v>
      </c>
      <c r="FB25">
        <v>23</v>
      </c>
      <c r="FC25">
        <v>24</v>
      </c>
      <c r="FD25">
        <v>25</v>
      </c>
      <c r="FE25">
        <v>26</v>
      </c>
      <c r="FF25">
        <v>27</v>
      </c>
      <c r="FG25">
        <v>28</v>
      </c>
      <c r="FH25">
        <v>29</v>
      </c>
      <c r="FI25">
        <v>30</v>
      </c>
      <c r="FJ25">
        <v>1</v>
      </c>
      <c r="FK25">
        <v>2</v>
      </c>
      <c r="FL25">
        <v>3</v>
      </c>
      <c r="FM25">
        <v>4</v>
      </c>
      <c r="FN25">
        <v>5</v>
      </c>
      <c r="FO25">
        <v>5</v>
      </c>
      <c r="FP25">
        <v>6</v>
      </c>
      <c r="FQ25">
        <v>7</v>
      </c>
      <c r="FR25">
        <v>8</v>
      </c>
      <c r="FS25">
        <v>9</v>
      </c>
      <c r="FT25">
        <v>10</v>
      </c>
      <c r="FU25">
        <v>11</v>
      </c>
      <c r="FV25">
        <v>13</v>
      </c>
      <c r="FW25">
        <v>14</v>
      </c>
      <c r="FX25">
        <v>15</v>
      </c>
      <c r="FY25">
        <v>16</v>
      </c>
      <c r="FZ25">
        <v>17</v>
      </c>
      <c r="GA25">
        <v>18</v>
      </c>
      <c r="GB25">
        <v>20</v>
      </c>
      <c r="GC25">
        <v>21</v>
      </c>
      <c r="GD25">
        <v>22</v>
      </c>
      <c r="GE25">
        <v>23</v>
      </c>
      <c r="GF25">
        <v>24</v>
      </c>
      <c r="GG25">
        <v>25</v>
      </c>
      <c r="GH25">
        <v>26</v>
      </c>
      <c r="GI25">
        <v>27</v>
      </c>
      <c r="GJ25">
        <v>28</v>
      </c>
      <c r="GK25">
        <v>28</v>
      </c>
      <c r="GL25">
        <v>29</v>
      </c>
      <c r="GM25">
        <v>30</v>
      </c>
      <c r="GN25">
        <v>1</v>
      </c>
      <c r="GO25">
        <v>2</v>
      </c>
      <c r="GP25">
        <v>3</v>
      </c>
      <c r="GQ25">
        <v>4</v>
      </c>
      <c r="GR25">
        <v>5</v>
      </c>
      <c r="GS25">
        <v>6</v>
      </c>
      <c r="GT25">
        <v>7</v>
      </c>
      <c r="GU25">
        <v>8</v>
      </c>
      <c r="GV25">
        <v>9</v>
      </c>
      <c r="GW25">
        <v>10</v>
      </c>
      <c r="GX25">
        <v>11</v>
      </c>
      <c r="GY25">
        <v>12</v>
      </c>
      <c r="GZ25">
        <v>13</v>
      </c>
      <c r="HA25">
        <v>15</v>
      </c>
      <c r="HB25">
        <v>16</v>
      </c>
      <c r="HC25">
        <v>17</v>
      </c>
      <c r="HD25">
        <v>18</v>
      </c>
      <c r="HE25">
        <v>19</v>
      </c>
      <c r="HF25">
        <v>20</v>
      </c>
      <c r="HG25">
        <v>21</v>
      </c>
      <c r="HH25">
        <v>22</v>
      </c>
      <c r="HI25">
        <v>23</v>
      </c>
      <c r="HJ25">
        <v>24</v>
      </c>
      <c r="HK25">
        <v>25</v>
      </c>
      <c r="HL25">
        <v>26</v>
      </c>
      <c r="HM25">
        <v>27</v>
      </c>
      <c r="HN25">
        <v>28</v>
      </c>
      <c r="HO25">
        <v>29</v>
      </c>
      <c r="HP25">
        <v>30</v>
      </c>
      <c r="HQ25">
        <v>1</v>
      </c>
      <c r="HR25">
        <v>2</v>
      </c>
      <c r="HS25">
        <v>3</v>
      </c>
      <c r="HT25">
        <v>3</v>
      </c>
      <c r="HU25">
        <v>4</v>
      </c>
      <c r="HV25">
        <v>5</v>
      </c>
      <c r="HW25">
        <v>6</v>
      </c>
      <c r="HX25">
        <v>8</v>
      </c>
      <c r="HY25">
        <v>9</v>
      </c>
      <c r="HZ25">
        <v>10</v>
      </c>
      <c r="IA25">
        <v>11</v>
      </c>
      <c r="IB25">
        <v>12</v>
      </c>
      <c r="IC25">
        <v>13</v>
      </c>
      <c r="ID25">
        <v>14</v>
      </c>
      <c r="IE25">
        <v>15</v>
      </c>
      <c r="IF25">
        <v>17</v>
      </c>
      <c r="IG25">
        <v>18</v>
      </c>
      <c r="IH25">
        <v>19</v>
      </c>
      <c r="II25">
        <v>20</v>
      </c>
      <c r="IJ25">
        <v>21</v>
      </c>
      <c r="IK25">
        <v>22</v>
      </c>
      <c r="IL25">
        <v>23</v>
      </c>
      <c r="IM25">
        <v>24</v>
      </c>
      <c r="IN25">
        <v>25</v>
      </c>
      <c r="IO25">
        <v>25</v>
      </c>
      <c r="IP25">
        <v>26</v>
      </c>
      <c r="IQ25">
        <v>27</v>
      </c>
      <c r="IR25">
        <v>28</v>
      </c>
      <c r="IS25">
        <v>29</v>
      </c>
      <c r="IT25">
        <v>30</v>
      </c>
      <c r="IU25">
        <v>1</v>
      </c>
      <c r="IV25">
        <v>2</v>
      </c>
      <c r="IW25">
        <v>3</v>
      </c>
      <c r="IX25">
        <v>4</v>
      </c>
      <c r="IY25">
        <v>5</v>
      </c>
      <c r="IZ25">
        <v>6</v>
      </c>
      <c r="JA25">
        <v>7</v>
      </c>
      <c r="JB25">
        <v>8</v>
      </c>
      <c r="JC25">
        <v>9</v>
      </c>
      <c r="JD25">
        <v>11</v>
      </c>
      <c r="JE25">
        <v>12</v>
      </c>
      <c r="JF25">
        <v>13</v>
      </c>
      <c r="JG25">
        <v>14</v>
      </c>
      <c r="JH25">
        <v>15</v>
      </c>
      <c r="JI25">
        <v>16</v>
      </c>
      <c r="JJ25">
        <v>17</v>
      </c>
      <c r="JK25">
        <v>18</v>
      </c>
      <c r="JL25">
        <v>19</v>
      </c>
      <c r="JM25">
        <v>20</v>
      </c>
      <c r="JN25">
        <v>21</v>
      </c>
      <c r="JO25">
        <v>22</v>
      </c>
      <c r="JP25">
        <v>23</v>
      </c>
      <c r="JQ25">
        <v>24</v>
      </c>
      <c r="JR25">
        <v>25</v>
      </c>
      <c r="JS25">
        <v>26</v>
      </c>
      <c r="JT25">
        <v>27</v>
      </c>
      <c r="JU25">
        <v>28</v>
      </c>
      <c r="JV25">
        <v>29</v>
      </c>
      <c r="JW25">
        <v>30</v>
      </c>
      <c r="JX25">
        <v>1</v>
      </c>
      <c r="JY25">
        <v>2</v>
      </c>
      <c r="JZ25">
        <v>3</v>
      </c>
      <c r="KA25">
        <v>4</v>
      </c>
      <c r="KB25">
        <v>5</v>
      </c>
      <c r="KC25">
        <v>6</v>
      </c>
      <c r="KD25">
        <v>7</v>
      </c>
      <c r="KE25">
        <v>8</v>
      </c>
      <c r="KF25">
        <v>9</v>
      </c>
      <c r="KG25">
        <v>10</v>
      </c>
      <c r="KH25">
        <v>11</v>
      </c>
      <c r="KI25">
        <v>12</v>
      </c>
      <c r="KJ25">
        <v>14</v>
      </c>
      <c r="KK25">
        <v>15</v>
      </c>
      <c r="KL25">
        <v>16</v>
      </c>
      <c r="KM25">
        <v>17</v>
      </c>
      <c r="KN25">
        <v>18</v>
      </c>
      <c r="KO25">
        <v>19</v>
      </c>
      <c r="KP25">
        <v>20</v>
      </c>
      <c r="KQ25">
        <v>20</v>
      </c>
      <c r="KR25">
        <v>21</v>
      </c>
      <c r="KS25">
        <v>22</v>
      </c>
      <c r="KT25">
        <v>23</v>
      </c>
      <c r="KU25">
        <v>24</v>
      </c>
      <c r="KV25">
        <v>25</v>
      </c>
      <c r="KW25">
        <v>26</v>
      </c>
      <c r="KX25">
        <v>27</v>
      </c>
      <c r="KY25">
        <v>28</v>
      </c>
      <c r="KZ25">
        <v>29</v>
      </c>
      <c r="LA25">
        <v>30</v>
      </c>
      <c r="LB25">
        <v>1</v>
      </c>
      <c r="LC25">
        <v>2</v>
      </c>
      <c r="LD25">
        <v>3</v>
      </c>
      <c r="LE25">
        <v>4</v>
      </c>
      <c r="LF25">
        <v>6</v>
      </c>
      <c r="LG25">
        <v>7</v>
      </c>
      <c r="LH25">
        <v>8</v>
      </c>
      <c r="LI25">
        <v>9</v>
      </c>
      <c r="LJ25">
        <v>10</v>
      </c>
      <c r="LK25">
        <v>11</v>
      </c>
      <c r="LL25">
        <v>12</v>
      </c>
      <c r="LM25">
        <v>13</v>
      </c>
      <c r="LN25">
        <v>14</v>
      </c>
      <c r="LO25">
        <v>15</v>
      </c>
      <c r="LP25">
        <v>16</v>
      </c>
      <c r="LQ25">
        <v>17</v>
      </c>
      <c r="LR25">
        <v>18</v>
      </c>
      <c r="LS25">
        <v>19</v>
      </c>
      <c r="LT25">
        <v>20</v>
      </c>
      <c r="LU25">
        <v>21</v>
      </c>
      <c r="LV25">
        <v>22</v>
      </c>
      <c r="LW25">
        <v>22</v>
      </c>
      <c r="LX25">
        <v>23</v>
      </c>
      <c r="LY25">
        <v>24</v>
      </c>
      <c r="LZ25">
        <v>25</v>
      </c>
      <c r="MA25">
        <v>26</v>
      </c>
      <c r="MB25">
        <v>27</v>
      </c>
      <c r="MC25">
        <v>28</v>
      </c>
      <c r="MD25">
        <v>29</v>
      </c>
      <c r="ME25">
        <v>1</v>
      </c>
      <c r="MF25">
        <v>2</v>
      </c>
      <c r="MG25">
        <v>3</v>
      </c>
      <c r="MH25">
        <v>4</v>
      </c>
      <c r="MI25">
        <v>5</v>
      </c>
      <c r="MJ25">
        <v>6</v>
      </c>
      <c r="MK25">
        <v>7</v>
      </c>
      <c r="ML25">
        <v>8</v>
      </c>
      <c r="MM25">
        <v>10</v>
      </c>
      <c r="MN25">
        <v>11</v>
      </c>
      <c r="MO25">
        <v>12</v>
      </c>
      <c r="MP25">
        <v>13</v>
      </c>
      <c r="MQ25">
        <v>13</v>
      </c>
      <c r="MR25">
        <v>14</v>
      </c>
      <c r="MS25">
        <v>15</v>
      </c>
      <c r="MT25">
        <v>16</v>
      </c>
      <c r="MU25">
        <v>17</v>
      </c>
      <c r="MV25">
        <v>18</v>
      </c>
      <c r="MW25">
        <v>19</v>
      </c>
      <c r="MX25">
        <v>20</v>
      </c>
      <c r="MY25">
        <v>21</v>
      </c>
      <c r="MZ25">
        <v>22</v>
      </c>
      <c r="NA25">
        <v>23</v>
      </c>
      <c r="NB25">
        <v>24</v>
      </c>
      <c r="NC25">
        <v>25</v>
      </c>
      <c r="ND25">
        <v>26</v>
      </c>
      <c r="NE25">
        <v>27</v>
      </c>
      <c r="NF25">
        <v>28</v>
      </c>
      <c r="NG25">
        <v>29</v>
      </c>
      <c r="NH25">
        <v>30</v>
      </c>
      <c r="NI25">
        <v>1</v>
      </c>
      <c r="NJ25">
        <v>2</v>
      </c>
      <c r="NK25">
        <v>4</v>
      </c>
      <c r="NL25">
        <v>5</v>
      </c>
      <c r="NM25">
        <v>6</v>
      </c>
      <c r="NN25">
        <v>7</v>
      </c>
      <c r="NO25">
        <v>8</v>
      </c>
      <c r="NP25">
        <v>9</v>
      </c>
      <c r="NQ25">
        <v>10</v>
      </c>
      <c r="NR25">
        <v>11</v>
      </c>
      <c r="NS25">
        <v>12</v>
      </c>
      <c r="NT25">
        <v>13</v>
      </c>
      <c r="NU25">
        <v>14</v>
      </c>
      <c r="NV25">
        <v>15</v>
      </c>
      <c r="NW25">
        <v>16</v>
      </c>
      <c r="NX25">
        <v>16</v>
      </c>
      <c r="NY25">
        <v>17</v>
      </c>
      <c r="NZ25">
        <v>18</v>
      </c>
      <c r="OA25">
        <v>19</v>
      </c>
      <c r="OB25">
        <v>20</v>
      </c>
      <c r="OC25">
        <v>21</v>
      </c>
      <c r="OD25">
        <v>22</v>
      </c>
      <c r="OE25">
        <v>23</v>
      </c>
      <c r="OF25">
        <v>24</v>
      </c>
      <c r="OG25">
        <v>25</v>
      </c>
      <c r="OH25">
        <v>26</v>
      </c>
      <c r="OI25">
        <v>27</v>
      </c>
      <c r="OJ25">
        <v>28</v>
      </c>
      <c r="OK25">
        <v>30</v>
      </c>
      <c r="OL25">
        <v>1</v>
      </c>
      <c r="OM25">
        <v>2</v>
      </c>
      <c r="ON25">
        <v>3</v>
      </c>
      <c r="OO25">
        <v>4</v>
      </c>
      <c r="OP25">
        <v>5</v>
      </c>
      <c r="OQ25">
        <v>6</v>
      </c>
      <c r="OR25">
        <v>7</v>
      </c>
      <c r="OS25">
        <v>8</v>
      </c>
      <c r="OT25">
        <v>9</v>
      </c>
      <c r="OU25">
        <v>10</v>
      </c>
      <c r="OV25">
        <v>11</v>
      </c>
      <c r="OW25">
        <v>12</v>
      </c>
      <c r="OX25">
        <v>13</v>
      </c>
      <c r="OY25">
        <v>14</v>
      </c>
      <c r="OZ25">
        <v>15</v>
      </c>
      <c r="PA25">
        <v>16</v>
      </c>
      <c r="PB25">
        <v>17</v>
      </c>
      <c r="PC25">
        <v>18</v>
      </c>
      <c r="PD25">
        <v>18</v>
      </c>
      <c r="PE25">
        <v>19</v>
      </c>
      <c r="PF25">
        <v>20</v>
      </c>
      <c r="PG25">
        <v>21</v>
      </c>
      <c r="PH25">
        <v>22</v>
      </c>
      <c r="PI25">
        <v>23</v>
      </c>
      <c r="PJ25">
        <v>25</v>
      </c>
      <c r="PK25">
        <v>26</v>
      </c>
      <c r="PL25">
        <v>27</v>
      </c>
      <c r="PM25">
        <v>28</v>
      </c>
      <c r="PN25">
        <v>29</v>
      </c>
      <c r="PO25">
        <v>30</v>
      </c>
      <c r="PP25">
        <v>1</v>
      </c>
      <c r="PQ25">
        <v>3</v>
      </c>
      <c r="PR25">
        <v>4</v>
      </c>
      <c r="PS25">
        <v>5</v>
      </c>
      <c r="PT25">
        <v>6</v>
      </c>
      <c r="PU25">
        <v>7</v>
      </c>
      <c r="PV25">
        <v>8</v>
      </c>
      <c r="PW25">
        <v>9</v>
      </c>
      <c r="PX25">
        <v>10</v>
      </c>
      <c r="PY25">
        <v>10</v>
      </c>
      <c r="PZ25">
        <v>11</v>
      </c>
      <c r="QA25">
        <v>12</v>
      </c>
      <c r="QB25">
        <v>13</v>
      </c>
      <c r="QC25">
        <v>14</v>
      </c>
      <c r="QD25">
        <v>15</v>
      </c>
      <c r="QE25">
        <v>16</v>
      </c>
      <c r="QF25">
        <v>17</v>
      </c>
      <c r="QG25">
        <v>18</v>
      </c>
      <c r="QH25">
        <v>19</v>
      </c>
      <c r="QI25">
        <v>20</v>
      </c>
      <c r="QJ25">
        <v>21</v>
      </c>
      <c r="QK25">
        <v>22</v>
      </c>
      <c r="QL25">
        <v>23</v>
      </c>
      <c r="QM25">
        <v>24</v>
      </c>
      <c r="QN25">
        <v>25</v>
      </c>
      <c r="QO25">
        <v>26</v>
      </c>
      <c r="QP25">
        <v>27</v>
      </c>
      <c r="QQ25">
        <v>29</v>
      </c>
      <c r="QR25">
        <v>30</v>
      </c>
      <c r="QS25">
        <v>1</v>
      </c>
      <c r="QT25">
        <v>2</v>
      </c>
      <c r="QU25">
        <v>3</v>
      </c>
      <c r="QV25">
        <v>4</v>
      </c>
      <c r="QW25">
        <v>5</v>
      </c>
      <c r="QX25">
        <v>6</v>
      </c>
      <c r="QY25">
        <v>7</v>
      </c>
      <c r="QZ25">
        <v>8</v>
      </c>
      <c r="RA25">
        <v>9</v>
      </c>
      <c r="RB25">
        <v>10</v>
      </c>
      <c r="RC25">
        <v>11</v>
      </c>
      <c r="RD25">
        <v>12</v>
      </c>
      <c r="RE25">
        <v>12</v>
      </c>
      <c r="RF25">
        <v>13</v>
      </c>
      <c r="RG25">
        <v>14</v>
      </c>
      <c r="RH25">
        <v>15</v>
      </c>
      <c r="RI25">
        <v>16</v>
      </c>
      <c r="RJ25">
        <v>17</v>
      </c>
      <c r="RK25">
        <v>18</v>
      </c>
      <c r="RL25">
        <v>19</v>
      </c>
      <c r="RM25">
        <v>20</v>
      </c>
      <c r="RN25">
        <v>22</v>
      </c>
      <c r="RO25">
        <v>23</v>
      </c>
      <c r="RP25">
        <v>24</v>
      </c>
      <c r="RQ25">
        <v>25</v>
      </c>
      <c r="RR25">
        <v>26</v>
      </c>
      <c r="RS25">
        <v>27</v>
      </c>
      <c r="RT25">
        <v>28</v>
      </c>
      <c r="RU25">
        <v>29</v>
      </c>
      <c r="RV25">
        <v>30</v>
      </c>
      <c r="RW25">
        <v>1</v>
      </c>
      <c r="RX25">
        <v>2</v>
      </c>
      <c r="RY25">
        <v>3</v>
      </c>
      <c r="RZ25">
        <v>4</v>
      </c>
      <c r="SA25">
        <v>5</v>
      </c>
      <c r="SB25">
        <v>6</v>
      </c>
      <c r="SC25">
        <v>7</v>
      </c>
      <c r="SD25">
        <v>8</v>
      </c>
      <c r="SE25">
        <v>9</v>
      </c>
      <c r="SF25">
        <v>10</v>
      </c>
      <c r="SG25">
        <v>11</v>
      </c>
      <c r="SH25">
        <v>12</v>
      </c>
      <c r="SI25">
        <v>13</v>
      </c>
      <c r="SJ25">
        <v>14</v>
      </c>
      <c r="SK25">
        <v>15</v>
      </c>
      <c r="SL25">
        <v>16</v>
      </c>
      <c r="SM25">
        <v>17</v>
      </c>
      <c r="SN25">
        <v>18</v>
      </c>
      <c r="SO25">
        <v>19</v>
      </c>
      <c r="SP25">
        <v>20</v>
      </c>
      <c r="SQ25">
        <v>21</v>
      </c>
      <c r="SR25">
        <v>22</v>
      </c>
      <c r="SS25">
        <v>23</v>
      </c>
      <c r="ST25">
        <v>25</v>
      </c>
      <c r="SU25">
        <v>26</v>
      </c>
      <c r="SV25">
        <v>27</v>
      </c>
      <c r="SW25">
        <v>28</v>
      </c>
      <c r="SX25">
        <v>29</v>
      </c>
      <c r="SY25">
        <v>30</v>
      </c>
      <c r="SZ25">
        <v>1</v>
      </c>
      <c r="TA25">
        <v>2</v>
      </c>
      <c r="TB25">
        <v>3</v>
      </c>
      <c r="TC25">
        <v>4</v>
      </c>
      <c r="TD25">
        <v>5</v>
      </c>
      <c r="TE25">
        <v>6</v>
      </c>
      <c r="TF25">
        <v>6</v>
      </c>
      <c r="TG25">
        <v>7</v>
      </c>
      <c r="TH25">
        <v>8</v>
      </c>
      <c r="TI25">
        <v>9</v>
      </c>
      <c r="TJ25">
        <v>10</v>
      </c>
      <c r="TK25">
        <v>11</v>
      </c>
      <c r="TL25">
        <v>12</v>
      </c>
      <c r="TM25">
        <v>13</v>
      </c>
      <c r="TN25">
        <v>14</v>
      </c>
      <c r="TO25">
        <v>15</v>
      </c>
      <c r="TP25">
        <v>16</v>
      </c>
      <c r="TQ25">
        <v>18</v>
      </c>
      <c r="TR25">
        <v>19</v>
      </c>
      <c r="TS25">
        <v>20</v>
      </c>
      <c r="TT25">
        <v>21</v>
      </c>
      <c r="TU25">
        <v>22</v>
      </c>
      <c r="TV25">
        <v>23</v>
      </c>
      <c r="TW25">
        <v>24</v>
      </c>
      <c r="TX25">
        <v>25</v>
      </c>
      <c r="TY25">
        <v>26</v>
      </c>
      <c r="TZ25">
        <v>27</v>
      </c>
      <c r="UA25">
        <v>28</v>
      </c>
      <c r="UB25">
        <v>29</v>
      </c>
      <c r="UC25">
        <v>30</v>
      </c>
      <c r="UD25">
        <v>1</v>
      </c>
      <c r="UE25">
        <v>2</v>
      </c>
      <c r="UF25">
        <v>3</v>
      </c>
      <c r="UG25">
        <v>4</v>
      </c>
      <c r="UH25">
        <v>5</v>
      </c>
      <c r="UI25">
        <v>6</v>
      </c>
      <c r="UJ25">
        <v>7</v>
      </c>
      <c r="UK25">
        <v>8</v>
      </c>
      <c r="UL25">
        <v>9</v>
      </c>
      <c r="UM25">
        <v>10</v>
      </c>
      <c r="UN25">
        <v>11</v>
      </c>
      <c r="UO25">
        <v>12</v>
      </c>
      <c r="UP25">
        <v>13</v>
      </c>
      <c r="UQ25">
        <v>14</v>
      </c>
      <c r="UR25">
        <v>15</v>
      </c>
      <c r="US25">
        <v>16</v>
      </c>
      <c r="UT25">
        <v>17</v>
      </c>
      <c r="UU25">
        <v>18</v>
      </c>
      <c r="UV25">
        <v>20</v>
      </c>
      <c r="UW25">
        <v>21</v>
      </c>
      <c r="UX25">
        <v>22</v>
      </c>
      <c r="UY25">
        <v>23</v>
      </c>
      <c r="UZ25">
        <v>24</v>
      </c>
      <c r="VA25">
        <v>25</v>
      </c>
      <c r="VB25">
        <v>26</v>
      </c>
      <c r="VC25">
        <v>27</v>
      </c>
      <c r="VD25">
        <v>28</v>
      </c>
      <c r="VE25">
        <v>29</v>
      </c>
      <c r="VF25">
        <v>30</v>
      </c>
      <c r="VG25">
        <v>1</v>
      </c>
      <c r="VH25">
        <v>2</v>
      </c>
      <c r="VI25">
        <v>2</v>
      </c>
      <c r="VJ25">
        <v>3</v>
      </c>
      <c r="VK25">
        <v>4</v>
      </c>
      <c r="VL25">
        <v>5</v>
      </c>
      <c r="VM25">
        <v>6</v>
      </c>
      <c r="VN25">
        <v>7</v>
      </c>
      <c r="VO25">
        <v>8</v>
      </c>
      <c r="VP25">
        <v>9</v>
      </c>
      <c r="VQ25">
        <v>10</v>
      </c>
      <c r="VR25">
        <v>11</v>
      </c>
      <c r="VS25">
        <v>12</v>
      </c>
      <c r="VT25">
        <v>13</v>
      </c>
      <c r="VU25">
        <v>15</v>
      </c>
      <c r="VV25">
        <v>16</v>
      </c>
      <c r="VW25">
        <v>17</v>
      </c>
      <c r="VX25">
        <v>18</v>
      </c>
      <c r="VY25">
        <v>19</v>
      </c>
      <c r="VZ25">
        <v>20</v>
      </c>
      <c r="WA25">
        <v>21</v>
      </c>
      <c r="WB25">
        <v>23</v>
      </c>
      <c r="WC25">
        <v>24</v>
      </c>
      <c r="WD25">
        <v>25</v>
      </c>
      <c r="WE25">
        <v>25</v>
      </c>
      <c r="WF25">
        <v>26</v>
      </c>
      <c r="WG25">
        <v>27</v>
      </c>
      <c r="WH25">
        <v>28</v>
      </c>
      <c r="WI25">
        <v>29</v>
      </c>
      <c r="WJ25">
        <v>30</v>
      </c>
      <c r="WK25">
        <v>1</v>
      </c>
      <c r="WL25">
        <v>2</v>
      </c>
      <c r="WM25">
        <v>3</v>
      </c>
      <c r="WN25">
        <v>4</v>
      </c>
      <c r="WO25">
        <v>5</v>
      </c>
      <c r="WP25">
        <v>6</v>
      </c>
      <c r="WQ25">
        <v>7</v>
      </c>
      <c r="WR25">
        <v>8</v>
      </c>
      <c r="WS25">
        <v>9</v>
      </c>
      <c r="WT25">
        <v>10</v>
      </c>
      <c r="WU25">
        <v>11</v>
      </c>
      <c r="WV25">
        <v>12</v>
      </c>
      <c r="WW25">
        <v>13</v>
      </c>
      <c r="WX25">
        <v>14</v>
      </c>
      <c r="WY25">
        <v>15</v>
      </c>
      <c r="WZ25">
        <v>17</v>
      </c>
      <c r="XA25">
        <v>18</v>
      </c>
      <c r="XB25">
        <v>19</v>
      </c>
      <c r="XC25">
        <v>20</v>
      </c>
      <c r="XD25">
        <v>21</v>
      </c>
      <c r="XE25">
        <v>22</v>
      </c>
      <c r="XF25">
        <v>23</v>
      </c>
      <c r="XG25">
        <v>24</v>
      </c>
      <c r="XH25">
        <v>25</v>
      </c>
      <c r="XI25">
        <v>26</v>
      </c>
      <c r="XJ25">
        <v>27</v>
      </c>
      <c r="XK25">
        <v>28</v>
      </c>
      <c r="XL25">
        <v>29</v>
      </c>
      <c r="XM25">
        <v>29</v>
      </c>
      <c r="XN25">
        <v>30</v>
      </c>
      <c r="XO25">
        <v>1</v>
      </c>
      <c r="XP25">
        <v>2</v>
      </c>
      <c r="XQ25">
        <v>3</v>
      </c>
      <c r="XR25">
        <v>4</v>
      </c>
      <c r="XS25">
        <v>5</v>
      </c>
      <c r="XT25">
        <v>6</v>
      </c>
      <c r="XU25">
        <v>7</v>
      </c>
      <c r="XV25">
        <v>8</v>
      </c>
      <c r="XW25">
        <v>9</v>
      </c>
      <c r="XX25">
        <v>10</v>
      </c>
      <c r="XY25">
        <v>12</v>
      </c>
      <c r="XZ25">
        <v>13</v>
      </c>
      <c r="YA25">
        <v>14</v>
      </c>
      <c r="YB25">
        <v>15</v>
      </c>
      <c r="YC25">
        <v>16</v>
      </c>
      <c r="YD25">
        <v>17</v>
      </c>
      <c r="YE25">
        <v>18</v>
      </c>
      <c r="YF25">
        <v>19</v>
      </c>
      <c r="YG25">
        <v>20</v>
      </c>
      <c r="YH25">
        <v>21</v>
      </c>
      <c r="YI25">
        <v>22</v>
      </c>
      <c r="YJ25">
        <v>23</v>
      </c>
      <c r="YK25">
        <v>24</v>
      </c>
      <c r="YL25">
        <v>25</v>
      </c>
      <c r="YM25">
        <v>26</v>
      </c>
      <c r="YN25">
        <v>27</v>
      </c>
      <c r="YO25">
        <v>28</v>
      </c>
      <c r="YP25">
        <v>29</v>
      </c>
      <c r="YQ25">
        <v>30</v>
      </c>
      <c r="YR25">
        <v>1</v>
      </c>
      <c r="YS25">
        <v>2</v>
      </c>
      <c r="YT25">
        <v>3</v>
      </c>
      <c r="YU25">
        <v>4</v>
      </c>
      <c r="YV25">
        <v>5</v>
      </c>
      <c r="YW25">
        <v>6</v>
      </c>
      <c r="YX25">
        <v>7</v>
      </c>
      <c r="YY25">
        <v>8</v>
      </c>
      <c r="YZ25">
        <v>9</v>
      </c>
      <c r="ZA25">
        <v>10</v>
      </c>
      <c r="ZB25">
        <v>11</v>
      </c>
      <c r="ZC25">
        <v>12</v>
      </c>
      <c r="ZD25">
        <v>13</v>
      </c>
      <c r="ZE25">
        <v>15</v>
      </c>
      <c r="ZF25">
        <v>16</v>
      </c>
      <c r="ZG25">
        <v>17</v>
      </c>
      <c r="ZH25">
        <v>18</v>
      </c>
      <c r="ZI25">
        <v>19</v>
      </c>
      <c r="ZJ25">
        <v>20</v>
      </c>
      <c r="ZK25">
        <v>21</v>
      </c>
      <c r="ZL25">
        <v>22</v>
      </c>
      <c r="ZM25">
        <v>23</v>
      </c>
      <c r="ZN25">
        <v>24</v>
      </c>
      <c r="ZO25">
        <v>24</v>
      </c>
      <c r="ZP25">
        <v>25</v>
      </c>
      <c r="ZQ25">
        <v>26</v>
      </c>
      <c r="ZR25">
        <v>27</v>
      </c>
      <c r="ZS25">
        <v>28</v>
      </c>
      <c r="ZT25">
        <v>29</v>
      </c>
      <c r="ZU25">
        <v>30</v>
      </c>
      <c r="ZV25">
        <v>1</v>
      </c>
      <c r="ZW25">
        <v>2</v>
      </c>
      <c r="ZX25">
        <v>3</v>
      </c>
      <c r="ZY25">
        <v>4</v>
      </c>
      <c r="ZZ25">
        <v>5</v>
      </c>
      <c r="AAA25">
        <v>7</v>
      </c>
      <c r="AAB25">
        <v>8</v>
      </c>
      <c r="AAC25">
        <v>9</v>
      </c>
      <c r="AAD25">
        <v>10</v>
      </c>
      <c r="AAE25">
        <v>11</v>
      </c>
      <c r="AAF25">
        <v>12</v>
      </c>
      <c r="AAG25">
        <v>13</v>
      </c>
      <c r="AAH25">
        <v>14</v>
      </c>
      <c r="AAI25">
        <v>15</v>
      </c>
      <c r="AAJ25">
        <v>16</v>
      </c>
      <c r="AAK25">
        <v>17</v>
      </c>
      <c r="AAL25">
        <v>18</v>
      </c>
      <c r="AAM25">
        <v>19</v>
      </c>
      <c r="AAN25">
        <v>20</v>
      </c>
      <c r="AAO25">
        <v>21</v>
      </c>
      <c r="AAP25">
        <v>22</v>
      </c>
      <c r="AAQ25">
        <v>23</v>
      </c>
      <c r="AAR25">
        <v>24</v>
      </c>
      <c r="AAS25">
        <v>25</v>
      </c>
      <c r="AAT25">
        <v>25</v>
      </c>
      <c r="AAU25">
        <v>26</v>
      </c>
      <c r="AAV25">
        <v>27</v>
      </c>
      <c r="AAW25">
        <v>28</v>
      </c>
      <c r="AAX25">
        <v>30</v>
      </c>
      <c r="AAY25">
        <v>1</v>
      </c>
      <c r="AAZ25">
        <v>2</v>
      </c>
      <c r="ABA25">
        <v>3</v>
      </c>
      <c r="ABB25">
        <v>4</v>
      </c>
      <c r="ABC25">
        <v>5</v>
      </c>
      <c r="ABD25">
        <v>6</v>
      </c>
      <c r="ABE25">
        <v>7</v>
      </c>
      <c r="ABF25">
        <v>8</v>
      </c>
      <c r="ABG25">
        <v>9</v>
      </c>
      <c r="ABH25">
        <v>10</v>
      </c>
      <c r="ABI25">
        <v>12</v>
      </c>
      <c r="ABJ25">
        <v>13</v>
      </c>
      <c r="ABK25">
        <v>14</v>
      </c>
      <c r="ABL25">
        <v>15</v>
      </c>
      <c r="ABM25">
        <v>16</v>
      </c>
      <c r="ABN25">
        <v>16</v>
      </c>
      <c r="ABO25">
        <v>17</v>
      </c>
      <c r="ABP25">
        <v>18</v>
      </c>
      <c r="ABQ25">
        <v>19</v>
      </c>
      <c r="ABR25">
        <v>20</v>
      </c>
      <c r="ABS25">
        <v>21</v>
      </c>
      <c r="ABT25">
        <v>22</v>
      </c>
      <c r="ABU25">
        <v>23</v>
      </c>
      <c r="ABV25">
        <v>24</v>
      </c>
      <c r="ABW25">
        <v>25</v>
      </c>
      <c r="ABX25">
        <v>26</v>
      </c>
      <c r="ABY25">
        <v>27</v>
      </c>
      <c r="ABZ25">
        <v>28</v>
      </c>
      <c r="ACA25">
        <v>29</v>
      </c>
      <c r="ACB25">
        <v>30</v>
      </c>
      <c r="ACC25">
        <v>1</v>
      </c>
      <c r="ACD25">
        <v>2</v>
      </c>
      <c r="ACE25">
        <v>3</v>
      </c>
      <c r="ACF25">
        <v>5</v>
      </c>
      <c r="ACG25">
        <v>6</v>
      </c>
      <c r="ACH25">
        <v>7</v>
      </c>
      <c r="ACI25">
        <v>8</v>
      </c>
      <c r="ACJ25">
        <v>9</v>
      </c>
      <c r="ACK25">
        <v>10</v>
      </c>
      <c r="ACL25">
        <v>11</v>
      </c>
      <c r="ACM25">
        <v>12</v>
      </c>
      <c r="ACN25">
        <v>13</v>
      </c>
      <c r="ACO25">
        <v>14</v>
      </c>
      <c r="ACP25">
        <v>15</v>
      </c>
      <c r="ACQ25">
        <v>16</v>
      </c>
      <c r="ACR25">
        <v>17</v>
      </c>
      <c r="ACS25">
        <v>18</v>
      </c>
      <c r="ACT25">
        <v>18</v>
      </c>
      <c r="ACU25">
        <v>19</v>
      </c>
      <c r="ACV25">
        <v>20</v>
      </c>
      <c r="ACW25">
        <v>21</v>
      </c>
      <c r="ACX25">
        <v>22</v>
      </c>
      <c r="ACY25">
        <v>23</v>
      </c>
      <c r="ACZ25">
        <v>24</v>
      </c>
      <c r="ADA25">
        <v>25</v>
      </c>
      <c r="ADB25">
        <v>26</v>
      </c>
      <c r="ADC25">
        <v>27</v>
      </c>
      <c r="ADD25">
        <v>28</v>
      </c>
      <c r="ADE25">
        <v>29</v>
      </c>
      <c r="ADF25">
        <v>1</v>
      </c>
      <c r="ADG25">
        <v>2</v>
      </c>
      <c r="ADH25">
        <v>3</v>
      </c>
      <c r="ADI25">
        <v>4</v>
      </c>
      <c r="ADJ25">
        <v>5</v>
      </c>
      <c r="ADK25">
        <v>6</v>
      </c>
      <c r="ADL25">
        <v>7</v>
      </c>
      <c r="ADM25">
        <v>8</v>
      </c>
      <c r="ADN25">
        <v>9</v>
      </c>
      <c r="ADO25">
        <v>10</v>
      </c>
      <c r="ADP25">
        <v>11</v>
      </c>
    </row>
    <row r="26" spans="1:796">
      <c r="A26" t="s">
        <v>4275</v>
      </c>
      <c r="B26">
        <v>26</v>
      </c>
      <c r="C26" t="s">
        <v>4330</v>
      </c>
      <c r="D26">
        <v>75</v>
      </c>
      <c r="E26" t="s">
        <v>4681</v>
      </c>
      <c r="F26" t="s">
        <v>4576</v>
      </c>
      <c r="G26" t="s">
        <v>4630</v>
      </c>
      <c r="H26" t="s">
        <v>4634</v>
      </c>
      <c r="I26" t="s">
        <v>4638</v>
      </c>
      <c r="J26" t="s">
        <v>4642</v>
      </c>
      <c r="K26" t="s">
        <v>4646</v>
      </c>
      <c r="L26" t="s">
        <v>4650</v>
      </c>
      <c r="M26" t="s">
        <v>4654</v>
      </c>
      <c r="N26" t="s">
        <v>4658</v>
      </c>
      <c r="O26" t="s">
        <v>4663</v>
      </c>
      <c r="P26" t="s">
        <v>4667</v>
      </c>
      <c r="Q26" t="s">
        <v>4711</v>
      </c>
      <c r="R26" t="s">
        <v>4712</v>
      </c>
      <c r="S26" t="s">
        <v>4681</v>
      </c>
      <c r="T26" t="s">
        <v>4576</v>
      </c>
      <c r="U26" t="s">
        <v>4630</v>
      </c>
      <c r="V26" t="s">
        <v>4634</v>
      </c>
      <c r="W26" t="s">
        <v>4638</v>
      </c>
      <c r="X26" t="s">
        <v>4642</v>
      </c>
      <c r="Y26" t="s">
        <v>4646</v>
      </c>
      <c r="Z26" t="s">
        <v>4650</v>
      </c>
      <c r="AA26" t="s">
        <v>4654</v>
      </c>
      <c r="AB26" t="s">
        <v>4658</v>
      </c>
      <c r="AC26" t="s">
        <v>4663</v>
      </c>
      <c r="AD26" t="s">
        <v>4667</v>
      </c>
      <c r="AE26" t="s">
        <v>4671</v>
      </c>
      <c r="AF26" t="s">
        <v>4675</v>
      </c>
      <c r="AG26" t="s">
        <v>4675</v>
      </c>
      <c r="AH26" t="s">
        <v>4712</v>
      </c>
      <c r="AI26" t="s">
        <v>4681</v>
      </c>
      <c r="AJ26" t="s">
        <v>4576</v>
      </c>
      <c r="AK26" t="s">
        <v>4630</v>
      </c>
      <c r="AL26" t="s">
        <v>4634</v>
      </c>
      <c r="AM26" t="s">
        <v>4638</v>
      </c>
      <c r="AN26" t="s">
        <v>4642</v>
      </c>
      <c r="AO26" t="s">
        <v>4646</v>
      </c>
      <c r="AP26" t="s">
        <v>4654</v>
      </c>
      <c r="AQ26" t="s">
        <v>4658</v>
      </c>
      <c r="AR26" t="s">
        <v>4663</v>
      </c>
      <c r="AS26" t="s">
        <v>4667</v>
      </c>
      <c r="AT26" t="s">
        <v>4671</v>
      </c>
      <c r="AU26" t="s">
        <v>4711</v>
      </c>
      <c r="AV26" t="s">
        <v>4712</v>
      </c>
      <c r="AW26" t="s">
        <v>4681</v>
      </c>
      <c r="AX26" t="s">
        <v>4630</v>
      </c>
      <c r="AY26" t="s">
        <v>4634</v>
      </c>
      <c r="AZ26" t="s">
        <v>4638</v>
      </c>
      <c r="BA26" t="s">
        <v>4638</v>
      </c>
      <c r="BB26" t="s">
        <v>4642</v>
      </c>
      <c r="BC26" t="s">
        <v>4646</v>
      </c>
      <c r="BD26" t="s">
        <v>4650</v>
      </c>
      <c r="BE26" t="s">
        <v>4654</v>
      </c>
      <c r="BF26" t="s">
        <v>4658</v>
      </c>
      <c r="BG26" t="s">
        <v>4663</v>
      </c>
      <c r="BH26" t="s">
        <v>4667</v>
      </c>
      <c r="BI26" t="s">
        <v>4671</v>
      </c>
      <c r="BJ26" t="s">
        <v>4675</v>
      </c>
      <c r="BK26" t="s">
        <v>4712</v>
      </c>
      <c r="BL26" t="s">
        <v>4681</v>
      </c>
      <c r="BM26" t="s">
        <v>4576</v>
      </c>
      <c r="BN26" t="s">
        <v>4630</v>
      </c>
      <c r="BO26" t="s">
        <v>4634</v>
      </c>
      <c r="BP26" t="s">
        <v>4638</v>
      </c>
      <c r="BQ26" t="s">
        <v>4642</v>
      </c>
      <c r="BR26" t="s">
        <v>4646</v>
      </c>
      <c r="BS26" t="s">
        <v>4650</v>
      </c>
      <c r="BT26" t="s">
        <v>4654</v>
      </c>
      <c r="BU26" t="s">
        <v>4658</v>
      </c>
      <c r="BV26" t="s">
        <v>4667</v>
      </c>
      <c r="BW26" t="s">
        <v>4671</v>
      </c>
      <c r="BX26" t="s">
        <v>4711</v>
      </c>
      <c r="BY26" t="s">
        <v>4712</v>
      </c>
      <c r="BZ26" t="s">
        <v>4681</v>
      </c>
      <c r="CA26" t="s">
        <v>4576</v>
      </c>
      <c r="CB26" t="s">
        <v>4630</v>
      </c>
      <c r="CC26" t="s">
        <v>4634</v>
      </c>
      <c r="CD26" t="s">
        <v>4638</v>
      </c>
      <c r="CE26" t="s">
        <v>4642</v>
      </c>
      <c r="CF26" t="s">
        <v>4646</v>
      </c>
      <c r="CG26" t="s">
        <v>4646</v>
      </c>
      <c r="CH26" t="s">
        <v>4650</v>
      </c>
      <c r="CI26" t="s">
        <v>4654</v>
      </c>
      <c r="CJ26" t="s">
        <v>4658</v>
      </c>
      <c r="CK26" t="s">
        <v>4663</v>
      </c>
      <c r="CL26" t="s">
        <v>4667</v>
      </c>
      <c r="CM26" t="s">
        <v>4671</v>
      </c>
      <c r="CN26" t="s">
        <v>4675</v>
      </c>
      <c r="CO26" t="s">
        <v>4712</v>
      </c>
      <c r="CP26" t="s">
        <v>4681</v>
      </c>
      <c r="CQ26" t="s">
        <v>4576</v>
      </c>
      <c r="CR26" t="s">
        <v>4630</v>
      </c>
      <c r="CS26" t="s">
        <v>4638</v>
      </c>
      <c r="CT26" t="s">
        <v>4642</v>
      </c>
      <c r="CU26" t="s">
        <v>4646</v>
      </c>
      <c r="CV26" t="s">
        <v>4650</v>
      </c>
      <c r="CW26" t="s">
        <v>4654</v>
      </c>
      <c r="CX26" t="s">
        <v>4658</v>
      </c>
      <c r="CY26" t="s">
        <v>4663</v>
      </c>
      <c r="CZ26" t="s">
        <v>4667</v>
      </c>
      <c r="DA26" t="s">
        <v>4671</v>
      </c>
      <c r="DB26" t="s">
        <v>4711</v>
      </c>
      <c r="DC26" t="s">
        <v>4712</v>
      </c>
      <c r="DD26" t="s">
        <v>4681</v>
      </c>
      <c r="DE26" t="s">
        <v>4576</v>
      </c>
      <c r="DF26" t="s">
        <v>4630</v>
      </c>
      <c r="DG26" t="s">
        <v>4634</v>
      </c>
      <c r="DH26" t="s">
        <v>4638</v>
      </c>
      <c r="DI26" t="s">
        <v>4642</v>
      </c>
      <c r="DJ26" t="s">
        <v>4646</v>
      </c>
      <c r="DK26" t="s">
        <v>4650</v>
      </c>
      <c r="DL26" t="s">
        <v>4650</v>
      </c>
      <c r="DM26" t="s">
        <v>4654</v>
      </c>
      <c r="DN26" t="s">
        <v>4658</v>
      </c>
      <c r="DO26" t="s">
        <v>4663</v>
      </c>
      <c r="DP26" t="s">
        <v>4667</v>
      </c>
      <c r="DQ26" t="s">
        <v>4675</v>
      </c>
      <c r="DR26" t="s">
        <v>4712</v>
      </c>
      <c r="DS26" t="s">
        <v>4681</v>
      </c>
      <c r="DT26" t="s">
        <v>4576</v>
      </c>
      <c r="DU26" t="s">
        <v>4630</v>
      </c>
      <c r="DV26" t="s">
        <v>4634</v>
      </c>
      <c r="DW26" t="s">
        <v>4638</v>
      </c>
      <c r="DX26" t="s">
        <v>4642</v>
      </c>
      <c r="DY26" t="s">
        <v>4650</v>
      </c>
      <c r="DZ26" t="s">
        <v>4654</v>
      </c>
      <c r="EA26" t="s">
        <v>4658</v>
      </c>
      <c r="EB26" t="s">
        <v>4663</v>
      </c>
      <c r="EC26" t="s">
        <v>4667</v>
      </c>
      <c r="ED26" t="s">
        <v>4671</v>
      </c>
      <c r="EE26" t="s">
        <v>4711</v>
      </c>
      <c r="EF26" t="s">
        <v>4712</v>
      </c>
      <c r="EG26" t="s">
        <v>4712</v>
      </c>
      <c r="EH26" t="s">
        <v>4681</v>
      </c>
      <c r="EI26" t="s">
        <v>4576</v>
      </c>
      <c r="EJ26" t="s">
        <v>4630</v>
      </c>
      <c r="EK26" t="s">
        <v>4634</v>
      </c>
      <c r="EL26" t="s">
        <v>4638</v>
      </c>
      <c r="EM26" t="s">
        <v>4642</v>
      </c>
      <c r="EN26" t="s">
        <v>4646</v>
      </c>
      <c r="EO26" t="s">
        <v>4650</v>
      </c>
      <c r="EP26" t="s">
        <v>4654</v>
      </c>
      <c r="EQ26" t="s">
        <v>4658</v>
      </c>
      <c r="ER26" t="s">
        <v>4663</v>
      </c>
      <c r="ES26" t="s">
        <v>4667</v>
      </c>
      <c r="ET26" t="s">
        <v>4671</v>
      </c>
      <c r="EU26" t="s">
        <v>4675</v>
      </c>
      <c r="EV26" t="s">
        <v>4712</v>
      </c>
      <c r="EW26" t="s">
        <v>4576</v>
      </c>
      <c r="EX26" t="s">
        <v>4630</v>
      </c>
      <c r="EY26" t="s">
        <v>4634</v>
      </c>
      <c r="EZ26" t="s">
        <v>4638</v>
      </c>
      <c r="FA26" t="s">
        <v>4642</v>
      </c>
      <c r="FB26" t="s">
        <v>4646</v>
      </c>
      <c r="FC26" t="s">
        <v>4650</v>
      </c>
      <c r="FD26" t="s">
        <v>4654</v>
      </c>
      <c r="FE26" t="s">
        <v>4658</v>
      </c>
      <c r="FF26" t="s">
        <v>4663</v>
      </c>
      <c r="FG26" t="s">
        <v>4667</v>
      </c>
      <c r="FH26" t="s">
        <v>4671</v>
      </c>
      <c r="FI26" t="s">
        <v>4711</v>
      </c>
      <c r="FJ26" t="s">
        <v>4712</v>
      </c>
      <c r="FK26" t="s">
        <v>4681</v>
      </c>
      <c r="FL26" t="s">
        <v>4576</v>
      </c>
      <c r="FM26" t="s">
        <v>4630</v>
      </c>
      <c r="FN26" t="s">
        <v>4630</v>
      </c>
      <c r="FO26" t="s">
        <v>4634</v>
      </c>
      <c r="FP26" t="s">
        <v>4638</v>
      </c>
      <c r="FQ26" t="s">
        <v>4642</v>
      </c>
      <c r="FR26" t="s">
        <v>4646</v>
      </c>
      <c r="FS26" t="s">
        <v>4650</v>
      </c>
      <c r="FT26" t="s">
        <v>4654</v>
      </c>
      <c r="FU26" t="s">
        <v>4658</v>
      </c>
      <c r="FV26" t="s">
        <v>4667</v>
      </c>
      <c r="FW26" t="s">
        <v>4671</v>
      </c>
      <c r="FX26" t="s">
        <v>4675</v>
      </c>
      <c r="FY26" t="s">
        <v>4712</v>
      </c>
      <c r="FZ26" t="s">
        <v>4681</v>
      </c>
      <c r="GA26" t="s">
        <v>4576</v>
      </c>
      <c r="GB26" t="s">
        <v>4634</v>
      </c>
      <c r="GC26" t="s">
        <v>4638</v>
      </c>
      <c r="GD26" t="s">
        <v>4642</v>
      </c>
      <c r="GE26" t="s">
        <v>4646</v>
      </c>
      <c r="GF26" t="s">
        <v>4650</v>
      </c>
      <c r="GG26" t="s">
        <v>4654</v>
      </c>
      <c r="GH26" t="s">
        <v>4658</v>
      </c>
      <c r="GI26" t="s">
        <v>4663</v>
      </c>
      <c r="GJ26" t="s">
        <v>4667</v>
      </c>
      <c r="GK26" t="s">
        <v>4667</v>
      </c>
      <c r="GL26" t="s">
        <v>4671</v>
      </c>
      <c r="GM26" t="s">
        <v>4711</v>
      </c>
      <c r="GN26" t="s">
        <v>4712</v>
      </c>
      <c r="GO26" t="s">
        <v>4681</v>
      </c>
      <c r="GP26" t="s">
        <v>4576</v>
      </c>
      <c r="GQ26" t="s">
        <v>4630</v>
      </c>
      <c r="GR26" t="s">
        <v>4634</v>
      </c>
      <c r="GS26" t="s">
        <v>4638</v>
      </c>
      <c r="GT26" t="s">
        <v>4642</v>
      </c>
      <c r="GU26" t="s">
        <v>4646</v>
      </c>
      <c r="GV26" t="s">
        <v>4650</v>
      </c>
      <c r="GW26" t="s">
        <v>4654</v>
      </c>
      <c r="GX26" t="s">
        <v>4658</v>
      </c>
      <c r="GY26" t="s">
        <v>4663</v>
      </c>
      <c r="GZ26" t="s">
        <v>4667</v>
      </c>
      <c r="HA26" t="s">
        <v>4675</v>
      </c>
      <c r="HB26" t="s">
        <v>4712</v>
      </c>
      <c r="HC26" t="s">
        <v>4681</v>
      </c>
      <c r="HD26" t="s">
        <v>4576</v>
      </c>
      <c r="HE26" t="s">
        <v>4630</v>
      </c>
      <c r="HF26" t="s">
        <v>4634</v>
      </c>
      <c r="HG26" t="s">
        <v>4638</v>
      </c>
      <c r="HH26" t="s">
        <v>4642</v>
      </c>
      <c r="HI26" t="s">
        <v>4646</v>
      </c>
      <c r="HJ26" t="s">
        <v>4650</v>
      </c>
      <c r="HK26" t="s">
        <v>4654</v>
      </c>
      <c r="HL26" t="s">
        <v>4658</v>
      </c>
      <c r="HM26" t="s">
        <v>4663</v>
      </c>
      <c r="HN26" t="s">
        <v>4667</v>
      </c>
      <c r="HO26" t="s">
        <v>4671</v>
      </c>
      <c r="HP26" t="s">
        <v>4711</v>
      </c>
      <c r="HQ26" t="s">
        <v>4712</v>
      </c>
      <c r="HR26" t="s">
        <v>4681</v>
      </c>
      <c r="HS26" t="s">
        <v>4681</v>
      </c>
      <c r="HT26" t="s">
        <v>4576</v>
      </c>
      <c r="HU26" t="s">
        <v>4630</v>
      </c>
      <c r="HV26" t="s">
        <v>4634</v>
      </c>
      <c r="HW26" t="s">
        <v>4638</v>
      </c>
      <c r="HX26" t="s">
        <v>4642</v>
      </c>
      <c r="HY26" t="s">
        <v>4650</v>
      </c>
      <c r="HZ26" t="s">
        <v>4654</v>
      </c>
      <c r="IA26" t="s">
        <v>4658</v>
      </c>
      <c r="IB26" t="s">
        <v>4663</v>
      </c>
      <c r="IC26" t="s">
        <v>4667</v>
      </c>
      <c r="ID26" t="s">
        <v>4671</v>
      </c>
      <c r="IE26" t="s">
        <v>4675</v>
      </c>
      <c r="IF26" t="s">
        <v>4681</v>
      </c>
      <c r="IG26" t="s">
        <v>4576</v>
      </c>
      <c r="IH26" t="s">
        <v>4630</v>
      </c>
      <c r="II26" t="s">
        <v>4634</v>
      </c>
      <c r="IJ26" t="s">
        <v>4638</v>
      </c>
      <c r="IK26" t="s">
        <v>4642</v>
      </c>
      <c r="IL26" t="s">
        <v>4646</v>
      </c>
      <c r="IM26" t="s">
        <v>4650</v>
      </c>
      <c r="IN26" t="s">
        <v>4654</v>
      </c>
      <c r="IO26" t="s">
        <v>4654</v>
      </c>
      <c r="IP26" t="s">
        <v>4658</v>
      </c>
      <c r="IQ26" t="s">
        <v>4663</v>
      </c>
      <c r="IR26" t="s">
        <v>4667</v>
      </c>
      <c r="IS26" t="s">
        <v>4671</v>
      </c>
      <c r="IT26" t="s">
        <v>4711</v>
      </c>
      <c r="IU26" t="s">
        <v>4712</v>
      </c>
      <c r="IV26" t="s">
        <v>4681</v>
      </c>
      <c r="IW26" t="s">
        <v>4576</v>
      </c>
      <c r="IX26" t="s">
        <v>4630</v>
      </c>
      <c r="IY26" t="s">
        <v>4634</v>
      </c>
      <c r="IZ26" t="s">
        <v>4638</v>
      </c>
      <c r="JA26" t="s">
        <v>4642</v>
      </c>
      <c r="JB26" t="s">
        <v>4646</v>
      </c>
      <c r="JC26" t="s">
        <v>4650</v>
      </c>
      <c r="JD26" t="s">
        <v>4654</v>
      </c>
      <c r="JE26" t="s">
        <v>4663</v>
      </c>
      <c r="JF26" t="s">
        <v>4667</v>
      </c>
      <c r="JG26" t="s">
        <v>4671</v>
      </c>
      <c r="JH26" t="s">
        <v>4675</v>
      </c>
      <c r="JI26" t="s">
        <v>4712</v>
      </c>
      <c r="JJ26" t="s">
        <v>4681</v>
      </c>
      <c r="JK26" t="s">
        <v>4576</v>
      </c>
      <c r="JL26" t="s">
        <v>4630</v>
      </c>
      <c r="JM26" t="s">
        <v>4634</v>
      </c>
      <c r="JN26" t="s">
        <v>4638</v>
      </c>
      <c r="JO26" t="s">
        <v>4642</v>
      </c>
      <c r="JP26" t="s">
        <v>4646</v>
      </c>
      <c r="JQ26" t="s">
        <v>4650</v>
      </c>
      <c r="JR26" t="s">
        <v>4654</v>
      </c>
      <c r="JS26" t="s">
        <v>4658</v>
      </c>
      <c r="JT26" t="s">
        <v>4663</v>
      </c>
      <c r="JU26" t="s">
        <v>4667</v>
      </c>
      <c r="JV26" t="s">
        <v>4667</v>
      </c>
      <c r="JW26" t="s">
        <v>4671</v>
      </c>
      <c r="JX26" t="s">
        <v>4711</v>
      </c>
      <c r="JY26" t="s">
        <v>4681</v>
      </c>
      <c r="JZ26" t="s">
        <v>4576</v>
      </c>
      <c r="KA26" t="s">
        <v>4630</v>
      </c>
      <c r="KB26" t="s">
        <v>4634</v>
      </c>
      <c r="KC26" t="s">
        <v>4638</v>
      </c>
      <c r="KD26" t="s">
        <v>4642</v>
      </c>
      <c r="KE26" t="s">
        <v>4646</v>
      </c>
      <c r="KF26" t="s">
        <v>4650</v>
      </c>
      <c r="KG26" t="s">
        <v>4654</v>
      </c>
      <c r="KH26" t="s">
        <v>4658</v>
      </c>
      <c r="KI26" t="s">
        <v>4663</v>
      </c>
      <c r="KJ26" t="s">
        <v>4667</v>
      </c>
      <c r="KK26" t="s">
        <v>4675</v>
      </c>
      <c r="KL26" t="s">
        <v>4712</v>
      </c>
      <c r="KM26" t="s">
        <v>4681</v>
      </c>
      <c r="KN26" t="s">
        <v>4576</v>
      </c>
      <c r="KO26" t="s">
        <v>4630</v>
      </c>
      <c r="KP26" t="s">
        <v>4630</v>
      </c>
      <c r="KQ26" t="s">
        <v>4634</v>
      </c>
      <c r="KR26" t="s">
        <v>4638</v>
      </c>
      <c r="KS26" t="s">
        <v>4642</v>
      </c>
      <c r="KT26" t="s">
        <v>4646</v>
      </c>
      <c r="KU26" t="s">
        <v>4650</v>
      </c>
      <c r="KV26" t="s">
        <v>4654</v>
      </c>
      <c r="KW26" t="s">
        <v>4658</v>
      </c>
      <c r="KX26" t="s">
        <v>4663</v>
      </c>
      <c r="KY26" t="s">
        <v>4667</v>
      </c>
      <c r="KZ26" t="s">
        <v>4671</v>
      </c>
      <c r="LA26" t="s">
        <v>4711</v>
      </c>
      <c r="LB26" t="s">
        <v>4712</v>
      </c>
      <c r="LC26" t="s">
        <v>4681</v>
      </c>
      <c r="LD26" t="s">
        <v>4576</v>
      </c>
      <c r="LE26" t="s">
        <v>4630</v>
      </c>
      <c r="LF26" t="s">
        <v>4638</v>
      </c>
      <c r="LG26" t="s">
        <v>4642</v>
      </c>
      <c r="LH26" t="s">
        <v>4646</v>
      </c>
      <c r="LI26" t="s">
        <v>4650</v>
      </c>
      <c r="LJ26" t="s">
        <v>4654</v>
      </c>
      <c r="LK26" t="s">
        <v>4658</v>
      </c>
      <c r="LL26" t="s">
        <v>4663</v>
      </c>
      <c r="LM26" t="s">
        <v>4667</v>
      </c>
      <c r="LN26" t="s">
        <v>4671</v>
      </c>
      <c r="LO26" t="s">
        <v>4675</v>
      </c>
      <c r="LP26" t="s">
        <v>4712</v>
      </c>
      <c r="LQ26" t="s">
        <v>4681</v>
      </c>
      <c r="LR26" t="s">
        <v>4576</v>
      </c>
      <c r="LS26" t="s">
        <v>4630</v>
      </c>
      <c r="LT26" t="s">
        <v>4634</v>
      </c>
      <c r="LU26" t="s">
        <v>4638</v>
      </c>
      <c r="LV26" t="s">
        <v>4638</v>
      </c>
      <c r="LW26" t="s">
        <v>4642</v>
      </c>
      <c r="LX26" t="s">
        <v>4646</v>
      </c>
      <c r="LY26" t="s">
        <v>4650</v>
      </c>
      <c r="LZ26" t="s">
        <v>4654</v>
      </c>
      <c r="MA26" t="s">
        <v>4658</v>
      </c>
      <c r="MB26" t="s">
        <v>4663</v>
      </c>
      <c r="MC26" t="s">
        <v>4667</v>
      </c>
      <c r="MD26" t="s">
        <v>4671</v>
      </c>
      <c r="ME26" t="s">
        <v>4712</v>
      </c>
      <c r="MF26" t="s">
        <v>4681</v>
      </c>
      <c r="MG26" t="s">
        <v>4576</v>
      </c>
      <c r="MH26" t="s">
        <v>4630</v>
      </c>
      <c r="MI26" t="s">
        <v>4634</v>
      </c>
      <c r="MJ26" t="s">
        <v>4638</v>
      </c>
      <c r="MK26" t="s">
        <v>4642</v>
      </c>
      <c r="ML26" t="s">
        <v>4646</v>
      </c>
      <c r="MM26" t="s">
        <v>4650</v>
      </c>
      <c r="MN26" t="s">
        <v>4654</v>
      </c>
      <c r="MO26" t="s">
        <v>4658</v>
      </c>
      <c r="MP26" t="s">
        <v>4663</v>
      </c>
      <c r="MQ26" t="s">
        <v>4667</v>
      </c>
      <c r="MR26" t="s">
        <v>4671</v>
      </c>
      <c r="MS26" t="s">
        <v>4675</v>
      </c>
      <c r="MT26" t="s">
        <v>4712</v>
      </c>
      <c r="MU26" t="s">
        <v>4681</v>
      </c>
      <c r="MV26" t="s">
        <v>4576</v>
      </c>
      <c r="MW26" t="s">
        <v>4630</v>
      </c>
      <c r="MX26" t="s">
        <v>4634</v>
      </c>
      <c r="MY26" t="s">
        <v>4638</v>
      </c>
      <c r="MZ26" t="s">
        <v>4642</v>
      </c>
      <c r="NA26" t="s">
        <v>4646</v>
      </c>
      <c r="NB26" t="s">
        <v>4650</v>
      </c>
      <c r="NC26" t="s">
        <v>4654</v>
      </c>
      <c r="ND26" t="s">
        <v>4658</v>
      </c>
      <c r="NE26" t="s">
        <v>4663</v>
      </c>
      <c r="NF26" t="s">
        <v>4667</v>
      </c>
      <c r="NG26" t="s">
        <v>4671</v>
      </c>
      <c r="NH26" t="s">
        <v>4711</v>
      </c>
      <c r="NI26" t="s">
        <v>4712</v>
      </c>
      <c r="NJ26" t="s">
        <v>4681</v>
      </c>
      <c r="NK26" t="s">
        <v>4630</v>
      </c>
      <c r="NL26" t="s">
        <v>4634</v>
      </c>
      <c r="NM26" t="s">
        <v>4638</v>
      </c>
      <c r="NN26" t="s">
        <v>4642</v>
      </c>
      <c r="NO26" t="s">
        <v>4646</v>
      </c>
      <c r="NP26" t="s">
        <v>4650</v>
      </c>
      <c r="NQ26" t="s">
        <v>4654</v>
      </c>
      <c r="NR26" t="s">
        <v>4658</v>
      </c>
      <c r="NS26" t="s">
        <v>4663</v>
      </c>
      <c r="NT26" t="s">
        <v>4667</v>
      </c>
      <c r="NU26" t="s">
        <v>4671</v>
      </c>
      <c r="NV26" t="s">
        <v>4675</v>
      </c>
      <c r="NW26" t="s">
        <v>4675</v>
      </c>
      <c r="NX26" t="s">
        <v>4712</v>
      </c>
      <c r="NY26" t="s">
        <v>4681</v>
      </c>
      <c r="NZ26" t="s">
        <v>4576</v>
      </c>
      <c r="OA26" t="s">
        <v>4630</v>
      </c>
      <c r="OB26" t="s">
        <v>4634</v>
      </c>
      <c r="OC26" t="s">
        <v>4638</v>
      </c>
      <c r="OD26" t="s">
        <v>4642</v>
      </c>
      <c r="OE26" t="s">
        <v>4646</v>
      </c>
      <c r="OF26" t="s">
        <v>4650</v>
      </c>
      <c r="OG26" t="s">
        <v>4654</v>
      </c>
      <c r="OH26" t="s">
        <v>4658</v>
      </c>
      <c r="OI26" t="s">
        <v>4663</v>
      </c>
      <c r="OJ26" t="s">
        <v>4667</v>
      </c>
      <c r="OK26" t="s">
        <v>4711</v>
      </c>
      <c r="OL26" t="s">
        <v>4712</v>
      </c>
      <c r="OM26" t="s">
        <v>4681</v>
      </c>
      <c r="ON26" t="s">
        <v>4576</v>
      </c>
      <c r="OO26" t="s">
        <v>4630</v>
      </c>
      <c r="OP26" t="s">
        <v>4634</v>
      </c>
      <c r="OQ26" t="s">
        <v>4638</v>
      </c>
      <c r="OR26" t="s">
        <v>4642</v>
      </c>
      <c r="OS26" t="s">
        <v>4646</v>
      </c>
      <c r="OT26" t="s">
        <v>4650</v>
      </c>
      <c r="OU26" t="s">
        <v>4654</v>
      </c>
      <c r="OV26" t="s">
        <v>4658</v>
      </c>
      <c r="OW26" t="s">
        <v>4663</v>
      </c>
      <c r="OX26" t="s">
        <v>4667</v>
      </c>
      <c r="OY26" t="s">
        <v>4671</v>
      </c>
      <c r="OZ26" t="s">
        <v>4675</v>
      </c>
      <c r="PA26" t="s">
        <v>4712</v>
      </c>
      <c r="PB26" t="s">
        <v>4681</v>
      </c>
      <c r="PC26" t="s">
        <v>4681</v>
      </c>
      <c r="PD26" t="s">
        <v>4576</v>
      </c>
      <c r="PE26" t="s">
        <v>4630</v>
      </c>
      <c r="PF26" t="s">
        <v>4634</v>
      </c>
      <c r="PG26" t="s">
        <v>4638</v>
      </c>
      <c r="PH26" t="s">
        <v>4642</v>
      </c>
      <c r="PI26" t="s">
        <v>4646</v>
      </c>
      <c r="PJ26" t="s">
        <v>4650</v>
      </c>
      <c r="PK26" t="s">
        <v>4658</v>
      </c>
      <c r="PL26" t="s">
        <v>4663</v>
      </c>
      <c r="PM26" t="s">
        <v>4667</v>
      </c>
      <c r="PN26" t="s">
        <v>4671</v>
      </c>
      <c r="PO26" t="s">
        <v>4711</v>
      </c>
      <c r="PP26" t="s">
        <v>4712</v>
      </c>
      <c r="PQ26" t="s">
        <v>4681</v>
      </c>
      <c r="PR26" t="s">
        <v>4630</v>
      </c>
      <c r="PS26" t="s">
        <v>4634</v>
      </c>
      <c r="PT26" t="s">
        <v>4638</v>
      </c>
      <c r="PU26" t="s">
        <v>4642</v>
      </c>
      <c r="PV26" t="s">
        <v>4646</v>
      </c>
      <c r="PW26" t="s">
        <v>4650</v>
      </c>
      <c r="PX26" t="s">
        <v>4650</v>
      </c>
      <c r="PY26" t="s">
        <v>4654</v>
      </c>
      <c r="PZ26" t="s">
        <v>4658</v>
      </c>
      <c r="QA26" t="s">
        <v>4663</v>
      </c>
      <c r="QB26" t="s">
        <v>4667</v>
      </c>
      <c r="QC26" t="s">
        <v>4671</v>
      </c>
      <c r="QD26" t="s">
        <v>4675</v>
      </c>
      <c r="QE26" t="s">
        <v>4712</v>
      </c>
      <c r="QF26" t="s">
        <v>4681</v>
      </c>
      <c r="QG26" t="s">
        <v>4576</v>
      </c>
      <c r="QH26" t="s">
        <v>4630</v>
      </c>
      <c r="QI26" t="s">
        <v>4634</v>
      </c>
      <c r="QJ26" t="s">
        <v>4638</v>
      </c>
      <c r="QK26" t="s">
        <v>4642</v>
      </c>
      <c r="QL26" t="s">
        <v>4646</v>
      </c>
      <c r="QM26" t="s">
        <v>4650</v>
      </c>
      <c r="QN26" t="s">
        <v>4654</v>
      </c>
      <c r="QO26" t="s">
        <v>4658</v>
      </c>
      <c r="QP26" t="s">
        <v>4663</v>
      </c>
      <c r="QQ26" t="s">
        <v>4671</v>
      </c>
      <c r="QR26" t="s">
        <v>4711</v>
      </c>
      <c r="QS26" t="s">
        <v>4712</v>
      </c>
      <c r="QT26" t="s">
        <v>4681</v>
      </c>
      <c r="QU26" t="s">
        <v>4576</v>
      </c>
      <c r="QV26" t="s">
        <v>4630</v>
      </c>
      <c r="QW26" t="s">
        <v>4634</v>
      </c>
      <c r="QX26" t="s">
        <v>4638</v>
      </c>
      <c r="QY26" t="s">
        <v>4642</v>
      </c>
      <c r="QZ26" t="s">
        <v>4646</v>
      </c>
      <c r="RA26" t="s">
        <v>4650</v>
      </c>
      <c r="RB26" t="s">
        <v>4654</v>
      </c>
      <c r="RC26" t="s">
        <v>4658</v>
      </c>
      <c r="RD26" t="s">
        <v>4658</v>
      </c>
      <c r="RE26" t="s">
        <v>4663</v>
      </c>
      <c r="RF26" t="s">
        <v>4667</v>
      </c>
      <c r="RG26" t="s">
        <v>4671</v>
      </c>
      <c r="RH26" t="s">
        <v>4675</v>
      </c>
      <c r="RI26" t="s">
        <v>4712</v>
      </c>
      <c r="RJ26" t="s">
        <v>4681</v>
      </c>
      <c r="RK26" t="s">
        <v>4576</v>
      </c>
      <c r="RL26" t="s">
        <v>4630</v>
      </c>
      <c r="RM26" t="s">
        <v>4634</v>
      </c>
      <c r="RN26" t="s">
        <v>4642</v>
      </c>
      <c r="RO26" t="s">
        <v>4646</v>
      </c>
      <c r="RP26" t="s">
        <v>4650</v>
      </c>
      <c r="RQ26" t="s">
        <v>4654</v>
      </c>
      <c r="RR26" t="s">
        <v>4658</v>
      </c>
      <c r="RS26" t="s">
        <v>4663</v>
      </c>
      <c r="RT26" t="s">
        <v>4667</v>
      </c>
      <c r="RU26" t="s">
        <v>4671</v>
      </c>
      <c r="RV26" t="s">
        <v>4711</v>
      </c>
      <c r="RW26" t="s">
        <v>4712</v>
      </c>
      <c r="RX26" t="s">
        <v>4681</v>
      </c>
      <c r="RY26" t="s">
        <v>4576</v>
      </c>
      <c r="RZ26" t="s">
        <v>4630</v>
      </c>
      <c r="SA26" t="s">
        <v>4634</v>
      </c>
      <c r="SB26" t="s">
        <v>4638</v>
      </c>
      <c r="SC26" t="s">
        <v>4642</v>
      </c>
      <c r="SD26" t="s">
        <v>4646</v>
      </c>
      <c r="SE26" t="s">
        <v>4650</v>
      </c>
      <c r="SF26" t="s">
        <v>4654</v>
      </c>
      <c r="SG26" t="s">
        <v>4658</v>
      </c>
      <c r="SH26" t="s">
        <v>4663</v>
      </c>
      <c r="SI26" t="s">
        <v>4667</v>
      </c>
      <c r="SJ26" t="s">
        <v>4671</v>
      </c>
      <c r="SK26" t="s">
        <v>4675</v>
      </c>
      <c r="SL26" t="s">
        <v>4712</v>
      </c>
      <c r="SM26" t="s">
        <v>4681</v>
      </c>
      <c r="SN26" t="s">
        <v>4576</v>
      </c>
      <c r="SO26" t="s">
        <v>4630</v>
      </c>
      <c r="SP26" t="s">
        <v>4634</v>
      </c>
      <c r="SQ26" t="s">
        <v>4638</v>
      </c>
      <c r="SR26" t="s">
        <v>4642</v>
      </c>
      <c r="SS26" t="s">
        <v>4646</v>
      </c>
      <c r="ST26" t="s">
        <v>4650</v>
      </c>
      <c r="SU26" t="s">
        <v>4658</v>
      </c>
      <c r="SV26" t="s">
        <v>4663</v>
      </c>
      <c r="SW26" t="s">
        <v>4667</v>
      </c>
      <c r="SX26" t="s">
        <v>4671</v>
      </c>
      <c r="SY26" t="s">
        <v>4711</v>
      </c>
      <c r="SZ26" t="s">
        <v>4712</v>
      </c>
      <c r="TA26" t="s">
        <v>4681</v>
      </c>
      <c r="TB26" t="s">
        <v>4576</v>
      </c>
      <c r="TC26" t="s">
        <v>4630</v>
      </c>
      <c r="TD26" t="s">
        <v>4634</v>
      </c>
      <c r="TE26" t="s">
        <v>4634</v>
      </c>
      <c r="TF26" t="s">
        <v>4638</v>
      </c>
      <c r="TG26" t="s">
        <v>4642</v>
      </c>
      <c r="TH26" t="s">
        <v>4646</v>
      </c>
      <c r="TI26" t="s">
        <v>4650</v>
      </c>
      <c r="TJ26" t="s">
        <v>4654</v>
      </c>
      <c r="TK26" t="s">
        <v>4658</v>
      </c>
      <c r="TL26" t="s">
        <v>4663</v>
      </c>
      <c r="TM26" t="s">
        <v>4667</v>
      </c>
      <c r="TN26" t="s">
        <v>4671</v>
      </c>
      <c r="TO26" t="s">
        <v>4675</v>
      </c>
      <c r="TP26" t="s">
        <v>4712</v>
      </c>
      <c r="TQ26" t="s">
        <v>4576</v>
      </c>
      <c r="TR26" t="s">
        <v>4630</v>
      </c>
      <c r="TS26" t="s">
        <v>4634</v>
      </c>
      <c r="TT26" t="s">
        <v>4638</v>
      </c>
      <c r="TU26" t="s">
        <v>4642</v>
      </c>
      <c r="TV26" t="s">
        <v>4646</v>
      </c>
      <c r="TW26" t="s">
        <v>4650</v>
      </c>
      <c r="TX26" t="s">
        <v>4654</v>
      </c>
      <c r="TY26" t="s">
        <v>4658</v>
      </c>
      <c r="TZ26" t="s">
        <v>4663</v>
      </c>
      <c r="UA26" t="s">
        <v>4667</v>
      </c>
      <c r="UB26" t="s">
        <v>4671</v>
      </c>
      <c r="UC26" t="s">
        <v>4711</v>
      </c>
      <c r="UD26" t="s">
        <v>4712</v>
      </c>
      <c r="UE26" t="s">
        <v>4681</v>
      </c>
      <c r="UF26" t="s">
        <v>4576</v>
      </c>
      <c r="UG26" t="s">
        <v>4630</v>
      </c>
      <c r="UH26" t="s">
        <v>4634</v>
      </c>
      <c r="UI26" t="s">
        <v>4638</v>
      </c>
      <c r="UJ26" t="s">
        <v>4642</v>
      </c>
      <c r="UK26" t="s">
        <v>4646</v>
      </c>
      <c r="UL26" t="s">
        <v>4646</v>
      </c>
      <c r="UM26" t="s">
        <v>4650</v>
      </c>
      <c r="UN26" t="s">
        <v>4654</v>
      </c>
      <c r="UO26" t="s">
        <v>4663</v>
      </c>
      <c r="UP26" t="s">
        <v>4667</v>
      </c>
      <c r="UQ26" t="s">
        <v>4671</v>
      </c>
      <c r="UR26" t="s">
        <v>4675</v>
      </c>
      <c r="US26" t="s">
        <v>4712</v>
      </c>
      <c r="UT26" t="s">
        <v>4681</v>
      </c>
      <c r="UU26" t="s">
        <v>4576</v>
      </c>
      <c r="UV26" t="s">
        <v>4634</v>
      </c>
      <c r="UW26" t="s">
        <v>4638</v>
      </c>
      <c r="UX26" t="s">
        <v>4642</v>
      </c>
      <c r="UY26" t="s">
        <v>4646</v>
      </c>
      <c r="UZ26" t="s">
        <v>4650</v>
      </c>
      <c r="VA26" t="s">
        <v>4654</v>
      </c>
      <c r="VB26" t="s">
        <v>4658</v>
      </c>
      <c r="VC26" t="s">
        <v>4663</v>
      </c>
      <c r="VD26" t="s">
        <v>4667</v>
      </c>
      <c r="VE26" t="s">
        <v>4671</v>
      </c>
      <c r="VF26" t="s">
        <v>4711</v>
      </c>
      <c r="VG26" t="s">
        <v>4712</v>
      </c>
      <c r="VH26" t="s">
        <v>4712</v>
      </c>
      <c r="VI26" t="s">
        <v>4681</v>
      </c>
      <c r="VJ26" t="s">
        <v>4576</v>
      </c>
      <c r="VK26" t="s">
        <v>4630</v>
      </c>
      <c r="VL26" t="s">
        <v>4634</v>
      </c>
      <c r="VM26" t="s">
        <v>4638</v>
      </c>
      <c r="VN26" t="s">
        <v>4642</v>
      </c>
      <c r="VO26" t="s">
        <v>4646</v>
      </c>
      <c r="VP26" t="s">
        <v>4650</v>
      </c>
      <c r="VQ26" t="s">
        <v>4654</v>
      </c>
      <c r="VR26" t="s">
        <v>4658</v>
      </c>
      <c r="VS26" t="s">
        <v>4663</v>
      </c>
      <c r="VT26" t="s">
        <v>4667</v>
      </c>
      <c r="VU26" t="s">
        <v>4675</v>
      </c>
      <c r="VV26" t="s">
        <v>4712</v>
      </c>
      <c r="VW26" t="s">
        <v>4681</v>
      </c>
      <c r="VX26" t="s">
        <v>4576</v>
      </c>
      <c r="VY26" t="s">
        <v>4630</v>
      </c>
      <c r="VZ26" t="s">
        <v>4634</v>
      </c>
      <c r="WA26" t="s">
        <v>4638</v>
      </c>
      <c r="WB26" t="s">
        <v>4642</v>
      </c>
      <c r="WC26" t="s">
        <v>4646</v>
      </c>
      <c r="WD26" t="s">
        <v>4650</v>
      </c>
      <c r="WE26" t="s">
        <v>4654</v>
      </c>
      <c r="WF26" t="s">
        <v>4658</v>
      </c>
      <c r="WG26" t="s">
        <v>4663</v>
      </c>
      <c r="WH26" t="s">
        <v>4667</v>
      </c>
      <c r="WI26" t="s">
        <v>4671</v>
      </c>
      <c r="WJ26" t="s">
        <v>4711</v>
      </c>
      <c r="WK26" t="s">
        <v>4712</v>
      </c>
      <c r="WL26" t="s">
        <v>4681</v>
      </c>
      <c r="WM26" t="s">
        <v>4576</v>
      </c>
      <c r="WN26" t="s">
        <v>4630</v>
      </c>
      <c r="WO26" t="s">
        <v>4634</v>
      </c>
      <c r="WP26" t="s">
        <v>4638</v>
      </c>
      <c r="WQ26" t="s">
        <v>4642</v>
      </c>
      <c r="WR26" t="s">
        <v>4646</v>
      </c>
      <c r="WS26" t="s">
        <v>4650</v>
      </c>
      <c r="WT26" t="s">
        <v>4654</v>
      </c>
      <c r="WU26" t="s">
        <v>4658</v>
      </c>
      <c r="WV26" t="s">
        <v>4663</v>
      </c>
      <c r="WW26" t="s">
        <v>4667</v>
      </c>
      <c r="WX26" t="s">
        <v>4671</v>
      </c>
      <c r="WY26" t="s">
        <v>4675</v>
      </c>
      <c r="WZ26" t="s">
        <v>4681</v>
      </c>
      <c r="XA26" t="s">
        <v>4576</v>
      </c>
      <c r="XB26" t="s">
        <v>4630</v>
      </c>
      <c r="XC26" t="s">
        <v>4634</v>
      </c>
      <c r="XD26" t="s">
        <v>4638</v>
      </c>
      <c r="XE26" t="s">
        <v>4642</v>
      </c>
      <c r="XF26" t="s">
        <v>4646</v>
      </c>
      <c r="XG26" t="s">
        <v>4650</v>
      </c>
      <c r="XH26" t="s">
        <v>4654</v>
      </c>
      <c r="XI26" t="s">
        <v>4658</v>
      </c>
      <c r="XJ26" t="s">
        <v>4663</v>
      </c>
      <c r="XK26" t="s">
        <v>4667</v>
      </c>
      <c r="XL26" t="s">
        <v>4667</v>
      </c>
      <c r="XM26" t="s">
        <v>4671</v>
      </c>
      <c r="XN26" t="s">
        <v>4711</v>
      </c>
      <c r="XO26" t="s">
        <v>4712</v>
      </c>
      <c r="XP26" t="s">
        <v>4681</v>
      </c>
      <c r="XQ26" t="s">
        <v>4576</v>
      </c>
      <c r="XR26" t="s">
        <v>4630</v>
      </c>
      <c r="XS26" t="s">
        <v>4634</v>
      </c>
      <c r="XT26" t="s">
        <v>4638</v>
      </c>
      <c r="XU26" t="s">
        <v>4642</v>
      </c>
      <c r="XV26" t="s">
        <v>4646</v>
      </c>
      <c r="XW26" t="s">
        <v>4650</v>
      </c>
      <c r="XX26" t="s">
        <v>4654</v>
      </c>
      <c r="XY26" t="s">
        <v>4658</v>
      </c>
      <c r="XZ26" t="s">
        <v>4667</v>
      </c>
      <c r="YA26" t="s">
        <v>4671</v>
      </c>
      <c r="YB26" t="s">
        <v>4675</v>
      </c>
      <c r="YC26" t="s">
        <v>4712</v>
      </c>
      <c r="YD26" t="s">
        <v>4681</v>
      </c>
      <c r="YE26" t="s">
        <v>4576</v>
      </c>
      <c r="YF26" t="s">
        <v>4630</v>
      </c>
      <c r="YG26" t="s">
        <v>4634</v>
      </c>
      <c r="YH26" t="s">
        <v>4638</v>
      </c>
      <c r="YI26" t="s">
        <v>4642</v>
      </c>
      <c r="YJ26" t="s">
        <v>4646</v>
      </c>
      <c r="YK26" t="s">
        <v>4650</v>
      </c>
      <c r="YL26" t="s">
        <v>4654</v>
      </c>
      <c r="YM26" t="s">
        <v>4658</v>
      </c>
      <c r="YN26" t="s">
        <v>4663</v>
      </c>
      <c r="YO26" t="s">
        <v>4667</v>
      </c>
      <c r="YP26" t="s">
        <v>4671</v>
      </c>
      <c r="YQ26" t="s">
        <v>4711</v>
      </c>
      <c r="YR26" t="s">
        <v>4712</v>
      </c>
      <c r="YS26" t="s">
        <v>4681</v>
      </c>
      <c r="YT26" t="s">
        <v>4576</v>
      </c>
      <c r="YU26" t="s">
        <v>4630</v>
      </c>
      <c r="YV26" t="s">
        <v>4634</v>
      </c>
      <c r="YW26" t="s">
        <v>4638</v>
      </c>
      <c r="YX26" t="s">
        <v>4642</v>
      </c>
      <c r="YY26" t="s">
        <v>4646</v>
      </c>
      <c r="YZ26" t="s">
        <v>4650</v>
      </c>
      <c r="ZA26" t="s">
        <v>4654</v>
      </c>
      <c r="ZB26" t="s">
        <v>4658</v>
      </c>
      <c r="ZC26" t="s">
        <v>4663</v>
      </c>
      <c r="ZD26" t="s">
        <v>4667</v>
      </c>
      <c r="ZE26" t="s">
        <v>4675</v>
      </c>
      <c r="ZF26" t="s">
        <v>4712</v>
      </c>
      <c r="ZG26" t="s">
        <v>4681</v>
      </c>
      <c r="ZH26" t="s">
        <v>4576</v>
      </c>
      <c r="ZI26" t="s">
        <v>4630</v>
      </c>
      <c r="ZJ26" t="s">
        <v>4634</v>
      </c>
      <c r="ZK26" t="s">
        <v>4638</v>
      </c>
      <c r="ZL26" t="s">
        <v>4642</v>
      </c>
      <c r="ZM26" t="s">
        <v>4646</v>
      </c>
      <c r="ZN26" t="s">
        <v>4646</v>
      </c>
      <c r="ZO26" t="s">
        <v>4650</v>
      </c>
      <c r="ZP26" t="s">
        <v>4654</v>
      </c>
      <c r="ZQ26" t="s">
        <v>4658</v>
      </c>
      <c r="ZR26" t="s">
        <v>4663</v>
      </c>
      <c r="ZS26" t="s">
        <v>4667</v>
      </c>
      <c r="ZT26" t="s">
        <v>4671</v>
      </c>
      <c r="ZU26" t="s">
        <v>4711</v>
      </c>
      <c r="ZV26" t="s">
        <v>4712</v>
      </c>
      <c r="ZW26" t="s">
        <v>4681</v>
      </c>
      <c r="ZX26" t="s">
        <v>4576</v>
      </c>
      <c r="ZY26" t="s">
        <v>4630</v>
      </c>
      <c r="ZZ26" t="s">
        <v>4634</v>
      </c>
      <c r="AAA26" t="s">
        <v>4638</v>
      </c>
      <c r="AAB26" t="s">
        <v>4646</v>
      </c>
      <c r="AAC26" t="s">
        <v>4650</v>
      </c>
      <c r="AAD26" t="s">
        <v>4654</v>
      </c>
      <c r="AAE26" t="s">
        <v>4658</v>
      </c>
      <c r="AAF26" t="s">
        <v>4663</v>
      </c>
      <c r="AAG26" t="s">
        <v>4667</v>
      </c>
      <c r="AAH26" t="s">
        <v>4671</v>
      </c>
      <c r="AAI26" t="s">
        <v>4675</v>
      </c>
      <c r="AAJ26" t="s">
        <v>4712</v>
      </c>
      <c r="AAK26" t="s">
        <v>4681</v>
      </c>
      <c r="AAL26" t="s">
        <v>4576</v>
      </c>
      <c r="AAM26" t="s">
        <v>4630</v>
      </c>
      <c r="AAN26" t="s">
        <v>4634</v>
      </c>
      <c r="AAO26" t="s">
        <v>4638</v>
      </c>
      <c r="AAP26" t="s">
        <v>4642</v>
      </c>
      <c r="AAQ26" t="s">
        <v>4646</v>
      </c>
      <c r="AAR26" t="s">
        <v>4650</v>
      </c>
      <c r="AAS26" t="s">
        <v>4650</v>
      </c>
      <c r="AAT26" t="s">
        <v>4654</v>
      </c>
      <c r="AAU26" t="s">
        <v>4658</v>
      </c>
      <c r="AAV26" t="s">
        <v>4663</v>
      </c>
      <c r="AAW26" t="s">
        <v>4667</v>
      </c>
      <c r="AAX26" t="s">
        <v>4671</v>
      </c>
      <c r="AAY26" t="s">
        <v>4712</v>
      </c>
      <c r="AAZ26" t="s">
        <v>4681</v>
      </c>
      <c r="ABA26" t="s">
        <v>4576</v>
      </c>
      <c r="ABB26" t="s">
        <v>4630</v>
      </c>
      <c r="ABC26" t="s">
        <v>4634</v>
      </c>
      <c r="ABD26" t="s">
        <v>4638</v>
      </c>
      <c r="ABE26" t="s">
        <v>4642</v>
      </c>
      <c r="ABF26" t="s">
        <v>4646</v>
      </c>
      <c r="ABG26" t="s">
        <v>4650</v>
      </c>
      <c r="ABH26" t="s">
        <v>4654</v>
      </c>
      <c r="ABI26" t="s">
        <v>4658</v>
      </c>
      <c r="ABJ26" t="s">
        <v>4663</v>
      </c>
      <c r="ABK26" t="s">
        <v>4667</v>
      </c>
      <c r="ABL26" t="s">
        <v>4671</v>
      </c>
      <c r="ABM26" t="s">
        <v>4675</v>
      </c>
      <c r="ABN26" t="s">
        <v>4712</v>
      </c>
      <c r="ABO26" t="s">
        <v>4681</v>
      </c>
      <c r="ABP26" t="s">
        <v>4576</v>
      </c>
      <c r="ABQ26" t="s">
        <v>4630</v>
      </c>
      <c r="ABR26" t="s">
        <v>4634</v>
      </c>
      <c r="ABS26" t="s">
        <v>4638</v>
      </c>
      <c r="ABT26" t="s">
        <v>4642</v>
      </c>
      <c r="ABU26" t="s">
        <v>4646</v>
      </c>
      <c r="ABV26" t="s">
        <v>4650</v>
      </c>
      <c r="ABW26" t="s">
        <v>4654</v>
      </c>
      <c r="ABX26" t="s">
        <v>4658</v>
      </c>
      <c r="ABY26" t="s">
        <v>4663</v>
      </c>
      <c r="ABZ26" t="s">
        <v>4667</v>
      </c>
      <c r="ACA26" t="s">
        <v>4671</v>
      </c>
      <c r="ACB26" t="s">
        <v>4711</v>
      </c>
      <c r="ACC26" t="s">
        <v>4712</v>
      </c>
      <c r="ACD26" t="s">
        <v>4681</v>
      </c>
      <c r="ACE26" t="s">
        <v>4576</v>
      </c>
      <c r="ACF26" t="s">
        <v>4634</v>
      </c>
      <c r="ACG26" t="s">
        <v>4638</v>
      </c>
      <c r="ACH26" t="s">
        <v>4642</v>
      </c>
      <c r="ACI26" t="s">
        <v>4646</v>
      </c>
      <c r="ACJ26" t="s">
        <v>4650</v>
      </c>
      <c r="ACK26" t="s">
        <v>4654</v>
      </c>
      <c r="ACL26" t="s">
        <v>4658</v>
      </c>
      <c r="ACM26" t="s">
        <v>4663</v>
      </c>
      <c r="ACN26" t="s">
        <v>4667</v>
      </c>
      <c r="ACO26" t="s">
        <v>4671</v>
      </c>
      <c r="ACP26" t="s">
        <v>4675</v>
      </c>
      <c r="ACQ26" t="s">
        <v>4712</v>
      </c>
      <c r="ACR26" t="s">
        <v>4681</v>
      </c>
      <c r="ACS26" t="s">
        <v>4576</v>
      </c>
      <c r="ACT26" t="s">
        <v>4576</v>
      </c>
      <c r="ACU26" t="s">
        <v>4630</v>
      </c>
      <c r="ACV26" t="s">
        <v>4634</v>
      </c>
      <c r="ACW26" t="s">
        <v>4638</v>
      </c>
      <c r="ACX26" t="s">
        <v>4642</v>
      </c>
      <c r="ACY26" t="s">
        <v>4646</v>
      </c>
      <c r="ACZ26" t="s">
        <v>4650</v>
      </c>
      <c r="ADA26" t="s">
        <v>4654</v>
      </c>
      <c r="ADB26" t="s">
        <v>4658</v>
      </c>
      <c r="ADC26" t="s">
        <v>4663</v>
      </c>
      <c r="ADD26" t="s">
        <v>4667</v>
      </c>
      <c r="ADE26" t="s">
        <v>4671</v>
      </c>
      <c r="ADF26" t="s">
        <v>4712</v>
      </c>
      <c r="ADG26" t="s">
        <v>4681</v>
      </c>
      <c r="ADH26" t="s">
        <v>4576</v>
      </c>
      <c r="ADI26" t="s">
        <v>4630</v>
      </c>
      <c r="ADJ26" t="s">
        <v>4634</v>
      </c>
      <c r="ADK26" t="s">
        <v>4638</v>
      </c>
      <c r="ADL26" t="s">
        <v>4642</v>
      </c>
      <c r="ADM26" t="s">
        <v>4646</v>
      </c>
      <c r="ADN26" t="s">
        <v>4650</v>
      </c>
      <c r="ADO26" t="s">
        <v>4654</v>
      </c>
      <c r="ADP26" t="s">
        <v>4658</v>
      </c>
    </row>
    <row r="27" spans="1:796">
      <c r="A27" t="s">
        <v>4272</v>
      </c>
      <c r="B27">
        <v>27</v>
      </c>
      <c r="C27" t="s">
        <v>4333</v>
      </c>
      <c r="D27">
        <v>78</v>
      </c>
      <c r="E27" t="s">
        <v>4676</v>
      </c>
      <c r="F27" t="s">
        <v>4676</v>
      </c>
      <c r="G27" t="s">
        <v>4676</v>
      </c>
      <c r="H27" t="s">
        <v>4676</v>
      </c>
      <c r="I27" t="s">
        <v>4676</v>
      </c>
      <c r="J27" t="s">
        <v>4676</v>
      </c>
      <c r="K27" t="s">
        <v>4676</v>
      </c>
      <c r="L27" t="s">
        <v>4676</v>
      </c>
      <c r="M27" t="s">
        <v>4676</v>
      </c>
      <c r="N27" t="s">
        <v>4676</v>
      </c>
      <c r="O27" t="s">
        <v>4676</v>
      </c>
      <c r="P27" t="s">
        <v>4676</v>
      </c>
      <c r="Q27" t="s">
        <v>4676</v>
      </c>
      <c r="R27" t="s">
        <v>4577</v>
      </c>
      <c r="S27" t="s">
        <v>4577</v>
      </c>
      <c r="T27" t="s">
        <v>4577</v>
      </c>
      <c r="U27" t="s">
        <v>4577</v>
      </c>
      <c r="V27" t="s">
        <v>4577</v>
      </c>
      <c r="W27" t="s">
        <v>4577</v>
      </c>
      <c r="X27" t="s">
        <v>4577</v>
      </c>
      <c r="Y27" t="s">
        <v>4577</v>
      </c>
      <c r="Z27" t="s">
        <v>4577</v>
      </c>
      <c r="AA27" t="s">
        <v>4577</v>
      </c>
      <c r="AB27" t="s">
        <v>4577</v>
      </c>
      <c r="AC27" t="s">
        <v>4577</v>
      </c>
      <c r="AD27" t="s">
        <v>4577</v>
      </c>
      <c r="AE27" t="s">
        <v>4577</v>
      </c>
      <c r="AF27" t="s">
        <v>4577</v>
      </c>
      <c r="AG27" t="s">
        <v>4676</v>
      </c>
      <c r="AH27" t="s">
        <v>4676</v>
      </c>
      <c r="AI27" t="s">
        <v>4676</v>
      </c>
      <c r="AJ27" t="s">
        <v>4676</v>
      </c>
      <c r="AK27" t="s">
        <v>4676</v>
      </c>
      <c r="AL27" t="s">
        <v>4676</v>
      </c>
      <c r="AM27" t="s">
        <v>4676</v>
      </c>
      <c r="AN27" t="s">
        <v>4676</v>
      </c>
      <c r="AO27" t="s">
        <v>4676</v>
      </c>
      <c r="AP27" t="s">
        <v>4676</v>
      </c>
      <c r="AQ27" t="s">
        <v>4676</v>
      </c>
      <c r="AR27" t="s">
        <v>4676</v>
      </c>
      <c r="AS27" t="s">
        <v>4676</v>
      </c>
      <c r="AT27" t="s">
        <v>4676</v>
      </c>
      <c r="AU27" t="s">
        <v>4676</v>
      </c>
      <c r="AV27" t="s">
        <v>4577</v>
      </c>
      <c r="AW27" t="s">
        <v>4577</v>
      </c>
      <c r="AX27" t="s">
        <v>4577</v>
      </c>
      <c r="AY27" t="s">
        <v>4577</v>
      </c>
      <c r="AZ27" t="s">
        <v>4577</v>
      </c>
      <c r="BA27" t="s">
        <v>4577</v>
      </c>
      <c r="BB27" t="s">
        <v>4577</v>
      </c>
      <c r="BC27" t="s">
        <v>4577</v>
      </c>
      <c r="BD27" t="s">
        <v>4577</v>
      </c>
      <c r="BE27" t="s">
        <v>4577</v>
      </c>
      <c r="BF27" t="s">
        <v>4577</v>
      </c>
      <c r="BG27" t="s">
        <v>4577</v>
      </c>
      <c r="BH27" t="s">
        <v>4577</v>
      </c>
      <c r="BI27" t="s">
        <v>4577</v>
      </c>
      <c r="BJ27" t="s">
        <v>4577</v>
      </c>
      <c r="BK27" t="s">
        <v>4676</v>
      </c>
      <c r="BL27" t="s">
        <v>4676</v>
      </c>
      <c r="BM27" t="s">
        <v>4676</v>
      </c>
      <c r="BN27" t="s">
        <v>4676</v>
      </c>
      <c r="BO27" t="s">
        <v>4676</v>
      </c>
      <c r="BP27" t="s">
        <v>4676</v>
      </c>
      <c r="BQ27" t="s">
        <v>4676</v>
      </c>
      <c r="BR27" t="s">
        <v>4676</v>
      </c>
      <c r="BS27" t="s">
        <v>4676</v>
      </c>
      <c r="BT27" t="s">
        <v>4676</v>
      </c>
      <c r="BU27" t="s">
        <v>4676</v>
      </c>
      <c r="BV27" t="s">
        <v>4676</v>
      </c>
      <c r="BW27" t="s">
        <v>4676</v>
      </c>
      <c r="BX27" t="s">
        <v>4676</v>
      </c>
      <c r="BY27" t="s">
        <v>4577</v>
      </c>
      <c r="BZ27" t="s">
        <v>4577</v>
      </c>
      <c r="CA27" t="s">
        <v>4577</v>
      </c>
      <c r="CB27" t="s">
        <v>4577</v>
      </c>
      <c r="CC27" t="s">
        <v>4577</v>
      </c>
      <c r="CD27" t="s">
        <v>4577</v>
      </c>
      <c r="CE27" t="s">
        <v>4577</v>
      </c>
      <c r="CF27" t="s">
        <v>4577</v>
      </c>
      <c r="CG27" t="s">
        <v>4577</v>
      </c>
      <c r="CH27" t="s">
        <v>4577</v>
      </c>
      <c r="CI27" t="s">
        <v>4577</v>
      </c>
      <c r="CJ27" t="s">
        <v>4577</v>
      </c>
      <c r="CK27" t="s">
        <v>4577</v>
      </c>
      <c r="CL27" t="s">
        <v>4577</v>
      </c>
      <c r="CM27" t="s">
        <v>4577</v>
      </c>
      <c r="CN27" t="s">
        <v>4577</v>
      </c>
      <c r="CO27" t="s">
        <v>4676</v>
      </c>
      <c r="CP27" t="s">
        <v>4676</v>
      </c>
      <c r="CQ27" t="s">
        <v>4676</v>
      </c>
      <c r="CR27" t="s">
        <v>4676</v>
      </c>
      <c r="CS27" t="s">
        <v>4676</v>
      </c>
      <c r="CT27" t="s">
        <v>4676</v>
      </c>
      <c r="CU27" t="s">
        <v>4676</v>
      </c>
      <c r="CV27" t="s">
        <v>4676</v>
      </c>
      <c r="CW27" t="s">
        <v>4676</v>
      </c>
      <c r="CX27" t="s">
        <v>4676</v>
      </c>
      <c r="CY27" t="s">
        <v>4676</v>
      </c>
      <c r="CZ27" t="s">
        <v>4676</v>
      </c>
      <c r="DA27" t="s">
        <v>4676</v>
      </c>
      <c r="DB27" t="s">
        <v>4676</v>
      </c>
      <c r="DC27" t="s">
        <v>4577</v>
      </c>
      <c r="DD27" t="s">
        <v>4577</v>
      </c>
      <c r="DE27" t="s">
        <v>4577</v>
      </c>
      <c r="DF27" t="s">
        <v>4577</v>
      </c>
      <c r="DG27" t="s">
        <v>4577</v>
      </c>
      <c r="DH27" t="s">
        <v>4577</v>
      </c>
      <c r="DI27" t="s">
        <v>4577</v>
      </c>
      <c r="DJ27" t="s">
        <v>4577</v>
      </c>
      <c r="DK27" t="s">
        <v>4577</v>
      </c>
      <c r="DL27" t="s">
        <v>4577</v>
      </c>
      <c r="DM27" t="s">
        <v>4577</v>
      </c>
      <c r="DN27" t="s">
        <v>4577</v>
      </c>
      <c r="DO27" t="s">
        <v>4577</v>
      </c>
      <c r="DP27" t="s">
        <v>4577</v>
      </c>
      <c r="DQ27" t="s">
        <v>4577</v>
      </c>
      <c r="DR27" t="s">
        <v>4676</v>
      </c>
      <c r="DS27" t="s">
        <v>4676</v>
      </c>
      <c r="DT27" t="s">
        <v>4676</v>
      </c>
      <c r="DU27" t="s">
        <v>4676</v>
      </c>
      <c r="DV27" t="s">
        <v>4676</v>
      </c>
      <c r="DW27" t="s">
        <v>4676</v>
      </c>
      <c r="DX27" t="s">
        <v>4676</v>
      </c>
      <c r="DY27" t="s">
        <v>4676</v>
      </c>
      <c r="DZ27" t="s">
        <v>4676</v>
      </c>
      <c r="EA27" t="s">
        <v>4676</v>
      </c>
      <c r="EB27" t="s">
        <v>4676</v>
      </c>
      <c r="EC27" t="s">
        <v>4676</v>
      </c>
      <c r="ED27" t="s">
        <v>4676</v>
      </c>
      <c r="EE27" t="s">
        <v>4676</v>
      </c>
      <c r="EF27" t="s">
        <v>4577</v>
      </c>
      <c r="EG27" t="s">
        <v>4577</v>
      </c>
      <c r="EH27" t="s">
        <v>4577</v>
      </c>
      <c r="EI27" t="s">
        <v>4577</v>
      </c>
      <c r="EJ27" t="s">
        <v>4577</v>
      </c>
      <c r="EK27" t="s">
        <v>4577</v>
      </c>
      <c r="EL27" t="s">
        <v>4577</v>
      </c>
      <c r="EM27" t="s">
        <v>4577</v>
      </c>
      <c r="EN27" t="s">
        <v>4577</v>
      </c>
      <c r="EO27" t="s">
        <v>4577</v>
      </c>
      <c r="EP27" t="s">
        <v>4577</v>
      </c>
      <c r="EQ27" t="s">
        <v>4577</v>
      </c>
      <c r="ER27" t="s">
        <v>4577</v>
      </c>
      <c r="ES27" t="s">
        <v>4577</v>
      </c>
      <c r="ET27" t="s">
        <v>4577</v>
      </c>
      <c r="EU27" t="s">
        <v>4577</v>
      </c>
      <c r="EV27" t="s">
        <v>4676</v>
      </c>
      <c r="EW27" t="s">
        <v>4676</v>
      </c>
      <c r="EX27" t="s">
        <v>4676</v>
      </c>
      <c r="EY27" t="s">
        <v>4676</v>
      </c>
      <c r="EZ27" t="s">
        <v>4676</v>
      </c>
      <c r="FA27" t="s">
        <v>4676</v>
      </c>
      <c r="FB27" t="s">
        <v>4676</v>
      </c>
      <c r="FC27" t="s">
        <v>4676</v>
      </c>
      <c r="FD27" t="s">
        <v>4676</v>
      </c>
      <c r="FE27" t="s">
        <v>4676</v>
      </c>
      <c r="FF27" t="s">
        <v>4676</v>
      </c>
      <c r="FG27" t="s">
        <v>4676</v>
      </c>
      <c r="FH27" t="s">
        <v>4676</v>
      </c>
      <c r="FI27" t="s">
        <v>4676</v>
      </c>
      <c r="FJ27" t="s">
        <v>4577</v>
      </c>
      <c r="FK27" t="s">
        <v>4577</v>
      </c>
      <c r="FL27" t="s">
        <v>4577</v>
      </c>
      <c r="FM27" t="s">
        <v>4577</v>
      </c>
      <c r="FN27" t="s">
        <v>4577</v>
      </c>
      <c r="FO27" t="s">
        <v>4577</v>
      </c>
      <c r="FP27" t="s">
        <v>4577</v>
      </c>
      <c r="FQ27" t="s">
        <v>4577</v>
      </c>
      <c r="FR27" t="s">
        <v>4577</v>
      </c>
      <c r="FS27" t="s">
        <v>4577</v>
      </c>
      <c r="FT27" t="s">
        <v>4577</v>
      </c>
      <c r="FU27" t="s">
        <v>4577</v>
      </c>
      <c r="FV27" t="s">
        <v>4577</v>
      </c>
      <c r="FW27" t="s">
        <v>4577</v>
      </c>
      <c r="FX27" t="s">
        <v>4577</v>
      </c>
      <c r="FY27" t="s">
        <v>4676</v>
      </c>
      <c r="FZ27" t="s">
        <v>4676</v>
      </c>
      <c r="GA27" t="s">
        <v>4676</v>
      </c>
      <c r="GB27" t="s">
        <v>4676</v>
      </c>
      <c r="GC27" t="s">
        <v>4676</v>
      </c>
      <c r="GD27" t="s">
        <v>4676</v>
      </c>
      <c r="GE27" t="s">
        <v>4676</v>
      </c>
      <c r="GF27" t="s">
        <v>4676</v>
      </c>
      <c r="GG27" t="s">
        <v>4676</v>
      </c>
      <c r="GH27" t="s">
        <v>4676</v>
      </c>
      <c r="GI27" t="s">
        <v>4676</v>
      </c>
      <c r="GJ27" t="s">
        <v>4676</v>
      </c>
      <c r="GK27" t="s">
        <v>4676</v>
      </c>
      <c r="GL27" t="s">
        <v>4676</v>
      </c>
      <c r="GM27" t="s">
        <v>4676</v>
      </c>
      <c r="GN27" t="s">
        <v>4577</v>
      </c>
      <c r="GO27" t="s">
        <v>4577</v>
      </c>
      <c r="GP27" t="s">
        <v>4577</v>
      </c>
      <c r="GQ27" t="s">
        <v>4577</v>
      </c>
      <c r="GR27" t="s">
        <v>4577</v>
      </c>
      <c r="GS27" t="s">
        <v>4577</v>
      </c>
      <c r="GT27" t="s">
        <v>4577</v>
      </c>
      <c r="GU27" t="s">
        <v>4577</v>
      </c>
      <c r="GV27" t="s">
        <v>4577</v>
      </c>
      <c r="GW27" t="s">
        <v>4577</v>
      </c>
      <c r="GX27" t="s">
        <v>4577</v>
      </c>
      <c r="GY27" t="s">
        <v>4577</v>
      </c>
      <c r="GZ27" t="s">
        <v>4577</v>
      </c>
      <c r="HA27" t="s">
        <v>4577</v>
      </c>
      <c r="HB27" t="s">
        <v>4676</v>
      </c>
      <c r="HC27" t="s">
        <v>4676</v>
      </c>
      <c r="HD27" t="s">
        <v>4676</v>
      </c>
      <c r="HE27" t="s">
        <v>4676</v>
      </c>
      <c r="HF27" t="s">
        <v>4676</v>
      </c>
      <c r="HG27" t="s">
        <v>4676</v>
      </c>
      <c r="HH27" t="s">
        <v>4676</v>
      </c>
      <c r="HI27" t="s">
        <v>4676</v>
      </c>
      <c r="HJ27" t="s">
        <v>4676</v>
      </c>
      <c r="HK27" t="s">
        <v>4676</v>
      </c>
      <c r="HL27" t="s">
        <v>4676</v>
      </c>
      <c r="HM27" t="s">
        <v>4676</v>
      </c>
      <c r="HN27" t="s">
        <v>4676</v>
      </c>
      <c r="HO27" t="s">
        <v>4676</v>
      </c>
      <c r="HP27" t="s">
        <v>4676</v>
      </c>
      <c r="HQ27" t="s">
        <v>4577</v>
      </c>
      <c r="HR27" t="s">
        <v>4577</v>
      </c>
      <c r="HS27" t="s">
        <v>4577</v>
      </c>
      <c r="HT27" t="s">
        <v>4577</v>
      </c>
      <c r="HU27" t="s">
        <v>4577</v>
      </c>
      <c r="HV27" t="s">
        <v>4577</v>
      </c>
      <c r="HW27" t="s">
        <v>4577</v>
      </c>
      <c r="HX27" t="s">
        <v>4577</v>
      </c>
      <c r="HY27" t="s">
        <v>4577</v>
      </c>
      <c r="HZ27" t="s">
        <v>4577</v>
      </c>
      <c r="IA27" t="s">
        <v>4577</v>
      </c>
      <c r="IB27" t="s">
        <v>4577</v>
      </c>
      <c r="IC27" t="s">
        <v>4577</v>
      </c>
      <c r="ID27" t="s">
        <v>4577</v>
      </c>
      <c r="IE27" t="s">
        <v>4577</v>
      </c>
      <c r="IF27" t="s">
        <v>4676</v>
      </c>
      <c r="IG27" t="s">
        <v>4676</v>
      </c>
      <c r="IH27" t="s">
        <v>4676</v>
      </c>
      <c r="II27" t="s">
        <v>4676</v>
      </c>
      <c r="IJ27" t="s">
        <v>4676</v>
      </c>
      <c r="IK27" t="s">
        <v>4676</v>
      </c>
      <c r="IL27" t="s">
        <v>4676</v>
      </c>
      <c r="IM27" t="s">
        <v>4676</v>
      </c>
      <c r="IN27" t="s">
        <v>4676</v>
      </c>
      <c r="IO27" t="s">
        <v>4676</v>
      </c>
      <c r="IP27" t="s">
        <v>4676</v>
      </c>
      <c r="IQ27" t="s">
        <v>4676</v>
      </c>
      <c r="IR27" t="s">
        <v>4676</v>
      </c>
      <c r="IS27" t="s">
        <v>4676</v>
      </c>
      <c r="IT27" t="s">
        <v>4676</v>
      </c>
      <c r="IU27" t="s">
        <v>4577</v>
      </c>
      <c r="IV27" t="s">
        <v>4577</v>
      </c>
      <c r="IW27" t="s">
        <v>4577</v>
      </c>
      <c r="IX27" t="s">
        <v>4577</v>
      </c>
      <c r="IY27" t="s">
        <v>4577</v>
      </c>
      <c r="IZ27" t="s">
        <v>4577</v>
      </c>
      <c r="JA27" t="s">
        <v>4577</v>
      </c>
      <c r="JB27" t="s">
        <v>4577</v>
      </c>
      <c r="JC27" t="s">
        <v>4577</v>
      </c>
      <c r="JD27" t="s">
        <v>4577</v>
      </c>
      <c r="JE27" t="s">
        <v>4577</v>
      </c>
      <c r="JF27" t="s">
        <v>4577</v>
      </c>
      <c r="JG27" t="s">
        <v>4577</v>
      </c>
      <c r="JH27" t="s">
        <v>4577</v>
      </c>
      <c r="JI27" t="s">
        <v>4676</v>
      </c>
      <c r="JJ27" t="s">
        <v>4676</v>
      </c>
      <c r="JK27" t="s">
        <v>4676</v>
      </c>
      <c r="JL27" t="s">
        <v>4676</v>
      </c>
      <c r="JM27" t="s">
        <v>4676</v>
      </c>
      <c r="JN27" t="s">
        <v>4676</v>
      </c>
      <c r="JO27" t="s">
        <v>4676</v>
      </c>
      <c r="JP27" t="s">
        <v>4676</v>
      </c>
      <c r="JQ27" t="s">
        <v>4676</v>
      </c>
      <c r="JR27" t="s">
        <v>4676</v>
      </c>
      <c r="JS27" t="s">
        <v>4676</v>
      </c>
      <c r="JT27" t="s">
        <v>4676</v>
      </c>
      <c r="JU27" t="s">
        <v>4676</v>
      </c>
      <c r="JV27" t="s">
        <v>4676</v>
      </c>
      <c r="JW27" t="s">
        <v>4676</v>
      </c>
      <c r="JX27" t="s">
        <v>4577</v>
      </c>
      <c r="JY27" t="s">
        <v>4577</v>
      </c>
      <c r="JZ27" t="s">
        <v>4577</v>
      </c>
      <c r="KA27" t="s">
        <v>4577</v>
      </c>
      <c r="KB27" t="s">
        <v>4577</v>
      </c>
      <c r="KC27" t="s">
        <v>4577</v>
      </c>
      <c r="KD27" t="s">
        <v>4577</v>
      </c>
      <c r="KE27" t="s">
        <v>4577</v>
      </c>
      <c r="KF27" t="s">
        <v>4577</v>
      </c>
      <c r="KG27" t="s">
        <v>4577</v>
      </c>
      <c r="KH27" t="s">
        <v>4577</v>
      </c>
      <c r="KI27" t="s">
        <v>4577</v>
      </c>
      <c r="KJ27" t="s">
        <v>4577</v>
      </c>
      <c r="KK27" t="s">
        <v>4577</v>
      </c>
      <c r="KL27" t="s">
        <v>4676</v>
      </c>
      <c r="KM27" t="s">
        <v>4676</v>
      </c>
      <c r="KN27" t="s">
        <v>4676</v>
      </c>
      <c r="KO27" t="s">
        <v>4676</v>
      </c>
      <c r="KP27" t="s">
        <v>4676</v>
      </c>
      <c r="KQ27" t="s">
        <v>4676</v>
      </c>
      <c r="KR27" t="s">
        <v>4676</v>
      </c>
      <c r="KS27" t="s">
        <v>4676</v>
      </c>
      <c r="KT27" t="s">
        <v>4676</v>
      </c>
      <c r="KU27" t="s">
        <v>4676</v>
      </c>
      <c r="KV27" t="s">
        <v>4676</v>
      </c>
      <c r="KW27" t="s">
        <v>4676</v>
      </c>
      <c r="KX27" t="s">
        <v>4676</v>
      </c>
      <c r="KY27" t="s">
        <v>4676</v>
      </c>
      <c r="KZ27" t="s">
        <v>4676</v>
      </c>
      <c r="LA27" t="s">
        <v>4676</v>
      </c>
      <c r="LB27" t="s">
        <v>4577</v>
      </c>
      <c r="LC27" t="s">
        <v>4577</v>
      </c>
      <c r="LD27" t="s">
        <v>4577</v>
      </c>
      <c r="LE27" t="s">
        <v>4577</v>
      </c>
      <c r="LF27" t="s">
        <v>4577</v>
      </c>
      <c r="LG27" t="s">
        <v>4577</v>
      </c>
      <c r="LH27" t="s">
        <v>4577</v>
      </c>
      <c r="LI27" t="s">
        <v>4577</v>
      </c>
      <c r="LJ27" t="s">
        <v>4577</v>
      </c>
      <c r="LK27" t="s">
        <v>4577</v>
      </c>
      <c r="LL27" t="s">
        <v>4577</v>
      </c>
      <c r="LM27" t="s">
        <v>4577</v>
      </c>
      <c r="LN27" t="s">
        <v>4577</v>
      </c>
      <c r="LO27" t="s">
        <v>4577</v>
      </c>
      <c r="LP27" t="s">
        <v>4676</v>
      </c>
      <c r="LQ27" t="s">
        <v>4676</v>
      </c>
      <c r="LR27" t="s">
        <v>4676</v>
      </c>
      <c r="LS27" t="s">
        <v>4676</v>
      </c>
      <c r="LT27" t="s">
        <v>4676</v>
      </c>
      <c r="LU27" t="s">
        <v>4676</v>
      </c>
      <c r="LV27" t="s">
        <v>4676</v>
      </c>
      <c r="LW27" t="s">
        <v>4676</v>
      </c>
      <c r="LX27" t="s">
        <v>4676</v>
      </c>
      <c r="LY27" t="s">
        <v>4676</v>
      </c>
      <c r="LZ27" t="s">
        <v>4676</v>
      </c>
      <c r="MA27" t="s">
        <v>4676</v>
      </c>
      <c r="MB27" t="s">
        <v>4676</v>
      </c>
      <c r="MC27" t="s">
        <v>4676</v>
      </c>
      <c r="MD27" t="s">
        <v>4676</v>
      </c>
      <c r="ME27" t="s">
        <v>4577</v>
      </c>
      <c r="MF27" t="s">
        <v>4577</v>
      </c>
      <c r="MG27" t="s">
        <v>4577</v>
      </c>
      <c r="MH27" t="s">
        <v>4577</v>
      </c>
      <c r="MI27" t="s">
        <v>4577</v>
      </c>
      <c r="MJ27" t="s">
        <v>4577</v>
      </c>
      <c r="MK27" t="s">
        <v>4577</v>
      </c>
      <c r="ML27" t="s">
        <v>4577</v>
      </c>
      <c r="MM27" t="s">
        <v>4577</v>
      </c>
      <c r="MN27" t="s">
        <v>4577</v>
      </c>
      <c r="MO27" t="s">
        <v>4577</v>
      </c>
      <c r="MP27" t="s">
        <v>4577</v>
      </c>
      <c r="MQ27" t="s">
        <v>4577</v>
      </c>
      <c r="MR27" t="s">
        <v>4577</v>
      </c>
      <c r="MS27" t="s">
        <v>4577</v>
      </c>
      <c r="MT27" t="s">
        <v>4676</v>
      </c>
      <c r="MU27" t="s">
        <v>4676</v>
      </c>
      <c r="MV27" t="s">
        <v>4676</v>
      </c>
      <c r="MW27" t="s">
        <v>4676</v>
      </c>
      <c r="MX27" t="s">
        <v>4676</v>
      </c>
      <c r="MY27" t="s">
        <v>4676</v>
      </c>
      <c r="MZ27" t="s">
        <v>4676</v>
      </c>
      <c r="NA27" t="s">
        <v>4676</v>
      </c>
      <c r="NB27" t="s">
        <v>4676</v>
      </c>
      <c r="NC27" t="s">
        <v>4676</v>
      </c>
      <c r="ND27" t="s">
        <v>4676</v>
      </c>
      <c r="NE27" t="s">
        <v>4676</v>
      </c>
      <c r="NF27" t="s">
        <v>4676</v>
      </c>
      <c r="NG27" t="s">
        <v>4676</v>
      </c>
      <c r="NH27" t="s">
        <v>4676</v>
      </c>
      <c r="NI27" t="s">
        <v>4577</v>
      </c>
      <c r="NJ27" t="s">
        <v>4577</v>
      </c>
      <c r="NK27" t="s">
        <v>4577</v>
      </c>
      <c r="NL27" t="s">
        <v>4577</v>
      </c>
      <c r="NM27" t="s">
        <v>4577</v>
      </c>
      <c r="NN27" t="s">
        <v>4577</v>
      </c>
      <c r="NO27" t="s">
        <v>4577</v>
      </c>
      <c r="NP27" t="s">
        <v>4577</v>
      </c>
      <c r="NQ27" t="s">
        <v>4577</v>
      </c>
      <c r="NR27" t="s">
        <v>4577</v>
      </c>
      <c r="NS27" t="s">
        <v>4577</v>
      </c>
      <c r="NT27" t="s">
        <v>4577</v>
      </c>
      <c r="NU27" t="s">
        <v>4577</v>
      </c>
      <c r="NV27" t="s">
        <v>4577</v>
      </c>
      <c r="NW27" t="s">
        <v>4676</v>
      </c>
      <c r="NX27" t="s">
        <v>4676</v>
      </c>
      <c r="NY27" t="s">
        <v>4676</v>
      </c>
      <c r="NZ27" t="s">
        <v>4676</v>
      </c>
      <c r="OA27" t="s">
        <v>4676</v>
      </c>
      <c r="OB27" t="s">
        <v>4676</v>
      </c>
      <c r="OC27" t="s">
        <v>4676</v>
      </c>
      <c r="OD27" t="s">
        <v>4676</v>
      </c>
      <c r="OE27" t="s">
        <v>4676</v>
      </c>
      <c r="OF27" t="s">
        <v>4676</v>
      </c>
      <c r="OG27" t="s">
        <v>4676</v>
      </c>
      <c r="OH27" t="s">
        <v>4676</v>
      </c>
      <c r="OI27" t="s">
        <v>4676</v>
      </c>
      <c r="OJ27" t="s">
        <v>4676</v>
      </c>
      <c r="OK27" t="s">
        <v>4676</v>
      </c>
      <c r="OL27" t="s">
        <v>4577</v>
      </c>
      <c r="OM27" t="s">
        <v>4577</v>
      </c>
      <c r="ON27" t="s">
        <v>4577</v>
      </c>
      <c r="OO27" t="s">
        <v>4577</v>
      </c>
      <c r="OP27" t="s">
        <v>4577</v>
      </c>
      <c r="OQ27" t="s">
        <v>4577</v>
      </c>
      <c r="OR27" t="s">
        <v>4577</v>
      </c>
      <c r="OS27" t="s">
        <v>4577</v>
      </c>
      <c r="OT27" t="s">
        <v>4577</v>
      </c>
      <c r="OU27" t="s">
        <v>4577</v>
      </c>
      <c r="OV27" t="s">
        <v>4577</v>
      </c>
      <c r="OW27" t="s">
        <v>4577</v>
      </c>
      <c r="OX27" t="s">
        <v>4577</v>
      </c>
      <c r="OY27" t="s">
        <v>4577</v>
      </c>
      <c r="OZ27" t="s">
        <v>4577</v>
      </c>
      <c r="PA27" t="s">
        <v>4676</v>
      </c>
      <c r="PB27" t="s">
        <v>4676</v>
      </c>
      <c r="PC27" t="s">
        <v>4676</v>
      </c>
      <c r="PD27" t="s">
        <v>4676</v>
      </c>
      <c r="PE27" t="s">
        <v>4676</v>
      </c>
      <c r="PF27" t="s">
        <v>4676</v>
      </c>
      <c r="PG27" t="s">
        <v>4676</v>
      </c>
      <c r="PH27" t="s">
        <v>4676</v>
      </c>
      <c r="PI27" t="s">
        <v>4676</v>
      </c>
      <c r="PJ27" t="s">
        <v>4676</v>
      </c>
      <c r="PK27" t="s">
        <v>4676</v>
      </c>
      <c r="PL27" t="s">
        <v>4676</v>
      </c>
      <c r="PM27" t="s">
        <v>4676</v>
      </c>
      <c r="PN27" t="s">
        <v>4676</v>
      </c>
      <c r="PO27" t="s">
        <v>4676</v>
      </c>
      <c r="PP27" t="s">
        <v>4577</v>
      </c>
      <c r="PQ27" t="s">
        <v>4577</v>
      </c>
      <c r="PR27" t="s">
        <v>4577</v>
      </c>
      <c r="PS27" t="s">
        <v>4577</v>
      </c>
      <c r="PT27" t="s">
        <v>4577</v>
      </c>
      <c r="PU27" t="s">
        <v>4577</v>
      </c>
      <c r="PV27" t="s">
        <v>4577</v>
      </c>
      <c r="PW27" t="s">
        <v>4577</v>
      </c>
      <c r="PX27" t="s">
        <v>4577</v>
      </c>
      <c r="PY27" t="s">
        <v>4577</v>
      </c>
      <c r="PZ27" t="s">
        <v>4577</v>
      </c>
      <c r="QA27" t="s">
        <v>4577</v>
      </c>
      <c r="QB27" t="s">
        <v>4577</v>
      </c>
      <c r="QC27" t="s">
        <v>4577</v>
      </c>
      <c r="QD27" t="s">
        <v>4577</v>
      </c>
      <c r="QE27" t="s">
        <v>4676</v>
      </c>
      <c r="QF27" t="s">
        <v>4676</v>
      </c>
      <c r="QG27" t="s">
        <v>4676</v>
      </c>
      <c r="QH27" t="s">
        <v>4676</v>
      </c>
      <c r="QI27" t="s">
        <v>4676</v>
      </c>
      <c r="QJ27" t="s">
        <v>4676</v>
      </c>
      <c r="QK27" t="s">
        <v>4676</v>
      </c>
      <c r="QL27" t="s">
        <v>4676</v>
      </c>
      <c r="QM27" t="s">
        <v>4676</v>
      </c>
      <c r="QN27" t="s">
        <v>4676</v>
      </c>
      <c r="QO27" t="s">
        <v>4676</v>
      </c>
      <c r="QP27" t="s">
        <v>4676</v>
      </c>
      <c r="QQ27" t="s">
        <v>4676</v>
      </c>
      <c r="QR27" t="s">
        <v>4676</v>
      </c>
      <c r="QS27" t="s">
        <v>4577</v>
      </c>
      <c r="QT27" t="s">
        <v>4577</v>
      </c>
      <c r="QU27" t="s">
        <v>4577</v>
      </c>
      <c r="QV27" t="s">
        <v>4577</v>
      </c>
      <c r="QW27" t="s">
        <v>4577</v>
      </c>
      <c r="QX27" t="s">
        <v>4577</v>
      </c>
      <c r="QY27" t="s">
        <v>4577</v>
      </c>
      <c r="QZ27" t="s">
        <v>4577</v>
      </c>
      <c r="RA27" t="s">
        <v>4577</v>
      </c>
      <c r="RB27" t="s">
        <v>4577</v>
      </c>
      <c r="RC27" t="s">
        <v>4577</v>
      </c>
      <c r="RD27" t="s">
        <v>4577</v>
      </c>
      <c r="RE27" t="s">
        <v>4577</v>
      </c>
      <c r="RF27" t="s">
        <v>4577</v>
      </c>
      <c r="RG27" t="s">
        <v>4577</v>
      </c>
      <c r="RH27" t="s">
        <v>4577</v>
      </c>
      <c r="RI27" t="s">
        <v>4676</v>
      </c>
      <c r="RJ27" t="s">
        <v>4676</v>
      </c>
      <c r="RK27" t="s">
        <v>4676</v>
      </c>
      <c r="RL27" t="s">
        <v>4676</v>
      </c>
      <c r="RM27" t="s">
        <v>4676</v>
      </c>
      <c r="RN27" t="s">
        <v>4676</v>
      </c>
      <c r="RO27" t="s">
        <v>4676</v>
      </c>
      <c r="RP27" t="s">
        <v>4676</v>
      </c>
      <c r="RQ27" t="s">
        <v>4676</v>
      </c>
      <c r="RR27" t="s">
        <v>4676</v>
      </c>
      <c r="RS27" t="s">
        <v>4676</v>
      </c>
      <c r="RT27" t="s">
        <v>4676</v>
      </c>
      <c r="RU27" t="s">
        <v>4676</v>
      </c>
      <c r="RV27" t="s">
        <v>4676</v>
      </c>
      <c r="RW27" t="s">
        <v>4577</v>
      </c>
      <c r="RX27" t="s">
        <v>4577</v>
      </c>
      <c r="RY27" t="s">
        <v>4577</v>
      </c>
      <c r="RZ27" t="s">
        <v>4577</v>
      </c>
      <c r="SA27" t="s">
        <v>4577</v>
      </c>
      <c r="SB27" t="s">
        <v>4577</v>
      </c>
      <c r="SC27" t="s">
        <v>4577</v>
      </c>
      <c r="SD27" t="s">
        <v>4577</v>
      </c>
      <c r="SE27" t="s">
        <v>4577</v>
      </c>
      <c r="SF27" t="s">
        <v>4577</v>
      </c>
      <c r="SG27" t="s">
        <v>4577</v>
      </c>
      <c r="SH27" t="s">
        <v>4577</v>
      </c>
      <c r="SI27" t="s">
        <v>4577</v>
      </c>
      <c r="SJ27" t="s">
        <v>4577</v>
      </c>
      <c r="SK27" t="s">
        <v>4577</v>
      </c>
      <c r="SL27" t="s">
        <v>4676</v>
      </c>
      <c r="SM27" t="s">
        <v>4676</v>
      </c>
      <c r="SN27" t="s">
        <v>4676</v>
      </c>
      <c r="SO27" t="s">
        <v>4676</v>
      </c>
      <c r="SP27" t="s">
        <v>4676</v>
      </c>
      <c r="SQ27" t="s">
        <v>4676</v>
      </c>
      <c r="SR27" t="s">
        <v>4676</v>
      </c>
      <c r="SS27" t="s">
        <v>4676</v>
      </c>
      <c r="ST27" t="s">
        <v>4676</v>
      </c>
      <c r="SU27" t="s">
        <v>4676</v>
      </c>
      <c r="SV27" t="s">
        <v>4676</v>
      </c>
      <c r="SW27" t="s">
        <v>4676</v>
      </c>
      <c r="SX27" t="s">
        <v>4676</v>
      </c>
      <c r="SY27" t="s">
        <v>4676</v>
      </c>
      <c r="SZ27" t="s">
        <v>4577</v>
      </c>
      <c r="TA27" t="s">
        <v>4577</v>
      </c>
      <c r="TB27" t="s">
        <v>4577</v>
      </c>
      <c r="TC27" t="s">
        <v>4577</v>
      </c>
      <c r="TD27" t="s">
        <v>4577</v>
      </c>
      <c r="TE27" t="s">
        <v>4577</v>
      </c>
      <c r="TF27" t="s">
        <v>4577</v>
      </c>
      <c r="TG27" t="s">
        <v>4577</v>
      </c>
      <c r="TH27" t="s">
        <v>4577</v>
      </c>
      <c r="TI27" t="s">
        <v>4577</v>
      </c>
      <c r="TJ27" t="s">
        <v>4577</v>
      </c>
      <c r="TK27" t="s">
        <v>4577</v>
      </c>
      <c r="TL27" t="s">
        <v>4577</v>
      </c>
      <c r="TM27" t="s">
        <v>4577</v>
      </c>
      <c r="TN27" t="s">
        <v>4577</v>
      </c>
      <c r="TO27" t="s">
        <v>4577</v>
      </c>
      <c r="TP27" t="s">
        <v>4676</v>
      </c>
      <c r="TQ27" t="s">
        <v>4676</v>
      </c>
      <c r="TR27" t="s">
        <v>4676</v>
      </c>
      <c r="TS27" t="s">
        <v>4676</v>
      </c>
      <c r="TT27" t="s">
        <v>4676</v>
      </c>
      <c r="TU27" t="s">
        <v>4676</v>
      </c>
      <c r="TV27" t="s">
        <v>4676</v>
      </c>
      <c r="TW27" t="s">
        <v>4676</v>
      </c>
      <c r="TX27" t="s">
        <v>4676</v>
      </c>
      <c r="TY27" t="s">
        <v>4676</v>
      </c>
      <c r="TZ27" t="s">
        <v>4676</v>
      </c>
      <c r="UA27" t="s">
        <v>4676</v>
      </c>
      <c r="UB27" t="s">
        <v>4676</v>
      </c>
      <c r="UC27" t="s">
        <v>4676</v>
      </c>
      <c r="UD27" t="s">
        <v>4577</v>
      </c>
      <c r="UE27" t="s">
        <v>4577</v>
      </c>
      <c r="UF27" t="s">
        <v>4577</v>
      </c>
      <c r="UG27" t="s">
        <v>4577</v>
      </c>
      <c r="UH27" t="s">
        <v>4577</v>
      </c>
      <c r="UI27" t="s">
        <v>4577</v>
      </c>
      <c r="UJ27" t="s">
        <v>4577</v>
      </c>
      <c r="UK27" t="s">
        <v>4577</v>
      </c>
      <c r="UL27" t="s">
        <v>4577</v>
      </c>
      <c r="UM27" t="s">
        <v>4577</v>
      </c>
      <c r="UN27" t="s">
        <v>4577</v>
      </c>
      <c r="UO27" t="s">
        <v>4577</v>
      </c>
      <c r="UP27" t="s">
        <v>4577</v>
      </c>
      <c r="UQ27" t="s">
        <v>4577</v>
      </c>
      <c r="UR27" t="s">
        <v>4577</v>
      </c>
      <c r="US27" t="s">
        <v>4676</v>
      </c>
      <c r="UT27" t="s">
        <v>4676</v>
      </c>
      <c r="UU27" t="s">
        <v>4676</v>
      </c>
      <c r="UV27" t="s">
        <v>4676</v>
      </c>
      <c r="UW27" t="s">
        <v>4676</v>
      </c>
      <c r="UX27" t="s">
        <v>4676</v>
      </c>
      <c r="UY27" t="s">
        <v>4676</v>
      </c>
      <c r="UZ27" t="s">
        <v>4676</v>
      </c>
      <c r="VA27" t="s">
        <v>4676</v>
      </c>
      <c r="VB27" t="s">
        <v>4676</v>
      </c>
      <c r="VC27" t="s">
        <v>4676</v>
      </c>
      <c r="VD27" t="s">
        <v>4676</v>
      </c>
      <c r="VE27" t="s">
        <v>4676</v>
      </c>
      <c r="VF27" t="s">
        <v>4676</v>
      </c>
      <c r="VG27" t="s">
        <v>4577</v>
      </c>
      <c r="VH27" t="s">
        <v>4577</v>
      </c>
      <c r="VI27" t="s">
        <v>4577</v>
      </c>
      <c r="VJ27" t="s">
        <v>4577</v>
      </c>
      <c r="VK27" t="s">
        <v>4577</v>
      </c>
      <c r="VL27" t="s">
        <v>4577</v>
      </c>
      <c r="VM27" t="s">
        <v>4577</v>
      </c>
      <c r="VN27" t="s">
        <v>4577</v>
      </c>
      <c r="VO27" t="s">
        <v>4577</v>
      </c>
      <c r="VP27" t="s">
        <v>4577</v>
      </c>
      <c r="VQ27" t="s">
        <v>4577</v>
      </c>
      <c r="VR27" t="s">
        <v>4577</v>
      </c>
      <c r="VS27" t="s">
        <v>4577</v>
      </c>
      <c r="VT27" t="s">
        <v>4577</v>
      </c>
      <c r="VU27" t="s">
        <v>4577</v>
      </c>
      <c r="VV27" t="s">
        <v>4676</v>
      </c>
      <c r="VW27" t="s">
        <v>4676</v>
      </c>
      <c r="VX27" t="s">
        <v>4676</v>
      </c>
      <c r="VY27" t="s">
        <v>4676</v>
      </c>
      <c r="VZ27" t="s">
        <v>4676</v>
      </c>
      <c r="WA27" t="s">
        <v>4676</v>
      </c>
      <c r="WB27" t="s">
        <v>4676</v>
      </c>
      <c r="WC27" t="s">
        <v>4676</v>
      </c>
      <c r="WD27" t="s">
        <v>4676</v>
      </c>
      <c r="WE27" t="s">
        <v>4676</v>
      </c>
      <c r="WF27" t="s">
        <v>4676</v>
      </c>
      <c r="WG27" t="s">
        <v>4676</v>
      </c>
      <c r="WH27" t="s">
        <v>4676</v>
      </c>
      <c r="WI27" t="s">
        <v>4676</v>
      </c>
      <c r="WJ27" t="s">
        <v>4676</v>
      </c>
      <c r="WK27" t="s">
        <v>4577</v>
      </c>
      <c r="WL27" t="s">
        <v>4577</v>
      </c>
      <c r="WM27" t="s">
        <v>4577</v>
      </c>
      <c r="WN27" t="s">
        <v>4577</v>
      </c>
      <c r="WO27" t="s">
        <v>4577</v>
      </c>
      <c r="WP27" t="s">
        <v>4577</v>
      </c>
      <c r="WQ27" t="s">
        <v>4577</v>
      </c>
      <c r="WR27" t="s">
        <v>4577</v>
      </c>
      <c r="WS27" t="s">
        <v>4577</v>
      </c>
      <c r="WT27" t="s">
        <v>4577</v>
      </c>
      <c r="WU27" t="s">
        <v>4577</v>
      </c>
      <c r="WV27" t="s">
        <v>4577</v>
      </c>
      <c r="WW27" t="s">
        <v>4577</v>
      </c>
      <c r="WX27" t="s">
        <v>4577</v>
      </c>
      <c r="WY27" t="s">
        <v>4577</v>
      </c>
      <c r="WZ27" t="s">
        <v>4676</v>
      </c>
      <c r="XA27" t="s">
        <v>4676</v>
      </c>
      <c r="XB27" t="s">
        <v>4676</v>
      </c>
      <c r="XC27" t="s">
        <v>4676</v>
      </c>
      <c r="XD27" t="s">
        <v>4676</v>
      </c>
      <c r="XE27" t="s">
        <v>4676</v>
      </c>
      <c r="XF27" t="s">
        <v>4676</v>
      </c>
      <c r="XG27" t="s">
        <v>4676</v>
      </c>
      <c r="XH27" t="s">
        <v>4676</v>
      </c>
      <c r="XI27" t="s">
        <v>4676</v>
      </c>
      <c r="XJ27" t="s">
        <v>4676</v>
      </c>
      <c r="XK27" t="s">
        <v>4676</v>
      </c>
      <c r="XL27" t="s">
        <v>4676</v>
      </c>
      <c r="XM27" t="s">
        <v>4676</v>
      </c>
      <c r="XN27" t="s">
        <v>4676</v>
      </c>
      <c r="XO27" t="s">
        <v>4577</v>
      </c>
      <c r="XP27" t="s">
        <v>4577</v>
      </c>
      <c r="XQ27" t="s">
        <v>4577</v>
      </c>
      <c r="XR27" t="s">
        <v>4577</v>
      </c>
      <c r="XS27" t="s">
        <v>4577</v>
      </c>
      <c r="XT27" t="s">
        <v>4577</v>
      </c>
      <c r="XU27" t="s">
        <v>4577</v>
      </c>
      <c r="XV27" t="s">
        <v>4577</v>
      </c>
      <c r="XW27" t="s">
        <v>4577</v>
      </c>
      <c r="XX27" t="s">
        <v>4577</v>
      </c>
      <c r="XY27" t="s">
        <v>4577</v>
      </c>
      <c r="XZ27" t="s">
        <v>4577</v>
      </c>
      <c r="YA27" t="s">
        <v>4577</v>
      </c>
      <c r="YB27" t="s">
        <v>4577</v>
      </c>
      <c r="YC27" t="s">
        <v>4676</v>
      </c>
      <c r="YD27" t="s">
        <v>4676</v>
      </c>
      <c r="YE27" t="s">
        <v>4676</v>
      </c>
      <c r="YF27" t="s">
        <v>4676</v>
      </c>
      <c r="YG27" t="s">
        <v>4676</v>
      </c>
      <c r="YH27" t="s">
        <v>4676</v>
      </c>
      <c r="YI27" t="s">
        <v>4676</v>
      </c>
      <c r="YJ27" t="s">
        <v>4676</v>
      </c>
      <c r="YK27" t="s">
        <v>4676</v>
      </c>
      <c r="YL27" t="s">
        <v>4676</v>
      </c>
      <c r="YM27" t="s">
        <v>4676</v>
      </c>
      <c r="YN27" t="s">
        <v>4676</v>
      </c>
      <c r="YO27" t="s">
        <v>4676</v>
      </c>
      <c r="YP27" t="s">
        <v>4676</v>
      </c>
      <c r="YQ27" t="s">
        <v>4676</v>
      </c>
      <c r="YR27" t="s">
        <v>4577</v>
      </c>
      <c r="YS27" t="s">
        <v>4577</v>
      </c>
      <c r="YT27" t="s">
        <v>4577</v>
      </c>
      <c r="YU27" t="s">
        <v>4577</v>
      </c>
      <c r="YV27" t="s">
        <v>4577</v>
      </c>
      <c r="YW27" t="s">
        <v>4577</v>
      </c>
      <c r="YX27" t="s">
        <v>4577</v>
      </c>
      <c r="YY27" t="s">
        <v>4577</v>
      </c>
      <c r="YZ27" t="s">
        <v>4577</v>
      </c>
      <c r="ZA27" t="s">
        <v>4577</v>
      </c>
      <c r="ZB27" t="s">
        <v>4577</v>
      </c>
      <c r="ZC27" t="s">
        <v>4577</v>
      </c>
      <c r="ZD27" t="s">
        <v>4577</v>
      </c>
      <c r="ZE27" t="s">
        <v>4577</v>
      </c>
      <c r="ZF27" t="s">
        <v>4676</v>
      </c>
      <c r="ZG27" t="s">
        <v>4676</v>
      </c>
      <c r="ZH27" t="s">
        <v>4676</v>
      </c>
      <c r="ZI27" t="s">
        <v>4676</v>
      </c>
      <c r="ZJ27" t="s">
        <v>4676</v>
      </c>
      <c r="ZK27" t="s">
        <v>4676</v>
      </c>
      <c r="ZL27" t="s">
        <v>4676</v>
      </c>
      <c r="ZM27" t="s">
        <v>4676</v>
      </c>
      <c r="ZN27" t="s">
        <v>4676</v>
      </c>
      <c r="ZO27" t="s">
        <v>4676</v>
      </c>
      <c r="ZP27" t="s">
        <v>4676</v>
      </c>
      <c r="ZQ27" t="s">
        <v>4676</v>
      </c>
      <c r="ZR27" t="s">
        <v>4676</v>
      </c>
      <c r="ZS27" t="s">
        <v>4676</v>
      </c>
      <c r="ZT27" t="s">
        <v>4676</v>
      </c>
      <c r="ZU27" t="s">
        <v>4676</v>
      </c>
      <c r="ZV27" t="s">
        <v>4577</v>
      </c>
      <c r="ZW27" t="s">
        <v>4577</v>
      </c>
      <c r="ZX27" t="s">
        <v>4577</v>
      </c>
      <c r="ZY27" t="s">
        <v>4577</v>
      </c>
      <c r="ZZ27" t="s">
        <v>4577</v>
      </c>
      <c r="AAA27" t="s">
        <v>4577</v>
      </c>
      <c r="AAB27" t="s">
        <v>4577</v>
      </c>
      <c r="AAC27" t="s">
        <v>4577</v>
      </c>
      <c r="AAD27" t="s">
        <v>4577</v>
      </c>
      <c r="AAE27" t="s">
        <v>4577</v>
      </c>
      <c r="AAF27" t="s">
        <v>4577</v>
      </c>
      <c r="AAG27" t="s">
        <v>4577</v>
      </c>
      <c r="AAH27" t="s">
        <v>4577</v>
      </c>
      <c r="AAI27" t="s">
        <v>4577</v>
      </c>
      <c r="AAJ27" t="s">
        <v>4676</v>
      </c>
      <c r="AAK27" t="s">
        <v>4676</v>
      </c>
      <c r="AAL27" t="s">
        <v>4676</v>
      </c>
      <c r="AAM27" t="s">
        <v>4676</v>
      </c>
      <c r="AAN27" t="s">
        <v>4676</v>
      </c>
      <c r="AAO27" t="s">
        <v>4676</v>
      </c>
      <c r="AAP27" t="s">
        <v>4676</v>
      </c>
      <c r="AAQ27" t="s">
        <v>4676</v>
      </c>
      <c r="AAR27" t="s">
        <v>4676</v>
      </c>
      <c r="AAS27" t="s">
        <v>4676</v>
      </c>
      <c r="AAT27" t="s">
        <v>4676</v>
      </c>
      <c r="AAU27" t="s">
        <v>4676</v>
      </c>
      <c r="AAV27" t="s">
        <v>4676</v>
      </c>
      <c r="AAW27" t="s">
        <v>4676</v>
      </c>
      <c r="AAX27" t="s">
        <v>4676</v>
      </c>
      <c r="AAY27" t="s">
        <v>4577</v>
      </c>
      <c r="AAZ27" t="s">
        <v>4577</v>
      </c>
      <c r="ABA27" t="s">
        <v>4577</v>
      </c>
      <c r="ABB27" t="s">
        <v>4577</v>
      </c>
      <c r="ABC27" t="s">
        <v>4577</v>
      </c>
      <c r="ABD27" t="s">
        <v>4577</v>
      </c>
      <c r="ABE27" t="s">
        <v>4577</v>
      </c>
      <c r="ABF27" t="s">
        <v>4577</v>
      </c>
      <c r="ABG27" t="s">
        <v>4577</v>
      </c>
      <c r="ABH27" t="s">
        <v>4577</v>
      </c>
      <c r="ABI27" t="s">
        <v>4577</v>
      </c>
      <c r="ABJ27" t="s">
        <v>4577</v>
      </c>
      <c r="ABK27" t="s">
        <v>4577</v>
      </c>
      <c r="ABL27" t="s">
        <v>4577</v>
      </c>
      <c r="ABM27" t="s">
        <v>4676</v>
      </c>
      <c r="ABN27" t="s">
        <v>4676</v>
      </c>
      <c r="ABO27" t="s">
        <v>4676</v>
      </c>
      <c r="ABP27" t="s">
        <v>4676</v>
      </c>
      <c r="ABQ27" t="s">
        <v>4676</v>
      </c>
      <c r="ABR27" t="s">
        <v>4676</v>
      </c>
      <c r="ABS27" t="s">
        <v>4676</v>
      </c>
      <c r="ABT27" t="s">
        <v>4676</v>
      </c>
      <c r="ABU27" t="s">
        <v>4676</v>
      </c>
      <c r="ABV27" t="s">
        <v>4676</v>
      </c>
      <c r="ABW27" t="s">
        <v>4676</v>
      </c>
      <c r="ABX27" t="s">
        <v>4676</v>
      </c>
      <c r="ABY27" t="s">
        <v>4676</v>
      </c>
      <c r="ABZ27" t="s">
        <v>4676</v>
      </c>
      <c r="ACA27" t="s">
        <v>4676</v>
      </c>
      <c r="ACB27" t="s">
        <v>4676</v>
      </c>
      <c r="ACC27" t="s">
        <v>4577</v>
      </c>
      <c r="ACD27" t="s">
        <v>4577</v>
      </c>
      <c r="ACE27" t="s">
        <v>4577</v>
      </c>
      <c r="ACF27" t="s">
        <v>4577</v>
      </c>
      <c r="ACG27" t="s">
        <v>4577</v>
      </c>
      <c r="ACH27" t="s">
        <v>4577</v>
      </c>
      <c r="ACI27" t="s">
        <v>4577</v>
      </c>
      <c r="ACJ27" t="s">
        <v>4577</v>
      </c>
      <c r="ACK27" t="s">
        <v>4577</v>
      </c>
      <c r="ACL27" t="s">
        <v>4577</v>
      </c>
      <c r="ACM27" t="s">
        <v>4577</v>
      </c>
      <c r="ACN27" t="s">
        <v>4577</v>
      </c>
      <c r="ACO27" t="s">
        <v>4577</v>
      </c>
      <c r="ACP27" t="s">
        <v>4577</v>
      </c>
      <c r="ACQ27" t="s">
        <v>4676</v>
      </c>
      <c r="ACR27" t="s">
        <v>4676</v>
      </c>
      <c r="ACS27" t="s">
        <v>4676</v>
      </c>
      <c r="ACT27" t="s">
        <v>4676</v>
      </c>
      <c r="ACU27" t="s">
        <v>4676</v>
      </c>
      <c r="ACV27" t="s">
        <v>4676</v>
      </c>
      <c r="ACW27" t="s">
        <v>4676</v>
      </c>
      <c r="ACX27" t="s">
        <v>4676</v>
      </c>
      <c r="ACY27" t="s">
        <v>4676</v>
      </c>
      <c r="ACZ27" t="s">
        <v>4676</v>
      </c>
      <c r="ADA27" t="s">
        <v>4676</v>
      </c>
      <c r="ADB27" t="s">
        <v>4676</v>
      </c>
      <c r="ADC27" t="s">
        <v>4676</v>
      </c>
      <c r="ADD27" t="s">
        <v>4676</v>
      </c>
      <c r="ADE27" t="s">
        <v>4676</v>
      </c>
      <c r="ADF27" t="s">
        <v>4577</v>
      </c>
      <c r="ADG27" t="s">
        <v>4577</v>
      </c>
      <c r="ADH27" t="s">
        <v>4577</v>
      </c>
      <c r="ADI27" t="s">
        <v>4577</v>
      </c>
      <c r="ADJ27" t="s">
        <v>4577</v>
      </c>
      <c r="ADK27" t="s">
        <v>4577</v>
      </c>
      <c r="ADL27" t="s">
        <v>4577</v>
      </c>
      <c r="ADM27" t="s">
        <v>4577</v>
      </c>
      <c r="ADN27" t="s">
        <v>4577</v>
      </c>
      <c r="ADO27" t="s">
        <v>4577</v>
      </c>
      <c r="ADP27" t="s">
        <v>4577</v>
      </c>
    </row>
    <row r="28" spans="1:796">
      <c r="A28" t="s">
        <v>4271</v>
      </c>
      <c r="B28">
        <v>28</v>
      </c>
      <c r="C28" t="s">
        <v>4332</v>
      </c>
      <c r="D28">
        <v>77</v>
      </c>
      <c r="E28" t="s">
        <v>4677</v>
      </c>
      <c r="F28" t="s">
        <v>4677</v>
      </c>
      <c r="G28" t="s">
        <v>4677</v>
      </c>
      <c r="H28" t="s">
        <v>4677</v>
      </c>
      <c r="I28" t="s">
        <v>4677</v>
      </c>
      <c r="J28" t="s">
        <v>4677</v>
      </c>
      <c r="K28" t="s">
        <v>4677</v>
      </c>
      <c r="L28" t="s">
        <v>4677</v>
      </c>
      <c r="M28" t="s">
        <v>4677</v>
      </c>
      <c r="N28" t="s">
        <v>4677</v>
      </c>
      <c r="O28" t="s">
        <v>4677</v>
      </c>
      <c r="P28" t="s">
        <v>4677</v>
      </c>
      <c r="Q28" t="s">
        <v>4677</v>
      </c>
      <c r="R28" t="s">
        <v>4578</v>
      </c>
      <c r="S28" t="s">
        <v>4578</v>
      </c>
      <c r="T28" t="s">
        <v>4578</v>
      </c>
      <c r="U28" t="s">
        <v>4578</v>
      </c>
      <c r="V28" t="s">
        <v>4578</v>
      </c>
      <c r="W28" t="s">
        <v>4578</v>
      </c>
      <c r="X28" t="s">
        <v>4578</v>
      </c>
      <c r="Y28" t="s">
        <v>4578</v>
      </c>
      <c r="Z28" t="s">
        <v>4578</v>
      </c>
      <c r="AA28" t="s">
        <v>4578</v>
      </c>
      <c r="AB28" t="s">
        <v>4578</v>
      </c>
      <c r="AC28" t="s">
        <v>4578</v>
      </c>
      <c r="AD28" t="s">
        <v>4578</v>
      </c>
      <c r="AE28" t="s">
        <v>4578</v>
      </c>
      <c r="AF28" t="s">
        <v>4578</v>
      </c>
      <c r="AG28" t="s">
        <v>4677</v>
      </c>
      <c r="AH28" t="s">
        <v>4677</v>
      </c>
      <c r="AI28" t="s">
        <v>4677</v>
      </c>
      <c r="AJ28" t="s">
        <v>4677</v>
      </c>
      <c r="AK28" t="s">
        <v>4677</v>
      </c>
      <c r="AL28" t="s">
        <v>4677</v>
      </c>
      <c r="AM28" t="s">
        <v>4677</v>
      </c>
      <c r="AN28" t="s">
        <v>4677</v>
      </c>
      <c r="AO28" t="s">
        <v>4677</v>
      </c>
      <c r="AP28" t="s">
        <v>4677</v>
      </c>
      <c r="AQ28" t="s">
        <v>4677</v>
      </c>
      <c r="AR28" t="s">
        <v>4677</v>
      </c>
      <c r="AS28" t="s">
        <v>4677</v>
      </c>
      <c r="AT28" t="s">
        <v>4677</v>
      </c>
      <c r="AU28" t="s">
        <v>4677</v>
      </c>
      <c r="AV28" t="s">
        <v>4578</v>
      </c>
      <c r="AW28" t="s">
        <v>4578</v>
      </c>
      <c r="AX28" t="s">
        <v>4578</v>
      </c>
      <c r="AY28" t="s">
        <v>4578</v>
      </c>
      <c r="AZ28" t="s">
        <v>4578</v>
      </c>
      <c r="BA28" t="s">
        <v>4578</v>
      </c>
      <c r="BB28" t="s">
        <v>4578</v>
      </c>
      <c r="BC28" t="s">
        <v>4578</v>
      </c>
      <c r="BD28" t="s">
        <v>4578</v>
      </c>
      <c r="BE28" t="s">
        <v>4578</v>
      </c>
      <c r="BF28" t="s">
        <v>4578</v>
      </c>
      <c r="BG28" t="s">
        <v>4578</v>
      </c>
      <c r="BH28" t="s">
        <v>4578</v>
      </c>
      <c r="BI28" t="s">
        <v>4578</v>
      </c>
      <c r="BJ28" t="s">
        <v>4578</v>
      </c>
      <c r="BK28" t="s">
        <v>4677</v>
      </c>
      <c r="BL28" t="s">
        <v>4677</v>
      </c>
      <c r="BM28" t="s">
        <v>4677</v>
      </c>
      <c r="BN28" t="s">
        <v>4677</v>
      </c>
      <c r="BO28" t="s">
        <v>4677</v>
      </c>
      <c r="BP28" t="s">
        <v>4677</v>
      </c>
      <c r="BQ28" t="s">
        <v>4677</v>
      </c>
      <c r="BR28" t="s">
        <v>4677</v>
      </c>
      <c r="BS28" t="s">
        <v>4677</v>
      </c>
      <c r="BT28" t="s">
        <v>4677</v>
      </c>
      <c r="BU28" t="s">
        <v>4677</v>
      </c>
      <c r="BV28" t="s">
        <v>4677</v>
      </c>
      <c r="BW28" t="s">
        <v>4677</v>
      </c>
      <c r="BX28" t="s">
        <v>4677</v>
      </c>
      <c r="BY28" t="s">
        <v>4578</v>
      </c>
      <c r="BZ28" t="s">
        <v>4578</v>
      </c>
      <c r="CA28" t="s">
        <v>4578</v>
      </c>
      <c r="CB28" t="s">
        <v>4578</v>
      </c>
      <c r="CC28" t="s">
        <v>4578</v>
      </c>
      <c r="CD28" t="s">
        <v>4578</v>
      </c>
      <c r="CE28" t="s">
        <v>4578</v>
      </c>
      <c r="CF28" t="s">
        <v>4578</v>
      </c>
      <c r="CG28" t="s">
        <v>4578</v>
      </c>
      <c r="CH28" t="s">
        <v>4578</v>
      </c>
      <c r="CI28" t="s">
        <v>4578</v>
      </c>
      <c r="CJ28" t="s">
        <v>4578</v>
      </c>
      <c r="CK28" t="s">
        <v>4578</v>
      </c>
      <c r="CL28" t="s">
        <v>4578</v>
      </c>
      <c r="CM28" t="s">
        <v>4578</v>
      </c>
      <c r="CN28" t="s">
        <v>4578</v>
      </c>
      <c r="CO28" t="s">
        <v>4677</v>
      </c>
      <c r="CP28" t="s">
        <v>4677</v>
      </c>
      <c r="CQ28" t="s">
        <v>4677</v>
      </c>
      <c r="CR28" t="s">
        <v>4677</v>
      </c>
      <c r="CS28" t="s">
        <v>4677</v>
      </c>
      <c r="CT28" t="s">
        <v>4677</v>
      </c>
      <c r="CU28" t="s">
        <v>4677</v>
      </c>
      <c r="CV28" t="s">
        <v>4677</v>
      </c>
      <c r="CW28" t="s">
        <v>4677</v>
      </c>
      <c r="CX28" t="s">
        <v>4677</v>
      </c>
      <c r="CY28" t="s">
        <v>4677</v>
      </c>
      <c r="CZ28" t="s">
        <v>4677</v>
      </c>
      <c r="DA28" t="s">
        <v>4677</v>
      </c>
      <c r="DB28" t="s">
        <v>4677</v>
      </c>
      <c r="DC28" t="s">
        <v>4578</v>
      </c>
      <c r="DD28" t="s">
        <v>4578</v>
      </c>
      <c r="DE28" t="s">
        <v>4578</v>
      </c>
      <c r="DF28" t="s">
        <v>4578</v>
      </c>
      <c r="DG28" t="s">
        <v>4578</v>
      </c>
      <c r="DH28" t="s">
        <v>4578</v>
      </c>
      <c r="DI28" t="s">
        <v>4578</v>
      </c>
      <c r="DJ28" t="s">
        <v>4578</v>
      </c>
      <c r="DK28" t="s">
        <v>4578</v>
      </c>
      <c r="DL28" t="s">
        <v>4578</v>
      </c>
      <c r="DM28" t="s">
        <v>4578</v>
      </c>
      <c r="DN28" t="s">
        <v>4578</v>
      </c>
      <c r="DO28" t="s">
        <v>4578</v>
      </c>
      <c r="DP28" t="s">
        <v>4578</v>
      </c>
      <c r="DQ28" t="s">
        <v>4578</v>
      </c>
      <c r="DR28" t="s">
        <v>4677</v>
      </c>
      <c r="DS28" t="s">
        <v>4677</v>
      </c>
      <c r="DT28" t="s">
        <v>4677</v>
      </c>
      <c r="DU28" t="s">
        <v>4677</v>
      </c>
      <c r="DV28" t="s">
        <v>4677</v>
      </c>
      <c r="DW28" t="s">
        <v>4677</v>
      </c>
      <c r="DX28" t="s">
        <v>4677</v>
      </c>
      <c r="DY28" t="s">
        <v>4677</v>
      </c>
      <c r="DZ28" t="s">
        <v>4677</v>
      </c>
      <c r="EA28" t="s">
        <v>4677</v>
      </c>
      <c r="EB28" t="s">
        <v>4677</v>
      </c>
      <c r="EC28" t="s">
        <v>4677</v>
      </c>
      <c r="ED28" t="s">
        <v>4677</v>
      </c>
      <c r="EE28" t="s">
        <v>4677</v>
      </c>
      <c r="EF28" t="s">
        <v>4578</v>
      </c>
      <c r="EG28" t="s">
        <v>4578</v>
      </c>
      <c r="EH28" t="s">
        <v>4578</v>
      </c>
      <c r="EI28" t="s">
        <v>4578</v>
      </c>
      <c r="EJ28" t="s">
        <v>4578</v>
      </c>
      <c r="EK28" t="s">
        <v>4578</v>
      </c>
      <c r="EL28" t="s">
        <v>4578</v>
      </c>
      <c r="EM28" t="s">
        <v>4578</v>
      </c>
      <c r="EN28" t="s">
        <v>4578</v>
      </c>
      <c r="EO28" t="s">
        <v>4578</v>
      </c>
      <c r="EP28" t="s">
        <v>4578</v>
      </c>
      <c r="EQ28" t="s">
        <v>4578</v>
      </c>
      <c r="ER28" t="s">
        <v>4578</v>
      </c>
      <c r="ES28" t="s">
        <v>4578</v>
      </c>
      <c r="ET28" t="s">
        <v>4578</v>
      </c>
      <c r="EU28" t="s">
        <v>4578</v>
      </c>
      <c r="EV28" t="s">
        <v>4677</v>
      </c>
      <c r="EW28" t="s">
        <v>4677</v>
      </c>
      <c r="EX28" t="s">
        <v>4677</v>
      </c>
      <c r="EY28" t="s">
        <v>4677</v>
      </c>
      <c r="EZ28" t="s">
        <v>4677</v>
      </c>
      <c r="FA28" t="s">
        <v>4677</v>
      </c>
      <c r="FB28" t="s">
        <v>4677</v>
      </c>
      <c r="FC28" t="s">
        <v>4677</v>
      </c>
      <c r="FD28" t="s">
        <v>4677</v>
      </c>
      <c r="FE28" t="s">
        <v>4677</v>
      </c>
      <c r="FF28" t="s">
        <v>4677</v>
      </c>
      <c r="FG28" t="s">
        <v>4677</v>
      </c>
      <c r="FH28" t="s">
        <v>4677</v>
      </c>
      <c r="FI28" t="s">
        <v>4677</v>
      </c>
      <c r="FJ28" t="s">
        <v>4578</v>
      </c>
      <c r="FK28" t="s">
        <v>4578</v>
      </c>
      <c r="FL28" t="s">
        <v>4578</v>
      </c>
      <c r="FM28" t="s">
        <v>4578</v>
      </c>
      <c r="FN28" t="s">
        <v>4578</v>
      </c>
      <c r="FO28" t="s">
        <v>4578</v>
      </c>
      <c r="FP28" t="s">
        <v>4578</v>
      </c>
      <c r="FQ28" t="s">
        <v>4578</v>
      </c>
      <c r="FR28" t="s">
        <v>4578</v>
      </c>
      <c r="FS28" t="s">
        <v>4578</v>
      </c>
      <c r="FT28" t="s">
        <v>4578</v>
      </c>
      <c r="FU28" t="s">
        <v>4578</v>
      </c>
      <c r="FV28" t="s">
        <v>4578</v>
      </c>
      <c r="FW28" t="s">
        <v>4578</v>
      </c>
      <c r="FX28" t="s">
        <v>4578</v>
      </c>
      <c r="FY28" t="s">
        <v>4677</v>
      </c>
      <c r="FZ28" t="s">
        <v>4677</v>
      </c>
      <c r="GA28" t="s">
        <v>4677</v>
      </c>
      <c r="GB28" t="s">
        <v>4677</v>
      </c>
      <c r="GC28" t="s">
        <v>4677</v>
      </c>
      <c r="GD28" t="s">
        <v>4677</v>
      </c>
      <c r="GE28" t="s">
        <v>4677</v>
      </c>
      <c r="GF28" t="s">
        <v>4677</v>
      </c>
      <c r="GG28" t="s">
        <v>4677</v>
      </c>
      <c r="GH28" t="s">
        <v>4677</v>
      </c>
      <c r="GI28" t="s">
        <v>4677</v>
      </c>
      <c r="GJ28" t="s">
        <v>4677</v>
      </c>
      <c r="GK28" t="s">
        <v>4677</v>
      </c>
      <c r="GL28" t="s">
        <v>4677</v>
      </c>
      <c r="GM28" t="s">
        <v>4677</v>
      </c>
      <c r="GN28" t="s">
        <v>4578</v>
      </c>
      <c r="GO28" t="s">
        <v>4578</v>
      </c>
      <c r="GP28" t="s">
        <v>4578</v>
      </c>
      <c r="GQ28" t="s">
        <v>4578</v>
      </c>
      <c r="GR28" t="s">
        <v>4578</v>
      </c>
      <c r="GS28" t="s">
        <v>4578</v>
      </c>
      <c r="GT28" t="s">
        <v>4578</v>
      </c>
      <c r="GU28" t="s">
        <v>4578</v>
      </c>
      <c r="GV28" t="s">
        <v>4578</v>
      </c>
      <c r="GW28" t="s">
        <v>4578</v>
      </c>
      <c r="GX28" t="s">
        <v>4578</v>
      </c>
      <c r="GY28" t="s">
        <v>4578</v>
      </c>
      <c r="GZ28" t="s">
        <v>4578</v>
      </c>
      <c r="HA28" t="s">
        <v>4578</v>
      </c>
      <c r="HB28" t="s">
        <v>4677</v>
      </c>
      <c r="HC28" t="s">
        <v>4677</v>
      </c>
      <c r="HD28" t="s">
        <v>4677</v>
      </c>
      <c r="HE28" t="s">
        <v>4677</v>
      </c>
      <c r="HF28" t="s">
        <v>4677</v>
      </c>
      <c r="HG28" t="s">
        <v>4677</v>
      </c>
      <c r="HH28" t="s">
        <v>4677</v>
      </c>
      <c r="HI28" t="s">
        <v>4677</v>
      </c>
      <c r="HJ28" t="s">
        <v>4677</v>
      </c>
      <c r="HK28" t="s">
        <v>4677</v>
      </c>
      <c r="HL28" t="s">
        <v>4677</v>
      </c>
      <c r="HM28" t="s">
        <v>4677</v>
      </c>
      <c r="HN28" t="s">
        <v>4677</v>
      </c>
      <c r="HO28" t="s">
        <v>4677</v>
      </c>
      <c r="HP28" t="s">
        <v>4677</v>
      </c>
      <c r="HQ28" t="s">
        <v>4578</v>
      </c>
      <c r="HR28" t="s">
        <v>4578</v>
      </c>
      <c r="HS28" t="s">
        <v>4578</v>
      </c>
      <c r="HT28" t="s">
        <v>4578</v>
      </c>
      <c r="HU28" t="s">
        <v>4578</v>
      </c>
      <c r="HV28" t="s">
        <v>4578</v>
      </c>
      <c r="HW28" t="s">
        <v>4578</v>
      </c>
      <c r="HX28" t="s">
        <v>4578</v>
      </c>
      <c r="HY28" t="s">
        <v>4578</v>
      </c>
      <c r="HZ28" t="s">
        <v>4578</v>
      </c>
      <c r="IA28" t="s">
        <v>4578</v>
      </c>
      <c r="IB28" t="s">
        <v>4578</v>
      </c>
      <c r="IC28" t="s">
        <v>4578</v>
      </c>
      <c r="ID28" t="s">
        <v>4578</v>
      </c>
      <c r="IE28" t="s">
        <v>4578</v>
      </c>
      <c r="IF28" t="s">
        <v>4677</v>
      </c>
      <c r="IG28" t="s">
        <v>4677</v>
      </c>
      <c r="IH28" t="s">
        <v>4677</v>
      </c>
      <c r="II28" t="s">
        <v>4677</v>
      </c>
      <c r="IJ28" t="s">
        <v>4677</v>
      </c>
      <c r="IK28" t="s">
        <v>4677</v>
      </c>
      <c r="IL28" t="s">
        <v>4677</v>
      </c>
      <c r="IM28" t="s">
        <v>4677</v>
      </c>
      <c r="IN28" t="s">
        <v>4677</v>
      </c>
      <c r="IO28" t="s">
        <v>4677</v>
      </c>
      <c r="IP28" t="s">
        <v>4677</v>
      </c>
      <c r="IQ28" t="s">
        <v>4677</v>
      </c>
      <c r="IR28" t="s">
        <v>4677</v>
      </c>
      <c r="IS28" t="s">
        <v>4677</v>
      </c>
      <c r="IT28" t="s">
        <v>4677</v>
      </c>
      <c r="IU28" t="s">
        <v>4578</v>
      </c>
      <c r="IV28" t="s">
        <v>4578</v>
      </c>
      <c r="IW28" t="s">
        <v>4578</v>
      </c>
      <c r="IX28" t="s">
        <v>4578</v>
      </c>
      <c r="IY28" t="s">
        <v>4578</v>
      </c>
      <c r="IZ28" t="s">
        <v>4578</v>
      </c>
      <c r="JA28" t="s">
        <v>4578</v>
      </c>
      <c r="JB28" t="s">
        <v>4578</v>
      </c>
      <c r="JC28" t="s">
        <v>4578</v>
      </c>
      <c r="JD28" t="s">
        <v>4578</v>
      </c>
      <c r="JE28" t="s">
        <v>4578</v>
      </c>
      <c r="JF28" t="s">
        <v>4578</v>
      </c>
      <c r="JG28" t="s">
        <v>4578</v>
      </c>
      <c r="JH28" t="s">
        <v>4578</v>
      </c>
      <c r="JI28" t="s">
        <v>4677</v>
      </c>
      <c r="JJ28" t="s">
        <v>4677</v>
      </c>
      <c r="JK28" t="s">
        <v>4677</v>
      </c>
      <c r="JL28" t="s">
        <v>4677</v>
      </c>
      <c r="JM28" t="s">
        <v>4677</v>
      </c>
      <c r="JN28" t="s">
        <v>4677</v>
      </c>
      <c r="JO28" t="s">
        <v>4677</v>
      </c>
      <c r="JP28" t="s">
        <v>4677</v>
      </c>
      <c r="JQ28" t="s">
        <v>4677</v>
      </c>
      <c r="JR28" t="s">
        <v>4677</v>
      </c>
      <c r="JS28" t="s">
        <v>4677</v>
      </c>
      <c r="JT28" t="s">
        <v>4677</v>
      </c>
      <c r="JU28" t="s">
        <v>4677</v>
      </c>
      <c r="JV28" t="s">
        <v>4677</v>
      </c>
      <c r="JW28" t="s">
        <v>4677</v>
      </c>
      <c r="JX28" t="s">
        <v>4578</v>
      </c>
      <c r="JY28" t="s">
        <v>4578</v>
      </c>
      <c r="JZ28" t="s">
        <v>4578</v>
      </c>
      <c r="KA28" t="s">
        <v>4578</v>
      </c>
      <c r="KB28" t="s">
        <v>4578</v>
      </c>
      <c r="KC28" t="s">
        <v>4578</v>
      </c>
      <c r="KD28" t="s">
        <v>4578</v>
      </c>
      <c r="KE28" t="s">
        <v>4578</v>
      </c>
      <c r="KF28" t="s">
        <v>4578</v>
      </c>
      <c r="KG28" t="s">
        <v>4578</v>
      </c>
      <c r="KH28" t="s">
        <v>4578</v>
      </c>
      <c r="KI28" t="s">
        <v>4578</v>
      </c>
      <c r="KJ28" t="s">
        <v>4578</v>
      </c>
      <c r="KK28" t="s">
        <v>4578</v>
      </c>
      <c r="KL28" t="s">
        <v>4677</v>
      </c>
      <c r="KM28" t="s">
        <v>4677</v>
      </c>
      <c r="KN28" t="s">
        <v>4677</v>
      </c>
      <c r="KO28" t="s">
        <v>4677</v>
      </c>
      <c r="KP28" t="s">
        <v>4677</v>
      </c>
      <c r="KQ28" t="s">
        <v>4677</v>
      </c>
      <c r="KR28" t="s">
        <v>4677</v>
      </c>
      <c r="KS28" t="s">
        <v>4677</v>
      </c>
      <c r="KT28" t="s">
        <v>4677</v>
      </c>
      <c r="KU28" t="s">
        <v>4677</v>
      </c>
      <c r="KV28" t="s">
        <v>4677</v>
      </c>
      <c r="KW28" t="s">
        <v>4677</v>
      </c>
      <c r="KX28" t="s">
        <v>4677</v>
      </c>
      <c r="KY28" t="s">
        <v>4677</v>
      </c>
      <c r="KZ28" t="s">
        <v>4677</v>
      </c>
      <c r="LA28" t="s">
        <v>4677</v>
      </c>
      <c r="LB28" t="s">
        <v>4578</v>
      </c>
      <c r="LC28" t="s">
        <v>4578</v>
      </c>
      <c r="LD28" t="s">
        <v>4578</v>
      </c>
      <c r="LE28" t="s">
        <v>4578</v>
      </c>
      <c r="LF28" t="s">
        <v>4578</v>
      </c>
      <c r="LG28" t="s">
        <v>4578</v>
      </c>
      <c r="LH28" t="s">
        <v>4578</v>
      </c>
      <c r="LI28" t="s">
        <v>4578</v>
      </c>
      <c r="LJ28" t="s">
        <v>4578</v>
      </c>
      <c r="LK28" t="s">
        <v>4578</v>
      </c>
      <c r="LL28" t="s">
        <v>4578</v>
      </c>
      <c r="LM28" t="s">
        <v>4578</v>
      </c>
      <c r="LN28" t="s">
        <v>4578</v>
      </c>
      <c r="LO28" t="s">
        <v>4578</v>
      </c>
      <c r="LP28" t="s">
        <v>4677</v>
      </c>
      <c r="LQ28" t="s">
        <v>4677</v>
      </c>
      <c r="LR28" t="s">
        <v>4677</v>
      </c>
      <c r="LS28" t="s">
        <v>4677</v>
      </c>
      <c r="LT28" t="s">
        <v>4677</v>
      </c>
      <c r="LU28" t="s">
        <v>4677</v>
      </c>
      <c r="LV28" t="s">
        <v>4677</v>
      </c>
      <c r="LW28" t="s">
        <v>4677</v>
      </c>
      <c r="LX28" t="s">
        <v>4677</v>
      </c>
      <c r="LY28" t="s">
        <v>4677</v>
      </c>
      <c r="LZ28" t="s">
        <v>4677</v>
      </c>
      <c r="MA28" t="s">
        <v>4677</v>
      </c>
      <c r="MB28" t="s">
        <v>4677</v>
      </c>
      <c r="MC28" t="s">
        <v>4677</v>
      </c>
      <c r="MD28" t="s">
        <v>4677</v>
      </c>
      <c r="ME28" t="s">
        <v>4578</v>
      </c>
      <c r="MF28" t="s">
        <v>4578</v>
      </c>
      <c r="MG28" t="s">
        <v>4578</v>
      </c>
      <c r="MH28" t="s">
        <v>4578</v>
      </c>
      <c r="MI28" t="s">
        <v>4578</v>
      </c>
      <c r="MJ28" t="s">
        <v>4578</v>
      </c>
      <c r="MK28" t="s">
        <v>4578</v>
      </c>
      <c r="ML28" t="s">
        <v>4578</v>
      </c>
      <c r="MM28" t="s">
        <v>4578</v>
      </c>
      <c r="MN28" t="s">
        <v>4578</v>
      </c>
      <c r="MO28" t="s">
        <v>4578</v>
      </c>
      <c r="MP28" t="s">
        <v>4578</v>
      </c>
      <c r="MQ28" t="s">
        <v>4578</v>
      </c>
      <c r="MR28" t="s">
        <v>4578</v>
      </c>
      <c r="MS28" t="s">
        <v>4578</v>
      </c>
      <c r="MT28" t="s">
        <v>4677</v>
      </c>
      <c r="MU28" t="s">
        <v>4677</v>
      </c>
      <c r="MV28" t="s">
        <v>4677</v>
      </c>
      <c r="MW28" t="s">
        <v>4677</v>
      </c>
      <c r="MX28" t="s">
        <v>4677</v>
      </c>
      <c r="MY28" t="s">
        <v>4677</v>
      </c>
      <c r="MZ28" t="s">
        <v>4677</v>
      </c>
      <c r="NA28" t="s">
        <v>4677</v>
      </c>
      <c r="NB28" t="s">
        <v>4677</v>
      </c>
      <c r="NC28" t="s">
        <v>4677</v>
      </c>
      <c r="ND28" t="s">
        <v>4677</v>
      </c>
      <c r="NE28" t="s">
        <v>4677</v>
      </c>
      <c r="NF28" t="s">
        <v>4677</v>
      </c>
      <c r="NG28" t="s">
        <v>4677</v>
      </c>
      <c r="NH28" t="s">
        <v>4677</v>
      </c>
      <c r="NI28" t="s">
        <v>4578</v>
      </c>
      <c r="NJ28" t="s">
        <v>4578</v>
      </c>
      <c r="NK28" t="s">
        <v>4578</v>
      </c>
      <c r="NL28" t="s">
        <v>4578</v>
      </c>
      <c r="NM28" t="s">
        <v>4578</v>
      </c>
      <c r="NN28" t="s">
        <v>4578</v>
      </c>
      <c r="NO28" t="s">
        <v>4578</v>
      </c>
      <c r="NP28" t="s">
        <v>4578</v>
      </c>
      <c r="NQ28" t="s">
        <v>4578</v>
      </c>
      <c r="NR28" t="s">
        <v>4578</v>
      </c>
      <c r="NS28" t="s">
        <v>4578</v>
      </c>
      <c r="NT28" t="s">
        <v>4578</v>
      </c>
      <c r="NU28" t="s">
        <v>4578</v>
      </c>
      <c r="NV28" t="s">
        <v>4578</v>
      </c>
      <c r="NW28" t="s">
        <v>4677</v>
      </c>
      <c r="NX28" t="s">
        <v>4677</v>
      </c>
      <c r="NY28" t="s">
        <v>4677</v>
      </c>
      <c r="NZ28" t="s">
        <v>4677</v>
      </c>
      <c r="OA28" t="s">
        <v>4677</v>
      </c>
      <c r="OB28" t="s">
        <v>4677</v>
      </c>
      <c r="OC28" t="s">
        <v>4677</v>
      </c>
      <c r="OD28" t="s">
        <v>4677</v>
      </c>
      <c r="OE28" t="s">
        <v>4677</v>
      </c>
      <c r="OF28" t="s">
        <v>4677</v>
      </c>
      <c r="OG28" t="s">
        <v>4677</v>
      </c>
      <c r="OH28" t="s">
        <v>4677</v>
      </c>
      <c r="OI28" t="s">
        <v>4677</v>
      </c>
      <c r="OJ28" t="s">
        <v>4677</v>
      </c>
      <c r="OK28" t="s">
        <v>4677</v>
      </c>
      <c r="OL28" t="s">
        <v>4578</v>
      </c>
      <c r="OM28" t="s">
        <v>4578</v>
      </c>
      <c r="ON28" t="s">
        <v>4578</v>
      </c>
      <c r="OO28" t="s">
        <v>4578</v>
      </c>
      <c r="OP28" t="s">
        <v>4578</v>
      </c>
      <c r="OQ28" t="s">
        <v>4578</v>
      </c>
      <c r="OR28" t="s">
        <v>4578</v>
      </c>
      <c r="OS28" t="s">
        <v>4578</v>
      </c>
      <c r="OT28" t="s">
        <v>4578</v>
      </c>
      <c r="OU28" t="s">
        <v>4578</v>
      </c>
      <c r="OV28" t="s">
        <v>4578</v>
      </c>
      <c r="OW28" t="s">
        <v>4578</v>
      </c>
      <c r="OX28" t="s">
        <v>4578</v>
      </c>
      <c r="OY28" t="s">
        <v>4578</v>
      </c>
      <c r="OZ28" t="s">
        <v>4578</v>
      </c>
      <c r="PA28" t="s">
        <v>4677</v>
      </c>
      <c r="PB28" t="s">
        <v>4677</v>
      </c>
      <c r="PC28" t="s">
        <v>4677</v>
      </c>
      <c r="PD28" t="s">
        <v>4677</v>
      </c>
      <c r="PE28" t="s">
        <v>4677</v>
      </c>
      <c r="PF28" t="s">
        <v>4677</v>
      </c>
      <c r="PG28" t="s">
        <v>4677</v>
      </c>
      <c r="PH28" t="s">
        <v>4677</v>
      </c>
      <c r="PI28" t="s">
        <v>4677</v>
      </c>
      <c r="PJ28" t="s">
        <v>4677</v>
      </c>
      <c r="PK28" t="s">
        <v>4677</v>
      </c>
      <c r="PL28" t="s">
        <v>4677</v>
      </c>
      <c r="PM28" t="s">
        <v>4677</v>
      </c>
      <c r="PN28" t="s">
        <v>4677</v>
      </c>
      <c r="PO28" t="s">
        <v>4677</v>
      </c>
      <c r="PP28" t="s">
        <v>4578</v>
      </c>
      <c r="PQ28" t="s">
        <v>4578</v>
      </c>
      <c r="PR28" t="s">
        <v>4578</v>
      </c>
      <c r="PS28" t="s">
        <v>4578</v>
      </c>
      <c r="PT28" t="s">
        <v>4578</v>
      </c>
      <c r="PU28" t="s">
        <v>4578</v>
      </c>
      <c r="PV28" t="s">
        <v>4578</v>
      </c>
      <c r="PW28" t="s">
        <v>4578</v>
      </c>
      <c r="PX28" t="s">
        <v>4578</v>
      </c>
      <c r="PY28" t="s">
        <v>4578</v>
      </c>
      <c r="PZ28" t="s">
        <v>4578</v>
      </c>
      <c r="QA28" t="s">
        <v>4578</v>
      </c>
      <c r="QB28" t="s">
        <v>4578</v>
      </c>
      <c r="QC28" t="s">
        <v>4578</v>
      </c>
      <c r="QD28" t="s">
        <v>4578</v>
      </c>
      <c r="QE28" t="s">
        <v>4677</v>
      </c>
      <c r="QF28" t="s">
        <v>4677</v>
      </c>
      <c r="QG28" t="s">
        <v>4677</v>
      </c>
      <c r="QH28" t="s">
        <v>4677</v>
      </c>
      <c r="QI28" t="s">
        <v>4677</v>
      </c>
      <c r="QJ28" t="s">
        <v>4677</v>
      </c>
      <c r="QK28" t="s">
        <v>4677</v>
      </c>
      <c r="QL28" t="s">
        <v>4677</v>
      </c>
      <c r="QM28" t="s">
        <v>4677</v>
      </c>
      <c r="QN28" t="s">
        <v>4677</v>
      </c>
      <c r="QO28" t="s">
        <v>4677</v>
      </c>
      <c r="QP28" t="s">
        <v>4677</v>
      </c>
      <c r="QQ28" t="s">
        <v>4677</v>
      </c>
      <c r="QR28" t="s">
        <v>4677</v>
      </c>
      <c r="QS28" t="s">
        <v>4578</v>
      </c>
      <c r="QT28" t="s">
        <v>4578</v>
      </c>
      <c r="QU28" t="s">
        <v>4578</v>
      </c>
      <c r="QV28" t="s">
        <v>4578</v>
      </c>
      <c r="QW28" t="s">
        <v>4578</v>
      </c>
      <c r="QX28" t="s">
        <v>4578</v>
      </c>
      <c r="QY28" t="s">
        <v>4578</v>
      </c>
      <c r="QZ28" t="s">
        <v>4578</v>
      </c>
      <c r="RA28" t="s">
        <v>4578</v>
      </c>
      <c r="RB28" t="s">
        <v>4578</v>
      </c>
      <c r="RC28" t="s">
        <v>4578</v>
      </c>
      <c r="RD28" t="s">
        <v>4578</v>
      </c>
      <c r="RE28" t="s">
        <v>4578</v>
      </c>
      <c r="RF28" t="s">
        <v>4578</v>
      </c>
      <c r="RG28" t="s">
        <v>4578</v>
      </c>
      <c r="RH28" t="s">
        <v>4578</v>
      </c>
      <c r="RI28" t="s">
        <v>4677</v>
      </c>
      <c r="RJ28" t="s">
        <v>4677</v>
      </c>
      <c r="RK28" t="s">
        <v>4677</v>
      </c>
      <c r="RL28" t="s">
        <v>4677</v>
      </c>
      <c r="RM28" t="s">
        <v>4677</v>
      </c>
      <c r="RN28" t="s">
        <v>4677</v>
      </c>
      <c r="RO28" t="s">
        <v>4677</v>
      </c>
      <c r="RP28" t="s">
        <v>4677</v>
      </c>
      <c r="RQ28" t="s">
        <v>4677</v>
      </c>
      <c r="RR28" t="s">
        <v>4677</v>
      </c>
      <c r="RS28" t="s">
        <v>4677</v>
      </c>
      <c r="RT28" t="s">
        <v>4677</v>
      </c>
      <c r="RU28" t="s">
        <v>4677</v>
      </c>
      <c r="RV28" t="s">
        <v>4677</v>
      </c>
      <c r="RW28" t="s">
        <v>4578</v>
      </c>
      <c r="RX28" t="s">
        <v>4578</v>
      </c>
      <c r="RY28" t="s">
        <v>4578</v>
      </c>
      <c r="RZ28" t="s">
        <v>4578</v>
      </c>
      <c r="SA28" t="s">
        <v>4578</v>
      </c>
      <c r="SB28" t="s">
        <v>4578</v>
      </c>
      <c r="SC28" t="s">
        <v>4578</v>
      </c>
      <c r="SD28" t="s">
        <v>4578</v>
      </c>
      <c r="SE28" t="s">
        <v>4578</v>
      </c>
      <c r="SF28" t="s">
        <v>4578</v>
      </c>
      <c r="SG28" t="s">
        <v>4578</v>
      </c>
      <c r="SH28" t="s">
        <v>4578</v>
      </c>
      <c r="SI28" t="s">
        <v>4578</v>
      </c>
      <c r="SJ28" t="s">
        <v>4578</v>
      </c>
      <c r="SK28" t="s">
        <v>4578</v>
      </c>
      <c r="SL28" t="s">
        <v>4677</v>
      </c>
      <c r="SM28" t="s">
        <v>4677</v>
      </c>
      <c r="SN28" t="s">
        <v>4677</v>
      </c>
      <c r="SO28" t="s">
        <v>4677</v>
      </c>
      <c r="SP28" t="s">
        <v>4677</v>
      </c>
      <c r="SQ28" t="s">
        <v>4677</v>
      </c>
      <c r="SR28" t="s">
        <v>4677</v>
      </c>
      <c r="SS28" t="s">
        <v>4677</v>
      </c>
      <c r="ST28" t="s">
        <v>4677</v>
      </c>
      <c r="SU28" t="s">
        <v>4677</v>
      </c>
      <c r="SV28" t="s">
        <v>4677</v>
      </c>
      <c r="SW28" t="s">
        <v>4677</v>
      </c>
      <c r="SX28" t="s">
        <v>4677</v>
      </c>
      <c r="SY28" t="s">
        <v>4677</v>
      </c>
      <c r="SZ28" t="s">
        <v>4578</v>
      </c>
      <c r="TA28" t="s">
        <v>4578</v>
      </c>
      <c r="TB28" t="s">
        <v>4578</v>
      </c>
      <c r="TC28" t="s">
        <v>4578</v>
      </c>
      <c r="TD28" t="s">
        <v>4578</v>
      </c>
      <c r="TE28" t="s">
        <v>4578</v>
      </c>
      <c r="TF28" t="s">
        <v>4578</v>
      </c>
      <c r="TG28" t="s">
        <v>4578</v>
      </c>
      <c r="TH28" t="s">
        <v>4578</v>
      </c>
      <c r="TI28" t="s">
        <v>4578</v>
      </c>
      <c r="TJ28" t="s">
        <v>4578</v>
      </c>
      <c r="TK28" t="s">
        <v>4578</v>
      </c>
      <c r="TL28" t="s">
        <v>4578</v>
      </c>
      <c r="TM28" t="s">
        <v>4578</v>
      </c>
      <c r="TN28" t="s">
        <v>4578</v>
      </c>
      <c r="TO28" t="s">
        <v>4578</v>
      </c>
      <c r="TP28" t="s">
        <v>4677</v>
      </c>
      <c r="TQ28" t="s">
        <v>4677</v>
      </c>
      <c r="TR28" t="s">
        <v>4677</v>
      </c>
      <c r="TS28" t="s">
        <v>4677</v>
      </c>
      <c r="TT28" t="s">
        <v>4677</v>
      </c>
      <c r="TU28" t="s">
        <v>4677</v>
      </c>
      <c r="TV28" t="s">
        <v>4677</v>
      </c>
      <c r="TW28" t="s">
        <v>4677</v>
      </c>
      <c r="TX28" t="s">
        <v>4677</v>
      </c>
      <c r="TY28" t="s">
        <v>4677</v>
      </c>
      <c r="TZ28" t="s">
        <v>4677</v>
      </c>
      <c r="UA28" t="s">
        <v>4677</v>
      </c>
      <c r="UB28" t="s">
        <v>4677</v>
      </c>
      <c r="UC28" t="s">
        <v>4677</v>
      </c>
      <c r="UD28" t="s">
        <v>4578</v>
      </c>
      <c r="UE28" t="s">
        <v>4578</v>
      </c>
      <c r="UF28" t="s">
        <v>4578</v>
      </c>
      <c r="UG28" t="s">
        <v>4578</v>
      </c>
      <c r="UH28" t="s">
        <v>4578</v>
      </c>
      <c r="UI28" t="s">
        <v>4578</v>
      </c>
      <c r="UJ28" t="s">
        <v>4578</v>
      </c>
      <c r="UK28" t="s">
        <v>4578</v>
      </c>
      <c r="UL28" t="s">
        <v>4578</v>
      </c>
      <c r="UM28" t="s">
        <v>4578</v>
      </c>
      <c r="UN28" t="s">
        <v>4578</v>
      </c>
      <c r="UO28" t="s">
        <v>4578</v>
      </c>
      <c r="UP28" t="s">
        <v>4578</v>
      </c>
      <c r="UQ28" t="s">
        <v>4578</v>
      </c>
      <c r="UR28" t="s">
        <v>4578</v>
      </c>
      <c r="US28" t="s">
        <v>4677</v>
      </c>
      <c r="UT28" t="s">
        <v>4677</v>
      </c>
      <c r="UU28" t="s">
        <v>4677</v>
      </c>
      <c r="UV28" t="s">
        <v>4677</v>
      </c>
      <c r="UW28" t="s">
        <v>4677</v>
      </c>
      <c r="UX28" t="s">
        <v>4677</v>
      </c>
      <c r="UY28" t="s">
        <v>4677</v>
      </c>
      <c r="UZ28" t="s">
        <v>4677</v>
      </c>
      <c r="VA28" t="s">
        <v>4677</v>
      </c>
      <c r="VB28" t="s">
        <v>4677</v>
      </c>
      <c r="VC28" t="s">
        <v>4677</v>
      </c>
      <c r="VD28" t="s">
        <v>4677</v>
      </c>
      <c r="VE28" t="s">
        <v>4677</v>
      </c>
      <c r="VF28" t="s">
        <v>4677</v>
      </c>
      <c r="VG28" t="s">
        <v>4578</v>
      </c>
      <c r="VH28" t="s">
        <v>4578</v>
      </c>
      <c r="VI28" t="s">
        <v>4578</v>
      </c>
      <c r="VJ28" t="s">
        <v>4578</v>
      </c>
      <c r="VK28" t="s">
        <v>4578</v>
      </c>
      <c r="VL28" t="s">
        <v>4578</v>
      </c>
      <c r="VM28" t="s">
        <v>4578</v>
      </c>
      <c r="VN28" t="s">
        <v>4578</v>
      </c>
      <c r="VO28" t="s">
        <v>4578</v>
      </c>
      <c r="VP28" t="s">
        <v>4578</v>
      </c>
      <c r="VQ28" t="s">
        <v>4578</v>
      </c>
      <c r="VR28" t="s">
        <v>4578</v>
      </c>
      <c r="VS28" t="s">
        <v>4578</v>
      </c>
      <c r="VT28" t="s">
        <v>4578</v>
      </c>
      <c r="VU28" t="s">
        <v>4578</v>
      </c>
      <c r="VV28" t="s">
        <v>4677</v>
      </c>
      <c r="VW28" t="s">
        <v>4677</v>
      </c>
      <c r="VX28" t="s">
        <v>4677</v>
      </c>
      <c r="VY28" t="s">
        <v>4677</v>
      </c>
      <c r="VZ28" t="s">
        <v>4677</v>
      </c>
      <c r="WA28" t="s">
        <v>4677</v>
      </c>
      <c r="WB28" t="s">
        <v>4677</v>
      </c>
      <c r="WC28" t="s">
        <v>4677</v>
      </c>
      <c r="WD28" t="s">
        <v>4677</v>
      </c>
      <c r="WE28" t="s">
        <v>4677</v>
      </c>
      <c r="WF28" t="s">
        <v>4677</v>
      </c>
      <c r="WG28" t="s">
        <v>4677</v>
      </c>
      <c r="WH28" t="s">
        <v>4677</v>
      </c>
      <c r="WI28" t="s">
        <v>4677</v>
      </c>
      <c r="WJ28" t="s">
        <v>4677</v>
      </c>
      <c r="WK28" t="s">
        <v>4578</v>
      </c>
      <c r="WL28" t="s">
        <v>4578</v>
      </c>
      <c r="WM28" t="s">
        <v>4578</v>
      </c>
      <c r="WN28" t="s">
        <v>4578</v>
      </c>
      <c r="WO28" t="s">
        <v>4578</v>
      </c>
      <c r="WP28" t="s">
        <v>4578</v>
      </c>
      <c r="WQ28" t="s">
        <v>4578</v>
      </c>
      <c r="WR28" t="s">
        <v>4578</v>
      </c>
      <c r="WS28" t="s">
        <v>4578</v>
      </c>
      <c r="WT28" t="s">
        <v>4578</v>
      </c>
      <c r="WU28" t="s">
        <v>4578</v>
      </c>
      <c r="WV28" t="s">
        <v>4578</v>
      </c>
      <c r="WW28" t="s">
        <v>4578</v>
      </c>
      <c r="WX28" t="s">
        <v>4578</v>
      </c>
      <c r="WY28" t="s">
        <v>4578</v>
      </c>
      <c r="WZ28" t="s">
        <v>4677</v>
      </c>
      <c r="XA28" t="s">
        <v>4677</v>
      </c>
      <c r="XB28" t="s">
        <v>4677</v>
      </c>
      <c r="XC28" t="s">
        <v>4677</v>
      </c>
      <c r="XD28" t="s">
        <v>4677</v>
      </c>
      <c r="XE28" t="s">
        <v>4677</v>
      </c>
      <c r="XF28" t="s">
        <v>4677</v>
      </c>
      <c r="XG28" t="s">
        <v>4677</v>
      </c>
      <c r="XH28" t="s">
        <v>4677</v>
      </c>
      <c r="XI28" t="s">
        <v>4677</v>
      </c>
      <c r="XJ28" t="s">
        <v>4677</v>
      </c>
      <c r="XK28" t="s">
        <v>4677</v>
      </c>
      <c r="XL28" t="s">
        <v>4677</v>
      </c>
      <c r="XM28" t="s">
        <v>4677</v>
      </c>
      <c r="XN28" t="s">
        <v>4677</v>
      </c>
      <c r="XO28" t="s">
        <v>4578</v>
      </c>
      <c r="XP28" t="s">
        <v>4578</v>
      </c>
      <c r="XQ28" t="s">
        <v>4578</v>
      </c>
      <c r="XR28" t="s">
        <v>4578</v>
      </c>
      <c r="XS28" t="s">
        <v>4578</v>
      </c>
      <c r="XT28" t="s">
        <v>4578</v>
      </c>
      <c r="XU28" t="s">
        <v>4578</v>
      </c>
      <c r="XV28" t="s">
        <v>4578</v>
      </c>
      <c r="XW28" t="s">
        <v>4578</v>
      </c>
      <c r="XX28" t="s">
        <v>4578</v>
      </c>
      <c r="XY28" t="s">
        <v>4578</v>
      </c>
      <c r="XZ28" t="s">
        <v>4578</v>
      </c>
      <c r="YA28" t="s">
        <v>4578</v>
      </c>
      <c r="YB28" t="s">
        <v>4578</v>
      </c>
      <c r="YC28" t="s">
        <v>4677</v>
      </c>
      <c r="YD28" t="s">
        <v>4677</v>
      </c>
      <c r="YE28" t="s">
        <v>4677</v>
      </c>
      <c r="YF28" t="s">
        <v>4677</v>
      </c>
      <c r="YG28" t="s">
        <v>4677</v>
      </c>
      <c r="YH28" t="s">
        <v>4677</v>
      </c>
      <c r="YI28" t="s">
        <v>4677</v>
      </c>
      <c r="YJ28" t="s">
        <v>4677</v>
      </c>
      <c r="YK28" t="s">
        <v>4677</v>
      </c>
      <c r="YL28" t="s">
        <v>4677</v>
      </c>
      <c r="YM28" t="s">
        <v>4677</v>
      </c>
      <c r="YN28" t="s">
        <v>4677</v>
      </c>
      <c r="YO28" t="s">
        <v>4677</v>
      </c>
      <c r="YP28" t="s">
        <v>4677</v>
      </c>
      <c r="YQ28" t="s">
        <v>4677</v>
      </c>
      <c r="YR28" t="s">
        <v>4578</v>
      </c>
      <c r="YS28" t="s">
        <v>4578</v>
      </c>
      <c r="YT28" t="s">
        <v>4578</v>
      </c>
      <c r="YU28" t="s">
        <v>4578</v>
      </c>
      <c r="YV28" t="s">
        <v>4578</v>
      </c>
      <c r="YW28" t="s">
        <v>4578</v>
      </c>
      <c r="YX28" t="s">
        <v>4578</v>
      </c>
      <c r="YY28" t="s">
        <v>4578</v>
      </c>
      <c r="YZ28" t="s">
        <v>4578</v>
      </c>
      <c r="ZA28" t="s">
        <v>4578</v>
      </c>
      <c r="ZB28" t="s">
        <v>4578</v>
      </c>
      <c r="ZC28" t="s">
        <v>4578</v>
      </c>
      <c r="ZD28" t="s">
        <v>4578</v>
      </c>
      <c r="ZE28" t="s">
        <v>4578</v>
      </c>
      <c r="ZF28" t="s">
        <v>4677</v>
      </c>
      <c r="ZG28" t="s">
        <v>4677</v>
      </c>
      <c r="ZH28" t="s">
        <v>4677</v>
      </c>
      <c r="ZI28" t="s">
        <v>4677</v>
      </c>
      <c r="ZJ28" t="s">
        <v>4677</v>
      </c>
      <c r="ZK28" t="s">
        <v>4677</v>
      </c>
      <c r="ZL28" t="s">
        <v>4677</v>
      </c>
      <c r="ZM28" t="s">
        <v>4677</v>
      </c>
      <c r="ZN28" t="s">
        <v>4677</v>
      </c>
      <c r="ZO28" t="s">
        <v>4677</v>
      </c>
      <c r="ZP28" t="s">
        <v>4677</v>
      </c>
      <c r="ZQ28" t="s">
        <v>4677</v>
      </c>
      <c r="ZR28" t="s">
        <v>4677</v>
      </c>
      <c r="ZS28" t="s">
        <v>4677</v>
      </c>
      <c r="ZT28" t="s">
        <v>4677</v>
      </c>
      <c r="ZU28" t="s">
        <v>4677</v>
      </c>
      <c r="ZV28" t="s">
        <v>4578</v>
      </c>
      <c r="ZW28" t="s">
        <v>4578</v>
      </c>
      <c r="ZX28" t="s">
        <v>4578</v>
      </c>
      <c r="ZY28" t="s">
        <v>4578</v>
      </c>
      <c r="ZZ28" t="s">
        <v>4578</v>
      </c>
      <c r="AAA28" t="s">
        <v>4578</v>
      </c>
      <c r="AAB28" t="s">
        <v>4578</v>
      </c>
      <c r="AAC28" t="s">
        <v>4578</v>
      </c>
      <c r="AAD28" t="s">
        <v>4578</v>
      </c>
      <c r="AAE28" t="s">
        <v>4578</v>
      </c>
      <c r="AAF28" t="s">
        <v>4578</v>
      </c>
      <c r="AAG28" t="s">
        <v>4578</v>
      </c>
      <c r="AAH28" t="s">
        <v>4578</v>
      </c>
      <c r="AAI28" t="s">
        <v>4578</v>
      </c>
      <c r="AAJ28" t="s">
        <v>4677</v>
      </c>
      <c r="AAK28" t="s">
        <v>4677</v>
      </c>
      <c r="AAL28" t="s">
        <v>4677</v>
      </c>
      <c r="AAM28" t="s">
        <v>4677</v>
      </c>
      <c r="AAN28" t="s">
        <v>4677</v>
      </c>
      <c r="AAO28" t="s">
        <v>4677</v>
      </c>
      <c r="AAP28" t="s">
        <v>4677</v>
      </c>
      <c r="AAQ28" t="s">
        <v>4677</v>
      </c>
      <c r="AAR28" t="s">
        <v>4677</v>
      </c>
      <c r="AAS28" t="s">
        <v>4677</v>
      </c>
      <c r="AAT28" t="s">
        <v>4677</v>
      </c>
      <c r="AAU28" t="s">
        <v>4677</v>
      </c>
      <c r="AAV28" t="s">
        <v>4677</v>
      </c>
      <c r="AAW28" t="s">
        <v>4677</v>
      </c>
      <c r="AAX28" t="s">
        <v>4677</v>
      </c>
      <c r="AAY28" t="s">
        <v>4578</v>
      </c>
      <c r="AAZ28" t="s">
        <v>4578</v>
      </c>
      <c r="ABA28" t="s">
        <v>4578</v>
      </c>
      <c r="ABB28" t="s">
        <v>4578</v>
      </c>
      <c r="ABC28" t="s">
        <v>4578</v>
      </c>
      <c r="ABD28" t="s">
        <v>4578</v>
      </c>
      <c r="ABE28" t="s">
        <v>4578</v>
      </c>
      <c r="ABF28" t="s">
        <v>4578</v>
      </c>
      <c r="ABG28" t="s">
        <v>4578</v>
      </c>
      <c r="ABH28" t="s">
        <v>4578</v>
      </c>
      <c r="ABI28" t="s">
        <v>4578</v>
      </c>
      <c r="ABJ28" t="s">
        <v>4578</v>
      </c>
      <c r="ABK28" t="s">
        <v>4578</v>
      </c>
      <c r="ABL28" t="s">
        <v>4578</v>
      </c>
      <c r="ABM28" t="s">
        <v>4677</v>
      </c>
      <c r="ABN28" t="s">
        <v>4677</v>
      </c>
      <c r="ABO28" t="s">
        <v>4677</v>
      </c>
      <c r="ABP28" t="s">
        <v>4677</v>
      </c>
      <c r="ABQ28" t="s">
        <v>4677</v>
      </c>
      <c r="ABR28" t="s">
        <v>4677</v>
      </c>
      <c r="ABS28" t="s">
        <v>4677</v>
      </c>
      <c r="ABT28" t="s">
        <v>4677</v>
      </c>
      <c r="ABU28" t="s">
        <v>4677</v>
      </c>
      <c r="ABV28" t="s">
        <v>4677</v>
      </c>
      <c r="ABW28" t="s">
        <v>4677</v>
      </c>
      <c r="ABX28" t="s">
        <v>4677</v>
      </c>
      <c r="ABY28" t="s">
        <v>4677</v>
      </c>
      <c r="ABZ28" t="s">
        <v>4677</v>
      </c>
      <c r="ACA28" t="s">
        <v>4677</v>
      </c>
      <c r="ACB28" t="s">
        <v>4677</v>
      </c>
      <c r="ACC28" t="s">
        <v>4578</v>
      </c>
      <c r="ACD28" t="s">
        <v>4578</v>
      </c>
      <c r="ACE28" t="s">
        <v>4578</v>
      </c>
      <c r="ACF28" t="s">
        <v>4578</v>
      </c>
      <c r="ACG28" t="s">
        <v>4578</v>
      </c>
      <c r="ACH28" t="s">
        <v>4578</v>
      </c>
      <c r="ACI28" t="s">
        <v>4578</v>
      </c>
      <c r="ACJ28" t="s">
        <v>4578</v>
      </c>
      <c r="ACK28" t="s">
        <v>4578</v>
      </c>
      <c r="ACL28" t="s">
        <v>4578</v>
      </c>
      <c r="ACM28" t="s">
        <v>4578</v>
      </c>
      <c r="ACN28" t="s">
        <v>4578</v>
      </c>
      <c r="ACO28" t="s">
        <v>4578</v>
      </c>
      <c r="ACP28" t="s">
        <v>4578</v>
      </c>
      <c r="ACQ28" t="s">
        <v>4677</v>
      </c>
      <c r="ACR28" t="s">
        <v>4677</v>
      </c>
      <c r="ACS28" t="s">
        <v>4677</v>
      </c>
      <c r="ACT28" t="s">
        <v>4677</v>
      </c>
      <c r="ACU28" t="s">
        <v>4677</v>
      </c>
      <c r="ACV28" t="s">
        <v>4677</v>
      </c>
      <c r="ACW28" t="s">
        <v>4677</v>
      </c>
      <c r="ACX28" t="s">
        <v>4677</v>
      </c>
      <c r="ACY28" t="s">
        <v>4677</v>
      </c>
      <c r="ACZ28" t="s">
        <v>4677</v>
      </c>
      <c r="ADA28" t="s">
        <v>4677</v>
      </c>
      <c r="ADB28" t="s">
        <v>4677</v>
      </c>
      <c r="ADC28" t="s">
        <v>4677</v>
      </c>
      <c r="ADD28" t="s">
        <v>4677</v>
      </c>
      <c r="ADE28" t="s">
        <v>4677</v>
      </c>
      <c r="ADF28" t="s">
        <v>4578</v>
      </c>
      <c r="ADG28" t="s">
        <v>4578</v>
      </c>
      <c r="ADH28" t="s">
        <v>4578</v>
      </c>
      <c r="ADI28" t="s">
        <v>4578</v>
      </c>
      <c r="ADJ28" t="s">
        <v>4578</v>
      </c>
      <c r="ADK28" t="s">
        <v>4578</v>
      </c>
      <c r="ADL28" t="s">
        <v>4578</v>
      </c>
      <c r="ADM28" t="s">
        <v>4578</v>
      </c>
      <c r="ADN28" t="s">
        <v>4578</v>
      </c>
      <c r="ADO28" t="s">
        <v>4578</v>
      </c>
      <c r="ADP28" t="s">
        <v>4578</v>
      </c>
    </row>
    <row r="29" spans="1:796">
      <c r="A29" t="s">
        <v>724</v>
      </c>
      <c r="B29">
        <v>29</v>
      </c>
      <c r="C29" t="s">
        <v>4335</v>
      </c>
      <c r="D29">
        <v>80</v>
      </c>
      <c r="E29" t="s">
        <v>4579</v>
      </c>
      <c r="F29" t="s">
        <v>4579</v>
      </c>
      <c r="G29" t="s">
        <v>4579</v>
      </c>
      <c r="H29" t="s">
        <v>4579</v>
      </c>
      <c r="I29" t="s">
        <v>4579</v>
      </c>
      <c r="J29" t="s">
        <v>4579</v>
      </c>
      <c r="K29" t="s">
        <v>4579</v>
      </c>
      <c r="L29" t="s">
        <v>4579</v>
      </c>
      <c r="M29" t="s">
        <v>4579</v>
      </c>
      <c r="N29" t="s">
        <v>4579</v>
      </c>
      <c r="O29" t="s">
        <v>4579</v>
      </c>
      <c r="P29" t="s">
        <v>4579</v>
      </c>
      <c r="Q29" t="s">
        <v>4579</v>
      </c>
      <c r="R29" t="s">
        <v>4713</v>
      </c>
      <c r="S29" t="s">
        <v>4713</v>
      </c>
      <c r="T29" t="s">
        <v>4713</v>
      </c>
      <c r="U29" t="s">
        <v>4713</v>
      </c>
      <c r="V29" t="s">
        <v>4713</v>
      </c>
      <c r="W29" t="s">
        <v>4713</v>
      </c>
      <c r="X29" t="s">
        <v>4713</v>
      </c>
      <c r="Y29" t="s">
        <v>4713</v>
      </c>
      <c r="Z29" t="s">
        <v>4713</v>
      </c>
      <c r="AA29" t="s">
        <v>4713</v>
      </c>
      <c r="AB29" t="s">
        <v>4713</v>
      </c>
      <c r="AC29" t="s">
        <v>4713</v>
      </c>
      <c r="AD29" t="s">
        <v>4713</v>
      </c>
      <c r="AE29" t="s">
        <v>4713</v>
      </c>
      <c r="AF29" t="s">
        <v>4713</v>
      </c>
      <c r="AG29" t="s">
        <v>4713</v>
      </c>
      <c r="AH29" t="s">
        <v>4713</v>
      </c>
      <c r="AI29" t="s">
        <v>4713</v>
      </c>
      <c r="AJ29" t="s">
        <v>4713</v>
      </c>
      <c r="AK29" t="s">
        <v>4713</v>
      </c>
      <c r="AL29" t="s">
        <v>4713</v>
      </c>
      <c r="AM29" t="s">
        <v>4713</v>
      </c>
      <c r="AN29" t="s">
        <v>4713</v>
      </c>
      <c r="AO29" t="s">
        <v>4713</v>
      </c>
      <c r="AP29" t="s">
        <v>4713</v>
      </c>
      <c r="AQ29" t="s">
        <v>4713</v>
      </c>
      <c r="AR29" t="s">
        <v>4713</v>
      </c>
      <c r="AS29" t="s">
        <v>4713</v>
      </c>
      <c r="AT29" t="s">
        <v>4713</v>
      </c>
      <c r="AU29" t="s">
        <v>4713</v>
      </c>
      <c r="AV29" t="s">
        <v>4720</v>
      </c>
      <c r="AW29" t="s">
        <v>4720</v>
      </c>
      <c r="AX29" t="s">
        <v>4720</v>
      </c>
      <c r="AY29" t="s">
        <v>4720</v>
      </c>
      <c r="AZ29" t="s">
        <v>4720</v>
      </c>
      <c r="BA29" t="s">
        <v>4720</v>
      </c>
      <c r="BB29" t="s">
        <v>4720</v>
      </c>
      <c r="BC29" t="s">
        <v>4720</v>
      </c>
      <c r="BD29" t="s">
        <v>4720</v>
      </c>
      <c r="BE29" t="s">
        <v>4720</v>
      </c>
      <c r="BF29" t="s">
        <v>4720</v>
      </c>
      <c r="BG29" t="s">
        <v>4720</v>
      </c>
      <c r="BH29" t="s">
        <v>4720</v>
      </c>
      <c r="BI29" t="s">
        <v>4720</v>
      </c>
      <c r="BJ29" t="s">
        <v>4720</v>
      </c>
      <c r="BK29" t="s">
        <v>4720</v>
      </c>
      <c r="BL29" t="s">
        <v>4720</v>
      </c>
      <c r="BM29" t="s">
        <v>4720</v>
      </c>
      <c r="BN29" t="s">
        <v>4720</v>
      </c>
      <c r="BO29" t="s">
        <v>4720</v>
      </c>
      <c r="BP29" t="s">
        <v>4720</v>
      </c>
      <c r="BQ29" t="s">
        <v>4720</v>
      </c>
      <c r="BR29" t="s">
        <v>4720</v>
      </c>
      <c r="BS29" t="s">
        <v>4720</v>
      </c>
      <c r="BT29" t="s">
        <v>4720</v>
      </c>
      <c r="BU29" t="s">
        <v>4720</v>
      </c>
      <c r="BV29" t="s">
        <v>4720</v>
      </c>
      <c r="BW29" t="s">
        <v>4720</v>
      </c>
      <c r="BX29" t="s">
        <v>4720</v>
      </c>
      <c r="BY29" t="s">
        <v>4725</v>
      </c>
      <c r="BZ29" t="s">
        <v>4725</v>
      </c>
      <c r="CA29" t="s">
        <v>4725</v>
      </c>
      <c r="CB29" t="s">
        <v>4725</v>
      </c>
      <c r="CC29" t="s">
        <v>4725</v>
      </c>
      <c r="CD29" t="s">
        <v>4725</v>
      </c>
      <c r="CE29" t="s">
        <v>4725</v>
      </c>
      <c r="CF29" t="s">
        <v>4725</v>
      </c>
      <c r="CG29" t="s">
        <v>4725</v>
      </c>
      <c r="CH29" t="s">
        <v>4725</v>
      </c>
      <c r="CI29" t="s">
        <v>4725</v>
      </c>
      <c r="CJ29" t="s">
        <v>4725</v>
      </c>
      <c r="CK29" t="s">
        <v>4725</v>
      </c>
      <c r="CL29" t="s">
        <v>4725</v>
      </c>
      <c r="CM29" t="s">
        <v>4725</v>
      </c>
      <c r="CN29" t="s">
        <v>4725</v>
      </c>
      <c r="CO29" t="s">
        <v>4725</v>
      </c>
      <c r="CP29" t="s">
        <v>4725</v>
      </c>
      <c r="CQ29" t="s">
        <v>4725</v>
      </c>
      <c r="CR29" t="s">
        <v>4725</v>
      </c>
      <c r="CS29" t="s">
        <v>4725</v>
      </c>
      <c r="CT29" t="s">
        <v>4725</v>
      </c>
      <c r="CU29" t="s">
        <v>4725</v>
      </c>
      <c r="CV29" t="s">
        <v>4725</v>
      </c>
      <c r="CW29" t="s">
        <v>4725</v>
      </c>
      <c r="CX29" t="s">
        <v>4725</v>
      </c>
      <c r="CY29" t="s">
        <v>4725</v>
      </c>
      <c r="CZ29" t="s">
        <v>4725</v>
      </c>
      <c r="DA29" t="s">
        <v>4725</v>
      </c>
      <c r="DB29" t="s">
        <v>4725</v>
      </c>
      <c r="DC29" t="s">
        <v>4727</v>
      </c>
      <c r="DD29" t="s">
        <v>4727</v>
      </c>
      <c r="DE29" t="s">
        <v>4727</v>
      </c>
      <c r="DF29" t="s">
        <v>4727</v>
      </c>
      <c r="DG29" t="s">
        <v>4727</v>
      </c>
      <c r="DH29" t="s">
        <v>4727</v>
      </c>
      <c r="DI29" t="s">
        <v>4727</v>
      </c>
      <c r="DJ29" t="s">
        <v>4727</v>
      </c>
      <c r="DK29" t="s">
        <v>4727</v>
      </c>
      <c r="DL29" t="s">
        <v>4727</v>
      </c>
      <c r="DM29" t="s">
        <v>4727</v>
      </c>
      <c r="DN29" t="s">
        <v>4727</v>
      </c>
      <c r="DO29" t="s">
        <v>4727</v>
      </c>
      <c r="DP29" t="s">
        <v>4727</v>
      </c>
      <c r="DQ29" t="s">
        <v>4727</v>
      </c>
      <c r="DR29" t="s">
        <v>4727</v>
      </c>
      <c r="DS29" t="s">
        <v>4727</v>
      </c>
      <c r="DT29" t="s">
        <v>4727</v>
      </c>
      <c r="DU29" t="s">
        <v>4727</v>
      </c>
      <c r="DV29" t="s">
        <v>4727</v>
      </c>
      <c r="DW29" t="s">
        <v>4727</v>
      </c>
      <c r="DX29" t="s">
        <v>4727</v>
      </c>
      <c r="DY29" t="s">
        <v>4727</v>
      </c>
      <c r="DZ29" t="s">
        <v>4727</v>
      </c>
      <c r="EA29" t="s">
        <v>4727</v>
      </c>
      <c r="EB29" t="s">
        <v>4727</v>
      </c>
      <c r="EC29" t="s">
        <v>4727</v>
      </c>
      <c r="ED29" t="s">
        <v>4727</v>
      </c>
      <c r="EE29" t="s">
        <v>4727</v>
      </c>
      <c r="EF29" t="s">
        <v>4731</v>
      </c>
      <c r="EG29" t="s">
        <v>4731</v>
      </c>
      <c r="EH29" t="s">
        <v>4731</v>
      </c>
      <c r="EI29" t="s">
        <v>4731</v>
      </c>
      <c r="EJ29" t="s">
        <v>4731</v>
      </c>
      <c r="EK29" t="s">
        <v>4731</v>
      </c>
      <c r="EL29" t="s">
        <v>4731</v>
      </c>
      <c r="EM29" t="s">
        <v>4731</v>
      </c>
      <c r="EN29" t="s">
        <v>4731</v>
      </c>
      <c r="EO29" t="s">
        <v>4731</v>
      </c>
      <c r="EP29" t="s">
        <v>4731</v>
      </c>
      <c r="EQ29" t="s">
        <v>4731</v>
      </c>
      <c r="ER29" t="s">
        <v>4731</v>
      </c>
      <c r="ES29" t="s">
        <v>4731</v>
      </c>
      <c r="ET29" t="s">
        <v>4731</v>
      </c>
      <c r="EU29" t="s">
        <v>4731</v>
      </c>
      <c r="EV29" t="s">
        <v>4731</v>
      </c>
      <c r="EW29" t="s">
        <v>4731</v>
      </c>
      <c r="EX29" t="s">
        <v>4731</v>
      </c>
      <c r="EY29" t="s">
        <v>4731</v>
      </c>
      <c r="EZ29" t="s">
        <v>4731</v>
      </c>
      <c r="FA29" t="s">
        <v>4731</v>
      </c>
      <c r="FB29" t="s">
        <v>4731</v>
      </c>
      <c r="FC29" t="s">
        <v>4731</v>
      </c>
      <c r="FD29" t="s">
        <v>4731</v>
      </c>
      <c r="FE29" t="s">
        <v>4731</v>
      </c>
      <c r="FF29" t="s">
        <v>4731</v>
      </c>
      <c r="FG29" t="s">
        <v>4731</v>
      </c>
      <c r="FH29" t="s">
        <v>4731</v>
      </c>
      <c r="FI29" t="s">
        <v>4731</v>
      </c>
      <c r="FJ29" t="s">
        <v>4736</v>
      </c>
      <c r="FK29" t="s">
        <v>4736</v>
      </c>
      <c r="FL29" t="s">
        <v>4736</v>
      </c>
      <c r="FM29" t="s">
        <v>4736</v>
      </c>
      <c r="FN29" t="s">
        <v>4736</v>
      </c>
      <c r="FO29" t="s">
        <v>4736</v>
      </c>
      <c r="FP29" t="s">
        <v>4736</v>
      </c>
      <c r="FQ29" t="s">
        <v>4736</v>
      </c>
      <c r="FR29" t="s">
        <v>4736</v>
      </c>
      <c r="FS29" t="s">
        <v>4736</v>
      </c>
      <c r="FT29" t="s">
        <v>4736</v>
      </c>
      <c r="FU29" t="s">
        <v>4736</v>
      </c>
      <c r="FV29" t="s">
        <v>4736</v>
      </c>
      <c r="FW29" t="s">
        <v>4736</v>
      </c>
      <c r="FX29" t="s">
        <v>4736</v>
      </c>
      <c r="FY29" t="s">
        <v>4736</v>
      </c>
      <c r="FZ29" t="s">
        <v>4736</v>
      </c>
      <c r="GA29" t="s">
        <v>4736</v>
      </c>
      <c r="GB29" t="s">
        <v>4736</v>
      </c>
      <c r="GC29" t="s">
        <v>4736</v>
      </c>
      <c r="GD29" t="s">
        <v>4736</v>
      </c>
      <c r="GE29" t="s">
        <v>4736</v>
      </c>
      <c r="GF29" t="s">
        <v>4736</v>
      </c>
      <c r="GG29" t="s">
        <v>4736</v>
      </c>
      <c r="GH29" t="s">
        <v>4736</v>
      </c>
      <c r="GI29" t="s">
        <v>4736</v>
      </c>
      <c r="GJ29" t="s">
        <v>4736</v>
      </c>
      <c r="GK29" t="s">
        <v>4736</v>
      </c>
      <c r="GL29" t="s">
        <v>4736</v>
      </c>
      <c r="GM29" t="s">
        <v>4736</v>
      </c>
      <c r="GN29" t="s">
        <v>4740</v>
      </c>
      <c r="GO29" t="s">
        <v>4740</v>
      </c>
      <c r="GP29" t="s">
        <v>4740</v>
      </c>
      <c r="GQ29" t="s">
        <v>4740</v>
      </c>
      <c r="GR29" t="s">
        <v>4740</v>
      </c>
      <c r="GS29" t="s">
        <v>4740</v>
      </c>
      <c r="GT29" t="s">
        <v>4740</v>
      </c>
      <c r="GU29" t="s">
        <v>4740</v>
      </c>
      <c r="GV29" t="s">
        <v>4740</v>
      </c>
      <c r="GW29" t="s">
        <v>4740</v>
      </c>
      <c r="GX29" t="s">
        <v>4740</v>
      </c>
      <c r="GY29" t="s">
        <v>4740</v>
      </c>
      <c r="GZ29" t="s">
        <v>4740</v>
      </c>
      <c r="HA29" t="s">
        <v>4740</v>
      </c>
      <c r="HB29" t="s">
        <v>4740</v>
      </c>
      <c r="HC29" t="s">
        <v>4740</v>
      </c>
      <c r="HD29" t="s">
        <v>4740</v>
      </c>
      <c r="HE29" t="s">
        <v>4740</v>
      </c>
      <c r="HF29" t="s">
        <v>4740</v>
      </c>
      <c r="HG29" t="s">
        <v>4740</v>
      </c>
      <c r="HH29" t="s">
        <v>4740</v>
      </c>
      <c r="HI29" t="s">
        <v>4740</v>
      </c>
      <c r="HJ29" t="s">
        <v>4740</v>
      </c>
      <c r="HK29" t="s">
        <v>4740</v>
      </c>
      <c r="HL29" t="s">
        <v>4740</v>
      </c>
      <c r="HM29" t="s">
        <v>4740</v>
      </c>
      <c r="HN29" t="s">
        <v>4740</v>
      </c>
      <c r="HO29" t="s">
        <v>4740</v>
      </c>
      <c r="HP29" t="s">
        <v>4740</v>
      </c>
      <c r="HQ29" t="s">
        <v>4745</v>
      </c>
      <c r="HR29" t="s">
        <v>4745</v>
      </c>
      <c r="HS29" t="s">
        <v>4745</v>
      </c>
      <c r="HT29" t="s">
        <v>4745</v>
      </c>
      <c r="HU29" t="s">
        <v>4745</v>
      </c>
      <c r="HV29" t="s">
        <v>4745</v>
      </c>
      <c r="HW29" t="s">
        <v>4745</v>
      </c>
      <c r="HX29" t="s">
        <v>4745</v>
      </c>
      <c r="HY29" t="s">
        <v>4745</v>
      </c>
      <c r="HZ29" t="s">
        <v>4745</v>
      </c>
      <c r="IA29" t="s">
        <v>4745</v>
      </c>
      <c r="IB29" t="s">
        <v>4745</v>
      </c>
      <c r="IC29" t="s">
        <v>4745</v>
      </c>
      <c r="ID29" t="s">
        <v>4745</v>
      </c>
      <c r="IE29" t="s">
        <v>4745</v>
      </c>
      <c r="IF29" t="s">
        <v>4745</v>
      </c>
      <c r="IG29" t="s">
        <v>4745</v>
      </c>
      <c r="IH29" t="s">
        <v>4745</v>
      </c>
      <c r="II29" t="s">
        <v>4745</v>
      </c>
      <c r="IJ29" t="s">
        <v>4745</v>
      </c>
      <c r="IK29" t="s">
        <v>4745</v>
      </c>
      <c r="IL29" t="s">
        <v>4745</v>
      </c>
      <c r="IM29" t="s">
        <v>4745</v>
      </c>
      <c r="IN29" t="s">
        <v>4745</v>
      </c>
      <c r="IO29" t="s">
        <v>4745</v>
      </c>
      <c r="IP29" t="s">
        <v>4745</v>
      </c>
      <c r="IQ29" t="s">
        <v>4745</v>
      </c>
      <c r="IR29" t="s">
        <v>4745</v>
      </c>
      <c r="IS29" t="s">
        <v>4745</v>
      </c>
      <c r="IT29" t="s">
        <v>4745</v>
      </c>
      <c r="IU29" t="s">
        <v>4747</v>
      </c>
      <c r="IV29" t="s">
        <v>4747</v>
      </c>
      <c r="IW29" t="s">
        <v>4747</v>
      </c>
      <c r="IX29" t="s">
        <v>4747</v>
      </c>
      <c r="IY29" t="s">
        <v>4747</v>
      </c>
      <c r="IZ29" t="s">
        <v>4747</v>
      </c>
      <c r="JA29" t="s">
        <v>4747</v>
      </c>
      <c r="JB29" t="s">
        <v>4747</v>
      </c>
      <c r="JC29" t="s">
        <v>4747</v>
      </c>
      <c r="JD29" t="s">
        <v>4747</v>
      </c>
      <c r="JE29" t="s">
        <v>4747</v>
      </c>
      <c r="JF29" t="s">
        <v>4747</v>
      </c>
      <c r="JG29" t="s">
        <v>4747</v>
      </c>
      <c r="JH29" t="s">
        <v>4747</v>
      </c>
      <c r="JI29" t="s">
        <v>4747</v>
      </c>
      <c r="JJ29" t="s">
        <v>4747</v>
      </c>
      <c r="JK29" t="s">
        <v>4747</v>
      </c>
      <c r="JL29" t="s">
        <v>4747</v>
      </c>
      <c r="JM29" t="s">
        <v>4747</v>
      </c>
      <c r="JN29" t="s">
        <v>4747</v>
      </c>
      <c r="JO29" t="s">
        <v>4747</v>
      </c>
      <c r="JP29" t="s">
        <v>4747</v>
      </c>
      <c r="JQ29" t="s">
        <v>4747</v>
      </c>
      <c r="JR29" t="s">
        <v>4747</v>
      </c>
      <c r="JS29" t="s">
        <v>4747</v>
      </c>
      <c r="JT29" t="s">
        <v>4747</v>
      </c>
      <c r="JU29" t="s">
        <v>4747</v>
      </c>
      <c r="JV29" t="s">
        <v>4747</v>
      </c>
      <c r="JW29" t="s">
        <v>4747</v>
      </c>
      <c r="JX29" t="s">
        <v>4752</v>
      </c>
      <c r="JY29" t="s">
        <v>4752</v>
      </c>
      <c r="JZ29" t="s">
        <v>4752</v>
      </c>
      <c r="KA29" t="s">
        <v>4752</v>
      </c>
      <c r="KB29" t="s">
        <v>4752</v>
      </c>
      <c r="KC29" t="s">
        <v>4752</v>
      </c>
      <c r="KD29" t="s">
        <v>4752</v>
      </c>
      <c r="KE29" t="s">
        <v>4752</v>
      </c>
      <c r="KF29" t="s">
        <v>4752</v>
      </c>
      <c r="KG29" t="s">
        <v>4752</v>
      </c>
      <c r="KH29" t="s">
        <v>4752</v>
      </c>
      <c r="KI29" t="s">
        <v>4752</v>
      </c>
      <c r="KJ29" t="s">
        <v>4752</v>
      </c>
      <c r="KK29" t="s">
        <v>4752</v>
      </c>
      <c r="KL29" t="s">
        <v>4752</v>
      </c>
      <c r="KM29" t="s">
        <v>4752</v>
      </c>
      <c r="KN29" t="s">
        <v>4752</v>
      </c>
      <c r="KO29" t="s">
        <v>4752</v>
      </c>
      <c r="KP29" t="s">
        <v>4752</v>
      </c>
      <c r="KQ29" t="s">
        <v>4752</v>
      </c>
      <c r="KR29" t="s">
        <v>4752</v>
      </c>
      <c r="KS29" t="s">
        <v>4752</v>
      </c>
      <c r="KT29" t="s">
        <v>4752</v>
      </c>
      <c r="KU29" t="s">
        <v>4752</v>
      </c>
      <c r="KV29" t="s">
        <v>4752</v>
      </c>
      <c r="KW29" t="s">
        <v>4752</v>
      </c>
      <c r="KX29" t="s">
        <v>4752</v>
      </c>
      <c r="KY29" t="s">
        <v>4752</v>
      </c>
      <c r="KZ29" t="s">
        <v>4752</v>
      </c>
      <c r="LA29" t="s">
        <v>4752</v>
      </c>
      <c r="LB29" t="s">
        <v>4757</v>
      </c>
      <c r="LC29" t="s">
        <v>4757</v>
      </c>
      <c r="LD29" t="s">
        <v>4757</v>
      </c>
      <c r="LE29" t="s">
        <v>4757</v>
      </c>
      <c r="LF29" t="s">
        <v>4757</v>
      </c>
      <c r="LG29" t="s">
        <v>4757</v>
      </c>
      <c r="LH29" t="s">
        <v>4757</v>
      </c>
      <c r="LI29" t="s">
        <v>4757</v>
      </c>
      <c r="LJ29" t="s">
        <v>4757</v>
      </c>
      <c r="LK29" t="s">
        <v>4757</v>
      </c>
      <c r="LL29" t="s">
        <v>4757</v>
      </c>
      <c r="LM29" t="s">
        <v>4757</v>
      </c>
      <c r="LN29" t="s">
        <v>4757</v>
      </c>
      <c r="LO29" t="s">
        <v>4757</v>
      </c>
      <c r="LP29" t="s">
        <v>4757</v>
      </c>
      <c r="LQ29" t="s">
        <v>4757</v>
      </c>
      <c r="LR29" t="s">
        <v>4757</v>
      </c>
      <c r="LS29" t="s">
        <v>4757</v>
      </c>
      <c r="LT29" t="s">
        <v>4757</v>
      </c>
      <c r="LU29" t="s">
        <v>4757</v>
      </c>
      <c r="LV29" t="s">
        <v>4757</v>
      </c>
      <c r="LW29" t="s">
        <v>4757</v>
      </c>
      <c r="LX29" t="s">
        <v>4757</v>
      </c>
      <c r="LY29" t="s">
        <v>4757</v>
      </c>
      <c r="LZ29" t="s">
        <v>4757</v>
      </c>
      <c r="MA29" t="s">
        <v>4757</v>
      </c>
      <c r="MB29" t="s">
        <v>4757</v>
      </c>
      <c r="MC29" t="s">
        <v>4757</v>
      </c>
      <c r="MD29" t="s">
        <v>4757</v>
      </c>
      <c r="ME29" t="s">
        <v>4579</v>
      </c>
      <c r="MF29" t="s">
        <v>4579</v>
      </c>
      <c r="MG29" t="s">
        <v>4579</v>
      </c>
      <c r="MH29" t="s">
        <v>4579</v>
      </c>
      <c r="MI29" t="s">
        <v>4579</v>
      </c>
      <c r="MJ29" t="s">
        <v>4579</v>
      </c>
      <c r="MK29" t="s">
        <v>4579</v>
      </c>
      <c r="ML29" t="s">
        <v>4579</v>
      </c>
      <c r="MM29" t="s">
        <v>4579</v>
      </c>
      <c r="MN29" t="s">
        <v>4579</v>
      </c>
      <c r="MO29" t="s">
        <v>4579</v>
      </c>
      <c r="MP29" t="s">
        <v>4579</v>
      </c>
      <c r="MQ29" t="s">
        <v>4579</v>
      </c>
      <c r="MR29" t="s">
        <v>4579</v>
      </c>
      <c r="MS29" t="s">
        <v>4579</v>
      </c>
      <c r="MT29" t="s">
        <v>4579</v>
      </c>
      <c r="MU29" t="s">
        <v>4579</v>
      </c>
      <c r="MV29" t="s">
        <v>4579</v>
      </c>
      <c r="MW29" t="s">
        <v>4579</v>
      </c>
      <c r="MX29" t="s">
        <v>4579</v>
      </c>
      <c r="MY29" t="s">
        <v>4579</v>
      </c>
      <c r="MZ29" t="s">
        <v>4579</v>
      </c>
      <c r="NA29" t="s">
        <v>4579</v>
      </c>
      <c r="NB29" t="s">
        <v>4579</v>
      </c>
      <c r="NC29" t="s">
        <v>4579</v>
      </c>
      <c r="ND29" t="s">
        <v>4579</v>
      </c>
      <c r="NE29" t="s">
        <v>4579</v>
      </c>
      <c r="NF29" t="s">
        <v>4579</v>
      </c>
      <c r="NG29" t="s">
        <v>4579</v>
      </c>
      <c r="NH29" t="s">
        <v>4579</v>
      </c>
      <c r="NI29" t="s">
        <v>4713</v>
      </c>
      <c r="NJ29" t="s">
        <v>4713</v>
      </c>
      <c r="NK29" t="s">
        <v>4713</v>
      </c>
      <c r="NL29" t="s">
        <v>4713</v>
      </c>
      <c r="NM29" t="s">
        <v>4713</v>
      </c>
      <c r="NN29" t="s">
        <v>4713</v>
      </c>
      <c r="NO29" t="s">
        <v>4713</v>
      </c>
      <c r="NP29" t="s">
        <v>4713</v>
      </c>
      <c r="NQ29" t="s">
        <v>4713</v>
      </c>
      <c r="NR29" t="s">
        <v>4713</v>
      </c>
      <c r="NS29" t="s">
        <v>4713</v>
      </c>
      <c r="NT29" t="s">
        <v>4713</v>
      </c>
      <c r="NU29" t="s">
        <v>4713</v>
      </c>
      <c r="NV29" t="s">
        <v>4713</v>
      </c>
      <c r="NW29" t="s">
        <v>4713</v>
      </c>
      <c r="NX29" t="s">
        <v>4713</v>
      </c>
      <c r="NY29" t="s">
        <v>4713</v>
      </c>
      <c r="NZ29" t="s">
        <v>4713</v>
      </c>
      <c r="OA29" t="s">
        <v>4713</v>
      </c>
      <c r="OB29" t="s">
        <v>4713</v>
      </c>
      <c r="OC29" t="s">
        <v>4713</v>
      </c>
      <c r="OD29" t="s">
        <v>4713</v>
      </c>
      <c r="OE29" t="s">
        <v>4713</v>
      </c>
      <c r="OF29" t="s">
        <v>4713</v>
      </c>
      <c r="OG29" t="s">
        <v>4713</v>
      </c>
      <c r="OH29" t="s">
        <v>4713</v>
      </c>
      <c r="OI29" t="s">
        <v>4713</v>
      </c>
      <c r="OJ29" t="s">
        <v>4713</v>
      </c>
      <c r="OK29" t="s">
        <v>4713</v>
      </c>
      <c r="OL29" t="s">
        <v>4720</v>
      </c>
      <c r="OM29" t="s">
        <v>4720</v>
      </c>
      <c r="ON29" t="s">
        <v>4720</v>
      </c>
      <c r="OO29" t="s">
        <v>4720</v>
      </c>
      <c r="OP29" t="s">
        <v>4720</v>
      </c>
      <c r="OQ29" t="s">
        <v>4720</v>
      </c>
      <c r="OR29" t="s">
        <v>4720</v>
      </c>
      <c r="OS29" t="s">
        <v>4720</v>
      </c>
      <c r="OT29" t="s">
        <v>4720</v>
      </c>
      <c r="OU29" t="s">
        <v>4720</v>
      </c>
      <c r="OV29" t="s">
        <v>4720</v>
      </c>
      <c r="OW29" t="s">
        <v>4720</v>
      </c>
      <c r="OX29" t="s">
        <v>4720</v>
      </c>
      <c r="OY29" t="s">
        <v>4720</v>
      </c>
      <c r="OZ29" t="s">
        <v>4720</v>
      </c>
      <c r="PA29" t="s">
        <v>4720</v>
      </c>
      <c r="PB29" t="s">
        <v>4720</v>
      </c>
      <c r="PC29" t="s">
        <v>4720</v>
      </c>
      <c r="PD29" t="s">
        <v>4720</v>
      </c>
      <c r="PE29" t="s">
        <v>4720</v>
      </c>
      <c r="PF29" t="s">
        <v>4720</v>
      </c>
      <c r="PG29" t="s">
        <v>4720</v>
      </c>
      <c r="PH29" t="s">
        <v>4720</v>
      </c>
      <c r="PI29" t="s">
        <v>4720</v>
      </c>
      <c r="PJ29" t="s">
        <v>4720</v>
      </c>
      <c r="PK29" t="s">
        <v>4720</v>
      </c>
      <c r="PL29" t="s">
        <v>4720</v>
      </c>
      <c r="PM29" t="s">
        <v>4720</v>
      </c>
      <c r="PN29" t="s">
        <v>4720</v>
      </c>
      <c r="PO29" t="s">
        <v>4720</v>
      </c>
      <c r="PP29" t="s">
        <v>4725</v>
      </c>
      <c r="PQ29" t="s">
        <v>4725</v>
      </c>
      <c r="PR29" t="s">
        <v>4725</v>
      </c>
      <c r="PS29" t="s">
        <v>4725</v>
      </c>
      <c r="PT29" t="s">
        <v>4725</v>
      </c>
      <c r="PU29" t="s">
        <v>4725</v>
      </c>
      <c r="PV29" t="s">
        <v>4725</v>
      </c>
      <c r="PW29" t="s">
        <v>4725</v>
      </c>
      <c r="PX29" t="s">
        <v>4725</v>
      </c>
      <c r="PY29" t="s">
        <v>4725</v>
      </c>
      <c r="PZ29" t="s">
        <v>4725</v>
      </c>
      <c r="QA29" t="s">
        <v>4725</v>
      </c>
      <c r="QB29" t="s">
        <v>4725</v>
      </c>
      <c r="QC29" t="s">
        <v>4725</v>
      </c>
      <c r="QD29" t="s">
        <v>4725</v>
      </c>
      <c r="QE29" t="s">
        <v>4725</v>
      </c>
      <c r="QF29" t="s">
        <v>4725</v>
      </c>
      <c r="QG29" t="s">
        <v>4725</v>
      </c>
      <c r="QH29" t="s">
        <v>4725</v>
      </c>
      <c r="QI29" t="s">
        <v>4725</v>
      </c>
      <c r="QJ29" t="s">
        <v>4725</v>
      </c>
      <c r="QK29" t="s">
        <v>4725</v>
      </c>
      <c r="QL29" t="s">
        <v>4725</v>
      </c>
      <c r="QM29" t="s">
        <v>4725</v>
      </c>
      <c r="QN29" t="s">
        <v>4725</v>
      </c>
      <c r="QO29" t="s">
        <v>4725</v>
      </c>
      <c r="QP29" t="s">
        <v>4725</v>
      </c>
      <c r="QQ29" t="s">
        <v>4725</v>
      </c>
      <c r="QR29" t="s">
        <v>4725</v>
      </c>
      <c r="QS29" t="s">
        <v>4727</v>
      </c>
      <c r="QT29" t="s">
        <v>4727</v>
      </c>
      <c r="QU29" t="s">
        <v>4727</v>
      </c>
      <c r="QV29" t="s">
        <v>4727</v>
      </c>
      <c r="QW29" t="s">
        <v>4727</v>
      </c>
      <c r="QX29" t="s">
        <v>4727</v>
      </c>
      <c r="QY29" t="s">
        <v>4727</v>
      </c>
      <c r="QZ29" t="s">
        <v>4727</v>
      </c>
      <c r="RA29" t="s">
        <v>4727</v>
      </c>
      <c r="RB29" t="s">
        <v>4727</v>
      </c>
      <c r="RC29" t="s">
        <v>4727</v>
      </c>
      <c r="RD29" t="s">
        <v>4727</v>
      </c>
      <c r="RE29" t="s">
        <v>4727</v>
      </c>
      <c r="RF29" t="s">
        <v>4727</v>
      </c>
      <c r="RG29" t="s">
        <v>4727</v>
      </c>
      <c r="RH29" t="s">
        <v>4727</v>
      </c>
      <c r="RI29" t="s">
        <v>4727</v>
      </c>
      <c r="RJ29" t="s">
        <v>4727</v>
      </c>
      <c r="RK29" t="s">
        <v>4727</v>
      </c>
      <c r="RL29" t="s">
        <v>4727</v>
      </c>
      <c r="RM29" t="s">
        <v>4727</v>
      </c>
      <c r="RN29" t="s">
        <v>4727</v>
      </c>
      <c r="RO29" t="s">
        <v>4727</v>
      </c>
      <c r="RP29" t="s">
        <v>4727</v>
      </c>
      <c r="RQ29" t="s">
        <v>4727</v>
      </c>
      <c r="RR29" t="s">
        <v>4727</v>
      </c>
      <c r="RS29" t="s">
        <v>4727</v>
      </c>
      <c r="RT29" t="s">
        <v>4727</v>
      </c>
      <c r="RU29" t="s">
        <v>4727</v>
      </c>
      <c r="RV29" t="s">
        <v>4727</v>
      </c>
      <c r="RW29" t="s">
        <v>4731</v>
      </c>
      <c r="RX29" t="s">
        <v>4731</v>
      </c>
      <c r="RY29" t="s">
        <v>4731</v>
      </c>
      <c r="RZ29" t="s">
        <v>4731</v>
      </c>
      <c r="SA29" t="s">
        <v>4731</v>
      </c>
      <c r="SB29" t="s">
        <v>4731</v>
      </c>
      <c r="SC29" t="s">
        <v>4731</v>
      </c>
      <c r="SD29" t="s">
        <v>4731</v>
      </c>
      <c r="SE29" t="s">
        <v>4731</v>
      </c>
      <c r="SF29" t="s">
        <v>4731</v>
      </c>
      <c r="SG29" t="s">
        <v>4731</v>
      </c>
      <c r="SH29" t="s">
        <v>4731</v>
      </c>
      <c r="SI29" t="s">
        <v>4731</v>
      </c>
      <c r="SJ29" t="s">
        <v>4731</v>
      </c>
      <c r="SK29" t="s">
        <v>4731</v>
      </c>
      <c r="SL29" t="s">
        <v>4731</v>
      </c>
      <c r="SM29" t="s">
        <v>4731</v>
      </c>
      <c r="SN29" t="s">
        <v>4731</v>
      </c>
      <c r="SO29" t="s">
        <v>4731</v>
      </c>
      <c r="SP29" t="s">
        <v>4731</v>
      </c>
      <c r="SQ29" t="s">
        <v>4731</v>
      </c>
      <c r="SR29" t="s">
        <v>4731</v>
      </c>
      <c r="SS29" t="s">
        <v>4731</v>
      </c>
      <c r="ST29" t="s">
        <v>4731</v>
      </c>
      <c r="SU29" t="s">
        <v>4731</v>
      </c>
      <c r="SV29" t="s">
        <v>4731</v>
      </c>
      <c r="SW29" t="s">
        <v>4731</v>
      </c>
      <c r="SX29" t="s">
        <v>4731</v>
      </c>
      <c r="SY29" t="s">
        <v>4731</v>
      </c>
      <c r="SZ29" t="s">
        <v>4736</v>
      </c>
      <c r="TA29" t="s">
        <v>4736</v>
      </c>
      <c r="TB29" t="s">
        <v>4736</v>
      </c>
      <c r="TC29" t="s">
        <v>4736</v>
      </c>
      <c r="TD29" t="s">
        <v>4736</v>
      </c>
      <c r="TE29" t="s">
        <v>4736</v>
      </c>
      <c r="TF29" t="s">
        <v>4736</v>
      </c>
      <c r="TG29" t="s">
        <v>4736</v>
      </c>
      <c r="TH29" t="s">
        <v>4736</v>
      </c>
      <c r="TI29" t="s">
        <v>4736</v>
      </c>
      <c r="TJ29" t="s">
        <v>4736</v>
      </c>
      <c r="TK29" t="s">
        <v>4736</v>
      </c>
      <c r="TL29" t="s">
        <v>4736</v>
      </c>
      <c r="TM29" t="s">
        <v>4736</v>
      </c>
      <c r="TN29" t="s">
        <v>4736</v>
      </c>
      <c r="TO29" t="s">
        <v>4736</v>
      </c>
      <c r="TP29" t="s">
        <v>5147</v>
      </c>
      <c r="TQ29" t="s">
        <v>5147</v>
      </c>
      <c r="TR29" t="s">
        <v>5147</v>
      </c>
      <c r="TS29" t="s">
        <v>5147</v>
      </c>
      <c r="TT29" t="s">
        <v>5147</v>
      </c>
      <c r="TU29" t="s">
        <v>5147</v>
      </c>
      <c r="TV29" t="s">
        <v>5147</v>
      </c>
      <c r="TW29" t="s">
        <v>5147</v>
      </c>
      <c r="TX29" t="s">
        <v>5147</v>
      </c>
      <c r="TY29" t="s">
        <v>5147</v>
      </c>
      <c r="TZ29" t="s">
        <v>5147</v>
      </c>
      <c r="UA29" t="s">
        <v>5147</v>
      </c>
      <c r="UB29" t="s">
        <v>5147</v>
      </c>
      <c r="UC29" t="s">
        <v>5147</v>
      </c>
      <c r="UD29" t="s">
        <v>5147</v>
      </c>
      <c r="UE29" t="s">
        <v>5147</v>
      </c>
      <c r="UF29" t="s">
        <v>5147</v>
      </c>
      <c r="UG29" t="s">
        <v>5147</v>
      </c>
      <c r="UH29" t="s">
        <v>5147</v>
      </c>
      <c r="UI29" t="s">
        <v>5147</v>
      </c>
      <c r="UJ29" t="s">
        <v>5147</v>
      </c>
      <c r="UK29" t="s">
        <v>5147</v>
      </c>
      <c r="UL29" t="s">
        <v>5147</v>
      </c>
      <c r="UM29" t="s">
        <v>5147</v>
      </c>
      <c r="UN29" t="s">
        <v>5147</v>
      </c>
      <c r="UO29" t="s">
        <v>5147</v>
      </c>
      <c r="UP29" t="s">
        <v>5147</v>
      </c>
      <c r="UQ29" t="s">
        <v>5147</v>
      </c>
      <c r="UR29" t="s">
        <v>5147</v>
      </c>
      <c r="US29" t="s">
        <v>5340</v>
      </c>
      <c r="UT29" t="s">
        <v>5340</v>
      </c>
      <c r="UU29" t="s">
        <v>5340</v>
      </c>
      <c r="UV29" t="s">
        <v>5340</v>
      </c>
      <c r="UW29" t="s">
        <v>5340</v>
      </c>
      <c r="UX29" t="s">
        <v>5340</v>
      </c>
      <c r="UY29" t="s">
        <v>5340</v>
      </c>
      <c r="UZ29" t="s">
        <v>5340</v>
      </c>
      <c r="VA29" t="s">
        <v>5340</v>
      </c>
      <c r="VB29" t="s">
        <v>5340</v>
      </c>
      <c r="VC29" t="s">
        <v>5340</v>
      </c>
      <c r="VD29" t="s">
        <v>5340</v>
      </c>
      <c r="VE29" t="s">
        <v>5340</v>
      </c>
      <c r="VF29" t="s">
        <v>5340</v>
      </c>
      <c r="VG29" t="s">
        <v>4740</v>
      </c>
      <c r="VH29" t="s">
        <v>4740</v>
      </c>
      <c r="VI29" t="s">
        <v>4740</v>
      </c>
      <c r="VJ29" t="s">
        <v>4740</v>
      </c>
      <c r="VK29" t="s">
        <v>4740</v>
      </c>
      <c r="VL29" t="s">
        <v>4740</v>
      </c>
      <c r="VM29" t="s">
        <v>4740</v>
      </c>
      <c r="VN29" t="s">
        <v>4740</v>
      </c>
      <c r="VO29" t="s">
        <v>4740</v>
      </c>
      <c r="VP29" t="s">
        <v>4740</v>
      </c>
      <c r="VQ29" t="s">
        <v>4740</v>
      </c>
      <c r="VR29" t="s">
        <v>4740</v>
      </c>
      <c r="VS29" t="s">
        <v>4740</v>
      </c>
      <c r="VT29" t="s">
        <v>4740</v>
      </c>
      <c r="VU29" t="s">
        <v>4740</v>
      </c>
      <c r="VV29" t="s">
        <v>4740</v>
      </c>
      <c r="VW29" t="s">
        <v>4740</v>
      </c>
      <c r="VX29" t="s">
        <v>4740</v>
      </c>
      <c r="VY29" t="s">
        <v>4740</v>
      </c>
      <c r="VZ29" t="s">
        <v>4740</v>
      </c>
      <c r="WA29" t="s">
        <v>4740</v>
      </c>
      <c r="WB29" t="s">
        <v>4740</v>
      </c>
      <c r="WC29" t="s">
        <v>4740</v>
      </c>
      <c r="WD29" t="s">
        <v>4740</v>
      </c>
      <c r="WE29" t="s">
        <v>4740</v>
      </c>
      <c r="WF29" t="s">
        <v>4740</v>
      </c>
      <c r="WG29" t="s">
        <v>4740</v>
      </c>
      <c r="WH29" t="s">
        <v>4740</v>
      </c>
      <c r="WI29" t="s">
        <v>4740</v>
      </c>
      <c r="WJ29" t="s">
        <v>4740</v>
      </c>
      <c r="WK29" t="s">
        <v>4745</v>
      </c>
      <c r="WL29" t="s">
        <v>4745</v>
      </c>
      <c r="WM29" t="s">
        <v>4745</v>
      </c>
      <c r="WN29" t="s">
        <v>4745</v>
      </c>
      <c r="WO29" t="s">
        <v>4745</v>
      </c>
      <c r="WP29" t="s">
        <v>4745</v>
      </c>
      <c r="WQ29" t="s">
        <v>4745</v>
      </c>
      <c r="WR29" t="s">
        <v>4745</v>
      </c>
      <c r="WS29" t="s">
        <v>4745</v>
      </c>
      <c r="WT29" t="s">
        <v>4745</v>
      </c>
      <c r="WU29" t="s">
        <v>4745</v>
      </c>
      <c r="WV29" t="s">
        <v>4745</v>
      </c>
      <c r="WW29" t="s">
        <v>4745</v>
      </c>
      <c r="WX29" t="s">
        <v>4745</v>
      </c>
      <c r="WY29" t="s">
        <v>4745</v>
      </c>
      <c r="WZ29" t="s">
        <v>4745</v>
      </c>
      <c r="XA29" t="s">
        <v>4745</v>
      </c>
      <c r="XB29" t="s">
        <v>4745</v>
      </c>
      <c r="XC29" t="s">
        <v>4745</v>
      </c>
      <c r="XD29" t="s">
        <v>4745</v>
      </c>
      <c r="XE29" t="s">
        <v>4745</v>
      </c>
      <c r="XF29" t="s">
        <v>4745</v>
      </c>
      <c r="XG29" t="s">
        <v>4745</v>
      </c>
      <c r="XH29" t="s">
        <v>4745</v>
      </c>
      <c r="XI29" t="s">
        <v>4745</v>
      </c>
      <c r="XJ29" t="s">
        <v>4745</v>
      </c>
      <c r="XK29" t="s">
        <v>4745</v>
      </c>
      <c r="XL29" t="s">
        <v>4745</v>
      </c>
      <c r="XM29" t="s">
        <v>4745</v>
      </c>
      <c r="XN29" t="s">
        <v>4745</v>
      </c>
      <c r="XO29" t="s">
        <v>4747</v>
      </c>
      <c r="XP29" t="s">
        <v>4747</v>
      </c>
      <c r="XQ29" t="s">
        <v>4747</v>
      </c>
      <c r="XR29" t="s">
        <v>4747</v>
      </c>
      <c r="XS29" t="s">
        <v>4747</v>
      </c>
      <c r="XT29" t="s">
        <v>4747</v>
      </c>
      <c r="XU29" t="s">
        <v>4747</v>
      </c>
      <c r="XV29" t="s">
        <v>4747</v>
      </c>
      <c r="XW29" t="s">
        <v>4747</v>
      </c>
      <c r="XX29" t="s">
        <v>4747</v>
      </c>
      <c r="XY29" t="s">
        <v>4747</v>
      </c>
      <c r="XZ29" t="s">
        <v>4747</v>
      </c>
      <c r="YA29" t="s">
        <v>4747</v>
      </c>
      <c r="YB29" t="s">
        <v>4747</v>
      </c>
      <c r="YC29" t="s">
        <v>4747</v>
      </c>
      <c r="YD29" t="s">
        <v>4747</v>
      </c>
      <c r="YE29" t="s">
        <v>4747</v>
      </c>
      <c r="YF29" t="s">
        <v>4747</v>
      </c>
      <c r="YG29" t="s">
        <v>4747</v>
      </c>
      <c r="YH29" t="s">
        <v>4747</v>
      </c>
      <c r="YI29" t="s">
        <v>4747</v>
      </c>
      <c r="YJ29" t="s">
        <v>4747</v>
      </c>
      <c r="YK29" t="s">
        <v>4747</v>
      </c>
      <c r="YL29" t="s">
        <v>4747</v>
      </c>
      <c r="YM29" t="s">
        <v>4747</v>
      </c>
      <c r="YN29" t="s">
        <v>4747</v>
      </c>
      <c r="YO29" t="s">
        <v>4747</v>
      </c>
      <c r="YP29" t="s">
        <v>4747</v>
      </c>
      <c r="YQ29" t="s">
        <v>4747</v>
      </c>
      <c r="YR29" t="s">
        <v>4752</v>
      </c>
      <c r="YS29" t="s">
        <v>4752</v>
      </c>
      <c r="YT29" t="s">
        <v>4752</v>
      </c>
      <c r="YU29" t="s">
        <v>4752</v>
      </c>
      <c r="YV29" t="s">
        <v>4752</v>
      </c>
      <c r="YW29" t="s">
        <v>4752</v>
      </c>
      <c r="YX29" t="s">
        <v>4752</v>
      </c>
      <c r="YY29" t="s">
        <v>4752</v>
      </c>
      <c r="YZ29" t="s">
        <v>4752</v>
      </c>
      <c r="ZA29" t="s">
        <v>4752</v>
      </c>
      <c r="ZB29" t="s">
        <v>4752</v>
      </c>
      <c r="ZC29" t="s">
        <v>4752</v>
      </c>
      <c r="ZD29" t="s">
        <v>4752</v>
      </c>
      <c r="ZE29" t="s">
        <v>4752</v>
      </c>
      <c r="ZF29" t="s">
        <v>4752</v>
      </c>
      <c r="ZG29" t="s">
        <v>4752</v>
      </c>
      <c r="ZH29" t="s">
        <v>4752</v>
      </c>
      <c r="ZI29" t="s">
        <v>4752</v>
      </c>
      <c r="ZJ29" t="s">
        <v>4752</v>
      </c>
      <c r="ZK29" t="s">
        <v>4752</v>
      </c>
      <c r="ZL29" t="s">
        <v>4752</v>
      </c>
      <c r="ZM29" t="s">
        <v>4752</v>
      </c>
      <c r="ZN29" t="s">
        <v>4752</v>
      </c>
      <c r="ZO29" t="s">
        <v>4752</v>
      </c>
      <c r="ZP29" t="s">
        <v>4752</v>
      </c>
      <c r="ZQ29" t="s">
        <v>4752</v>
      </c>
      <c r="ZR29" t="s">
        <v>4752</v>
      </c>
      <c r="ZS29" t="s">
        <v>4752</v>
      </c>
      <c r="ZT29" t="s">
        <v>4752</v>
      </c>
      <c r="ZU29" t="s">
        <v>4752</v>
      </c>
      <c r="ZV29" t="s">
        <v>4757</v>
      </c>
      <c r="ZW29" t="s">
        <v>4757</v>
      </c>
      <c r="ZX29" t="s">
        <v>4757</v>
      </c>
      <c r="ZY29" t="s">
        <v>4757</v>
      </c>
      <c r="ZZ29" t="s">
        <v>4757</v>
      </c>
      <c r="AAA29" t="s">
        <v>4757</v>
      </c>
      <c r="AAB29" t="s">
        <v>4757</v>
      </c>
      <c r="AAC29" t="s">
        <v>4757</v>
      </c>
      <c r="AAD29" t="s">
        <v>4757</v>
      </c>
      <c r="AAE29" t="s">
        <v>4757</v>
      </c>
      <c r="AAF29" t="s">
        <v>4757</v>
      </c>
      <c r="AAG29" t="s">
        <v>4757</v>
      </c>
      <c r="AAH29" t="s">
        <v>4757</v>
      </c>
      <c r="AAI29" t="s">
        <v>4757</v>
      </c>
      <c r="AAJ29" t="s">
        <v>4757</v>
      </c>
      <c r="AAK29" t="s">
        <v>4757</v>
      </c>
      <c r="AAL29" t="s">
        <v>4757</v>
      </c>
      <c r="AAM29" t="s">
        <v>4757</v>
      </c>
      <c r="AAN29" t="s">
        <v>4757</v>
      </c>
      <c r="AAO29" t="s">
        <v>4757</v>
      </c>
      <c r="AAP29" t="s">
        <v>4757</v>
      </c>
      <c r="AAQ29" t="s">
        <v>4757</v>
      </c>
      <c r="AAR29" t="s">
        <v>4757</v>
      </c>
      <c r="AAS29" t="s">
        <v>4757</v>
      </c>
      <c r="AAT29" t="s">
        <v>4757</v>
      </c>
      <c r="AAU29" t="s">
        <v>4757</v>
      </c>
      <c r="AAV29" t="s">
        <v>4757</v>
      </c>
      <c r="AAW29" t="s">
        <v>4757</v>
      </c>
      <c r="AAX29" t="s">
        <v>4757</v>
      </c>
      <c r="AAY29" t="s">
        <v>4579</v>
      </c>
      <c r="AAZ29" t="s">
        <v>4579</v>
      </c>
      <c r="ABA29" t="s">
        <v>4579</v>
      </c>
      <c r="ABB29" t="s">
        <v>4579</v>
      </c>
      <c r="ABC29" t="s">
        <v>4579</v>
      </c>
      <c r="ABD29" t="s">
        <v>4579</v>
      </c>
      <c r="ABE29" t="s">
        <v>4579</v>
      </c>
      <c r="ABF29" t="s">
        <v>4579</v>
      </c>
      <c r="ABG29" t="s">
        <v>4579</v>
      </c>
      <c r="ABH29" t="s">
        <v>4579</v>
      </c>
      <c r="ABI29" t="s">
        <v>4579</v>
      </c>
      <c r="ABJ29" t="s">
        <v>4579</v>
      </c>
      <c r="ABK29" t="s">
        <v>4579</v>
      </c>
      <c r="ABL29" t="s">
        <v>4579</v>
      </c>
      <c r="ABM29" t="s">
        <v>4579</v>
      </c>
      <c r="ABN29" t="s">
        <v>4579</v>
      </c>
      <c r="ABO29" t="s">
        <v>4579</v>
      </c>
      <c r="ABP29" t="s">
        <v>4579</v>
      </c>
      <c r="ABQ29" t="s">
        <v>4579</v>
      </c>
      <c r="ABR29" t="s">
        <v>4579</v>
      </c>
      <c r="ABS29" t="s">
        <v>4579</v>
      </c>
      <c r="ABT29" t="s">
        <v>4579</v>
      </c>
      <c r="ABU29" t="s">
        <v>4579</v>
      </c>
      <c r="ABV29" t="s">
        <v>4579</v>
      </c>
      <c r="ABW29" t="s">
        <v>4579</v>
      </c>
      <c r="ABX29" t="s">
        <v>4579</v>
      </c>
      <c r="ABY29" t="s">
        <v>4579</v>
      </c>
      <c r="ABZ29" t="s">
        <v>4579</v>
      </c>
      <c r="ACA29" t="s">
        <v>4579</v>
      </c>
      <c r="ACB29" t="s">
        <v>4579</v>
      </c>
      <c r="ACC29" t="s">
        <v>4713</v>
      </c>
      <c r="ACD29" t="s">
        <v>4713</v>
      </c>
      <c r="ACE29" t="s">
        <v>4713</v>
      </c>
      <c r="ACF29" t="s">
        <v>4713</v>
      </c>
      <c r="ACG29" t="s">
        <v>4713</v>
      </c>
      <c r="ACH29" t="s">
        <v>4713</v>
      </c>
      <c r="ACI29" t="s">
        <v>4713</v>
      </c>
      <c r="ACJ29" t="s">
        <v>4713</v>
      </c>
      <c r="ACK29" t="s">
        <v>4713</v>
      </c>
      <c r="ACL29" t="s">
        <v>4713</v>
      </c>
      <c r="ACM29" t="s">
        <v>4713</v>
      </c>
      <c r="ACN29" t="s">
        <v>4713</v>
      </c>
      <c r="ACO29" t="s">
        <v>4713</v>
      </c>
      <c r="ACP29" t="s">
        <v>4713</v>
      </c>
      <c r="ACQ29" t="s">
        <v>4713</v>
      </c>
      <c r="ACR29" t="s">
        <v>4713</v>
      </c>
      <c r="ACS29" t="s">
        <v>4713</v>
      </c>
      <c r="ACT29" t="s">
        <v>4713</v>
      </c>
      <c r="ACU29" t="s">
        <v>4713</v>
      </c>
      <c r="ACV29" t="s">
        <v>4713</v>
      </c>
      <c r="ACW29" t="s">
        <v>4713</v>
      </c>
      <c r="ACX29" t="s">
        <v>4713</v>
      </c>
      <c r="ACY29" t="s">
        <v>4713</v>
      </c>
      <c r="ACZ29" t="s">
        <v>4713</v>
      </c>
      <c r="ADA29" t="s">
        <v>4713</v>
      </c>
      <c r="ADB29" t="s">
        <v>4713</v>
      </c>
      <c r="ADC29" t="s">
        <v>4713</v>
      </c>
      <c r="ADD29" t="s">
        <v>4713</v>
      </c>
      <c r="ADE29" t="s">
        <v>4713</v>
      </c>
      <c r="ADF29" t="s">
        <v>4720</v>
      </c>
      <c r="ADG29" t="s">
        <v>4720</v>
      </c>
      <c r="ADH29" t="s">
        <v>4720</v>
      </c>
      <c r="ADI29" t="s">
        <v>4720</v>
      </c>
      <c r="ADJ29" t="s">
        <v>4720</v>
      </c>
      <c r="ADK29" t="s">
        <v>4720</v>
      </c>
      <c r="ADL29" t="s">
        <v>4720</v>
      </c>
      <c r="ADM29" t="s">
        <v>4720</v>
      </c>
      <c r="ADN29" t="s">
        <v>4720</v>
      </c>
      <c r="ADO29" t="s">
        <v>4720</v>
      </c>
      <c r="ADP29" t="s">
        <v>4720</v>
      </c>
    </row>
    <row r="30" spans="1:796">
      <c r="A30" t="s">
        <v>4118</v>
      </c>
      <c r="B30">
        <v>30</v>
      </c>
      <c r="C30" t="s">
        <v>4334</v>
      </c>
      <c r="D30">
        <v>79</v>
      </c>
      <c r="E30">
        <v>530</v>
      </c>
      <c r="F30">
        <v>530</v>
      </c>
      <c r="G30">
        <v>530</v>
      </c>
      <c r="H30">
        <v>530</v>
      </c>
      <c r="I30">
        <v>530</v>
      </c>
      <c r="J30">
        <v>530</v>
      </c>
      <c r="K30">
        <v>530</v>
      </c>
      <c r="L30">
        <v>530</v>
      </c>
      <c r="M30">
        <v>530</v>
      </c>
      <c r="N30">
        <v>530</v>
      </c>
      <c r="O30">
        <v>530</v>
      </c>
      <c r="P30">
        <v>530</v>
      </c>
      <c r="Q30">
        <v>530</v>
      </c>
      <c r="R30">
        <v>530</v>
      </c>
      <c r="S30">
        <v>530</v>
      </c>
      <c r="T30">
        <v>530</v>
      </c>
      <c r="U30">
        <v>530</v>
      </c>
      <c r="V30">
        <v>530</v>
      </c>
      <c r="W30">
        <v>530</v>
      </c>
      <c r="X30">
        <v>530</v>
      </c>
      <c r="Y30">
        <v>530</v>
      </c>
      <c r="Z30">
        <v>530</v>
      </c>
      <c r="AA30">
        <v>530</v>
      </c>
      <c r="AB30">
        <v>530</v>
      </c>
      <c r="AC30">
        <v>530</v>
      </c>
      <c r="AD30">
        <v>530</v>
      </c>
      <c r="AE30">
        <v>530</v>
      </c>
      <c r="AF30">
        <v>530</v>
      </c>
      <c r="AG30">
        <v>530</v>
      </c>
      <c r="AH30">
        <v>530</v>
      </c>
      <c r="AI30">
        <v>530</v>
      </c>
      <c r="AJ30">
        <v>530</v>
      </c>
      <c r="AK30">
        <v>530</v>
      </c>
      <c r="AL30">
        <v>530</v>
      </c>
      <c r="AM30">
        <v>530</v>
      </c>
      <c r="AN30">
        <v>530</v>
      </c>
      <c r="AO30">
        <v>530</v>
      </c>
      <c r="AP30">
        <v>530</v>
      </c>
      <c r="AQ30">
        <v>530</v>
      </c>
      <c r="AR30">
        <v>530</v>
      </c>
      <c r="AS30">
        <v>530</v>
      </c>
      <c r="AT30">
        <v>530</v>
      </c>
      <c r="AU30">
        <v>530</v>
      </c>
      <c r="AV30">
        <v>530</v>
      </c>
      <c r="AW30">
        <v>530</v>
      </c>
      <c r="AX30">
        <v>530</v>
      </c>
      <c r="AY30">
        <v>530</v>
      </c>
      <c r="AZ30">
        <v>530</v>
      </c>
      <c r="BA30">
        <v>530</v>
      </c>
      <c r="BB30">
        <v>530</v>
      </c>
      <c r="BC30">
        <v>530</v>
      </c>
      <c r="BD30">
        <v>530</v>
      </c>
      <c r="BE30">
        <v>530</v>
      </c>
      <c r="BF30">
        <v>530</v>
      </c>
      <c r="BG30">
        <v>530</v>
      </c>
      <c r="BH30">
        <v>530</v>
      </c>
      <c r="BI30">
        <v>530</v>
      </c>
      <c r="BJ30">
        <v>530</v>
      </c>
      <c r="BK30">
        <v>530</v>
      </c>
      <c r="BL30">
        <v>530</v>
      </c>
      <c r="BM30">
        <v>530</v>
      </c>
      <c r="BN30">
        <v>530</v>
      </c>
      <c r="BO30">
        <v>530</v>
      </c>
      <c r="BP30">
        <v>530</v>
      </c>
      <c r="BQ30">
        <v>530</v>
      </c>
      <c r="BR30">
        <v>530</v>
      </c>
      <c r="BS30">
        <v>530</v>
      </c>
      <c r="BT30">
        <v>530</v>
      </c>
      <c r="BU30">
        <v>530</v>
      </c>
      <c r="BV30">
        <v>530</v>
      </c>
      <c r="BW30">
        <v>530</v>
      </c>
      <c r="BX30">
        <v>530</v>
      </c>
      <c r="BY30">
        <v>530</v>
      </c>
      <c r="BZ30">
        <v>530</v>
      </c>
      <c r="CA30">
        <v>530</v>
      </c>
      <c r="CB30">
        <v>530</v>
      </c>
      <c r="CC30">
        <v>530</v>
      </c>
      <c r="CD30">
        <v>530</v>
      </c>
      <c r="CE30">
        <v>530</v>
      </c>
      <c r="CF30">
        <v>530</v>
      </c>
      <c r="CG30">
        <v>530</v>
      </c>
      <c r="CH30">
        <v>530</v>
      </c>
      <c r="CI30">
        <v>530</v>
      </c>
      <c r="CJ30">
        <v>530</v>
      </c>
      <c r="CK30">
        <v>530</v>
      </c>
      <c r="CL30">
        <v>530</v>
      </c>
      <c r="CM30">
        <v>530</v>
      </c>
      <c r="CN30">
        <v>530</v>
      </c>
      <c r="CO30">
        <v>530</v>
      </c>
      <c r="CP30">
        <v>530</v>
      </c>
      <c r="CQ30">
        <v>530</v>
      </c>
      <c r="CR30">
        <v>530</v>
      </c>
      <c r="CS30">
        <v>530</v>
      </c>
      <c r="CT30">
        <v>530</v>
      </c>
      <c r="CU30">
        <v>530</v>
      </c>
      <c r="CV30">
        <v>530</v>
      </c>
      <c r="CW30">
        <v>530</v>
      </c>
      <c r="CX30">
        <v>530</v>
      </c>
      <c r="CY30">
        <v>530</v>
      </c>
      <c r="CZ30">
        <v>530</v>
      </c>
      <c r="DA30">
        <v>530</v>
      </c>
      <c r="DB30">
        <v>530</v>
      </c>
      <c r="DC30">
        <v>531</v>
      </c>
      <c r="DD30">
        <v>531</v>
      </c>
      <c r="DE30">
        <v>531</v>
      </c>
      <c r="DF30">
        <v>531</v>
      </c>
      <c r="DG30">
        <v>531</v>
      </c>
      <c r="DH30">
        <v>531</v>
      </c>
      <c r="DI30">
        <v>531</v>
      </c>
      <c r="DJ30">
        <v>531</v>
      </c>
      <c r="DK30">
        <v>531</v>
      </c>
      <c r="DL30">
        <v>531</v>
      </c>
      <c r="DM30">
        <v>531</v>
      </c>
      <c r="DN30">
        <v>531</v>
      </c>
      <c r="DO30">
        <v>531</v>
      </c>
      <c r="DP30">
        <v>531</v>
      </c>
      <c r="DQ30">
        <v>531</v>
      </c>
      <c r="DR30">
        <v>531</v>
      </c>
      <c r="DS30">
        <v>531</v>
      </c>
      <c r="DT30">
        <v>531</v>
      </c>
      <c r="DU30">
        <v>531</v>
      </c>
      <c r="DV30">
        <v>531</v>
      </c>
      <c r="DW30">
        <v>531</v>
      </c>
      <c r="DX30">
        <v>531</v>
      </c>
      <c r="DY30">
        <v>531</v>
      </c>
      <c r="DZ30">
        <v>531</v>
      </c>
      <c r="EA30">
        <v>531</v>
      </c>
      <c r="EB30">
        <v>531</v>
      </c>
      <c r="EC30">
        <v>531</v>
      </c>
      <c r="ED30">
        <v>531</v>
      </c>
      <c r="EE30">
        <v>531</v>
      </c>
      <c r="EF30">
        <v>531</v>
      </c>
      <c r="EG30">
        <v>531</v>
      </c>
      <c r="EH30">
        <v>531</v>
      </c>
      <c r="EI30">
        <v>531</v>
      </c>
      <c r="EJ30">
        <v>531</v>
      </c>
      <c r="EK30">
        <v>531</v>
      </c>
      <c r="EL30">
        <v>531</v>
      </c>
      <c r="EM30">
        <v>531</v>
      </c>
      <c r="EN30">
        <v>531</v>
      </c>
      <c r="EO30">
        <v>531</v>
      </c>
      <c r="EP30">
        <v>531</v>
      </c>
      <c r="EQ30">
        <v>531</v>
      </c>
      <c r="ER30">
        <v>531</v>
      </c>
      <c r="ES30">
        <v>531</v>
      </c>
      <c r="ET30">
        <v>531</v>
      </c>
      <c r="EU30">
        <v>531</v>
      </c>
      <c r="EV30">
        <v>531</v>
      </c>
      <c r="EW30">
        <v>531</v>
      </c>
      <c r="EX30">
        <v>531</v>
      </c>
      <c r="EY30">
        <v>531</v>
      </c>
      <c r="EZ30">
        <v>531</v>
      </c>
      <c r="FA30">
        <v>531</v>
      </c>
      <c r="FB30">
        <v>531</v>
      </c>
      <c r="FC30">
        <v>531</v>
      </c>
      <c r="FD30">
        <v>531</v>
      </c>
      <c r="FE30">
        <v>531</v>
      </c>
      <c r="FF30">
        <v>531</v>
      </c>
      <c r="FG30">
        <v>531</v>
      </c>
      <c r="FH30">
        <v>531</v>
      </c>
      <c r="FI30">
        <v>531</v>
      </c>
      <c r="FJ30">
        <v>531</v>
      </c>
      <c r="FK30">
        <v>531</v>
      </c>
      <c r="FL30">
        <v>531</v>
      </c>
      <c r="FM30">
        <v>531</v>
      </c>
      <c r="FN30">
        <v>531</v>
      </c>
      <c r="FO30">
        <v>531</v>
      </c>
      <c r="FP30">
        <v>531</v>
      </c>
      <c r="FQ30">
        <v>531</v>
      </c>
      <c r="FR30">
        <v>531</v>
      </c>
      <c r="FS30">
        <v>531</v>
      </c>
      <c r="FT30">
        <v>531</v>
      </c>
      <c r="FU30">
        <v>531</v>
      </c>
      <c r="FV30">
        <v>531</v>
      </c>
      <c r="FW30">
        <v>531</v>
      </c>
      <c r="FX30">
        <v>531</v>
      </c>
      <c r="FY30">
        <v>531</v>
      </c>
      <c r="FZ30">
        <v>531</v>
      </c>
      <c r="GA30">
        <v>531</v>
      </c>
      <c r="GB30">
        <v>531</v>
      </c>
      <c r="GC30">
        <v>531</v>
      </c>
      <c r="GD30">
        <v>531</v>
      </c>
      <c r="GE30">
        <v>531</v>
      </c>
      <c r="GF30">
        <v>531</v>
      </c>
      <c r="GG30">
        <v>531</v>
      </c>
      <c r="GH30">
        <v>531</v>
      </c>
      <c r="GI30">
        <v>531</v>
      </c>
      <c r="GJ30">
        <v>531</v>
      </c>
      <c r="GK30">
        <v>531</v>
      </c>
      <c r="GL30">
        <v>531</v>
      </c>
      <c r="GM30">
        <v>531</v>
      </c>
      <c r="GN30">
        <v>531</v>
      </c>
      <c r="GO30">
        <v>531</v>
      </c>
      <c r="GP30">
        <v>531</v>
      </c>
      <c r="GQ30">
        <v>531</v>
      </c>
      <c r="GR30">
        <v>531</v>
      </c>
      <c r="GS30">
        <v>531</v>
      </c>
      <c r="GT30">
        <v>531</v>
      </c>
      <c r="GU30">
        <v>531</v>
      </c>
      <c r="GV30">
        <v>531</v>
      </c>
      <c r="GW30">
        <v>531</v>
      </c>
      <c r="GX30">
        <v>531</v>
      </c>
      <c r="GY30">
        <v>531</v>
      </c>
      <c r="GZ30">
        <v>531</v>
      </c>
      <c r="HA30">
        <v>531</v>
      </c>
      <c r="HB30">
        <v>531</v>
      </c>
      <c r="HC30">
        <v>531</v>
      </c>
      <c r="HD30">
        <v>531</v>
      </c>
      <c r="HE30">
        <v>531</v>
      </c>
      <c r="HF30">
        <v>531</v>
      </c>
      <c r="HG30">
        <v>531</v>
      </c>
      <c r="HH30">
        <v>531</v>
      </c>
      <c r="HI30">
        <v>531</v>
      </c>
      <c r="HJ30">
        <v>531</v>
      </c>
      <c r="HK30">
        <v>531</v>
      </c>
      <c r="HL30">
        <v>531</v>
      </c>
      <c r="HM30">
        <v>531</v>
      </c>
      <c r="HN30">
        <v>531</v>
      </c>
      <c r="HO30">
        <v>531</v>
      </c>
      <c r="HP30">
        <v>531</v>
      </c>
      <c r="HQ30">
        <v>531</v>
      </c>
      <c r="HR30">
        <v>531</v>
      </c>
      <c r="HS30">
        <v>531</v>
      </c>
      <c r="HT30">
        <v>531</v>
      </c>
      <c r="HU30">
        <v>531</v>
      </c>
      <c r="HV30">
        <v>531</v>
      </c>
      <c r="HW30">
        <v>531</v>
      </c>
      <c r="HX30">
        <v>531</v>
      </c>
      <c r="HY30">
        <v>531</v>
      </c>
      <c r="HZ30">
        <v>531</v>
      </c>
      <c r="IA30">
        <v>531</v>
      </c>
      <c r="IB30">
        <v>531</v>
      </c>
      <c r="IC30">
        <v>531</v>
      </c>
      <c r="ID30">
        <v>531</v>
      </c>
      <c r="IE30">
        <v>531</v>
      </c>
      <c r="IF30">
        <v>531</v>
      </c>
      <c r="IG30">
        <v>531</v>
      </c>
      <c r="IH30">
        <v>531</v>
      </c>
      <c r="II30">
        <v>531</v>
      </c>
      <c r="IJ30">
        <v>531</v>
      </c>
      <c r="IK30">
        <v>531</v>
      </c>
      <c r="IL30">
        <v>531</v>
      </c>
      <c r="IM30">
        <v>531</v>
      </c>
      <c r="IN30">
        <v>531</v>
      </c>
      <c r="IO30">
        <v>531</v>
      </c>
      <c r="IP30">
        <v>531</v>
      </c>
      <c r="IQ30">
        <v>531</v>
      </c>
      <c r="IR30">
        <v>531</v>
      </c>
      <c r="IS30">
        <v>531</v>
      </c>
      <c r="IT30">
        <v>531</v>
      </c>
      <c r="IU30">
        <v>531</v>
      </c>
      <c r="IV30">
        <v>531</v>
      </c>
      <c r="IW30">
        <v>531</v>
      </c>
      <c r="IX30">
        <v>531</v>
      </c>
      <c r="IY30">
        <v>531</v>
      </c>
      <c r="IZ30">
        <v>531</v>
      </c>
      <c r="JA30">
        <v>531</v>
      </c>
      <c r="JB30">
        <v>531</v>
      </c>
      <c r="JC30">
        <v>531</v>
      </c>
      <c r="JD30">
        <v>531</v>
      </c>
      <c r="JE30">
        <v>531</v>
      </c>
      <c r="JF30">
        <v>531</v>
      </c>
      <c r="JG30">
        <v>531</v>
      </c>
      <c r="JH30">
        <v>531</v>
      </c>
      <c r="JI30">
        <v>531</v>
      </c>
      <c r="JJ30">
        <v>531</v>
      </c>
      <c r="JK30">
        <v>531</v>
      </c>
      <c r="JL30">
        <v>531</v>
      </c>
      <c r="JM30">
        <v>531</v>
      </c>
      <c r="JN30">
        <v>531</v>
      </c>
      <c r="JO30">
        <v>531</v>
      </c>
      <c r="JP30">
        <v>531</v>
      </c>
      <c r="JQ30">
        <v>531</v>
      </c>
      <c r="JR30">
        <v>531</v>
      </c>
      <c r="JS30">
        <v>531</v>
      </c>
      <c r="JT30">
        <v>531</v>
      </c>
      <c r="JU30">
        <v>531</v>
      </c>
      <c r="JV30">
        <v>531</v>
      </c>
      <c r="JW30">
        <v>531</v>
      </c>
      <c r="JX30">
        <v>531</v>
      </c>
      <c r="JY30">
        <v>531</v>
      </c>
      <c r="JZ30">
        <v>531</v>
      </c>
      <c r="KA30">
        <v>531</v>
      </c>
      <c r="KB30">
        <v>531</v>
      </c>
      <c r="KC30">
        <v>531</v>
      </c>
      <c r="KD30">
        <v>531</v>
      </c>
      <c r="KE30">
        <v>531</v>
      </c>
      <c r="KF30">
        <v>531</v>
      </c>
      <c r="KG30">
        <v>531</v>
      </c>
      <c r="KH30">
        <v>531</v>
      </c>
      <c r="KI30">
        <v>531</v>
      </c>
      <c r="KJ30">
        <v>531</v>
      </c>
      <c r="KK30">
        <v>531</v>
      </c>
      <c r="KL30">
        <v>531</v>
      </c>
      <c r="KM30">
        <v>531</v>
      </c>
      <c r="KN30">
        <v>531</v>
      </c>
      <c r="KO30">
        <v>531</v>
      </c>
      <c r="KP30">
        <v>531</v>
      </c>
      <c r="KQ30">
        <v>531</v>
      </c>
      <c r="KR30">
        <v>531</v>
      </c>
      <c r="KS30">
        <v>531</v>
      </c>
      <c r="KT30">
        <v>531</v>
      </c>
      <c r="KU30">
        <v>531</v>
      </c>
      <c r="KV30">
        <v>531</v>
      </c>
      <c r="KW30">
        <v>531</v>
      </c>
      <c r="KX30">
        <v>531</v>
      </c>
      <c r="KY30">
        <v>531</v>
      </c>
      <c r="KZ30">
        <v>531</v>
      </c>
      <c r="LA30">
        <v>531</v>
      </c>
      <c r="LB30">
        <v>531</v>
      </c>
      <c r="LC30">
        <v>531</v>
      </c>
      <c r="LD30">
        <v>531</v>
      </c>
      <c r="LE30">
        <v>531</v>
      </c>
      <c r="LF30">
        <v>531</v>
      </c>
      <c r="LG30">
        <v>531</v>
      </c>
      <c r="LH30">
        <v>531</v>
      </c>
      <c r="LI30">
        <v>531</v>
      </c>
      <c r="LJ30">
        <v>531</v>
      </c>
      <c r="LK30">
        <v>531</v>
      </c>
      <c r="LL30">
        <v>531</v>
      </c>
      <c r="LM30">
        <v>531</v>
      </c>
      <c r="LN30">
        <v>531</v>
      </c>
      <c r="LO30">
        <v>531</v>
      </c>
      <c r="LP30">
        <v>531</v>
      </c>
      <c r="LQ30">
        <v>531</v>
      </c>
      <c r="LR30">
        <v>531</v>
      </c>
      <c r="LS30">
        <v>531</v>
      </c>
      <c r="LT30">
        <v>531</v>
      </c>
      <c r="LU30">
        <v>531</v>
      </c>
      <c r="LV30">
        <v>531</v>
      </c>
      <c r="LW30">
        <v>531</v>
      </c>
      <c r="LX30">
        <v>531</v>
      </c>
      <c r="LY30">
        <v>531</v>
      </c>
      <c r="LZ30">
        <v>531</v>
      </c>
      <c r="MA30">
        <v>531</v>
      </c>
      <c r="MB30">
        <v>531</v>
      </c>
      <c r="MC30">
        <v>531</v>
      </c>
      <c r="MD30">
        <v>531</v>
      </c>
      <c r="ME30">
        <v>531</v>
      </c>
      <c r="MF30">
        <v>531</v>
      </c>
      <c r="MG30">
        <v>531</v>
      </c>
      <c r="MH30">
        <v>531</v>
      </c>
      <c r="MI30">
        <v>531</v>
      </c>
      <c r="MJ30">
        <v>531</v>
      </c>
      <c r="MK30">
        <v>531</v>
      </c>
      <c r="ML30">
        <v>531</v>
      </c>
      <c r="MM30">
        <v>531</v>
      </c>
      <c r="MN30">
        <v>531</v>
      </c>
      <c r="MO30">
        <v>531</v>
      </c>
      <c r="MP30">
        <v>531</v>
      </c>
      <c r="MQ30">
        <v>531</v>
      </c>
      <c r="MR30">
        <v>531</v>
      </c>
      <c r="MS30">
        <v>531</v>
      </c>
      <c r="MT30">
        <v>531</v>
      </c>
      <c r="MU30">
        <v>531</v>
      </c>
      <c r="MV30">
        <v>531</v>
      </c>
      <c r="MW30">
        <v>531</v>
      </c>
      <c r="MX30">
        <v>531</v>
      </c>
      <c r="MY30">
        <v>531</v>
      </c>
      <c r="MZ30">
        <v>531</v>
      </c>
      <c r="NA30">
        <v>531</v>
      </c>
      <c r="NB30">
        <v>531</v>
      </c>
      <c r="NC30">
        <v>531</v>
      </c>
      <c r="ND30">
        <v>531</v>
      </c>
      <c r="NE30">
        <v>531</v>
      </c>
      <c r="NF30">
        <v>531</v>
      </c>
      <c r="NG30">
        <v>531</v>
      </c>
      <c r="NH30">
        <v>531</v>
      </c>
      <c r="NI30">
        <v>531</v>
      </c>
      <c r="NJ30">
        <v>531</v>
      </c>
      <c r="NK30">
        <v>531</v>
      </c>
      <c r="NL30">
        <v>531</v>
      </c>
      <c r="NM30">
        <v>531</v>
      </c>
      <c r="NN30">
        <v>531</v>
      </c>
      <c r="NO30">
        <v>531</v>
      </c>
      <c r="NP30">
        <v>531</v>
      </c>
      <c r="NQ30">
        <v>531</v>
      </c>
      <c r="NR30">
        <v>531</v>
      </c>
      <c r="NS30">
        <v>531</v>
      </c>
      <c r="NT30">
        <v>531</v>
      </c>
      <c r="NU30">
        <v>531</v>
      </c>
      <c r="NV30">
        <v>531</v>
      </c>
      <c r="NW30">
        <v>531</v>
      </c>
      <c r="NX30">
        <v>531</v>
      </c>
      <c r="NY30">
        <v>531</v>
      </c>
      <c r="NZ30">
        <v>531</v>
      </c>
      <c r="OA30">
        <v>531</v>
      </c>
      <c r="OB30">
        <v>531</v>
      </c>
      <c r="OC30">
        <v>531</v>
      </c>
      <c r="OD30">
        <v>531</v>
      </c>
      <c r="OE30">
        <v>531</v>
      </c>
      <c r="OF30">
        <v>531</v>
      </c>
      <c r="OG30">
        <v>531</v>
      </c>
      <c r="OH30">
        <v>531</v>
      </c>
      <c r="OI30">
        <v>531</v>
      </c>
      <c r="OJ30">
        <v>531</v>
      </c>
      <c r="OK30">
        <v>531</v>
      </c>
      <c r="OL30">
        <v>531</v>
      </c>
      <c r="OM30">
        <v>531</v>
      </c>
      <c r="ON30">
        <v>531</v>
      </c>
      <c r="OO30">
        <v>531</v>
      </c>
      <c r="OP30">
        <v>531</v>
      </c>
      <c r="OQ30">
        <v>531</v>
      </c>
      <c r="OR30">
        <v>531</v>
      </c>
      <c r="OS30">
        <v>531</v>
      </c>
      <c r="OT30">
        <v>531</v>
      </c>
      <c r="OU30">
        <v>531</v>
      </c>
      <c r="OV30">
        <v>531</v>
      </c>
      <c r="OW30">
        <v>531</v>
      </c>
      <c r="OX30">
        <v>531</v>
      </c>
      <c r="OY30">
        <v>531</v>
      </c>
      <c r="OZ30">
        <v>531</v>
      </c>
      <c r="PA30">
        <v>531</v>
      </c>
      <c r="PB30">
        <v>531</v>
      </c>
      <c r="PC30">
        <v>531</v>
      </c>
      <c r="PD30">
        <v>531</v>
      </c>
      <c r="PE30">
        <v>531</v>
      </c>
      <c r="PF30">
        <v>531</v>
      </c>
      <c r="PG30">
        <v>531</v>
      </c>
      <c r="PH30">
        <v>531</v>
      </c>
      <c r="PI30">
        <v>531</v>
      </c>
      <c r="PJ30">
        <v>531</v>
      </c>
      <c r="PK30">
        <v>531</v>
      </c>
      <c r="PL30">
        <v>531</v>
      </c>
      <c r="PM30">
        <v>531</v>
      </c>
      <c r="PN30">
        <v>531</v>
      </c>
      <c r="PO30">
        <v>531</v>
      </c>
      <c r="PP30">
        <v>531</v>
      </c>
      <c r="PQ30">
        <v>531</v>
      </c>
      <c r="PR30">
        <v>531</v>
      </c>
      <c r="PS30">
        <v>531</v>
      </c>
      <c r="PT30">
        <v>531</v>
      </c>
      <c r="PU30">
        <v>531</v>
      </c>
      <c r="PV30">
        <v>531</v>
      </c>
      <c r="PW30">
        <v>531</v>
      </c>
      <c r="PX30">
        <v>531</v>
      </c>
      <c r="PY30">
        <v>531</v>
      </c>
      <c r="PZ30">
        <v>531</v>
      </c>
      <c r="QA30">
        <v>531</v>
      </c>
      <c r="QB30">
        <v>531</v>
      </c>
      <c r="QC30">
        <v>531</v>
      </c>
      <c r="QD30">
        <v>531</v>
      </c>
      <c r="QE30">
        <v>531</v>
      </c>
      <c r="QF30">
        <v>531</v>
      </c>
      <c r="QG30">
        <v>531</v>
      </c>
      <c r="QH30">
        <v>531</v>
      </c>
      <c r="QI30">
        <v>531</v>
      </c>
      <c r="QJ30">
        <v>531</v>
      </c>
      <c r="QK30">
        <v>531</v>
      </c>
      <c r="QL30">
        <v>531</v>
      </c>
      <c r="QM30">
        <v>531</v>
      </c>
      <c r="QN30">
        <v>531</v>
      </c>
      <c r="QO30">
        <v>531</v>
      </c>
      <c r="QP30">
        <v>531</v>
      </c>
      <c r="QQ30">
        <v>531</v>
      </c>
      <c r="QR30">
        <v>531</v>
      </c>
      <c r="QS30">
        <v>532</v>
      </c>
      <c r="QT30">
        <v>532</v>
      </c>
      <c r="QU30">
        <v>532</v>
      </c>
      <c r="QV30">
        <v>532</v>
      </c>
      <c r="QW30">
        <v>532</v>
      </c>
      <c r="QX30">
        <v>532</v>
      </c>
      <c r="QY30">
        <v>532</v>
      </c>
      <c r="QZ30">
        <v>532</v>
      </c>
      <c r="RA30">
        <v>532</v>
      </c>
      <c r="RB30">
        <v>532</v>
      </c>
      <c r="RC30">
        <v>532</v>
      </c>
      <c r="RD30">
        <v>532</v>
      </c>
      <c r="RE30">
        <v>532</v>
      </c>
      <c r="RF30">
        <v>532</v>
      </c>
      <c r="RG30">
        <v>532</v>
      </c>
      <c r="RH30">
        <v>532</v>
      </c>
      <c r="RI30">
        <v>532</v>
      </c>
      <c r="RJ30">
        <v>532</v>
      </c>
      <c r="RK30">
        <v>532</v>
      </c>
      <c r="RL30">
        <v>532</v>
      </c>
      <c r="RM30">
        <v>532</v>
      </c>
      <c r="RN30">
        <v>532</v>
      </c>
      <c r="RO30">
        <v>532</v>
      </c>
      <c r="RP30">
        <v>532</v>
      </c>
      <c r="RQ30">
        <v>532</v>
      </c>
      <c r="RR30">
        <v>532</v>
      </c>
      <c r="RS30">
        <v>532</v>
      </c>
      <c r="RT30">
        <v>532</v>
      </c>
      <c r="RU30">
        <v>532</v>
      </c>
      <c r="RV30">
        <v>532</v>
      </c>
      <c r="RW30">
        <v>532</v>
      </c>
      <c r="RX30">
        <v>532</v>
      </c>
      <c r="RY30">
        <v>532</v>
      </c>
      <c r="RZ30">
        <v>532</v>
      </c>
      <c r="SA30">
        <v>532</v>
      </c>
      <c r="SB30">
        <v>532</v>
      </c>
      <c r="SC30">
        <v>532</v>
      </c>
      <c r="SD30">
        <v>532</v>
      </c>
      <c r="SE30">
        <v>532</v>
      </c>
      <c r="SF30">
        <v>532</v>
      </c>
      <c r="SG30">
        <v>532</v>
      </c>
      <c r="SH30">
        <v>532</v>
      </c>
      <c r="SI30">
        <v>532</v>
      </c>
      <c r="SJ30">
        <v>532</v>
      </c>
      <c r="SK30">
        <v>532</v>
      </c>
      <c r="SL30">
        <v>532</v>
      </c>
      <c r="SM30">
        <v>532</v>
      </c>
      <c r="SN30">
        <v>532</v>
      </c>
      <c r="SO30">
        <v>532</v>
      </c>
      <c r="SP30">
        <v>532</v>
      </c>
      <c r="SQ30">
        <v>532</v>
      </c>
      <c r="SR30">
        <v>532</v>
      </c>
      <c r="SS30">
        <v>532</v>
      </c>
      <c r="ST30">
        <v>532</v>
      </c>
      <c r="SU30">
        <v>532</v>
      </c>
      <c r="SV30">
        <v>532</v>
      </c>
      <c r="SW30">
        <v>532</v>
      </c>
      <c r="SX30">
        <v>532</v>
      </c>
      <c r="SY30">
        <v>532</v>
      </c>
      <c r="SZ30">
        <v>532</v>
      </c>
      <c r="TA30">
        <v>532</v>
      </c>
      <c r="TB30">
        <v>532</v>
      </c>
      <c r="TC30">
        <v>532</v>
      </c>
      <c r="TD30">
        <v>532</v>
      </c>
      <c r="TE30">
        <v>532</v>
      </c>
      <c r="TF30">
        <v>532</v>
      </c>
      <c r="TG30">
        <v>532</v>
      </c>
      <c r="TH30">
        <v>532</v>
      </c>
      <c r="TI30">
        <v>532</v>
      </c>
      <c r="TJ30">
        <v>532</v>
      </c>
      <c r="TK30">
        <v>532</v>
      </c>
      <c r="TL30">
        <v>532</v>
      </c>
      <c r="TM30">
        <v>532</v>
      </c>
      <c r="TN30">
        <v>532</v>
      </c>
      <c r="TO30">
        <v>532</v>
      </c>
      <c r="TP30">
        <v>532</v>
      </c>
      <c r="TQ30">
        <v>532</v>
      </c>
      <c r="TR30">
        <v>532</v>
      </c>
      <c r="TS30">
        <v>532</v>
      </c>
      <c r="TT30">
        <v>532</v>
      </c>
      <c r="TU30">
        <v>532</v>
      </c>
      <c r="TV30">
        <v>532</v>
      </c>
      <c r="TW30">
        <v>532</v>
      </c>
      <c r="TX30">
        <v>532</v>
      </c>
      <c r="TY30">
        <v>532</v>
      </c>
      <c r="TZ30">
        <v>532</v>
      </c>
      <c r="UA30">
        <v>532</v>
      </c>
      <c r="UB30">
        <v>532</v>
      </c>
      <c r="UC30">
        <v>532</v>
      </c>
      <c r="UD30">
        <v>532</v>
      </c>
      <c r="UE30">
        <v>532</v>
      </c>
      <c r="UF30">
        <v>532</v>
      </c>
      <c r="UG30">
        <v>532</v>
      </c>
      <c r="UH30">
        <v>532</v>
      </c>
      <c r="UI30">
        <v>532</v>
      </c>
      <c r="UJ30">
        <v>532</v>
      </c>
      <c r="UK30">
        <v>532</v>
      </c>
      <c r="UL30">
        <v>532</v>
      </c>
      <c r="UM30">
        <v>532</v>
      </c>
      <c r="UN30">
        <v>532</v>
      </c>
      <c r="UO30">
        <v>532</v>
      </c>
      <c r="UP30">
        <v>532</v>
      </c>
      <c r="UQ30">
        <v>532</v>
      </c>
      <c r="UR30">
        <v>532</v>
      </c>
      <c r="US30">
        <v>532</v>
      </c>
      <c r="UT30">
        <v>532</v>
      </c>
      <c r="UU30">
        <v>532</v>
      </c>
      <c r="UV30">
        <v>532</v>
      </c>
      <c r="UW30">
        <v>532</v>
      </c>
      <c r="UX30">
        <v>532</v>
      </c>
      <c r="UY30">
        <v>532</v>
      </c>
      <c r="UZ30">
        <v>532</v>
      </c>
      <c r="VA30">
        <v>532</v>
      </c>
      <c r="VB30">
        <v>532</v>
      </c>
      <c r="VC30">
        <v>532</v>
      </c>
      <c r="VD30">
        <v>532</v>
      </c>
      <c r="VE30">
        <v>532</v>
      </c>
      <c r="VF30">
        <v>532</v>
      </c>
      <c r="VG30">
        <v>532</v>
      </c>
      <c r="VH30">
        <v>532</v>
      </c>
      <c r="VI30">
        <v>532</v>
      </c>
      <c r="VJ30">
        <v>532</v>
      </c>
      <c r="VK30">
        <v>532</v>
      </c>
      <c r="VL30">
        <v>532</v>
      </c>
      <c r="VM30">
        <v>532</v>
      </c>
      <c r="VN30">
        <v>532</v>
      </c>
      <c r="VO30">
        <v>532</v>
      </c>
      <c r="VP30">
        <v>532</v>
      </c>
      <c r="VQ30">
        <v>532</v>
      </c>
      <c r="VR30">
        <v>532</v>
      </c>
      <c r="VS30">
        <v>532</v>
      </c>
      <c r="VT30">
        <v>532</v>
      </c>
      <c r="VU30">
        <v>532</v>
      </c>
      <c r="VV30">
        <v>532</v>
      </c>
      <c r="VW30">
        <v>532</v>
      </c>
      <c r="VX30">
        <v>532</v>
      </c>
      <c r="VY30">
        <v>532</v>
      </c>
      <c r="VZ30">
        <v>532</v>
      </c>
      <c r="WA30">
        <v>532</v>
      </c>
      <c r="WB30">
        <v>532</v>
      </c>
      <c r="WC30">
        <v>532</v>
      </c>
      <c r="WD30">
        <v>532</v>
      </c>
      <c r="WE30">
        <v>532</v>
      </c>
      <c r="WF30">
        <v>532</v>
      </c>
      <c r="WG30">
        <v>532</v>
      </c>
      <c r="WH30">
        <v>532</v>
      </c>
      <c r="WI30">
        <v>532</v>
      </c>
      <c r="WJ30">
        <v>532</v>
      </c>
      <c r="WK30">
        <v>532</v>
      </c>
      <c r="WL30">
        <v>532</v>
      </c>
      <c r="WM30">
        <v>532</v>
      </c>
      <c r="WN30">
        <v>532</v>
      </c>
      <c r="WO30">
        <v>532</v>
      </c>
      <c r="WP30">
        <v>532</v>
      </c>
      <c r="WQ30">
        <v>532</v>
      </c>
      <c r="WR30">
        <v>532</v>
      </c>
      <c r="WS30">
        <v>532</v>
      </c>
      <c r="WT30">
        <v>532</v>
      </c>
      <c r="WU30">
        <v>532</v>
      </c>
      <c r="WV30">
        <v>532</v>
      </c>
      <c r="WW30">
        <v>532</v>
      </c>
      <c r="WX30">
        <v>532</v>
      </c>
      <c r="WY30">
        <v>532</v>
      </c>
      <c r="WZ30">
        <v>532</v>
      </c>
      <c r="XA30">
        <v>532</v>
      </c>
      <c r="XB30">
        <v>532</v>
      </c>
      <c r="XC30">
        <v>532</v>
      </c>
      <c r="XD30">
        <v>532</v>
      </c>
      <c r="XE30">
        <v>532</v>
      </c>
      <c r="XF30">
        <v>532</v>
      </c>
      <c r="XG30">
        <v>532</v>
      </c>
      <c r="XH30">
        <v>532</v>
      </c>
      <c r="XI30">
        <v>532</v>
      </c>
      <c r="XJ30">
        <v>532</v>
      </c>
      <c r="XK30">
        <v>532</v>
      </c>
      <c r="XL30">
        <v>532</v>
      </c>
      <c r="XM30">
        <v>532</v>
      </c>
      <c r="XN30">
        <v>532</v>
      </c>
      <c r="XO30">
        <v>532</v>
      </c>
      <c r="XP30">
        <v>532</v>
      </c>
      <c r="XQ30">
        <v>532</v>
      </c>
      <c r="XR30">
        <v>532</v>
      </c>
      <c r="XS30">
        <v>532</v>
      </c>
      <c r="XT30">
        <v>532</v>
      </c>
      <c r="XU30">
        <v>532</v>
      </c>
      <c r="XV30">
        <v>532</v>
      </c>
      <c r="XW30">
        <v>532</v>
      </c>
      <c r="XX30">
        <v>532</v>
      </c>
      <c r="XY30">
        <v>532</v>
      </c>
      <c r="XZ30">
        <v>532</v>
      </c>
      <c r="YA30">
        <v>532</v>
      </c>
      <c r="YB30">
        <v>532</v>
      </c>
      <c r="YC30">
        <v>532</v>
      </c>
      <c r="YD30">
        <v>532</v>
      </c>
      <c r="YE30">
        <v>532</v>
      </c>
      <c r="YF30">
        <v>532</v>
      </c>
      <c r="YG30">
        <v>532</v>
      </c>
      <c r="YH30">
        <v>532</v>
      </c>
      <c r="YI30">
        <v>532</v>
      </c>
      <c r="YJ30">
        <v>532</v>
      </c>
      <c r="YK30">
        <v>532</v>
      </c>
      <c r="YL30">
        <v>532</v>
      </c>
      <c r="YM30">
        <v>532</v>
      </c>
      <c r="YN30">
        <v>532</v>
      </c>
      <c r="YO30">
        <v>532</v>
      </c>
      <c r="YP30">
        <v>532</v>
      </c>
      <c r="YQ30">
        <v>532</v>
      </c>
      <c r="YR30">
        <v>532</v>
      </c>
      <c r="YS30">
        <v>532</v>
      </c>
      <c r="YT30">
        <v>532</v>
      </c>
      <c r="YU30">
        <v>532</v>
      </c>
      <c r="YV30">
        <v>532</v>
      </c>
      <c r="YW30">
        <v>532</v>
      </c>
      <c r="YX30">
        <v>532</v>
      </c>
      <c r="YY30">
        <v>532</v>
      </c>
      <c r="YZ30">
        <v>532</v>
      </c>
      <c r="ZA30">
        <v>532</v>
      </c>
      <c r="ZB30">
        <v>532</v>
      </c>
      <c r="ZC30">
        <v>532</v>
      </c>
      <c r="ZD30">
        <v>532</v>
      </c>
      <c r="ZE30">
        <v>532</v>
      </c>
      <c r="ZF30">
        <v>532</v>
      </c>
      <c r="ZG30">
        <v>532</v>
      </c>
      <c r="ZH30">
        <v>532</v>
      </c>
      <c r="ZI30">
        <v>532</v>
      </c>
      <c r="ZJ30">
        <v>532</v>
      </c>
      <c r="ZK30">
        <v>532</v>
      </c>
      <c r="ZL30">
        <v>532</v>
      </c>
      <c r="ZM30">
        <v>532</v>
      </c>
      <c r="ZN30">
        <v>532</v>
      </c>
      <c r="ZO30">
        <v>532</v>
      </c>
      <c r="ZP30">
        <v>532</v>
      </c>
      <c r="ZQ30">
        <v>532</v>
      </c>
      <c r="ZR30">
        <v>532</v>
      </c>
      <c r="ZS30">
        <v>532</v>
      </c>
      <c r="ZT30">
        <v>532</v>
      </c>
      <c r="ZU30">
        <v>532</v>
      </c>
      <c r="ZV30">
        <v>532</v>
      </c>
      <c r="ZW30">
        <v>532</v>
      </c>
      <c r="ZX30">
        <v>532</v>
      </c>
      <c r="ZY30">
        <v>532</v>
      </c>
      <c r="ZZ30">
        <v>532</v>
      </c>
      <c r="AAA30">
        <v>532</v>
      </c>
      <c r="AAB30">
        <v>532</v>
      </c>
      <c r="AAC30">
        <v>532</v>
      </c>
      <c r="AAD30">
        <v>532</v>
      </c>
      <c r="AAE30">
        <v>532</v>
      </c>
      <c r="AAF30">
        <v>532</v>
      </c>
      <c r="AAG30">
        <v>532</v>
      </c>
      <c r="AAH30">
        <v>532</v>
      </c>
      <c r="AAI30">
        <v>532</v>
      </c>
      <c r="AAJ30">
        <v>532</v>
      </c>
      <c r="AAK30">
        <v>532</v>
      </c>
      <c r="AAL30">
        <v>532</v>
      </c>
      <c r="AAM30">
        <v>532</v>
      </c>
      <c r="AAN30">
        <v>532</v>
      </c>
      <c r="AAO30">
        <v>532</v>
      </c>
      <c r="AAP30">
        <v>532</v>
      </c>
      <c r="AAQ30">
        <v>532</v>
      </c>
      <c r="AAR30">
        <v>532</v>
      </c>
      <c r="AAS30">
        <v>532</v>
      </c>
      <c r="AAT30">
        <v>532</v>
      </c>
      <c r="AAU30">
        <v>532</v>
      </c>
      <c r="AAV30">
        <v>532</v>
      </c>
      <c r="AAW30">
        <v>532</v>
      </c>
      <c r="AAX30">
        <v>532</v>
      </c>
      <c r="AAY30">
        <v>532</v>
      </c>
      <c r="AAZ30">
        <v>532</v>
      </c>
      <c r="ABA30">
        <v>532</v>
      </c>
      <c r="ABB30">
        <v>532</v>
      </c>
      <c r="ABC30">
        <v>532</v>
      </c>
      <c r="ABD30">
        <v>532</v>
      </c>
      <c r="ABE30">
        <v>532</v>
      </c>
      <c r="ABF30">
        <v>532</v>
      </c>
      <c r="ABG30">
        <v>532</v>
      </c>
      <c r="ABH30">
        <v>532</v>
      </c>
      <c r="ABI30">
        <v>532</v>
      </c>
      <c r="ABJ30">
        <v>532</v>
      </c>
      <c r="ABK30">
        <v>532</v>
      </c>
      <c r="ABL30">
        <v>532</v>
      </c>
      <c r="ABM30">
        <v>532</v>
      </c>
      <c r="ABN30">
        <v>532</v>
      </c>
      <c r="ABO30">
        <v>532</v>
      </c>
      <c r="ABP30">
        <v>532</v>
      </c>
      <c r="ABQ30">
        <v>532</v>
      </c>
      <c r="ABR30">
        <v>532</v>
      </c>
      <c r="ABS30">
        <v>532</v>
      </c>
      <c r="ABT30">
        <v>532</v>
      </c>
      <c r="ABU30">
        <v>532</v>
      </c>
      <c r="ABV30">
        <v>532</v>
      </c>
      <c r="ABW30">
        <v>532</v>
      </c>
      <c r="ABX30">
        <v>532</v>
      </c>
      <c r="ABY30">
        <v>532</v>
      </c>
      <c r="ABZ30">
        <v>532</v>
      </c>
      <c r="ACA30">
        <v>532</v>
      </c>
      <c r="ACB30">
        <v>532</v>
      </c>
      <c r="ACC30">
        <v>532</v>
      </c>
      <c r="ACD30">
        <v>532</v>
      </c>
      <c r="ACE30">
        <v>532</v>
      </c>
      <c r="ACF30">
        <v>532</v>
      </c>
      <c r="ACG30">
        <v>532</v>
      </c>
      <c r="ACH30">
        <v>532</v>
      </c>
      <c r="ACI30">
        <v>532</v>
      </c>
      <c r="ACJ30">
        <v>532</v>
      </c>
      <c r="ACK30">
        <v>532</v>
      </c>
      <c r="ACL30">
        <v>532</v>
      </c>
      <c r="ACM30">
        <v>532</v>
      </c>
      <c r="ACN30">
        <v>532</v>
      </c>
      <c r="ACO30">
        <v>532</v>
      </c>
      <c r="ACP30">
        <v>532</v>
      </c>
      <c r="ACQ30">
        <v>532</v>
      </c>
      <c r="ACR30">
        <v>532</v>
      </c>
      <c r="ACS30">
        <v>532</v>
      </c>
      <c r="ACT30">
        <v>532</v>
      </c>
      <c r="ACU30">
        <v>532</v>
      </c>
      <c r="ACV30">
        <v>532</v>
      </c>
      <c r="ACW30">
        <v>532</v>
      </c>
      <c r="ACX30">
        <v>532</v>
      </c>
      <c r="ACY30">
        <v>532</v>
      </c>
      <c r="ACZ30">
        <v>532</v>
      </c>
      <c r="ADA30">
        <v>532</v>
      </c>
      <c r="ADB30">
        <v>532</v>
      </c>
      <c r="ADC30">
        <v>532</v>
      </c>
      <c r="ADD30">
        <v>532</v>
      </c>
      <c r="ADE30">
        <v>532</v>
      </c>
      <c r="ADF30">
        <v>532</v>
      </c>
      <c r="ADG30">
        <v>532</v>
      </c>
      <c r="ADH30">
        <v>532</v>
      </c>
      <c r="ADI30">
        <v>532</v>
      </c>
      <c r="ADJ30">
        <v>532</v>
      </c>
      <c r="ADK30">
        <v>532</v>
      </c>
      <c r="ADL30">
        <v>532</v>
      </c>
      <c r="ADM30">
        <v>532</v>
      </c>
      <c r="ADN30">
        <v>532</v>
      </c>
      <c r="ADO30">
        <v>532</v>
      </c>
      <c r="ADP30">
        <v>532</v>
      </c>
    </row>
    <row r="31" spans="1:796">
      <c r="A31" t="s">
        <v>4267</v>
      </c>
      <c r="B31">
        <v>31</v>
      </c>
      <c r="C31" t="s">
        <v>4337</v>
      </c>
      <c r="D31">
        <v>82</v>
      </c>
      <c r="E31" t="s">
        <v>4682</v>
      </c>
      <c r="F31" t="s">
        <v>4580</v>
      </c>
      <c r="G31" t="s">
        <v>4631</v>
      </c>
      <c r="H31" t="s">
        <v>4635</v>
      </c>
      <c r="I31" t="s">
        <v>4639</v>
      </c>
      <c r="J31" t="s">
        <v>4643</v>
      </c>
      <c r="K31" t="s">
        <v>4647</v>
      </c>
      <c r="L31" t="s">
        <v>4651</v>
      </c>
      <c r="M31" t="s">
        <v>4655</v>
      </c>
      <c r="N31" t="s">
        <v>4767</v>
      </c>
      <c r="O31" t="s">
        <v>4664</v>
      </c>
      <c r="P31" t="s">
        <v>4672</v>
      </c>
      <c r="Q31" t="s">
        <v>4709</v>
      </c>
      <c r="R31" t="s">
        <v>4678</v>
      </c>
      <c r="S31" t="s">
        <v>4682</v>
      </c>
      <c r="T31" t="s">
        <v>4580</v>
      </c>
      <c r="U31" t="s">
        <v>4631</v>
      </c>
      <c r="V31" t="s">
        <v>4635</v>
      </c>
      <c r="W31" t="s">
        <v>4639</v>
      </c>
      <c r="X31" t="s">
        <v>4643</v>
      </c>
      <c r="Y31" t="s">
        <v>4647</v>
      </c>
      <c r="Z31" t="s">
        <v>4651</v>
      </c>
      <c r="AA31" t="s">
        <v>4655</v>
      </c>
      <c r="AB31" t="s">
        <v>4767</v>
      </c>
      <c r="AC31" t="s">
        <v>4664</v>
      </c>
      <c r="AD31" t="s">
        <v>4668</v>
      </c>
      <c r="AE31" t="s">
        <v>4672</v>
      </c>
      <c r="AF31" t="s">
        <v>4716</v>
      </c>
      <c r="AG31" t="s">
        <v>4678</v>
      </c>
      <c r="AH31" t="s">
        <v>4678</v>
      </c>
      <c r="AI31" t="s">
        <v>4682</v>
      </c>
      <c r="AJ31" t="s">
        <v>4580</v>
      </c>
      <c r="AK31" t="s">
        <v>4631</v>
      </c>
      <c r="AL31" t="s">
        <v>4635</v>
      </c>
      <c r="AM31" t="s">
        <v>4639</v>
      </c>
      <c r="AN31" t="s">
        <v>4643</v>
      </c>
      <c r="AO31" t="s">
        <v>4651</v>
      </c>
      <c r="AP31" t="s">
        <v>4655</v>
      </c>
      <c r="AQ31" t="s">
        <v>4767</v>
      </c>
      <c r="AR31" t="s">
        <v>4664</v>
      </c>
      <c r="AS31" t="s">
        <v>4668</v>
      </c>
      <c r="AT31" t="s">
        <v>4672</v>
      </c>
      <c r="AU31" t="s">
        <v>4709</v>
      </c>
      <c r="AV31" t="s">
        <v>4678</v>
      </c>
      <c r="AW31" t="s">
        <v>4580</v>
      </c>
      <c r="AX31" t="s">
        <v>4631</v>
      </c>
      <c r="AY31" t="s">
        <v>4635</v>
      </c>
      <c r="AZ31" t="s">
        <v>4639</v>
      </c>
      <c r="BA31" t="s">
        <v>4643</v>
      </c>
      <c r="BB31" t="s">
        <v>4643</v>
      </c>
      <c r="BC31" t="s">
        <v>4647</v>
      </c>
      <c r="BD31" t="s">
        <v>4651</v>
      </c>
      <c r="BE31" t="s">
        <v>4655</v>
      </c>
      <c r="BF31" t="s">
        <v>4767</v>
      </c>
      <c r="BG31" t="s">
        <v>4664</v>
      </c>
      <c r="BH31" t="s">
        <v>4668</v>
      </c>
      <c r="BI31" t="s">
        <v>4672</v>
      </c>
      <c r="BJ31" t="s">
        <v>4716</v>
      </c>
      <c r="BK31" t="s">
        <v>4678</v>
      </c>
      <c r="BL31" t="s">
        <v>4682</v>
      </c>
      <c r="BM31" t="s">
        <v>4580</v>
      </c>
      <c r="BN31" t="s">
        <v>4631</v>
      </c>
      <c r="BO31" t="s">
        <v>4635</v>
      </c>
      <c r="BP31" t="s">
        <v>4639</v>
      </c>
      <c r="BQ31" t="s">
        <v>4643</v>
      </c>
      <c r="BR31" t="s">
        <v>4647</v>
      </c>
      <c r="BS31" t="s">
        <v>4651</v>
      </c>
      <c r="BT31" t="s">
        <v>4655</v>
      </c>
      <c r="BU31" t="s">
        <v>4664</v>
      </c>
      <c r="BV31" t="s">
        <v>4668</v>
      </c>
      <c r="BW31" t="s">
        <v>4672</v>
      </c>
      <c r="BX31" t="s">
        <v>4709</v>
      </c>
      <c r="BY31" t="s">
        <v>4678</v>
      </c>
      <c r="BZ31" t="s">
        <v>4682</v>
      </c>
      <c r="CA31" t="s">
        <v>4580</v>
      </c>
      <c r="CB31" t="s">
        <v>4631</v>
      </c>
      <c r="CC31" t="s">
        <v>4635</v>
      </c>
      <c r="CD31" t="s">
        <v>4639</v>
      </c>
      <c r="CE31" t="s">
        <v>4643</v>
      </c>
      <c r="CF31" t="s">
        <v>4647</v>
      </c>
      <c r="CG31" t="s">
        <v>4647</v>
      </c>
      <c r="CH31" t="s">
        <v>4651</v>
      </c>
      <c r="CI31" t="s">
        <v>4655</v>
      </c>
      <c r="CJ31" t="s">
        <v>4767</v>
      </c>
      <c r="CK31" t="s">
        <v>4664</v>
      </c>
      <c r="CL31" t="s">
        <v>4668</v>
      </c>
      <c r="CM31" t="s">
        <v>4672</v>
      </c>
      <c r="CN31" t="s">
        <v>4716</v>
      </c>
      <c r="CO31" t="s">
        <v>4678</v>
      </c>
      <c r="CP31" t="s">
        <v>4682</v>
      </c>
      <c r="CQ31" t="s">
        <v>4580</v>
      </c>
      <c r="CR31" t="s">
        <v>4635</v>
      </c>
      <c r="CS31" t="s">
        <v>4639</v>
      </c>
      <c r="CT31" t="s">
        <v>4643</v>
      </c>
      <c r="CU31" t="s">
        <v>4647</v>
      </c>
      <c r="CV31" t="s">
        <v>4651</v>
      </c>
      <c r="CW31" t="s">
        <v>4655</v>
      </c>
      <c r="CX31" t="s">
        <v>4767</v>
      </c>
      <c r="CY31" t="s">
        <v>4664</v>
      </c>
      <c r="CZ31" t="s">
        <v>4668</v>
      </c>
      <c r="DA31" t="s">
        <v>4672</v>
      </c>
      <c r="DB31" t="s">
        <v>4709</v>
      </c>
      <c r="DC31" t="s">
        <v>4678</v>
      </c>
      <c r="DD31" t="s">
        <v>4682</v>
      </c>
      <c r="DE31" t="s">
        <v>4580</v>
      </c>
      <c r="DF31" t="s">
        <v>4631</v>
      </c>
      <c r="DG31" t="s">
        <v>4635</v>
      </c>
      <c r="DH31" t="s">
        <v>4639</v>
      </c>
      <c r="DI31" t="s">
        <v>4643</v>
      </c>
      <c r="DJ31" t="s">
        <v>4647</v>
      </c>
      <c r="DK31" t="s">
        <v>4651</v>
      </c>
      <c r="DL31" t="s">
        <v>4655</v>
      </c>
      <c r="DM31" t="s">
        <v>4702</v>
      </c>
      <c r="DN31" t="s">
        <v>4767</v>
      </c>
      <c r="DO31" t="s">
        <v>4668</v>
      </c>
      <c r="DP31" t="s">
        <v>4672</v>
      </c>
      <c r="DQ31" t="s">
        <v>4716</v>
      </c>
      <c r="DR31" t="s">
        <v>4678</v>
      </c>
      <c r="DS31" t="s">
        <v>4682</v>
      </c>
      <c r="DT31" t="s">
        <v>4580</v>
      </c>
      <c r="DU31" t="s">
        <v>4631</v>
      </c>
      <c r="DV31" t="s">
        <v>4635</v>
      </c>
      <c r="DW31" t="s">
        <v>4639</v>
      </c>
      <c r="DX31" t="s">
        <v>4647</v>
      </c>
      <c r="DY31" t="s">
        <v>4651</v>
      </c>
      <c r="DZ31" t="s">
        <v>4655</v>
      </c>
      <c r="EA31" t="s">
        <v>4767</v>
      </c>
      <c r="EB31" t="s">
        <v>4664</v>
      </c>
      <c r="EC31" t="s">
        <v>4668</v>
      </c>
      <c r="ED31" t="s">
        <v>4672</v>
      </c>
      <c r="EE31" t="s">
        <v>4709</v>
      </c>
      <c r="EF31" t="s">
        <v>4678</v>
      </c>
      <c r="EG31" t="s">
        <v>4682</v>
      </c>
      <c r="EH31" t="s">
        <v>4682</v>
      </c>
      <c r="EI31" t="s">
        <v>4580</v>
      </c>
      <c r="EJ31" t="s">
        <v>4631</v>
      </c>
      <c r="EK31" t="s">
        <v>4635</v>
      </c>
      <c r="EL31" t="s">
        <v>4639</v>
      </c>
      <c r="EM31" t="s">
        <v>4643</v>
      </c>
      <c r="EN31" t="s">
        <v>4647</v>
      </c>
      <c r="EO31" t="s">
        <v>4651</v>
      </c>
      <c r="EP31" t="s">
        <v>4655</v>
      </c>
      <c r="EQ31" t="s">
        <v>4767</v>
      </c>
      <c r="ER31" t="s">
        <v>4664</v>
      </c>
      <c r="ES31" t="s">
        <v>4668</v>
      </c>
      <c r="ET31" t="s">
        <v>4672</v>
      </c>
      <c r="EU31" t="s">
        <v>4716</v>
      </c>
      <c r="EV31" t="s">
        <v>4678</v>
      </c>
      <c r="EW31" t="s">
        <v>4580</v>
      </c>
      <c r="EX31" t="s">
        <v>4631</v>
      </c>
      <c r="EY31" t="s">
        <v>4635</v>
      </c>
      <c r="EZ31" t="s">
        <v>4639</v>
      </c>
      <c r="FA31" t="s">
        <v>4643</v>
      </c>
      <c r="FB31" t="s">
        <v>4647</v>
      </c>
      <c r="FC31" t="s">
        <v>4651</v>
      </c>
      <c r="FD31" t="s">
        <v>4655</v>
      </c>
      <c r="FE31" t="s">
        <v>4767</v>
      </c>
      <c r="FF31" t="s">
        <v>4664</v>
      </c>
      <c r="FG31" t="s">
        <v>4668</v>
      </c>
      <c r="FH31" t="s">
        <v>4672</v>
      </c>
      <c r="FI31" t="s">
        <v>4709</v>
      </c>
      <c r="FJ31" t="s">
        <v>4678</v>
      </c>
      <c r="FK31" t="s">
        <v>4682</v>
      </c>
      <c r="FL31" t="s">
        <v>4580</v>
      </c>
      <c r="FM31" t="s">
        <v>4631</v>
      </c>
      <c r="FN31" t="s">
        <v>4635</v>
      </c>
      <c r="FO31" t="s">
        <v>4635</v>
      </c>
      <c r="FP31" t="s">
        <v>4639</v>
      </c>
      <c r="FQ31" t="s">
        <v>4643</v>
      </c>
      <c r="FR31" t="s">
        <v>4647</v>
      </c>
      <c r="FS31" t="s">
        <v>4651</v>
      </c>
      <c r="FT31" t="s">
        <v>4655</v>
      </c>
      <c r="FU31" t="s">
        <v>4767</v>
      </c>
      <c r="FV31" t="s">
        <v>4668</v>
      </c>
      <c r="FW31" t="s">
        <v>4672</v>
      </c>
      <c r="FX31" t="s">
        <v>4716</v>
      </c>
      <c r="FY31" t="s">
        <v>4678</v>
      </c>
      <c r="FZ31" t="s">
        <v>4682</v>
      </c>
      <c r="GA31" t="s">
        <v>4580</v>
      </c>
      <c r="GB31" t="s">
        <v>4635</v>
      </c>
      <c r="GC31" t="s">
        <v>4639</v>
      </c>
      <c r="GD31" t="s">
        <v>4643</v>
      </c>
      <c r="GE31" t="s">
        <v>4647</v>
      </c>
      <c r="GF31" t="s">
        <v>4651</v>
      </c>
      <c r="GG31" t="s">
        <v>4655</v>
      </c>
      <c r="GH31" t="s">
        <v>4767</v>
      </c>
      <c r="GI31" t="s">
        <v>4664</v>
      </c>
      <c r="GJ31" t="s">
        <v>4668</v>
      </c>
      <c r="GK31" t="s">
        <v>4668</v>
      </c>
      <c r="GL31" t="s">
        <v>4672</v>
      </c>
      <c r="GM31" t="s">
        <v>4709</v>
      </c>
      <c r="GN31" t="s">
        <v>4678</v>
      </c>
      <c r="GO31" t="s">
        <v>4682</v>
      </c>
      <c r="GP31" t="s">
        <v>4580</v>
      </c>
      <c r="GQ31" t="s">
        <v>4631</v>
      </c>
      <c r="GR31" t="s">
        <v>4635</v>
      </c>
      <c r="GS31" t="s">
        <v>4639</v>
      </c>
      <c r="GT31" t="s">
        <v>4643</v>
      </c>
      <c r="GU31" t="s">
        <v>4647</v>
      </c>
      <c r="GV31" t="s">
        <v>4651</v>
      </c>
      <c r="GW31" t="s">
        <v>4655</v>
      </c>
      <c r="GX31" t="s">
        <v>4767</v>
      </c>
      <c r="GY31" t="s">
        <v>4664</v>
      </c>
      <c r="GZ31" t="s">
        <v>4668</v>
      </c>
      <c r="HA31" t="s">
        <v>4716</v>
      </c>
      <c r="HB31" t="s">
        <v>4678</v>
      </c>
      <c r="HC31" t="s">
        <v>4682</v>
      </c>
      <c r="HD31" t="s">
        <v>4580</v>
      </c>
      <c r="HE31" t="s">
        <v>4631</v>
      </c>
      <c r="HF31" t="s">
        <v>4635</v>
      </c>
      <c r="HG31" t="s">
        <v>4639</v>
      </c>
      <c r="HH31" t="s">
        <v>4643</v>
      </c>
      <c r="HI31" t="s">
        <v>4647</v>
      </c>
      <c r="HJ31" t="s">
        <v>4651</v>
      </c>
      <c r="HK31" t="s">
        <v>4655</v>
      </c>
      <c r="HL31" t="s">
        <v>4767</v>
      </c>
      <c r="HM31" t="s">
        <v>4664</v>
      </c>
      <c r="HN31" t="s">
        <v>4668</v>
      </c>
      <c r="HO31" t="s">
        <v>4672</v>
      </c>
      <c r="HP31" t="s">
        <v>4709</v>
      </c>
      <c r="HQ31" t="s">
        <v>4678</v>
      </c>
      <c r="HR31" t="s">
        <v>4682</v>
      </c>
      <c r="HS31" t="s">
        <v>4580</v>
      </c>
      <c r="HT31" t="s">
        <v>4580</v>
      </c>
      <c r="HU31" t="s">
        <v>4631</v>
      </c>
      <c r="HV31" t="s">
        <v>4635</v>
      </c>
      <c r="HW31" t="s">
        <v>4639</v>
      </c>
      <c r="HX31" t="s">
        <v>4647</v>
      </c>
      <c r="HY31" t="s">
        <v>4651</v>
      </c>
      <c r="HZ31" t="s">
        <v>4655</v>
      </c>
      <c r="IA31" t="s">
        <v>4767</v>
      </c>
      <c r="IB31" t="s">
        <v>4664</v>
      </c>
      <c r="IC31" t="s">
        <v>4668</v>
      </c>
      <c r="ID31" t="s">
        <v>4672</v>
      </c>
      <c r="IE31" t="s">
        <v>4716</v>
      </c>
      <c r="IF31" t="s">
        <v>4682</v>
      </c>
      <c r="IG31" t="s">
        <v>4580</v>
      </c>
      <c r="IH31" t="s">
        <v>4631</v>
      </c>
      <c r="II31" t="s">
        <v>4635</v>
      </c>
      <c r="IJ31" t="s">
        <v>4639</v>
      </c>
      <c r="IK31" t="s">
        <v>4643</v>
      </c>
      <c r="IL31" t="s">
        <v>4647</v>
      </c>
      <c r="IM31" t="s">
        <v>4651</v>
      </c>
      <c r="IN31" t="s">
        <v>4655</v>
      </c>
      <c r="IO31" t="s">
        <v>4655</v>
      </c>
      <c r="IP31" t="s">
        <v>4767</v>
      </c>
      <c r="IQ31" t="s">
        <v>4664</v>
      </c>
      <c r="IR31" t="s">
        <v>4668</v>
      </c>
      <c r="IS31" t="s">
        <v>4672</v>
      </c>
      <c r="IT31" t="s">
        <v>4709</v>
      </c>
      <c r="IU31" t="s">
        <v>4678</v>
      </c>
      <c r="IV31" t="s">
        <v>4682</v>
      </c>
      <c r="IW31" t="s">
        <v>4580</v>
      </c>
      <c r="IX31" t="s">
        <v>4631</v>
      </c>
      <c r="IY31" t="s">
        <v>4635</v>
      </c>
      <c r="IZ31" t="s">
        <v>4639</v>
      </c>
      <c r="JA31" t="s">
        <v>4643</v>
      </c>
      <c r="JB31" t="s">
        <v>4647</v>
      </c>
      <c r="JC31" t="s">
        <v>4651</v>
      </c>
      <c r="JD31" t="s">
        <v>4702</v>
      </c>
      <c r="JE31" t="s">
        <v>4664</v>
      </c>
      <c r="JF31" t="s">
        <v>4668</v>
      </c>
      <c r="JG31" t="s">
        <v>4672</v>
      </c>
      <c r="JH31" t="s">
        <v>4716</v>
      </c>
      <c r="JI31" t="s">
        <v>4678</v>
      </c>
      <c r="JJ31" t="s">
        <v>4682</v>
      </c>
      <c r="JK31" t="s">
        <v>4580</v>
      </c>
      <c r="JL31" t="s">
        <v>4631</v>
      </c>
      <c r="JM31" t="s">
        <v>4635</v>
      </c>
      <c r="JN31" t="s">
        <v>4639</v>
      </c>
      <c r="JO31" t="s">
        <v>4643</v>
      </c>
      <c r="JP31" t="s">
        <v>4647</v>
      </c>
      <c r="JQ31" t="s">
        <v>4651</v>
      </c>
      <c r="JR31" t="s">
        <v>4655</v>
      </c>
      <c r="JS31" t="s">
        <v>4767</v>
      </c>
      <c r="JT31" t="s">
        <v>4664</v>
      </c>
      <c r="JU31" t="s">
        <v>4668</v>
      </c>
      <c r="JV31" t="s">
        <v>4672</v>
      </c>
      <c r="JW31" t="s">
        <v>4709</v>
      </c>
      <c r="JX31" t="s">
        <v>4678</v>
      </c>
      <c r="JY31" t="s">
        <v>4682</v>
      </c>
      <c r="JZ31" t="s">
        <v>4580</v>
      </c>
      <c r="KA31" t="s">
        <v>4631</v>
      </c>
      <c r="KB31" t="s">
        <v>4635</v>
      </c>
      <c r="KC31" t="s">
        <v>4639</v>
      </c>
      <c r="KD31" t="s">
        <v>4643</v>
      </c>
      <c r="KE31" t="s">
        <v>4647</v>
      </c>
      <c r="KF31" t="s">
        <v>4651</v>
      </c>
      <c r="KG31" t="s">
        <v>4655</v>
      </c>
      <c r="KH31" t="s">
        <v>4767</v>
      </c>
      <c r="KI31" t="s">
        <v>4664</v>
      </c>
      <c r="KJ31" t="s">
        <v>4672</v>
      </c>
      <c r="KK31" t="s">
        <v>4716</v>
      </c>
      <c r="KL31" t="s">
        <v>4678</v>
      </c>
      <c r="KM31" t="s">
        <v>4682</v>
      </c>
      <c r="KN31" t="s">
        <v>4580</v>
      </c>
      <c r="KO31" t="s">
        <v>4631</v>
      </c>
      <c r="KP31" t="s">
        <v>4635</v>
      </c>
      <c r="KQ31" t="s">
        <v>4635</v>
      </c>
      <c r="KR31" t="s">
        <v>4639</v>
      </c>
      <c r="KS31" t="s">
        <v>4643</v>
      </c>
      <c r="KT31" t="s">
        <v>4647</v>
      </c>
      <c r="KU31" t="s">
        <v>4651</v>
      </c>
      <c r="KV31" t="s">
        <v>4655</v>
      </c>
      <c r="KW31" t="s">
        <v>4767</v>
      </c>
      <c r="KX31" t="s">
        <v>4664</v>
      </c>
      <c r="KY31" t="s">
        <v>4668</v>
      </c>
      <c r="KZ31" t="s">
        <v>4672</v>
      </c>
      <c r="LA31" t="s">
        <v>4709</v>
      </c>
      <c r="LB31" t="s">
        <v>4678</v>
      </c>
      <c r="LC31" t="s">
        <v>4682</v>
      </c>
      <c r="LD31" t="s">
        <v>4580</v>
      </c>
      <c r="LE31" t="s">
        <v>4631</v>
      </c>
      <c r="LF31" t="s">
        <v>4639</v>
      </c>
      <c r="LG31" t="s">
        <v>4643</v>
      </c>
      <c r="LH31" t="s">
        <v>4647</v>
      </c>
      <c r="LI31" t="s">
        <v>4651</v>
      </c>
      <c r="LJ31" t="s">
        <v>4655</v>
      </c>
      <c r="LK31" t="s">
        <v>4767</v>
      </c>
      <c r="LL31" t="s">
        <v>4664</v>
      </c>
      <c r="LM31" t="s">
        <v>4668</v>
      </c>
      <c r="LN31" t="s">
        <v>4672</v>
      </c>
      <c r="LO31" t="s">
        <v>4716</v>
      </c>
      <c r="LP31" t="s">
        <v>4678</v>
      </c>
      <c r="LQ31" t="s">
        <v>4682</v>
      </c>
      <c r="LR31" t="s">
        <v>4580</v>
      </c>
      <c r="LS31" t="s">
        <v>4631</v>
      </c>
      <c r="LT31" t="s">
        <v>4635</v>
      </c>
      <c r="LU31" t="s">
        <v>4639</v>
      </c>
      <c r="LV31" t="s">
        <v>4643</v>
      </c>
      <c r="LW31" t="s">
        <v>4643</v>
      </c>
      <c r="LX31" t="s">
        <v>4647</v>
      </c>
      <c r="LY31" t="s">
        <v>4651</v>
      </c>
      <c r="LZ31" t="s">
        <v>4655</v>
      </c>
      <c r="MA31" t="s">
        <v>4767</v>
      </c>
      <c r="MB31" t="s">
        <v>4664</v>
      </c>
      <c r="MC31" t="s">
        <v>4668</v>
      </c>
      <c r="MD31" t="s">
        <v>4672</v>
      </c>
      <c r="ME31" t="s">
        <v>4678</v>
      </c>
      <c r="MF31" t="s">
        <v>4682</v>
      </c>
      <c r="MG31" t="s">
        <v>4580</v>
      </c>
      <c r="MH31" t="s">
        <v>4631</v>
      </c>
      <c r="MI31" t="s">
        <v>4635</v>
      </c>
      <c r="MJ31" t="s">
        <v>4639</v>
      </c>
      <c r="MK31" t="s">
        <v>4643</v>
      </c>
      <c r="ML31" t="s">
        <v>4647</v>
      </c>
      <c r="MM31" t="s">
        <v>4655</v>
      </c>
      <c r="MN31" t="s">
        <v>4702</v>
      </c>
      <c r="MO31" t="s">
        <v>4664</v>
      </c>
      <c r="MP31" t="s">
        <v>4668</v>
      </c>
      <c r="MQ31" t="s">
        <v>4668</v>
      </c>
      <c r="MR31" t="s">
        <v>4672</v>
      </c>
      <c r="MS31" t="s">
        <v>4716</v>
      </c>
      <c r="MT31" t="s">
        <v>4678</v>
      </c>
      <c r="MU31" t="s">
        <v>4682</v>
      </c>
      <c r="MV31" t="s">
        <v>4580</v>
      </c>
      <c r="MW31" t="s">
        <v>4631</v>
      </c>
      <c r="MX31" t="s">
        <v>4635</v>
      </c>
      <c r="MY31" t="s">
        <v>4639</v>
      </c>
      <c r="MZ31" t="s">
        <v>4643</v>
      </c>
      <c r="NA31" t="s">
        <v>4647</v>
      </c>
      <c r="NB31" t="s">
        <v>4651</v>
      </c>
      <c r="NC31" t="s">
        <v>4655</v>
      </c>
      <c r="ND31" t="s">
        <v>4767</v>
      </c>
      <c r="NE31" t="s">
        <v>4664</v>
      </c>
      <c r="NF31" t="s">
        <v>4668</v>
      </c>
      <c r="NG31" t="s">
        <v>4672</v>
      </c>
      <c r="NH31" t="s">
        <v>4709</v>
      </c>
      <c r="NI31" t="s">
        <v>4678</v>
      </c>
      <c r="NJ31" t="s">
        <v>4682</v>
      </c>
      <c r="NK31" t="s">
        <v>4631</v>
      </c>
      <c r="NL31" t="s">
        <v>4635</v>
      </c>
      <c r="NM31" t="s">
        <v>4639</v>
      </c>
      <c r="NN31" t="s">
        <v>4643</v>
      </c>
      <c r="NO31" t="s">
        <v>4647</v>
      </c>
      <c r="NP31" t="s">
        <v>4651</v>
      </c>
      <c r="NQ31" t="s">
        <v>4655</v>
      </c>
      <c r="NR31" t="s">
        <v>4767</v>
      </c>
      <c r="NS31" t="s">
        <v>4664</v>
      </c>
      <c r="NT31" t="s">
        <v>4668</v>
      </c>
      <c r="NU31" t="s">
        <v>4672</v>
      </c>
      <c r="NV31" t="s">
        <v>4716</v>
      </c>
      <c r="NW31" t="s">
        <v>4678</v>
      </c>
      <c r="NX31" t="s">
        <v>4678</v>
      </c>
      <c r="NY31" t="s">
        <v>4682</v>
      </c>
      <c r="NZ31" t="s">
        <v>4580</v>
      </c>
      <c r="OA31" t="s">
        <v>4631</v>
      </c>
      <c r="OB31" t="s">
        <v>4635</v>
      </c>
      <c r="OC31" t="s">
        <v>4639</v>
      </c>
      <c r="OD31" t="s">
        <v>4643</v>
      </c>
      <c r="OE31" t="s">
        <v>4647</v>
      </c>
      <c r="OF31" t="s">
        <v>4651</v>
      </c>
      <c r="OG31" t="s">
        <v>4655</v>
      </c>
      <c r="OH31" t="s">
        <v>4767</v>
      </c>
      <c r="OI31" t="s">
        <v>4664</v>
      </c>
      <c r="OJ31" t="s">
        <v>4668</v>
      </c>
      <c r="OK31" t="s">
        <v>4709</v>
      </c>
      <c r="OL31" t="s">
        <v>4678</v>
      </c>
      <c r="OM31" t="s">
        <v>4682</v>
      </c>
      <c r="ON31" t="s">
        <v>4580</v>
      </c>
      <c r="OO31" t="s">
        <v>4631</v>
      </c>
      <c r="OP31" t="s">
        <v>4635</v>
      </c>
      <c r="OQ31" t="s">
        <v>4639</v>
      </c>
      <c r="OR31" t="s">
        <v>4643</v>
      </c>
      <c r="OS31" t="s">
        <v>4647</v>
      </c>
      <c r="OT31" t="s">
        <v>4651</v>
      </c>
      <c r="OU31" t="s">
        <v>4655</v>
      </c>
      <c r="OV31" t="s">
        <v>4767</v>
      </c>
      <c r="OW31" t="s">
        <v>4664</v>
      </c>
      <c r="OX31" t="s">
        <v>4668</v>
      </c>
      <c r="OY31" t="s">
        <v>4672</v>
      </c>
      <c r="OZ31" t="s">
        <v>4716</v>
      </c>
      <c r="PA31" t="s">
        <v>4678</v>
      </c>
      <c r="PB31" t="s">
        <v>4682</v>
      </c>
      <c r="PC31" t="s">
        <v>4580</v>
      </c>
      <c r="PD31" t="s">
        <v>4580</v>
      </c>
      <c r="PE31" t="s">
        <v>4631</v>
      </c>
      <c r="PF31" t="s">
        <v>4635</v>
      </c>
      <c r="PG31" t="s">
        <v>4639</v>
      </c>
      <c r="PH31" t="s">
        <v>4643</v>
      </c>
      <c r="PI31" t="s">
        <v>4647</v>
      </c>
      <c r="PJ31" t="s">
        <v>4655</v>
      </c>
      <c r="PK31" t="s">
        <v>4767</v>
      </c>
      <c r="PL31" t="s">
        <v>4664</v>
      </c>
      <c r="PM31" t="s">
        <v>4668</v>
      </c>
      <c r="PN31" t="s">
        <v>4672</v>
      </c>
      <c r="PO31" t="s">
        <v>4709</v>
      </c>
      <c r="PP31" t="s">
        <v>4678</v>
      </c>
      <c r="PQ31" t="s">
        <v>4580</v>
      </c>
      <c r="PR31" t="s">
        <v>4631</v>
      </c>
      <c r="PS31" t="s">
        <v>4635</v>
      </c>
      <c r="PT31" t="s">
        <v>4639</v>
      </c>
      <c r="PU31" t="s">
        <v>4643</v>
      </c>
      <c r="PV31" t="s">
        <v>4647</v>
      </c>
      <c r="PW31" t="s">
        <v>4651</v>
      </c>
      <c r="PX31" t="s">
        <v>4655</v>
      </c>
      <c r="PY31" t="s">
        <v>4655</v>
      </c>
      <c r="PZ31" t="s">
        <v>4767</v>
      </c>
      <c r="QA31" t="s">
        <v>4664</v>
      </c>
      <c r="QB31" t="s">
        <v>4668</v>
      </c>
      <c r="QC31" t="s">
        <v>4672</v>
      </c>
      <c r="QD31" t="s">
        <v>4716</v>
      </c>
      <c r="QE31" t="s">
        <v>4678</v>
      </c>
      <c r="QF31" t="s">
        <v>4682</v>
      </c>
      <c r="QG31" t="s">
        <v>4580</v>
      </c>
      <c r="QH31" t="s">
        <v>4631</v>
      </c>
      <c r="QI31" t="s">
        <v>4635</v>
      </c>
      <c r="QJ31" t="s">
        <v>4639</v>
      </c>
      <c r="QK31" t="s">
        <v>4643</v>
      </c>
      <c r="QL31" t="s">
        <v>4647</v>
      </c>
      <c r="QM31" t="s">
        <v>4651</v>
      </c>
      <c r="QN31" t="s">
        <v>4655</v>
      </c>
      <c r="QO31" t="s">
        <v>4767</v>
      </c>
      <c r="QP31" t="s">
        <v>4664</v>
      </c>
      <c r="QQ31" t="s">
        <v>4672</v>
      </c>
      <c r="QR31" t="s">
        <v>4709</v>
      </c>
      <c r="QS31" t="s">
        <v>4678</v>
      </c>
      <c r="QT31" t="s">
        <v>4682</v>
      </c>
      <c r="QU31" t="s">
        <v>4580</v>
      </c>
      <c r="QV31" t="s">
        <v>4631</v>
      </c>
      <c r="QW31" t="s">
        <v>4635</v>
      </c>
      <c r="QX31" t="s">
        <v>4639</v>
      </c>
      <c r="QY31" t="s">
        <v>4643</v>
      </c>
      <c r="QZ31" t="s">
        <v>4647</v>
      </c>
      <c r="RA31" t="s">
        <v>4651</v>
      </c>
      <c r="RB31" t="s">
        <v>4655</v>
      </c>
      <c r="RC31" t="s">
        <v>4702</v>
      </c>
      <c r="RD31" t="s">
        <v>4664</v>
      </c>
      <c r="RE31" t="s">
        <v>4664</v>
      </c>
      <c r="RF31" t="s">
        <v>4668</v>
      </c>
      <c r="RG31" t="s">
        <v>4672</v>
      </c>
      <c r="RH31" t="s">
        <v>4716</v>
      </c>
      <c r="RI31" t="s">
        <v>4678</v>
      </c>
      <c r="RJ31" t="s">
        <v>4682</v>
      </c>
      <c r="RK31" t="s">
        <v>4580</v>
      </c>
      <c r="RL31" t="s">
        <v>4631</v>
      </c>
      <c r="RM31" t="s">
        <v>4635</v>
      </c>
      <c r="RN31" t="s">
        <v>4643</v>
      </c>
      <c r="RO31" t="s">
        <v>4647</v>
      </c>
      <c r="RP31" t="s">
        <v>4651</v>
      </c>
      <c r="RQ31" t="s">
        <v>4655</v>
      </c>
      <c r="RR31" t="s">
        <v>4767</v>
      </c>
      <c r="RS31" t="s">
        <v>4664</v>
      </c>
      <c r="RT31" t="s">
        <v>4668</v>
      </c>
      <c r="RU31" t="s">
        <v>4672</v>
      </c>
      <c r="RV31" t="s">
        <v>4709</v>
      </c>
      <c r="RW31" t="s">
        <v>4678</v>
      </c>
      <c r="RX31" t="s">
        <v>4682</v>
      </c>
      <c r="RY31" t="s">
        <v>4580</v>
      </c>
      <c r="RZ31" t="s">
        <v>4631</v>
      </c>
      <c r="SA31" t="s">
        <v>4635</v>
      </c>
      <c r="SB31" t="s">
        <v>4639</v>
      </c>
      <c r="SC31" t="s">
        <v>4643</v>
      </c>
      <c r="SD31" t="s">
        <v>4647</v>
      </c>
      <c r="SE31" t="s">
        <v>4651</v>
      </c>
      <c r="SF31" t="s">
        <v>4655</v>
      </c>
      <c r="SG31" t="s">
        <v>4767</v>
      </c>
      <c r="SH31" t="s">
        <v>4664</v>
      </c>
      <c r="SI31" t="s">
        <v>4668</v>
      </c>
      <c r="SJ31" t="s">
        <v>4672</v>
      </c>
      <c r="SK31" t="s">
        <v>4716</v>
      </c>
      <c r="SL31" t="s">
        <v>4678</v>
      </c>
      <c r="SM31" t="s">
        <v>4682</v>
      </c>
      <c r="SN31" t="s">
        <v>4580</v>
      </c>
      <c r="SO31" t="s">
        <v>4631</v>
      </c>
      <c r="SP31" t="s">
        <v>4635</v>
      </c>
      <c r="SQ31" t="s">
        <v>4639</v>
      </c>
      <c r="SR31" t="s">
        <v>4643</v>
      </c>
      <c r="SS31" t="s">
        <v>4647</v>
      </c>
      <c r="ST31" t="s">
        <v>4655</v>
      </c>
      <c r="SU31" t="s">
        <v>4767</v>
      </c>
      <c r="SV31" t="s">
        <v>4664</v>
      </c>
      <c r="SW31" t="s">
        <v>4668</v>
      </c>
      <c r="SX31" t="s">
        <v>4672</v>
      </c>
      <c r="SY31" t="s">
        <v>4709</v>
      </c>
      <c r="SZ31" t="s">
        <v>4678</v>
      </c>
      <c r="TA31" t="s">
        <v>4682</v>
      </c>
      <c r="TB31" t="s">
        <v>4580</v>
      </c>
      <c r="TC31" t="s">
        <v>4631</v>
      </c>
      <c r="TD31" t="s">
        <v>4635</v>
      </c>
      <c r="TE31" t="s">
        <v>4639</v>
      </c>
      <c r="TF31" t="s">
        <v>4639</v>
      </c>
      <c r="TG31" t="s">
        <v>4643</v>
      </c>
      <c r="TH31" t="s">
        <v>4647</v>
      </c>
      <c r="TI31" t="s">
        <v>4651</v>
      </c>
      <c r="TJ31" t="s">
        <v>4655</v>
      </c>
      <c r="TK31" t="s">
        <v>4767</v>
      </c>
      <c r="TL31" t="s">
        <v>4664</v>
      </c>
      <c r="TM31" t="s">
        <v>4668</v>
      </c>
      <c r="TN31" t="s">
        <v>4672</v>
      </c>
      <c r="TO31" t="s">
        <v>4716</v>
      </c>
      <c r="TP31" t="s">
        <v>4678</v>
      </c>
      <c r="TQ31" t="s">
        <v>4580</v>
      </c>
      <c r="TR31" t="s">
        <v>4631</v>
      </c>
      <c r="TS31" t="s">
        <v>4635</v>
      </c>
      <c r="TT31" t="s">
        <v>4639</v>
      </c>
      <c r="TU31" t="s">
        <v>4643</v>
      </c>
      <c r="TV31" t="s">
        <v>4647</v>
      </c>
      <c r="TW31" t="s">
        <v>4651</v>
      </c>
      <c r="TX31" t="s">
        <v>4655</v>
      </c>
      <c r="TY31" t="s">
        <v>4767</v>
      </c>
      <c r="TZ31" t="s">
        <v>4664</v>
      </c>
      <c r="UA31" t="s">
        <v>4668</v>
      </c>
      <c r="UB31" t="s">
        <v>4672</v>
      </c>
      <c r="UC31" t="s">
        <v>4709</v>
      </c>
      <c r="UD31" t="s">
        <v>4678</v>
      </c>
      <c r="UE31" t="s">
        <v>4682</v>
      </c>
      <c r="UF31" t="s">
        <v>4580</v>
      </c>
      <c r="UG31" t="s">
        <v>4631</v>
      </c>
      <c r="UH31" t="s">
        <v>4635</v>
      </c>
      <c r="UI31" t="s">
        <v>4639</v>
      </c>
      <c r="UJ31" t="s">
        <v>4643</v>
      </c>
      <c r="UK31" t="s">
        <v>4647</v>
      </c>
      <c r="UL31" t="s">
        <v>4651</v>
      </c>
      <c r="UM31" t="s">
        <v>4655</v>
      </c>
      <c r="UN31" t="s">
        <v>4702</v>
      </c>
      <c r="UO31" t="s">
        <v>4664</v>
      </c>
      <c r="UP31" t="s">
        <v>4668</v>
      </c>
      <c r="UQ31" t="s">
        <v>4672</v>
      </c>
      <c r="UR31" t="s">
        <v>4716</v>
      </c>
      <c r="US31" t="s">
        <v>4678</v>
      </c>
      <c r="UT31" t="s">
        <v>4682</v>
      </c>
      <c r="UU31" t="s">
        <v>4580</v>
      </c>
      <c r="UV31" t="s">
        <v>4635</v>
      </c>
      <c r="UW31" t="s">
        <v>4639</v>
      </c>
      <c r="UX31" t="s">
        <v>4643</v>
      </c>
      <c r="UY31" t="s">
        <v>4647</v>
      </c>
      <c r="UZ31" t="s">
        <v>4651</v>
      </c>
      <c r="VA31" t="s">
        <v>4655</v>
      </c>
      <c r="VB31" t="s">
        <v>4767</v>
      </c>
      <c r="VC31" t="s">
        <v>4664</v>
      </c>
      <c r="VD31" t="s">
        <v>4668</v>
      </c>
      <c r="VE31" t="s">
        <v>4672</v>
      </c>
      <c r="VF31" t="s">
        <v>4709</v>
      </c>
      <c r="VG31" t="s">
        <v>4678</v>
      </c>
      <c r="VH31" t="s">
        <v>4682</v>
      </c>
      <c r="VI31" t="s">
        <v>4682</v>
      </c>
      <c r="VJ31" t="s">
        <v>4580</v>
      </c>
      <c r="VK31" t="s">
        <v>4631</v>
      </c>
      <c r="VL31" t="s">
        <v>4635</v>
      </c>
      <c r="VM31" t="s">
        <v>4639</v>
      </c>
      <c r="VN31" t="s">
        <v>4643</v>
      </c>
      <c r="VO31" t="s">
        <v>4647</v>
      </c>
      <c r="VP31" t="s">
        <v>4651</v>
      </c>
      <c r="VQ31" t="s">
        <v>4655</v>
      </c>
      <c r="VR31" t="s">
        <v>4767</v>
      </c>
      <c r="VS31" t="s">
        <v>4664</v>
      </c>
      <c r="VT31" t="s">
        <v>4668</v>
      </c>
      <c r="VU31" t="s">
        <v>4716</v>
      </c>
      <c r="VV31" t="s">
        <v>4678</v>
      </c>
      <c r="VW31" t="s">
        <v>4682</v>
      </c>
      <c r="VX31" t="s">
        <v>4580</v>
      </c>
      <c r="VY31" t="s">
        <v>4631</v>
      </c>
      <c r="VZ31" t="s">
        <v>4635</v>
      </c>
      <c r="WA31" t="s">
        <v>4639</v>
      </c>
      <c r="WB31" t="s">
        <v>4647</v>
      </c>
      <c r="WC31" t="s">
        <v>4651</v>
      </c>
      <c r="WD31" t="s">
        <v>4655</v>
      </c>
      <c r="WE31" t="s">
        <v>4655</v>
      </c>
      <c r="WF31" t="s">
        <v>4767</v>
      </c>
      <c r="WG31" t="s">
        <v>4664</v>
      </c>
      <c r="WH31" t="s">
        <v>4668</v>
      </c>
      <c r="WI31" t="s">
        <v>4672</v>
      </c>
      <c r="WJ31" t="s">
        <v>4709</v>
      </c>
      <c r="WK31" t="s">
        <v>4678</v>
      </c>
      <c r="WL31" t="s">
        <v>4682</v>
      </c>
      <c r="WM31" t="s">
        <v>4580</v>
      </c>
      <c r="WN31" t="s">
        <v>4631</v>
      </c>
      <c r="WO31" t="s">
        <v>4635</v>
      </c>
      <c r="WP31" t="s">
        <v>4639</v>
      </c>
      <c r="WQ31" t="s">
        <v>4643</v>
      </c>
      <c r="WR31" t="s">
        <v>4647</v>
      </c>
      <c r="WS31" t="s">
        <v>4651</v>
      </c>
      <c r="WT31" t="s">
        <v>4655</v>
      </c>
      <c r="WU31" t="s">
        <v>4767</v>
      </c>
      <c r="WV31" t="s">
        <v>4664</v>
      </c>
      <c r="WW31" t="s">
        <v>4668</v>
      </c>
      <c r="WX31" t="s">
        <v>4672</v>
      </c>
      <c r="WY31" t="s">
        <v>4716</v>
      </c>
      <c r="WZ31" t="s">
        <v>4682</v>
      </c>
      <c r="XA31" t="s">
        <v>4580</v>
      </c>
      <c r="XB31" t="s">
        <v>4631</v>
      </c>
      <c r="XC31" t="s">
        <v>4635</v>
      </c>
      <c r="XD31" t="s">
        <v>4639</v>
      </c>
      <c r="XE31" t="s">
        <v>4643</v>
      </c>
      <c r="XF31" t="s">
        <v>4647</v>
      </c>
      <c r="XG31" t="s">
        <v>4651</v>
      </c>
      <c r="XH31" t="s">
        <v>4655</v>
      </c>
      <c r="XI31" t="s">
        <v>4767</v>
      </c>
      <c r="XJ31" t="s">
        <v>4664</v>
      </c>
      <c r="XK31" t="s">
        <v>4668</v>
      </c>
      <c r="XL31" t="s">
        <v>4672</v>
      </c>
      <c r="XM31" t="s">
        <v>4672</v>
      </c>
      <c r="XN31" t="s">
        <v>4709</v>
      </c>
      <c r="XO31" t="s">
        <v>4678</v>
      </c>
      <c r="XP31" t="s">
        <v>4682</v>
      </c>
      <c r="XQ31" t="s">
        <v>4580</v>
      </c>
      <c r="XR31" t="s">
        <v>4631</v>
      </c>
      <c r="XS31" t="s">
        <v>4635</v>
      </c>
      <c r="XT31" t="s">
        <v>4639</v>
      </c>
      <c r="XU31" t="s">
        <v>4643</v>
      </c>
      <c r="XV31" t="s">
        <v>4647</v>
      </c>
      <c r="XW31" t="s">
        <v>4651</v>
      </c>
      <c r="XX31" t="s">
        <v>4655</v>
      </c>
      <c r="XY31" t="s">
        <v>4664</v>
      </c>
      <c r="XZ31" t="s">
        <v>4668</v>
      </c>
      <c r="YA31" t="s">
        <v>4672</v>
      </c>
      <c r="YB31" t="s">
        <v>4716</v>
      </c>
      <c r="YC31" t="s">
        <v>4678</v>
      </c>
      <c r="YD31" t="s">
        <v>4682</v>
      </c>
      <c r="YE31" t="s">
        <v>4580</v>
      </c>
      <c r="YF31" t="s">
        <v>4631</v>
      </c>
      <c r="YG31" t="s">
        <v>4635</v>
      </c>
      <c r="YH31" t="s">
        <v>4639</v>
      </c>
      <c r="YI31" t="s">
        <v>4643</v>
      </c>
      <c r="YJ31" t="s">
        <v>4647</v>
      </c>
      <c r="YK31" t="s">
        <v>4651</v>
      </c>
      <c r="YL31" t="s">
        <v>4655</v>
      </c>
      <c r="YM31" t="s">
        <v>4767</v>
      </c>
      <c r="YN31" t="s">
        <v>4664</v>
      </c>
      <c r="YO31" t="s">
        <v>4668</v>
      </c>
      <c r="YP31" t="s">
        <v>4672</v>
      </c>
      <c r="YQ31" t="s">
        <v>4709</v>
      </c>
      <c r="YR31" t="s">
        <v>4678</v>
      </c>
      <c r="YS31" t="s">
        <v>4682</v>
      </c>
      <c r="YT31" t="s">
        <v>4580</v>
      </c>
      <c r="YU31" t="s">
        <v>4631</v>
      </c>
      <c r="YV31" t="s">
        <v>4635</v>
      </c>
      <c r="YW31" t="s">
        <v>4639</v>
      </c>
      <c r="YX31" t="s">
        <v>4643</v>
      </c>
      <c r="YY31" t="s">
        <v>4647</v>
      </c>
      <c r="YZ31" t="s">
        <v>4651</v>
      </c>
      <c r="ZA31" t="s">
        <v>4655</v>
      </c>
      <c r="ZB31" t="s">
        <v>4767</v>
      </c>
      <c r="ZC31" t="s">
        <v>4664</v>
      </c>
      <c r="ZD31" t="s">
        <v>4668</v>
      </c>
      <c r="ZE31" t="s">
        <v>4716</v>
      </c>
      <c r="ZF31" t="s">
        <v>4678</v>
      </c>
      <c r="ZG31" t="s">
        <v>4682</v>
      </c>
      <c r="ZH31" t="s">
        <v>4580</v>
      </c>
      <c r="ZI31" t="s">
        <v>4631</v>
      </c>
      <c r="ZJ31" t="s">
        <v>4635</v>
      </c>
      <c r="ZK31" t="s">
        <v>4639</v>
      </c>
      <c r="ZL31" t="s">
        <v>4643</v>
      </c>
      <c r="ZM31" t="s">
        <v>4647</v>
      </c>
      <c r="ZN31" t="s">
        <v>4651</v>
      </c>
      <c r="ZO31" t="s">
        <v>4651</v>
      </c>
      <c r="ZP31" t="s">
        <v>4655</v>
      </c>
      <c r="ZQ31" t="s">
        <v>4767</v>
      </c>
      <c r="ZR31" t="s">
        <v>4664</v>
      </c>
      <c r="ZS31" t="s">
        <v>4668</v>
      </c>
      <c r="ZT31" t="s">
        <v>4672</v>
      </c>
      <c r="ZU31" t="s">
        <v>4709</v>
      </c>
      <c r="ZV31" t="s">
        <v>4678</v>
      </c>
      <c r="ZW31" t="s">
        <v>4682</v>
      </c>
      <c r="ZX31" t="s">
        <v>4580</v>
      </c>
      <c r="ZY31" t="s">
        <v>4631</v>
      </c>
      <c r="ZZ31" t="s">
        <v>4635</v>
      </c>
      <c r="AAA31" t="s">
        <v>4643</v>
      </c>
      <c r="AAB31" t="s">
        <v>4647</v>
      </c>
      <c r="AAC31" t="s">
        <v>4651</v>
      </c>
      <c r="AAD31" t="s">
        <v>4655</v>
      </c>
      <c r="AAE31" t="s">
        <v>4767</v>
      </c>
      <c r="AAF31" t="s">
        <v>4664</v>
      </c>
      <c r="AAG31" t="s">
        <v>4668</v>
      </c>
      <c r="AAH31" t="s">
        <v>4672</v>
      </c>
      <c r="AAI31" t="s">
        <v>4716</v>
      </c>
      <c r="AAJ31" t="s">
        <v>4678</v>
      </c>
      <c r="AAK31" t="s">
        <v>4682</v>
      </c>
      <c r="AAL31" t="s">
        <v>4580</v>
      </c>
      <c r="AAM31" t="s">
        <v>4631</v>
      </c>
      <c r="AAN31" t="s">
        <v>4635</v>
      </c>
      <c r="AAO31" t="s">
        <v>4639</v>
      </c>
      <c r="AAP31" t="s">
        <v>4643</v>
      </c>
      <c r="AAQ31" t="s">
        <v>4647</v>
      </c>
      <c r="AAR31" t="s">
        <v>4651</v>
      </c>
      <c r="AAS31" t="s">
        <v>4655</v>
      </c>
      <c r="AAT31" t="s">
        <v>4655</v>
      </c>
      <c r="AAU31" t="s">
        <v>4767</v>
      </c>
      <c r="AAV31" t="s">
        <v>4664</v>
      </c>
      <c r="AAW31" t="s">
        <v>4668</v>
      </c>
      <c r="AAX31" t="s">
        <v>4709</v>
      </c>
      <c r="AAY31" t="s">
        <v>4678</v>
      </c>
      <c r="AAZ31" t="s">
        <v>4682</v>
      </c>
      <c r="ABA31" t="s">
        <v>4580</v>
      </c>
      <c r="ABB31" t="s">
        <v>4631</v>
      </c>
      <c r="ABC31" t="s">
        <v>4635</v>
      </c>
      <c r="ABD31" t="s">
        <v>4639</v>
      </c>
      <c r="ABE31" t="s">
        <v>4643</v>
      </c>
      <c r="ABF31" t="s">
        <v>4647</v>
      </c>
      <c r="ABG31" t="s">
        <v>4651</v>
      </c>
      <c r="ABH31" t="s">
        <v>4655</v>
      </c>
      <c r="ABI31" t="s">
        <v>4664</v>
      </c>
      <c r="ABJ31" t="s">
        <v>4668</v>
      </c>
      <c r="ABK31" t="s">
        <v>4672</v>
      </c>
      <c r="ABL31" t="s">
        <v>4716</v>
      </c>
      <c r="ABM31" t="s">
        <v>4678</v>
      </c>
      <c r="ABN31" t="s">
        <v>4678</v>
      </c>
      <c r="ABO31" t="s">
        <v>4682</v>
      </c>
      <c r="ABP31" t="s">
        <v>4580</v>
      </c>
      <c r="ABQ31" t="s">
        <v>4631</v>
      </c>
      <c r="ABR31" t="s">
        <v>4635</v>
      </c>
      <c r="ABS31" t="s">
        <v>4639</v>
      </c>
      <c r="ABT31" t="s">
        <v>4643</v>
      </c>
      <c r="ABU31" t="s">
        <v>4647</v>
      </c>
      <c r="ABV31" t="s">
        <v>4651</v>
      </c>
      <c r="ABW31" t="s">
        <v>4655</v>
      </c>
      <c r="ABX31" t="s">
        <v>4767</v>
      </c>
      <c r="ABY31" t="s">
        <v>4664</v>
      </c>
      <c r="ABZ31" t="s">
        <v>4668</v>
      </c>
      <c r="ACA31" t="s">
        <v>4672</v>
      </c>
      <c r="ACB31" t="s">
        <v>4709</v>
      </c>
      <c r="ACC31" t="s">
        <v>4678</v>
      </c>
      <c r="ACD31" t="s">
        <v>4682</v>
      </c>
      <c r="ACE31" t="s">
        <v>4580</v>
      </c>
      <c r="ACF31" t="s">
        <v>4635</v>
      </c>
      <c r="ACG31" t="s">
        <v>4639</v>
      </c>
      <c r="ACH31" t="s">
        <v>4643</v>
      </c>
      <c r="ACI31" t="s">
        <v>4647</v>
      </c>
      <c r="ACJ31" t="s">
        <v>4651</v>
      </c>
      <c r="ACK31" t="s">
        <v>4655</v>
      </c>
      <c r="ACL31" t="s">
        <v>4767</v>
      </c>
      <c r="ACM31" t="s">
        <v>4664</v>
      </c>
      <c r="ACN31" t="s">
        <v>4668</v>
      </c>
      <c r="ACO31" t="s">
        <v>4672</v>
      </c>
      <c r="ACP31" t="s">
        <v>4716</v>
      </c>
      <c r="ACQ31" t="s">
        <v>4678</v>
      </c>
      <c r="ACR31" t="s">
        <v>4682</v>
      </c>
      <c r="ACS31" t="s">
        <v>4580</v>
      </c>
      <c r="ACT31" t="s">
        <v>4580</v>
      </c>
      <c r="ACU31" t="s">
        <v>4631</v>
      </c>
      <c r="ACV31" t="s">
        <v>4635</v>
      </c>
      <c r="ACW31" t="s">
        <v>4639</v>
      </c>
      <c r="ACX31" t="s">
        <v>4643</v>
      </c>
      <c r="ACY31" t="s">
        <v>4647</v>
      </c>
      <c r="ACZ31" t="s">
        <v>4651</v>
      </c>
      <c r="ADA31" t="s">
        <v>4655</v>
      </c>
      <c r="ADB31" t="s">
        <v>4767</v>
      </c>
      <c r="ADC31" t="s">
        <v>4664</v>
      </c>
      <c r="ADD31" t="s">
        <v>4668</v>
      </c>
      <c r="ADE31" t="s">
        <v>4672</v>
      </c>
      <c r="ADF31" t="s">
        <v>4678</v>
      </c>
      <c r="ADG31" t="s">
        <v>4682</v>
      </c>
      <c r="ADH31" t="s">
        <v>4580</v>
      </c>
      <c r="ADI31" t="s">
        <v>4631</v>
      </c>
      <c r="ADJ31" t="s">
        <v>4635</v>
      </c>
      <c r="ADK31" t="s">
        <v>4639</v>
      </c>
      <c r="ADL31" t="s">
        <v>4643</v>
      </c>
      <c r="ADM31" t="s">
        <v>4647</v>
      </c>
      <c r="ADN31" t="s">
        <v>4651</v>
      </c>
      <c r="ADO31" t="s">
        <v>4655</v>
      </c>
      <c r="ADP31" t="s">
        <v>4767</v>
      </c>
    </row>
    <row r="32" spans="1:796">
      <c r="A32" t="s">
        <v>4574</v>
      </c>
      <c r="B32">
        <v>32</v>
      </c>
      <c r="C32" t="s">
        <v>4336</v>
      </c>
      <c r="D32">
        <v>81</v>
      </c>
      <c r="E32" t="s">
        <v>4683</v>
      </c>
      <c r="F32" t="s">
        <v>4717</v>
      </c>
      <c r="G32" t="s">
        <v>4685</v>
      </c>
      <c r="H32" t="s">
        <v>4687</v>
      </c>
      <c r="I32" t="s">
        <v>4689</v>
      </c>
      <c r="J32" t="s">
        <v>4691</v>
      </c>
      <c r="K32" t="s">
        <v>4694</v>
      </c>
      <c r="L32" t="s">
        <v>4696</v>
      </c>
      <c r="M32" t="s">
        <v>4698</v>
      </c>
      <c r="N32" t="s">
        <v>4700</v>
      </c>
      <c r="O32" t="s">
        <v>4704</v>
      </c>
      <c r="P32" t="s">
        <v>4706</v>
      </c>
      <c r="Q32" t="s">
        <v>4708</v>
      </c>
      <c r="R32" t="s">
        <v>4710</v>
      </c>
      <c r="S32" t="s">
        <v>4581</v>
      </c>
      <c r="T32" t="s">
        <v>4632</v>
      </c>
      <c r="U32" t="s">
        <v>4640</v>
      </c>
      <c r="V32" t="s">
        <v>4644</v>
      </c>
      <c r="W32" t="s">
        <v>4648</v>
      </c>
      <c r="X32" t="s">
        <v>4648</v>
      </c>
      <c r="Y32" t="s">
        <v>4652</v>
      </c>
      <c r="Z32" t="s">
        <v>4656</v>
      </c>
      <c r="AA32" t="s">
        <v>4659</v>
      </c>
      <c r="AB32" t="s">
        <v>4665</v>
      </c>
      <c r="AC32" t="s">
        <v>4669</v>
      </c>
      <c r="AD32" t="s">
        <v>4673</v>
      </c>
      <c r="AE32" t="s">
        <v>4679</v>
      </c>
      <c r="AF32" t="s">
        <v>4683</v>
      </c>
      <c r="AG32" t="s">
        <v>4717</v>
      </c>
      <c r="AH32" t="s">
        <v>4685</v>
      </c>
      <c r="AI32" t="s">
        <v>4685</v>
      </c>
      <c r="AJ32" t="s">
        <v>4687</v>
      </c>
      <c r="AK32" t="s">
        <v>4689</v>
      </c>
      <c r="AL32" t="s">
        <v>4691</v>
      </c>
      <c r="AM32" t="s">
        <v>4694</v>
      </c>
      <c r="AN32" t="s">
        <v>4696</v>
      </c>
      <c r="AO32" t="s">
        <v>4698</v>
      </c>
      <c r="AP32" t="s">
        <v>4700</v>
      </c>
      <c r="AQ32" t="s">
        <v>4706</v>
      </c>
      <c r="AR32" t="s">
        <v>4708</v>
      </c>
      <c r="AS32" t="s">
        <v>4710</v>
      </c>
      <c r="AT32" t="s">
        <v>4581</v>
      </c>
      <c r="AU32" t="s">
        <v>4632</v>
      </c>
      <c r="AV32" t="s">
        <v>4636</v>
      </c>
      <c r="AW32" t="s">
        <v>4640</v>
      </c>
      <c r="AX32" t="s">
        <v>4644</v>
      </c>
      <c r="AY32" t="s">
        <v>4648</v>
      </c>
      <c r="AZ32" t="s">
        <v>4652</v>
      </c>
      <c r="BA32" t="s">
        <v>4656</v>
      </c>
      <c r="BB32" t="s">
        <v>4659</v>
      </c>
      <c r="BC32" t="s">
        <v>4665</v>
      </c>
      <c r="BD32" t="s">
        <v>4669</v>
      </c>
      <c r="BE32" t="s">
        <v>4673</v>
      </c>
      <c r="BF32" t="s">
        <v>4673</v>
      </c>
      <c r="BG32" t="s">
        <v>4679</v>
      </c>
      <c r="BH32" t="s">
        <v>4683</v>
      </c>
      <c r="BI32" t="s">
        <v>4717</v>
      </c>
      <c r="BJ32" t="s">
        <v>4685</v>
      </c>
      <c r="BK32" t="s">
        <v>4687</v>
      </c>
      <c r="BL32" t="s">
        <v>4689</v>
      </c>
      <c r="BM32" t="s">
        <v>4691</v>
      </c>
      <c r="BN32" t="s">
        <v>4694</v>
      </c>
      <c r="BO32" t="s">
        <v>4696</v>
      </c>
      <c r="BP32" t="s">
        <v>4698</v>
      </c>
      <c r="BQ32" t="s">
        <v>4700</v>
      </c>
      <c r="BR32" t="s">
        <v>4704</v>
      </c>
      <c r="BS32" t="s">
        <v>4706</v>
      </c>
      <c r="BT32" t="s">
        <v>4708</v>
      </c>
      <c r="BU32" t="s">
        <v>4581</v>
      </c>
      <c r="BV32" t="s">
        <v>4632</v>
      </c>
      <c r="BW32" t="s">
        <v>4636</v>
      </c>
      <c r="BX32" t="s">
        <v>4640</v>
      </c>
      <c r="BY32" t="s">
        <v>4644</v>
      </c>
      <c r="BZ32" t="s">
        <v>4648</v>
      </c>
      <c r="CA32" t="s">
        <v>4652</v>
      </c>
      <c r="CB32" t="s">
        <v>4656</v>
      </c>
      <c r="CC32" t="s">
        <v>4659</v>
      </c>
      <c r="CD32" t="s">
        <v>4665</v>
      </c>
      <c r="CE32" t="s">
        <v>4665</v>
      </c>
      <c r="CF32" t="s">
        <v>4669</v>
      </c>
      <c r="CG32" t="s">
        <v>4673</v>
      </c>
      <c r="CH32" t="s">
        <v>4679</v>
      </c>
      <c r="CI32" t="s">
        <v>4683</v>
      </c>
      <c r="CJ32" t="s">
        <v>4717</v>
      </c>
      <c r="CK32" t="s">
        <v>4685</v>
      </c>
      <c r="CL32" t="s">
        <v>4687</v>
      </c>
      <c r="CM32" t="s">
        <v>4689</v>
      </c>
      <c r="CN32" t="s">
        <v>4691</v>
      </c>
      <c r="CO32" t="s">
        <v>4694</v>
      </c>
      <c r="CP32" t="s">
        <v>4696</v>
      </c>
      <c r="CQ32" t="s">
        <v>4698</v>
      </c>
      <c r="CR32" t="s">
        <v>4700</v>
      </c>
      <c r="CS32" t="s">
        <v>4704</v>
      </c>
      <c r="CT32" t="s">
        <v>4706</v>
      </c>
      <c r="CU32" t="s">
        <v>4708</v>
      </c>
      <c r="CV32" t="s">
        <v>4710</v>
      </c>
      <c r="CW32" t="s">
        <v>4581</v>
      </c>
      <c r="CX32" t="s">
        <v>4632</v>
      </c>
      <c r="CY32" t="s">
        <v>4636</v>
      </c>
      <c r="CZ32" t="s">
        <v>4640</v>
      </c>
      <c r="DA32" t="s">
        <v>4644</v>
      </c>
      <c r="DB32" t="s">
        <v>4648</v>
      </c>
      <c r="DC32" t="s">
        <v>4652</v>
      </c>
      <c r="DD32" t="s">
        <v>4656</v>
      </c>
      <c r="DE32" t="s">
        <v>4659</v>
      </c>
      <c r="DF32" t="s">
        <v>4665</v>
      </c>
      <c r="DG32" t="s">
        <v>4669</v>
      </c>
      <c r="DH32" t="s">
        <v>4673</v>
      </c>
      <c r="DI32" t="s">
        <v>4679</v>
      </c>
      <c r="DJ32" t="s">
        <v>4683</v>
      </c>
      <c r="DK32" t="s">
        <v>4717</v>
      </c>
      <c r="DL32" t="s">
        <v>4717</v>
      </c>
      <c r="DM32" t="s">
        <v>4685</v>
      </c>
      <c r="DN32" t="s">
        <v>4687</v>
      </c>
      <c r="DO32" t="s">
        <v>4689</v>
      </c>
      <c r="DP32" t="s">
        <v>4691</v>
      </c>
      <c r="DQ32" t="s">
        <v>4694</v>
      </c>
      <c r="DR32" t="s">
        <v>4698</v>
      </c>
      <c r="DS32" t="s">
        <v>4700</v>
      </c>
      <c r="DT32" t="s">
        <v>4704</v>
      </c>
      <c r="DU32" t="s">
        <v>4706</v>
      </c>
      <c r="DV32" t="s">
        <v>4708</v>
      </c>
      <c r="DW32" t="s">
        <v>4710</v>
      </c>
      <c r="DX32" t="s">
        <v>4581</v>
      </c>
      <c r="DY32" t="s">
        <v>4632</v>
      </c>
      <c r="DZ32" t="s">
        <v>4636</v>
      </c>
      <c r="EA32" t="s">
        <v>4640</v>
      </c>
      <c r="EB32" t="s">
        <v>4644</v>
      </c>
      <c r="EC32" t="s">
        <v>4648</v>
      </c>
      <c r="ED32" t="s">
        <v>4652</v>
      </c>
      <c r="EE32" t="s">
        <v>4656</v>
      </c>
      <c r="EF32" t="s">
        <v>4659</v>
      </c>
      <c r="EG32" t="s">
        <v>4665</v>
      </c>
      <c r="EH32" t="s">
        <v>4669</v>
      </c>
      <c r="EI32" t="s">
        <v>4673</v>
      </c>
      <c r="EJ32" t="s">
        <v>4679</v>
      </c>
      <c r="EK32" t="s">
        <v>4679</v>
      </c>
      <c r="EL32" t="s">
        <v>4683</v>
      </c>
      <c r="EM32" t="s">
        <v>4717</v>
      </c>
      <c r="EN32" t="s">
        <v>4685</v>
      </c>
      <c r="EO32" t="s">
        <v>4687</v>
      </c>
      <c r="EP32" t="s">
        <v>4689</v>
      </c>
      <c r="EQ32" t="s">
        <v>4691</v>
      </c>
      <c r="ER32" t="s">
        <v>4694</v>
      </c>
      <c r="ES32" t="s">
        <v>4696</v>
      </c>
      <c r="ET32" t="s">
        <v>4698</v>
      </c>
      <c r="EU32" t="s">
        <v>4700</v>
      </c>
      <c r="EV32" t="s">
        <v>4704</v>
      </c>
      <c r="EW32" t="s">
        <v>4708</v>
      </c>
      <c r="EX32" t="s">
        <v>4710</v>
      </c>
      <c r="EY32" t="s">
        <v>4581</v>
      </c>
      <c r="EZ32" t="s">
        <v>4632</v>
      </c>
      <c r="FA32" t="s">
        <v>4636</v>
      </c>
      <c r="FB32" t="s">
        <v>4640</v>
      </c>
      <c r="FC32" t="s">
        <v>4644</v>
      </c>
      <c r="FD32" t="s">
        <v>4648</v>
      </c>
      <c r="FE32" t="s">
        <v>4652</v>
      </c>
      <c r="FF32" t="s">
        <v>4656</v>
      </c>
      <c r="FG32" t="s">
        <v>4659</v>
      </c>
      <c r="FH32" t="s">
        <v>4665</v>
      </c>
      <c r="FI32" t="s">
        <v>4665</v>
      </c>
      <c r="FJ32" t="s">
        <v>4669</v>
      </c>
      <c r="FK32" t="s">
        <v>4673</v>
      </c>
      <c r="FL32" t="s">
        <v>4679</v>
      </c>
      <c r="FM32" t="s">
        <v>4683</v>
      </c>
      <c r="FN32" t="s">
        <v>4717</v>
      </c>
      <c r="FO32" t="s">
        <v>4685</v>
      </c>
      <c r="FP32" t="s">
        <v>4687</v>
      </c>
      <c r="FQ32" t="s">
        <v>4689</v>
      </c>
      <c r="FR32" t="s">
        <v>4691</v>
      </c>
      <c r="FS32" t="s">
        <v>4694</v>
      </c>
      <c r="FT32" t="s">
        <v>4696</v>
      </c>
      <c r="FU32" t="s">
        <v>4698</v>
      </c>
      <c r="FV32" t="s">
        <v>4700</v>
      </c>
      <c r="FW32" t="s">
        <v>4704</v>
      </c>
      <c r="FX32" t="s">
        <v>4706</v>
      </c>
      <c r="FY32" t="s">
        <v>4708</v>
      </c>
      <c r="FZ32" t="s">
        <v>4710</v>
      </c>
      <c r="GA32" t="s">
        <v>4581</v>
      </c>
      <c r="GB32" t="s">
        <v>4636</v>
      </c>
      <c r="GC32" t="s">
        <v>4640</v>
      </c>
      <c r="GD32" t="s">
        <v>4644</v>
      </c>
      <c r="GE32" t="s">
        <v>4648</v>
      </c>
      <c r="GF32" t="s">
        <v>4652</v>
      </c>
      <c r="GG32" t="s">
        <v>4656</v>
      </c>
      <c r="GH32" t="s">
        <v>4656</v>
      </c>
      <c r="GI32" t="s">
        <v>4659</v>
      </c>
      <c r="GJ32" t="s">
        <v>4665</v>
      </c>
      <c r="GK32" t="s">
        <v>4669</v>
      </c>
      <c r="GL32" t="s">
        <v>4673</v>
      </c>
      <c r="GM32" t="s">
        <v>4679</v>
      </c>
      <c r="GN32" t="s">
        <v>4683</v>
      </c>
      <c r="GO32" t="s">
        <v>4717</v>
      </c>
      <c r="GP32" t="s">
        <v>4685</v>
      </c>
      <c r="GQ32" t="s">
        <v>4687</v>
      </c>
      <c r="GR32" t="s">
        <v>4687</v>
      </c>
      <c r="GS32" t="s">
        <v>4689</v>
      </c>
      <c r="GT32" t="s">
        <v>4691</v>
      </c>
      <c r="GU32" t="s">
        <v>4694</v>
      </c>
      <c r="GV32" t="s">
        <v>4696</v>
      </c>
      <c r="GW32" t="s">
        <v>4698</v>
      </c>
      <c r="GX32" t="s">
        <v>4700</v>
      </c>
      <c r="GY32" t="s">
        <v>4706</v>
      </c>
      <c r="GZ32" t="s">
        <v>4708</v>
      </c>
      <c r="HA32" t="s">
        <v>4710</v>
      </c>
      <c r="HB32" t="s">
        <v>4581</v>
      </c>
      <c r="HC32" t="s">
        <v>4632</v>
      </c>
      <c r="HD32" t="s">
        <v>4636</v>
      </c>
      <c r="HE32" t="s">
        <v>4640</v>
      </c>
      <c r="HF32" t="s">
        <v>4644</v>
      </c>
      <c r="HG32" t="s">
        <v>4648</v>
      </c>
      <c r="HH32" t="s">
        <v>4652</v>
      </c>
      <c r="HI32" t="s">
        <v>4656</v>
      </c>
      <c r="HJ32" t="s">
        <v>4659</v>
      </c>
      <c r="HK32" t="s">
        <v>4665</v>
      </c>
      <c r="HL32" t="s">
        <v>4669</v>
      </c>
      <c r="HM32" t="s">
        <v>4673</v>
      </c>
      <c r="HN32" t="s">
        <v>4679</v>
      </c>
      <c r="HO32" t="s">
        <v>4683</v>
      </c>
      <c r="HP32" t="s">
        <v>4683</v>
      </c>
      <c r="HQ32" t="s">
        <v>4717</v>
      </c>
      <c r="HR32" t="s">
        <v>4685</v>
      </c>
      <c r="HS32" t="s">
        <v>4687</v>
      </c>
      <c r="HT32" t="s">
        <v>4689</v>
      </c>
      <c r="HU32" t="s">
        <v>4691</v>
      </c>
      <c r="HV32" t="s">
        <v>4694</v>
      </c>
      <c r="HW32" t="s">
        <v>4696</v>
      </c>
      <c r="HX32" t="s">
        <v>4698</v>
      </c>
      <c r="HY32" t="s">
        <v>4700</v>
      </c>
      <c r="HZ32" t="s">
        <v>4704</v>
      </c>
      <c r="IA32" t="s">
        <v>4706</v>
      </c>
      <c r="IB32" t="s">
        <v>4708</v>
      </c>
      <c r="IC32" t="s">
        <v>4710</v>
      </c>
      <c r="ID32" t="s">
        <v>4632</v>
      </c>
      <c r="IE32" t="s">
        <v>4636</v>
      </c>
      <c r="IF32" t="s">
        <v>4640</v>
      </c>
      <c r="IG32" t="s">
        <v>4644</v>
      </c>
      <c r="IH32" t="s">
        <v>4648</v>
      </c>
      <c r="II32" t="s">
        <v>4652</v>
      </c>
      <c r="IJ32" t="s">
        <v>4656</v>
      </c>
      <c r="IK32" t="s">
        <v>4659</v>
      </c>
      <c r="IL32" t="s">
        <v>4665</v>
      </c>
      <c r="IM32" t="s">
        <v>4669</v>
      </c>
      <c r="IN32" t="s">
        <v>4673</v>
      </c>
      <c r="IO32" t="s">
        <v>4673</v>
      </c>
      <c r="IP32" t="s">
        <v>4679</v>
      </c>
      <c r="IQ32" t="s">
        <v>4683</v>
      </c>
      <c r="IR32" t="s">
        <v>4717</v>
      </c>
      <c r="IS32" t="s">
        <v>4685</v>
      </c>
      <c r="IT32" t="s">
        <v>4687</v>
      </c>
      <c r="IU32" t="s">
        <v>4689</v>
      </c>
      <c r="IV32" t="s">
        <v>4691</v>
      </c>
      <c r="IW32" t="s">
        <v>4694</v>
      </c>
      <c r="IX32" t="s">
        <v>4696</v>
      </c>
      <c r="IY32" t="s">
        <v>4698</v>
      </c>
      <c r="IZ32" t="s">
        <v>4700</v>
      </c>
      <c r="JA32" t="s">
        <v>4704</v>
      </c>
      <c r="JB32" t="s">
        <v>4706</v>
      </c>
      <c r="JC32" t="s">
        <v>4708</v>
      </c>
      <c r="JD32" t="s">
        <v>4710</v>
      </c>
      <c r="JE32" t="s">
        <v>4581</v>
      </c>
      <c r="JF32" t="s">
        <v>4632</v>
      </c>
      <c r="JG32" t="s">
        <v>4636</v>
      </c>
      <c r="JH32" t="s">
        <v>4640</v>
      </c>
      <c r="JI32" t="s">
        <v>4644</v>
      </c>
      <c r="JJ32" t="s">
        <v>4648</v>
      </c>
      <c r="JK32" t="s">
        <v>4652</v>
      </c>
      <c r="JL32" t="s">
        <v>4656</v>
      </c>
      <c r="JM32" t="s">
        <v>4659</v>
      </c>
      <c r="JN32" t="s">
        <v>4665</v>
      </c>
      <c r="JO32" t="s">
        <v>4669</v>
      </c>
      <c r="JP32" t="s">
        <v>4673</v>
      </c>
      <c r="JQ32" t="s">
        <v>4679</v>
      </c>
      <c r="JR32" t="s">
        <v>4683</v>
      </c>
      <c r="JS32" t="s">
        <v>4717</v>
      </c>
      <c r="JT32" t="s">
        <v>4685</v>
      </c>
      <c r="JU32" t="s">
        <v>4687</v>
      </c>
      <c r="JV32" t="s">
        <v>4689</v>
      </c>
      <c r="JW32" t="s">
        <v>4691</v>
      </c>
      <c r="JX32" t="s">
        <v>4694</v>
      </c>
      <c r="JY32" t="s">
        <v>4696</v>
      </c>
      <c r="JZ32" t="s">
        <v>4698</v>
      </c>
      <c r="KA32" t="s">
        <v>4700</v>
      </c>
      <c r="KB32" t="s">
        <v>4704</v>
      </c>
      <c r="KC32" t="s">
        <v>4706</v>
      </c>
      <c r="KD32" t="s">
        <v>4708</v>
      </c>
      <c r="KE32" t="s">
        <v>4710</v>
      </c>
      <c r="KF32" t="s">
        <v>4581</v>
      </c>
      <c r="KG32" t="s">
        <v>4632</v>
      </c>
      <c r="KH32" t="s">
        <v>4636</v>
      </c>
      <c r="KI32" t="s">
        <v>4640</v>
      </c>
      <c r="KJ32" t="s">
        <v>4644</v>
      </c>
      <c r="KK32" t="s">
        <v>4648</v>
      </c>
      <c r="KL32" t="s">
        <v>4652</v>
      </c>
      <c r="KM32" t="s">
        <v>4656</v>
      </c>
      <c r="KN32" t="s">
        <v>4659</v>
      </c>
      <c r="KO32" t="s">
        <v>4665</v>
      </c>
      <c r="KP32" t="s">
        <v>4669</v>
      </c>
      <c r="KQ32" t="s">
        <v>4673</v>
      </c>
      <c r="KR32" t="s">
        <v>4679</v>
      </c>
      <c r="KS32" t="s">
        <v>4683</v>
      </c>
      <c r="KT32" t="s">
        <v>4717</v>
      </c>
      <c r="KU32" t="s">
        <v>4717</v>
      </c>
      <c r="KV32" t="s">
        <v>4685</v>
      </c>
      <c r="KW32" t="s">
        <v>4687</v>
      </c>
      <c r="KX32" t="s">
        <v>4689</v>
      </c>
      <c r="KY32" t="s">
        <v>4691</v>
      </c>
      <c r="KZ32" t="s">
        <v>4694</v>
      </c>
      <c r="LA32" t="s">
        <v>4696</v>
      </c>
      <c r="LB32" t="s">
        <v>4698</v>
      </c>
      <c r="LC32" t="s">
        <v>4700</v>
      </c>
      <c r="LD32" t="s">
        <v>4704</v>
      </c>
      <c r="LE32" t="s">
        <v>4706</v>
      </c>
      <c r="LF32" t="s">
        <v>4710</v>
      </c>
      <c r="LG32" t="s">
        <v>4581</v>
      </c>
      <c r="LH32" t="s">
        <v>4632</v>
      </c>
      <c r="LI32" t="s">
        <v>4636</v>
      </c>
      <c r="LJ32" t="s">
        <v>4640</v>
      </c>
      <c r="LK32" t="s">
        <v>4644</v>
      </c>
      <c r="LL32" t="s">
        <v>4648</v>
      </c>
      <c r="LM32" t="s">
        <v>4652</v>
      </c>
      <c r="LN32" t="s">
        <v>4656</v>
      </c>
      <c r="LO32" t="s">
        <v>4659</v>
      </c>
      <c r="LP32" t="s">
        <v>4665</v>
      </c>
      <c r="LQ32" t="s">
        <v>4669</v>
      </c>
      <c r="LR32" t="s">
        <v>4673</v>
      </c>
      <c r="LS32" t="s">
        <v>4673</v>
      </c>
      <c r="LT32" t="s">
        <v>4679</v>
      </c>
      <c r="LU32" t="s">
        <v>4683</v>
      </c>
      <c r="LV32" t="s">
        <v>4717</v>
      </c>
      <c r="LW32" t="s">
        <v>4685</v>
      </c>
      <c r="LX32" t="s">
        <v>4687</v>
      </c>
      <c r="LY32" t="s">
        <v>4689</v>
      </c>
      <c r="LZ32" t="s">
        <v>4691</v>
      </c>
      <c r="MA32" t="s">
        <v>4694</v>
      </c>
      <c r="MB32" t="s">
        <v>4696</v>
      </c>
      <c r="MC32" t="s">
        <v>4698</v>
      </c>
      <c r="MD32" t="s">
        <v>4700</v>
      </c>
      <c r="ME32" t="s">
        <v>4704</v>
      </c>
      <c r="MF32" t="s">
        <v>4706</v>
      </c>
      <c r="MG32" t="s">
        <v>4708</v>
      </c>
      <c r="MH32" t="s">
        <v>4710</v>
      </c>
      <c r="MI32" t="s">
        <v>4581</v>
      </c>
      <c r="MJ32" t="s">
        <v>4632</v>
      </c>
      <c r="MK32" t="s">
        <v>4640</v>
      </c>
      <c r="ML32" t="s">
        <v>4644</v>
      </c>
      <c r="MM32" t="s">
        <v>4648</v>
      </c>
      <c r="MN32" t="s">
        <v>4652</v>
      </c>
      <c r="MO32" t="s">
        <v>4656</v>
      </c>
      <c r="MP32" t="s">
        <v>4656</v>
      </c>
      <c r="MQ32" t="s">
        <v>4659</v>
      </c>
      <c r="MR32" t="s">
        <v>4665</v>
      </c>
      <c r="MS32" t="s">
        <v>4669</v>
      </c>
      <c r="MT32" t="s">
        <v>4673</v>
      </c>
      <c r="MU32" t="s">
        <v>4679</v>
      </c>
      <c r="MV32" t="s">
        <v>4683</v>
      </c>
      <c r="MW32" t="s">
        <v>4717</v>
      </c>
      <c r="MX32" t="s">
        <v>4685</v>
      </c>
      <c r="MY32" t="s">
        <v>4687</v>
      </c>
      <c r="MZ32" t="s">
        <v>4689</v>
      </c>
      <c r="NA32" t="s">
        <v>4689</v>
      </c>
      <c r="NB32" t="s">
        <v>4691</v>
      </c>
      <c r="NC32" t="s">
        <v>4694</v>
      </c>
      <c r="ND32" t="s">
        <v>4696</v>
      </c>
      <c r="NE32" t="s">
        <v>4698</v>
      </c>
      <c r="NF32" t="s">
        <v>4700</v>
      </c>
      <c r="NG32" t="s">
        <v>4706</v>
      </c>
      <c r="NH32" t="s">
        <v>4708</v>
      </c>
      <c r="NI32" t="s">
        <v>4710</v>
      </c>
      <c r="NJ32" t="s">
        <v>4581</v>
      </c>
      <c r="NK32" t="s">
        <v>4632</v>
      </c>
      <c r="NL32" t="s">
        <v>4636</v>
      </c>
      <c r="NM32" t="s">
        <v>4640</v>
      </c>
      <c r="NN32" t="s">
        <v>4644</v>
      </c>
      <c r="NO32" t="s">
        <v>4648</v>
      </c>
      <c r="NP32" t="s">
        <v>4652</v>
      </c>
      <c r="NQ32" t="s">
        <v>4656</v>
      </c>
      <c r="NR32" t="s">
        <v>4659</v>
      </c>
      <c r="NS32" t="s">
        <v>4665</v>
      </c>
      <c r="NT32" t="s">
        <v>4669</v>
      </c>
      <c r="NU32" t="s">
        <v>4673</v>
      </c>
      <c r="NV32" t="s">
        <v>4679</v>
      </c>
      <c r="NW32" t="s">
        <v>4683</v>
      </c>
      <c r="NX32" t="s">
        <v>4717</v>
      </c>
      <c r="NY32" t="s">
        <v>4685</v>
      </c>
      <c r="NZ32" t="s">
        <v>4685</v>
      </c>
      <c r="OA32" t="s">
        <v>4687</v>
      </c>
      <c r="OB32" t="s">
        <v>4689</v>
      </c>
      <c r="OC32" t="s">
        <v>4691</v>
      </c>
      <c r="OD32" t="s">
        <v>4694</v>
      </c>
      <c r="OE32" t="s">
        <v>4696</v>
      </c>
      <c r="OF32" t="s">
        <v>4698</v>
      </c>
      <c r="OG32" t="s">
        <v>4700</v>
      </c>
      <c r="OH32" t="s">
        <v>4704</v>
      </c>
      <c r="OI32" t="s">
        <v>4706</v>
      </c>
      <c r="OJ32" t="s">
        <v>4708</v>
      </c>
      <c r="OK32" t="s">
        <v>4710</v>
      </c>
      <c r="OL32" t="s">
        <v>4632</v>
      </c>
      <c r="OM32" t="s">
        <v>4636</v>
      </c>
      <c r="ON32" t="s">
        <v>4640</v>
      </c>
      <c r="OO32" t="s">
        <v>4644</v>
      </c>
      <c r="OP32" t="s">
        <v>4648</v>
      </c>
      <c r="OQ32" t="s">
        <v>4652</v>
      </c>
      <c r="OR32" t="s">
        <v>4656</v>
      </c>
      <c r="OS32" t="s">
        <v>4659</v>
      </c>
      <c r="OT32" t="s">
        <v>4665</v>
      </c>
      <c r="OU32" t="s">
        <v>4669</v>
      </c>
      <c r="OV32" t="s">
        <v>4673</v>
      </c>
      <c r="OW32" t="s">
        <v>4679</v>
      </c>
      <c r="OX32" t="s">
        <v>4683</v>
      </c>
      <c r="OY32" t="s">
        <v>4683</v>
      </c>
      <c r="OZ32" t="s">
        <v>4717</v>
      </c>
      <c r="PA32" t="s">
        <v>4685</v>
      </c>
      <c r="PB32" t="s">
        <v>4687</v>
      </c>
      <c r="PC32" t="s">
        <v>4689</v>
      </c>
      <c r="PD32" t="s">
        <v>4691</v>
      </c>
      <c r="PE32" t="s">
        <v>4694</v>
      </c>
      <c r="PF32" t="s">
        <v>4696</v>
      </c>
      <c r="PG32" t="s">
        <v>4698</v>
      </c>
      <c r="PH32" t="s">
        <v>4700</v>
      </c>
      <c r="PI32" t="s">
        <v>4704</v>
      </c>
      <c r="PJ32" t="s">
        <v>4706</v>
      </c>
      <c r="PK32" t="s">
        <v>4708</v>
      </c>
      <c r="PL32" t="s">
        <v>4710</v>
      </c>
      <c r="PM32" t="s">
        <v>4581</v>
      </c>
      <c r="PN32" t="s">
        <v>4632</v>
      </c>
      <c r="PO32" t="s">
        <v>4636</v>
      </c>
      <c r="PP32" t="s">
        <v>4640</v>
      </c>
      <c r="PQ32" t="s">
        <v>4648</v>
      </c>
      <c r="PR32" t="s">
        <v>4652</v>
      </c>
      <c r="PS32" t="s">
        <v>4656</v>
      </c>
      <c r="PT32" t="s">
        <v>4659</v>
      </c>
      <c r="PU32" t="s">
        <v>4665</v>
      </c>
      <c r="PV32" t="s">
        <v>4669</v>
      </c>
      <c r="PW32" t="s">
        <v>4669</v>
      </c>
      <c r="PX32" t="s">
        <v>4673</v>
      </c>
      <c r="PY32" t="s">
        <v>4679</v>
      </c>
      <c r="PZ32" t="s">
        <v>4683</v>
      </c>
      <c r="QA32" t="s">
        <v>4717</v>
      </c>
      <c r="QB32" t="s">
        <v>4685</v>
      </c>
      <c r="QC32" t="s">
        <v>4687</v>
      </c>
      <c r="QD32" t="s">
        <v>4689</v>
      </c>
      <c r="QE32" t="s">
        <v>4691</v>
      </c>
      <c r="QF32" t="s">
        <v>4694</v>
      </c>
      <c r="QG32" t="s">
        <v>4696</v>
      </c>
      <c r="QH32" t="s">
        <v>4698</v>
      </c>
      <c r="QI32" t="s">
        <v>4698</v>
      </c>
      <c r="QJ32" t="s">
        <v>4700</v>
      </c>
      <c r="QK32" t="s">
        <v>4706</v>
      </c>
      <c r="QL32" t="s">
        <v>4708</v>
      </c>
      <c r="QM32" t="s">
        <v>4710</v>
      </c>
      <c r="QN32" t="s">
        <v>4581</v>
      </c>
      <c r="QO32" t="s">
        <v>4632</v>
      </c>
      <c r="QP32" t="s">
        <v>4636</v>
      </c>
      <c r="QQ32" t="s">
        <v>4640</v>
      </c>
      <c r="QR32" t="s">
        <v>4644</v>
      </c>
      <c r="QS32" t="s">
        <v>4648</v>
      </c>
      <c r="QT32" t="s">
        <v>4652</v>
      </c>
      <c r="QU32" t="s">
        <v>4656</v>
      </c>
      <c r="QV32" t="s">
        <v>4659</v>
      </c>
      <c r="QW32" t="s">
        <v>4665</v>
      </c>
      <c r="QX32" t="s">
        <v>4669</v>
      </c>
      <c r="QY32" t="s">
        <v>4673</v>
      </c>
      <c r="QZ32" t="s">
        <v>4679</v>
      </c>
      <c r="RA32" t="s">
        <v>4683</v>
      </c>
      <c r="RB32" t="s">
        <v>4717</v>
      </c>
      <c r="RC32" t="s">
        <v>4685</v>
      </c>
      <c r="RD32" t="s">
        <v>4687</v>
      </c>
      <c r="RE32" t="s">
        <v>4687</v>
      </c>
      <c r="RF32" t="s">
        <v>4689</v>
      </c>
      <c r="RG32" t="s">
        <v>4691</v>
      </c>
      <c r="RH32" t="s">
        <v>4694</v>
      </c>
      <c r="RI32" t="s">
        <v>4696</v>
      </c>
      <c r="RJ32" t="s">
        <v>4698</v>
      </c>
      <c r="RK32" t="s">
        <v>4700</v>
      </c>
      <c r="RL32" t="s">
        <v>4704</v>
      </c>
      <c r="RM32" t="s">
        <v>4706</v>
      </c>
      <c r="RN32" t="s">
        <v>4708</v>
      </c>
      <c r="RO32" t="s">
        <v>4710</v>
      </c>
      <c r="RP32" t="s">
        <v>4581</v>
      </c>
      <c r="RQ32" t="s">
        <v>4636</v>
      </c>
      <c r="RR32" t="s">
        <v>4640</v>
      </c>
      <c r="RS32" t="s">
        <v>4644</v>
      </c>
      <c r="RT32" t="s">
        <v>4648</v>
      </c>
      <c r="RU32" t="s">
        <v>4652</v>
      </c>
      <c r="RV32" t="s">
        <v>4656</v>
      </c>
      <c r="RW32" t="s">
        <v>4659</v>
      </c>
      <c r="RX32" t="s">
        <v>4665</v>
      </c>
      <c r="RY32" t="s">
        <v>4669</v>
      </c>
      <c r="RZ32" t="s">
        <v>4673</v>
      </c>
      <c r="SA32" t="s">
        <v>4679</v>
      </c>
      <c r="SB32" t="s">
        <v>4683</v>
      </c>
      <c r="SC32" t="s">
        <v>4683</v>
      </c>
      <c r="SD32" t="s">
        <v>4717</v>
      </c>
      <c r="SE32" t="s">
        <v>4685</v>
      </c>
      <c r="SF32" t="s">
        <v>4687</v>
      </c>
      <c r="SG32" t="s">
        <v>4689</v>
      </c>
      <c r="SH32" t="s">
        <v>4691</v>
      </c>
      <c r="SI32" t="s">
        <v>4694</v>
      </c>
      <c r="SJ32" t="s">
        <v>4696</v>
      </c>
      <c r="SK32" t="s">
        <v>4698</v>
      </c>
      <c r="SL32" t="s">
        <v>4700</v>
      </c>
      <c r="SM32" t="s">
        <v>4704</v>
      </c>
      <c r="SN32" t="s">
        <v>4706</v>
      </c>
      <c r="SO32" t="s">
        <v>4708</v>
      </c>
      <c r="SP32" t="s">
        <v>4710</v>
      </c>
      <c r="SQ32" t="s">
        <v>4581</v>
      </c>
      <c r="SR32" t="s">
        <v>4632</v>
      </c>
      <c r="SS32" t="s">
        <v>4636</v>
      </c>
      <c r="ST32" t="s">
        <v>4640</v>
      </c>
      <c r="SU32" t="s">
        <v>4644</v>
      </c>
      <c r="SV32" t="s">
        <v>4648</v>
      </c>
      <c r="SW32" t="s">
        <v>4652</v>
      </c>
      <c r="SX32" t="s">
        <v>4656</v>
      </c>
      <c r="SY32" t="s">
        <v>4659</v>
      </c>
      <c r="SZ32" t="s">
        <v>4665</v>
      </c>
      <c r="TA32" t="s">
        <v>4669</v>
      </c>
      <c r="TB32" t="s">
        <v>4673</v>
      </c>
      <c r="TC32" t="s">
        <v>4679</v>
      </c>
      <c r="TD32" t="s">
        <v>4683</v>
      </c>
      <c r="TE32" t="s">
        <v>4717</v>
      </c>
      <c r="TF32" t="s">
        <v>4685</v>
      </c>
      <c r="TG32" t="s">
        <v>4687</v>
      </c>
      <c r="TH32" t="s">
        <v>4689</v>
      </c>
      <c r="TI32" t="s">
        <v>4691</v>
      </c>
      <c r="TJ32" t="s">
        <v>4694</v>
      </c>
      <c r="TK32" t="s">
        <v>4696</v>
      </c>
      <c r="TL32" t="s">
        <v>4698</v>
      </c>
      <c r="TM32" t="s">
        <v>4700</v>
      </c>
      <c r="TN32" t="s">
        <v>4704</v>
      </c>
      <c r="TO32" t="s">
        <v>4706</v>
      </c>
      <c r="TP32" t="s">
        <v>4708</v>
      </c>
      <c r="TQ32" t="s">
        <v>4710</v>
      </c>
      <c r="TR32" t="s">
        <v>4581</v>
      </c>
      <c r="TS32" t="s">
        <v>4632</v>
      </c>
      <c r="TT32" t="s">
        <v>4636</v>
      </c>
      <c r="TU32" t="s">
        <v>4640</v>
      </c>
      <c r="TV32" t="s">
        <v>4644</v>
      </c>
      <c r="TW32" t="s">
        <v>4648</v>
      </c>
      <c r="TX32" t="s">
        <v>4652</v>
      </c>
      <c r="TY32" t="s">
        <v>4656</v>
      </c>
      <c r="TZ32" t="s">
        <v>4659</v>
      </c>
      <c r="UA32" t="s">
        <v>4665</v>
      </c>
      <c r="UB32" t="s">
        <v>4669</v>
      </c>
      <c r="UC32" t="s">
        <v>4673</v>
      </c>
      <c r="UD32" t="s">
        <v>4679</v>
      </c>
      <c r="UE32" t="s">
        <v>4683</v>
      </c>
      <c r="UF32" t="s">
        <v>4717</v>
      </c>
      <c r="UG32" t="s">
        <v>4685</v>
      </c>
      <c r="UH32" t="s">
        <v>4687</v>
      </c>
      <c r="UI32" t="s">
        <v>4687</v>
      </c>
      <c r="UJ32" t="s">
        <v>4689</v>
      </c>
      <c r="UK32" t="s">
        <v>4691</v>
      </c>
      <c r="UL32" t="s">
        <v>4694</v>
      </c>
      <c r="UM32" t="s">
        <v>4696</v>
      </c>
      <c r="UN32" t="s">
        <v>4698</v>
      </c>
      <c r="UO32" t="s">
        <v>4700</v>
      </c>
      <c r="UP32" t="s">
        <v>4704</v>
      </c>
      <c r="UQ32" t="s">
        <v>4706</v>
      </c>
      <c r="UR32" t="s">
        <v>4708</v>
      </c>
      <c r="US32" t="s">
        <v>4710</v>
      </c>
      <c r="UT32" t="s">
        <v>4632</v>
      </c>
      <c r="UU32" t="s">
        <v>4636</v>
      </c>
      <c r="UV32" t="s">
        <v>4640</v>
      </c>
      <c r="UW32" t="s">
        <v>4644</v>
      </c>
      <c r="UX32" t="s">
        <v>4648</v>
      </c>
      <c r="UY32" t="s">
        <v>4652</v>
      </c>
      <c r="UZ32" t="s">
        <v>4656</v>
      </c>
      <c r="VA32" t="s">
        <v>4659</v>
      </c>
      <c r="VB32" t="s">
        <v>4665</v>
      </c>
      <c r="VC32" t="s">
        <v>4669</v>
      </c>
      <c r="VD32" t="s">
        <v>4673</v>
      </c>
      <c r="VE32" t="s">
        <v>4679</v>
      </c>
      <c r="VF32" t="s">
        <v>4683</v>
      </c>
      <c r="VG32" t="s">
        <v>4717</v>
      </c>
      <c r="VH32" t="s">
        <v>4717</v>
      </c>
      <c r="VI32" t="s">
        <v>4685</v>
      </c>
      <c r="VJ32" t="s">
        <v>4687</v>
      </c>
      <c r="VK32" t="s">
        <v>4689</v>
      </c>
      <c r="VL32" t="s">
        <v>4691</v>
      </c>
      <c r="VM32" t="s">
        <v>4694</v>
      </c>
      <c r="VN32" t="s">
        <v>4696</v>
      </c>
      <c r="VO32" t="s">
        <v>4698</v>
      </c>
      <c r="VP32" t="s">
        <v>4700</v>
      </c>
      <c r="VQ32" t="s">
        <v>4704</v>
      </c>
      <c r="VR32" t="s">
        <v>4706</v>
      </c>
      <c r="VS32" t="s">
        <v>4708</v>
      </c>
      <c r="VT32" t="s">
        <v>4710</v>
      </c>
      <c r="VU32" t="s">
        <v>4581</v>
      </c>
      <c r="VV32" t="s">
        <v>4632</v>
      </c>
      <c r="VW32" t="s">
        <v>4636</v>
      </c>
      <c r="VX32" t="s">
        <v>4644</v>
      </c>
      <c r="VY32" t="s">
        <v>4648</v>
      </c>
      <c r="VZ32" t="s">
        <v>4652</v>
      </c>
      <c r="WA32" t="s">
        <v>4656</v>
      </c>
      <c r="WB32" t="s">
        <v>4659</v>
      </c>
      <c r="WC32" t="s">
        <v>4665</v>
      </c>
      <c r="WD32" t="s">
        <v>4669</v>
      </c>
      <c r="WE32" t="s">
        <v>4673</v>
      </c>
      <c r="WF32" t="s">
        <v>4679</v>
      </c>
      <c r="WG32" t="s">
        <v>4679</v>
      </c>
      <c r="WH32" t="s">
        <v>4683</v>
      </c>
      <c r="WI32" t="s">
        <v>4717</v>
      </c>
      <c r="WJ32" t="s">
        <v>4685</v>
      </c>
      <c r="WK32" t="s">
        <v>4687</v>
      </c>
      <c r="WL32" t="s">
        <v>4689</v>
      </c>
      <c r="WM32" t="s">
        <v>4691</v>
      </c>
      <c r="WN32" t="s">
        <v>4694</v>
      </c>
      <c r="WO32" t="s">
        <v>4696</v>
      </c>
      <c r="WP32" t="s">
        <v>4698</v>
      </c>
      <c r="WQ32" t="s">
        <v>4698</v>
      </c>
      <c r="WR32" t="s">
        <v>4700</v>
      </c>
      <c r="WS32" t="s">
        <v>4704</v>
      </c>
      <c r="WT32" t="s">
        <v>4706</v>
      </c>
      <c r="WU32" t="s">
        <v>4710</v>
      </c>
      <c r="WV32" t="s">
        <v>4581</v>
      </c>
      <c r="WW32" t="s">
        <v>4632</v>
      </c>
      <c r="WX32" t="s">
        <v>4636</v>
      </c>
      <c r="WY32" t="s">
        <v>4640</v>
      </c>
      <c r="WZ32" t="s">
        <v>4644</v>
      </c>
      <c r="XA32" t="s">
        <v>4648</v>
      </c>
      <c r="XB32" t="s">
        <v>4652</v>
      </c>
      <c r="XC32" t="s">
        <v>4656</v>
      </c>
      <c r="XD32" t="s">
        <v>4659</v>
      </c>
      <c r="XE32" t="s">
        <v>4665</v>
      </c>
      <c r="XF32" t="s">
        <v>4669</v>
      </c>
      <c r="XG32" t="s">
        <v>4673</v>
      </c>
      <c r="XH32" t="s">
        <v>4679</v>
      </c>
      <c r="XI32" t="s">
        <v>4683</v>
      </c>
      <c r="XJ32" t="s">
        <v>4717</v>
      </c>
      <c r="XK32" t="s">
        <v>4685</v>
      </c>
      <c r="XL32" t="s">
        <v>4687</v>
      </c>
      <c r="XM32" t="s">
        <v>4689</v>
      </c>
      <c r="XN32" t="s">
        <v>4691</v>
      </c>
      <c r="XO32" t="s">
        <v>4691</v>
      </c>
      <c r="XP32" t="s">
        <v>4694</v>
      </c>
      <c r="XQ32" t="s">
        <v>4696</v>
      </c>
      <c r="XR32" t="s">
        <v>4698</v>
      </c>
      <c r="XS32" t="s">
        <v>4700</v>
      </c>
      <c r="XT32" t="s">
        <v>4704</v>
      </c>
      <c r="XU32" t="s">
        <v>4706</v>
      </c>
      <c r="XV32" t="s">
        <v>4708</v>
      </c>
      <c r="XW32" t="s">
        <v>4710</v>
      </c>
      <c r="XX32" t="s">
        <v>4581</v>
      </c>
      <c r="XY32" t="s">
        <v>4632</v>
      </c>
      <c r="XZ32" t="s">
        <v>4640</v>
      </c>
      <c r="YA32" t="s">
        <v>4644</v>
      </c>
      <c r="YB32" t="s">
        <v>4648</v>
      </c>
      <c r="YC32" t="s">
        <v>4652</v>
      </c>
      <c r="YD32" t="s">
        <v>4656</v>
      </c>
      <c r="YE32" t="s">
        <v>4659</v>
      </c>
      <c r="YF32" t="s">
        <v>4665</v>
      </c>
      <c r="YG32" t="s">
        <v>4669</v>
      </c>
      <c r="YH32" t="s">
        <v>4673</v>
      </c>
      <c r="YI32" t="s">
        <v>4679</v>
      </c>
      <c r="YJ32" t="s">
        <v>4683</v>
      </c>
      <c r="YK32" t="s">
        <v>4717</v>
      </c>
      <c r="YL32" t="s">
        <v>4685</v>
      </c>
      <c r="YM32" t="s">
        <v>4685</v>
      </c>
      <c r="YN32" t="s">
        <v>4687</v>
      </c>
      <c r="YO32" t="s">
        <v>4689</v>
      </c>
      <c r="YP32" t="s">
        <v>4691</v>
      </c>
      <c r="YQ32" t="s">
        <v>4694</v>
      </c>
      <c r="YR32" t="s">
        <v>4696</v>
      </c>
      <c r="YS32" t="s">
        <v>4698</v>
      </c>
      <c r="YT32" t="s">
        <v>4700</v>
      </c>
      <c r="YU32" t="s">
        <v>4704</v>
      </c>
      <c r="YV32" t="s">
        <v>4706</v>
      </c>
      <c r="YW32" t="s">
        <v>4708</v>
      </c>
      <c r="YX32" t="s">
        <v>4710</v>
      </c>
      <c r="YY32" t="s">
        <v>4581</v>
      </c>
      <c r="YZ32" t="s">
        <v>4632</v>
      </c>
      <c r="ZA32" t="s">
        <v>4636</v>
      </c>
      <c r="ZB32" t="s">
        <v>4640</v>
      </c>
      <c r="ZC32" t="s">
        <v>4644</v>
      </c>
      <c r="ZD32" t="s">
        <v>4648</v>
      </c>
      <c r="ZE32" t="s">
        <v>4652</v>
      </c>
      <c r="ZF32" t="s">
        <v>4659</v>
      </c>
      <c r="ZG32" t="s">
        <v>4665</v>
      </c>
      <c r="ZH32" t="s">
        <v>4669</v>
      </c>
      <c r="ZI32" t="s">
        <v>4673</v>
      </c>
      <c r="ZJ32" t="s">
        <v>4679</v>
      </c>
      <c r="ZK32" t="s">
        <v>4683</v>
      </c>
      <c r="ZL32" t="s">
        <v>4683</v>
      </c>
      <c r="ZM32" t="s">
        <v>4717</v>
      </c>
      <c r="ZN32" t="s">
        <v>4685</v>
      </c>
      <c r="ZO32" t="s">
        <v>4687</v>
      </c>
      <c r="ZP32" t="s">
        <v>4689</v>
      </c>
      <c r="ZQ32" t="s">
        <v>4691</v>
      </c>
      <c r="ZR32" t="s">
        <v>4694</v>
      </c>
      <c r="ZS32" t="s">
        <v>4696</v>
      </c>
      <c r="ZT32" t="s">
        <v>4698</v>
      </c>
      <c r="ZU32" t="s">
        <v>4700</v>
      </c>
      <c r="ZV32" t="s">
        <v>4704</v>
      </c>
      <c r="ZW32" t="s">
        <v>4706</v>
      </c>
      <c r="ZX32" t="s">
        <v>4708</v>
      </c>
      <c r="ZY32" t="s">
        <v>4710</v>
      </c>
      <c r="ZZ32" t="s">
        <v>4581</v>
      </c>
      <c r="AAA32" t="s">
        <v>4632</v>
      </c>
      <c r="AAB32" t="s">
        <v>4636</v>
      </c>
      <c r="AAC32" t="s">
        <v>4640</v>
      </c>
      <c r="AAD32" t="s">
        <v>4644</v>
      </c>
      <c r="AAE32" t="s">
        <v>4648</v>
      </c>
      <c r="AAF32" t="s">
        <v>4652</v>
      </c>
      <c r="AAG32" t="s">
        <v>4656</v>
      </c>
      <c r="AAH32" t="s">
        <v>4659</v>
      </c>
      <c r="AAI32" t="s">
        <v>4665</v>
      </c>
      <c r="AAJ32" t="s">
        <v>4669</v>
      </c>
      <c r="AAK32" t="s">
        <v>4673</v>
      </c>
      <c r="AAL32" t="s">
        <v>4679</v>
      </c>
      <c r="AAM32" t="s">
        <v>4683</v>
      </c>
      <c r="AAN32" t="s">
        <v>4717</v>
      </c>
      <c r="AAO32" t="s">
        <v>4685</v>
      </c>
      <c r="AAP32" t="s">
        <v>4687</v>
      </c>
      <c r="AAQ32" t="s">
        <v>4689</v>
      </c>
      <c r="AAR32" t="s">
        <v>4691</v>
      </c>
      <c r="AAS32" t="s">
        <v>4691</v>
      </c>
      <c r="AAT32" t="s">
        <v>4694</v>
      </c>
      <c r="AAU32" t="s">
        <v>4696</v>
      </c>
      <c r="AAV32" t="s">
        <v>4698</v>
      </c>
      <c r="AAW32" t="s">
        <v>4700</v>
      </c>
      <c r="AAX32" t="s">
        <v>4704</v>
      </c>
      <c r="AAY32" t="s">
        <v>4706</v>
      </c>
      <c r="AAZ32" t="s">
        <v>4708</v>
      </c>
      <c r="ABA32" t="s">
        <v>4710</v>
      </c>
      <c r="ABB32" t="s">
        <v>4632</v>
      </c>
      <c r="ABC32" t="s">
        <v>4636</v>
      </c>
      <c r="ABD32" t="s">
        <v>4640</v>
      </c>
      <c r="ABE32" t="s">
        <v>4644</v>
      </c>
      <c r="ABF32" t="s">
        <v>4648</v>
      </c>
      <c r="ABG32" t="s">
        <v>4652</v>
      </c>
      <c r="ABH32" t="s">
        <v>4656</v>
      </c>
      <c r="ABI32" t="s">
        <v>4659</v>
      </c>
      <c r="ABJ32" t="s">
        <v>4665</v>
      </c>
      <c r="ABK32" t="s">
        <v>4669</v>
      </c>
      <c r="ABL32" t="s">
        <v>4673</v>
      </c>
      <c r="ABM32" t="s">
        <v>4679</v>
      </c>
      <c r="ABN32" t="s">
        <v>4683</v>
      </c>
      <c r="ABO32" t="s">
        <v>4717</v>
      </c>
      <c r="ABP32" t="s">
        <v>4685</v>
      </c>
      <c r="ABQ32" t="s">
        <v>4685</v>
      </c>
      <c r="ABR32" t="s">
        <v>4687</v>
      </c>
      <c r="ABS32" t="s">
        <v>4689</v>
      </c>
      <c r="ABT32" t="s">
        <v>4691</v>
      </c>
      <c r="ABU32" t="s">
        <v>4694</v>
      </c>
      <c r="ABV32" t="s">
        <v>4696</v>
      </c>
      <c r="ABW32" t="s">
        <v>4698</v>
      </c>
      <c r="ABX32" t="s">
        <v>4700</v>
      </c>
      <c r="ABY32" t="s">
        <v>4704</v>
      </c>
      <c r="ABZ32" t="s">
        <v>4706</v>
      </c>
      <c r="ACA32" t="s">
        <v>4708</v>
      </c>
      <c r="ACB32" t="s">
        <v>4710</v>
      </c>
      <c r="ACC32" t="s">
        <v>4581</v>
      </c>
      <c r="ACD32" t="s">
        <v>4632</v>
      </c>
      <c r="ACE32" t="s">
        <v>4636</v>
      </c>
      <c r="ACF32" t="s">
        <v>4640</v>
      </c>
      <c r="ACG32" t="s">
        <v>4648</v>
      </c>
      <c r="ACH32" t="s">
        <v>4652</v>
      </c>
      <c r="ACI32" t="s">
        <v>4656</v>
      </c>
      <c r="ACJ32" t="s">
        <v>4659</v>
      </c>
      <c r="ACK32" t="s">
        <v>4665</v>
      </c>
      <c r="ACL32" t="s">
        <v>4669</v>
      </c>
      <c r="ACM32" t="s">
        <v>4673</v>
      </c>
      <c r="ACN32" t="s">
        <v>4679</v>
      </c>
      <c r="ACO32" t="s">
        <v>4683</v>
      </c>
      <c r="ACP32" t="s">
        <v>4683</v>
      </c>
      <c r="ACQ32" t="s">
        <v>4717</v>
      </c>
      <c r="ACR32" t="s">
        <v>4685</v>
      </c>
      <c r="ACS32" t="s">
        <v>4687</v>
      </c>
      <c r="ACT32" t="s">
        <v>4689</v>
      </c>
      <c r="ACU32" t="s">
        <v>4691</v>
      </c>
      <c r="ACV32" t="s">
        <v>4694</v>
      </c>
      <c r="ACW32" t="s">
        <v>4696</v>
      </c>
      <c r="ACX32" t="s">
        <v>4698</v>
      </c>
      <c r="ACY32" t="s">
        <v>4700</v>
      </c>
      <c r="ACZ32" t="s">
        <v>4700</v>
      </c>
      <c r="ADA32" t="s">
        <v>4704</v>
      </c>
      <c r="ADB32" t="s">
        <v>4708</v>
      </c>
      <c r="ADC32" t="s">
        <v>4710</v>
      </c>
      <c r="ADD32" t="s">
        <v>4581</v>
      </c>
      <c r="ADE32" t="s">
        <v>4632</v>
      </c>
      <c r="ADF32" t="s">
        <v>4636</v>
      </c>
      <c r="ADG32" t="s">
        <v>4640</v>
      </c>
      <c r="ADH32" t="s">
        <v>4644</v>
      </c>
      <c r="ADI32" t="s">
        <v>4648</v>
      </c>
      <c r="ADJ32" t="s">
        <v>4652</v>
      </c>
      <c r="ADK32" t="s">
        <v>4656</v>
      </c>
      <c r="ADL32" t="s">
        <v>4659</v>
      </c>
      <c r="ADM32" t="s">
        <v>4665</v>
      </c>
      <c r="ADN32" t="s">
        <v>4669</v>
      </c>
      <c r="ADO32" t="s">
        <v>4673</v>
      </c>
      <c r="ADP32" t="s">
        <v>4679</v>
      </c>
    </row>
    <row r="33" spans="1:796">
      <c r="A33" t="s">
        <v>4270</v>
      </c>
      <c r="B33">
        <v>33</v>
      </c>
      <c r="C33" t="s">
        <v>4339</v>
      </c>
      <c r="D33">
        <v>84</v>
      </c>
      <c r="E33" t="s">
        <v>4680</v>
      </c>
      <c r="F33" t="s">
        <v>4684</v>
      </c>
      <c r="G33" t="s">
        <v>4715</v>
      </c>
      <c r="H33" t="s">
        <v>4686</v>
      </c>
      <c r="I33" t="s">
        <v>4688</v>
      </c>
      <c r="J33" t="s">
        <v>4690</v>
      </c>
      <c r="K33" t="s">
        <v>4692</v>
      </c>
      <c r="L33" t="s">
        <v>4695</v>
      </c>
      <c r="M33" t="s">
        <v>4697</v>
      </c>
      <c r="N33" t="s">
        <v>4699</v>
      </c>
      <c r="O33" t="s">
        <v>4703</v>
      </c>
      <c r="P33" t="s">
        <v>4705</v>
      </c>
      <c r="Q33" t="s">
        <v>4707</v>
      </c>
      <c r="R33" t="s">
        <v>4582</v>
      </c>
      <c r="S33" t="s">
        <v>4633</v>
      </c>
      <c r="T33" t="s">
        <v>4641</v>
      </c>
      <c r="U33" t="s">
        <v>4645</v>
      </c>
      <c r="V33" t="s">
        <v>4649</v>
      </c>
      <c r="W33" t="s">
        <v>4653</v>
      </c>
      <c r="X33" t="s">
        <v>4657</v>
      </c>
      <c r="Y33" t="s">
        <v>4660</v>
      </c>
      <c r="Z33" t="s">
        <v>4714</v>
      </c>
      <c r="AA33" t="s">
        <v>4666</v>
      </c>
      <c r="AB33" t="s">
        <v>4670</v>
      </c>
      <c r="AC33" t="s">
        <v>4674</v>
      </c>
      <c r="AD33" t="s">
        <v>4680</v>
      </c>
      <c r="AE33" t="s">
        <v>4684</v>
      </c>
      <c r="AF33" t="s">
        <v>4715</v>
      </c>
      <c r="AG33" t="s">
        <v>4686</v>
      </c>
      <c r="AH33" t="s">
        <v>4688</v>
      </c>
      <c r="AI33" t="s">
        <v>4690</v>
      </c>
      <c r="AJ33" t="s">
        <v>4692</v>
      </c>
      <c r="AK33" t="s">
        <v>4695</v>
      </c>
      <c r="AL33" t="s">
        <v>4697</v>
      </c>
      <c r="AM33" t="s">
        <v>4699</v>
      </c>
      <c r="AN33" t="s">
        <v>4701</v>
      </c>
      <c r="AO33" t="s">
        <v>4703</v>
      </c>
      <c r="AP33" t="s">
        <v>4705</v>
      </c>
      <c r="AQ33" t="s">
        <v>4707</v>
      </c>
      <c r="AR33" t="s">
        <v>4633</v>
      </c>
      <c r="AS33" t="s">
        <v>4637</v>
      </c>
      <c r="AT33" t="s">
        <v>4641</v>
      </c>
      <c r="AU33" t="s">
        <v>4645</v>
      </c>
      <c r="AV33" t="s">
        <v>4649</v>
      </c>
      <c r="AW33" t="s">
        <v>4653</v>
      </c>
      <c r="AX33" t="s">
        <v>4657</v>
      </c>
      <c r="AY33" t="s">
        <v>4714</v>
      </c>
      <c r="AZ33" t="s">
        <v>4666</v>
      </c>
      <c r="BA33" t="s">
        <v>4670</v>
      </c>
      <c r="BB33" t="s">
        <v>4674</v>
      </c>
      <c r="BC33" t="s">
        <v>4680</v>
      </c>
      <c r="BD33" t="s">
        <v>4684</v>
      </c>
      <c r="BE33" t="s">
        <v>4684</v>
      </c>
      <c r="BF33" t="s">
        <v>4715</v>
      </c>
      <c r="BG33" t="s">
        <v>4686</v>
      </c>
      <c r="BH33" t="s">
        <v>4688</v>
      </c>
      <c r="BI33" t="s">
        <v>4690</v>
      </c>
      <c r="BJ33" t="s">
        <v>4692</v>
      </c>
      <c r="BK33" t="s">
        <v>4695</v>
      </c>
      <c r="BL33" t="s">
        <v>4699</v>
      </c>
      <c r="BM33" t="s">
        <v>4701</v>
      </c>
      <c r="BN33" t="s">
        <v>4703</v>
      </c>
      <c r="BO33" t="s">
        <v>4705</v>
      </c>
      <c r="BP33" t="s">
        <v>4707</v>
      </c>
      <c r="BQ33" t="s">
        <v>4582</v>
      </c>
      <c r="BR33" t="s">
        <v>4633</v>
      </c>
      <c r="BS33" t="s">
        <v>4637</v>
      </c>
      <c r="BT33" t="s">
        <v>4641</v>
      </c>
      <c r="BU33" t="s">
        <v>4649</v>
      </c>
      <c r="BV33" t="s">
        <v>4653</v>
      </c>
      <c r="BW33" t="s">
        <v>4657</v>
      </c>
      <c r="BX33" t="s">
        <v>4660</v>
      </c>
      <c r="BY33" t="s">
        <v>4714</v>
      </c>
      <c r="BZ33" t="s">
        <v>4666</v>
      </c>
      <c r="CA33" t="s">
        <v>4670</v>
      </c>
      <c r="CB33" t="s">
        <v>4674</v>
      </c>
      <c r="CC33" t="s">
        <v>4680</v>
      </c>
      <c r="CD33" t="s">
        <v>4684</v>
      </c>
      <c r="CE33" t="s">
        <v>4715</v>
      </c>
      <c r="CF33" t="s">
        <v>4686</v>
      </c>
      <c r="CG33" t="s">
        <v>4688</v>
      </c>
      <c r="CH33" t="s">
        <v>4690</v>
      </c>
      <c r="CI33" t="s">
        <v>4692</v>
      </c>
      <c r="CJ33" t="s">
        <v>4695</v>
      </c>
      <c r="CK33" t="s">
        <v>4697</v>
      </c>
      <c r="CL33" t="s">
        <v>4699</v>
      </c>
      <c r="CM33" t="s">
        <v>4701</v>
      </c>
      <c r="CN33" t="s">
        <v>4703</v>
      </c>
      <c r="CO33" t="s">
        <v>4705</v>
      </c>
      <c r="CP33" t="s">
        <v>4582</v>
      </c>
      <c r="CQ33" t="s">
        <v>4633</v>
      </c>
      <c r="CR33" t="s">
        <v>4637</v>
      </c>
      <c r="CS33" t="s">
        <v>4641</v>
      </c>
      <c r="CT33" t="s">
        <v>4645</v>
      </c>
      <c r="CU33" t="s">
        <v>4649</v>
      </c>
      <c r="CV33" t="s">
        <v>4653</v>
      </c>
      <c r="CW33" t="s">
        <v>4660</v>
      </c>
      <c r="CX33" t="s">
        <v>4714</v>
      </c>
      <c r="CY33" t="s">
        <v>4666</v>
      </c>
      <c r="CZ33" t="s">
        <v>4670</v>
      </c>
      <c r="DA33" t="s">
        <v>4674</v>
      </c>
      <c r="DB33" t="s">
        <v>4680</v>
      </c>
      <c r="DC33" t="s">
        <v>4684</v>
      </c>
      <c r="DD33" t="s">
        <v>4715</v>
      </c>
      <c r="DE33" t="s">
        <v>4686</v>
      </c>
      <c r="DF33" t="s">
        <v>4688</v>
      </c>
      <c r="DG33" t="s">
        <v>4690</v>
      </c>
      <c r="DH33" t="s">
        <v>4692</v>
      </c>
      <c r="DI33" t="s">
        <v>4695</v>
      </c>
      <c r="DJ33" t="s">
        <v>4697</v>
      </c>
      <c r="DK33" t="s">
        <v>4699</v>
      </c>
      <c r="DL33" t="s">
        <v>4701</v>
      </c>
      <c r="DM33" t="s">
        <v>4703</v>
      </c>
      <c r="DN33" t="s">
        <v>4705</v>
      </c>
      <c r="DO33" t="s">
        <v>4707</v>
      </c>
      <c r="DP33" t="s">
        <v>4582</v>
      </c>
      <c r="DQ33" t="s">
        <v>4633</v>
      </c>
      <c r="DR33" t="s">
        <v>4637</v>
      </c>
      <c r="DS33" t="s">
        <v>4641</v>
      </c>
      <c r="DT33" t="s">
        <v>4649</v>
      </c>
      <c r="DU33" t="s">
        <v>4653</v>
      </c>
      <c r="DV33" t="s">
        <v>4657</v>
      </c>
      <c r="DW33" t="s">
        <v>4660</v>
      </c>
      <c r="DX33" t="s">
        <v>4714</v>
      </c>
      <c r="DY33" t="s">
        <v>4666</v>
      </c>
      <c r="DZ33" t="s">
        <v>4670</v>
      </c>
      <c r="EA33" t="s">
        <v>4680</v>
      </c>
      <c r="EB33" t="s">
        <v>4684</v>
      </c>
      <c r="EC33" t="s">
        <v>4715</v>
      </c>
      <c r="ED33" t="s">
        <v>4686</v>
      </c>
      <c r="EE33" t="s">
        <v>4688</v>
      </c>
      <c r="EF33" t="s">
        <v>4690</v>
      </c>
      <c r="EG33" t="s">
        <v>4692</v>
      </c>
      <c r="EH33" t="s">
        <v>4695</v>
      </c>
      <c r="EI33" t="s">
        <v>4697</v>
      </c>
      <c r="EJ33" t="s">
        <v>4699</v>
      </c>
      <c r="EK33" t="s">
        <v>4701</v>
      </c>
      <c r="EL33" t="s">
        <v>4703</v>
      </c>
      <c r="EM33" t="s">
        <v>4705</v>
      </c>
      <c r="EN33" t="s">
        <v>4707</v>
      </c>
      <c r="EO33" t="s">
        <v>4582</v>
      </c>
      <c r="EP33" t="s">
        <v>4633</v>
      </c>
      <c r="EQ33" t="s">
        <v>4637</v>
      </c>
      <c r="ER33" t="s">
        <v>4641</v>
      </c>
      <c r="ES33" t="s">
        <v>4645</v>
      </c>
      <c r="ET33" t="s">
        <v>4649</v>
      </c>
      <c r="EU33" t="s">
        <v>4653</v>
      </c>
      <c r="EV33" t="s">
        <v>4657</v>
      </c>
      <c r="EW33" t="s">
        <v>4714</v>
      </c>
      <c r="EX33" t="s">
        <v>4666</v>
      </c>
      <c r="EY33" t="s">
        <v>4670</v>
      </c>
      <c r="EZ33" t="s">
        <v>4674</v>
      </c>
      <c r="FA33" t="s">
        <v>4680</v>
      </c>
      <c r="FB33" t="s">
        <v>4684</v>
      </c>
      <c r="FC33" t="s">
        <v>4715</v>
      </c>
      <c r="FD33" t="s">
        <v>4686</v>
      </c>
      <c r="FE33" t="s">
        <v>4688</v>
      </c>
      <c r="FF33" t="s">
        <v>4690</v>
      </c>
      <c r="FG33" t="s">
        <v>4692</v>
      </c>
      <c r="FH33" t="s">
        <v>4695</v>
      </c>
      <c r="FI33" t="s">
        <v>4697</v>
      </c>
      <c r="FJ33" t="s">
        <v>4699</v>
      </c>
      <c r="FK33" t="s">
        <v>4701</v>
      </c>
      <c r="FL33" t="s">
        <v>4703</v>
      </c>
      <c r="FM33" t="s">
        <v>4705</v>
      </c>
      <c r="FN33" t="s">
        <v>4707</v>
      </c>
      <c r="FO33" t="s">
        <v>4582</v>
      </c>
      <c r="FP33" t="s">
        <v>4633</v>
      </c>
      <c r="FQ33" t="s">
        <v>4637</v>
      </c>
      <c r="FR33" t="s">
        <v>4641</v>
      </c>
      <c r="FS33" t="s">
        <v>4645</v>
      </c>
      <c r="FT33" t="s">
        <v>4649</v>
      </c>
      <c r="FU33" t="s">
        <v>4653</v>
      </c>
      <c r="FV33" t="s">
        <v>4660</v>
      </c>
      <c r="FW33" t="s">
        <v>4714</v>
      </c>
      <c r="FX33" t="s">
        <v>4666</v>
      </c>
      <c r="FY33" t="s">
        <v>4670</v>
      </c>
      <c r="FZ33" t="s">
        <v>4674</v>
      </c>
      <c r="GA33" t="s">
        <v>4684</v>
      </c>
      <c r="GB33" t="s">
        <v>4715</v>
      </c>
      <c r="GC33" t="s">
        <v>4686</v>
      </c>
      <c r="GD33" t="s">
        <v>4688</v>
      </c>
      <c r="GE33" t="s">
        <v>4690</v>
      </c>
      <c r="GF33" t="s">
        <v>4692</v>
      </c>
      <c r="GG33" t="s">
        <v>4695</v>
      </c>
      <c r="GH33" t="s">
        <v>4697</v>
      </c>
      <c r="GI33" t="s">
        <v>4699</v>
      </c>
      <c r="GJ33" t="s">
        <v>4701</v>
      </c>
      <c r="GK33" t="s">
        <v>4703</v>
      </c>
      <c r="GL33" t="s">
        <v>4705</v>
      </c>
      <c r="GM33" t="s">
        <v>4707</v>
      </c>
      <c r="GN33" t="s">
        <v>4582</v>
      </c>
      <c r="GO33" t="s">
        <v>4633</v>
      </c>
      <c r="GP33" t="s">
        <v>4637</v>
      </c>
      <c r="GQ33" t="s">
        <v>4641</v>
      </c>
      <c r="GR33" t="s">
        <v>4645</v>
      </c>
      <c r="GS33" t="s">
        <v>4649</v>
      </c>
      <c r="GT33" t="s">
        <v>4653</v>
      </c>
      <c r="GU33" t="s">
        <v>4657</v>
      </c>
      <c r="GV33" t="s">
        <v>4660</v>
      </c>
      <c r="GW33" t="s">
        <v>4714</v>
      </c>
      <c r="GX33" t="s">
        <v>4666</v>
      </c>
      <c r="GY33" t="s">
        <v>4670</v>
      </c>
      <c r="GZ33" t="s">
        <v>4680</v>
      </c>
      <c r="HA33" t="s">
        <v>4684</v>
      </c>
      <c r="HB33" t="s">
        <v>4715</v>
      </c>
      <c r="HC33" t="s">
        <v>4686</v>
      </c>
      <c r="HD33" t="s">
        <v>4688</v>
      </c>
      <c r="HE33" t="s">
        <v>4692</v>
      </c>
      <c r="HF33" t="s">
        <v>4695</v>
      </c>
      <c r="HG33" t="s">
        <v>4697</v>
      </c>
      <c r="HH33" t="s">
        <v>4699</v>
      </c>
      <c r="HI33" t="s">
        <v>4701</v>
      </c>
      <c r="HJ33" t="s">
        <v>4703</v>
      </c>
      <c r="HK33" t="s">
        <v>4705</v>
      </c>
      <c r="HL33" t="s">
        <v>4707</v>
      </c>
      <c r="HM33" t="s">
        <v>4582</v>
      </c>
      <c r="HN33" t="s">
        <v>4633</v>
      </c>
      <c r="HO33" t="s">
        <v>4637</v>
      </c>
      <c r="HP33" t="s">
        <v>4641</v>
      </c>
      <c r="HQ33" t="s">
        <v>4645</v>
      </c>
      <c r="HR33" t="s">
        <v>4649</v>
      </c>
      <c r="HS33" t="s">
        <v>4653</v>
      </c>
      <c r="HT33" t="s">
        <v>4657</v>
      </c>
      <c r="HU33" t="s">
        <v>4660</v>
      </c>
      <c r="HV33" t="s">
        <v>4714</v>
      </c>
      <c r="HW33" t="s">
        <v>4666</v>
      </c>
      <c r="HX33" t="s">
        <v>4670</v>
      </c>
      <c r="HY33" t="s">
        <v>4674</v>
      </c>
      <c r="HZ33" t="s">
        <v>4680</v>
      </c>
      <c r="IA33" t="s">
        <v>4684</v>
      </c>
      <c r="IB33" t="s">
        <v>4715</v>
      </c>
      <c r="IC33" t="s">
        <v>4688</v>
      </c>
      <c r="ID33" t="s">
        <v>4690</v>
      </c>
      <c r="IE33" t="s">
        <v>4692</v>
      </c>
      <c r="IF33" t="s">
        <v>4695</v>
      </c>
      <c r="IG33" t="s">
        <v>4697</v>
      </c>
      <c r="IH33" t="s">
        <v>4699</v>
      </c>
      <c r="II33" t="s">
        <v>4701</v>
      </c>
      <c r="IJ33" t="s">
        <v>4703</v>
      </c>
      <c r="IK33" t="s">
        <v>4707</v>
      </c>
      <c r="IL33" t="s">
        <v>4582</v>
      </c>
      <c r="IM33" t="s">
        <v>4582</v>
      </c>
      <c r="IN33" t="s">
        <v>4633</v>
      </c>
      <c r="IO33" t="s">
        <v>4637</v>
      </c>
      <c r="IP33" t="s">
        <v>4641</v>
      </c>
      <c r="IQ33" t="s">
        <v>4645</v>
      </c>
      <c r="IR33" t="s">
        <v>4649</v>
      </c>
      <c r="IS33" t="s">
        <v>4653</v>
      </c>
      <c r="IT33" t="s">
        <v>4657</v>
      </c>
      <c r="IU33" t="s">
        <v>4660</v>
      </c>
      <c r="IV33" t="s">
        <v>4714</v>
      </c>
      <c r="IW33" t="s">
        <v>4666</v>
      </c>
      <c r="IX33" t="s">
        <v>4670</v>
      </c>
      <c r="IY33" t="s">
        <v>4680</v>
      </c>
      <c r="IZ33" t="s">
        <v>4684</v>
      </c>
      <c r="JA33" t="s">
        <v>4715</v>
      </c>
      <c r="JB33" t="s">
        <v>4686</v>
      </c>
      <c r="JC33" t="s">
        <v>4688</v>
      </c>
      <c r="JD33" t="s">
        <v>4690</v>
      </c>
      <c r="JE33" t="s">
        <v>4692</v>
      </c>
      <c r="JF33" t="s">
        <v>4695</v>
      </c>
      <c r="JG33" t="s">
        <v>4699</v>
      </c>
      <c r="JH33" t="s">
        <v>4701</v>
      </c>
      <c r="JI33" t="s">
        <v>4703</v>
      </c>
      <c r="JJ33" t="s">
        <v>4705</v>
      </c>
      <c r="JK33" t="s">
        <v>4707</v>
      </c>
      <c r="JL33" t="s">
        <v>4582</v>
      </c>
      <c r="JM33" t="s">
        <v>4633</v>
      </c>
      <c r="JN33" t="s">
        <v>4637</v>
      </c>
      <c r="JO33" t="s">
        <v>4641</v>
      </c>
      <c r="JP33" t="s">
        <v>4645</v>
      </c>
      <c r="JQ33" t="s">
        <v>4649</v>
      </c>
      <c r="JR33" t="s">
        <v>4653</v>
      </c>
      <c r="JS33" t="s">
        <v>4657</v>
      </c>
      <c r="JT33" t="s">
        <v>4660</v>
      </c>
      <c r="JU33" t="s">
        <v>4714</v>
      </c>
      <c r="JV33" t="s">
        <v>4666</v>
      </c>
      <c r="JW33" t="s">
        <v>4670</v>
      </c>
      <c r="JX33" t="s">
        <v>4674</v>
      </c>
      <c r="JY33" t="s">
        <v>4680</v>
      </c>
      <c r="JZ33" t="s">
        <v>4684</v>
      </c>
      <c r="KA33" t="s">
        <v>4715</v>
      </c>
      <c r="KB33" t="s">
        <v>4686</v>
      </c>
      <c r="KC33" t="s">
        <v>4690</v>
      </c>
      <c r="KD33" t="s">
        <v>4692</v>
      </c>
      <c r="KE33" t="s">
        <v>4695</v>
      </c>
      <c r="KF33" t="s">
        <v>4697</v>
      </c>
      <c r="KG33" t="s">
        <v>4699</v>
      </c>
      <c r="KH33" t="s">
        <v>4701</v>
      </c>
      <c r="KI33" t="s">
        <v>4703</v>
      </c>
      <c r="KJ33" t="s">
        <v>4705</v>
      </c>
      <c r="KK33" t="s">
        <v>4582</v>
      </c>
      <c r="KL33" t="s">
        <v>4633</v>
      </c>
      <c r="KM33" t="s">
        <v>4637</v>
      </c>
      <c r="KN33" t="s">
        <v>4641</v>
      </c>
      <c r="KO33" t="s">
        <v>4645</v>
      </c>
      <c r="KP33" t="s">
        <v>4649</v>
      </c>
      <c r="KQ33" t="s">
        <v>4653</v>
      </c>
      <c r="KR33" t="s">
        <v>4657</v>
      </c>
      <c r="KS33" t="s">
        <v>4660</v>
      </c>
      <c r="KT33" t="s">
        <v>4714</v>
      </c>
      <c r="KU33" t="s">
        <v>4666</v>
      </c>
      <c r="KV33" t="s">
        <v>4670</v>
      </c>
      <c r="KW33" t="s">
        <v>4674</v>
      </c>
      <c r="KX33" t="s">
        <v>4680</v>
      </c>
      <c r="KY33" t="s">
        <v>4684</v>
      </c>
      <c r="KZ33" t="s">
        <v>4715</v>
      </c>
      <c r="LA33" t="s">
        <v>4686</v>
      </c>
      <c r="LB33" t="s">
        <v>4688</v>
      </c>
      <c r="LC33" t="s">
        <v>4690</v>
      </c>
      <c r="LD33" t="s">
        <v>4692</v>
      </c>
      <c r="LE33" t="s">
        <v>4695</v>
      </c>
      <c r="LF33" t="s">
        <v>4699</v>
      </c>
      <c r="LG33" t="s">
        <v>4701</v>
      </c>
      <c r="LH33" t="s">
        <v>4703</v>
      </c>
      <c r="LI33" t="s">
        <v>4705</v>
      </c>
      <c r="LJ33" t="s">
        <v>4707</v>
      </c>
      <c r="LK33" t="s">
        <v>4582</v>
      </c>
      <c r="LL33" t="s">
        <v>4633</v>
      </c>
      <c r="LM33" t="s">
        <v>4637</v>
      </c>
      <c r="LN33" t="s">
        <v>4641</v>
      </c>
      <c r="LO33" t="s">
        <v>4645</v>
      </c>
      <c r="LP33" t="s">
        <v>4649</v>
      </c>
      <c r="LQ33" t="s">
        <v>4653</v>
      </c>
      <c r="LR33" t="s">
        <v>4657</v>
      </c>
      <c r="LS33" t="s">
        <v>4660</v>
      </c>
      <c r="LT33" t="s">
        <v>4714</v>
      </c>
      <c r="LU33" t="s">
        <v>4666</v>
      </c>
      <c r="LV33" t="s">
        <v>4670</v>
      </c>
      <c r="LW33" t="s">
        <v>4674</v>
      </c>
      <c r="LX33" t="s">
        <v>4680</v>
      </c>
      <c r="LY33" t="s">
        <v>4684</v>
      </c>
      <c r="LZ33" t="s">
        <v>4715</v>
      </c>
      <c r="MA33" t="s">
        <v>4686</v>
      </c>
      <c r="MB33" t="s">
        <v>4688</v>
      </c>
      <c r="MC33" t="s">
        <v>4690</v>
      </c>
      <c r="MD33" t="s">
        <v>4695</v>
      </c>
      <c r="ME33" t="s">
        <v>4697</v>
      </c>
      <c r="MF33" t="s">
        <v>4699</v>
      </c>
      <c r="MG33" t="s">
        <v>4701</v>
      </c>
      <c r="MH33" t="s">
        <v>4703</v>
      </c>
      <c r="MI33" t="s">
        <v>4707</v>
      </c>
      <c r="MJ33" t="s">
        <v>4582</v>
      </c>
      <c r="MK33" t="s">
        <v>4633</v>
      </c>
      <c r="ML33" t="s">
        <v>4637</v>
      </c>
      <c r="MM33" t="s">
        <v>4641</v>
      </c>
      <c r="MN33" t="s">
        <v>4645</v>
      </c>
      <c r="MO33" t="s">
        <v>4649</v>
      </c>
      <c r="MP33" t="s">
        <v>4653</v>
      </c>
      <c r="MQ33" t="s">
        <v>4657</v>
      </c>
      <c r="MR33" t="s">
        <v>4660</v>
      </c>
      <c r="MS33" t="s">
        <v>4714</v>
      </c>
      <c r="MT33" t="s">
        <v>4666</v>
      </c>
      <c r="MU33" t="s">
        <v>4670</v>
      </c>
      <c r="MV33" t="s">
        <v>4674</v>
      </c>
      <c r="MW33" t="s">
        <v>4680</v>
      </c>
      <c r="MX33" t="s">
        <v>4684</v>
      </c>
      <c r="MY33" t="s">
        <v>4715</v>
      </c>
      <c r="MZ33" t="s">
        <v>4686</v>
      </c>
      <c r="NA33" t="s">
        <v>4688</v>
      </c>
      <c r="NB33" t="s">
        <v>4690</v>
      </c>
      <c r="NC33" t="s">
        <v>4692</v>
      </c>
      <c r="ND33" t="s">
        <v>4695</v>
      </c>
      <c r="NE33" t="s">
        <v>4697</v>
      </c>
      <c r="NF33" t="s">
        <v>4699</v>
      </c>
      <c r="NG33" t="s">
        <v>4703</v>
      </c>
      <c r="NH33" t="s">
        <v>4705</v>
      </c>
      <c r="NI33" t="s">
        <v>4707</v>
      </c>
      <c r="NJ33" t="s">
        <v>4582</v>
      </c>
      <c r="NK33" t="s">
        <v>4633</v>
      </c>
      <c r="NL33" t="s">
        <v>4641</v>
      </c>
      <c r="NM33" t="s">
        <v>4645</v>
      </c>
      <c r="NN33" t="s">
        <v>4649</v>
      </c>
      <c r="NO33" t="s">
        <v>4653</v>
      </c>
      <c r="NP33" t="s">
        <v>4657</v>
      </c>
      <c r="NQ33" t="s">
        <v>4660</v>
      </c>
      <c r="NR33" t="s">
        <v>4714</v>
      </c>
      <c r="NS33" t="s">
        <v>4666</v>
      </c>
      <c r="NT33" t="s">
        <v>4670</v>
      </c>
      <c r="NU33" t="s">
        <v>4674</v>
      </c>
      <c r="NV33" t="s">
        <v>4680</v>
      </c>
      <c r="NW33" t="s">
        <v>4684</v>
      </c>
      <c r="NX33" t="s">
        <v>4715</v>
      </c>
      <c r="NY33" t="s">
        <v>4686</v>
      </c>
      <c r="NZ33" t="s">
        <v>4688</v>
      </c>
      <c r="OA33" t="s">
        <v>4690</v>
      </c>
      <c r="OB33" t="s">
        <v>4692</v>
      </c>
      <c r="OC33" t="s">
        <v>4695</v>
      </c>
      <c r="OD33" t="s">
        <v>4697</v>
      </c>
      <c r="OE33" t="s">
        <v>4699</v>
      </c>
      <c r="OF33" t="s">
        <v>4701</v>
      </c>
      <c r="OG33" t="s">
        <v>4703</v>
      </c>
      <c r="OH33" t="s">
        <v>4705</v>
      </c>
      <c r="OI33" t="s">
        <v>4707</v>
      </c>
      <c r="OJ33" t="s">
        <v>4582</v>
      </c>
      <c r="OK33" t="s">
        <v>4637</v>
      </c>
      <c r="OL33" t="s">
        <v>4641</v>
      </c>
      <c r="OM33" t="s">
        <v>4645</v>
      </c>
      <c r="ON33" t="s">
        <v>4649</v>
      </c>
      <c r="OO33" t="s">
        <v>4657</v>
      </c>
      <c r="OP33" t="s">
        <v>4660</v>
      </c>
      <c r="OQ33" t="s">
        <v>4714</v>
      </c>
      <c r="OR33" t="s">
        <v>4666</v>
      </c>
      <c r="OS33" t="s">
        <v>4670</v>
      </c>
      <c r="OT33" t="s">
        <v>4674</v>
      </c>
      <c r="OU33" t="s">
        <v>4680</v>
      </c>
      <c r="OV33" t="s">
        <v>4684</v>
      </c>
      <c r="OW33" t="s">
        <v>4715</v>
      </c>
      <c r="OX33" t="s">
        <v>4686</v>
      </c>
      <c r="OY33" t="s">
        <v>4688</v>
      </c>
      <c r="OZ33" t="s">
        <v>4690</v>
      </c>
      <c r="PA33" t="s">
        <v>4692</v>
      </c>
      <c r="PB33" t="s">
        <v>4695</v>
      </c>
      <c r="PC33" t="s">
        <v>4697</v>
      </c>
      <c r="PD33" t="s">
        <v>4699</v>
      </c>
      <c r="PE33" t="s">
        <v>4701</v>
      </c>
      <c r="PF33" t="s">
        <v>4703</v>
      </c>
      <c r="PG33" t="s">
        <v>4705</v>
      </c>
      <c r="PH33" t="s">
        <v>4707</v>
      </c>
      <c r="PI33" t="s">
        <v>4582</v>
      </c>
      <c r="PJ33" t="s">
        <v>4633</v>
      </c>
      <c r="PK33" t="s">
        <v>4637</v>
      </c>
      <c r="PL33" t="s">
        <v>4641</v>
      </c>
      <c r="PM33" t="s">
        <v>4645</v>
      </c>
      <c r="PN33" t="s">
        <v>4653</v>
      </c>
      <c r="PO33" t="s">
        <v>4657</v>
      </c>
      <c r="PP33" t="s">
        <v>4660</v>
      </c>
      <c r="PQ33" t="s">
        <v>4714</v>
      </c>
      <c r="PR33" t="s">
        <v>4666</v>
      </c>
      <c r="PS33" t="s">
        <v>4670</v>
      </c>
      <c r="PT33" t="s">
        <v>4680</v>
      </c>
      <c r="PU33" t="s">
        <v>4684</v>
      </c>
      <c r="PV33" t="s">
        <v>4715</v>
      </c>
      <c r="PW33" t="s">
        <v>4686</v>
      </c>
      <c r="PX33" t="s">
        <v>4688</v>
      </c>
      <c r="PY33" t="s">
        <v>4690</v>
      </c>
      <c r="PZ33" t="s">
        <v>4692</v>
      </c>
      <c r="QA33" t="s">
        <v>4695</v>
      </c>
      <c r="QB33" t="s">
        <v>4695</v>
      </c>
      <c r="QC33" t="s">
        <v>4697</v>
      </c>
      <c r="QD33" t="s">
        <v>4699</v>
      </c>
      <c r="QE33" t="s">
        <v>4701</v>
      </c>
      <c r="QF33" t="s">
        <v>4703</v>
      </c>
      <c r="QG33" t="s">
        <v>4705</v>
      </c>
      <c r="QH33" t="s">
        <v>4707</v>
      </c>
      <c r="QI33" t="s">
        <v>4633</v>
      </c>
      <c r="QJ33" t="s">
        <v>4637</v>
      </c>
      <c r="QK33" t="s">
        <v>4641</v>
      </c>
      <c r="QL33" t="s">
        <v>4645</v>
      </c>
      <c r="QM33" t="s">
        <v>4649</v>
      </c>
      <c r="QN33" t="s">
        <v>4653</v>
      </c>
      <c r="QO33" t="s">
        <v>4657</v>
      </c>
      <c r="QP33" t="s">
        <v>4660</v>
      </c>
      <c r="QQ33" t="s">
        <v>4666</v>
      </c>
      <c r="QR33" t="s">
        <v>4670</v>
      </c>
      <c r="QS33" t="s">
        <v>4674</v>
      </c>
      <c r="QT33" t="s">
        <v>4680</v>
      </c>
      <c r="QU33" t="s">
        <v>4684</v>
      </c>
      <c r="QV33" t="s">
        <v>4715</v>
      </c>
      <c r="QW33" t="s">
        <v>4686</v>
      </c>
      <c r="QX33" t="s">
        <v>4688</v>
      </c>
      <c r="QY33" t="s">
        <v>4690</v>
      </c>
      <c r="QZ33" t="s">
        <v>4692</v>
      </c>
      <c r="RA33" t="s">
        <v>4695</v>
      </c>
      <c r="RB33" t="s">
        <v>4697</v>
      </c>
      <c r="RC33" t="s">
        <v>4699</v>
      </c>
      <c r="RD33" t="s">
        <v>4701</v>
      </c>
      <c r="RE33" t="s">
        <v>4703</v>
      </c>
      <c r="RF33" t="s">
        <v>4705</v>
      </c>
      <c r="RG33" t="s">
        <v>4707</v>
      </c>
      <c r="RH33" t="s">
        <v>4582</v>
      </c>
      <c r="RI33" t="s">
        <v>4633</v>
      </c>
      <c r="RJ33" t="s">
        <v>4637</v>
      </c>
      <c r="RK33" t="s">
        <v>4641</v>
      </c>
      <c r="RL33" t="s">
        <v>4649</v>
      </c>
      <c r="RM33" t="s">
        <v>4653</v>
      </c>
      <c r="RN33" t="s">
        <v>4657</v>
      </c>
      <c r="RO33" t="s">
        <v>4660</v>
      </c>
      <c r="RP33" t="s">
        <v>4714</v>
      </c>
      <c r="RQ33" t="s">
        <v>4666</v>
      </c>
      <c r="RR33" t="s">
        <v>4670</v>
      </c>
      <c r="RS33" t="s">
        <v>4674</v>
      </c>
      <c r="RT33" t="s">
        <v>4684</v>
      </c>
      <c r="RU33" t="s">
        <v>4715</v>
      </c>
      <c r="RV33" t="s">
        <v>4686</v>
      </c>
      <c r="RW33" t="s">
        <v>4688</v>
      </c>
      <c r="RX33" t="s">
        <v>4690</v>
      </c>
      <c r="RY33" t="s">
        <v>4692</v>
      </c>
      <c r="RZ33" t="s">
        <v>4695</v>
      </c>
      <c r="SA33" t="s">
        <v>4697</v>
      </c>
      <c r="SB33" t="s">
        <v>4699</v>
      </c>
      <c r="SC33" t="s">
        <v>4701</v>
      </c>
      <c r="SD33" t="s">
        <v>4703</v>
      </c>
      <c r="SE33" t="s">
        <v>4705</v>
      </c>
      <c r="SF33" t="s">
        <v>4707</v>
      </c>
      <c r="SG33" t="s">
        <v>4582</v>
      </c>
      <c r="SH33" t="s">
        <v>4633</v>
      </c>
      <c r="SI33" t="s">
        <v>4637</v>
      </c>
      <c r="SJ33" t="s">
        <v>4641</v>
      </c>
      <c r="SK33" t="s">
        <v>4645</v>
      </c>
      <c r="SL33" t="s">
        <v>4649</v>
      </c>
      <c r="SM33" t="s">
        <v>4653</v>
      </c>
      <c r="SN33" t="s">
        <v>4657</v>
      </c>
      <c r="SO33" t="s">
        <v>4660</v>
      </c>
      <c r="SP33" t="s">
        <v>4666</v>
      </c>
      <c r="SQ33" t="s">
        <v>4670</v>
      </c>
      <c r="SR33" t="s">
        <v>4674</v>
      </c>
      <c r="SS33" t="s">
        <v>4680</v>
      </c>
      <c r="ST33" t="s">
        <v>4684</v>
      </c>
      <c r="SU33" t="s">
        <v>4715</v>
      </c>
      <c r="SV33" t="s">
        <v>4686</v>
      </c>
      <c r="SW33" t="s">
        <v>4688</v>
      </c>
      <c r="SX33" t="s">
        <v>4692</v>
      </c>
      <c r="SY33" t="s">
        <v>4695</v>
      </c>
      <c r="SZ33" t="s">
        <v>4697</v>
      </c>
      <c r="TA33" t="s">
        <v>4699</v>
      </c>
      <c r="TB33" t="s">
        <v>4701</v>
      </c>
      <c r="TC33" t="s">
        <v>4703</v>
      </c>
      <c r="TD33" t="s">
        <v>4705</v>
      </c>
      <c r="TE33" t="s">
        <v>4707</v>
      </c>
      <c r="TF33" t="s">
        <v>4582</v>
      </c>
      <c r="TG33" t="s">
        <v>4633</v>
      </c>
      <c r="TH33" t="s">
        <v>4637</v>
      </c>
      <c r="TI33" t="s">
        <v>4637</v>
      </c>
      <c r="TJ33" t="s">
        <v>4641</v>
      </c>
      <c r="TK33" t="s">
        <v>4649</v>
      </c>
      <c r="TL33" t="s">
        <v>4653</v>
      </c>
      <c r="TM33" t="s">
        <v>4657</v>
      </c>
      <c r="TN33" t="s">
        <v>4660</v>
      </c>
      <c r="TO33" t="s">
        <v>4714</v>
      </c>
      <c r="TP33" t="s">
        <v>4666</v>
      </c>
      <c r="TQ33" t="s">
        <v>4670</v>
      </c>
      <c r="TR33" t="s">
        <v>4674</v>
      </c>
      <c r="TS33" t="s">
        <v>4684</v>
      </c>
      <c r="TT33" t="s">
        <v>4715</v>
      </c>
      <c r="TU33" t="s">
        <v>4686</v>
      </c>
      <c r="TV33" t="s">
        <v>4688</v>
      </c>
      <c r="TW33" t="s">
        <v>4690</v>
      </c>
      <c r="TX33" t="s">
        <v>4692</v>
      </c>
      <c r="TY33" t="s">
        <v>4695</v>
      </c>
      <c r="TZ33" t="s">
        <v>4697</v>
      </c>
      <c r="UA33" t="s">
        <v>4699</v>
      </c>
      <c r="UB33" t="s">
        <v>4701</v>
      </c>
      <c r="UC33" t="s">
        <v>4703</v>
      </c>
      <c r="UD33" t="s">
        <v>4705</v>
      </c>
      <c r="UE33" t="s">
        <v>4707</v>
      </c>
      <c r="UF33" t="s">
        <v>4582</v>
      </c>
      <c r="UG33" t="s">
        <v>4633</v>
      </c>
      <c r="UH33" t="s">
        <v>4637</v>
      </c>
      <c r="UI33" t="s">
        <v>4641</v>
      </c>
      <c r="UJ33" t="s">
        <v>4645</v>
      </c>
      <c r="UK33" t="s">
        <v>4649</v>
      </c>
      <c r="UL33" t="s">
        <v>4653</v>
      </c>
      <c r="UM33" t="s">
        <v>4657</v>
      </c>
      <c r="UN33" t="s">
        <v>4660</v>
      </c>
      <c r="UO33" t="s">
        <v>4714</v>
      </c>
      <c r="UP33" t="s">
        <v>4666</v>
      </c>
      <c r="UQ33" t="s">
        <v>4674</v>
      </c>
      <c r="UR33" t="s">
        <v>4680</v>
      </c>
      <c r="US33" t="s">
        <v>4684</v>
      </c>
      <c r="UT33" t="s">
        <v>4715</v>
      </c>
      <c r="UU33" t="s">
        <v>4686</v>
      </c>
      <c r="UV33" t="s">
        <v>4690</v>
      </c>
      <c r="UW33" t="s">
        <v>4692</v>
      </c>
      <c r="UX33" t="s">
        <v>4695</v>
      </c>
      <c r="UY33" t="s">
        <v>4697</v>
      </c>
      <c r="UZ33" t="s">
        <v>4699</v>
      </c>
      <c r="VA33" t="s">
        <v>4701</v>
      </c>
      <c r="VB33" t="s">
        <v>4703</v>
      </c>
      <c r="VC33" t="s">
        <v>4705</v>
      </c>
      <c r="VD33" t="s">
        <v>4707</v>
      </c>
      <c r="VE33" t="s">
        <v>4582</v>
      </c>
      <c r="VF33" t="s">
        <v>4633</v>
      </c>
      <c r="VG33" t="s">
        <v>4637</v>
      </c>
      <c r="VH33" t="s">
        <v>4641</v>
      </c>
      <c r="VI33" t="s">
        <v>4645</v>
      </c>
      <c r="VJ33" t="s">
        <v>4649</v>
      </c>
      <c r="VK33" t="s">
        <v>4653</v>
      </c>
      <c r="VL33" t="s">
        <v>4657</v>
      </c>
      <c r="VM33" t="s">
        <v>4660</v>
      </c>
      <c r="VN33" t="s">
        <v>4714</v>
      </c>
      <c r="VO33" t="s">
        <v>4666</v>
      </c>
      <c r="VP33" t="s">
        <v>4670</v>
      </c>
      <c r="VQ33" t="s">
        <v>4674</v>
      </c>
      <c r="VR33" t="s">
        <v>4680</v>
      </c>
      <c r="VS33" t="s">
        <v>4684</v>
      </c>
      <c r="VT33" t="s">
        <v>4715</v>
      </c>
      <c r="VU33" t="s">
        <v>4688</v>
      </c>
      <c r="VV33" t="s">
        <v>4690</v>
      </c>
      <c r="VW33" t="s">
        <v>4692</v>
      </c>
      <c r="VX33" t="s">
        <v>4695</v>
      </c>
      <c r="VY33" t="s">
        <v>4697</v>
      </c>
      <c r="VZ33" t="s">
        <v>4701</v>
      </c>
      <c r="WA33" t="s">
        <v>4703</v>
      </c>
      <c r="WB33" t="s">
        <v>4705</v>
      </c>
      <c r="WC33" t="s">
        <v>4707</v>
      </c>
      <c r="WD33" t="s">
        <v>4582</v>
      </c>
      <c r="WE33" t="s">
        <v>4633</v>
      </c>
      <c r="WF33" t="s">
        <v>4637</v>
      </c>
      <c r="WG33" t="s">
        <v>4641</v>
      </c>
      <c r="WH33" t="s">
        <v>4645</v>
      </c>
      <c r="WI33" t="s">
        <v>4649</v>
      </c>
      <c r="WJ33" t="s">
        <v>4653</v>
      </c>
      <c r="WK33" t="s">
        <v>4657</v>
      </c>
      <c r="WL33" t="s">
        <v>4660</v>
      </c>
      <c r="WM33" t="s">
        <v>4714</v>
      </c>
      <c r="WN33" t="s">
        <v>4714</v>
      </c>
      <c r="WO33" t="s">
        <v>4666</v>
      </c>
      <c r="WP33" t="s">
        <v>4670</v>
      </c>
      <c r="WQ33" t="s">
        <v>4674</v>
      </c>
      <c r="WR33" t="s">
        <v>4684</v>
      </c>
      <c r="WS33" t="s">
        <v>4715</v>
      </c>
      <c r="WT33" t="s">
        <v>4686</v>
      </c>
      <c r="WU33" t="s">
        <v>4688</v>
      </c>
      <c r="WV33" t="s">
        <v>4690</v>
      </c>
      <c r="WW33" t="s">
        <v>4692</v>
      </c>
      <c r="WX33" t="s">
        <v>4695</v>
      </c>
      <c r="WY33" t="s">
        <v>4699</v>
      </c>
      <c r="WZ33" t="s">
        <v>4701</v>
      </c>
      <c r="XA33" t="s">
        <v>4703</v>
      </c>
      <c r="XB33" t="s">
        <v>4705</v>
      </c>
      <c r="XC33" t="s">
        <v>4707</v>
      </c>
      <c r="XD33" t="s">
        <v>4582</v>
      </c>
      <c r="XE33" t="s">
        <v>4633</v>
      </c>
      <c r="XF33" t="s">
        <v>4637</v>
      </c>
      <c r="XG33" t="s">
        <v>4641</v>
      </c>
      <c r="XH33" t="s">
        <v>4645</v>
      </c>
      <c r="XI33" t="s">
        <v>4649</v>
      </c>
      <c r="XJ33" t="s">
        <v>4653</v>
      </c>
      <c r="XK33" t="s">
        <v>4657</v>
      </c>
      <c r="XL33" t="s">
        <v>4660</v>
      </c>
      <c r="XM33" t="s">
        <v>4714</v>
      </c>
      <c r="XN33" t="s">
        <v>4666</v>
      </c>
      <c r="XO33" t="s">
        <v>4670</v>
      </c>
      <c r="XP33" t="s">
        <v>4674</v>
      </c>
      <c r="XQ33" t="s">
        <v>4680</v>
      </c>
      <c r="XR33" t="s">
        <v>4684</v>
      </c>
      <c r="XS33" t="s">
        <v>4715</v>
      </c>
      <c r="XT33" t="s">
        <v>4686</v>
      </c>
      <c r="XU33" t="s">
        <v>4688</v>
      </c>
      <c r="XV33" t="s">
        <v>4690</v>
      </c>
      <c r="XW33" t="s">
        <v>4695</v>
      </c>
      <c r="XX33" t="s">
        <v>4697</v>
      </c>
      <c r="XY33" t="s">
        <v>4699</v>
      </c>
      <c r="XZ33" t="s">
        <v>4701</v>
      </c>
      <c r="YA33" t="s">
        <v>4703</v>
      </c>
      <c r="YB33" t="s">
        <v>4705</v>
      </c>
      <c r="YC33" t="s">
        <v>4582</v>
      </c>
      <c r="YD33" t="s">
        <v>4633</v>
      </c>
      <c r="YE33" t="s">
        <v>4637</v>
      </c>
      <c r="YF33" t="s">
        <v>4641</v>
      </c>
      <c r="YG33" t="s">
        <v>4645</v>
      </c>
      <c r="YH33" t="s">
        <v>4649</v>
      </c>
      <c r="YI33" t="s">
        <v>4653</v>
      </c>
      <c r="YJ33" t="s">
        <v>4657</v>
      </c>
      <c r="YK33" t="s">
        <v>4660</v>
      </c>
      <c r="YL33" t="s">
        <v>4714</v>
      </c>
      <c r="YM33" t="s">
        <v>4666</v>
      </c>
      <c r="YN33" t="s">
        <v>4670</v>
      </c>
      <c r="YO33" t="s">
        <v>4674</v>
      </c>
      <c r="YP33" t="s">
        <v>4680</v>
      </c>
      <c r="YQ33" t="s">
        <v>4684</v>
      </c>
      <c r="YR33" t="s">
        <v>4715</v>
      </c>
      <c r="YS33" t="s">
        <v>4686</v>
      </c>
      <c r="YT33" t="s">
        <v>4688</v>
      </c>
      <c r="YU33" t="s">
        <v>4690</v>
      </c>
      <c r="YV33" t="s">
        <v>4692</v>
      </c>
      <c r="YW33" t="s">
        <v>4695</v>
      </c>
      <c r="YX33" t="s">
        <v>4697</v>
      </c>
      <c r="YY33" t="s">
        <v>4699</v>
      </c>
      <c r="YZ33" t="s">
        <v>4703</v>
      </c>
      <c r="ZA33" t="s">
        <v>4705</v>
      </c>
      <c r="ZB33" t="s">
        <v>4707</v>
      </c>
      <c r="ZC33" t="s">
        <v>4582</v>
      </c>
      <c r="ZD33" t="s">
        <v>4633</v>
      </c>
      <c r="ZE33" t="s">
        <v>4637</v>
      </c>
      <c r="ZF33" t="s">
        <v>4641</v>
      </c>
      <c r="ZG33" t="s">
        <v>4649</v>
      </c>
      <c r="ZH33" t="s">
        <v>4653</v>
      </c>
      <c r="ZI33" t="s">
        <v>4657</v>
      </c>
      <c r="ZJ33" t="s">
        <v>4660</v>
      </c>
      <c r="ZK33" t="s">
        <v>4714</v>
      </c>
      <c r="ZL33" t="s">
        <v>4666</v>
      </c>
      <c r="ZM33" t="s">
        <v>4670</v>
      </c>
      <c r="ZN33" t="s">
        <v>4674</v>
      </c>
      <c r="ZO33" t="s">
        <v>4680</v>
      </c>
      <c r="ZP33" t="s">
        <v>4684</v>
      </c>
      <c r="ZQ33" t="s">
        <v>4715</v>
      </c>
      <c r="ZR33" t="s">
        <v>4686</v>
      </c>
      <c r="ZS33" t="s">
        <v>4688</v>
      </c>
      <c r="ZT33" t="s">
        <v>4690</v>
      </c>
      <c r="ZU33" t="s">
        <v>4692</v>
      </c>
      <c r="ZV33" t="s">
        <v>4695</v>
      </c>
      <c r="ZW33" t="s">
        <v>4697</v>
      </c>
      <c r="ZX33" t="s">
        <v>4699</v>
      </c>
      <c r="ZY33" t="s">
        <v>4701</v>
      </c>
      <c r="ZZ33" t="s">
        <v>4703</v>
      </c>
      <c r="AAA33" t="s">
        <v>4705</v>
      </c>
      <c r="AAB33" t="s">
        <v>4707</v>
      </c>
      <c r="AAC33" t="s">
        <v>4633</v>
      </c>
      <c r="AAD33" t="s">
        <v>4637</v>
      </c>
      <c r="AAE33" t="s">
        <v>4641</v>
      </c>
      <c r="AAF33" t="s">
        <v>4645</v>
      </c>
      <c r="AAG33" t="s">
        <v>4649</v>
      </c>
      <c r="AAH33" t="s">
        <v>4653</v>
      </c>
      <c r="AAI33" t="s">
        <v>4657</v>
      </c>
      <c r="AAJ33" t="s">
        <v>4660</v>
      </c>
      <c r="AAK33" t="s">
        <v>4714</v>
      </c>
      <c r="AAL33" t="s">
        <v>4666</v>
      </c>
      <c r="AAM33" t="s">
        <v>4670</v>
      </c>
      <c r="AAN33" t="s">
        <v>4674</v>
      </c>
      <c r="AAO33" t="s">
        <v>4680</v>
      </c>
      <c r="AAP33" t="s">
        <v>4684</v>
      </c>
      <c r="AAQ33" t="s">
        <v>4715</v>
      </c>
      <c r="AAR33" t="s">
        <v>4686</v>
      </c>
      <c r="AAS33" t="s">
        <v>4688</v>
      </c>
      <c r="AAT33" t="s">
        <v>4690</v>
      </c>
      <c r="AAU33" t="s">
        <v>4692</v>
      </c>
      <c r="AAV33" t="s">
        <v>4695</v>
      </c>
      <c r="AAW33" t="s">
        <v>4697</v>
      </c>
      <c r="AAX33" t="s">
        <v>4699</v>
      </c>
      <c r="AAY33" t="s">
        <v>4703</v>
      </c>
      <c r="AAZ33" t="s">
        <v>4705</v>
      </c>
      <c r="ABA33" t="s">
        <v>4707</v>
      </c>
      <c r="ABB33" t="s">
        <v>4582</v>
      </c>
      <c r="ABC33" t="s">
        <v>4633</v>
      </c>
      <c r="ABD33" t="s">
        <v>4637</v>
      </c>
      <c r="ABE33" t="s">
        <v>4645</v>
      </c>
      <c r="ABF33" t="s">
        <v>4649</v>
      </c>
      <c r="ABG33" t="s">
        <v>4653</v>
      </c>
      <c r="ABH33" t="s">
        <v>4657</v>
      </c>
      <c r="ABI33" t="s">
        <v>4660</v>
      </c>
      <c r="ABJ33" t="s">
        <v>4714</v>
      </c>
      <c r="ABK33" t="s">
        <v>4666</v>
      </c>
      <c r="ABL33" t="s">
        <v>4670</v>
      </c>
      <c r="ABM33" t="s">
        <v>4674</v>
      </c>
      <c r="ABN33" t="s">
        <v>4680</v>
      </c>
      <c r="ABO33" t="s">
        <v>4684</v>
      </c>
      <c r="ABP33" t="s">
        <v>4715</v>
      </c>
      <c r="ABQ33" t="s">
        <v>4686</v>
      </c>
      <c r="ABR33" t="s">
        <v>4688</v>
      </c>
      <c r="ABS33" t="s">
        <v>4690</v>
      </c>
      <c r="ABT33" t="s">
        <v>4692</v>
      </c>
      <c r="ABU33" t="s">
        <v>4695</v>
      </c>
      <c r="ABV33" t="s">
        <v>4697</v>
      </c>
      <c r="ABW33" t="s">
        <v>4699</v>
      </c>
      <c r="ABX33" t="s">
        <v>4701</v>
      </c>
      <c r="ABY33" t="s">
        <v>4703</v>
      </c>
      <c r="ABZ33" t="s">
        <v>4705</v>
      </c>
      <c r="ACA33" t="s">
        <v>4707</v>
      </c>
      <c r="ACB33" t="s">
        <v>4633</v>
      </c>
      <c r="ACC33" t="s">
        <v>4637</v>
      </c>
      <c r="ACD33" t="s">
        <v>4641</v>
      </c>
      <c r="ACE33" t="s">
        <v>4645</v>
      </c>
      <c r="ACF33" t="s">
        <v>4649</v>
      </c>
      <c r="ACG33" t="s">
        <v>4653</v>
      </c>
      <c r="ACH33" t="s">
        <v>4660</v>
      </c>
      <c r="ACI33" t="s">
        <v>4714</v>
      </c>
      <c r="ACJ33" t="s">
        <v>4666</v>
      </c>
      <c r="ACK33" t="s">
        <v>4670</v>
      </c>
      <c r="ACL33" t="s">
        <v>4674</v>
      </c>
      <c r="ACM33" t="s">
        <v>4680</v>
      </c>
      <c r="ACN33" t="s">
        <v>4684</v>
      </c>
      <c r="ACO33" t="s">
        <v>4715</v>
      </c>
      <c r="ACP33" t="s">
        <v>4686</v>
      </c>
      <c r="ACQ33" t="s">
        <v>4688</v>
      </c>
      <c r="ACR33" t="s">
        <v>4690</v>
      </c>
      <c r="ACS33" t="s">
        <v>4692</v>
      </c>
      <c r="ACT33" t="s">
        <v>4695</v>
      </c>
      <c r="ACU33" t="s">
        <v>4697</v>
      </c>
      <c r="ACV33" t="s">
        <v>4699</v>
      </c>
      <c r="ACW33" t="s">
        <v>4701</v>
      </c>
      <c r="ACX33" t="s">
        <v>4703</v>
      </c>
      <c r="ACY33" t="s">
        <v>4705</v>
      </c>
      <c r="ACZ33" t="s">
        <v>4707</v>
      </c>
      <c r="ADA33" t="s">
        <v>4582</v>
      </c>
      <c r="ADB33" t="s">
        <v>4633</v>
      </c>
      <c r="ADC33" t="s">
        <v>4637</v>
      </c>
      <c r="ADD33" t="s">
        <v>4641</v>
      </c>
      <c r="ADE33" t="s">
        <v>4645</v>
      </c>
      <c r="ADF33" t="s">
        <v>4653</v>
      </c>
      <c r="ADG33" t="s">
        <v>4657</v>
      </c>
      <c r="ADH33" t="s">
        <v>4660</v>
      </c>
      <c r="ADI33" t="s">
        <v>4714</v>
      </c>
      <c r="ADJ33" t="s">
        <v>4666</v>
      </c>
      <c r="ADK33" t="s">
        <v>4674</v>
      </c>
      <c r="ADL33" t="s">
        <v>4680</v>
      </c>
      <c r="ADM33" t="s">
        <v>4684</v>
      </c>
      <c r="ADN33" t="s">
        <v>4715</v>
      </c>
      <c r="ADO33" t="s">
        <v>4686</v>
      </c>
      <c r="ADP33" t="s">
        <v>4688</v>
      </c>
    </row>
    <row r="34" spans="1:796">
      <c r="A34" t="s">
        <v>4326</v>
      </c>
      <c r="B34">
        <v>34</v>
      </c>
      <c r="C34" t="s">
        <v>4338</v>
      </c>
      <c r="D34">
        <v>83</v>
      </c>
      <c r="T34" t="s">
        <v>5220</v>
      </c>
      <c r="AW34" t="s">
        <v>5225</v>
      </c>
      <c r="CA34" t="s">
        <v>5243</v>
      </c>
      <c r="DD34" t="s">
        <v>5249</v>
      </c>
      <c r="EI34" t="s">
        <v>5257</v>
      </c>
      <c r="FN34" t="s">
        <v>5260</v>
      </c>
      <c r="GS34" t="s">
        <v>5267</v>
      </c>
      <c r="HX34" t="s">
        <v>5273</v>
      </c>
      <c r="JD34" t="s">
        <v>5278</v>
      </c>
      <c r="KI34" t="s">
        <v>5285</v>
      </c>
      <c r="LM34" t="s">
        <v>5292</v>
      </c>
      <c r="MQ34" t="s">
        <v>5300</v>
      </c>
      <c r="NU34" t="s">
        <v>5306</v>
      </c>
      <c r="OX34" t="s">
        <v>5312</v>
      </c>
      <c r="QB34" t="s">
        <v>5319</v>
      </c>
      <c r="RF34" t="s">
        <v>5325</v>
      </c>
      <c r="SJ34" t="s">
        <v>5331</v>
      </c>
      <c r="TO34" t="s">
        <v>5336</v>
      </c>
      <c r="UT34" t="s">
        <v>5343</v>
      </c>
      <c r="VZ34" t="s">
        <v>5347</v>
      </c>
      <c r="XE34" t="s">
        <v>5351</v>
      </c>
      <c r="YJ34" t="s">
        <v>5356</v>
      </c>
      <c r="ZN34" t="s">
        <v>5362</v>
      </c>
      <c r="AAR34" t="s">
        <v>5368</v>
      </c>
      <c r="ABV34" t="s">
        <v>5376</v>
      </c>
      <c r="ACY34" t="s">
        <v>5382</v>
      </c>
    </row>
    <row r="35" spans="1:796">
      <c r="A35" t="s">
        <v>4327</v>
      </c>
      <c r="B35">
        <v>35</v>
      </c>
      <c r="C35" t="s">
        <v>4341</v>
      </c>
      <c r="D35">
        <v>86</v>
      </c>
      <c r="N35" t="s">
        <v>4500</v>
      </c>
      <c r="O35" t="s">
        <v>5218</v>
      </c>
      <c r="AB35" t="s">
        <v>4500</v>
      </c>
      <c r="AC35" t="s">
        <v>5222</v>
      </c>
      <c r="AQ35" t="s">
        <v>4500</v>
      </c>
      <c r="AR35" t="s">
        <v>5223</v>
      </c>
      <c r="BF35" t="s">
        <v>4500</v>
      </c>
      <c r="BG35" t="s">
        <v>5227</v>
      </c>
      <c r="BU35" t="s">
        <v>4500</v>
      </c>
      <c r="BV35" t="s">
        <v>5241</v>
      </c>
      <c r="CJ35" t="s">
        <v>4500</v>
      </c>
      <c r="CK35" t="s">
        <v>5245</v>
      </c>
      <c r="CX35" t="s">
        <v>4500</v>
      </c>
      <c r="CY35" t="s">
        <v>5247</v>
      </c>
      <c r="DN35" t="s">
        <v>4500</v>
      </c>
      <c r="DO35" t="s">
        <v>5252</v>
      </c>
      <c r="EA35" t="s">
        <v>4500</v>
      </c>
      <c r="EB35" t="s">
        <v>5254</v>
      </c>
      <c r="EQ35" t="s">
        <v>4500</v>
      </c>
      <c r="ER35" t="s">
        <v>5207</v>
      </c>
      <c r="FE35" t="s">
        <v>4500</v>
      </c>
      <c r="FF35" t="s">
        <v>5209</v>
      </c>
      <c r="FU35" t="s">
        <v>4500</v>
      </c>
      <c r="FV35" t="s">
        <v>5263</v>
      </c>
      <c r="GH35" t="s">
        <v>4500</v>
      </c>
      <c r="GI35" t="s">
        <v>5265</v>
      </c>
      <c r="GX35" t="s">
        <v>4500</v>
      </c>
      <c r="GY35" t="s">
        <v>5268</v>
      </c>
      <c r="HL35" t="s">
        <v>4500</v>
      </c>
      <c r="HM35" t="s">
        <v>5271</v>
      </c>
      <c r="IA35" t="s">
        <v>4500</v>
      </c>
      <c r="IB35" t="s">
        <v>5213</v>
      </c>
      <c r="IP35" t="s">
        <v>4500</v>
      </c>
      <c r="IQ35" t="s">
        <v>5276</v>
      </c>
      <c r="JE35" t="s">
        <v>4500</v>
      </c>
      <c r="JF35" t="s">
        <v>5280</v>
      </c>
      <c r="JS35" t="s">
        <v>4500</v>
      </c>
      <c r="JT35" t="s">
        <v>5282</v>
      </c>
      <c r="KH35" t="s">
        <v>4500</v>
      </c>
      <c r="KI35" t="s">
        <v>5286</v>
      </c>
      <c r="KW35" t="s">
        <v>4500</v>
      </c>
      <c r="KX35" t="s">
        <v>5288</v>
      </c>
      <c r="LK35" t="s">
        <v>4500</v>
      </c>
      <c r="LL35" t="s">
        <v>5290</v>
      </c>
      <c r="MA35" t="s">
        <v>4500</v>
      </c>
      <c r="MB35" t="s">
        <v>5294</v>
      </c>
      <c r="MO35" t="s">
        <v>4500</v>
      </c>
      <c r="MP35" t="s">
        <v>5299</v>
      </c>
      <c r="ND35" t="s">
        <v>4500</v>
      </c>
      <c r="NE35" t="s">
        <v>5302</v>
      </c>
      <c r="NR35" t="s">
        <v>4500</v>
      </c>
      <c r="NS35" t="s">
        <v>5304</v>
      </c>
      <c r="OH35" t="s">
        <v>4500</v>
      </c>
      <c r="OI35" t="s">
        <v>5308</v>
      </c>
      <c r="OV35" t="s">
        <v>4500</v>
      </c>
      <c r="OW35" t="s">
        <v>5310</v>
      </c>
      <c r="PK35" t="s">
        <v>4500</v>
      </c>
      <c r="PL35" t="s">
        <v>5315</v>
      </c>
      <c r="PZ35" t="s">
        <v>4500</v>
      </c>
      <c r="QA35" t="s">
        <v>5317</v>
      </c>
      <c r="QO35" t="s">
        <v>4500</v>
      </c>
      <c r="QP35" t="s">
        <v>5320</v>
      </c>
      <c r="RD35" t="s">
        <v>4500</v>
      </c>
      <c r="RE35" t="s">
        <v>5117</v>
      </c>
      <c r="RR35" t="s">
        <v>4500</v>
      </c>
      <c r="RS35" t="s">
        <v>5327</v>
      </c>
      <c r="SG35" t="s">
        <v>4500</v>
      </c>
      <c r="SH35" t="s">
        <v>5329</v>
      </c>
      <c r="SU35" t="s">
        <v>4500</v>
      </c>
      <c r="SV35" t="s">
        <v>5333</v>
      </c>
      <c r="TK35" t="s">
        <v>4500</v>
      </c>
      <c r="TL35" t="s">
        <v>5209</v>
      </c>
      <c r="TY35" t="s">
        <v>4500</v>
      </c>
      <c r="TZ35" t="s">
        <v>5338</v>
      </c>
      <c r="UO35" t="s">
        <v>4500</v>
      </c>
      <c r="UP35" t="s">
        <v>5144</v>
      </c>
      <c r="VB35" t="s">
        <v>4500</v>
      </c>
      <c r="VC35" t="s">
        <v>5345</v>
      </c>
      <c r="VR35" t="s">
        <v>4500</v>
      </c>
      <c r="VS35" t="s">
        <v>5213</v>
      </c>
      <c r="WF35" t="s">
        <v>4500</v>
      </c>
      <c r="WG35" t="s">
        <v>5213</v>
      </c>
      <c r="WU35" t="s">
        <v>4500</v>
      </c>
      <c r="WV35" t="s">
        <v>5349</v>
      </c>
      <c r="XI35" t="s">
        <v>4500</v>
      </c>
      <c r="XJ35" t="s">
        <v>5353</v>
      </c>
      <c r="XY35" t="s">
        <v>4500</v>
      </c>
      <c r="XZ35" t="s">
        <v>5355</v>
      </c>
      <c r="YM35" t="s">
        <v>4500</v>
      </c>
      <c r="YN35" t="s">
        <v>5358</v>
      </c>
      <c r="ZB35" t="s">
        <v>4500</v>
      </c>
      <c r="ZC35" t="s">
        <v>5360</v>
      </c>
      <c r="ZQ35" t="s">
        <v>4500</v>
      </c>
      <c r="ZR35" t="s">
        <v>5364</v>
      </c>
      <c r="AAE35" t="s">
        <v>4500</v>
      </c>
      <c r="AAF35" t="s">
        <v>5366</v>
      </c>
      <c r="AAU35" t="s">
        <v>4500</v>
      </c>
      <c r="AAV35" t="s">
        <v>5370</v>
      </c>
      <c r="ABI35" t="s">
        <v>4500</v>
      </c>
      <c r="ABJ35" t="s">
        <v>5374</v>
      </c>
      <c r="ABX35" t="s">
        <v>4500</v>
      </c>
      <c r="ABY35" t="s">
        <v>5378</v>
      </c>
      <c r="ACL35" t="s">
        <v>4500</v>
      </c>
      <c r="ACM35" t="s">
        <v>5380</v>
      </c>
      <c r="ADB35" t="s">
        <v>4500</v>
      </c>
      <c r="ADC35" t="s">
        <v>5384</v>
      </c>
      <c r="ADP35" t="s">
        <v>4500</v>
      </c>
    </row>
    <row r="36" spans="1:796">
      <c r="A36" t="s">
        <v>4285</v>
      </c>
      <c r="B36">
        <v>36</v>
      </c>
      <c r="C36" t="s">
        <v>4340</v>
      </c>
      <c r="D36">
        <v>85</v>
      </c>
      <c r="N36" t="s">
        <v>4661</v>
      </c>
      <c r="AB36" t="s">
        <v>4661</v>
      </c>
      <c r="AQ36" t="s">
        <v>4661</v>
      </c>
      <c r="BF36" t="s">
        <v>4661</v>
      </c>
      <c r="BQ36" t="s">
        <v>4661</v>
      </c>
      <c r="BU36" t="s">
        <v>4661</v>
      </c>
      <c r="BV36" t="s">
        <v>4661</v>
      </c>
      <c r="CJ36" t="s">
        <v>4661</v>
      </c>
      <c r="CX36" t="s">
        <v>4661</v>
      </c>
      <c r="DB36" t="s">
        <v>4661</v>
      </c>
      <c r="DN36" t="s">
        <v>4661</v>
      </c>
      <c r="DY36" t="s">
        <v>4661</v>
      </c>
      <c r="EA36" t="s">
        <v>4661</v>
      </c>
      <c r="EQ36" t="s">
        <v>4661</v>
      </c>
      <c r="FE36" t="s">
        <v>4661</v>
      </c>
      <c r="FH36" t="s">
        <v>4661</v>
      </c>
      <c r="FU36" t="s">
        <v>4661</v>
      </c>
      <c r="GH36" t="s">
        <v>4661</v>
      </c>
      <c r="GX36" t="s">
        <v>4661</v>
      </c>
      <c r="HL36" t="s">
        <v>4661</v>
      </c>
      <c r="IA36" t="s">
        <v>4661</v>
      </c>
      <c r="IP36" t="s">
        <v>4661</v>
      </c>
      <c r="IT36" t="s">
        <v>4661</v>
      </c>
      <c r="JB36" t="s">
        <v>4661</v>
      </c>
      <c r="JE36" t="s">
        <v>4661</v>
      </c>
      <c r="JP36" t="s">
        <v>4661</v>
      </c>
      <c r="JS36" t="s">
        <v>4661</v>
      </c>
      <c r="JT36" t="s">
        <v>4661</v>
      </c>
      <c r="KH36" t="s">
        <v>4661</v>
      </c>
      <c r="KW36" t="s">
        <v>4661</v>
      </c>
      <c r="LK36" t="s">
        <v>4661</v>
      </c>
      <c r="MA36" t="s">
        <v>4661</v>
      </c>
      <c r="MD36" t="s">
        <v>4661</v>
      </c>
      <c r="MO36" t="s">
        <v>4661</v>
      </c>
      <c r="ND36" t="s">
        <v>4661</v>
      </c>
      <c r="NR36" t="s">
        <v>4661</v>
      </c>
      <c r="OH36" t="s">
        <v>4661</v>
      </c>
      <c r="OV36" t="s">
        <v>4661</v>
      </c>
      <c r="PH36" t="s">
        <v>4661</v>
      </c>
      <c r="PK36" t="s">
        <v>4661</v>
      </c>
      <c r="PL36" t="s">
        <v>4661</v>
      </c>
      <c r="PM36" t="s">
        <v>4661</v>
      </c>
      <c r="PZ36" t="s">
        <v>4661</v>
      </c>
      <c r="QO36" t="s">
        <v>4661</v>
      </c>
      <c r="QR36" t="s">
        <v>4661</v>
      </c>
      <c r="RD36" t="s">
        <v>4661</v>
      </c>
      <c r="RP36" t="s">
        <v>4661</v>
      </c>
      <c r="RR36" t="s">
        <v>4661</v>
      </c>
      <c r="SG36" t="s">
        <v>4661</v>
      </c>
      <c r="SU36" t="s">
        <v>4661</v>
      </c>
      <c r="SX36" t="s">
        <v>4661</v>
      </c>
      <c r="TK36" t="s">
        <v>4661</v>
      </c>
      <c r="TY36" t="s">
        <v>4661</v>
      </c>
      <c r="UO36" t="s">
        <v>4661</v>
      </c>
      <c r="VB36" t="s">
        <v>4661</v>
      </c>
      <c r="VR36" t="s">
        <v>4661</v>
      </c>
      <c r="WF36" t="s">
        <v>4661</v>
      </c>
      <c r="WU36" t="s">
        <v>4661</v>
      </c>
      <c r="XI36" t="s">
        <v>4661</v>
      </c>
      <c r="XN36" t="s">
        <v>4661</v>
      </c>
      <c r="XV36" t="s">
        <v>4661</v>
      </c>
      <c r="XY36" t="s">
        <v>4661</v>
      </c>
      <c r="YJ36" t="s">
        <v>4661</v>
      </c>
      <c r="YM36" t="s">
        <v>4661</v>
      </c>
      <c r="YN36" t="s">
        <v>4661</v>
      </c>
      <c r="ZB36" t="s">
        <v>4661</v>
      </c>
      <c r="ZQ36" t="s">
        <v>4661</v>
      </c>
      <c r="AAE36" t="s">
        <v>4661</v>
      </c>
      <c r="AAU36" t="s">
        <v>4661</v>
      </c>
      <c r="AAX36" t="s">
        <v>4661</v>
      </c>
      <c r="ABI36" t="s">
        <v>4661</v>
      </c>
      <c r="ABX36" t="s">
        <v>4661</v>
      </c>
      <c r="ACL36" t="s">
        <v>4661</v>
      </c>
      <c r="ADB36" t="s">
        <v>4661</v>
      </c>
      <c r="ADP36" t="s">
        <v>4661</v>
      </c>
    </row>
    <row r="37" spans="1:796">
      <c r="A37" t="s">
        <v>4286</v>
      </c>
      <c r="B37">
        <v>37</v>
      </c>
      <c r="C37" t="s">
        <v>4343</v>
      </c>
      <c r="D37">
        <v>88</v>
      </c>
    </row>
    <row r="38" spans="1:796">
      <c r="A38" t="s">
        <v>4290</v>
      </c>
      <c r="B38">
        <v>38</v>
      </c>
      <c r="C38" t="s">
        <v>4342</v>
      </c>
      <c r="D38">
        <v>87</v>
      </c>
      <c r="HL38" t="s">
        <v>851</v>
      </c>
      <c r="HP38" t="s">
        <v>852</v>
      </c>
      <c r="HQ38" t="s">
        <v>853</v>
      </c>
      <c r="IO38" t="s">
        <v>851</v>
      </c>
      <c r="IP38" t="s">
        <v>851</v>
      </c>
      <c r="IS38" t="s">
        <v>852</v>
      </c>
      <c r="IT38" t="s">
        <v>852</v>
      </c>
      <c r="IU38" t="s">
        <v>853</v>
      </c>
      <c r="JR38" t="s">
        <v>851</v>
      </c>
      <c r="JS38" t="s">
        <v>851</v>
      </c>
      <c r="JV38" t="s">
        <v>852</v>
      </c>
      <c r="JW38" t="s">
        <v>852</v>
      </c>
      <c r="JX38" t="s">
        <v>853</v>
      </c>
      <c r="KV38" t="s">
        <v>851</v>
      </c>
      <c r="KW38" t="s">
        <v>851</v>
      </c>
      <c r="KZ38" t="s">
        <v>852</v>
      </c>
      <c r="LA38" t="s">
        <v>852</v>
      </c>
      <c r="LB38" t="s">
        <v>853</v>
      </c>
      <c r="LZ38" t="s">
        <v>851</v>
      </c>
      <c r="MD38" t="s">
        <v>852</v>
      </c>
      <c r="WF38" t="s">
        <v>851</v>
      </c>
      <c r="WJ38" t="s">
        <v>852</v>
      </c>
      <c r="WK38" t="s">
        <v>853</v>
      </c>
      <c r="XH38" t="s">
        <v>851</v>
      </c>
      <c r="XI38" t="s">
        <v>851</v>
      </c>
      <c r="XM38" t="s">
        <v>852</v>
      </c>
      <c r="XN38" t="s">
        <v>852</v>
      </c>
      <c r="XO38" t="s">
        <v>853</v>
      </c>
      <c r="YL38" t="s">
        <v>851</v>
      </c>
      <c r="YM38" t="s">
        <v>851</v>
      </c>
      <c r="YP38" t="s">
        <v>852</v>
      </c>
      <c r="YQ38" t="s">
        <v>852</v>
      </c>
      <c r="YR38" t="s">
        <v>853</v>
      </c>
      <c r="ZP38" t="s">
        <v>851</v>
      </c>
      <c r="ZQ38" t="s">
        <v>851</v>
      </c>
      <c r="ZT38" t="s">
        <v>852</v>
      </c>
      <c r="ZU38" t="s">
        <v>852</v>
      </c>
      <c r="ZV38" t="s">
        <v>853</v>
      </c>
      <c r="AAT38" t="s">
        <v>851</v>
      </c>
      <c r="AAW38" t="s">
        <v>852</v>
      </c>
      <c r="AAX38" t="s">
        <v>853</v>
      </c>
    </row>
    <row r="39" spans="1:796">
      <c r="A39" t="s">
        <v>4292</v>
      </c>
      <c r="B39">
        <v>39</v>
      </c>
      <c r="C39" t="s">
        <v>4345</v>
      </c>
      <c r="D39">
        <v>90</v>
      </c>
      <c r="HL39">
        <v>1</v>
      </c>
      <c r="HP39">
        <v>1</v>
      </c>
      <c r="HQ39">
        <v>1</v>
      </c>
      <c r="IO39">
        <v>1</v>
      </c>
      <c r="IP39">
        <v>2</v>
      </c>
      <c r="IS39">
        <v>1</v>
      </c>
      <c r="IT39">
        <v>2</v>
      </c>
      <c r="IU39">
        <v>2</v>
      </c>
      <c r="JR39">
        <v>2</v>
      </c>
      <c r="JS39">
        <v>3</v>
      </c>
      <c r="JV39">
        <v>2</v>
      </c>
      <c r="JW39">
        <v>3</v>
      </c>
      <c r="JX39">
        <v>3</v>
      </c>
      <c r="KV39">
        <v>3</v>
      </c>
      <c r="KW39">
        <v>4</v>
      </c>
      <c r="KZ39">
        <v>3</v>
      </c>
      <c r="LA39">
        <v>4</v>
      </c>
      <c r="LB39">
        <v>4</v>
      </c>
      <c r="LZ39">
        <v>4</v>
      </c>
      <c r="MD39">
        <v>4</v>
      </c>
      <c r="WF39">
        <v>1</v>
      </c>
      <c r="WJ39">
        <v>1</v>
      </c>
      <c r="WK39">
        <v>1</v>
      </c>
      <c r="XH39">
        <v>1</v>
      </c>
      <c r="XI39">
        <v>2</v>
      </c>
      <c r="XM39">
        <v>1</v>
      </c>
      <c r="XN39">
        <v>2</v>
      </c>
      <c r="XO39">
        <v>2</v>
      </c>
      <c r="YL39">
        <v>2</v>
      </c>
      <c r="YM39">
        <v>3</v>
      </c>
      <c r="YP39">
        <v>2</v>
      </c>
      <c r="YQ39">
        <v>3</v>
      </c>
      <c r="YR39">
        <v>3</v>
      </c>
      <c r="ZP39">
        <v>3</v>
      </c>
      <c r="ZQ39">
        <v>4</v>
      </c>
      <c r="ZT39">
        <v>3</v>
      </c>
      <c r="ZU39">
        <v>4</v>
      </c>
      <c r="ZV39">
        <v>4</v>
      </c>
      <c r="AAT39">
        <v>4</v>
      </c>
      <c r="AAW39">
        <v>4</v>
      </c>
      <c r="AAX39">
        <v>4</v>
      </c>
    </row>
    <row r="40" spans="1:796">
      <c r="A40" t="s">
        <v>4294</v>
      </c>
      <c r="B40">
        <v>40</v>
      </c>
      <c r="C40" t="s">
        <v>4344</v>
      </c>
      <c r="D40">
        <v>89</v>
      </c>
      <c r="HL40" t="s">
        <v>4743</v>
      </c>
      <c r="HP40" t="s">
        <v>4743</v>
      </c>
      <c r="HQ40" t="s">
        <v>4743</v>
      </c>
      <c r="IO40" t="s">
        <v>4746</v>
      </c>
      <c r="IP40" t="s">
        <v>4743</v>
      </c>
      <c r="IS40" t="s">
        <v>4746</v>
      </c>
      <c r="IT40" t="s">
        <v>4743</v>
      </c>
      <c r="IU40" t="s">
        <v>4743</v>
      </c>
      <c r="JR40" t="s">
        <v>4746</v>
      </c>
      <c r="JS40" t="s">
        <v>4743</v>
      </c>
      <c r="JV40" t="s">
        <v>4746</v>
      </c>
      <c r="JW40" t="s">
        <v>4743</v>
      </c>
      <c r="JX40" t="s">
        <v>4743</v>
      </c>
      <c r="KV40" t="s">
        <v>4746</v>
      </c>
      <c r="KW40" t="s">
        <v>4743</v>
      </c>
      <c r="KZ40" t="s">
        <v>4746</v>
      </c>
      <c r="LA40" t="s">
        <v>4743</v>
      </c>
      <c r="LB40" t="s">
        <v>4743</v>
      </c>
      <c r="LZ40" t="s">
        <v>4746</v>
      </c>
      <c r="MD40" t="s">
        <v>4746</v>
      </c>
      <c r="WF40" t="s">
        <v>4743</v>
      </c>
      <c r="WJ40" t="s">
        <v>4743</v>
      </c>
      <c r="WK40" t="s">
        <v>4743</v>
      </c>
      <c r="XH40" t="s">
        <v>4746</v>
      </c>
      <c r="XI40" t="s">
        <v>4743</v>
      </c>
      <c r="XM40" t="s">
        <v>4746</v>
      </c>
      <c r="XN40" t="s">
        <v>4743</v>
      </c>
      <c r="XO40" t="s">
        <v>4743</v>
      </c>
      <c r="YL40" t="s">
        <v>4746</v>
      </c>
      <c r="YM40" t="s">
        <v>4743</v>
      </c>
      <c r="YP40" t="s">
        <v>4746</v>
      </c>
      <c r="YQ40" t="s">
        <v>4743</v>
      </c>
      <c r="YR40" t="s">
        <v>4743</v>
      </c>
      <c r="ZP40" t="s">
        <v>4746</v>
      </c>
      <c r="ZQ40" t="s">
        <v>4743</v>
      </c>
      <c r="ZT40" t="s">
        <v>4746</v>
      </c>
      <c r="ZU40" t="s">
        <v>4743</v>
      </c>
      <c r="ZV40" t="s">
        <v>4743</v>
      </c>
      <c r="AAT40" t="s">
        <v>4746</v>
      </c>
      <c r="AAW40" t="s">
        <v>4746</v>
      </c>
      <c r="AAX40" t="s">
        <v>4746</v>
      </c>
    </row>
    <row r="41" spans="1:796">
      <c r="A41" t="s">
        <v>4291</v>
      </c>
      <c r="B41">
        <v>41</v>
      </c>
      <c r="C41" t="s">
        <v>4347</v>
      </c>
      <c r="D41">
        <v>92</v>
      </c>
      <c r="IT41" t="s">
        <v>853</v>
      </c>
      <c r="JW41" t="s">
        <v>853</v>
      </c>
      <c r="LA41" t="s">
        <v>853</v>
      </c>
      <c r="MD41" t="s">
        <v>853</v>
      </c>
      <c r="XN41" t="s">
        <v>853</v>
      </c>
      <c r="YQ41" t="s">
        <v>853</v>
      </c>
      <c r="ZU41" t="s">
        <v>853</v>
      </c>
    </row>
    <row r="42" spans="1:796">
      <c r="A42" t="s">
        <v>4293</v>
      </c>
      <c r="B42">
        <v>42</v>
      </c>
      <c r="C42" t="s">
        <v>4346</v>
      </c>
      <c r="D42">
        <v>91</v>
      </c>
      <c r="IT42">
        <v>1</v>
      </c>
      <c r="JW42">
        <v>2</v>
      </c>
      <c r="LA42">
        <v>3</v>
      </c>
      <c r="MD42">
        <v>4</v>
      </c>
      <c r="XN42">
        <v>1</v>
      </c>
      <c r="YQ42">
        <v>2</v>
      </c>
      <c r="ZU42">
        <v>3</v>
      </c>
    </row>
    <row r="43" spans="1:796">
      <c r="A43" t="s">
        <v>4295</v>
      </c>
      <c r="B43">
        <v>43</v>
      </c>
      <c r="C43" t="s">
        <v>4503</v>
      </c>
      <c r="D43">
        <v>72</v>
      </c>
      <c r="IT43" t="s">
        <v>4746</v>
      </c>
      <c r="JW43" t="s">
        <v>4746</v>
      </c>
      <c r="LA43" t="s">
        <v>4746</v>
      </c>
      <c r="MD43" t="s">
        <v>4746</v>
      </c>
      <c r="XN43" t="s">
        <v>4746</v>
      </c>
      <c r="YQ43" t="s">
        <v>4746</v>
      </c>
      <c r="ZU43" t="s">
        <v>4746</v>
      </c>
    </row>
    <row r="44" spans="1:796">
      <c r="A44" t="s">
        <v>4296</v>
      </c>
      <c r="B44">
        <v>44</v>
      </c>
      <c r="C44" t="s">
        <v>4583</v>
      </c>
      <c r="D44">
        <v>97</v>
      </c>
      <c r="HL44" t="s">
        <v>5153</v>
      </c>
      <c r="HP44" t="s">
        <v>5155</v>
      </c>
      <c r="HQ44" t="s">
        <v>5157</v>
      </c>
      <c r="IO44" t="s">
        <v>5163</v>
      </c>
      <c r="IP44" t="s">
        <v>5164</v>
      </c>
      <c r="IS44" t="s">
        <v>5165</v>
      </c>
      <c r="IT44" t="s">
        <v>5167</v>
      </c>
      <c r="IU44" t="s">
        <v>5170</v>
      </c>
      <c r="JR44" t="s">
        <v>5177</v>
      </c>
      <c r="JS44" t="s">
        <v>5178</v>
      </c>
      <c r="JV44" t="s">
        <v>5180</v>
      </c>
      <c r="JW44" t="s">
        <v>5181</v>
      </c>
      <c r="JX44" t="s">
        <v>5183</v>
      </c>
      <c r="KV44" t="s">
        <v>5186</v>
      </c>
      <c r="KW44" t="s">
        <v>5188</v>
      </c>
      <c r="KZ44" t="s">
        <v>5190</v>
      </c>
      <c r="LA44" t="s">
        <v>5192</v>
      </c>
      <c r="LB44" t="s">
        <v>5195</v>
      </c>
      <c r="LZ44" t="s">
        <v>5202</v>
      </c>
      <c r="MD44" t="s">
        <v>5203</v>
      </c>
      <c r="WF44" t="s">
        <v>5153</v>
      </c>
      <c r="WJ44" t="s">
        <v>5155</v>
      </c>
      <c r="WK44" t="s">
        <v>5157</v>
      </c>
      <c r="XH44" t="s">
        <v>5163</v>
      </c>
      <c r="XI44" t="s">
        <v>5164</v>
      </c>
      <c r="XM44" t="s">
        <v>5165</v>
      </c>
      <c r="XN44" t="s">
        <v>5167</v>
      </c>
      <c r="XO44" t="s">
        <v>5170</v>
      </c>
      <c r="YL44" t="s">
        <v>5177</v>
      </c>
      <c r="YM44" t="s">
        <v>5178</v>
      </c>
      <c r="YP44" t="s">
        <v>5180</v>
      </c>
      <c r="YQ44" t="s">
        <v>5181</v>
      </c>
      <c r="YR44" t="s">
        <v>5183</v>
      </c>
      <c r="ZP44" t="s">
        <v>5186</v>
      </c>
      <c r="ZQ44" t="s">
        <v>5188</v>
      </c>
      <c r="ZT44" t="s">
        <v>5190</v>
      </c>
      <c r="ZU44" t="s">
        <v>5192</v>
      </c>
      <c r="ZV44" t="s">
        <v>5195</v>
      </c>
      <c r="AAT44" t="s">
        <v>5202</v>
      </c>
      <c r="AAW44" t="s">
        <v>5203</v>
      </c>
      <c r="AAX44" t="s">
        <v>5204</v>
      </c>
    </row>
    <row r="45" spans="1:796">
      <c r="A45" t="s">
        <v>4297</v>
      </c>
      <c r="B45">
        <v>45</v>
      </c>
      <c r="C45" t="s">
        <v>4584</v>
      </c>
      <c r="D45">
        <v>98</v>
      </c>
      <c r="HL45" t="s">
        <v>3888</v>
      </c>
      <c r="HP45" t="s">
        <v>3888</v>
      </c>
      <c r="HQ45" t="s">
        <v>3888</v>
      </c>
      <c r="IP45" t="s">
        <v>3892</v>
      </c>
      <c r="IT45" t="s">
        <v>3892</v>
      </c>
      <c r="IU45" t="s">
        <v>3892</v>
      </c>
      <c r="JS45" t="s">
        <v>3896</v>
      </c>
      <c r="JW45" t="s">
        <v>3896</v>
      </c>
      <c r="JX45" t="s">
        <v>3896</v>
      </c>
      <c r="KW45" t="s">
        <v>3900</v>
      </c>
      <c r="LA45" t="s">
        <v>3900</v>
      </c>
      <c r="LB45" t="s">
        <v>3900</v>
      </c>
      <c r="WF45" t="s">
        <v>3888</v>
      </c>
      <c r="WJ45" t="s">
        <v>3888</v>
      </c>
      <c r="WK45" t="s">
        <v>3888</v>
      </c>
      <c r="XI45" t="s">
        <v>3892</v>
      </c>
      <c r="XN45" t="s">
        <v>3892</v>
      </c>
      <c r="XO45" t="s">
        <v>3892</v>
      </c>
      <c r="YM45" t="s">
        <v>3896</v>
      </c>
      <c r="YQ45" t="s">
        <v>3896</v>
      </c>
      <c r="YR45" t="s">
        <v>3896</v>
      </c>
      <c r="ZQ45" t="s">
        <v>3900</v>
      </c>
      <c r="ZU45" t="s">
        <v>3900</v>
      </c>
      <c r="ZV45" t="s">
        <v>3900</v>
      </c>
    </row>
    <row r="46" spans="1:796">
      <c r="A46" t="s">
        <v>4298</v>
      </c>
      <c r="B46">
        <v>46</v>
      </c>
      <c r="C46" t="s">
        <v>4285</v>
      </c>
      <c r="D46">
        <v>36</v>
      </c>
      <c r="IT46" t="s">
        <v>5168</v>
      </c>
      <c r="JW46" t="s">
        <v>5182</v>
      </c>
      <c r="LA46" t="s">
        <v>5193</v>
      </c>
      <c r="MD46" t="s">
        <v>5204</v>
      </c>
      <c r="XN46" t="s">
        <v>5168</v>
      </c>
      <c r="YQ46" t="s">
        <v>5182</v>
      </c>
      <c r="ZU46" t="s">
        <v>5193</v>
      </c>
    </row>
    <row r="47" spans="1:796">
      <c r="A47" t="s">
        <v>4299</v>
      </c>
      <c r="B47">
        <v>47</v>
      </c>
      <c r="C47" t="s">
        <v>4286</v>
      </c>
      <c r="D47">
        <v>37</v>
      </c>
    </row>
    <row r="48" spans="1:796">
      <c r="A48" t="s">
        <v>4300</v>
      </c>
      <c r="B48">
        <v>48</v>
      </c>
      <c r="C48" t="s">
        <v>4321</v>
      </c>
      <c r="D48">
        <v>69</v>
      </c>
      <c r="HP48" t="s">
        <v>5155</v>
      </c>
      <c r="IS48" t="s">
        <v>5165</v>
      </c>
      <c r="IT48" t="s">
        <v>5167</v>
      </c>
      <c r="JV48" t="s">
        <v>5180</v>
      </c>
      <c r="JW48" t="s">
        <v>5181</v>
      </c>
      <c r="KZ48" t="s">
        <v>5190</v>
      </c>
      <c r="LA48" t="s">
        <v>5192</v>
      </c>
      <c r="MD48" t="s">
        <v>5203</v>
      </c>
      <c r="WJ48" t="s">
        <v>5155</v>
      </c>
      <c r="XM48" t="s">
        <v>5165</v>
      </c>
      <c r="XN48" t="s">
        <v>5167</v>
      </c>
      <c r="YP48" t="s">
        <v>5180</v>
      </c>
      <c r="YQ48" t="s">
        <v>5181</v>
      </c>
      <c r="ZT48" t="s">
        <v>5190</v>
      </c>
      <c r="ZU48" t="s">
        <v>5192</v>
      </c>
      <c r="AAW48" t="s">
        <v>5203</v>
      </c>
    </row>
    <row r="49" spans="1:796">
      <c r="A49" t="s">
        <v>4301</v>
      </c>
      <c r="B49">
        <v>49</v>
      </c>
      <c r="C49" t="s">
        <v>4320</v>
      </c>
      <c r="D49">
        <v>68</v>
      </c>
      <c r="HP49" t="s">
        <v>3888</v>
      </c>
      <c r="IT49" t="s">
        <v>3892</v>
      </c>
      <c r="JW49" t="s">
        <v>3896</v>
      </c>
      <c r="LA49" t="s">
        <v>3900</v>
      </c>
      <c r="WJ49" t="s">
        <v>3888</v>
      </c>
      <c r="XN49" t="s">
        <v>3892</v>
      </c>
      <c r="YQ49" t="s">
        <v>3896</v>
      </c>
      <c r="ZU49" t="s">
        <v>3900</v>
      </c>
    </row>
    <row r="50" spans="1:796">
      <c r="A50" t="s">
        <v>4302</v>
      </c>
      <c r="B50">
        <v>50</v>
      </c>
      <c r="C50" t="s">
        <v>4323</v>
      </c>
      <c r="D50">
        <v>71</v>
      </c>
      <c r="I50" t="s">
        <v>4693</v>
      </c>
      <c r="N50" t="s">
        <v>4062</v>
      </c>
      <c r="Q50" t="s">
        <v>3870</v>
      </c>
      <c r="U50" t="s">
        <v>5001</v>
      </c>
      <c r="AB50" t="s">
        <v>4063</v>
      </c>
      <c r="AD50" t="s">
        <v>5005</v>
      </c>
      <c r="AG50" t="s">
        <v>5009</v>
      </c>
      <c r="AJ50" t="s">
        <v>5011</v>
      </c>
      <c r="AQ50" t="s">
        <v>4064</v>
      </c>
      <c r="AR50" t="s">
        <v>5015</v>
      </c>
      <c r="AU50" t="s">
        <v>4719</v>
      </c>
      <c r="AW50" t="s">
        <v>4718</v>
      </c>
      <c r="AY50" t="s">
        <v>5017</v>
      </c>
      <c r="AZ50" t="s">
        <v>5021</v>
      </c>
      <c r="BA50" t="s">
        <v>5023</v>
      </c>
      <c r="BF50" t="s">
        <v>4065</v>
      </c>
      <c r="BO50" t="s">
        <v>4721</v>
      </c>
      <c r="BQ50" t="s">
        <v>5035</v>
      </c>
      <c r="BR50" t="s">
        <v>4723</v>
      </c>
      <c r="BS50" t="s">
        <v>5037</v>
      </c>
      <c r="BT50" t="s">
        <v>5039</v>
      </c>
      <c r="BU50" t="s">
        <v>4066</v>
      </c>
      <c r="BV50" t="s">
        <v>4216</v>
      </c>
      <c r="BX50" t="s">
        <v>4724</v>
      </c>
      <c r="CC50" t="s">
        <v>5043</v>
      </c>
      <c r="CJ50" t="s">
        <v>4067</v>
      </c>
      <c r="CK50" t="s">
        <v>5047</v>
      </c>
      <c r="CM50" t="s">
        <v>4726</v>
      </c>
      <c r="CO50" t="s">
        <v>5049</v>
      </c>
      <c r="CR50" t="s">
        <v>5053</v>
      </c>
      <c r="CX50" t="s">
        <v>4068</v>
      </c>
      <c r="CY50" t="s">
        <v>5055</v>
      </c>
      <c r="DB50" t="s">
        <v>3873</v>
      </c>
      <c r="DC50" t="s">
        <v>3877</v>
      </c>
      <c r="DJ50" t="s">
        <v>5057</v>
      </c>
      <c r="DN50" t="s">
        <v>4765</v>
      </c>
      <c r="DO50" t="s">
        <v>5059</v>
      </c>
      <c r="DV50" t="s">
        <v>5061</v>
      </c>
      <c r="DY50" t="s">
        <v>3876</v>
      </c>
      <c r="EA50" t="s">
        <v>4070</v>
      </c>
      <c r="EB50" t="s">
        <v>4728</v>
      </c>
      <c r="EE50" t="s">
        <v>4729</v>
      </c>
      <c r="EI50" t="s">
        <v>3879</v>
      </c>
      <c r="EM50" t="s">
        <v>4890</v>
      </c>
      <c r="EP50" t="s">
        <v>4892</v>
      </c>
      <c r="EQ50" t="s">
        <v>4732</v>
      </c>
      <c r="EU50" t="s">
        <v>4894</v>
      </c>
      <c r="EW50" t="s">
        <v>3856</v>
      </c>
      <c r="FA50" t="s">
        <v>4733</v>
      </c>
      <c r="FC50" t="s">
        <v>4896</v>
      </c>
      <c r="FE50" t="s">
        <v>4049</v>
      </c>
      <c r="FF50" t="s">
        <v>4734</v>
      </c>
      <c r="FG50" t="s">
        <v>4902</v>
      </c>
      <c r="FH50" t="s">
        <v>3857</v>
      </c>
      <c r="FI50" t="s">
        <v>4735</v>
      </c>
      <c r="FM50" t="s">
        <v>3880</v>
      </c>
      <c r="FN50" t="s">
        <v>4909</v>
      </c>
      <c r="FU50" t="s">
        <v>4765</v>
      </c>
      <c r="FV50" t="s">
        <v>4911</v>
      </c>
      <c r="GG50" t="s">
        <v>4913</v>
      </c>
      <c r="GH50" t="s">
        <v>4074</v>
      </c>
      <c r="GJ50" t="s">
        <v>4738</v>
      </c>
      <c r="GM50" t="s">
        <v>4739</v>
      </c>
      <c r="GN50" t="s">
        <v>4921</v>
      </c>
      <c r="GR50" t="s">
        <v>4923</v>
      </c>
      <c r="GW50" t="s">
        <v>4925</v>
      </c>
      <c r="GX50" t="s">
        <v>4051</v>
      </c>
      <c r="HA50" t="s">
        <v>4927</v>
      </c>
      <c r="HB50" t="s">
        <v>4741</v>
      </c>
      <c r="HC50" t="s">
        <v>4742</v>
      </c>
      <c r="HG50" t="s">
        <v>3875</v>
      </c>
      <c r="HK50" t="s">
        <v>3874</v>
      </c>
      <c r="HL50" t="s">
        <v>4052</v>
      </c>
      <c r="HP50" t="s">
        <v>4744</v>
      </c>
      <c r="HV50" t="s">
        <v>4939</v>
      </c>
      <c r="HX50" t="s">
        <v>4941</v>
      </c>
      <c r="HY50" t="s">
        <v>3858</v>
      </c>
      <c r="IA50" t="s">
        <v>4053</v>
      </c>
      <c r="IH50" t="s">
        <v>4943</v>
      </c>
      <c r="IP50" t="s">
        <v>5405</v>
      </c>
      <c r="IQ50" t="s">
        <v>4947</v>
      </c>
      <c r="IT50" t="s">
        <v>3860</v>
      </c>
      <c r="IU50" t="s">
        <v>3861</v>
      </c>
      <c r="JB50" t="s">
        <v>3872</v>
      </c>
      <c r="JC50" t="s">
        <v>4748</v>
      </c>
      <c r="JE50" t="s">
        <v>4055</v>
      </c>
      <c r="JM50" t="s">
        <v>4953</v>
      </c>
      <c r="JN50" t="s">
        <v>4749</v>
      </c>
      <c r="JP50" t="s">
        <v>3862</v>
      </c>
      <c r="JS50" t="s">
        <v>4056</v>
      </c>
      <c r="JT50" t="s">
        <v>3863</v>
      </c>
      <c r="JU50" t="s">
        <v>4957</v>
      </c>
      <c r="JV50" t="s">
        <v>4750</v>
      </c>
      <c r="JW50" t="s">
        <v>4751</v>
      </c>
      <c r="KD50" t="s">
        <v>3865</v>
      </c>
      <c r="KH50" t="s">
        <v>4057</v>
      </c>
      <c r="KS50" t="s">
        <v>4753</v>
      </c>
      <c r="KV50" t="s">
        <v>4754</v>
      </c>
      <c r="KW50" t="s">
        <v>4058</v>
      </c>
      <c r="KX50" t="s">
        <v>4963</v>
      </c>
      <c r="LA50" t="s">
        <v>4755</v>
      </c>
      <c r="LF50" t="s">
        <v>4971</v>
      </c>
      <c r="LH50" t="s">
        <v>3866</v>
      </c>
      <c r="LI50" t="s">
        <v>4973</v>
      </c>
      <c r="LK50" t="s">
        <v>4059</v>
      </c>
      <c r="LO50" t="s">
        <v>4759</v>
      </c>
      <c r="LP50" t="s">
        <v>4760</v>
      </c>
      <c r="LQ50" t="s">
        <v>4977</v>
      </c>
      <c r="LS50" t="s">
        <v>4979</v>
      </c>
      <c r="LX50" t="s">
        <v>4762</v>
      </c>
      <c r="LY50" t="s">
        <v>4763</v>
      </c>
      <c r="MA50" t="s">
        <v>4060</v>
      </c>
      <c r="MD50" t="s">
        <v>4989</v>
      </c>
      <c r="ME50" t="s">
        <v>4764</v>
      </c>
      <c r="MN50" t="s">
        <v>4995</v>
      </c>
      <c r="MO50" t="s">
        <v>4061</v>
      </c>
      <c r="MP50" t="s">
        <v>4999</v>
      </c>
      <c r="MY50" t="s">
        <v>4693</v>
      </c>
      <c r="ND50" t="s">
        <v>4062</v>
      </c>
      <c r="NH50" t="s">
        <v>3870</v>
      </c>
      <c r="NK50" t="s">
        <v>5001</v>
      </c>
      <c r="NR50" t="s">
        <v>4063</v>
      </c>
      <c r="NT50" t="s">
        <v>5005</v>
      </c>
      <c r="NW50" t="s">
        <v>5009</v>
      </c>
      <c r="NZ50" t="s">
        <v>5011</v>
      </c>
      <c r="OH50" t="s">
        <v>4064</v>
      </c>
      <c r="OI50" t="s">
        <v>5015</v>
      </c>
      <c r="OK50" t="s">
        <v>4719</v>
      </c>
      <c r="OP50" t="s">
        <v>5017</v>
      </c>
      <c r="OQ50" t="s">
        <v>5021</v>
      </c>
      <c r="OR50" t="s">
        <v>5023</v>
      </c>
      <c r="OV50" t="s">
        <v>4065</v>
      </c>
      <c r="OX50" t="s">
        <v>4718</v>
      </c>
      <c r="PF50" t="s">
        <v>4721</v>
      </c>
      <c r="PH50" t="s">
        <v>5035</v>
      </c>
      <c r="PI50" t="s">
        <v>4723</v>
      </c>
      <c r="PJ50" t="s">
        <v>5037</v>
      </c>
      <c r="PK50" t="s">
        <v>4066</v>
      </c>
      <c r="PL50" t="s">
        <v>3871</v>
      </c>
      <c r="PM50" t="s">
        <v>4216</v>
      </c>
      <c r="PO50" t="s">
        <v>4724</v>
      </c>
      <c r="PS50" t="s">
        <v>5043</v>
      </c>
      <c r="PZ50" t="s">
        <v>4067</v>
      </c>
      <c r="QA50" t="s">
        <v>5047</v>
      </c>
      <c r="QC50" t="s">
        <v>4726</v>
      </c>
      <c r="QE50" t="s">
        <v>5049</v>
      </c>
      <c r="QH50" t="s">
        <v>5053</v>
      </c>
      <c r="QO50" t="s">
        <v>4068</v>
      </c>
      <c r="QP50" t="s">
        <v>5055</v>
      </c>
      <c r="QR50" t="s">
        <v>3873</v>
      </c>
      <c r="QS50" t="s">
        <v>3877</v>
      </c>
      <c r="QZ50" t="s">
        <v>5057</v>
      </c>
      <c r="RD50" t="s">
        <v>5322</v>
      </c>
      <c r="RM50" t="s">
        <v>5061</v>
      </c>
      <c r="RP50" t="s">
        <v>3876</v>
      </c>
      <c r="RR50" t="s">
        <v>4070</v>
      </c>
      <c r="RS50" t="s">
        <v>4728</v>
      </c>
      <c r="RV50" t="s">
        <v>4729</v>
      </c>
      <c r="SC50" t="s">
        <v>4890</v>
      </c>
      <c r="SF50" t="s">
        <v>4892</v>
      </c>
      <c r="SG50" t="s">
        <v>4732</v>
      </c>
      <c r="SJ50" t="s">
        <v>3879</v>
      </c>
      <c r="SK50" t="s">
        <v>4894</v>
      </c>
      <c r="SN50" t="s">
        <v>3856</v>
      </c>
      <c r="SR50" t="s">
        <v>4733</v>
      </c>
      <c r="ST50" t="s">
        <v>4896</v>
      </c>
      <c r="SU50" t="s">
        <v>4049</v>
      </c>
      <c r="SV50" t="s">
        <v>4734</v>
      </c>
      <c r="SW50" t="s">
        <v>4902</v>
      </c>
      <c r="SX50" t="s">
        <v>3857</v>
      </c>
      <c r="SY50" t="s">
        <v>4735</v>
      </c>
      <c r="TD50" t="s">
        <v>4909</v>
      </c>
      <c r="TK50" t="s">
        <v>4050</v>
      </c>
      <c r="TL50" t="s">
        <v>4911</v>
      </c>
      <c r="TN50" t="s">
        <v>3880</v>
      </c>
      <c r="TY50" t="s">
        <v>4072</v>
      </c>
      <c r="UO50" t="s">
        <v>4071</v>
      </c>
      <c r="VA50" t="s">
        <v>4913</v>
      </c>
      <c r="VB50" t="s">
        <v>4074</v>
      </c>
      <c r="VD50" t="s">
        <v>4738</v>
      </c>
      <c r="VF50" t="s">
        <v>4739</v>
      </c>
      <c r="VG50" t="s">
        <v>4921</v>
      </c>
      <c r="VL50" t="s">
        <v>4923</v>
      </c>
      <c r="VQ50" t="s">
        <v>4925</v>
      </c>
      <c r="VR50" t="s">
        <v>4051</v>
      </c>
      <c r="VU50" t="s">
        <v>4927</v>
      </c>
      <c r="VV50" t="s">
        <v>4741</v>
      </c>
      <c r="VW50" t="s">
        <v>4742</v>
      </c>
      <c r="WA50" t="s">
        <v>3875</v>
      </c>
      <c r="WE50" t="s">
        <v>3874</v>
      </c>
      <c r="WF50" t="s">
        <v>4052</v>
      </c>
      <c r="WJ50" t="s">
        <v>4744</v>
      </c>
      <c r="WO50" t="s">
        <v>4939</v>
      </c>
      <c r="WR50" t="s">
        <v>4941</v>
      </c>
      <c r="WS50" t="s">
        <v>3858</v>
      </c>
      <c r="WU50" t="s">
        <v>4053</v>
      </c>
      <c r="XB50" t="s">
        <v>4943</v>
      </c>
      <c r="XI50" t="s">
        <v>5405</v>
      </c>
      <c r="XJ50" t="s">
        <v>4947</v>
      </c>
      <c r="XN50" t="s">
        <v>3860</v>
      </c>
      <c r="XO50" t="s">
        <v>3861</v>
      </c>
      <c r="XV50" t="s">
        <v>3872</v>
      </c>
      <c r="XW50" t="s">
        <v>4748</v>
      </c>
      <c r="XY50" t="s">
        <v>4055</v>
      </c>
      <c r="YG50" t="s">
        <v>4953</v>
      </c>
      <c r="YH50" t="s">
        <v>4749</v>
      </c>
      <c r="YJ50" t="s">
        <v>3862</v>
      </c>
      <c r="YM50" t="s">
        <v>4056</v>
      </c>
      <c r="YN50" t="s">
        <v>3863</v>
      </c>
      <c r="YO50" t="s">
        <v>4957</v>
      </c>
      <c r="YP50" t="s">
        <v>4750</v>
      </c>
      <c r="YQ50" t="s">
        <v>4751</v>
      </c>
      <c r="YX50" t="s">
        <v>3865</v>
      </c>
      <c r="ZB50" t="s">
        <v>4057</v>
      </c>
      <c r="ZL50" t="s">
        <v>4753</v>
      </c>
      <c r="ZP50" t="s">
        <v>4754</v>
      </c>
      <c r="ZQ50" t="s">
        <v>4058</v>
      </c>
      <c r="ZR50" t="s">
        <v>4963</v>
      </c>
      <c r="ZU50" t="s">
        <v>4755</v>
      </c>
      <c r="ZZ50" t="s">
        <v>4971</v>
      </c>
      <c r="AAB50" t="s">
        <v>3866</v>
      </c>
      <c r="AAC50" t="s">
        <v>4973</v>
      </c>
      <c r="AAE50" t="s">
        <v>4059</v>
      </c>
      <c r="AAI50" t="s">
        <v>4759</v>
      </c>
      <c r="AAJ50" t="s">
        <v>4760</v>
      </c>
      <c r="AAK50" t="s">
        <v>4977</v>
      </c>
      <c r="AAM50" t="s">
        <v>4979</v>
      </c>
      <c r="AAQ50" t="s">
        <v>4762</v>
      </c>
      <c r="AAR50" t="s">
        <v>4763</v>
      </c>
      <c r="AAU50" t="s">
        <v>4060</v>
      </c>
      <c r="AAX50" t="s">
        <v>4989</v>
      </c>
      <c r="AAY50" t="s">
        <v>3868</v>
      </c>
      <c r="ABI50" t="s">
        <v>4061</v>
      </c>
      <c r="ABJ50" t="s">
        <v>4999</v>
      </c>
      <c r="ABS50" t="s">
        <v>4693</v>
      </c>
      <c r="ABX50" t="s">
        <v>4062</v>
      </c>
      <c r="ACB50" t="s">
        <v>3870</v>
      </c>
      <c r="ACF50" t="s">
        <v>5001</v>
      </c>
      <c r="ACL50" t="s">
        <v>4063</v>
      </c>
      <c r="ACN50" t="s">
        <v>5005</v>
      </c>
      <c r="ACQ50" t="s">
        <v>5009</v>
      </c>
      <c r="ACS50" t="s">
        <v>5011</v>
      </c>
      <c r="ACY50" t="s">
        <v>4718</v>
      </c>
      <c r="ADB50" t="s">
        <v>4064</v>
      </c>
      <c r="ADC50" t="s">
        <v>5015</v>
      </c>
      <c r="ADF50" t="s">
        <v>4719</v>
      </c>
      <c r="ADJ50" t="s">
        <v>5017</v>
      </c>
      <c r="ADK50" t="s">
        <v>5021</v>
      </c>
      <c r="ADL50" t="s">
        <v>5023</v>
      </c>
      <c r="ADP50" t="s">
        <v>4065</v>
      </c>
    </row>
    <row r="51" spans="1:796">
      <c r="A51" t="s">
        <v>4303</v>
      </c>
      <c r="B51">
        <v>51</v>
      </c>
      <c r="C51" t="s">
        <v>4322</v>
      </c>
      <c r="D51">
        <v>70</v>
      </c>
      <c r="I51">
        <v>1</v>
      </c>
      <c r="N51">
        <v>-1</v>
      </c>
      <c r="Q51">
        <v>1</v>
      </c>
      <c r="U51">
        <v>2</v>
      </c>
      <c r="AB51">
        <v>-1</v>
      </c>
      <c r="AD51">
        <v>3</v>
      </c>
      <c r="AG51">
        <v>3</v>
      </c>
      <c r="AJ51">
        <v>3</v>
      </c>
      <c r="AQ51">
        <v>-1</v>
      </c>
      <c r="AR51">
        <v>3</v>
      </c>
      <c r="AU51">
        <v>1</v>
      </c>
      <c r="AW51">
        <v>5</v>
      </c>
      <c r="AY51">
        <v>3</v>
      </c>
      <c r="AZ51">
        <v>3</v>
      </c>
      <c r="BA51">
        <v>3</v>
      </c>
      <c r="BF51">
        <v>-1</v>
      </c>
      <c r="BO51">
        <v>1</v>
      </c>
      <c r="BQ51">
        <v>0</v>
      </c>
      <c r="BR51">
        <v>1</v>
      </c>
      <c r="BS51">
        <v>3</v>
      </c>
      <c r="BT51">
        <v>3</v>
      </c>
      <c r="BU51">
        <v>-1</v>
      </c>
      <c r="BV51">
        <v>0</v>
      </c>
      <c r="BX51">
        <v>1</v>
      </c>
      <c r="CC51">
        <v>3</v>
      </c>
      <c r="CJ51">
        <v>-1</v>
      </c>
      <c r="CK51">
        <v>3</v>
      </c>
      <c r="CM51">
        <v>1</v>
      </c>
      <c r="CO51">
        <v>2</v>
      </c>
      <c r="CR51">
        <v>3</v>
      </c>
      <c r="CX51">
        <v>-1</v>
      </c>
      <c r="CY51">
        <v>3</v>
      </c>
      <c r="DB51">
        <v>0</v>
      </c>
      <c r="DC51">
        <v>1</v>
      </c>
      <c r="DJ51">
        <v>3</v>
      </c>
      <c r="DN51">
        <v>-1</v>
      </c>
      <c r="DO51">
        <v>3</v>
      </c>
      <c r="DV51">
        <v>3</v>
      </c>
      <c r="DY51">
        <v>0</v>
      </c>
      <c r="EA51">
        <v>-1</v>
      </c>
      <c r="EB51">
        <v>1</v>
      </c>
      <c r="EE51">
        <v>1</v>
      </c>
      <c r="EI51">
        <v>5</v>
      </c>
      <c r="EM51">
        <v>3</v>
      </c>
      <c r="EP51">
        <v>3</v>
      </c>
      <c r="EQ51">
        <v>-1</v>
      </c>
      <c r="EU51">
        <v>3</v>
      </c>
      <c r="EW51">
        <v>1</v>
      </c>
      <c r="FA51">
        <v>5</v>
      </c>
      <c r="FC51">
        <v>1</v>
      </c>
      <c r="FE51">
        <v>-1</v>
      </c>
      <c r="FF51">
        <v>1</v>
      </c>
      <c r="FG51">
        <v>4</v>
      </c>
      <c r="FH51">
        <v>0</v>
      </c>
      <c r="FI51">
        <v>1</v>
      </c>
      <c r="FM51">
        <v>5</v>
      </c>
      <c r="FN51">
        <v>3</v>
      </c>
      <c r="FU51">
        <v>-1</v>
      </c>
      <c r="FV51">
        <v>3</v>
      </c>
      <c r="GG51">
        <v>3</v>
      </c>
      <c r="GH51">
        <v>-1</v>
      </c>
      <c r="GJ51">
        <v>1</v>
      </c>
      <c r="GM51">
        <v>1</v>
      </c>
      <c r="GN51">
        <v>3</v>
      </c>
      <c r="GR51">
        <v>3</v>
      </c>
      <c r="GW51">
        <v>3</v>
      </c>
      <c r="GX51">
        <v>-1</v>
      </c>
      <c r="HA51">
        <v>3</v>
      </c>
      <c r="HB51">
        <v>1</v>
      </c>
      <c r="HC51">
        <v>1</v>
      </c>
      <c r="HG51">
        <v>1</v>
      </c>
      <c r="HK51">
        <v>1</v>
      </c>
      <c r="HL51">
        <v>-1</v>
      </c>
      <c r="HP51">
        <v>1</v>
      </c>
      <c r="HV51">
        <v>3</v>
      </c>
      <c r="HX51">
        <v>3</v>
      </c>
      <c r="HY51">
        <v>4</v>
      </c>
      <c r="IA51">
        <v>-1</v>
      </c>
      <c r="IH51">
        <v>3</v>
      </c>
      <c r="IP51">
        <v>-1</v>
      </c>
      <c r="IQ51">
        <v>3</v>
      </c>
      <c r="IT51">
        <v>1</v>
      </c>
      <c r="IU51">
        <v>4</v>
      </c>
      <c r="JB51">
        <v>0</v>
      </c>
      <c r="JC51">
        <v>1</v>
      </c>
      <c r="JE51">
        <v>-1</v>
      </c>
      <c r="JM51">
        <v>3</v>
      </c>
      <c r="JN51">
        <v>1</v>
      </c>
      <c r="JP51">
        <v>0</v>
      </c>
      <c r="JS51">
        <v>-1</v>
      </c>
      <c r="JT51">
        <v>0</v>
      </c>
      <c r="JU51">
        <v>2</v>
      </c>
      <c r="JV51">
        <v>1</v>
      </c>
      <c r="JW51">
        <v>1</v>
      </c>
      <c r="KD51">
        <v>4</v>
      </c>
      <c r="KH51">
        <v>-1</v>
      </c>
      <c r="KS51">
        <v>5</v>
      </c>
      <c r="KV51">
        <v>1</v>
      </c>
      <c r="KW51">
        <v>-1</v>
      </c>
      <c r="KX51">
        <v>3</v>
      </c>
      <c r="LA51">
        <v>1</v>
      </c>
      <c r="LF51">
        <v>3</v>
      </c>
      <c r="LH51">
        <v>1</v>
      </c>
      <c r="LI51">
        <v>3</v>
      </c>
      <c r="LK51">
        <v>-1</v>
      </c>
      <c r="LO51">
        <v>1</v>
      </c>
      <c r="LP51">
        <v>1</v>
      </c>
      <c r="LQ51">
        <v>3</v>
      </c>
      <c r="LS51">
        <v>2</v>
      </c>
      <c r="LX51">
        <v>1</v>
      </c>
      <c r="LY51">
        <v>5</v>
      </c>
      <c r="MA51">
        <v>-1</v>
      </c>
      <c r="MD51">
        <v>3</v>
      </c>
      <c r="ME51">
        <v>1</v>
      </c>
      <c r="MN51">
        <v>3</v>
      </c>
      <c r="MO51">
        <v>-1</v>
      </c>
      <c r="MP51">
        <v>3</v>
      </c>
      <c r="MY51">
        <v>1</v>
      </c>
      <c r="ND51">
        <v>-1</v>
      </c>
      <c r="NH51">
        <v>1</v>
      </c>
      <c r="NK51">
        <v>2</v>
      </c>
      <c r="NR51">
        <v>-1</v>
      </c>
      <c r="NT51">
        <v>3</v>
      </c>
      <c r="NW51">
        <v>3</v>
      </c>
      <c r="NZ51">
        <v>3</v>
      </c>
      <c r="OH51">
        <v>-1</v>
      </c>
      <c r="OI51">
        <v>3</v>
      </c>
      <c r="OK51">
        <v>1</v>
      </c>
      <c r="OP51">
        <v>3</v>
      </c>
      <c r="OQ51">
        <v>3</v>
      </c>
      <c r="OR51">
        <v>3</v>
      </c>
      <c r="OV51">
        <v>-1</v>
      </c>
      <c r="OX51">
        <v>5</v>
      </c>
      <c r="PF51">
        <v>1</v>
      </c>
      <c r="PH51">
        <v>0</v>
      </c>
      <c r="PI51">
        <v>1</v>
      </c>
      <c r="PJ51">
        <v>3</v>
      </c>
      <c r="PK51">
        <v>-1</v>
      </c>
      <c r="PL51">
        <v>0</v>
      </c>
      <c r="PM51">
        <v>0</v>
      </c>
      <c r="PO51">
        <v>1</v>
      </c>
      <c r="PS51">
        <v>3</v>
      </c>
      <c r="PZ51">
        <v>-1</v>
      </c>
      <c r="QA51">
        <v>3</v>
      </c>
      <c r="QC51">
        <v>1</v>
      </c>
      <c r="QE51">
        <v>2</v>
      </c>
      <c r="QH51">
        <v>3</v>
      </c>
      <c r="QO51">
        <v>-1</v>
      </c>
      <c r="QP51">
        <v>3</v>
      </c>
      <c r="QR51">
        <v>0</v>
      </c>
      <c r="QS51">
        <v>1</v>
      </c>
      <c r="QZ51">
        <v>3</v>
      </c>
      <c r="RD51">
        <v>-1</v>
      </c>
      <c r="RM51">
        <v>3</v>
      </c>
      <c r="RP51">
        <v>0</v>
      </c>
      <c r="RR51">
        <v>-1</v>
      </c>
      <c r="RS51">
        <v>1</v>
      </c>
      <c r="RV51">
        <v>1</v>
      </c>
      <c r="SC51">
        <v>3</v>
      </c>
      <c r="SF51">
        <v>3</v>
      </c>
      <c r="SG51">
        <v>-1</v>
      </c>
      <c r="SJ51">
        <v>5</v>
      </c>
      <c r="SK51">
        <v>3</v>
      </c>
      <c r="SN51">
        <v>1</v>
      </c>
      <c r="SR51">
        <v>5</v>
      </c>
      <c r="ST51">
        <v>1</v>
      </c>
      <c r="SU51">
        <v>-1</v>
      </c>
      <c r="SV51">
        <v>1</v>
      </c>
      <c r="SW51">
        <v>4</v>
      </c>
      <c r="SX51">
        <v>0</v>
      </c>
      <c r="SY51">
        <v>1</v>
      </c>
      <c r="TD51">
        <v>3</v>
      </c>
      <c r="TK51">
        <v>-1</v>
      </c>
      <c r="TL51">
        <v>3</v>
      </c>
      <c r="TN51">
        <v>5</v>
      </c>
      <c r="TY51">
        <v>-1</v>
      </c>
      <c r="UO51">
        <v>-1</v>
      </c>
      <c r="VA51">
        <v>3</v>
      </c>
      <c r="VB51">
        <v>-1</v>
      </c>
      <c r="VD51">
        <v>1</v>
      </c>
      <c r="VF51">
        <v>1</v>
      </c>
      <c r="VG51">
        <v>3</v>
      </c>
      <c r="VL51">
        <v>3</v>
      </c>
      <c r="VQ51">
        <v>3</v>
      </c>
      <c r="VR51">
        <v>-1</v>
      </c>
      <c r="VU51">
        <v>3</v>
      </c>
      <c r="VV51">
        <v>1</v>
      </c>
      <c r="VW51">
        <v>1</v>
      </c>
      <c r="WA51">
        <v>1</v>
      </c>
      <c r="WE51">
        <v>1</v>
      </c>
      <c r="WF51">
        <v>-1</v>
      </c>
      <c r="WJ51">
        <v>1</v>
      </c>
      <c r="WO51">
        <v>3</v>
      </c>
      <c r="WR51">
        <v>3</v>
      </c>
      <c r="WS51">
        <v>4</v>
      </c>
      <c r="WU51">
        <v>-1</v>
      </c>
      <c r="XB51">
        <v>3</v>
      </c>
      <c r="XI51">
        <v>-1</v>
      </c>
      <c r="XJ51">
        <v>3</v>
      </c>
      <c r="XN51">
        <v>1</v>
      </c>
      <c r="XO51">
        <v>4</v>
      </c>
      <c r="XV51">
        <v>0</v>
      </c>
      <c r="XW51">
        <v>1</v>
      </c>
      <c r="XY51">
        <v>-1</v>
      </c>
      <c r="YG51">
        <v>3</v>
      </c>
      <c r="YH51">
        <v>1</v>
      </c>
      <c r="YJ51">
        <v>0</v>
      </c>
      <c r="YM51">
        <v>-1</v>
      </c>
      <c r="YN51">
        <v>0</v>
      </c>
      <c r="YO51">
        <v>2</v>
      </c>
      <c r="YP51">
        <v>1</v>
      </c>
      <c r="YQ51">
        <v>1</v>
      </c>
      <c r="YX51">
        <v>4</v>
      </c>
      <c r="ZB51">
        <v>-1</v>
      </c>
      <c r="ZL51">
        <v>5</v>
      </c>
      <c r="ZP51">
        <v>1</v>
      </c>
      <c r="ZQ51">
        <v>-1</v>
      </c>
      <c r="ZR51">
        <v>3</v>
      </c>
      <c r="ZU51">
        <v>1</v>
      </c>
      <c r="ZZ51">
        <v>3</v>
      </c>
      <c r="AAB51">
        <v>1</v>
      </c>
      <c r="AAC51">
        <v>3</v>
      </c>
      <c r="AAE51">
        <v>-1</v>
      </c>
      <c r="AAI51">
        <v>1</v>
      </c>
      <c r="AAJ51">
        <v>1</v>
      </c>
      <c r="AAK51">
        <v>3</v>
      </c>
      <c r="AAM51">
        <v>2</v>
      </c>
      <c r="AAQ51">
        <v>1</v>
      </c>
      <c r="AAR51">
        <v>5</v>
      </c>
      <c r="AAU51">
        <v>-1</v>
      </c>
      <c r="AAX51">
        <v>3</v>
      </c>
      <c r="AAY51">
        <v>1</v>
      </c>
      <c r="ABI51">
        <v>-1</v>
      </c>
      <c r="ABJ51">
        <v>3</v>
      </c>
      <c r="ABS51">
        <v>1</v>
      </c>
      <c r="ABX51">
        <v>-1</v>
      </c>
      <c r="ACB51">
        <v>1</v>
      </c>
      <c r="ACF51">
        <v>2</v>
      </c>
      <c r="ACL51">
        <v>-1</v>
      </c>
      <c r="ACN51">
        <v>3</v>
      </c>
      <c r="ACQ51">
        <v>3</v>
      </c>
      <c r="ACS51">
        <v>3</v>
      </c>
      <c r="ACY51">
        <v>5</v>
      </c>
      <c r="ADB51">
        <v>-1</v>
      </c>
      <c r="ADC51">
        <v>3</v>
      </c>
      <c r="ADF51">
        <v>1</v>
      </c>
      <c r="ADJ51">
        <v>3</v>
      </c>
      <c r="ADK51">
        <v>3</v>
      </c>
      <c r="ADL51">
        <v>3</v>
      </c>
      <c r="ADP51">
        <v>-1</v>
      </c>
    </row>
    <row r="52" spans="1:796">
      <c r="A52" t="s">
        <v>4304</v>
      </c>
      <c r="B52">
        <v>52</v>
      </c>
      <c r="C52" t="s">
        <v>4303</v>
      </c>
      <c r="D52">
        <v>51</v>
      </c>
      <c r="N52" t="s">
        <v>3869</v>
      </c>
      <c r="AB52" t="s">
        <v>5003</v>
      </c>
      <c r="AD52" t="s">
        <v>5007</v>
      </c>
      <c r="AJ52" t="s">
        <v>5013</v>
      </c>
      <c r="AY52" t="s">
        <v>5019</v>
      </c>
      <c r="BO52" t="s">
        <v>5025</v>
      </c>
      <c r="BQ52" t="s">
        <v>3908</v>
      </c>
      <c r="BU52" t="s">
        <v>3871</v>
      </c>
      <c r="BV52" t="s">
        <v>3909</v>
      </c>
      <c r="BX52" t="s">
        <v>5041</v>
      </c>
      <c r="CC52" t="s">
        <v>5045</v>
      </c>
      <c r="CO52" t="s">
        <v>5051</v>
      </c>
      <c r="DB52" t="s">
        <v>3908</v>
      </c>
      <c r="DN52" t="s">
        <v>4069</v>
      </c>
      <c r="DY52" t="s">
        <v>3908</v>
      </c>
      <c r="EE52" t="s">
        <v>4730</v>
      </c>
      <c r="FC52" t="s">
        <v>4898</v>
      </c>
      <c r="FH52" t="s">
        <v>3908</v>
      </c>
      <c r="FI52" t="s">
        <v>4905</v>
      </c>
      <c r="FU52" t="s">
        <v>4050</v>
      </c>
      <c r="GG52" t="s">
        <v>4737</v>
      </c>
      <c r="GH52" t="s">
        <v>4073</v>
      </c>
      <c r="GM52" t="s">
        <v>4917</v>
      </c>
      <c r="HA52" t="s">
        <v>4929</v>
      </c>
      <c r="HC52" t="s">
        <v>4931</v>
      </c>
      <c r="HG52" t="s">
        <v>4935</v>
      </c>
      <c r="HP52" t="s">
        <v>4937</v>
      </c>
      <c r="IH52" t="s">
        <v>4945</v>
      </c>
      <c r="IP52" t="s">
        <v>3859</v>
      </c>
      <c r="IQ52" t="s">
        <v>4949</v>
      </c>
      <c r="IT52" t="s">
        <v>4951</v>
      </c>
      <c r="JB52" t="s">
        <v>3908</v>
      </c>
      <c r="JC52" t="s">
        <v>5067</v>
      </c>
      <c r="JS52" t="s">
        <v>4873</v>
      </c>
      <c r="JT52" t="s">
        <v>3909</v>
      </c>
      <c r="JV52" t="s">
        <v>4959</v>
      </c>
      <c r="JW52" t="s">
        <v>3864</v>
      </c>
      <c r="KV52" t="s">
        <v>4961</v>
      </c>
      <c r="KX52" t="s">
        <v>4965</v>
      </c>
      <c r="LA52" t="s">
        <v>4969</v>
      </c>
      <c r="LH52" t="s">
        <v>4758</v>
      </c>
      <c r="LP52" t="s">
        <v>4761</v>
      </c>
      <c r="LX52" t="s">
        <v>4981</v>
      </c>
      <c r="MA52" t="s">
        <v>4987</v>
      </c>
      <c r="MD52" t="s">
        <v>4991</v>
      </c>
      <c r="ME52" t="s">
        <v>3867</v>
      </c>
      <c r="MO52" t="s">
        <v>4997</v>
      </c>
      <c r="ND52" t="s">
        <v>3869</v>
      </c>
      <c r="NR52" t="s">
        <v>5003</v>
      </c>
      <c r="NT52" t="s">
        <v>5007</v>
      </c>
      <c r="NZ52" t="s">
        <v>5013</v>
      </c>
      <c r="OP52" t="s">
        <v>5019</v>
      </c>
      <c r="PF52" t="s">
        <v>5025</v>
      </c>
      <c r="PH52" t="s">
        <v>3908</v>
      </c>
      <c r="PJ52" t="s">
        <v>5039</v>
      </c>
      <c r="PK52" t="s">
        <v>4874</v>
      </c>
      <c r="PL52" t="s">
        <v>3909</v>
      </c>
      <c r="PM52" t="s">
        <v>3908</v>
      </c>
      <c r="PO52" t="s">
        <v>5041</v>
      </c>
      <c r="PS52" t="s">
        <v>5045</v>
      </c>
      <c r="QE52" t="s">
        <v>5051</v>
      </c>
      <c r="QR52" t="s">
        <v>3908</v>
      </c>
      <c r="RD52" t="s">
        <v>4069</v>
      </c>
      <c r="RP52" t="s">
        <v>3908</v>
      </c>
      <c r="RV52" t="s">
        <v>4730</v>
      </c>
      <c r="ST52" t="s">
        <v>4898</v>
      </c>
      <c r="SX52" t="s">
        <v>3908</v>
      </c>
      <c r="SY52" t="s">
        <v>4905</v>
      </c>
      <c r="VA52" t="s">
        <v>4737</v>
      </c>
      <c r="VB52" t="s">
        <v>4073</v>
      </c>
      <c r="VF52" t="s">
        <v>4917</v>
      </c>
      <c r="VU52" t="s">
        <v>4929</v>
      </c>
      <c r="VW52" t="s">
        <v>4931</v>
      </c>
      <c r="WA52" t="s">
        <v>4935</v>
      </c>
      <c r="WJ52" t="s">
        <v>4937</v>
      </c>
      <c r="XB52" t="s">
        <v>4945</v>
      </c>
      <c r="XI52" t="s">
        <v>3859</v>
      </c>
      <c r="XJ52" t="s">
        <v>4949</v>
      </c>
      <c r="XN52" t="s">
        <v>4951</v>
      </c>
      <c r="XV52" t="s">
        <v>3908</v>
      </c>
      <c r="XW52" t="s">
        <v>5067</v>
      </c>
      <c r="YM52" t="s">
        <v>4873</v>
      </c>
      <c r="YN52" t="s">
        <v>3909</v>
      </c>
      <c r="YP52" t="s">
        <v>4959</v>
      </c>
      <c r="YQ52" t="s">
        <v>3864</v>
      </c>
      <c r="ZP52" t="s">
        <v>4961</v>
      </c>
      <c r="ZR52" t="s">
        <v>4965</v>
      </c>
      <c r="ZU52" t="s">
        <v>4969</v>
      </c>
      <c r="AAB52" t="s">
        <v>4758</v>
      </c>
      <c r="AAJ52" t="s">
        <v>4761</v>
      </c>
      <c r="AAQ52" t="s">
        <v>4981</v>
      </c>
      <c r="AAU52" t="s">
        <v>4987</v>
      </c>
      <c r="AAX52" t="s">
        <v>4991</v>
      </c>
      <c r="ABI52" t="s">
        <v>4995</v>
      </c>
      <c r="ABX52" t="s">
        <v>3869</v>
      </c>
      <c r="ACL52" t="s">
        <v>5003</v>
      </c>
      <c r="ACN52" t="s">
        <v>5007</v>
      </c>
      <c r="ACS52" t="s">
        <v>5013</v>
      </c>
      <c r="ADJ52" t="s">
        <v>5019</v>
      </c>
    </row>
    <row r="53" spans="1:796">
      <c r="A53" t="s">
        <v>4305</v>
      </c>
      <c r="B53">
        <v>53</v>
      </c>
      <c r="C53" t="s">
        <v>4302</v>
      </c>
      <c r="D53">
        <v>50</v>
      </c>
      <c r="N53">
        <v>1</v>
      </c>
      <c r="AB53">
        <v>3</v>
      </c>
      <c r="AD53">
        <v>3</v>
      </c>
      <c r="AJ53">
        <v>3</v>
      </c>
      <c r="AY53">
        <v>3</v>
      </c>
      <c r="BO53">
        <v>3</v>
      </c>
      <c r="BQ53">
        <v>-1</v>
      </c>
      <c r="BU53">
        <v>0</v>
      </c>
      <c r="BV53">
        <v>-1</v>
      </c>
      <c r="BX53">
        <v>3</v>
      </c>
      <c r="CC53">
        <v>2</v>
      </c>
      <c r="CO53">
        <v>3</v>
      </c>
      <c r="DB53">
        <v>-1</v>
      </c>
      <c r="DN53">
        <v>-1</v>
      </c>
      <c r="DY53">
        <v>-1</v>
      </c>
      <c r="EE53">
        <v>1</v>
      </c>
      <c r="FC53">
        <v>3</v>
      </c>
      <c r="FH53">
        <v>-1</v>
      </c>
      <c r="FI53">
        <v>3</v>
      </c>
      <c r="FU53">
        <v>-1</v>
      </c>
      <c r="GG53">
        <v>1</v>
      </c>
      <c r="GH53">
        <v>-1</v>
      </c>
      <c r="GM53">
        <v>3</v>
      </c>
      <c r="HA53">
        <v>2</v>
      </c>
      <c r="HC53">
        <v>3</v>
      </c>
      <c r="HG53">
        <v>3</v>
      </c>
      <c r="HP53">
        <v>3</v>
      </c>
      <c r="IH53">
        <v>2</v>
      </c>
      <c r="IP53">
        <v>1</v>
      </c>
      <c r="IQ53">
        <v>3</v>
      </c>
      <c r="IT53">
        <v>0</v>
      </c>
      <c r="JB53">
        <v>-1</v>
      </c>
      <c r="JC53">
        <v>2</v>
      </c>
      <c r="JS53">
        <v>-1</v>
      </c>
      <c r="JT53">
        <v>-1</v>
      </c>
      <c r="JV53">
        <v>3</v>
      </c>
      <c r="JW53">
        <v>4</v>
      </c>
      <c r="KV53">
        <v>2</v>
      </c>
      <c r="KX53">
        <v>3</v>
      </c>
      <c r="LA53">
        <v>3</v>
      </c>
      <c r="LH53">
        <v>1</v>
      </c>
      <c r="LP53">
        <v>1</v>
      </c>
      <c r="LX53">
        <v>3</v>
      </c>
      <c r="MA53">
        <v>2</v>
      </c>
      <c r="MD53">
        <v>3</v>
      </c>
      <c r="ME53">
        <v>1</v>
      </c>
      <c r="MO53">
        <v>3</v>
      </c>
      <c r="ND53">
        <v>1</v>
      </c>
      <c r="NR53">
        <v>3</v>
      </c>
      <c r="NT53">
        <v>3</v>
      </c>
      <c r="NZ53">
        <v>3</v>
      </c>
      <c r="OP53">
        <v>3</v>
      </c>
      <c r="PF53">
        <v>3</v>
      </c>
      <c r="PH53">
        <v>-1</v>
      </c>
      <c r="PJ53">
        <v>3</v>
      </c>
      <c r="PK53">
        <v>-1</v>
      </c>
      <c r="PL53">
        <v>-1</v>
      </c>
      <c r="PM53">
        <v>-1</v>
      </c>
      <c r="PO53">
        <v>3</v>
      </c>
      <c r="PS53">
        <v>2</v>
      </c>
      <c r="QE53">
        <v>3</v>
      </c>
      <c r="QR53">
        <v>-1</v>
      </c>
      <c r="RD53">
        <v>-1</v>
      </c>
      <c r="RP53">
        <v>-1</v>
      </c>
      <c r="RV53">
        <v>1</v>
      </c>
      <c r="ST53">
        <v>3</v>
      </c>
      <c r="SX53">
        <v>-1</v>
      </c>
      <c r="SY53">
        <v>3</v>
      </c>
      <c r="VA53">
        <v>1</v>
      </c>
      <c r="VB53">
        <v>-1</v>
      </c>
      <c r="VF53">
        <v>3</v>
      </c>
      <c r="VU53">
        <v>2</v>
      </c>
      <c r="VW53">
        <v>3</v>
      </c>
      <c r="WA53">
        <v>3</v>
      </c>
      <c r="WJ53">
        <v>3</v>
      </c>
      <c r="XB53">
        <v>2</v>
      </c>
      <c r="XI53">
        <v>1</v>
      </c>
      <c r="XJ53">
        <v>3</v>
      </c>
      <c r="XN53">
        <v>0</v>
      </c>
      <c r="XV53">
        <v>-1</v>
      </c>
      <c r="XW53">
        <v>2</v>
      </c>
      <c r="YM53">
        <v>-1</v>
      </c>
      <c r="YN53">
        <v>-1</v>
      </c>
      <c r="YP53">
        <v>3</v>
      </c>
      <c r="YQ53">
        <v>4</v>
      </c>
      <c r="ZP53">
        <v>2</v>
      </c>
      <c r="ZR53">
        <v>3</v>
      </c>
      <c r="ZU53">
        <v>3</v>
      </c>
      <c r="AAB53">
        <v>1</v>
      </c>
      <c r="AAJ53">
        <v>1</v>
      </c>
      <c r="AAQ53">
        <v>3</v>
      </c>
      <c r="AAU53">
        <v>2</v>
      </c>
      <c r="AAX53">
        <v>3</v>
      </c>
      <c r="ABI53">
        <v>3</v>
      </c>
      <c r="ABX53">
        <v>1</v>
      </c>
      <c r="ACL53">
        <v>3</v>
      </c>
      <c r="ACN53">
        <v>3</v>
      </c>
      <c r="ACS53">
        <v>3</v>
      </c>
      <c r="ADJ53">
        <v>3</v>
      </c>
    </row>
    <row r="54" spans="1:796">
      <c r="A54" t="s">
        <v>4306</v>
      </c>
      <c r="B54">
        <v>54</v>
      </c>
      <c r="C54" t="s">
        <v>4305</v>
      </c>
      <c r="D54">
        <v>53</v>
      </c>
      <c r="BO54" t="s">
        <v>4722</v>
      </c>
      <c r="BU54" t="s">
        <v>3908</v>
      </c>
      <c r="EE54" t="s">
        <v>5063</v>
      </c>
      <c r="FC54" t="s">
        <v>4900</v>
      </c>
      <c r="FI54" t="s">
        <v>4907</v>
      </c>
      <c r="GG54" t="s">
        <v>4915</v>
      </c>
      <c r="GM54" t="s">
        <v>4919</v>
      </c>
      <c r="HC54" t="s">
        <v>4933</v>
      </c>
      <c r="IT54" t="s">
        <v>3908</v>
      </c>
      <c r="JT54" t="s">
        <v>4955</v>
      </c>
      <c r="KX54" t="s">
        <v>4967</v>
      </c>
      <c r="LA54" t="s">
        <v>4756</v>
      </c>
      <c r="LP54" t="s">
        <v>4975</v>
      </c>
      <c r="LX54" t="s">
        <v>4983</v>
      </c>
      <c r="MA54" t="s">
        <v>3881</v>
      </c>
      <c r="MD54" t="s">
        <v>3882</v>
      </c>
      <c r="ME54" t="s">
        <v>4993</v>
      </c>
      <c r="PF54" t="s">
        <v>4722</v>
      </c>
      <c r="RD54" t="s">
        <v>5059</v>
      </c>
      <c r="RV54" t="s">
        <v>5063</v>
      </c>
      <c r="ST54" t="s">
        <v>4900</v>
      </c>
      <c r="SY54" t="s">
        <v>4907</v>
      </c>
      <c r="VA54" t="s">
        <v>4915</v>
      </c>
      <c r="VF54" t="s">
        <v>4919</v>
      </c>
      <c r="VW54" t="s">
        <v>4933</v>
      </c>
      <c r="XN54" t="s">
        <v>3908</v>
      </c>
      <c r="YN54" t="s">
        <v>4955</v>
      </c>
      <c r="ZR54" t="s">
        <v>4967</v>
      </c>
      <c r="ZU54" t="s">
        <v>4756</v>
      </c>
      <c r="AAJ54" t="s">
        <v>4975</v>
      </c>
      <c r="AAQ54" t="s">
        <v>4983</v>
      </c>
      <c r="AAU54" t="s">
        <v>3881</v>
      </c>
      <c r="AAX54" t="s">
        <v>4764</v>
      </c>
      <c r="ABI54" t="s">
        <v>4997</v>
      </c>
    </row>
    <row r="55" spans="1:796">
      <c r="A55" t="s">
        <v>4307</v>
      </c>
      <c r="B55">
        <v>55</v>
      </c>
      <c r="C55" t="s">
        <v>4304</v>
      </c>
      <c r="D55">
        <v>52</v>
      </c>
      <c r="BO55">
        <v>5</v>
      </c>
      <c r="BU55">
        <v>-1</v>
      </c>
      <c r="EE55">
        <v>3</v>
      </c>
      <c r="FC55">
        <v>3</v>
      </c>
      <c r="FI55">
        <v>1</v>
      </c>
      <c r="GG55">
        <v>3</v>
      </c>
      <c r="GM55">
        <v>3</v>
      </c>
      <c r="HC55">
        <v>3</v>
      </c>
      <c r="IT55">
        <v>-1</v>
      </c>
      <c r="JT55">
        <v>3</v>
      </c>
      <c r="KX55">
        <v>3</v>
      </c>
      <c r="LA55">
        <v>5</v>
      </c>
      <c r="LP55">
        <v>3</v>
      </c>
      <c r="LX55">
        <v>3</v>
      </c>
      <c r="MA55">
        <v>-1</v>
      </c>
      <c r="MD55">
        <v>-1</v>
      </c>
      <c r="ME55">
        <v>3</v>
      </c>
      <c r="PF55">
        <v>5</v>
      </c>
      <c r="RD55">
        <v>3</v>
      </c>
      <c r="RV55">
        <v>3</v>
      </c>
      <c r="ST55">
        <v>3</v>
      </c>
      <c r="SY55">
        <v>1</v>
      </c>
      <c r="VA55">
        <v>3</v>
      </c>
      <c r="VF55">
        <v>3</v>
      </c>
      <c r="VW55">
        <v>3</v>
      </c>
      <c r="XN55">
        <v>-1</v>
      </c>
      <c r="YN55">
        <v>3</v>
      </c>
      <c r="ZR55">
        <v>3</v>
      </c>
      <c r="ZU55">
        <v>5</v>
      </c>
      <c r="AAJ55">
        <v>3</v>
      </c>
      <c r="AAQ55">
        <v>3</v>
      </c>
      <c r="AAU55">
        <v>-1</v>
      </c>
      <c r="AAX55">
        <v>1</v>
      </c>
      <c r="ABI55">
        <v>3</v>
      </c>
    </row>
    <row r="56" spans="1:796">
      <c r="A56" t="s">
        <v>4308</v>
      </c>
      <c r="B56">
        <v>56</v>
      </c>
      <c r="C56" t="s">
        <v>4307</v>
      </c>
      <c r="D56">
        <v>55</v>
      </c>
      <c r="BO56" t="s">
        <v>5027</v>
      </c>
      <c r="BU56" t="s">
        <v>5239</v>
      </c>
      <c r="EE56" t="s">
        <v>5065</v>
      </c>
      <c r="FI56" t="s">
        <v>4837</v>
      </c>
      <c r="LX56" t="s">
        <v>4985</v>
      </c>
      <c r="ME56" t="s">
        <v>3868</v>
      </c>
      <c r="PF56" t="s">
        <v>5027</v>
      </c>
      <c r="RV56" t="s">
        <v>5065</v>
      </c>
      <c r="SY56" t="s">
        <v>4837</v>
      </c>
      <c r="AAQ56" t="s">
        <v>4985</v>
      </c>
      <c r="AAX56" t="s">
        <v>3867</v>
      </c>
    </row>
    <row r="57" spans="1:796">
      <c r="A57" t="s">
        <v>4309</v>
      </c>
      <c r="B57">
        <v>57</v>
      </c>
      <c r="C57" t="s">
        <v>4306</v>
      </c>
      <c r="D57">
        <v>54</v>
      </c>
      <c r="BO57">
        <v>3</v>
      </c>
      <c r="BU57">
        <v>-1</v>
      </c>
      <c r="EE57">
        <v>3</v>
      </c>
      <c r="FI57">
        <v>3</v>
      </c>
      <c r="LX57">
        <v>3</v>
      </c>
      <c r="ME57">
        <v>1</v>
      </c>
      <c r="PF57">
        <v>3</v>
      </c>
      <c r="RV57">
        <v>3</v>
      </c>
      <c r="SY57">
        <v>3</v>
      </c>
      <c r="AAQ57">
        <v>3</v>
      </c>
      <c r="AAX57">
        <v>1</v>
      </c>
    </row>
    <row r="58" spans="1:796">
      <c r="A58" t="s">
        <v>4310</v>
      </c>
      <c r="B58">
        <v>58</v>
      </c>
      <c r="C58" t="s">
        <v>4309</v>
      </c>
      <c r="D58">
        <v>57</v>
      </c>
      <c r="BO58" t="s">
        <v>5029</v>
      </c>
      <c r="FI58" t="s">
        <v>4835</v>
      </c>
      <c r="PF58" t="s">
        <v>5029</v>
      </c>
      <c r="SY58" t="s">
        <v>4835</v>
      </c>
      <c r="AAX58" t="s">
        <v>4993</v>
      </c>
    </row>
    <row r="59" spans="1:796">
      <c r="A59" t="s">
        <v>4311</v>
      </c>
      <c r="B59">
        <v>59</v>
      </c>
      <c r="C59" t="s">
        <v>4308</v>
      </c>
      <c r="D59">
        <v>56</v>
      </c>
      <c r="BO59">
        <v>3</v>
      </c>
      <c r="FI59">
        <v>3</v>
      </c>
      <c r="PF59">
        <v>3</v>
      </c>
      <c r="SY59">
        <v>3</v>
      </c>
      <c r="AAX59">
        <v>3</v>
      </c>
    </row>
    <row r="60" spans="1:796">
      <c r="A60" t="s">
        <v>4312</v>
      </c>
      <c r="B60">
        <v>60</v>
      </c>
      <c r="C60" t="s">
        <v>4311</v>
      </c>
      <c r="D60">
        <v>59</v>
      </c>
      <c r="BO60" t="s">
        <v>5031</v>
      </c>
      <c r="PF60" t="s">
        <v>5031</v>
      </c>
      <c r="AAX60" t="s">
        <v>3882</v>
      </c>
    </row>
    <row r="61" spans="1:796">
      <c r="A61" t="s">
        <v>4313</v>
      </c>
      <c r="B61">
        <v>61</v>
      </c>
      <c r="C61" t="s">
        <v>4310</v>
      </c>
      <c r="D61">
        <v>58</v>
      </c>
      <c r="BO61">
        <v>3</v>
      </c>
      <c r="PF61">
        <v>3</v>
      </c>
      <c r="AAX61">
        <v>-1</v>
      </c>
    </row>
    <row r="62" spans="1:796">
      <c r="A62" t="s">
        <v>4314</v>
      </c>
      <c r="B62">
        <v>62</v>
      </c>
      <c r="C62" t="s">
        <v>4313</v>
      </c>
      <c r="D62">
        <v>61</v>
      </c>
      <c r="BO62" t="s">
        <v>5033</v>
      </c>
      <c r="PF62" t="s">
        <v>5033</v>
      </c>
    </row>
    <row r="63" spans="1:796">
      <c r="A63" t="s">
        <v>4315</v>
      </c>
      <c r="B63">
        <v>63</v>
      </c>
      <c r="C63" t="s">
        <v>4312</v>
      </c>
      <c r="D63">
        <v>60</v>
      </c>
      <c r="BO63">
        <v>3</v>
      </c>
      <c r="PF63">
        <v>3</v>
      </c>
    </row>
    <row r="64" spans="1:796">
      <c r="A64" t="s">
        <v>4316</v>
      </c>
      <c r="B64">
        <v>64</v>
      </c>
      <c r="C64" t="s">
        <v>4315</v>
      </c>
      <c r="D64">
        <v>63</v>
      </c>
    </row>
    <row r="65" spans="1:796">
      <c r="A65" t="s">
        <v>4317</v>
      </c>
      <c r="B65">
        <v>65</v>
      </c>
      <c r="C65" t="s">
        <v>4314</v>
      </c>
      <c r="D65">
        <v>62</v>
      </c>
    </row>
    <row r="66" spans="1:796">
      <c r="A66" t="s">
        <v>4318</v>
      </c>
      <c r="B66">
        <v>66</v>
      </c>
      <c r="C66" t="s">
        <v>4317</v>
      </c>
      <c r="D66">
        <v>65</v>
      </c>
    </row>
    <row r="67" spans="1:796">
      <c r="A67" t="s">
        <v>4319</v>
      </c>
      <c r="B67">
        <v>67</v>
      </c>
      <c r="C67" t="s">
        <v>4316</v>
      </c>
      <c r="D67">
        <v>64</v>
      </c>
    </row>
    <row r="68" spans="1:796">
      <c r="A68" t="s">
        <v>4320</v>
      </c>
      <c r="B68">
        <v>68</v>
      </c>
      <c r="C68" t="s">
        <v>4319</v>
      </c>
      <c r="D68">
        <v>67</v>
      </c>
    </row>
    <row r="69" spans="1:796">
      <c r="A69" t="s">
        <v>4321</v>
      </c>
      <c r="B69">
        <v>69</v>
      </c>
      <c r="C69" t="s">
        <v>4318</v>
      </c>
      <c r="D69">
        <v>66</v>
      </c>
    </row>
    <row r="70" spans="1:796">
      <c r="A70" t="s">
        <v>4322</v>
      </c>
      <c r="B70">
        <v>70</v>
      </c>
      <c r="C70" t="s">
        <v>4118</v>
      </c>
      <c r="D70">
        <v>30</v>
      </c>
    </row>
    <row r="71" spans="1:796">
      <c r="A71" t="s">
        <v>4323</v>
      </c>
      <c r="B71">
        <v>71</v>
      </c>
      <c r="C71" t="s">
        <v>4283</v>
      </c>
      <c r="D71">
        <v>15</v>
      </c>
    </row>
    <row r="72" spans="1:796">
      <c r="A72" t="s">
        <v>4503</v>
      </c>
      <c r="B72">
        <v>72</v>
      </c>
      <c r="C72" t="s">
        <v>4282</v>
      </c>
      <c r="D72">
        <v>14</v>
      </c>
      <c r="E72">
        <v>1</v>
      </c>
      <c r="I72">
        <v>1</v>
      </c>
      <c r="N72">
        <v>3</v>
      </c>
      <c r="O72">
        <v>1</v>
      </c>
      <c r="Q72">
        <v>1</v>
      </c>
      <c r="R72">
        <v>1</v>
      </c>
      <c r="T72">
        <v>1</v>
      </c>
      <c r="U72">
        <v>1</v>
      </c>
      <c r="Y72">
        <v>1</v>
      </c>
      <c r="AB72">
        <v>3</v>
      </c>
      <c r="AC72">
        <v>2</v>
      </c>
      <c r="AD72">
        <v>2</v>
      </c>
      <c r="AG72">
        <v>1</v>
      </c>
      <c r="AJ72">
        <v>3</v>
      </c>
      <c r="AQ72">
        <v>2</v>
      </c>
      <c r="AR72">
        <v>2</v>
      </c>
      <c r="AU72">
        <v>1</v>
      </c>
      <c r="AV72">
        <v>1</v>
      </c>
      <c r="AW72">
        <v>2</v>
      </c>
      <c r="AY72">
        <v>2</v>
      </c>
      <c r="AZ72">
        <v>1</v>
      </c>
      <c r="BA72">
        <v>1</v>
      </c>
      <c r="BF72">
        <v>2</v>
      </c>
      <c r="BG72">
        <v>1</v>
      </c>
      <c r="BO72">
        <v>7</v>
      </c>
      <c r="BQ72">
        <v>2</v>
      </c>
      <c r="BR72">
        <v>1</v>
      </c>
      <c r="BS72">
        <v>1</v>
      </c>
      <c r="BT72">
        <v>1</v>
      </c>
      <c r="BU72">
        <v>5</v>
      </c>
      <c r="BV72">
        <v>3</v>
      </c>
      <c r="BX72">
        <v>2</v>
      </c>
      <c r="BY72">
        <v>1</v>
      </c>
      <c r="CA72">
        <v>1</v>
      </c>
      <c r="CC72">
        <v>2</v>
      </c>
      <c r="CJ72">
        <v>2</v>
      </c>
      <c r="CK72">
        <v>2</v>
      </c>
      <c r="CM72">
        <v>1</v>
      </c>
      <c r="CO72">
        <v>2</v>
      </c>
      <c r="CP72">
        <v>1</v>
      </c>
      <c r="CQ72">
        <v>1</v>
      </c>
      <c r="CR72">
        <v>1</v>
      </c>
      <c r="CX72">
        <v>3</v>
      </c>
      <c r="CY72">
        <v>2</v>
      </c>
      <c r="DB72">
        <v>2</v>
      </c>
      <c r="DC72">
        <v>2</v>
      </c>
      <c r="DD72">
        <v>1</v>
      </c>
      <c r="DJ72">
        <v>2</v>
      </c>
      <c r="DN72">
        <v>3</v>
      </c>
      <c r="DO72">
        <v>2</v>
      </c>
      <c r="DV72">
        <v>1</v>
      </c>
      <c r="DY72">
        <v>2</v>
      </c>
      <c r="EA72">
        <v>2</v>
      </c>
      <c r="EB72">
        <v>2</v>
      </c>
      <c r="ED72">
        <v>1</v>
      </c>
      <c r="EE72">
        <v>4</v>
      </c>
      <c r="EF72">
        <v>1</v>
      </c>
      <c r="EI72">
        <v>3</v>
      </c>
      <c r="EJ72">
        <v>1</v>
      </c>
      <c r="EK72">
        <v>1</v>
      </c>
      <c r="EM72">
        <v>2</v>
      </c>
      <c r="EN72">
        <v>1</v>
      </c>
      <c r="EP72">
        <v>2</v>
      </c>
      <c r="EQ72">
        <v>3</v>
      </c>
      <c r="ER72">
        <v>1</v>
      </c>
      <c r="EU72">
        <v>1</v>
      </c>
      <c r="EW72">
        <v>1</v>
      </c>
      <c r="EZ72">
        <v>1</v>
      </c>
      <c r="FA72">
        <v>1</v>
      </c>
      <c r="FC72">
        <v>3</v>
      </c>
      <c r="FE72">
        <v>2</v>
      </c>
      <c r="FF72">
        <v>2</v>
      </c>
      <c r="FG72">
        <v>1</v>
      </c>
      <c r="FH72">
        <v>2</v>
      </c>
      <c r="FI72">
        <v>5</v>
      </c>
      <c r="FJ72">
        <v>1</v>
      </c>
      <c r="FL72">
        <v>1</v>
      </c>
      <c r="FM72">
        <v>2</v>
      </c>
      <c r="FN72">
        <v>2</v>
      </c>
      <c r="FU72">
        <v>3</v>
      </c>
      <c r="FV72">
        <v>2</v>
      </c>
      <c r="GG72">
        <v>3</v>
      </c>
      <c r="GH72">
        <v>3</v>
      </c>
      <c r="GI72">
        <v>1</v>
      </c>
      <c r="GJ72">
        <v>1</v>
      </c>
      <c r="GM72">
        <v>3</v>
      </c>
      <c r="GN72">
        <v>2</v>
      </c>
      <c r="GP72">
        <v>1</v>
      </c>
      <c r="GR72">
        <v>1</v>
      </c>
      <c r="GS72">
        <v>2</v>
      </c>
      <c r="GW72">
        <v>1</v>
      </c>
      <c r="GX72">
        <v>3</v>
      </c>
      <c r="GY72">
        <v>1</v>
      </c>
      <c r="HA72">
        <v>2</v>
      </c>
      <c r="HB72">
        <v>1</v>
      </c>
      <c r="HC72">
        <v>3</v>
      </c>
      <c r="HG72">
        <v>2</v>
      </c>
      <c r="HK72">
        <v>1</v>
      </c>
      <c r="HL72">
        <v>2</v>
      </c>
      <c r="HM72">
        <v>1</v>
      </c>
      <c r="HP72">
        <v>4</v>
      </c>
      <c r="HQ72">
        <v>1</v>
      </c>
      <c r="HV72">
        <v>1</v>
      </c>
      <c r="HX72">
        <v>2</v>
      </c>
      <c r="HY72">
        <v>1</v>
      </c>
      <c r="IA72">
        <v>2</v>
      </c>
      <c r="IB72">
        <v>1</v>
      </c>
      <c r="IH72">
        <v>3</v>
      </c>
      <c r="IP72">
        <v>3</v>
      </c>
      <c r="IQ72">
        <v>3</v>
      </c>
      <c r="IS72">
        <v>1</v>
      </c>
      <c r="IT72">
        <v>5</v>
      </c>
      <c r="IU72">
        <v>2</v>
      </c>
      <c r="IX72">
        <v>1</v>
      </c>
      <c r="IZ72">
        <v>1</v>
      </c>
      <c r="JB72">
        <v>2</v>
      </c>
      <c r="JC72">
        <v>2</v>
      </c>
      <c r="JD72">
        <v>1</v>
      </c>
      <c r="JE72">
        <v>2</v>
      </c>
      <c r="JF72">
        <v>1</v>
      </c>
      <c r="JM72">
        <v>1</v>
      </c>
      <c r="JN72">
        <v>1</v>
      </c>
      <c r="JP72">
        <v>1</v>
      </c>
      <c r="JS72">
        <v>3</v>
      </c>
      <c r="JT72">
        <v>4</v>
      </c>
      <c r="JU72">
        <v>1</v>
      </c>
      <c r="JV72">
        <v>3</v>
      </c>
      <c r="JW72">
        <v>4</v>
      </c>
      <c r="JX72">
        <v>1</v>
      </c>
      <c r="JY72">
        <v>1</v>
      </c>
      <c r="KD72">
        <v>1</v>
      </c>
      <c r="KH72">
        <v>2</v>
      </c>
      <c r="KI72">
        <v>2</v>
      </c>
      <c r="KN72">
        <v>1</v>
      </c>
      <c r="KS72">
        <v>1</v>
      </c>
      <c r="KV72">
        <v>2</v>
      </c>
      <c r="KW72">
        <v>3</v>
      </c>
      <c r="KX72">
        <v>4</v>
      </c>
      <c r="KZ72">
        <v>1</v>
      </c>
      <c r="LA72">
        <v>5</v>
      </c>
      <c r="LB72">
        <v>1</v>
      </c>
      <c r="LF72">
        <v>1</v>
      </c>
      <c r="LH72">
        <v>3</v>
      </c>
      <c r="LI72">
        <v>1</v>
      </c>
      <c r="LK72">
        <v>3</v>
      </c>
      <c r="LL72">
        <v>1</v>
      </c>
      <c r="LM72">
        <v>1</v>
      </c>
      <c r="LO72">
        <v>1</v>
      </c>
      <c r="LP72">
        <v>3</v>
      </c>
      <c r="LQ72">
        <v>1</v>
      </c>
      <c r="LS72">
        <v>1</v>
      </c>
      <c r="LX72">
        <v>5</v>
      </c>
      <c r="LY72">
        <v>1</v>
      </c>
      <c r="LZ72">
        <v>1</v>
      </c>
      <c r="MA72">
        <v>4</v>
      </c>
      <c r="MB72">
        <v>2</v>
      </c>
      <c r="MC72">
        <v>1</v>
      </c>
      <c r="MD72">
        <v>4</v>
      </c>
      <c r="ME72">
        <v>5</v>
      </c>
      <c r="MN72">
        <v>1</v>
      </c>
      <c r="MO72">
        <v>3</v>
      </c>
      <c r="MP72">
        <v>3</v>
      </c>
      <c r="MQ72">
        <v>1</v>
      </c>
      <c r="MT72">
        <v>1</v>
      </c>
      <c r="MU72">
        <v>1</v>
      </c>
      <c r="MY72">
        <v>1</v>
      </c>
      <c r="ND72">
        <v>3</v>
      </c>
      <c r="NE72">
        <v>1</v>
      </c>
      <c r="NH72">
        <v>1</v>
      </c>
      <c r="NI72">
        <v>1</v>
      </c>
      <c r="NK72">
        <v>1</v>
      </c>
      <c r="NR72">
        <v>3</v>
      </c>
      <c r="NS72">
        <v>1</v>
      </c>
      <c r="NT72">
        <v>2</v>
      </c>
      <c r="NU72">
        <v>1</v>
      </c>
      <c r="NW72">
        <v>1</v>
      </c>
      <c r="NZ72">
        <v>3</v>
      </c>
      <c r="OD72">
        <v>1</v>
      </c>
      <c r="OH72">
        <v>2</v>
      </c>
      <c r="OI72">
        <v>2</v>
      </c>
      <c r="OK72">
        <v>2</v>
      </c>
      <c r="OL72">
        <v>1</v>
      </c>
      <c r="OP72">
        <v>2</v>
      </c>
      <c r="OQ72">
        <v>1</v>
      </c>
      <c r="OR72">
        <v>1</v>
      </c>
      <c r="OV72">
        <v>2</v>
      </c>
      <c r="OW72">
        <v>1</v>
      </c>
      <c r="OX72">
        <v>2</v>
      </c>
      <c r="PF72">
        <v>7</v>
      </c>
      <c r="PH72">
        <v>2</v>
      </c>
      <c r="PI72">
        <v>1</v>
      </c>
      <c r="PJ72">
        <v>2</v>
      </c>
      <c r="PK72">
        <v>3</v>
      </c>
      <c r="PL72">
        <v>3</v>
      </c>
      <c r="PM72">
        <v>2</v>
      </c>
      <c r="PO72">
        <v>2</v>
      </c>
      <c r="PP72">
        <v>1</v>
      </c>
      <c r="PS72">
        <v>2</v>
      </c>
      <c r="PZ72">
        <v>2</v>
      </c>
      <c r="QA72">
        <v>2</v>
      </c>
      <c r="QB72">
        <v>2</v>
      </c>
      <c r="QC72">
        <v>2</v>
      </c>
      <c r="QE72">
        <v>2</v>
      </c>
      <c r="QH72">
        <v>1</v>
      </c>
      <c r="QO72">
        <v>2</v>
      </c>
      <c r="QP72">
        <v>2</v>
      </c>
      <c r="QR72">
        <v>2</v>
      </c>
      <c r="QS72">
        <v>2</v>
      </c>
      <c r="QY72">
        <v>1</v>
      </c>
      <c r="QZ72">
        <v>1</v>
      </c>
      <c r="RD72">
        <v>4</v>
      </c>
      <c r="RE72">
        <v>1</v>
      </c>
      <c r="RF72">
        <v>1</v>
      </c>
      <c r="RK72">
        <v>1</v>
      </c>
      <c r="RM72">
        <v>1</v>
      </c>
      <c r="RP72">
        <v>3</v>
      </c>
      <c r="RR72">
        <v>2</v>
      </c>
      <c r="RS72">
        <v>2</v>
      </c>
      <c r="RU72">
        <v>1</v>
      </c>
      <c r="RV72">
        <v>5</v>
      </c>
      <c r="RW72">
        <v>2</v>
      </c>
      <c r="SC72">
        <v>1</v>
      </c>
      <c r="SF72">
        <v>1</v>
      </c>
      <c r="SG72">
        <v>2</v>
      </c>
      <c r="SH72">
        <v>1</v>
      </c>
      <c r="SJ72">
        <v>2</v>
      </c>
      <c r="SK72">
        <v>1</v>
      </c>
      <c r="SN72">
        <v>2</v>
      </c>
      <c r="SO72">
        <v>1</v>
      </c>
      <c r="SQ72">
        <v>1</v>
      </c>
      <c r="SR72">
        <v>2</v>
      </c>
      <c r="ST72">
        <v>3</v>
      </c>
      <c r="SU72">
        <v>2</v>
      </c>
      <c r="SV72">
        <v>2</v>
      </c>
      <c r="SW72">
        <v>1</v>
      </c>
      <c r="SX72">
        <v>2</v>
      </c>
      <c r="SY72">
        <v>5</v>
      </c>
      <c r="SZ72">
        <v>1</v>
      </c>
      <c r="TA72">
        <v>1</v>
      </c>
      <c r="TD72">
        <v>1</v>
      </c>
      <c r="TK72">
        <v>2</v>
      </c>
      <c r="TL72">
        <v>2</v>
      </c>
      <c r="TM72">
        <v>2</v>
      </c>
      <c r="TN72">
        <v>1</v>
      </c>
      <c r="TO72">
        <v>1</v>
      </c>
      <c r="TP72">
        <v>1</v>
      </c>
      <c r="TY72">
        <v>2</v>
      </c>
      <c r="TZ72">
        <v>1</v>
      </c>
      <c r="UE72">
        <v>1</v>
      </c>
      <c r="UO72">
        <v>2</v>
      </c>
      <c r="UP72">
        <v>1</v>
      </c>
      <c r="UQ72">
        <v>1</v>
      </c>
      <c r="US72">
        <v>1</v>
      </c>
      <c r="UT72">
        <v>1</v>
      </c>
      <c r="UY72">
        <v>1</v>
      </c>
      <c r="VA72">
        <v>3</v>
      </c>
      <c r="VB72">
        <v>3</v>
      </c>
      <c r="VC72">
        <v>1</v>
      </c>
      <c r="VD72">
        <v>1</v>
      </c>
      <c r="VF72">
        <v>3</v>
      </c>
      <c r="VG72">
        <v>2</v>
      </c>
      <c r="VL72">
        <v>1</v>
      </c>
      <c r="VQ72">
        <v>1</v>
      </c>
      <c r="VR72">
        <v>2</v>
      </c>
      <c r="VS72">
        <v>1</v>
      </c>
      <c r="VU72">
        <v>2</v>
      </c>
      <c r="VV72">
        <v>1</v>
      </c>
      <c r="VW72">
        <v>3</v>
      </c>
      <c r="VZ72">
        <v>1</v>
      </c>
      <c r="WA72">
        <v>2</v>
      </c>
      <c r="WE72">
        <v>1</v>
      </c>
      <c r="WF72">
        <v>2</v>
      </c>
      <c r="WG72">
        <v>1</v>
      </c>
      <c r="WI72">
        <v>1</v>
      </c>
      <c r="WJ72">
        <v>4</v>
      </c>
      <c r="WK72">
        <v>1</v>
      </c>
      <c r="WO72">
        <v>1</v>
      </c>
      <c r="WR72">
        <v>1</v>
      </c>
      <c r="WS72">
        <v>1</v>
      </c>
      <c r="WU72">
        <v>2</v>
      </c>
      <c r="WV72">
        <v>1</v>
      </c>
      <c r="WY72">
        <v>1</v>
      </c>
      <c r="WZ72">
        <v>1</v>
      </c>
      <c r="XB72">
        <v>2</v>
      </c>
      <c r="XE72">
        <v>1</v>
      </c>
      <c r="XI72">
        <v>3</v>
      </c>
      <c r="XJ72">
        <v>3</v>
      </c>
      <c r="XM72">
        <v>1</v>
      </c>
      <c r="XN72">
        <v>5</v>
      </c>
      <c r="XO72">
        <v>2</v>
      </c>
      <c r="XV72">
        <v>2</v>
      </c>
      <c r="XW72">
        <v>2</v>
      </c>
      <c r="XY72">
        <v>2</v>
      </c>
      <c r="XZ72">
        <v>2</v>
      </c>
      <c r="YG72">
        <v>1</v>
      </c>
      <c r="YH72">
        <v>1</v>
      </c>
      <c r="YJ72">
        <v>2</v>
      </c>
      <c r="YM72">
        <v>3</v>
      </c>
      <c r="YN72">
        <v>4</v>
      </c>
      <c r="YO72">
        <v>2</v>
      </c>
      <c r="YP72">
        <v>3</v>
      </c>
      <c r="YQ72">
        <v>4</v>
      </c>
      <c r="YR72">
        <v>1</v>
      </c>
      <c r="YX72">
        <v>2</v>
      </c>
      <c r="ZB72">
        <v>2</v>
      </c>
      <c r="ZC72">
        <v>1</v>
      </c>
      <c r="ZI72">
        <v>1</v>
      </c>
      <c r="ZL72">
        <v>2</v>
      </c>
      <c r="ZN72">
        <v>1</v>
      </c>
      <c r="ZP72">
        <v>2</v>
      </c>
      <c r="ZQ72">
        <v>2</v>
      </c>
      <c r="ZR72">
        <v>4</v>
      </c>
      <c r="ZT72">
        <v>1</v>
      </c>
      <c r="ZU72">
        <v>5</v>
      </c>
      <c r="ZV72">
        <v>1</v>
      </c>
      <c r="ZY72">
        <v>1</v>
      </c>
      <c r="ZZ72">
        <v>1</v>
      </c>
      <c r="AAA72">
        <v>1</v>
      </c>
      <c r="AAB72">
        <v>2</v>
      </c>
      <c r="AAC72">
        <v>2</v>
      </c>
      <c r="AAD72">
        <v>1</v>
      </c>
      <c r="AAE72">
        <v>2</v>
      </c>
      <c r="AAF72">
        <v>1</v>
      </c>
      <c r="AAI72">
        <v>1</v>
      </c>
      <c r="AAJ72">
        <v>3</v>
      </c>
      <c r="AAK72">
        <v>1</v>
      </c>
      <c r="AAM72">
        <v>1</v>
      </c>
      <c r="AAQ72">
        <v>5</v>
      </c>
      <c r="AAR72">
        <v>2</v>
      </c>
      <c r="AAU72">
        <v>5</v>
      </c>
      <c r="AAV72">
        <v>2</v>
      </c>
      <c r="AAW72">
        <v>1</v>
      </c>
      <c r="AAX72">
        <v>6</v>
      </c>
      <c r="AAY72">
        <v>2</v>
      </c>
      <c r="ABI72">
        <v>4</v>
      </c>
      <c r="ABJ72">
        <v>2</v>
      </c>
      <c r="ABS72">
        <v>1</v>
      </c>
      <c r="ABV72">
        <v>1</v>
      </c>
      <c r="ABX72">
        <v>3</v>
      </c>
      <c r="ABY72">
        <v>1</v>
      </c>
      <c r="ACA72">
        <v>1</v>
      </c>
      <c r="ACB72">
        <v>1</v>
      </c>
      <c r="ACC72">
        <v>1</v>
      </c>
      <c r="ACE72">
        <v>1</v>
      </c>
      <c r="ACF72">
        <v>1</v>
      </c>
      <c r="ACL72">
        <v>4</v>
      </c>
      <c r="ACM72">
        <v>1</v>
      </c>
      <c r="ACN72">
        <v>2</v>
      </c>
      <c r="ACQ72">
        <v>1</v>
      </c>
      <c r="ACS72">
        <v>2</v>
      </c>
      <c r="ACY72">
        <v>2</v>
      </c>
      <c r="ADB72">
        <v>2</v>
      </c>
      <c r="ADC72">
        <v>2</v>
      </c>
      <c r="ADF72">
        <v>2</v>
      </c>
      <c r="ADJ72">
        <v>2</v>
      </c>
      <c r="ADK72">
        <v>1</v>
      </c>
      <c r="ADL72">
        <v>1</v>
      </c>
      <c r="ADP72">
        <v>2</v>
      </c>
    </row>
    <row r="73" spans="1:796">
      <c r="A73" t="s">
        <v>4575</v>
      </c>
      <c r="B73">
        <v>73</v>
      </c>
      <c r="C73" t="s">
        <v>724</v>
      </c>
      <c r="D73">
        <v>29</v>
      </c>
      <c r="I73">
        <v>1</v>
      </c>
      <c r="N73">
        <v>-1</v>
      </c>
      <c r="Q73">
        <v>1</v>
      </c>
      <c r="U73">
        <v>2</v>
      </c>
      <c r="Y73">
        <v>0.5</v>
      </c>
      <c r="AB73">
        <v>-1</v>
      </c>
      <c r="AC73">
        <v>-11</v>
      </c>
      <c r="AD73">
        <v>3</v>
      </c>
      <c r="AG73">
        <v>3</v>
      </c>
      <c r="AJ73">
        <v>-11</v>
      </c>
      <c r="AQ73">
        <v>-1</v>
      </c>
      <c r="AR73">
        <v>3</v>
      </c>
      <c r="AU73">
        <v>1</v>
      </c>
      <c r="AW73">
        <v>5</v>
      </c>
      <c r="AY73">
        <v>3</v>
      </c>
      <c r="AZ73">
        <v>3</v>
      </c>
      <c r="BA73">
        <v>3</v>
      </c>
      <c r="BF73">
        <v>-1</v>
      </c>
      <c r="BO73">
        <v>1</v>
      </c>
      <c r="BQ73">
        <v>-1</v>
      </c>
      <c r="BR73">
        <v>1</v>
      </c>
      <c r="BS73">
        <v>3</v>
      </c>
      <c r="BT73">
        <v>3</v>
      </c>
      <c r="BU73">
        <v>-1</v>
      </c>
      <c r="BV73">
        <v>-1</v>
      </c>
      <c r="BX73">
        <v>1</v>
      </c>
      <c r="CC73">
        <v>2</v>
      </c>
      <c r="CJ73">
        <v>-1</v>
      </c>
      <c r="CK73">
        <v>3</v>
      </c>
      <c r="CM73">
        <v>1</v>
      </c>
      <c r="CO73">
        <v>2</v>
      </c>
      <c r="CP73">
        <v>-11</v>
      </c>
      <c r="CQ73">
        <v>0.5</v>
      </c>
      <c r="CR73">
        <v>3</v>
      </c>
      <c r="CX73">
        <v>-1</v>
      </c>
      <c r="CY73">
        <v>3</v>
      </c>
      <c r="DB73">
        <v>-1</v>
      </c>
      <c r="DC73">
        <v>1</v>
      </c>
      <c r="DJ73">
        <v>0.5</v>
      </c>
      <c r="DN73">
        <v>-1</v>
      </c>
      <c r="DO73">
        <v>3</v>
      </c>
      <c r="DV73">
        <v>3</v>
      </c>
      <c r="DY73">
        <v>-1</v>
      </c>
      <c r="EA73">
        <v>-1</v>
      </c>
      <c r="EB73">
        <v>1</v>
      </c>
      <c r="ED73">
        <v>0.5</v>
      </c>
      <c r="EE73">
        <v>1</v>
      </c>
      <c r="EI73">
        <v>-11</v>
      </c>
      <c r="EJ73">
        <v>0.5</v>
      </c>
      <c r="EK73">
        <v>-11</v>
      </c>
      <c r="EM73">
        <v>0.5</v>
      </c>
      <c r="EN73">
        <v>0.5</v>
      </c>
      <c r="EP73">
        <v>-11</v>
      </c>
      <c r="EQ73">
        <v>-1</v>
      </c>
      <c r="EU73">
        <v>3</v>
      </c>
      <c r="EW73">
        <v>1</v>
      </c>
      <c r="EZ73">
        <v>-11</v>
      </c>
      <c r="FA73">
        <v>5</v>
      </c>
      <c r="FC73">
        <v>1</v>
      </c>
      <c r="FE73">
        <v>-1</v>
      </c>
      <c r="FF73">
        <v>1</v>
      </c>
      <c r="FG73">
        <v>4</v>
      </c>
      <c r="FH73">
        <v>-1</v>
      </c>
      <c r="FI73">
        <v>1</v>
      </c>
      <c r="FL73">
        <v>0.5</v>
      </c>
      <c r="FM73">
        <v>0.5</v>
      </c>
      <c r="FN73">
        <v>3</v>
      </c>
      <c r="FU73">
        <v>-1</v>
      </c>
      <c r="FV73">
        <v>3</v>
      </c>
      <c r="GG73">
        <v>1</v>
      </c>
      <c r="GH73">
        <v>-1</v>
      </c>
      <c r="GJ73">
        <v>1</v>
      </c>
      <c r="GM73">
        <v>1</v>
      </c>
      <c r="GN73">
        <v>3</v>
      </c>
      <c r="GP73">
        <v>0.5</v>
      </c>
      <c r="GR73">
        <v>3</v>
      </c>
      <c r="GS73">
        <v>-11</v>
      </c>
      <c r="GW73">
        <v>3</v>
      </c>
      <c r="GX73">
        <v>-1</v>
      </c>
      <c r="HA73">
        <v>2</v>
      </c>
      <c r="HB73">
        <v>1</v>
      </c>
      <c r="HC73">
        <v>1</v>
      </c>
      <c r="HG73">
        <v>1</v>
      </c>
      <c r="HK73">
        <v>1</v>
      </c>
      <c r="HL73">
        <v>-1</v>
      </c>
      <c r="HP73">
        <v>1</v>
      </c>
      <c r="HV73">
        <v>3</v>
      </c>
      <c r="HX73">
        <v>3</v>
      </c>
      <c r="HY73">
        <v>4</v>
      </c>
      <c r="IA73">
        <v>-1</v>
      </c>
      <c r="IH73">
        <v>0.5</v>
      </c>
      <c r="IP73">
        <v>-1</v>
      </c>
      <c r="IQ73">
        <v>3</v>
      </c>
      <c r="IT73">
        <v>-1</v>
      </c>
      <c r="IU73">
        <v>4</v>
      </c>
      <c r="IX73">
        <v>0.5</v>
      </c>
      <c r="IZ73">
        <v>0.5</v>
      </c>
      <c r="JB73">
        <v>-1</v>
      </c>
      <c r="JC73">
        <v>1</v>
      </c>
      <c r="JE73">
        <v>-1</v>
      </c>
      <c r="JM73">
        <v>3</v>
      </c>
      <c r="JN73">
        <v>1</v>
      </c>
      <c r="JP73">
        <v>0</v>
      </c>
      <c r="JS73">
        <v>-1</v>
      </c>
      <c r="JT73">
        <v>-1</v>
      </c>
      <c r="JU73">
        <v>2</v>
      </c>
      <c r="JV73">
        <v>1</v>
      </c>
      <c r="JW73">
        <v>1</v>
      </c>
      <c r="JY73">
        <v>-11</v>
      </c>
      <c r="KD73">
        <v>4</v>
      </c>
      <c r="KH73">
        <v>-1</v>
      </c>
      <c r="KN73">
        <v>0.5</v>
      </c>
      <c r="KS73">
        <v>5</v>
      </c>
      <c r="KV73">
        <v>1</v>
      </c>
      <c r="KW73">
        <v>-1</v>
      </c>
      <c r="KX73">
        <v>3</v>
      </c>
      <c r="LA73">
        <v>1</v>
      </c>
      <c r="LF73">
        <v>3</v>
      </c>
      <c r="LH73">
        <v>-11</v>
      </c>
      <c r="LI73">
        <v>3</v>
      </c>
      <c r="LK73">
        <v>-1</v>
      </c>
      <c r="LO73">
        <v>1</v>
      </c>
      <c r="LP73">
        <v>1</v>
      </c>
      <c r="LQ73">
        <v>3</v>
      </c>
      <c r="LS73">
        <v>2</v>
      </c>
      <c r="LX73">
        <v>0.5</v>
      </c>
      <c r="LY73">
        <v>5</v>
      </c>
      <c r="LZ73">
        <v>0.5</v>
      </c>
      <c r="MA73">
        <v>-1</v>
      </c>
      <c r="MB73">
        <v>0.5</v>
      </c>
      <c r="MC73">
        <v>-11</v>
      </c>
      <c r="MD73">
        <v>-1</v>
      </c>
      <c r="ME73">
        <v>1</v>
      </c>
      <c r="MN73">
        <v>3</v>
      </c>
      <c r="MO73">
        <v>-1</v>
      </c>
      <c r="MP73">
        <v>-11</v>
      </c>
      <c r="MT73">
        <v>0.5</v>
      </c>
      <c r="MU73">
        <v>0.5</v>
      </c>
      <c r="MY73">
        <v>1</v>
      </c>
      <c r="ND73">
        <v>-1</v>
      </c>
      <c r="NH73">
        <v>1</v>
      </c>
      <c r="NK73">
        <v>2</v>
      </c>
      <c r="NR73">
        <v>-1</v>
      </c>
      <c r="NT73">
        <v>3</v>
      </c>
      <c r="NW73">
        <v>3</v>
      </c>
      <c r="NZ73">
        <v>0.5</v>
      </c>
      <c r="OD73">
        <v>-11</v>
      </c>
      <c r="OH73">
        <v>-1</v>
      </c>
      <c r="OI73">
        <v>3</v>
      </c>
      <c r="OK73">
        <v>-11</v>
      </c>
      <c r="OP73">
        <v>3</v>
      </c>
      <c r="OQ73">
        <v>3</v>
      </c>
      <c r="OR73">
        <v>3</v>
      </c>
      <c r="OV73">
        <v>-1</v>
      </c>
      <c r="OX73">
        <v>5</v>
      </c>
      <c r="PF73">
        <v>1</v>
      </c>
      <c r="PH73">
        <v>-1</v>
      </c>
      <c r="PI73">
        <v>1</v>
      </c>
      <c r="PJ73">
        <v>3</v>
      </c>
      <c r="PK73">
        <v>-1</v>
      </c>
      <c r="PL73">
        <v>-1</v>
      </c>
      <c r="PM73">
        <v>-1</v>
      </c>
      <c r="PO73">
        <v>1</v>
      </c>
      <c r="PS73">
        <v>2</v>
      </c>
      <c r="PZ73">
        <v>-1</v>
      </c>
      <c r="QA73">
        <v>3</v>
      </c>
      <c r="QB73">
        <v>-11</v>
      </c>
      <c r="QC73">
        <v>0.5</v>
      </c>
      <c r="QE73">
        <v>2</v>
      </c>
      <c r="QH73">
        <v>3</v>
      </c>
      <c r="QO73">
        <v>-1</v>
      </c>
      <c r="QP73">
        <v>3</v>
      </c>
      <c r="QR73">
        <v>-1</v>
      </c>
      <c r="QS73">
        <v>1</v>
      </c>
      <c r="QY73">
        <v>0.5</v>
      </c>
      <c r="QZ73">
        <v>3</v>
      </c>
      <c r="RD73">
        <v>-1</v>
      </c>
      <c r="RK73">
        <v>0.5</v>
      </c>
      <c r="RM73">
        <v>3</v>
      </c>
      <c r="RP73">
        <v>-1</v>
      </c>
      <c r="RR73">
        <v>-1</v>
      </c>
      <c r="RS73">
        <v>1</v>
      </c>
      <c r="RU73">
        <v>-11</v>
      </c>
      <c r="RV73">
        <v>0.5</v>
      </c>
      <c r="RW73">
        <v>-11</v>
      </c>
      <c r="SC73">
        <v>3</v>
      </c>
      <c r="SF73">
        <v>3</v>
      </c>
      <c r="SG73">
        <v>-1</v>
      </c>
      <c r="SJ73">
        <v>5</v>
      </c>
      <c r="SK73">
        <v>3</v>
      </c>
      <c r="SN73">
        <v>0.5</v>
      </c>
      <c r="SO73">
        <v>0.5</v>
      </c>
      <c r="SQ73">
        <v>-11</v>
      </c>
      <c r="SR73">
        <v>0.5</v>
      </c>
      <c r="ST73">
        <v>1</v>
      </c>
      <c r="SU73">
        <v>-1</v>
      </c>
      <c r="SV73">
        <v>1</v>
      </c>
      <c r="SW73">
        <v>4</v>
      </c>
      <c r="SX73">
        <v>-1</v>
      </c>
      <c r="SY73">
        <v>1</v>
      </c>
      <c r="TA73">
        <v>-11</v>
      </c>
      <c r="TD73">
        <v>3</v>
      </c>
      <c r="TK73">
        <v>-1</v>
      </c>
      <c r="TL73">
        <v>3</v>
      </c>
      <c r="TM73">
        <v>0.5</v>
      </c>
      <c r="TN73">
        <v>5</v>
      </c>
      <c r="TY73">
        <v>-1</v>
      </c>
      <c r="UE73">
        <v>-11</v>
      </c>
      <c r="UO73">
        <v>-1</v>
      </c>
      <c r="UQ73">
        <v>0.5</v>
      </c>
      <c r="UY73">
        <v>0.5</v>
      </c>
      <c r="VA73">
        <v>1</v>
      </c>
      <c r="VB73">
        <v>-1</v>
      </c>
      <c r="VD73">
        <v>1</v>
      </c>
      <c r="VF73">
        <v>1</v>
      </c>
      <c r="VG73">
        <v>3</v>
      </c>
      <c r="VL73">
        <v>3</v>
      </c>
      <c r="VQ73">
        <v>3</v>
      </c>
      <c r="VR73">
        <v>-1</v>
      </c>
      <c r="VU73">
        <v>2</v>
      </c>
      <c r="VV73">
        <v>1</v>
      </c>
      <c r="VW73">
        <v>1</v>
      </c>
      <c r="WA73">
        <v>1</v>
      </c>
      <c r="WE73">
        <v>1</v>
      </c>
      <c r="WF73">
        <v>-1</v>
      </c>
      <c r="WI73">
        <v>0.5</v>
      </c>
      <c r="WJ73">
        <v>1</v>
      </c>
      <c r="WO73">
        <v>3</v>
      </c>
      <c r="WR73">
        <v>3</v>
      </c>
      <c r="WS73">
        <v>4</v>
      </c>
      <c r="WU73">
        <v>-1</v>
      </c>
      <c r="WY73">
        <v>0.5</v>
      </c>
      <c r="WZ73">
        <v>0.5</v>
      </c>
      <c r="XB73">
        <v>2</v>
      </c>
      <c r="XI73">
        <v>-1</v>
      </c>
      <c r="XJ73">
        <v>3</v>
      </c>
      <c r="XN73">
        <v>-1</v>
      </c>
      <c r="XO73">
        <v>4</v>
      </c>
      <c r="XV73">
        <v>-1</v>
      </c>
      <c r="XW73">
        <v>1</v>
      </c>
      <c r="XY73">
        <v>-1</v>
      </c>
      <c r="XZ73">
        <v>-11</v>
      </c>
      <c r="YG73">
        <v>3</v>
      </c>
      <c r="YH73">
        <v>1</v>
      </c>
      <c r="YJ73">
        <v>0</v>
      </c>
      <c r="YM73">
        <v>-1</v>
      </c>
      <c r="YN73">
        <v>-1</v>
      </c>
      <c r="YO73">
        <v>0.5</v>
      </c>
      <c r="YP73">
        <v>1</v>
      </c>
      <c r="YQ73">
        <v>1</v>
      </c>
      <c r="YX73">
        <v>0.5</v>
      </c>
      <c r="ZB73">
        <v>-1</v>
      </c>
      <c r="ZI73">
        <v>-11</v>
      </c>
      <c r="ZL73">
        <v>0.5</v>
      </c>
      <c r="ZP73">
        <v>1</v>
      </c>
      <c r="ZQ73">
        <v>-1</v>
      </c>
      <c r="ZR73">
        <v>3</v>
      </c>
      <c r="ZU73">
        <v>1</v>
      </c>
      <c r="ZY73">
        <v>0.5</v>
      </c>
      <c r="ZZ73">
        <v>3</v>
      </c>
      <c r="AAA73">
        <v>0.5</v>
      </c>
      <c r="AAB73">
        <v>1</v>
      </c>
      <c r="AAC73">
        <v>0.5</v>
      </c>
      <c r="AAD73">
        <v>-11</v>
      </c>
      <c r="AAE73">
        <v>-1</v>
      </c>
      <c r="AAI73">
        <v>1</v>
      </c>
      <c r="AAJ73">
        <v>1</v>
      </c>
      <c r="AAK73">
        <v>3</v>
      </c>
      <c r="AAM73">
        <v>2</v>
      </c>
      <c r="AAQ73">
        <v>-11</v>
      </c>
      <c r="AAR73">
        <v>5</v>
      </c>
      <c r="AAU73">
        <v>-1</v>
      </c>
      <c r="AAV73">
        <v>0.5</v>
      </c>
      <c r="AAX73">
        <v>-1</v>
      </c>
      <c r="AAY73">
        <v>1</v>
      </c>
      <c r="ABI73">
        <v>-1</v>
      </c>
      <c r="ABJ73">
        <v>3</v>
      </c>
      <c r="ABS73">
        <v>1</v>
      </c>
      <c r="ABX73">
        <v>-1</v>
      </c>
      <c r="ACA73">
        <v>0.5</v>
      </c>
      <c r="ACB73">
        <v>1</v>
      </c>
      <c r="ACE73">
        <v>-11</v>
      </c>
      <c r="ACF73">
        <v>2</v>
      </c>
      <c r="ACL73">
        <v>-11</v>
      </c>
      <c r="ACN73">
        <v>3</v>
      </c>
      <c r="ACQ73">
        <v>3</v>
      </c>
      <c r="ACS73">
        <v>3</v>
      </c>
      <c r="ACY73">
        <v>5</v>
      </c>
      <c r="ADB73">
        <v>-1</v>
      </c>
      <c r="ADC73">
        <v>3</v>
      </c>
      <c r="ADF73">
        <v>1</v>
      </c>
      <c r="ADJ73">
        <v>3</v>
      </c>
      <c r="ADK73">
        <v>3</v>
      </c>
      <c r="ADL73">
        <v>3</v>
      </c>
      <c r="ADP73">
        <v>-1</v>
      </c>
    </row>
    <row r="74" spans="1:796">
      <c r="A74" t="s">
        <v>4504</v>
      </c>
      <c r="B74">
        <v>74</v>
      </c>
      <c r="C74" t="s">
        <v>4324</v>
      </c>
      <c r="D74">
        <v>6</v>
      </c>
      <c r="N74" t="s">
        <v>4662</v>
      </c>
      <c r="Y74" t="s">
        <v>4815</v>
      </c>
      <c r="AB74" t="s">
        <v>4662</v>
      </c>
      <c r="AC74" t="s">
        <v>4766</v>
      </c>
      <c r="AJ74" t="s">
        <v>4766</v>
      </c>
      <c r="AQ74" t="s">
        <v>4662</v>
      </c>
      <c r="BF74" t="s">
        <v>4662</v>
      </c>
      <c r="BQ74" t="s">
        <v>4662</v>
      </c>
      <c r="BU74" t="s">
        <v>4662</v>
      </c>
      <c r="BV74" t="s">
        <v>4662</v>
      </c>
      <c r="CJ74" t="s">
        <v>4662</v>
      </c>
      <c r="CP74" t="s">
        <v>4766</v>
      </c>
      <c r="CQ74" t="s">
        <v>4815</v>
      </c>
      <c r="CX74" t="s">
        <v>4662</v>
      </c>
      <c r="DB74" t="s">
        <v>4662</v>
      </c>
      <c r="DJ74" t="s">
        <v>4815</v>
      </c>
      <c r="DN74" t="s">
        <v>4662</v>
      </c>
      <c r="DY74" t="s">
        <v>4662</v>
      </c>
      <c r="EA74" t="s">
        <v>4662</v>
      </c>
      <c r="ED74" t="s">
        <v>4815</v>
      </c>
      <c r="EI74" t="s">
        <v>4766</v>
      </c>
      <c r="EJ74" t="s">
        <v>4815</v>
      </c>
      <c r="EK74" t="s">
        <v>4766</v>
      </c>
      <c r="EM74" t="s">
        <v>4815</v>
      </c>
      <c r="EN74" t="s">
        <v>4815</v>
      </c>
      <c r="EP74" t="s">
        <v>4766</v>
      </c>
      <c r="EQ74" t="s">
        <v>4662</v>
      </c>
      <c r="EZ74" t="s">
        <v>4766</v>
      </c>
      <c r="FE74" t="s">
        <v>4662</v>
      </c>
      <c r="FH74" t="s">
        <v>4662</v>
      </c>
      <c r="FL74" t="s">
        <v>4815</v>
      </c>
      <c r="FM74" t="s">
        <v>4815</v>
      </c>
      <c r="FU74" t="s">
        <v>4662</v>
      </c>
      <c r="GH74" t="s">
        <v>4662</v>
      </c>
      <c r="GP74" t="s">
        <v>4815</v>
      </c>
      <c r="GS74" t="s">
        <v>4766</v>
      </c>
      <c r="GX74" t="s">
        <v>4662</v>
      </c>
      <c r="HL74" t="s">
        <v>4662</v>
      </c>
      <c r="IA74" t="s">
        <v>4662</v>
      </c>
      <c r="IH74" t="s">
        <v>4815</v>
      </c>
      <c r="IP74" t="s">
        <v>4662</v>
      </c>
      <c r="IT74" t="s">
        <v>4662</v>
      </c>
      <c r="IX74" t="s">
        <v>4815</v>
      </c>
      <c r="IZ74" t="s">
        <v>4815</v>
      </c>
      <c r="JB74" t="s">
        <v>4662</v>
      </c>
      <c r="JE74" t="s">
        <v>4662</v>
      </c>
      <c r="JP74" t="s">
        <v>4662</v>
      </c>
      <c r="JS74" t="s">
        <v>4662</v>
      </c>
      <c r="JT74" t="s">
        <v>4662</v>
      </c>
      <c r="JY74" t="s">
        <v>4766</v>
      </c>
      <c r="KH74" t="s">
        <v>4662</v>
      </c>
      <c r="KN74" t="s">
        <v>4815</v>
      </c>
      <c r="KW74" t="s">
        <v>4662</v>
      </c>
      <c r="LH74" t="s">
        <v>4766</v>
      </c>
      <c r="LK74" t="s">
        <v>4662</v>
      </c>
      <c r="LX74" t="s">
        <v>4815</v>
      </c>
      <c r="LZ74" t="s">
        <v>4815</v>
      </c>
      <c r="MA74" t="s">
        <v>4662</v>
      </c>
      <c r="MB74" t="s">
        <v>4815</v>
      </c>
      <c r="MC74" t="s">
        <v>4766</v>
      </c>
      <c r="MD74" t="s">
        <v>4662</v>
      </c>
      <c r="MO74" t="s">
        <v>4662</v>
      </c>
      <c r="MP74" t="s">
        <v>4766</v>
      </c>
      <c r="MT74" t="s">
        <v>4815</v>
      </c>
      <c r="MU74" t="s">
        <v>4815</v>
      </c>
      <c r="ND74" t="s">
        <v>4662</v>
      </c>
      <c r="NR74" t="s">
        <v>4662</v>
      </c>
      <c r="NZ74" t="s">
        <v>4815</v>
      </c>
      <c r="OD74" t="s">
        <v>4766</v>
      </c>
      <c r="OH74" t="s">
        <v>4662</v>
      </c>
      <c r="OK74" t="s">
        <v>4766</v>
      </c>
      <c r="OV74" t="s">
        <v>4662</v>
      </c>
      <c r="PH74" t="s">
        <v>4662</v>
      </c>
      <c r="PK74" t="s">
        <v>4662</v>
      </c>
      <c r="PL74" t="s">
        <v>4662</v>
      </c>
      <c r="PM74" t="s">
        <v>4662</v>
      </c>
      <c r="PZ74" t="s">
        <v>4662</v>
      </c>
      <c r="QB74" t="s">
        <v>4766</v>
      </c>
      <c r="QC74" t="s">
        <v>4815</v>
      </c>
      <c r="QO74" t="s">
        <v>4662</v>
      </c>
      <c r="QR74" t="s">
        <v>4662</v>
      </c>
      <c r="QY74" t="s">
        <v>4815</v>
      </c>
      <c r="RD74" t="s">
        <v>4662</v>
      </c>
      <c r="RK74" t="s">
        <v>4815</v>
      </c>
      <c r="RP74" t="s">
        <v>4662</v>
      </c>
      <c r="RR74" t="s">
        <v>4662</v>
      </c>
      <c r="RU74" t="s">
        <v>4766</v>
      </c>
      <c r="RV74" t="s">
        <v>4815</v>
      </c>
      <c r="RW74" t="s">
        <v>4766</v>
      </c>
      <c r="SG74" t="s">
        <v>4662</v>
      </c>
      <c r="SN74" t="s">
        <v>4815</v>
      </c>
      <c r="SO74" t="s">
        <v>4815</v>
      </c>
      <c r="SQ74" t="s">
        <v>4766</v>
      </c>
      <c r="SR74" t="s">
        <v>4815</v>
      </c>
      <c r="SU74" t="s">
        <v>4662</v>
      </c>
      <c r="SX74" t="s">
        <v>4662</v>
      </c>
      <c r="TA74" t="s">
        <v>4766</v>
      </c>
      <c r="TK74" t="s">
        <v>4662</v>
      </c>
      <c r="TM74" t="s">
        <v>4815</v>
      </c>
      <c r="TY74" t="s">
        <v>4662</v>
      </c>
      <c r="UE74" t="s">
        <v>4766</v>
      </c>
      <c r="UO74" t="s">
        <v>4662</v>
      </c>
      <c r="UQ74" t="s">
        <v>4815</v>
      </c>
      <c r="UY74" t="s">
        <v>4815</v>
      </c>
      <c r="VB74" t="s">
        <v>4662</v>
      </c>
      <c r="VR74" t="s">
        <v>4662</v>
      </c>
      <c r="WF74" t="s">
        <v>4662</v>
      </c>
      <c r="WI74" t="s">
        <v>4815</v>
      </c>
      <c r="WU74" t="s">
        <v>4662</v>
      </c>
      <c r="WY74" t="s">
        <v>4815</v>
      </c>
      <c r="WZ74" t="s">
        <v>4815</v>
      </c>
      <c r="XI74" t="s">
        <v>4662</v>
      </c>
      <c r="XN74" t="s">
        <v>4662</v>
      </c>
      <c r="XV74" t="s">
        <v>4662</v>
      </c>
      <c r="XY74" t="s">
        <v>4662</v>
      </c>
      <c r="XZ74" t="s">
        <v>4766</v>
      </c>
      <c r="YJ74" t="s">
        <v>4662</v>
      </c>
      <c r="YM74" t="s">
        <v>4662</v>
      </c>
      <c r="YN74" t="s">
        <v>4662</v>
      </c>
      <c r="YO74" t="s">
        <v>4815</v>
      </c>
      <c r="YX74" t="s">
        <v>4815</v>
      </c>
      <c r="ZB74" t="s">
        <v>4662</v>
      </c>
      <c r="ZI74" t="s">
        <v>4766</v>
      </c>
      <c r="ZL74" t="s">
        <v>4815</v>
      </c>
      <c r="ZQ74" t="s">
        <v>4662</v>
      </c>
      <c r="ZY74" t="s">
        <v>4815</v>
      </c>
      <c r="AAA74" t="s">
        <v>4815</v>
      </c>
      <c r="AAC74" t="s">
        <v>4815</v>
      </c>
      <c r="AAD74" t="s">
        <v>4766</v>
      </c>
      <c r="AAE74" t="s">
        <v>4662</v>
      </c>
      <c r="AAQ74" t="s">
        <v>4766</v>
      </c>
      <c r="AAU74" t="s">
        <v>4662</v>
      </c>
      <c r="AAV74" t="s">
        <v>4815</v>
      </c>
      <c r="AAX74" t="s">
        <v>4662</v>
      </c>
      <c r="ABI74" t="s">
        <v>4662</v>
      </c>
      <c r="ABX74" t="s">
        <v>4662</v>
      </c>
      <c r="ACA74" t="s">
        <v>4815</v>
      </c>
      <c r="ACE74" t="s">
        <v>4766</v>
      </c>
      <c r="ACL74" t="s">
        <v>4766</v>
      </c>
      <c r="ADB74" t="s">
        <v>4662</v>
      </c>
      <c r="ADP74" t="s">
        <v>4662</v>
      </c>
    </row>
    <row r="75" spans="1:796">
      <c r="A75" t="s">
        <v>4330</v>
      </c>
      <c r="B75">
        <v>75</v>
      </c>
      <c r="C75" t="s">
        <v>4279</v>
      </c>
      <c r="D75">
        <v>20</v>
      </c>
      <c r="E75" t="s">
        <v>4814</v>
      </c>
      <c r="I75" t="s">
        <v>4693</v>
      </c>
      <c r="N75" t="s">
        <v>4500</v>
      </c>
      <c r="O75" t="s">
        <v>5218</v>
      </c>
      <c r="Q75" t="s">
        <v>3870</v>
      </c>
      <c r="R75" t="s">
        <v>4803</v>
      </c>
      <c r="T75" t="s">
        <v>5220</v>
      </c>
      <c r="U75" t="s">
        <v>5001</v>
      </c>
      <c r="Y75" t="s">
        <v>165</v>
      </c>
      <c r="AB75" t="s">
        <v>4500</v>
      </c>
      <c r="AC75" t="s">
        <v>5222</v>
      </c>
      <c r="AD75" t="s">
        <v>5005</v>
      </c>
      <c r="AG75" t="s">
        <v>5009</v>
      </c>
      <c r="AJ75" t="s">
        <v>5011</v>
      </c>
      <c r="AQ75" t="s">
        <v>4500</v>
      </c>
      <c r="AR75" t="s">
        <v>5223</v>
      </c>
      <c r="AU75" t="s">
        <v>4719</v>
      </c>
      <c r="AV75" t="s">
        <v>4804</v>
      </c>
      <c r="AW75" t="s">
        <v>4718</v>
      </c>
      <c r="AY75" t="s">
        <v>5017</v>
      </c>
      <c r="AZ75" t="s">
        <v>5021</v>
      </c>
      <c r="BA75" t="s">
        <v>5023</v>
      </c>
      <c r="BF75" t="s">
        <v>4500</v>
      </c>
      <c r="BG75" t="s">
        <v>5227</v>
      </c>
      <c r="BO75" t="s">
        <v>4721</v>
      </c>
      <c r="BQ75" t="s">
        <v>5035</v>
      </c>
      <c r="BR75" t="s">
        <v>4723</v>
      </c>
      <c r="BS75" t="s">
        <v>5037</v>
      </c>
      <c r="BT75" t="s">
        <v>5039</v>
      </c>
      <c r="BU75" t="s">
        <v>4500</v>
      </c>
      <c r="BV75" t="s">
        <v>5241</v>
      </c>
      <c r="BX75" t="s">
        <v>4724</v>
      </c>
      <c r="BY75" t="s">
        <v>4805</v>
      </c>
      <c r="CA75" t="s">
        <v>5243</v>
      </c>
      <c r="CC75" t="s">
        <v>5043</v>
      </c>
      <c r="CJ75" t="s">
        <v>4500</v>
      </c>
      <c r="CK75" t="s">
        <v>5245</v>
      </c>
      <c r="CM75" t="s">
        <v>4726</v>
      </c>
      <c r="CO75" t="s">
        <v>5049</v>
      </c>
      <c r="CP75" t="s">
        <v>4431</v>
      </c>
      <c r="CQ75" t="s">
        <v>4432</v>
      </c>
      <c r="CR75" t="s">
        <v>5053</v>
      </c>
      <c r="CX75" t="s">
        <v>4500</v>
      </c>
      <c r="CY75" t="s">
        <v>5247</v>
      </c>
      <c r="DB75" t="s">
        <v>3873</v>
      </c>
      <c r="DC75" t="s">
        <v>3877</v>
      </c>
      <c r="DD75" t="s">
        <v>5249</v>
      </c>
      <c r="DJ75" t="s">
        <v>5057</v>
      </c>
      <c r="DN75" t="s">
        <v>4500</v>
      </c>
      <c r="DO75" t="s">
        <v>5252</v>
      </c>
      <c r="DV75" t="s">
        <v>5061</v>
      </c>
      <c r="DY75" t="s">
        <v>3876</v>
      </c>
      <c r="EA75" t="s">
        <v>4500</v>
      </c>
      <c r="EB75" t="s">
        <v>5254</v>
      </c>
      <c r="ED75" t="s">
        <v>755</v>
      </c>
      <c r="EE75" t="s">
        <v>4729</v>
      </c>
      <c r="EF75" t="s">
        <v>4807</v>
      </c>
      <c r="EI75" t="s">
        <v>3879</v>
      </c>
      <c r="EJ75" t="s">
        <v>756</v>
      </c>
      <c r="EK75" t="s">
        <v>4428</v>
      </c>
      <c r="EM75" t="s">
        <v>4890</v>
      </c>
      <c r="EN75" t="s">
        <v>5418</v>
      </c>
      <c r="EP75" t="s">
        <v>4892</v>
      </c>
      <c r="EQ75" t="s">
        <v>4500</v>
      </c>
      <c r="ER75" t="s">
        <v>5207</v>
      </c>
      <c r="EU75" t="s">
        <v>4894</v>
      </c>
      <c r="EW75" t="s">
        <v>3856</v>
      </c>
      <c r="EZ75" t="s">
        <v>540</v>
      </c>
      <c r="FA75" t="s">
        <v>4733</v>
      </c>
      <c r="FC75" t="s">
        <v>4896</v>
      </c>
      <c r="FE75" t="s">
        <v>4500</v>
      </c>
      <c r="FF75" t="s">
        <v>5209</v>
      </c>
      <c r="FG75" t="s">
        <v>4902</v>
      </c>
      <c r="FH75" t="s">
        <v>3857</v>
      </c>
      <c r="FI75" t="s">
        <v>4735</v>
      </c>
      <c r="FJ75" t="s">
        <v>4808</v>
      </c>
      <c r="FL75" t="s">
        <v>5420</v>
      </c>
      <c r="FM75" t="s">
        <v>3880</v>
      </c>
      <c r="FN75" t="s">
        <v>4909</v>
      </c>
      <c r="FU75" t="s">
        <v>4500</v>
      </c>
      <c r="FV75" t="s">
        <v>5263</v>
      </c>
      <c r="GG75" t="s">
        <v>4913</v>
      </c>
      <c r="GH75" t="s">
        <v>4500</v>
      </c>
      <c r="GI75" t="s">
        <v>5265</v>
      </c>
      <c r="GJ75" t="s">
        <v>4738</v>
      </c>
      <c r="GM75" t="s">
        <v>4739</v>
      </c>
      <c r="GN75" t="s">
        <v>4921</v>
      </c>
      <c r="GP75" t="s">
        <v>757</v>
      </c>
      <c r="GR75" t="s">
        <v>4923</v>
      </c>
      <c r="GS75" t="s">
        <v>5267</v>
      </c>
      <c r="GW75" t="s">
        <v>4925</v>
      </c>
      <c r="GX75" t="s">
        <v>4500</v>
      </c>
      <c r="GY75" t="s">
        <v>5268</v>
      </c>
      <c r="HA75" t="s">
        <v>4927</v>
      </c>
      <c r="HB75" t="s">
        <v>4741</v>
      </c>
      <c r="HC75" t="s">
        <v>4742</v>
      </c>
      <c r="HG75" t="s">
        <v>3875</v>
      </c>
      <c r="HK75" t="s">
        <v>3874</v>
      </c>
      <c r="HL75" t="s">
        <v>4500</v>
      </c>
      <c r="HM75" t="s">
        <v>5271</v>
      </c>
      <c r="HP75" t="s">
        <v>4744</v>
      </c>
      <c r="HQ75" t="s">
        <v>4810</v>
      </c>
      <c r="HV75" t="s">
        <v>4939</v>
      </c>
      <c r="HX75" t="s">
        <v>4941</v>
      </c>
      <c r="HY75" t="s">
        <v>3858</v>
      </c>
      <c r="IA75" t="s">
        <v>4500</v>
      </c>
      <c r="IB75" t="s">
        <v>5213</v>
      </c>
      <c r="IH75" t="s">
        <v>4943</v>
      </c>
      <c r="IP75" t="s">
        <v>4500</v>
      </c>
      <c r="IQ75" t="s">
        <v>5276</v>
      </c>
      <c r="IS75" t="s">
        <v>5165</v>
      </c>
      <c r="IT75" t="s">
        <v>3860</v>
      </c>
      <c r="IU75" t="s">
        <v>3861</v>
      </c>
      <c r="IX75" t="s">
        <v>5422</v>
      </c>
      <c r="IZ75" t="s">
        <v>4441</v>
      </c>
      <c r="JB75" t="s">
        <v>3872</v>
      </c>
      <c r="JC75" t="s">
        <v>4748</v>
      </c>
      <c r="JD75" t="s">
        <v>5278</v>
      </c>
      <c r="JE75" t="s">
        <v>4500</v>
      </c>
      <c r="JF75" t="s">
        <v>5280</v>
      </c>
      <c r="JM75" t="s">
        <v>4953</v>
      </c>
      <c r="JN75" t="s">
        <v>4749</v>
      </c>
      <c r="JP75" t="s">
        <v>3862</v>
      </c>
      <c r="JS75" t="s">
        <v>4500</v>
      </c>
      <c r="JT75" t="s">
        <v>5282</v>
      </c>
      <c r="JU75" t="s">
        <v>4957</v>
      </c>
      <c r="JV75" t="s">
        <v>4750</v>
      </c>
      <c r="JW75" t="s">
        <v>4751</v>
      </c>
      <c r="JX75" t="s">
        <v>4812</v>
      </c>
      <c r="JY75" t="s">
        <v>541</v>
      </c>
      <c r="KD75" t="s">
        <v>3865</v>
      </c>
      <c r="KH75" t="s">
        <v>4500</v>
      </c>
      <c r="KI75" t="s">
        <v>5286</v>
      </c>
      <c r="KN75" t="s">
        <v>164</v>
      </c>
      <c r="KS75" t="s">
        <v>4753</v>
      </c>
      <c r="KV75" t="s">
        <v>4754</v>
      </c>
      <c r="KW75" t="s">
        <v>4500</v>
      </c>
      <c r="KX75" t="s">
        <v>5288</v>
      </c>
      <c r="KZ75" t="s">
        <v>5190</v>
      </c>
      <c r="LA75" t="s">
        <v>4755</v>
      </c>
      <c r="LB75" t="s">
        <v>4813</v>
      </c>
      <c r="LF75" t="s">
        <v>4971</v>
      </c>
      <c r="LH75" t="s">
        <v>3866</v>
      </c>
      <c r="LI75" t="s">
        <v>4973</v>
      </c>
      <c r="LK75" t="s">
        <v>4500</v>
      </c>
      <c r="LL75" t="s">
        <v>5290</v>
      </c>
      <c r="LM75" t="s">
        <v>5292</v>
      </c>
      <c r="LO75" t="s">
        <v>4759</v>
      </c>
      <c r="LP75" t="s">
        <v>4760</v>
      </c>
      <c r="LQ75" t="s">
        <v>4977</v>
      </c>
      <c r="LS75" t="s">
        <v>4979</v>
      </c>
      <c r="LX75" t="s">
        <v>4762</v>
      </c>
      <c r="LY75" t="s">
        <v>4763</v>
      </c>
      <c r="LZ75" t="s">
        <v>5426</v>
      </c>
      <c r="MA75" t="s">
        <v>4500</v>
      </c>
      <c r="MB75" t="s">
        <v>5294</v>
      </c>
      <c r="MC75" t="s">
        <v>758</v>
      </c>
      <c r="MD75" t="s">
        <v>4989</v>
      </c>
      <c r="ME75" t="s">
        <v>4764</v>
      </c>
      <c r="MN75" t="s">
        <v>4995</v>
      </c>
      <c r="MO75" t="s">
        <v>4500</v>
      </c>
      <c r="MP75" t="s">
        <v>5299</v>
      </c>
      <c r="MQ75" t="s">
        <v>5300</v>
      </c>
      <c r="MT75" t="s">
        <v>5428</v>
      </c>
      <c r="MU75" t="s">
        <v>5429</v>
      </c>
      <c r="MY75" t="s">
        <v>4693</v>
      </c>
      <c r="ND75" t="s">
        <v>4500</v>
      </c>
      <c r="NE75" t="s">
        <v>5302</v>
      </c>
      <c r="NH75" t="s">
        <v>3870</v>
      </c>
      <c r="NI75" t="s">
        <v>4803</v>
      </c>
      <c r="NK75" t="s">
        <v>5001</v>
      </c>
      <c r="NR75" t="s">
        <v>4500</v>
      </c>
      <c r="NS75" t="s">
        <v>5304</v>
      </c>
      <c r="NT75" t="s">
        <v>5005</v>
      </c>
      <c r="NU75" t="s">
        <v>5306</v>
      </c>
      <c r="NW75" t="s">
        <v>5009</v>
      </c>
      <c r="NZ75" t="s">
        <v>5011</v>
      </c>
      <c r="OD75" t="s">
        <v>543</v>
      </c>
      <c r="OH75" t="s">
        <v>4500</v>
      </c>
      <c r="OI75" t="s">
        <v>5308</v>
      </c>
      <c r="OK75" t="s">
        <v>4719</v>
      </c>
      <c r="OL75" t="s">
        <v>4804</v>
      </c>
      <c r="OP75" t="s">
        <v>5017</v>
      </c>
      <c r="OQ75" t="s">
        <v>5021</v>
      </c>
      <c r="OR75" t="s">
        <v>5023</v>
      </c>
      <c r="OV75" t="s">
        <v>4500</v>
      </c>
      <c r="OW75" t="s">
        <v>5310</v>
      </c>
      <c r="OX75" t="s">
        <v>4718</v>
      </c>
      <c r="PF75" t="s">
        <v>4721</v>
      </c>
      <c r="PH75" t="s">
        <v>5035</v>
      </c>
      <c r="PI75" t="s">
        <v>4723</v>
      </c>
      <c r="PJ75" t="s">
        <v>5037</v>
      </c>
      <c r="PK75" t="s">
        <v>4500</v>
      </c>
      <c r="PL75" t="s">
        <v>5315</v>
      </c>
      <c r="PM75" t="s">
        <v>4216</v>
      </c>
      <c r="PO75" t="s">
        <v>4724</v>
      </c>
      <c r="PP75" t="s">
        <v>4805</v>
      </c>
      <c r="PS75" t="s">
        <v>5043</v>
      </c>
      <c r="PZ75" t="s">
        <v>4500</v>
      </c>
      <c r="QA75" t="s">
        <v>5317</v>
      </c>
      <c r="QB75" t="s">
        <v>5319</v>
      </c>
      <c r="QC75" t="s">
        <v>4726</v>
      </c>
      <c r="QE75" t="s">
        <v>5049</v>
      </c>
      <c r="QH75" t="s">
        <v>5053</v>
      </c>
      <c r="QO75" t="s">
        <v>4500</v>
      </c>
      <c r="QP75" t="s">
        <v>5320</v>
      </c>
      <c r="QR75" t="s">
        <v>3873</v>
      </c>
      <c r="QS75" t="s">
        <v>3877</v>
      </c>
      <c r="QY75" t="s">
        <v>5416</v>
      </c>
      <c r="QZ75" t="s">
        <v>5057</v>
      </c>
      <c r="RD75" t="s">
        <v>4500</v>
      </c>
      <c r="RE75" t="s">
        <v>5117</v>
      </c>
      <c r="RF75" t="s">
        <v>5325</v>
      </c>
      <c r="RK75" t="s">
        <v>162</v>
      </c>
      <c r="RM75" t="s">
        <v>5061</v>
      </c>
      <c r="RP75" t="s">
        <v>3876</v>
      </c>
      <c r="RR75" t="s">
        <v>4500</v>
      </c>
      <c r="RS75" t="s">
        <v>5327</v>
      </c>
      <c r="RU75" t="s">
        <v>544</v>
      </c>
      <c r="RV75" t="s">
        <v>4729</v>
      </c>
      <c r="RW75" t="s">
        <v>4807</v>
      </c>
      <c r="SC75" t="s">
        <v>4890</v>
      </c>
      <c r="SF75" t="s">
        <v>4892</v>
      </c>
      <c r="SG75" t="s">
        <v>4500</v>
      </c>
      <c r="SH75" t="s">
        <v>5329</v>
      </c>
      <c r="SJ75" t="s">
        <v>3879</v>
      </c>
      <c r="SK75" t="s">
        <v>4894</v>
      </c>
      <c r="SN75" t="s">
        <v>3856</v>
      </c>
      <c r="SO75" t="s">
        <v>5418</v>
      </c>
      <c r="SQ75" t="s">
        <v>539</v>
      </c>
      <c r="SR75" t="s">
        <v>4733</v>
      </c>
      <c r="ST75" t="s">
        <v>4896</v>
      </c>
      <c r="SU75" t="s">
        <v>4500</v>
      </c>
      <c r="SV75" t="s">
        <v>5333</v>
      </c>
      <c r="SW75" t="s">
        <v>4902</v>
      </c>
      <c r="SX75" t="s">
        <v>3857</v>
      </c>
      <c r="SY75" t="s">
        <v>4735</v>
      </c>
      <c r="SZ75" t="s">
        <v>4808</v>
      </c>
      <c r="TA75" t="s">
        <v>540</v>
      </c>
      <c r="TD75" t="s">
        <v>4909</v>
      </c>
      <c r="TK75" t="s">
        <v>4500</v>
      </c>
      <c r="TL75" t="s">
        <v>5209</v>
      </c>
      <c r="TM75" t="s">
        <v>5420</v>
      </c>
      <c r="TN75" t="s">
        <v>3880</v>
      </c>
      <c r="TO75" t="s">
        <v>5336</v>
      </c>
      <c r="TP75" t="s">
        <v>5148</v>
      </c>
      <c r="TY75" t="s">
        <v>4500</v>
      </c>
      <c r="TZ75" t="s">
        <v>5338</v>
      </c>
      <c r="UE75" t="s">
        <v>759</v>
      </c>
      <c r="UO75" t="s">
        <v>4500</v>
      </c>
      <c r="UP75" t="s">
        <v>5144</v>
      </c>
      <c r="UQ75" t="s">
        <v>757</v>
      </c>
      <c r="US75" t="s">
        <v>5341</v>
      </c>
      <c r="UT75" t="s">
        <v>5343</v>
      </c>
      <c r="UY75" t="s">
        <v>163</v>
      </c>
      <c r="VA75" t="s">
        <v>4913</v>
      </c>
      <c r="VB75" t="s">
        <v>4500</v>
      </c>
      <c r="VC75" t="s">
        <v>5345</v>
      </c>
      <c r="VD75" t="s">
        <v>4738</v>
      </c>
      <c r="VF75" t="s">
        <v>4739</v>
      </c>
      <c r="VG75" t="s">
        <v>4921</v>
      </c>
      <c r="VL75" t="s">
        <v>4923</v>
      </c>
      <c r="VQ75" t="s">
        <v>4925</v>
      </c>
      <c r="VR75" t="s">
        <v>4500</v>
      </c>
      <c r="VS75" t="s">
        <v>5213</v>
      </c>
      <c r="VU75" t="s">
        <v>4927</v>
      </c>
      <c r="VV75" t="s">
        <v>4741</v>
      </c>
      <c r="VW75" t="s">
        <v>4742</v>
      </c>
      <c r="VZ75" t="s">
        <v>5347</v>
      </c>
      <c r="WA75" t="s">
        <v>3875</v>
      </c>
      <c r="WE75" t="s">
        <v>3874</v>
      </c>
      <c r="WF75" t="s">
        <v>4500</v>
      </c>
      <c r="WG75" t="s">
        <v>5213</v>
      </c>
      <c r="WI75" t="s">
        <v>5421</v>
      </c>
      <c r="WJ75" t="s">
        <v>4744</v>
      </c>
      <c r="WK75" t="s">
        <v>4810</v>
      </c>
      <c r="WO75" t="s">
        <v>4939</v>
      </c>
      <c r="WR75" t="s">
        <v>4941</v>
      </c>
      <c r="WS75" t="s">
        <v>3858</v>
      </c>
      <c r="WU75" t="s">
        <v>4500</v>
      </c>
      <c r="WV75" t="s">
        <v>5349</v>
      </c>
      <c r="WY75" t="s">
        <v>5422</v>
      </c>
      <c r="WZ75" t="s">
        <v>4441</v>
      </c>
      <c r="XB75" t="s">
        <v>4943</v>
      </c>
      <c r="XE75" t="s">
        <v>5351</v>
      </c>
      <c r="XI75" t="s">
        <v>4500</v>
      </c>
      <c r="XJ75" t="s">
        <v>5353</v>
      </c>
      <c r="XM75" t="s">
        <v>5165</v>
      </c>
      <c r="XN75" t="s">
        <v>3860</v>
      </c>
      <c r="XO75" t="s">
        <v>3861</v>
      </c>
      <c r="XV75" t="s">
        <v>3872</v>
      </c>
      <c r="XW75" t="s">
        <v>4748</v>
      </c>
      <c r="XY75" t="s">
        <v>4500</v>
      </c>
      <c r="XZ75" t="s">
        <v>5355</v>
      </c>
      <c r="YG75" t="s">
        <v>4953</v>
      </c>
      <c r="YH75" t="s">
        <v>4749</v>
      </c>
      <c r="YJ75" t="s">
        <v>3862</v>
      </c>
      <c r="YM75" t="s">
        <v>4500</v>
      </c>
      <c r="YN75" t="s">
        <v>5358</v>
      </c>
      <c r="YO75" t="s">
        <v>4957</v>
      </c>
      <c r="YP75" t="s">
        <v>4750</v>
      </c>
      <c r="YQ75" t="s">
        <v>4751</v>
      </c>
      <c r="YR75" t="s">
        <v>4812</v>
      </c>
      <c r="YX75" t="s">
        <v>3865</v>
      </c>
      <c r="ZB75" t="s">
        <v>4500</v>
      </c>
      <c r="ZC75" t="s">
        <v>5360</v>
      </c>
      <c r="ZI75" t="s">
        <v>5430</v>
      </c>
      <c r="ZL75" t="s">
        <v>4753</v>
      </c>
      <c r="ZN75" t="s">
        <v>5362</v>
      </c>
      <c r="ZP75" t="s">
        <v>4754</v>
      </c>
      <c r="ZQ75" t="s">
        <v>4500</v>
      </c>
      <c r="ZR75" t="s">
        <v>5364</v>
      </c>
      <c r="ZT75" t="s">
        <v>5190</v>
      </c>
      <c r="ZU75" t="s">
        <v>4755</v>
      </c>
      <c r="ZV75" t="s">
        <v>4813</v>
      </c>
      <c r="ZY75" t="s">
        <v>5425</v>
      </c>
      <c r="ZZ75" t="s">
        <v>4971</v>
      </c>
      <c r="AAA75" t="s">
        <v>5426</v>
      </c>
      <c r="AAB75" t="s">
        <v>3866</v>
      </c>
      <c r="AAC75" t="s">
        <v>4973</v>
      </c>
      <c r="AAD75" t="s">
        <v>758</v>
      </c>
      <c r="AAE75" t="s">
        <v>4500</v>
      </c>
      <c r="AAF75" t="s">
        <v>5366</v>
      </c>
      <c r="AAI75" t="s">
        <v>4759</v>
      </c>
      <c r="AAJ75" t="s">
        <v>4760</v>
      </c>
      <c r="AAK75" t="s">
        <v>4977</v>
      </c>
      <c r="AAM75" t="s">
        <v>4979</v>
      </c>
      <c r="AAQ75" t="s">
        <v>4762</v>
      </c>
      <c r="AAR75" t="s">
        <v>4763</v>
      </c>
      <c r="AAU75" t="s">
        <v>4500</v>
      </c>
      <c r="AAV75" t="s">
        <v>5370</v>
      </c>
      <c r="AAW75" t="s">
        <v>5203</v>
      </c>
      <c r="AAX75" t="s">
        <v>4989</v>
      </c>
      <c r="AAY75" t="s">
        <v>3868</v>
      </c>
      <c r="ABI75" t="s">
        <v>4500</v>
      </c>
      <c r="ABJ75" t="s">
        <v>5374</v>
      </c>
      <c r="ABS75" t="s">
        <v>4693</v>
      </c>
      <c r="ABV75" t="s">
        <v>5376</v>
      </c>
      <c r="ABX75" t="s">
        <v>4500</v>
      </c>
      <c r="ABY75" t="s">
        <v>5378</v>
      </c>
      <c r="ACA75" t="s">
        <v>165</v>
      </c>
      <c r="ACB75" t="s">
        <v>3870</v>
      </c>
      <c r="ACC75" t="s">
        <v>4803</v>
      </c>
      <c r="ACE75" t="s">
        <v>543</v>
      </c>
      <c r="ACF75" t="s">
        <v>5001</v>
      </c>
      <c r="ACL75" t="s">
        <v>4500</v>
      </c>
      <c r="ACM75" t="s">
        <v>5380</v>
      </c>
      <c r="ACN75" t="s">
        <v>5005</v>
      </c>
      <c r="ACQ75" t="s">
        <v>5009</v>
      </c>
      <c r="ACS75" t="s">
        <v>5011</v>
      </c>
      <c r="ACY75" t="s">
        <v>4718</v>
      </c>
      <c r="ADB75" t="s">
        <v>4500</v>
      </c>
      <c r="ADC75" t="s">
        <v>5384</v>
      </c>
      <c r="ADF75" t="s">
        <v>4719</v>
      </c>
      <c r="ADJ75" t="s">
        <v>5017</v>
      </c>
      <c r="ADK75" t="s">
        <v>5021</v>
      </c>
      <c r="ADL75" t="s">
        <v>5023</v>
      </c>
      <c r="ADP75" t="s">
        <v>4500</v>
      </c>
    </row>
    <row r="76" spans="1:796">
      <c r="A76" t="s">
        <v>4331</v>
      </c>
      <c r="B76">
        <v>76</v>
      </c>
      <c r="C76" t="s">
        <v>4278</v>
      </c>
      <c r="D76">
        <v>21</v>
      </c>
      <c r="E76">
        <v>0</v>
      </c>
      <c r="I76">
        <v>1</v>
      </c>
      <c r="N76">
        <v>0</v>
      </c>
      <c r="O76">
        <v>0</v>
      </c>
      <c r="Q76">
        <v>1</v>
      </c>
      <c r="R76">
        <v>0</v>
      </c>
      <c r="T76">
        <v>0</v>
      </c>
      <c r="U76">
        <v>2</v>
      </c>
      <c r="Y76">
        <v>0.5</v>
      </c>
      <c r="AB76">
        <v>0</v>
      </c>
      <c r="AC76">
        <v>0</v>
      </c>
      <c r="AD76">
        <v>3</v>
      </c>
      <c r="AG76">
        <v>3</v>
      </c>
      <c r="AJ76">
        <v>3</v>
      </c>
      <c r="AQ76">
        <v>0</v>
      </c>
      <c r="AR76">
        <v>0</v>
      </c>
      <c r="AU76">
        <v>1</v>
      </c>
      <c r="AV76">
        <v>0</v>
      </c>
      <c r="AW76">
        <v>5</v>
      </c>
      <c r="AY76">
        <v>3</v>
      </c>
      <c r="AZ76">
        <v>3</v>
      </c>
      <c r="BA76">
        <v>3</v>
      </c>
      <c r="BF76">
        <v>0</v>
      </c>
      <c r="BG76">
        <v>0</v>
      </c>
      <c r="BO76">
        <v>1</v>
      </c>
      <c r="BQ76">
        <v>0</v>
      </c>
      <c r="BR76">
        <v>1</v>
      </c>
      <c r="BS76">
        <v>3</v>
      </c>
      <c r="BT76">
        <v>3</v>
      </c>
      <c r="BU76">
        <v>0</v>
      </c>
      <c r="BV76">
        <v>0</v>
      </c>
      <c r="BX76">
        <v>1</v>
      </c>
      <c r="BY76">
        <v>0</v>
      </c>
      <c r="CA76">
        <v>0</v>
      </c>
      <c r="CC76">
        <v>3</v>
      </c>
      <c r="CJ76">
        <v>0</v>
      </c>
      <c r="CK76">
        <v>0</v>
      </c>
      <c r="CM76">
        <v>1</v>
      </c>
      <c r="CO76">
        <v>2</v>
      </c>
      <c r="CP76">
        <v>-11</v>
      </c>
      <c r="CQ76">
        <v>0.5</v>
      </c>
      <c r="CR76">
        <v>3</v>
      </c>
      <c r="CX76">
        <v>0</v>
      </c>
      <c r="CY76">
        <v>0</v>
      </c>
      <c r="DB76">
        <v>0</v>
      </c>
      <c r="DC76">
        <v>1</v>
      </c>
      <c r="DD76">
        <v>0</v>
      </c>
      <c r="DJ76">
        <v>3</v>
      </c>
      <c r="DN76">
        <v>0</v>
      </c>
      <c r="DO76">
        <v>0</v>
      </c>
      <c r="DV76">
        <v>3</v>
      </c>
      <c r="DY76">
        <v>0</v>
      </c>
      <c r="EA76">
        <v>0</v>
      </c>
      <c r="EB76">
        <v>0</v>
      </c>
      <c r="ED76">
        <v>0.5</v>
      </c>
      <c r="EE76">
        <v>1</v>
      </c>
      <c r="EF76">
        <v>0</v>
      </c>
      <c r="EI76">
        <v>5</v>
      </c>
      <c r="EJ76">
        <v>0.5</v>
      </c>
      <c r="EK76">
        <v>-11</v>
      </c>
      <c r="EM76">
        <v>3</v>
      </c>
      <c r="EN76">
        <v>0.5</v>
      </c>
      <c r="EP76">
        <v>3</v>
      </c>
      <c r="EQ76">
        <v>0</v>
      </c>
      <c r="ER76">
        <v>0</v>
      </c>
      <c r="EU76">
        <v>3</v>
      </c>
      <c r="EW76">
        <v>1</v>
      </c>
      <c r="EZ76">
        <v>-11</v>
      </c>
      <c r="FA76">
        <v>5</v>
      </c>
      <c r="FC76">
        <v>1</v>
      </c>
      <c r="FE76">
        <v>0</v>
      </c>
      <c r="FF76">
        <v>0</v>
      </c>
      <c r="FG76">
        <v>4</v>
      </c>
      <c r="FH76">
        <v>0</v>
      </c>
      <c r="FI76">
        <v>1</v>
      </c>
      <c r="FJ76">
        <v>0</v>
      </c>
      <c r="FL76">
        <v>0.5</v>
      </c>
      <c r="FM76">
        <v>5</v>
      </c>
      <c r="FN76">
        <v>3</v>
      </c>
      <c r="FU76">
        <v>0</v>
      </c>
      <c r="FV76">
        <v>0</v>
      </c>
      <c r="GG76">
        <v>3</v>
      </c>
      <c r="GH76">
        <v>0</v>
      </c>
      <c r="GI76">
        <v>0</v>
      </c>
      <c r="GJ76">
        <v>1</v>
      </c>
      <c r="GM76">
        <v>1</v>
      </c>
      <c r="GN76">
        <v>3</v>
      </c>
      <c r="GP76">
        <v>0.5</v>
      </c>
      <c r="GR76">
        <v>3</v>
      </c>
      <c r="GS76">
        <v>0</v>
      </c>
      <c r="GW76">
        <v>3</v>
      </c>
      <c r="GX76">
        <v>0</v>
      </c>
      <c r="GY76">
        <v>0</v>
      </c>
      <c r="HA76">
        <v>3</v>
      </c>
      <c r="HB76">
        <v>1</v>
      </c>
      <c r="HC76">
        <v>1</v>
      </c>
      <c r="HG76">
        <v>1</v>
      </c>
      <c r="HK76">
        <v>1</v>
      </c>
      <c r="HL76">
        <v>0</v>
      </c>
      <c r="HM76">
        <v>0</v>
      </c>
      <c r="HP76">
        <v>1</v>
      </c>
      <c r="HQ76">
        <v>0</v>
      </c>
      <c r="HV76">
        <v>3</v>
      </c>
      <c r="HX76">
        <v>3</v>
      </c>
      <c r="HY76">
        <v>4</v>
      </c>
      <c r="IA76">
        <v>0</v>
      </c>
      <c r="IB76">
        <v>0</v>
      </c>
      <c r="IH76">
        <v>3</v>
      </c>
      <c r="IP76">
        <v>0</v>
      </c>
      <c r="IQ76">
        <v>0</v>
      </c>
      <c r="IS76">
        <v>0</v>
      </c>
      <c r="IT76">
        <v>1</v>
      </c>
      <c r="IU76">
        <v>4</v>
      </c>
      <c r="IX76">
        <v>0.5</v>
      </c>
      <c r="IZ76">
        <v>0.5</v>
      </c>
      <c r="JB76">
        <v>0</v>
      </c>
      <c r="JC76">
        <v>1</v>
      </c>
      <c r="JD76">
        <v>0</v>
      </c>
      <c r="JE76">
        <v>0</v>
      </c>
      <c r="JF76">
        <v>0</v>
      </c>
      <c r="JM76">
        <v>3</v>
      </c>
      <c r="JN76">
        <v>1</v>
      </c>
      <c r="JP76">
        <v>0</v>
      </c>
      <c r="JS76">
        <v>0</v>
      </c>
      <c r="JT76">
        <v>0</v>
      </c>
      <c r="JU76">
        <v>2</v>
      </c>
      <c r="JV76">
        <v>1</v>
      </c>
      <c r="JW76">
        <v>1</v>
      </c>
      <c r="JX76">
        <v>0</v>
      </c>
      <c r="JY76">
        <v>-11</v>
      </c>
      <c r="KD76">
        <v>4</v>
      </c>
      <c r="KH76">
        <v>0</v>
      </c>
      <c r="KI76">
        <v>0</v>
      </c>
      <c r="KN76">
        <v>0.5</v>
      </c>
      <c r="KS76">
        <v>5</v>
      </c>
      <c r="KV76">
        <v>1</v>
      </c>
      <c r="KW76">
        <v>0</v>
      </c>
      <c r="KX76">
        <v>0</v>
      </c>
      <c r="KZ76">
        <v>0</v>
      </c>
      <c r="LA76">
        <v>1</v>
      </c>
      <c r="LB76">
        <v>0</v>
      </c>
      <c r="LF76">
        <v>3</v>
      </c>
      <c r="LH76">
        <v>1</v>
      </c>
      <c r="LI76">
        <v>3</v>
      </c>
      <c r="LK76">
        <v>0</v>
      </c>
      <c r="LL76">
        <v>0</v>
      </c>
      <c r="LM76">
        <v>0</v>
      </c>
      <c r="LO76">
        <v>1</v>
      </c>
      <c r="LP76">
        <v>1</v>
      </c>
      <c r="LQ76">
        <v>3</v>
      </c>
      <c r="LS76">
        <v>2</v>
      </c>
      <c r="LX76">
        <v>1</v>
      </c>
      <c r="LY76">
        <v>5</v>
      </c>
      <c r="LZ76">
        <v>0.5</v>
      </c>
      <c r="MA76">
        <v>0</v>
      </c>
      <c r="MB76">
        <v>0</v>
      </c>
      <c r="MC76">
        <v>-11</v>
      </c>
      <c r="MD76">
        <v>3</v>
      </c>
      <c r="ME76">
        <v>1</v>
      </c>
      <c r="MN76">
        <v>3</v>
      </c>
      <c r="MO76">
        <v>0</v>
      </c>
      <c r="MP76">
        <v>0</v>
      </c>
      <c r="MQ76">
        <v>0</v>
      </c>
      <c r="MT76">
        <v>0.5</v>
      </c>
      <c r="MU76">
        <v>0.5</v>
      </c>
      <c r="MY76">
        <v>1</v>
      </c>
      <c r="ND76">
        <v>0</v>
      </c>
      <c r="NE76">
        <v>0</v>
      </c>
      <c r="NH76">
        <v>1</v>
      </c>
      <c r="NI76">
        <v>0</v>
      </c>
      <c r="NK76">
        <v>2</v>
      </c>
      <c r="NR76">
        <v>0</v>
      </c>
      <c r="NS76">
        <v>0</v>
      </c>
      <c r="NT76">
        <v>3</v>
      </c>
      <c r="NU76">
        <v>0</v>
      </c>
      <c r="NW76">
        <v>3</v>
      </c>
      <c r="NZ76">
        <v>3</v>
      </c>
      <c r="OD76">
        <v>-11</v>
      </c>
      <c r="OH76">
        <v>0</v>
      </c>
      <c r="OI76">
        <v>0</v>
      </c>
      <c r="OK76">
        <v>1</v>
      </c>
      <c r="OL76">
        <v>0</v>
      </c>
      <c r="OP76">
        <v>3</v>
      </c>
      <c r="OQ76">
        <v>3</v>
      </c>
      <c r="OR76">
        <v>3</v>
      </c>
      <c r="OV76">
        <v>0</v>
      </c>
      <c r="OW76">
        <v>0</v>
      </c>
      <c r="OX76">
        <v>5</v>
      </c>
      <c r="PF76">
        <v>1</v>
      </c>
      <c r="PH76">
        <v>0</v>
      </c>
      <c r="PI76">
        <v>1</v>
      </c>
      <c r="PJ76">
        <v>3</v>
      </c>
      <c r="PK76">
        <v>0</v>
      </c>
      <c r="PL76">
        <v>0</v>
      </c>
      <c r="PM76">
        <v>0</v>
      </c>
      <c r="PO76">
        <v>1</v>
      </c>
      <c r="PP76">
        <v>0</v>
      </c>
      <c r="PS76">
        <v>3</v>
      </c>
      <c r="PZ76">
        <v>0</v>
      </c>
      <c r="QA76">
        <v>0</v>
      </c>
      <c r="QB76">
        <v>0</v>
      </c>
      <c r="QC76">
        <v>1</v>
      </c>
      <c r="QE76">
        <v>2</v>
      </c>
      <c r="QH76">
        <v>3</v>
      </c>
      <c r="QO76">
        <v>0</v>
      </c>
      <c r="QP76">
        <v>0</v>
      </c>
      <c r="QR76">
        <v>0</v>
      </c>
      <c r="QS76">
        <v>1</v>
      </c>
      <c r="QY76">
        <v>0.5</v>
      </c>
      <c r="QZ76">
        <v>3</v>
      </c>
      <c r="RD76">
        <v>0</v>
      </c>
      <c r="RE76">
        <v>0</v>
      </c>
      <c r="RF76">
        <v>0</v>
      </c>
      <c r="RK76">
        <v>0.5</v>
      </c>
      <c r="RM76">
        <v>3</v>
      </c>
      <c r="RP76">
        <v>0</v>
      </c>
      <c r="RR76">
        <v>0</v>
      </c>
      <c r="RS76">
        <v>0</v>
      </c>
      <c r="RU76">
        <v>-11</v>
      </c>
      <c r="RV76">
        <v>1</v>
      </c>
      <c r="RW76">
        <v>0</v>
      </c>
      <c r="SC76">
        <v>3</v>
      </c>
      <c r="SF76">
        <v>3</v>
      </c>
      <c r="SG76">
        <v>0</v>
      </c>
      <c r="SH76">
        <v>0</v>
      </c>
      <c r="SJ76">
        <v>5</v>
      </c>
      <c r="SK76">
        <v>3</v>
      </c>
      <c r="SN76">
        <v>1</v>
      </c>
      <c r="SO76">
        <v>0.5</v>
      </c>
      <c r="SQ76">
        <v>-11</v>
      </c>
      <c r="SR76">
        <v>5</v>
      </c>
      <c r="ST76">
        <v>1</v>
      </c>
      <c r="SU76">
        <v>0</v>
      </c>
      <c r="SV76">
        <v>0</v>
      </c>
      <c r="SW76">
        <v>4</v>
      </c>
      <c r="SX76">
        <v>0</v>
      </c>
      <c r="SY76">
        <v>1</v>
      </c>
      <c r="SZ76">
        <v>0</v>
      </c>
      <c r="TA76">
        <v>-11</v>
      </c>
      <c r="TD76">
        <v>3</v>
      </c>
      <c r="TK76">
        <v>0</v>
      </c>
      <c r="TL76">
        <v>0</v>
      </c>
      <c r="TM76">
        <v>0.5</v>
      </c>
      <c r="TN76">
        <v>5</v>
      </c>
      <c r="TO76">
        <v>0</v>
      </c>
      <c r="TP76">
        <v>0</v>
      </c>
      <c r="TY76">
        <v>0</v>
      </c>
      <c r="TZ76">
        <v>0</v>
      </c>
      <c r="UE76">
        <v>-11</v>
      </c>
      <c r="UO76">
        <v>0</v>
      </c>
      <c r="UP76">
        <v>0</v>
      </c>
      <c r="UQ76">
        <v>0.5</v>
      </c>
      <c r="US76">
        <v>0</v>
      </c>
      <c r="UT76">
        <v>0</v>
      </c>
      <c r="UY76">
        <v>0.5</v>
      </c>
      <c r="VA76">
        <v>3</v>
      </c>
      <c r="VB76">
        <v>0</v>
      </c>
      <c r="VC76">
        <v>0</v>
      </c>
      <c r="VD76">
        <v>1</v>
      </c>
      <c r="VF76">
        <v>1</v>
      </c>
      <c r="VG76">
        <v>3</v>
      </c>
      <c r="VL76">
        <v>3</v>
      </c>
      <c r="VQ76">
        <v>3</v>
      </c>
      <c r="VR76">
        <v>0</v>
      </c>
      <c r="VS76">
        <v>0</v>
      </c>
      <c r="VU76">
        <v>3</v>
      </c>
      <c r="VV76">
        <v>1</v>
      </c>
      <c r="VW76">
        <v>1</v>
      </c>
      <c r="VZ76">
        <v>0</v>
      </c>
      <c r="WA76">
        <v>1</v>
      </c>
      <c r="WE76">
        <v>1</v>
      </c>
      <c r="WF76">
        <v>0</v>
      </c>
      <c r="WG76">
        <v>0</v>
      </c>
      <c r="WI76">
        <v>0.5</v>
      </c>
      <c r="WJ76">
        <v>1</v>
      </c>
      <c r="WK76">
        <v>0</v>
      </c>
      <c r="WO76">
        <v>3</v>
      </c>
      <c r="WR76">
        <v>3</v>
      </c>
      <c r="WS76">
        <v>4</v>
      </c>
      <c r="WU76">
        <v>0</v>
      </c>
      <c r="WV76">
        <v>0</v>
      </c>
      <c r="WY76">
        <v>0.5</v>
      </c>
      <c r="WZ76">
        <v>0.5</v>
      </c>
      <c r="XB76">
        <v>3</v>
      </c>
      <c r="XE76">
        <v>0</v>
      </c>
      <c r="XI76">
        <v>0</v>
      </c>
      <c r="XJ76">
        <v>0</v>
      </c>
      <c r="XM76">
        <v>0</v>
      </c>
      <c r="XN76">
        <v>1</v>
      </c>
      <c r="XO76">
        <v>4</v>
      </c>
      <c r="XV76">
        <v>0</v>
      </c>
      <c r="XW76">
        <v>1</v>
      </c>
      <c r="XY76">
        <v>0</v>
      </c>
      <c r="XZ76">
        <v>0</v>
      </c>
      <c r="YG76">
        <v>3</v>
      </c>
      <c r="YH76">
        <v>1</v>
      </c>
      <c r="YJ76">
        <v>0</v>
      </c>
      <c r="YM76">
        <v>0</v>
      </c>
      <c r="YN76">
        <v>0</v>
      </c>
      <c r="YO76">
        <v>2</v>
      </c>
      <c r="YP76">
        <v>1</v>
      </c>
      <c r="YQ76">
        <v>1</v>
      </c>
      <c r="YR76">
        <v>0</v>
      </c>
      <c r="YX76">
        <v>4</v>
      </c>
      <c r="ZB76">
        <v>0</v>
      </c>
      <c r="ZC76">
        <v>0</v>
      </c>
      <c r="ZI76">
        <v>-11</v>
      </c>
      <c r="ZL76">
        <v>5</v>
      </c>
      <c r="ZN76">
        <v>0</v>
      </c>
      <c r="ZP76">
        <v>1</v>
      </c>
      <c r="ZQ76">
        <v>0</v>
      </c>
      <c r="ZR76">
        <v>0</v>
      </c>
      <c r="ZT76">
        <v>0</v>
      </c>
      <c r="ZU76">
        <v>1</v>
      </c>
      <c r="ZV76">
        <v>0</v>
      </c>
      <c r="ZY76">
        <v>0.5</v>
      </c>
      <c r="ZZ76">
        <v>3</v>
      </c>
      <c r="AAA76">
        <v>0.5</v>
      </c>
      <c r="AAB76">
        <v>1</v>
      </c>
      <c r="AAC76">
        <v>3</v>
      </c>
      <c r="AAD76">
        <v>-11</v>
      </c>
      <c r="AAE76">
        <v>0</v>
      </c>
      <c r="AAF76">
        <v>0</v>
      </c>
      <c r="AAI76">
        <v>1</v>
      </c>
      <c r="AAJ76">
        <v>1</v>
      </c>
      <c r="AAK76">
        <v>3</v>
      </c>
      <c r="AAM76">
        <v>2</v>
      </c>
      <c r="AAQ76">
        <v>1</v>
      </c>
      <c r="AAR76">
        <v>5</v>
      </c>
      <c r="AAU76">
        <v>0</v>
      </c>
      <c r="AAV76">
        <v>0</v>
      </c>
      <c r="AAW76">
        <v>0</v>
      </c>
      <c r="AAX76">
        <v>3</v>
      </c>
      <c r="AAY76">
        <v>1</v>
      </c>
      <c r="ABI76">
        <v>0</v>
      </c>
      <c r="ABJ76">
        <v>0</v>
      </c>
      <c r="ABS76">
        <v>1</v>
      </c>
      <c r="ABV76">
        <v>0</v>
      </c>
      <c r="ABX76">
        <v>0</v>
      </c>
      <c r="ABY76">
        <v>0</v>
      </c>
      <c r="ACA76">
        <v>0.5</v>
      </c>
      <c r="ACB76">
        <v>1</v>
      </c>
      <c r="ACC76">
        <v>0</v>
      </c>
      <c r="ACE76">
        <v>-11</v>
      </c>
      <c r="ACF76">
        <v>2</v>
      </c>
      <c r="ACL76">
        <v>0</v>
      </c>
      <c r="ACM76">
        <v>0</v>
      </c>
      <c r="ACN76">
        <v>3</v>
      </c>
      <c r="ACQ76">
        <v>3</v>
      </c>
      <c r="ACS76">
        <v>3</v>
      </c>
      <c r="ACY76">
        <v>5</v>
      </c>
      <c r="ADB76">
        <v>0</v>
      </c>
      <c r="ADC76">
        <v>0</v>
      </c>
      <c r="ADF76">
        <v>1</v>
      </c>
      <c r="ADJ76">
        <v>3</v>
      </c>
      <c r="ADK76">
        <v>3</v>
      </c>
      <c r="ADL76">
        <v>3</v>
      </c>
      <c r="ADP76">
        <v>0</v>
      </c>
    </row>
    <row r="77" spans="1:796">
      <c r="A77" t="s">
        <v>4332</v>
      </c>
      <c r="B77">
        <v>77</v>
      </c>
      <c r="C77" t="s">
        <v>4572</v>
      </c>
      <c r="D77">
        <v>7</v>
      </c>
      <c r="N77" t="s">
        <v>4062</v>
      </c>
      <c r="AB77" t="s">
        <v>4063</v>
      </c>
      <c r="AC77" t="s">
        <v>543</v>
      </c>
      <c r="AD77" t="s">
        <v>5007</v>
      </c>
      <c r="AJ77" t="s">
        <v>5013</v>
      </c>
      <c r="AQ77" t="s">
        <v>4064</v>
      </c>
      <c r="AR77" t="s">
        <v>5015</v>
      </c>
      <c r="AW77" t="s">
        <v>5225</v>
      </c>
      <c r="AY77" t="s">
        <v>5019</v>
      </c>
      <c r="BF77" t="s">
        <v>4065</v>
      </c>
      <c r="BO77" t="s">
        <v>5025</v>
      </c>
      <c r="BQ77" t="s">
        <v>3908</v>
      </c>
      <c r="BU77" t="s">
        <v>4066</v>
      </c>
      <c r="BV77" t="s">
        <v>4216</v>
      </c>
      <c r="BX77" t="s">
        <v>5041</v>
      </c>
      <c r="CC77" t="s">
        <v>5045</v>
      </c>
      <c r="CJ77" t="s">
        <v>4067</v>
      </c>
      <c r="CK77" t="s">
        <v>5047</v>
      </c>
      <c r="CO77" t="s">
        <v>5051</v>
      </c>
      <c r="CX77" t="s">
        <v>4068</v>
      </c>
      <c r="CY77" t="s">
        <v>5055</v>
      </c>
      <c r="DB77" t="s">
        <v>3908</v>
      </c>
      <c r="DC77" t="s">
        <v>4806</v>
      </c>
      <c r="DJ77" t="s">
        <v>162</v>
      </c>
      <c r="DN77" t="s">
        <v>4765</v>
      </c>
      <c r="DO77" t="s">
        <v>5059</v>
      </c>
      <c r="DY77" t="s">
        <v>3908</v>
      </c>
      <c r="EA77" t="s">
        <v>4070</v>
      </c>
      <c r="EB77" t="s">
        <v>4728</v>
      </c>
      <c r="EE77" t="s">
        <v>4730</v>
      </c>
      <c r="EI77" t="s">
        <v>5257</v>
      </c>
      <c r="EM77" t="s">
        <v>5417</v>
      </c>
      <c r="EP77" t="s">
        <v>539</v>
      </c>
      <c r="EQ77" t="s">
        <v>4732</v>
      </c>
      <c r="FC77" t="s">
        <v>4898</v>
      </c>
      <c r="FE77" t="s">
        <v>4049</v>
      </c>
      <c r="FF77" t="s">
        <v>4734</v>
      </c>
      <c r="FH77" t="s">
        <v>3908</v>
      </c>
      <c r="FI77" t="s">
        <v>4905</v>
      </c>
      <c r="FM77" t="s">
        <v>4440</v>
      </c>
      <c r="FN77" t="s">
        <v>5260</v>
      </c>
      <c r="FU77" t="s">
        <v>4765</v>
      </c>
      <c r="FV77" t="s">
        <v>4911</v>
      </c>
      <c r="GG77" t="s">
        <v>4737</v>
      </c>
      <c r="GH77" t="s">
        <v>4074</v>
      </c>
      <c r="GM77" t="s">
        <v>4917</v>
      </c>
      <c r="GN77" t="s">
        <v>4809</v>
      </c>
      <c r="GS77" t="s">
        <v>759</v>
      </c>
      <c r="GX77" t="s">
        <v>4051</v>
      </c>
      <c r="HA77" t="s">
        <v>4929</v>
      </c>
      <c r="HC77" t="s">
        <v>4931</v>
      </c>
      <c r="HG77" t="s">
        <v>4935</v>
      </c>
      <c r="HL77" t="s">
        <v>4052</v>
      </c>
      <c r="HP77" t="s">
        <v>4937</v>
      </c>
      <c r="HX77" t="s">
        <v>5273</v>
      </c>
      <c r="IA77" t="s">
        <v>4053</v>
      </c>
      <c r="IH77" t="s">
        <v>4945</v>
      </c>
      <c r="IP77" t="s">
        <v>5405</v>
      </c>
      <c r="IQ77" t="s">
        <v>4947</v>
      </c>
      <c r="IT77" t="s">
        <v>4951</v>
      </c>
      <c r="IU77" t="s">
        <v>4811</v>
      </c>
      <c r="JB77" t="s">
        <v>3908</v>
      </c>
      <c r="JC77" t="s">
        <v>5067</v>
      </c>
      <c r="JE77" t="s">
        <v>4055</v>
      </c>
      <c r="JS77" t="s">
        <v>4056</v>
      </c>
      <c r="JT77" t="s">
        <v>3863</v>
      </c>
      <c r="JV77" t="s">
        <v>4959</v>
      </c>
      <c r="JW77" t="s">
        <v>3864</v>
      </c>
      <c r="KH77" t="s">
        <v>4057</v>
      </c>
      <c r="KI77" t="s">
        <v>5285</v>
      </c>
      <c r="KV77" t="s">
        <v>4961</v>
      </c>
      <c r="KW77" t="s">
        <v>4058</v>
      </c>
      <c r="KX77" t="s">
        <v>4963</v>
      </c>
      <c r="LA77" t="s">
        <v>4969</v>
      </c>
      <c r="LH77" t="s">
        <v>4758</v>
      </c>
      <c r="LK77" t="s">
        <v>4059</v>
      </c>
      <c r="LP77" t="s">
        <v>4761</v>
      </c>
      <c r="LX77" t="s">
        <v>4981</v>
      </c>
      <c r="MA77" t="s">
        <v>4060</v>
      </c>
      <c r="MB77" t="s">
        <v>5427</v>
      </c>
      <c r="MD77" t="s">
        <v>4991</v>
      </c>
      <c r="ME77" t="s">
        <v>3867</v>
      </c>
      <c r="MO77" t="s">
        <v>4061</v>
      </c>
      <c r="MP77" t="s">
        <v>4999</v>
      </c>
      <c r="ND77" t="s">
        <v>4062</v>
      </c>
      <c r="NR77" t="s">
        <v>4063</v>
      </c>
      <c r="NT77" t="s">
        <v>5007</v>
      </c>
      <c r="NZ77" t="s">
        <v>5013</v>
      </c>
      <c r="OH77" t="s">
        <v>4064</v>
      </c>
      <c r="OI77" t="s">
        <v>5015</v>
      </c>
      <c r="OK77" t="s">
        <v>538</v>
      </c>
      <c r="OP77" t="s">
        <v>5019</v>
      </c>
      <c r="OV77" t="s">
        <v>4065</v>
      </c>
      <c r="OX77" t="s">
        <v>5312</v>
      </c>
      <c r="PF77" t="s">
        <v>5025</v>
      </c>
      <c r="PH77" t="s">
        <v>3908</v>
      </c>
      <c r="PJ77" t="s">
        <v>5039</v>
      </c>
      <c r="PK77" t="s">
        <v>4066</v>
      </c>
      <c r="PL77" t="s">
        <v>3871</v>
      </c>
      <c r="PM77" t="s">
        <v>3908</v>
      </c>
      <c r="PO77" t="s">
        <v>5041</v>
      </c>
      <c r="PS77" t="s">
        <v>5045</v>
      </c>
      <c r="PZ77" t="s">
        <v>4067</v>
      </c>
      <c r="QA77" t="s">
        <v>5047</v>
      </c>
      <c r="QB77" t="s">
        <v>4431</v>
      </c>
      <c r="QC77" t="s">
        <v>4432</v>
      </c>
      <c r="QE77" t="s">
        <v>5051</v>
      </c>
      <c r="QO77" t="s">
        <v>4068</v>
      </c>
      <c r="QP77" t="s">
        <v>5055</v>
      </c>
      <c r="QR77" t="s">
        <v>3908</v>
      </c>
      <c r="QS77" t="s">
        <v>4806</v>
      </c>
      <c r="RD77" t="s">
        <v>5322</v>
      </c>
      <c r="RP77" t="s">
        <v>3908</v>
      </c>
      <c r="RR77" t="s">
        <v>4070</v>
      </c>
      <c r="RS77" t="s">
        <v>4728</v>
      </c>
      <c r="RV77" t="s">
        <v>4730</v>
      </c>
      <c r="RW77" t="s">
        <v>4428</v>
      </c>
      <c r="SG77" t="s">
        <v>4732</v>
      </c>
      <c r="SJ77" t="s">
        <v>5331</v>
      </c>
      <c r="SN77" t="s">
        <v>5417</v>
      </c>
      <c r="SR77" t="s">
        <v>5419</v>
      </c>
      <c r="ST77" t="s">
        <v>4898</v>
      </c>
      <c r="SU77" t="s">
        <v>4049</v>
      </c>
      <c r="SV77" t="s">
        <v>4734</v>
      </c>
      <c r="SX77" t="s">
        <v>3908</v>
      </c>
      <c r="SY77" t="s">
        <v>4905</v>
      </c>
      <c r="TK77" t="s">
        <v>4050</v>
      </c>
      <c r="TL77" t="s">
        <v>4911</v>
      </c>
      <c r="TM77" t="s">
        <v>4440</v>
      </c>
      <c r="TY77" t="s">
        <v>4072</v>
      </c>
      <c r="UO77" t="s">
        <v>4071</v>
      </c>
      <c r="VA77" t="s">
        <v>4737</v>
      </c>
      <c r="VB77" t="s">
        <v>4074</v>
      </c>
      <c r="VF77" t="s">
        <v>4917</v>
      </c>
      <c r="VG77" t="s">
        <v>4809</v>
      </c>
      <c r="VR77" t="s">
        <v>4051</v>
      </c>
      <c r="VU77" t="s">
        <v>4929</v>
      </c>
      <c r="VW77" t="s">
        <v>4931</v>
      </c>
      <c r="WA77" t="s">
        <v>4935</v>
      </c>
      <c r="WF77" t="s">
        <v>4052</v>
      </c>
      <c r="WJ77" t="s">
        <v>4937</v>
      </c>
      <c r="WU77" t="s">
        <v>4053</v>
      </c>
      <c r="XB77" t="s">
        <v>4945</v>
      </c>
      <c r="XI77" t="s">
        <v>5405</v>
      </c>
      <c r="XJ77" t="s">
        <v>4947</v>
      </c>
      <c r="XN77" t="s">
        <v>4951</v>
      </c>
      <c r="XO77" t="s">
        <v>4811</v>
      </c>
      <c r="XV77" t="s">
        <v>3908</v>
      </c>
      <c r="XW77" t="s">
        <v>5067</v>
      </c>
      <c r="XY77" t="s">
        <v>4055</v>
      </c>
      <c r="XZ77" t="s">
        <v>541</v>
      </c>
      <c r="YJ77" t="s">
        <v>5356</v>
      </c>
      <c r="YM77" t="s">
        <v>4056</v>
      </c>
      <c r="YN77" t="s">
        <v>3863</v>
      </c>
      <c r="YO77" t="s">
        <v>164</v>
      </c>
      <c r="YP77" t="s">
        <v>4959</v>
      </c>
      <c r="YQ77" t="s">
        <v>3864</v>
      </c>
      <c r="YX77" t="s">
        <v>5423</v>
      </c>
      <c r="ZB77" t="s">
        <v>4057</v>
      </c>
      <c r="ZL77" t="s">
        <v>5424</v>
      </c>
      <c r="ZP77" t="s">
        <v>4961</v>
      </c>
      <c r="ZQ77" t="s">
        <v>4058</v>
      </c>
      <c r="ZR77" t="s">
        <v>4963</v>
      </c>
      <c r="ZU77" t="s">
        <v>4969</v>
      </c>
      <c r="AAB77" t="s">
        <v>4758</v>
      </c>
      <c r="AAC77" t="s">
        <v>5427</v>
      </c>
      <c r="AAE77" t="s">
        <v>4059</v>
      </c>
      <c r="AAJ77" t="s">
        <v>4761</v>
      </c>
      <c r="AAQ77" t="s">
        <v>4981</v>
      </c>
      <c r="AAR77" t="s">
        <v>5368</v>
      </c>
      <c r="AAU77" t="s">
        <v>4060</v>
      </c>
      <c r="AAV77" t="s">
        <v>5429</v>
      </c>
      <c r="AAX77" t="s">
        <v>4991</v>
      </c>
      <c r="AAY77" t="s">
        <v>4814</v>
      </c>
      <c r="ABI77" t="s">
        <v>4061</v>
      </c>
      <c r="ABJ77" t="s">
        <v>4999</v>
      </c>
      <c r="ABX77" t="s">
        <v>4062</v>
      </c>
      <c r="ACL77" t="s">
        <v>4063</v>
      </c>
      <c r="ACN77" t="s">
        <v>5007</v>
      </c>
      <c r="ACS77" t="s">
        <v>5013</v>
      </c>
      <c r="ACY77" t="s">
        <v>5382</v>
      </c>
      <c r="ADB77" t="s">
        <v>4064</v>
      </c>
      <c r="ADC77" t="s">
        <v>5015</v>
      </c>
      <c r="ADF77" t="s">
        <v>4804</v>
      </c>
      <c r="ADJ77" t="s">
        <v>5019</v>
      </c>
      <c r="ADP77" t="s">
        <v>4065</v>
      </c>
    </row>
    <row r="78" spans="1:796">
      <c r="A78" t="s">
        <v>4333</v>
      </c>
      <c r="B78">
        <v>78</v>
      </c>
      <c r="C78" t="s">
        <v>4573</v>
      </c>
      <c r="D78">
        <v>22</v>
      </c>
      <c r="N78">
        <v>-1</v>
      </c>
      <c r="AB78">
        <v>-1</v>
      </c>
      <c r="AC78">
        <v>-11</v>
      </c>
      <c r="AD78">
        <v>3</v>
      </c>
      <c r="AJ78">
        <v>3</v>
      </c>
      <c r="AQ78">
        <v>-1</v>
      </c>
      <c r="AR78">
        <v>3</v>
      </c>
      <c r="AW78">
        <v>0</v>
      </c>
      <c r="AY78">
        <v>3</v>
      </c>
      <c r="BF78">
        <v>-1</v>
      </c>
      <c r="BO78">
        <v>3</v>
      </c>
      <c r="BQ78">
        <v>-1</v>
      </c>
      <c r="BU78">
        <v>-1</v>
      </c>
      <c r="BV78">
        <v>0</v>
      </c>
      <c r="BX78">
        <v>3</v>
      </c>
      <c r="CC78">
        <v>2</v>
      </c>
      <c r="CJ78">
        <v>-1</v>
      </c>
      <c r="CK78">
        <v>3</v>
      </c>
      <c r="CO78">
        <v>3</v>
      </c>
      <c r="CX78">
        <v>-1</v>
      </c>
      <c r="CY78">
        <v>3</v>
      </c>
      <c r="DB78">
        <v>-1</v>
      </c>
      <c r="DC78">
        <v>0</v>
      </c>
      <c r="DJ78">
        <v>0.5</v>
      </c>
      <c r="DN78">
        <v>-1</v>
      </c>
      <c r="DO78">
        <v>3</v>
      </c>
      <c r="DY78">
        <v>-1</v>
      </c>
      <c r="EA78">
        <v>-1</v>
      </c>
      <c r="EB78">
        <v>1</v>
      </c>
      <c r="EE78">
        <v>1</v>
      </c>
      <c r="EI78">
        <v>0</v>
      </c>
      <c r="EM78">
        <v>0.5</v>
      </c>
      <c r="EP78">
        <v>-11</v>
      </c>
      <c r="EQ78">
        <v>-1</v>
      </c>
      <c r="FC78">
        <v>3</v>
      </c>
      <c r="FE78">
        <v>-1</v>
      </c>
      <c r="FF78">
        <v>1</v>
      </c>
      <c r="FH78">
        <v>-1</v>
      </c>
      <c r="FI78">
        <v>3</v>
      </c>
      <c r="FM78">
        <v>0.5</v>
      </c>
      <c r="FN78">
        <v>0</v>
      </c>
      <c r="FU78">
        <v>-1</v>
      </c>
      <c r="FV78">
        <v>3</v>
      </c>
      <c r="GG78">
        <v>1</v>
      </c>
      <c r="GH78">
        <v>-1</v>
      </c>
      <c r="GM78">
        <v>3</v>
      </c>
      <c r="GN78">
        <v>0</v>
      </c>
      <c r="GS78">
        <v>-11</v>
      </c>
      <c r="GX78">
        <v>-1</v>
      </c>
      <c r="HA78">
        <v>2</v>
      </c>
      <c r="HC78">
        <v>3</v>
      </c>
      <c r="HG78">
        <v>3</v>
      </c>
      <c r="HL78">
        <v>-1</v>
      </c>
      <c r="HP78">
        <v>3</v>
      </c>
      <c r="HX78">
        <v>0</v>
      </c>
      <c r="IA78">
        <v>-1</v>
      </c>
      <c r="IH78">
        <v>2</v>
      </c>
      <c r="IP78">
        <v>-1</v>
      </c>
      <c r="IQ78">
        <v>3</v>
      </c>
      <c r="IT78">
        <v>0</v>
      </c>
      <c r="IU78">
        <v>0</v>
      </c>
      <c r="JB78">
        <v>-1</v>
      </c>
      <c r="JC78">
        <v>2</v>
      </c>
      <c r="JE78">
        <v>-1</v>
      </c>
      <c r="JS78">
        <v>-1</v>
      </c>
      <c r="JT78">
        <v>0</v>
      </c>
      <c r="JV78">
        <v>3</v>
      </c>
      <c r="JW78">
        <v>4</v>
      </c>
      <c r="KH78">
        <v>-1</v>
      </c>
      <c r="KI78">
        <v>0</v>
      </c>
      <c r="KV78">
        <v>2</v>
      </c>
      <c r="KW78">
        <v>-1</v>
      </c>
      <c r="KX78">
        <v>3</v>
      </c>
      <c r="LA78">
        <v>3</v>
      </c>
      <c r="LH78">
        <v>1</v>
      </c>
      <c r="LK78">
        <v>-1</v>
      </c>
      <c r="LP78">
        <v>1</v>
      </c>
      <c r="LX78">
        <v>3</v>
      </c>
      <c r="MA78">
        <v>-1</v>
      </c>
      <c r="MB78">
        <v>0.5</v>
      </c>
      <c r="MD78">
        <v>3</v>
      </c>
      <c r="ME78">
        <v>1</v>
      </c>
      <c r="MO78">
        <v>-1</v>
      </c>
      <c r="MP78">
        <v>3</v>
      </c>
      <c r="ND78">
        <v>-1</v>
      </c>
      <c r="NR78">
        <v>-1</v>
      </c>
      <c r="NT78">
        <v>3</v>
      </c>
      <c r="NZ78">
        <v>3</v>
      </c>
      <c r="OH78">
        <v>-1</v>
      </c>
      <c r="OI78">
        <v>3</v>
      </c>
      <c r="OK78">
        <v>-11</v>
      </c>
      <c r="OP78">
        <v>3</v>
      </c>
      <c r="OV78">
        <v>-1</v>
      </c>
      <c r="OX78">
        <v>0</v>
      </c>
      <c r="PF78">
        <v>3</v>
      </c>
      <c r="PH78">
        <v>-1</v>
      </c>
      <c r="PJ78">
        <v>3</v>
      </c>
      <c r="PK78">
        <v>-1</v>
      </c>
      <c r="PL78">
        <v>0</v>
      </c>
      <c r="PM78">
        <v>-1</v>
      </c>
      <c r="PO78">
        <v>3</v>
      </c>
      <c r="PS78">
        <v>2</v>
      </c>
      <c r="PZ78">
        <v>-1</v>
      </c>
      <c r="QA78">
        <v>3</v>
      </c>
      <c r="QB78">
        <v>-11</v>
      </c>
      <c r="QC78">
        <v>0.5</v>
      </c>
      <c r="QE78">
        <v>3</v>
      </c>
      <c r="QO78">
        <v>-1</v>
      </c>
      <c r="QP78">
        <v>3</v>
      </c>
      <c r="QR78">
        <v>-1</v>
      </c>
      <c r="QS78">
        <v>0</v>
      </c>
      <c r="RD78">
        <v>-1</v>
      </c>
      <c r="RP78">
        <v>-1</v>
      </c>
      <c r="RR78">
        <v>-1</v>
      </c>
      <c r="RS78">
        <v>1</v>
      </c>
      <c r="RV78">
        <v>1</v>
      </c>
      <c r="RW78">
        <v>-11</v>
      </c>
      <c r="SG78">
        <v>-1</v>
      </c>
      <c r="SJ78">
        <v>0</v>
      </c>
      <c r="SN78">
        <v>0.5</v>
      </c>
      <c r="SR78">
        <v>0.5</v>
      </c>
      <c r="ST78">
        <v>3</v>
      </c>
      <c r="SU78">
        <v>-1</v>
      </c>
      <c r="SV78">
        <v>1</v>
      </c>
      <c r="SX78">
        <v>-1</v>
      </c>
      <c r="SY78">
        <v>3</v>
      </c>
      <c r="TK78">
        <v>-1</v>
      </c>
      <c r="TL78">
        <v>3</v>
      </c>
      <c r="TM78">
        <v>0.5</v>
      </c>
      <c r="TY78">
        <v>-1</v>
      </c>
      <c r="UO78">
        <v>-1</v>
      </c>
      <c r="VA78">
        <v>1</v>
      </c>
      <c r="VB78">
        <v>-1</v>
      </c>
      <c r="VF78">
        <v>3</v>
      </c>
      <c r="VG78">
        <v>0</v>
      </c>
      <c r="VR78">
        <v>-1</v>
      </c>
      <c r="VU78">
        <v>2</v>
      </c>
      <c r="VW78">
        <v>3</v>
      </c>
      <c r="WA78">
        <v>3</v>
      </c>
      <c r="WF78">
        <v>-1</v>
      </c>
      <c r="WJ78">
        <v>3</v>
      </c>
      <c r="WU78">
        <v>-1</v>
      </c>
      <c r="XB78">
        <v>2</v>
      </c>
      <c r="XI78">
        <v>-1</v>
      </c>
      <c r="XJ78">
        <v>3</v>
      </c>
      <c r="XN78">
        <v>0</v>
      </c>
      <c r="XO78">
        <v>0</v>
      </c>
      <c r="XV78">
        <v>-1</v>
      </c>
      <c r="XW78">
        <v>2</v>
      </c>
      <c r="XY78">
        <v>-1</v>
      </c>
      <c r="XZ78">
        <v>-11</v>
      </c>
      <c r="YJ78">
        <v>0</v>
      </c>
      <c r="YM78">
        <v>-1</v>
      </c>
      <c r="YN78">
        <v>0</v>
      </c>
      <c r="YO78">
        <v>0.5</v>
      </c>
      <c r="YP78">
        <v>3</v>
      </c>
      <c r="YQ78">
        <v>4</v>
      </c>
      <c r="YX78">
        <v>0.5</v>
      </c>
      <c r="ZB78">
        <v>-1</v>
      </c>
      <c r="ZL78">
        <v>0.5</v>
      </c>
      <c r="ZP78">
        <v>2</v>
      </c>
      <c r="ZQ78">
        <v>-1</v>
      </c>
      <c r="ZR78">
        <v>3</v>
      </c>
      <c r="ZU78">
        <v>3</v>
      </c>
      <c r="AAB78">
        <v>1</v>
      </c>
      <c r="AAC78">
        <v>0.5</v>
      </c>
      <c r="AAE78">
        <v>-1</v>
      </c>
      <c r="AAJ78">
        <v>1</v>
      </c>
      <c r="AAQ78">
        <v>3</v>
      </c>
      <c r="AAR78">
        <v>0</v>
      </c>
      <c r="AAU78">
        <v>-1</v>
      </c>
      <c r="AAV78">
        <v>0.5</v>
      </c>
      <c r="AAX78">
        <v>3</v>
      </c>
      <c r="AAY78">
        <v>0</v>
      </c>
      <c r="ABI78">
        <v>-1</v>
      </c>
      <c r="ABJ78">
        <v>3</v>
      </c>
      <c r="ABX78">
        <v>-1</v>
      </c>
      <c r="ACL78">
        <v>-1</v>
      </c>
      <c r="ACN78">
        <v>3</v>
      </c>
      <c r="ACS78">
        <v>3</v>
      </c>
      <c r="ACY78">
        <v>0</v>
      </c>
      <c r="ADB78">
        <v>-1</v>
      </c>
      <c r="ADC78">
        <v>3</v>
      </c>
      <c r="ADF78">
        <v>0</v>
      </c>
      <c r="ADJ78">
        <v>3</v>
      </c>
      <c r="ADP78">
        <v>-1</v>
      </c>
    </row>
    <row r="79" spans="1:796">
      <c r="A79" t="s">
        <v>4334</v>
      </c>
      <c r="B79">
        <v>79</v>
      </c>
      <c r="C79" t="s">
        <v>4574</v>
      </c>
      <c r="D79">
        <v>32</v>
      </c>
      <c r="N79" t="s">
        <v>3869</v>
      </c>
      <c r="AB79" t="s">
        <v>5003</v>
      </c>
      <c r="AJ79" t="s">
        <v>538</v>
      </c>
      <c r="BO79" t="s">
        <v>4722</v>
      </c>
      <c r="BU79" t="s">
        <v>3871</v>
      </c>
      <c r="BV79" t="s">
        <v>3909</v>
      </c>
      <c r="CX79" t="s">
        <v>5416</v>
      </c>
      <c r="DN79" t="s">
        <v>4069</v>
      </c>
      <c r="EE79" t="s">
        <v>5063</v>
      </c>
      <c r="EI79" t="s">
        <v>544</v>
      </c>
      <c r="EQ79" t="s">
        <v>5419</v>
      </c>
      <c r="FC79" t="s">
        <v>4900</v>
      </c>
      <c r="FI79" t="s">
        <v>4907</v>
      </c>
      <c r="FU79" t="s">
        <v>4050</v>
      </c>
      <c r="GG79" t="s">
        <v>4915</v>
      </c>
      <c r="GH79" t="s">
        <v>4073</v>
      </c>
      <c r="GM79" t="s">
        <v>4919</v>
      </c>
      <c r="GX79" t="s">
        <v>163</v>
      </c>
      <c r="HC79" t="s">
        <v>4933</v>
      </c>
      <c r="HP79" t="s">
        <v>5155</v>
      </c>
      <c r="IH79" t="s">
        <v>5421</v>
      </c>
      <c r="IP79" t="s">
        <v>3859</v>
      </c>
      <c r="IQ79" t="s">
        <v>4949</v>
      </c>
      <c r="IT79" t="s">
        <v>3908</v>
      </c>
      <c r="JS79" t="s">
        <v>4873</v>
      </c>
      <c r="JT79" t="s">
        <v>3909</v>
      </c>
      <c r="JV79" t="s">
        <v>5180</v>
      </c>
      <c r="JW79" t="s">
        <v>5181</v>
      </c>
      <c r="KW79" t="s">
        <v>5423</v>
      </c>
      <c r="KX79" t="s">
        <v>4965</v>
      </c>
      <c r="LA79" t="s">
        <v>4756</v>
      </c>
      <c r="LH79" t="s">
        <v>5430</v>
      </c>
      <c r="LK79" t="s">
        <v>5424</v>
      </c>
      <c r="LP79" t="s">
        <v>4975</v>
      </c>
      <c r="LX79" t="s">
        <v>4983</v>
      </c>
      <c r="MA79" t="s">
        <v>4987</v>
      </c>
      <c r="MD79" t="s">
        <v>3882</v>
      </c>
      <c r="ME79" t="s">
        <v>4993</v>
      </c>
      <c r="MO79" t="s">
        <v>4997</v>
      </c>
      <c r="MP79" t="s">
        <v>542</v>
      </c>
      <c r="ND79" t="s">
        <v>3869</v>
      </c>
      <c r="NR79" t="s">
        <v>5003</v>
      </c>
      <c r="NZ79" t="s">
        <v>165</v>
      </c>
      <c r="PF79" t="s">
        <v>4722</v>
      </c>
      <c r="PK79" t="s">
        <v>4874</v>
      </c>
      <c r="PL79" t="s">
        <v>3909</v>
      </c>
      <c r="RD79" t="s">
        <v>4069</v>
      </c>
      <c r="RP79" t="s">
        <v>755</v>
      </c>
      <c r="RV79" t="s">
        <v>5063</v>
      </c>
      <c r="ST79" t="s">
        <v>4900</v>
      </c>
      <c r="SY79" t="s">
        <v>4907</v>
      </c>
      <c r="VA79" t="s">
        <v>4915</v>
      </c>
      <c r="VB79" t="s">
        <v>4073</v>
      </c>
      <c r="VF79" t="s">
        <v>4919</v>
      </c>
      <c r="VW79" t="s">
        <v>4933</v>
      </c>
      <c r="WJ79" t="s">
        <v>5155</v>
      </c>
      <c r="XI79" t="s">
        <v>3859</v>
      </c>
      <c r="XJ79" t="s">
        <v>4949</v>
      </c>
      <c r="XN79" t="s">
        <v>3908</v>
      </c>
      <c r="YM79" t="s">
        <v>4873</v>
      </c>
      <c r="YN79" t="s">
        <v>3909</v>
      </c>
      <c r="YP79" t="s">
        <v>5180</v>
      </c>
      <c r="YQ79" t="s">
        <v>5181</v>
      </c>
      <c r="ZR79" t="s">
        <v>4965</v>
      </c>
      <c r="ZU79" t="s">
        <v>4756</v>
      </c>
      <c r="AAJ79" t="s">
        <v>4975</v>
      </c>
      <c r="AAQ79" t="s">
        <v>4983</v>
      </c>
      <c r="AAU79" t="s">
        <v>4987</v>
      </c>
      <c r="AAX79" t="s">
        <v>4764</v>
      </c>
      <c r="ABI79" t="s">
        <v>4995</v>
      </c>
      <c r="ABX79" t="s">
        <v>3869</v>
      </c>
      <c r="ACL79" t="s">
        <v>5003</v>
      </c>
    </row>
    <row r="80" spans="1:796">
      <c r="A80" t="s">
        <v>4335</v>
      </c>
      <c r="B80">
        <v>80</v>
      </c>
      <c r="C80" t="s">
        <v>4276</v>
      </c>
      <c r="D80">
        <v>12</v>
      </c>
      <c r="N80">
        <v>1</v>
      </c>
      <c r="AB80">
        <v>3</v>
      </c>
      <c r="AJ80">
        <v>-11</v>
      </c>
      <c r="BO80">
        <v>5</v>
      </c>
      <c r="BU80">
        <v>0</v>
      </c>
      <c r="BV80">
        <v>-1</v>
      </c>
      <c r="CX80">
        <v>0.5</v>
      </c>
      <c r="DN80">
        <v>-1</v>
      </c>
      <c r="EE80">
        <v>3</v>
      </c>
      <c r="EI80">
        <v>-11</v>
      </c>
      <c r="EQ80">
        <v>0.5</v>
      </c>
      <c r="FC80">
        <v>3</v>
      </c>
      <c r="FI80">
        <v>1</v>
      </c>
      <c r="FU80">
        <v>-1</v>
      </c>
      <c r="GG80">
        <v>3</v>
      </c>
      <c r="GH80">
        <v>-1</v>
      </c>
      <c r="GM80">
        <v>3</v>
      </c>
      <c r="GX80">
        <v>0.5</v>
      </c>
      <c r="HC80">
        <v>3</v>
      </c>
      <c r="HP80">
        <v>0</v>
      </c>
      <c r="IH80">
        <v>0.5</v>
      </c>
      <c r="IP80">
        <v>1</v>
      </c>
      <c r="IQ80">
        <v>3</v>
      </c>
      <c r="IT80">
        <v>-1</v>
      </c>
      <c r="JS80">
        <v>-1</v>
      </c>
      <c r="JT80">
        <v>-1</v>
      </c>
      <c r="JV80">
        <v>0</v>
      </c>
      <c r="JW80">
        <v>0</v>
      </c>
      <c r="KW80">
        <v>0.5</v>
      </c>
      <c r="KX80">
        <v>3</v>
      </c>
      <c r="LA80">
        <v>5</v>
      </c>
      <c r="LH80">
        <v>-11</v>
      </c>
      <c r="LK80">
        <v>0.5</v>
      </c>
      <c r="LP80">
        <v>3</v>
      </c>
      <c r="LX80">
        <v>3</v>
      </c>
      <c r="MA80">
        <v>2</v>
      </c>
      <c r="MD80">
        <v>-1</v>
      </c>
      <c r="ME80">
        <v>3</v>
      </c>
      <c r="MO80">
        <v>3</v>
      </c>
      <c r="MP80">
        <v>-11</v>
      </c>
      <c r="ND80">
        <v>1</v>
      </c>
      <c r="NR80">
        <v>3</v>
      </c>
      <c r="NZ80">
        <v>0.5</v>
      </c>
      <c r="PF80">
        <v>5</v>
      </c>
      <c r="PK80">
        <v>-1</v>
      </c>
      <c r="PL80">
        <v>-1</v>
      </c>
      <c r="RD80">
        <v>-1</v>
      </c>
      <c r="RP80">
        <v>0.5</v>
      </c>
      <c r="RV80">
        <v>3</v>
      </c>
      <c r="ST80">
        <v>3</v>
      </c>
      <c r="SY80">
        <v>1</v>
      </c>
      <c r="VA80">
        <v>3</v>
      </c>
      <c r="VB80">
        <v>-1</v>
      </c>
      <c r="VF80">
        <v>3</v>
      </c>
      <c r="VW80">
        <v>3</v>
      </c>
      <c r="WJ80">
        <v>0</v>
      </c>
      <c r="XI80">
        <v>1</v>
      </c>
      <c r="XJ80">
        <v>3</v>
      </c>
      <c r="XN80">
        <v>-1</v>
      </c>
      <c r="YM80">
        <v>-1</v>
      </c>
      <c r="YN80">
        <v>-1</v>
      </c>
      <c r="YP80">
        <v>0</v>
      </c>
      <c r="YQ80">
        <v>0</v>
      </c>
      <c r="ZR80">
        <v>3</v>
      </c>
      <c r="ZU80">
        <v>5</v>
      </c>
      <c r="AAJ80">
        <v>3</v>
      </c>
      <c r="AAQ80">
        <v>3</v>
      </c>
      <c r="AAU80">
        <v>2</v>
      </c>
      <c r="AAX80">
        <v>1</v>
      </c>
      <c r="ABI80">
        <v>3</v>
      </c>
      <c r="ABX80">
        <v>1</v>
      </c>
      <c r="ACL80">
        <v>3</v>
      </c>
    </row>
    <row r="81" spans="1:766">
      <c r="A81" t="s">
        <v>4336</v>
      </c>
      <c r="B81">
        <v>81</v>
      </c>
      <c r="C81" t="s">
        <v>4272</v>
      </c>
      <c r="D81">
        <v>27</v>
      </c>
      <c r="BO81" t="s">
        <v>5027</v>
      </c>
      <c r="BU81" t="s">
        <v>3908</v>
      </c>
      <c r="EE81" t="s">
        <v>5065</v>
      </c>
      <c r="FI81" t="s">
        <v>4837</v>
      </c>
      <c r="HP81" t="s">
        <v>3888</v>
      </c>
      <c r="IT81" t="s">
        <v>5167</v>
      </c>
      <c r="JT81" t="s">
        <v>4955</v>
      </c>
      <c r="JW81" t="s">
        <v>3896</v>
      </c>
      <c r="KX81" t="s">
        <v>4967</v>
      </c>
      <c r="LA81" t="s">
        <v>5192</v>
      </c>
      <c r="LX81" t="s">
        <v>4985</v>
      </c>
      <c r="MA81" t="s">
        <v>3881</v>
      </c>
      <c r="MD81" t="s">
        <v>5203</v>
      </c>
      <c r="ME81" t="s">
        <v>3868</v>
      </c>
      <c r="PF81" t="s">
        <v>5027</v>
      </c>
      <c r="RD81" t="s">
        <v>5059</v>
      </c>
      <c r="RV81" t="s">
        <v>5065</v>
      </c>
      <c r="SY81" t="s">
        <v>4837</v>
      </c>
      <c r="WJ81" t="s">
        <v>3888</v>
      </c>
      <c r="XN81" t="s">
        <v>5167</v>
      </c>
      <c r="YN81" t="s">
        <v>4955</v>
      </c>
      <c r="YQ81" t="s">
        <v>3896</v>
      </c>
      <c r="ZR81" t="s">
        <v>4967</v>
      </c>
      <c r="ZU81" t="s">
        <v>5192</v>
      </c>
      <c r="AAQ81" t="s">
        <v>4985</v>
      </c>
      <c r="AAU81" t="s">
        <v>3881</v>
      </c>
      <c r="AAX81" t="s">
        <v>3867</v>
      </c>
      <c r="ABI81" t="s">
        <v>4997</v>
      </c>
      <c r="ACL81" t="s">
        <v>538</v>
      </c>
    </row>
    <row r="82" spans="1:766">
      <c r="A82" t="s">
        <v>4337</v>
      </c>
      <c r="B82">
        <v>82</v>
      </c>
      <c r="C82" t="s">
        <v>4271</v>
      </c>
      <c r="D82">
        <v>28</v>
      </c>
      <c r="BO82">
        <v>3</v>
      </c>
      <c r="BU82">
        <v>-1</v>
      </c>
      <c r="EE82">
        <v>3</v>
      </c>
      <c r="FI82">
        <v>3</v>
      </c>
      <c r="HP82">
        <v>0</v>
      </c>
      <c r="IT82">
        <v>0</v>
      </c>
      <c r="JT82">
        <v>3</v>
      </c>
      <c r="JW82">
        <v>0</v>
      </c>
      <c r="KX82">
        <v>3</v>
      </c>
      <c r="LA82">
        <v>0</v>
      </c>
      <c r="LX82">
        <v>3</v>
      </c>
      <c r="MA82">
        <v>-1</v>
      </c>
      <c r="MD82">
        <v>0</v>
      </c>
      <c r="ME82">
        <v>1</v>
      </c>
      <c r="PF82">
        <v>3</v>
      </c>
      <c r="RD82">
        <v>3</v>
      </c>
      <c r="RV82">
        <v>3</v>
      </c>
      <c r="SY82">
        <v>3</v>
      </c>
      <c r="WJ82">
        <v>0</v>
      </c>
      <c r="XN82">
        <v>0</v>
      </c>
      <c r="YN82">
        <v>3</v>
      </c>
      <c r="YQ82">
        <v>0</v>
      </c>
      <c r="ZR82">
        <v>3</v>
      </c>
      <c r="ZU82">
        <v>0</v>
      </c>
      <c r="AAQ82">
        <v>3</v>
      </c>
      <c r="AAU82">
        <v>-1</v>
      </c>
      <c r="AAX82">
        <v>1</v>
      </c>
      <c r="ABI82">
        <v>3</v>
      </c>
      <c r="ACL82">
        <v>-11</v>
      </c>
    </row>
    <row r="83" spans="1:766">
      <c r="A83" t="s">
        <v>4338</v>
      </c>
      <c r="B83">
        <v>83</v>
      </c>
      <c r="C83" t="s">
        <v>4327</v>
      </c>
      <c r="D83">
        <v>35</v>
      </c>
      <c r="BO83" t="s">
        <v>5029</v>
      </c>
      <c r="BU83" t="s">
        <v>5239</v>
      </c>
      <c r="FI83" t="s">
        <v>4835</v>
      </c>
      <c r="IT83" t="s">
        <v>3892</v>
      </c>
      <c r="LA83" t="s">
        <v>3900</v>
      </c>
      <c r="LX83" t="s">
        <v>5425</v>
      </c>
      <c r="ME83" t="s">
        <v>4814</v>
      </c>
      <c r="PF83" t="s">
        <v>5029</v>
      </c>
      <c r="RV83" t="s">
        <v>756</v>
      </c>
      <c r="SY83" t="s">
        <v>4835</v>
      </c>
      <c r="XN83" t="s">
        <v>3892</v>
      </c>
      <c r="ZU83" t="s">
        <v>3900</v>
      </c>
      <c r="AAQ83" t="s">
        <v>542</v>
      </c>
      <c r="AAU83" t="s">
        <v>5428</v>
      </c>
      <c r="AAX83" t="s">
        <v>4993</v>
      </c>
    </row>
    <row r="84" spans="1:766">
      <c r="A84" t="s">
        <v>4339</v>
      </c>
      <c r="B84">
        <v>84</v>
      </c>
      <c r="C84" t="s">
        <v>4287</v>
      </c>
      <c r="D84">
        <v>18</v>
      </c>
      <c r="BO84">
        <v>3</v>
      </c>
      <c r="BU84">
        <v>-1</v>
      </c>
      <c r="FI84">
        <v>3</v>
      </c>
      <c r="IT84">
        <v>0</v>
      </c>
      <c r="LA84">
        <v>0</v>
      </c>
      <c r="LX84">
        <v>0.5</v>
      </c>
      <c r="ME84">
        <v>0</v>
      </c>
      <c r="PF84">
        <v>3</v>
      </c>
      <c r="RV84">
        <v>0.5</v>
      </c>
      <c r="SY84">
        <v>3</v>
      </c>
      <c r="XN84">
        <v>0</v>
      </c>
      <c r="ZU84">
        <v>0</v>
      </c>
      <c r="AAQ84">
        <v>-11</v>
      </c>
      <c r="AAU84">
        <v>0.5</v>
      </c>
      <c r="AAX84">
        <v>3</v>
      </c>
    </row>
    <row r="85" spans="1:766">
      <c r="A85" t="s">
        <v>4340</v>
      </c>
      <c r="B85">
        <v>85</v>
      </c>
      <c r="C85" t="s">
        <v>4289</v>
      </c>
      <c r="D85">
        <v>16</v>
      </c>
      <c r="BO85" t="s">
        <v>5031</v>
      </c>
      <c r="PF85" t="s">
        <v>5031</v>
      </c>
      <c r="AAX85" t="s">
        <v>3882</v>
      </c>
    </row>
    <row r="86" spans="1:766">
      <c r="A86" t="s">
        <v>4341</v>
      </c>
      <c r="B86">
        <v>86</v>
      </c>
      <c r="C86" t="s">
        <v>4288</v>
      </c>
      <c r="D86">
        <v>17</v>
      </c>
      <c r="BO86">
        <v>3</v>
      </c>
      <c r="PF86">
        <v>3</v>
      </c>
      <c r="AAX86">
        <v>-1</v>
      </c>
    </row>
    <row r="87" spans="1:766">
      <c r="A87" t="s">
        <v>4342</v>
      </c>
      <c r="B87">
        <v>87</v>
      </c>
      <c r="C87" t="s">
        <v>4326</v>
      </c>
      <c r="D87">
        <v>34</v>
      </c>
      <c r="BO87" t="s">
        <v>5033</v>
      </c>
      <c r="PF87" t="s">
        <v>5033</v>
      </c>
    </row>
    <row r="88" spans="1:766">
      <c r="A88" t="s">
        <v>4343</v>
      </c>
      <c r="B88">
        <v>88</v>
      </c>
      <c r="C88" t="s">
        <v>4280</v>
      </c>
      <c r="D88">
        <v>8</v>
      </c>
      <c r="BO88">
        <v>3</v>
      </c>
      <c r="PF88">
        <v>3</v>
      </c>
    </row>
    <row r="89" spans="1:766">
      <c r="A89" t="s">
        <v>4344</v>
      </c>
      <c r="B89">
        <v>89</v>
      </c>
      <c r="C89" t="s">
        <v>4281</v>
      </c>
      <c r="D89">
        <v>19</v>
      </c>
    </row>
    <row r="90" spans="1:766">
      <c r="A90" t="s">
        <v>4345</v>
      </c>
      <c r="B90">
        <v>90</v>
      </c>
      <c r="C90" t="s">
        <v>4266</v>
      </c>
      <c r="D90">
        <v>11</v>
      </c>
    </row>
    <row r="91" spans="1:766">
      <c r="A91" t="s">
        <v>4346</v>
      </c>
      <c r="B91">
        <v>91</v>
      </c>
      <c r="C91" t="s">
        <v>4277</v>
      </c>
      <c r="D91">
        <v>13</v>
      </c>
    </row>
    <row r="92" spans="1:766">
      <c r="A92" t="s">
        <v>4347</v>
      </c>
      <c r="B92">
        <v>92</v>
      </c>
      <c r="C92" t="s">
        <v>4269</v>
      </c>
      <c r="D92">
        <v>23</v>
      </c>
    </row>
    <row r="93" spans="1:766">
      <c r="A93" t="s">
        <v>4348</v>
      </c>
      <c r="B93">
        <v>93</v>
      </c>
      <c r="C93" t="s">
        <v>4268</v>
      </c>
      <c r="D93">
        <v>25</v>
      </c>
    </row>
    <row r="94" spans="1:766">
      <c r="A94" t="s">
        <v>4349</v>
      </c>
      <c r="B94">
        <v>94</v>
      </c>
      <c r="C94" t="s">
        <v>4267</v>
      </c>
      <c r="D94">
        <v>31</v>
      </c>
    </row>
    <row r="95" spans="1:766">
      <c r="A95" t="s">
        <v>4350</v>
      </c>
      <c r="B95">
        <v>95</v>
      </c>
      <c r="C95" t="s">
        <v>4284</v>
      </c>
      <c r="D95">
        <v>24</v>
      </c>
    </row>
    <row r="96" spans="1:766">
      <c r="A96" t="s">
        <v>4351</v>
      </c>
      <c r="B96">
        <v>96</v>
      </c>
      <c r="C96" t="s">
        <v>4265</v>
      </c>
      <c r="D96">
        <v>4</v>
      </c>
    </row>
    <row r="97" spans="1:796" ht="409.5">
      <c r="A97" t="s">
        <v>4583</v>
      </c>
      <c r="B97">
        <v>97</v>
      </c>
      <c r="C97" t="s">
        <v>4264</v>
      </c>
      <c r="D97">
        <v>2</v>
      </c>
      <c r="E97" s="553" t="s">
        <v>4816</v>
      </c>
      <c r="I97" s="553" t="s">
        <v>4768</v>
      </c>
      <c r="N97" s="553" t="s">
        <v>5097</v>
      </c>
      <c r="O97" s="553" t="s">
        <v>5219</v>
      </c>
      <c r="Q97" s="553" t="s">
        <v>5098</v>
      </c>
      <c r="R97" s="553" t="s">
        <v>4817</v>
      </c>
      <c r="T97" s="553" t="s">
        <v>5221</v>
      </c>
      <c r="U97" s="553" t="s">
        <v>5099</v>
      </c>
      <c r="Y97" s="553" t="s">
        <v>5238</v>
      </c>
      <c r="AB97" s="553" t="s">
        <v>5100</v>
      </c>
      <c r="AC97" s="553" t="s">
        <v>5231</v>
      </c>
      <c r="AD97" s="553" t="s">
        <v>5101</v>
      </c>
      <c r="AG97" s="553" t="s">
        <v>5102</v>
      </c>
      <c r="AJ97" s="553" t="s">
        <v>5229</v>
      </c>
      <c r="AQ97" s="553" t="s">
        <v>5104</v>
      </c>
      <c r="AR97" s="553" t="s">
        <v>5224</v>
      </c>
      <c r="AU97" s="553" t="s">
        <v>4769</v>
      </c>
      <c r="AV97" s="553" t="s">
        <v>4818</v>
      </c>
      <c r="AW97" s="553" t="s">
        <v>5226</v>
      </c>
      <c r="AY97" s="553" t="s">
        <v>5105</v>
      </c>
      <c r="AZ97" s="553" t="s">
        <v>5106</v>
      </c>
      <c r="BA97" s="553" t="s">
        <v>5107</v>
      </c>
      <c r="BF97" s="553" t="s">
        <v>5108</v>
      </c>
      <c r="BG97" s="553" t="s">
        <v>5228</v>
      </c>
      <c r="BO97" s="553" t="s">
        <v>5206</v>
      </c>
      <c r="BQ97" s="553" t="s">
        <v>5109</v>
      </c>
      <c r="BR97" s="553" t="s">
        <v>4770</v>
      </c>
      <c r="BS97" s="553" t="s">
        <v>5110</v>
      </c>
      <c r="BT97" s="553" t="s">
        <v>5111</v>
      </c>
      <c r="BU97" s="553" t="s">
        <v>5240</v>
      </c>
      <c r="BV97" s="553" t="s">
        <v>5242</v>
      </c>
      <c r="BX97" s="553" t="s">
        <v>5114</v>
      </c>
      <c r="BY97" s="553" t="s">
        <v>4819</v>
      </c>
      <c r="CA97" s="553" t="s">
        <v>5244</v>
      </c>
      <c r="CC97" s="553" t="s">
        <v>5115</v>
      </c>
      <c r="CJ97" s="553" t="s">
        <v>5116</v>
      </c>
      <c r="CK97" s="553" t="s">
        <v>5246</v>
      </c>
      <c r="CM97" s="553" t="s">
        <v>4771</v>
      </c>
      <c r="CO97" s="553" t="s">
        <v>5118</v>
      </c>
      <c r="CP97" s="553" t="s">
        <v>5232</v>
      </c>
      <c r="CQ97" s="553" t="s">
        <v>4783</v>
      </c>
      <c r="CR97" s="553" t="s">
        <v>5119</v>
      </c>
      <c r="CX97" s="553" t="s">
        <v>5431</v>
      </c>
      <c r="CY97" s="553" t="s">
        <v>5248</v>
      </c>
      <c r="DB97" s="553" t="s">
        <v>5121</v>
      </c>
      <c r="DC97" s="553" t="s">
        <v>5122</v>
      </c>
      <c r="DD97" s="553" t="s">
        <v>5250</v>
      </c>
      <c r="DJ97" s="553" t="s">
        <v>5400</v>
      </c>
      <c r="DN97" s="553" t="s">
        <v>5251</v>
      </c>
      <c r="DO97" s="553" t="s">
        <v>5253</v>
      </c>
      <c r="DV97" s="553" t="s">
        <v>5124</v>
      </c>
      <c r="DY97" s="553" t="s">
        <v>5125</v>
      </c>
      <c r="EA97" s="553" t="s">
        <v>5126</v>
      </c>
      <c r="EB97" s="553" t="s">
        <v>5255</v>
      </c>
      <c r="ED97" s="553" t="s">
        <v>4784</v>
      </c>
      <c r="EE97" s="553" t="s">
        <v>5256</v>
      </c>
      <c r="EF97" s="553" t="s">
        <v>4820</v>
      </c>
      <c r="EI97" s="553" t="s">
        <v>5397</v>
      </c>
      <c r="EJ97" s="553" t="s">
        <v>4786</v>
      </c>
      <c r="EK97" s="553" t="s">
        <v>4787</v>
      </c>
      <c r="EM97" s="553" t="s">
        <v>5433</v>
      </c>
      <c r="EN97" s="553" t="s">
        <v>5435</v>
      </c>
      <c r="EP97" s="553" t="s">
        <v>5389</v>
      </c>
      <c r="EQ97" s="553" t="s">
        <v>5436</v>
      </c>
      <c r="ER97" s="553" t="s">
        <v>5258</v>
      </c>
      <c r="EU97" s="553" t="s">
        <v>5129</v>
      </c>
      <c r="EW97" s="553" t="s">
        <v>5130</v>
      </c>
      <c r="EZ97" s="553" t="s">
        <v>5230</v>
      </c>
      <c r="FA97" s="553" t="s">
        <v>4772</v>
      </c>
      <c r="FC97" s="553" t="s">
        <v>5131</v>
      </c>
      <c r="FE97" s="553" t="s">
        <v>5132</v>
      </c>
      <c r="FF97" s="553" t="s">
        <v>5259</v>
      </c>
      <c r="FG97" s="553" t="s">
        <v>5133</v>
      </c>
      <c r="FH97" s="553" t="s">
        <v>5134</v>
      </c>
      <c r="FI97" s="553" t="s">
        <v>5135</v>
      </c>
      <c r="FJ97" s="553" t="s">
        <v>4821</v>
      </c>
      <c r="FL97" s="553" t="s">
        <v>5438</v>
      </c>
      <c r="FM97" s="553" t="s">
        <v>5399</v>
      </c>
      <c r="FN97" s="553" t="s">
        <v>5261</v>
      </c>
      <c r="FU97" s="553" t="s">
        <v>5262</v>
      </c>
      <c r="FV97" s="553" t="s">
        <v>5264</v>
      </c>
      <c r="GG97" s="553" t="s">
        <v>5137</v>
      </c>
      <c r="GH97" s="553" t="s">
        <v>5138</v>
      </c>
      <c r="GI97" s="553" t="s">
        <v>5266</v>
      </c>
      <c r="GJ97" s="553" t="s">
        <v>4773</v>
      </c>
      <c r="GM97" s="553" t="s">
        <v>5139</v>
      </c>
      <c r="GN97" s="553" t="s">
        <v>5140</v>
      </c>
      <c r="GP97" s="553" t="s">
        <v>4779</v>
      </c>
      <c r="GR97" s="553" t="s">
        <v>5141</v>
      </c>
      <c r="GS97" s="553" t="s">
        <v>5398</v>
      </c>
      <c r="GW97" s="553" t="s">
        <v>5142</v>
      </c>
      <c r="GX97" s="553" t="s">
        <v>5401</v>
      </c>
      <c r="GY97" s="553" t="s">
        <v>5269</v>
      </c>
      <c r="HA97" s="553" t="s">
        <v>5146</v>
      </c>
      <c r="HB97" s="553" t="s">
        <v>4774</v>
      </c>
      <c r="HC97" s="553" t="s">
        <v>5212</v>
      </c>
      <c r="HG97" s="553" t="s">
        <v>5270</v>
      </c>
      <c r="HK97" s="553" t="s">
        <v>5152</v>
      </c>
      <c r="HL97" s="553" t="s">
        <v>5154</v>
      </c>
      <c r="HM97" s="553" t="s">
        <v>5272</v>
      </c>
      <c r="HP97" s="553" t="s">
        <v>5156</v>
      </c>
      <c r="HQ97" s="553" t="s">
        <v>4822</v>
      </c>
      <c r="HV97" s="553" t="s">
        <v>5158</v>
      </c>
      <c r="HX97" s="553" t="s">
        <v>5274</v>
      </c>
      <c r="HY97" s="553" t="s">
        <v>5160</v>
      </c>
      <c r="IA97" s="553" t="s">
        <v>5161</v>
      </c>
      <c r="IB97" s="553" t="s">
        <v>5275</v>
      </c>
      <c r="IH97" s="553" t="s">
        <v>5439</v>
      </c>
      <c r="IP97" s="553" t="s">
        <v>5406</v>
      </c>
      <c r="IQ97" s="553" t="s">
        <v>5277</v>
      </c>
      <c r="IS97" s="553" t="s">
        <v>5166</v>
      </c>
      <c r="IT97" s="553" t="s">
        <v>5169</v>
      </c>
      <c r="IU97" s="553" t="s">
        <v>5171</v>
      </c>
      <c r="IX97" s="553" t="s">
        <v>5441</v>
      </c>
      <c r="IZ97" s="553" t="s">
        <v>4789</v>
      </c>
      <c r="JB97" s="553" t="s">
        <v>5172</v>
      </c>
      <c r="JC97" s="553" t="s">
        <v>5173</v>
      </c>
      <c r="JD97" s="553" t="s">
        <v>5279</v>
      </c>
      <c r="JE97" s="553" t="s">
        <v>5174</v>
      </c>
      <c r="JF97" s="553" t="s">
        <v>5281</v>
      </c>
      <c r="JM97" s="553" t="s">
        <v>5175</v>
      </c>
      <c r="JN97" s="553" t="s">
        <v>4775</v>
      </c>
      <c r="JP97" s="553" t="s">
        <v>5176</v>
      </c>
      <c r="JS97" s="553" t="s">
        <v>5179</v>
      </c>
      <c r="JT97" s="553" t="s">
        <v>5283</v>
      </c>
      <c r="JU97" s="553" t="s">
        <v>5214</v>
      </c>
      <c r="JV97" s="553" t="s">
        <v>5215</v>
      </c>
      <c r="JW97" s="553" t="s">
        <v>5284</v>
      </c>
      <c r="JX97" s="553" t="s">
        <v>4823</v>
      </c>
      <c r="JY97" s="553" t="s">
        <v>4780</v>
      </c>
      <c r="KD97" s="553" t="s">
        <v>5184</v>
      </c>
      <c r="KH97" s="553" t="s">
        <v>5185</v>
      </c>
      <c r="KI97" s="553" t="s">
        <v>5287</v>
      </c>
      <c r="KN97" s="553" t="s">
        <v>5237</v>
      </c>
      <c r="KS97" s="553" t="s">
        <v>4776</v>
      </c>
      <c r="KV97" s="553" t="s">
        <v>5187</v>
      </c>
      <c r="KW97" s="553" t="s">
        <v>5442</v>
      </c>
      <c r="KX97" s="553" t="s">
        <v>5289</v>
      </c>
      <c r="KZ97" s="553" t="s">
        <v>5191</v>
      </c>
      <c r="LA97" s="553" t="s">
        <v>5194</v>
      </c>
      <c r="LB97" s="553" t="s">
        <v>4824</v>
      </c>
      <c r="LF97" s="553" t="s">
        <v>5196</v>
      </c>
      <c r="LH97" s="553" t="s">
        <v>5444</v>
      </c>
      <c r="LI97" s="553" t="s">
        <v>5198</v>
      </c>
      <c r="LK97" s="553" t="s">
        <v>5446</v>
      </c>
      <c r="LL97" s="553" t="s">
        <v>5291</v>
      </c>
      <c r="LM97" s="553" t="s">
        <v>5293</v>
      </c>
      <c r="LO97" s="553" t="s">
        <v>4777</v>
      </c>
      <c r="LP97" s="553" t="s">
        <v>5199</v>
      </c>
      <c r="LQ97" s="553" t="s">
        <v>5200</v>
      </c>
      <c r="LS97" s="553" t="s">
        <v>5201</v>
      </c>
      <c r="LX97" s="553" t="s">
        <v>5448</v>
      </c>
      <c r="LY97" s="553" t="s">
        <v>4778</v>
      </c>
      <c r="LZ97" s="553" t="s">
        <v>5450</v>
      </c>
      <c r="MA97" s="553" t="s">
        <v>5217</v>
      </c>
      <c r="MB97" s="553" t="s">
        <v>5451</v>
      </c>
      <c r="MC97" s="553" t="s">
        <v>4781</v>
      </c>
      <c r="MD97" s="553" t="s">
        <v>5295</v>
      </c>
      <c r="ME97" s="553" t="s">
        <v>5296</v>
      </c>
      <c r="MN97" s="553" t="s">
        <v>5297</v>
      </c>
      <c r="MO97" s="553" t="s">
        <v>5298</v>
      </c>
      <c r="MP97" s="553" t="s">
        <v>5392</v>
      </c>
      <c r="MQ97" s="553" t="s">
        <v>5301</v>
      </c>
      <c r="MT97" s="553" t="s">
        <v>5453</v>
      </c>
      <c r="MU97" s="553" t="s">
        <v>5455</v>
      </c>
      <c r="MY97" s="553" t="s">
        <v>4768</v>
      </c>
      <c r="ND97" s="553" t="s">
        <v>5097</v>
      </c>
      <c r="NE97" s="553" t="s">
        <v>5303</v>
      </c>
      <c r="NH97" s="553" t="s">
        <v>5098</v>
      </c>
      <c r="NI97" s="553" t="s">
        <v>4817</v>
      </c>
      <c r="NK97" s="553" t="s">
        <v>5099</v>
      </c>
      <c r="NR97" s="553" t="s">
        <v>5100</v>
      </c>
      <c r="NS97" s="553" t="s">
        <v>5305</v>
      </c>
      <c r="NT97" s="553" t="s">
        <v>5101</v>
      </c>
      <c r="NU97" s="553" t="s">
        <v>5307</v>
      </c>
      <c r="NW97" s="553" t="s">
        <v>5102</v>
      </c>
      <c r="NZ97" s="553" t="s">
        <v>5403</v>
      </c>
      <c r="OD97" s="553" t="s">
        <v>4782</v>
      </c>
      <c r="OH97" s="553" t="s">
        <v>5104</v>
      </c>
      <c r="OI97" s="553" t="s">
        <v>5309</v>
      </c>
      <c r="OK97" s="553" t="s">
        <v>5387</v>
      </c>
      <c r="OL97" s="553" t="s">
        <v>4818</v>
      </c>
      <c r="OP97" s="553" t="s">
        <v>5105</v>
      </c>
      <c r="OQ97" s="553" t="s">
        <v>5106</v>
      </c>
      <c r="OR97" s="553" t="s">
        <v>5107</v>
      </c>
      <c r="OV97" s="553" t="s">
        <v>5108</v>
      </c>
      <c r="OW97" s="553" t="s">
        <v>5311</v>
      </c>
      <c r="OX97" s="553" t="s">
        <v>5313</v>
      </c>
      <c r="PF97" s="553" t="s">
        <v>5206</v>
      </c>
      <c r="PH97" s="553" t="s">
        <v>5109</v>
      </c>
      <c r="PI97" s="553" t="s">
        <v>4770</v>
      </c>
      <c r="PJ97" s="553" t="s">
        <v>5314</v>
      </c>
      <c r="PK97" s="553" t="s">
        <v>5112</v>
      </c>
      <c r="PL97" s="553" t="s">
        <v>5316</v>
      </c>
      <c r="PM97" s="553" t="s">
        <v>5113</v>
      </c>
      <c r="PO97" s="553" t="s">
        <v>5114</v>
      </c>
      <c r="PP97" s="553" t="s">
        <v>4819</v>
      </c>
      <c r="PS97" s="553" t="s">
        <v>5115</v>
      </c>
      <c r="PZ97" s="553" t="s">
        <v>5116</v>
      </c>
      <c r="QA97" s="553" t="s">
        <v>5318</v>
      </c>
      <c r="QB97" s="553" t="s">
        <v>5394</v>
      </c>
      <c r="QC97" s="553" t="s">
        <v>5395</v>
      </c>
      <c r="QE97" s="553" t="s">
        <v>5118</v>
      </c>
      <c r="QH97" s="553" t="s">
        <v>5119</v>
      </c>
      <c r="QO97" s="553" t="s">
        <v>5120</v>
      </c>
      <c r="QP97" s="553" t="s">
        <v>5321</v>
      </c>
      <c r="QR97" s="553" t="s">
        <v>5121</v>
      </c>
      <c r="QS97" s="553" t="s">
        <v>5122</v>
      </c>
      <c r="QY97" s="553" t="s">
        <v>5432</v>
      </c>
      <c r="QZ97" s="553" t="s">
        <v>5123</v>
      </c>
      <c r="RD97" s="553" t="s">
        <v>5323</v>
      </c>
      <c r="RE97" s="553" t="s">
        <v>5324</v>
      </c>
      <c r="RF97" s="553" t="s">
        <v>5326</v>
      </c>
      <c r="RK97" s="553" t="s">
        <v>5235</v>
      </c>
      <c r="RM97" s="553" t="s">
        <v>5124</v>
      </c>
      <c r="RP97" s="553" t="s">
        <v>5396</v>
      </c>
      <c r="RR97" s="553" t="s">
        <v>5126</v>
      </c>
      <c r="RS97" s="553" t="s">
        <v>5328</v>
      </c>
      <c r="RU97" s="553" t="s">
        <v>4785</v>
      </c>
      <c r="RV97" s="553" t="s">
        <v>5233</v>
      </c>
      <c r="RW97" s="553" t="s">
        <v>5234</v>
      </c>
      <c r="SC97" s="553" t="s">
        <v>5127</v>
      </c>
      <c r="SF97" s="553" t="s">
        <v>5208</v>
      </c>
      <c r="SG97" s="553" t="s">
        <v>5128</v>
      </c>
      <c r="SH97" s="553" t="s">
        <v>5330</v>
      </c>
      <c r="SJ97" s="553" t="s">
        <v>5332</v>
      </c>
      <c r="SK97" s="553" t="s">
        <v>5129</v>
      </c>
      <c r="SN97" s="553" t="s">
        <v>5434</v>
      </c>
      <c r="SO97" s="553" t="s">
        <v>5435</v>
      </c>
      <c r="SQ97" s="553" t="s">
        <v>5390</v>
      </c>
      <c r="SR97" s="553" t="s">
        <v>5437</v>
      </c>
      <c r="ST97" s="553" t="s">
        <v>5131</v>
      </c>
      <c r="SU97" s="553" t="s">
        <v>5132</v>
      </c>
      <c r="SV97" s="553" t="s">
        <v>5334</v>
      </c>
      <c r="SW97" s="553" t="s">
        <v>5133</v>
      </c>
      <c r="SX97" s="553" t="s">
        <v>5134</v>
      </c>
      <c r="SY97" s="553" t="s">
        <v>5135</v>
      </c>
      <c r="SZ97" s="553" t="s">
        <v>4821</v>
      </c>
      <c r="TA97" s="553" t="s">
        <v>5230</v>
      </c>
      <c r="TD97" s="553" t="s">
        <v>5136</v>
      </c>
      <c r="TK97" s="553" t="s">
        <v>5211</v>
      </c>
      <c r="TL97" s="553" t="s">
        <v>5335</v>
      </c>
      <c r="TM97" s="553" t="s">
        <v>5457</v>
      </c>
      <c r="TN97" s="553" t="s">
        <v>5210</v>
      </c>
      <c r="TO97" s="553" t="s">
        <v>5337</v>
      </c>
      <c r="TP97" s="553" t="s">
        <v>5149</v>
      </c>
      <c r="TY97" s="553" t="s">
        <v>5150</v>
      </c>
      <c r="TZ97" s="553" t="s">
        <v>5339</v>
      </c>
      <c r="UE97" s="553" t="s">
        <v>4788</v>
      </c>
      <c r="UO97" s="553" t="s">
        <v>5151</v>
      </c>
      <c r="UP97" s="553" t="s">
        <v>5145</v>
      </c>
      <c r="UQ97" s="553" t="s">
        <v>4779</v>
      </c>
      <c r="US97" s="553" t="s">
        <v>5342</v>
      </c>
      <c r="UT97" s="553" t="s">
        <v>5344</v>
      </c>
      <c r="UY97" s="553" t="s">
        <v>5236</v>
      </c>
      <c r="VA97" s="553" t="s">
        <v>5137</v>
      </c>
      <c r="VB97" s="553" t="s">
        <v>5138</v>
      </c>
      <c r="VC97" s="553" t="s">
        <v>5346</v>
      </c>
      <c r="VD97" s="553" t="s">
        <v>4773</v>
      </c>
      <c r="VF97" s="553" t="s">
        <v>5139</v>
      </c>
      <c r="VG97" s="553" t="s">
        <v>5140</v>
      </c>
      <c r="VL97" s="553" t="s">
        <v>5141</v>
      </c>
      <c r="VQ97" s="553" t="s">
        <v>5142</v>
      </c>
      <c r="VR97" s="553" t="s">
        <v>5143</v>
      </c>
      <c r="VS97" s="553" t="s">
        <v>5275</v>
      </c>
      <c r="VU97" s="553" t="s">
        <v>5146</v>
      </c>
      <c r="VV97" s="553" t="s">
        <v>4774</v>
      </c>
      <c r="VW97" s="553" t="s">
        <v>5212</v>
      </c>
      <c r="VZ97" s="553" t="s">
        <v>5348</v>
      </c>
      <c r="WA97" s="553" t="s">
        <v>5270</v>
      </c>
      <c r="WE97" s="553" t="s">
        <v>5152</v>
      </c>
      <c r="WF97" s="553" t="s">
        <v>5154</v>
      </c>
      <c r="WG97" s="553" t="s">
        <v>5275</v>
      </c>
      <c r="WI97" s="553" t="s">
        <v>5440</v>
      </c>
      <c r="WJ97" s="553" t="s">
        <v>5156</v>
      </c>
      <c r="WK97" s="553" t="s">
        <v>4822</v>
      </c>
      <c r="WO97" s="553" t="s">
        <v>5158</v>
      </c>
      <c r="WR97" s="553" t="s">
        <v>5159</v>
      </c>
      <c r="WS97" s="553" t="s">
        <v>5160</v>
      </c>
      <c r="WU97" s="553" t="s">
        <v>5161</v>
      </c>
      <c r="WV97" s="553" t="s">
        <v>5350</v>
      </c>
      <c r="WY97" s="553" t="s">
        <v>5441</v>
      </c>
      <c r="WZ97" s="553" t="s">
        <v>4789</v>
      </c>
      <c r="XB97" s="553" t="s">
        <v>5162</v>
      </c>
      <c r="XE97" s="553" t="s">
        <v>5352</v>
      </c>
      <c r="XI97" s="553" t="s">
        <v>5406</v>
      </c>
      <c r="XJ97" s="553" t="s">
        <v>5354</v>
      </c>
      <c r="XM97" s="553" t="s">
        <v>5166</v>
      </c>
      <c r="XN97" s="553" t="s">
        <v>5169</v>
      </c>
      <c r="XO97" s="553" t="s">
        <v>5171</v>
      </c>
      <c r="XV97" s="553" t="s">
        <v>5172</v>
      </c>
      <c r="XW97" s="553" t="s">
        <v>5173</v>
      </c>
      <c r="XY97" s="553" t="s">
        <v>5174</v>
      </c>
      <c r="XZ97" s="553" t="s">
        <v>5391</v>
      </c>
      <c r="YG97" s="553" t="s">
        <v>5175</v>
      </c>
      <c r="YH97" s="553" t="s">
        <v>4775</v>
      </c>
      <c r="YJ97" s="553" t="s">
        <v>5357</v>
      </c>
      <c r="YM97" s="553" t="s">
        <v>5179</v>
      </c>
      <c r="YN97" s="553" t="s">
        <v>5359</v>
      </c>
      <c r="YO97" s="553" t="s">
        <v>5402</v>
      </c>
      <c r="YP97" s="553" t="s">
        <v>5215</v>
      </c>
      <c r="YQ97" s="553" t="s">
        <v>5284</v>
      </c>
      <c r="YR97" s="553" t="s">
        <v>4823</v>
      </c>
      <c r="YX97" s="553" t="s">
        <v>5443</v>
      </c>
      <c r="ZB97" s="553" t="s">
        <v>5185</v>
      </c>
      <c r="ZC97" s="553" t="s">
        <v>5361</v>
      </c>
      <c r="ZI97" s="553" t="s">
        <v>5445</v>
      </c>
      <c r="ZL97" s="553" t="s">
        <v>5447</v>
      </c>
      <c r="ZN97" s="553" t="s">
        <v>5363</v>
      </c>
      <c r="ZP97" s="553" t="s">
        <v>5187</v>
      </c>
      <c r="ZQ97" s="553" t="s">
        <v>5189</v>
      </c>
      <c r="ZR97" s="553" t="s">
        <v>5365</v>
      </c>
      <c r="ZT97" s="553" t="s">
        <v>5191</v>
      </c>
      <c r="ZU97" s="553" t="s">
        <v>5194</v>
      </c>
      <c r="ZV97" s="553" t="s">
        <v>4824</v>
      </c>
      <c r="ZY97" s="553" t="s">
        <v>5449</v>
      </c>
      <c r="ZZ97" s="553" t="s">
        <v>5196</v>
      </c>
      <c r="AAA97" s="553" t="s">
        <v>5450</v>
      </c>
      <c r="AAB97" s="553" t="s">
        <v>5197</v>
      </c>
      <c r="AAC97" s="553" t="s">
        <v>5452</v>
      </c>
      <c r="AAD97" s="553" t="s">
        <v>4781</v>
      </c>
      <c r="AAE97" s="553" t="s">
        <v>5216</v>
      </c>
      <c r="AAF97" s="553" t="s">
        <v>5367</v>
      </c>
      <c r="AAI97" s="553" t="s">
        <v>4777</v>
      </c>
      <c r="AAJ97" s="553" t="s">
        <v>5199</v>
      </c>
      <c r="AAK97" s="553" t="s">
        <v>5200</v>
      </c>
      <c r="AAM97" s="553" t="s">
        <v>5201</v>
      </c>
      <c r="AAQ97" s="553" t="s">
        <v>5393</v>
      </c>
      <c r="AAR97" s="553" t="s">
        <v>5369</v>
      </c>
      <c r="AAU97" s="553" t="s">
        <v>5454</v>
      </c>
      <c r="AAV97" s="553" t="s">
        <v>5456</v>
      </c>
      <c r="AAW97" s="553" t="s">
        <v>5371</v>
      </c>
      <c r="AAX97" s="553" t="s">
        <v>5372</v>
      </c>
      <c r="AAY97" s="553" t="s">
        <v>5205</v>
      </c>
      <c r="ABI97" s="553" t="s">
        <v>5373</v>
      </c>
      <c r="ABJ97" s="553" t="s">
        <v>5375</v>
      </c>
      <c r="ABS97" s="553" t="s">
        <v>4768</v>
      </c>
      <c r="ABV97" s="553" t="s">
        <v>5377</v>
      </c>
      <c r="ABX97" s="553" t="s">
        <v>5097</v>
      </c>
      <c r="ABY97" s="553" t="s">
        <v>5379</v>
      </c>
      <c r="ACA97" s="553" t="s">
        <v>5238</v>
      </c>
      <c r="ACB97" s="553" t="s">
        <v>5098</v>
      </c>
      <c r="ACC97" s="553" t="s">
        <v>4817</v>
      </c>
      <c r="ACE97" s="553" t="s">
        <v>4782</v>
      </c>
      <c r="ACF97" s="553" t="s">
        <v>5099</v>
      </c>
      <c r="ACL97" s="553" t="s">
        <v>5388</v>
      </c>
      <c r="ACM97" s="553" t="s">
        <v>5381</v>
      </c>
      <c r="ACN97" s="553" t="s">
        <v>5101</v>
      </c>
      <c r="ACQ97" s="553" t="s">
        <v>5102</v>
      </c>
      <c r="ACS97" s="553" t="s">
        <v>5103</v>
      </c>
      <c r="ACY97" s="553" t="s">
        <v>5383</v>
      </c>
      <c r="ADB97" s="553" t="s">
        <v>5104</v>
      </c>
      <c r="ADC97" s="553" t="s">
        <v>5385</v>
      </c>
      <c r="ADF97" s="553" t="s">
        <v>5386</v>
      </c>
      <c r="ADJ97" s="553" t="s">
        <v>5105</v>
      </c>
      <c r="ADK97" s="553" t="s">
        <v>5106</v>
      </c>
      <c r="ADL97" s="553" t="s">
        <v>5107</v>
      </c>
      <c r="ADP97" s="553" t="s">
        <v>5108</v>
      </c>
    </row>
    <row r="98" spans="1:796">
      <c r="A98" t="s">
        <v>4584</v>
      </c>
      <c r="B98">
        <v>98</v>
      </c>
      <c r="C98" t="s">
        <v>4270</v>
      </c>
      <c r="D98">
        <v>33</v>
      </c>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Cover">
    <pageSetUpPr fitToPage="1"/>
  </sheetPr>
  <dimension ref="A1:R44"/>
  <sheetViews>
    <sheetView showGridLines="0" showRowColHeaders="0" workbookViewId="0"/>
  </sheetViews>
  <sheetFormatPr defaultColWidth="0" defaultRowHeight="15" zeroHeight="1"/>
  <cols>
    <col min="1" max="9" width="9.140625" style="1" customWidth="1"/>
    <col min="10" max="10" width="2" style="1" hidden="1" customWidth="1"/>
    <col min="11" max="12" width="9.140625" style="1" hidden="1" customWidth="1"/>
    <col min="13" max="13" width="12.5703125" style="1" hidden="1" customWidth="1"/>
    <col min="14" max="14" width="10.140625" style="1" hidden="1" customWidth="1"/>
    <col min="15" max="15" width="10" style="1" hidden="1" customWidth="1"/>
    <col min="16" max="16" width="4" style="1" hidden="1" customWidth="1"/>
    <col min="17" max="17" width="12.5703125" style="1" hidden="1" customWidth="1"/>
    <col min="18" max="18" width="17.5703125" style="1" hidden="1" customWidth="1"/>
    <col min="19" max="16384" width="9.140625" style="1" hidden="1"/>
  </cols>
  <sheetData>
    <row r="1" spans="2:8">
      <c r="B1" s="650" t="str">
        <f ca="1">'GPlan-Translations'!C7</f>
        <v>AGENDA VAISHNAVA GPLAN</v>
      </c>
      <c r="C1" s="650"/>
      <c r="D1" s="650"/>
      <c r="E1" s="650"/>
      <c r="F1" s="650"/>
      <c r="G1" s="650"/>
      <c r="H1" s="650"/>
    </row>
    <row r="2" spans="2:8" ht="32.25" customHeight="1">
      <c r="B2" s="650"/>
      <c r="C2" s="650"/>
      <c r="D2" s="650"/>
      <c r="E2" s="650"/>
      <c r="F2" s="650"/>
      <c r="G2" s="650"/>
      <c r="H2" s="650"/>
    </row>
    <row r="3" spans="2:8" ht="24.75" customHeight="1">
      <c r="B3" s="650"/>
      <c r="C3" s="650"/>
      <c r="D3" s="650"/>
      <c r="E3" s="650"/>
      <c r="F3" s="650"/>
      <c r="G3" s="650"/>
      <c r="H3" s="650"/>
    </row>
    <row r="4" spans="2:8"/>
    <row r="5" spans="2:8"/>
    <row r="6" spans="2:8" ht="19.5" customHeight="1">
      <c r="B6" s="647" t="str">
        <f>Index!Z15</f>
        <v>Gaurabda 530 / 531</v>
      </c>
      <c r="C6" s="647"/>
      <c r="D6" s="647"/>
      <c r="E6" s="647"/>
      <c r="F6" s="647"/>
      <c r="G6" s="647"/>
      <c r="H6" s="647"/>
    </row>
    <row r="7" spans="2:8" ht="19.5" customHeight="1">
      <c r="B7" s="273"/>
      <c r="C7" s="273"/>
      <c r="D7" s="273"/>
      <c r="E7" s="273"/>
      <c r="F7" s="273"/>
      <c r="G7" s="273"/>
      <c r="H7" s="273"/>
    </row>
    <row r="8" spans="2:8" ht="19.5" customHeight="1">
      <c r="B8" s="647" t="str">
        <f>Index!H16</f>
        <v>Recife</v>
      </c>
      <c r="C8" s="647"/>
      <c r="D8" s="647"/>
      <c r="E8" s="647"/>
      <c r="F8" s="647"/>
      <c r="G8" s="647"/>
      <c r="H8" s="647"/>
    </row>
    <row r="9" spans="2:8">
      <c r="B9" s="649">
        <f>Index!X13</f>
        <v>2017</v>
      </c>
      <c r="C9" s="649"/>
      <c r="D9" s="649"/>
      <c r="E9" s="649"/>
      <c r="F9" s="649"/>
      <c r="G9" s="649"/>
      <c r="H9" s="649"/>
    </row>
    <row r="10" spans="2:8" ht="22.5" customHeight="1">
      <c r="B10" s="649"/>
      <c r="C10" s="649"/>
      <c r="D10" s="649"/>
      <c r="E10" s="649"/>
      <c r="F10" s="649"/>
      <c r="G10" s="649"/>
      <c r="H10" s="649"/>
    </row>
    <row r="11" spans="2:8"/>
    <row r="12" spans="2:8"/>
    <row r="13" spans="2:8" ht="15" customHeight="1">
      <c r="B13" s="648" t="str">
        <f ca="1">'GPlan-Translations'!C8</f>
        <v>Uma agenda transcendental, para você não perder de vista o que realmente importa.</v>
      </c>
      <c r="C13" s="648"/>
      <c r="D13" s="648"/>
      <c r="E13" s="648"/>
      <c r="F13" s="648"/>
      <c r="G13" s="648"/>
      <c r="H13" s="648"/>
    </row>
    <row r="14" spans="2:8" ht="15" customHeight="1">
      <c r="B14" s="648"/>
      <c r="C14" s="648"/>
      <c r="D14" s="648"/>
      <c r="E14" s="648"/>
      <c r="F14" s="648"/>
      <c r="G14" s="648"/>
      <c r="H14" s="648"/>
    </row>
    <row r="15" spans="2:8" ht="15" customHeight="1">
      <c r="B15" s="648"/>
      <c r="C15" s="648"/>
      <c r="D15" s="648"/>
      <c r="E15" s="648"/>
      <c r="F15" s="648"/>
      <c r="G15" s="648"/>
      <c r="H15" s="648"/>
    </row>
    <row r="16" spans="2:8" ht="15" customHeight="1">
      <c r="B16" s="648"/>
      <c r="C16" s="648"/>
      <c r="D16" s="648"/>
      <c r="E16" s="648"/>
      <c r="F16" s="648"/>
      <c r="G16" s="648"/>
      <c r="H16" s="648"/>
    </row>
    <row r="17" spans="2:8" ht="15" customHeight="1">
      <c r="B17" s="294"/>
      <c r="C17" s="294"/>
      <c r="D17" s="294"/>
      <c r="E17" s="294"/>
      <c r="F17" s="294"/>
      <c r="G17" s="3" t="str">
        <f ca="1">'GPlan-Translations'!C9</f>
        <v>Versão</v>
      </c>
      <c r="H17" s="558" t="s">
        <v>5459</v>
      </c>
    </row>
    <row r="18" spans="2:8"/>
    <row r="19" spans="2:8"/>
    <row r="20" spans="2:8" ht="16.5">
      <c r="B20" s="646" t="s">
        <v>351</v>
      </c>
      <c r="C20" s="646"/>
      <c r="D20" s="646"/>
      <c r="E20" s="646"/>
      <c r="F20" s="646"/>
      <c r="G20" s="646"/>
      <c r="H20" s="646"/>
    </row>
    <row r="21" spans="2:8" ht="16.5">
      <c r="B21" s="646" t="s">
        <v>352</v>
      </c>
      <c r="C21" s="646"/>
      <c r="D21" s="646"/>
      <c r="E21" s="646"/>
      <c r="F21" s="646"/>
      <c r="G21" s="646"/>
      <c r="H21" s="646"/>
    </row>
    <row r="22" spans="2:8">
      <c r="B22" s="644" t="s">
        <v>550</v>
      </c>
      <c r="C22" s="644"/>
      <c r="D22" s="644"/>
      <c r="E22" s="644"/>
      <c r="F22" s="644"/>
      <c r="G22" s="644"/>
      <c r="H22" s="644"/>
    </row>
    <row r="23" spans="2:8" ht="15" customHeight="1">
      <c r="B23" s="644" t="s">
        <v>551</v>
      </c>
      <c r="C23" s="644"/>
      <c r="D23" s="644"/>
      <c r="E23" s="644"/>
      <c r="F23" s="644"/>
      <c r="G23" s="644"/>
      <c r="H23" s="644"/>
    </row>
    <row r="24" spans="2:8">
      <c r="B24" s="644" t="s">
        <v>552</v>
      </c>
      <c r="C24" s="644"/>
      <c r="D24" s="644"/>
      <c r="E24" s="644"/>
      <c r="F24" s="644"/>
      <c r="G24" s="644"/>
      <c r="H24" s="644"/>
    </row>
    <row r="25" spans="2:8" ht="19.5" customHeight="1">
      <c r="B25" s="644" t="s">
        <v>553</v>
      </c>
      <c r="C25" s="644"/>
      <c r="D25" s="644"/>
      <c r="E25" s="644"/>
      <c r="F25" s="644"/>
      <c r="G25" s="644"/>
      <c r="H25" s="644"/>
    </row>
    <row r="26" spans="2:8">
      <c r="B26" s="645" t="s">
        <v>4871</v>
      </c>
      <c r="C26" s="645"/>
      <c r="D26" s="645"/>
      <c r="E26" s="645"/>
      <c r="F26" s="645"/>
      <c r="G26" s="645"/>
      <c r="H26" s="645"/>
    </row>
    <row r="27" spans="2:8" ht="15" customHeight="1">
      <c r="B27" s="645"/>
      <c r="C27" s="645"/>
      <c r="D27" s="645"/>
      <c r="E27" s="645"/>
      <c r="F27" s="645"/>
      <c r="G27" s="645"/>
      <c r="H27" s="645"/>
    </row>
    <row r="28" spans="2:8" ht="15" customHeight="1">
      <c r="B28" s="645"/>
      <c r="C28" s="645"/>
      <c r="D28" s="645"/>
      <c r="E28" s="645"/>
      <c r="F28" s="645"/>
      <c r="G28" s="645"/>
      <c r="H28" s="645"/>
    </row>
    <row r="29" spans="2:8" ht="15" customHeight="1">
      <c r="B29" s="645"/>
      <c r="C29" s="645"/>
      <c r="D29" s="645"/>
      <c r="E29" s="645"/>
      <c r="F29" s="645"/>
      <c r="G29" s="645"/>
      <c r="H29" s="645"/>
    </row>
    <row r="30" spans="2:8" ht="15" customHeight="1">
      <c r="B30" s="645"/>
      <c r="C30" s="645"/>
      <c r="D30" s="645"/>
      <c r="E30" s="645"/>
      <c r="F30" s="645"/>
      <c r="G30" s="645"/>
      <c r="H30" s="645"/>
    </row>
    <row r="31" spans="2:8"/>
    <row r="32" spans="2:8" ht="21.75" customHeight="1">
      <c r="B32" s="646" t="s">
        <v>396</v>
      </c>
      <c r="C32" s="646"/>
      <c r="D32" s="646"/>
      <c r="E32" s="646"/>
      <c r="F32" s="646"/>
      <c r="G32" s="646"/>
      <c r="H32" s="646"/>
    </row>
    <row r="33" spans="2:8" ht="21.75" customHeight="1">
      <c r="B33" s="646" t="s">
        <v>397</v>
      </c>
      <c r="C33" s="646"/>
      <c r="D33" s="646"/>
      <c r="E33" s="646"/>
      <c r="F33" s="646"/>
      <c r="G33" s="646"/>
      <c r="H33" s="646"/>
    </row>
    <row r="34" spans="2:8" ht="15" customHeight="1">
      <c r="B34" s="644" t="s">
        <v>259</v>
      </c>
      <c r="C34" s="644"/>
      <c r="D34" s="644"/>
      <c r="E34" s="644"/>
      <c r="F34" s="644"/>
      <c r="G34" s="644"/>
      <c r="H34" s="644"/>
    </row>
    <row r="35" spans="2:8" ht="15" customHeight="1">
      <c r="B35" s="644" t="s">
        <v>260</v>
      </c>
      <c r="C35" s="644"/>
      <c r="D35" s="644"/>
      <c r="E35" s="644"/>
      <c r="F35" s="644"/>
      <c r="G35" s="644"/>
      <c r="H35" s="644"/>
    </row>
    <row r="36" spans="2:8" ht="15" customHeight="1">
      <c r="B36" s="644" t="s">
        <v>261</v>
      </c>
      <c r="C36" s="644"/>
      <c r="D36" s="644"/>
      <c r="E36" s="644"/>
      <c r="F36" s="644"/>
      <c r="G36" s="644"/>
      <c r="H36" s="644"/>
    </row>
    <row r="37" spans="2:8" ht="15" customHeight="1">
      <c r="B37" s="644" t="s">
        <v>553</v>
      </c>
      <c r="C37" s="644"/>
      <c r="D37" s="644"/>
      <c r="E37" s="644"/>
      <c r="F37" s="644"/>
      <c r="G37" s="644"/>
      <c r="H37" s="644"/>
    </row>
    <row r="38" spans="2:8" ht="15" customHeight="1">
      <c r="B38" s="645" t="s">
        <v>4870</v>
      </c>
      <c r="C38" s="645"/>
      <c r="D38" s="645"/>
      <c r="E38" s="645"/>
      <c r="F38" s="645"/>
      <c r="G38" s="645"/>
      <c r="H38" s="645"/>
    </row>
    <row r="39" spans="2:8">
      <c r="B39" s="645"/>
      <c r="C39" s="645"/>
      <c r="D39" s="645"/>
      <c r="E39" s="645"/>
      <c r="F39" s="645"/>
      <c r="G39" s="645"/>
      <c r="H39" s="645"/>
    </row>
    <row r="40" spans="2:8">
      <c r="B40" s="645"/>
      <c r="C40" s="645"/>
      <c r="D40" s="645"/>
      <c r="E40" s="645"/>
      <c r="F40" s="645"/>
      <c r="G40" s="645"/>
      <c r="H40" s="645"/>
    </row>
    <row r="41" spans="2:8">
      <c r="B41" s="645"/>
      <c r="C41" s="645"/>
      <c r="D41" s="645"/>
      <c r="E41" s="645"/>
      <c r="F41" s="645"/>
      <c r="G41" s="645"/>
      <c r="H41" s="645"/>
    </row>
    <row r="42" spans="2:8">
      <c r="B42" s="645"/>
      <c r="C42" s="645"/>
      <c r="D42" s="645"/>
      <c r="E42" s="645"/>
      <c r="F42" s="645"/>
      <c r="G42" s="645"/>
      <c r="H42" s="645"/>
    </row>
    <row r="43" spans="2:8">
      <c r="B43" s="645"/>
      <c r="C43" s="645"/>
      <c r="D43" s="645"/>
      <c r="E43" s="645"/>
      <c r="F43" s="645"/>
      <c r="G43" s="645"/>
      <c r="H43" s="645"/>
    </row>
    <row r="44" spans="2:8"/>
  </sheetData>
  <sheetProtection sheet="1" objects="1" scenarios="1"/>
  <mergeCells count="19">
    <mergeCell ref="B6:H6"/>
    <mergeCell ref="B8:H8"/>
    <mergeCell ref="B13:H16"/>
    <mergeCell ref="B9:H10"/>
    <mergeCell ref="B1:H3"/>
    <mergeCell ref="B24:H24"/>
    <mergeCell ref="B25:H25"/>
    <mergeCell ref="B20:H20"/>
    <mergeCell ref="B21:H21"/>
    <mergeCell ref="B23:H23"/>
    <mergeCell ref="B22:H22"/>
    <mergeCell ref="B37:H37"/>
    <mergeCell ref="B26:H30"/>
    <mergeCell ref="B38:H43"/>
    <mergeCell ref="B32:H32"/>
    <mergeCell ref="B33:H33"/>
    <mergeCell ref="B34:H34"/>
    <mergeCell ref="B35:H35"/>
    <mergeCell ref="B36:H36"/>
  </mergeCells>
  <phoneticPr fontId="4" type="noConversion"/>
  <printOptions horizontalCentered="1"/>
  <pageMargins left="0.78740157480314965" right="0.78740157480314965" top="0.98425196850393704" bottom="0.98425196850393704" header="0.51181102362204722" footer="0.51181102362204722"/>
  <pageSetup paperSize="9" scale="97"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itle">
    <pageSetUpPr fitToPage="1"/>
  </sheetPr>
  <dimension ref="A1:L78"/>
  <sheetViews>
    <sheetView showGridLines="0" showRowColHeaders="0" zoomScaleNormal="100" workbookViewId="0"/>
  </sheetViews>
  <sheetFormatPr defaultColWidth="0" defaultRowHeight="15" zeroHeight="1"/>
  <cols>
    <col min="1" max="1" width="9.140625" style="1" customWidth="1"/>
    <col min="2" max="2" width="9.140625" style="5" customWidth="1"/>
    <col min="3" max="10" width="9.140625" style="1" customWidth="1"/>
    <col min="11" max="11" width="9.140625" style="1" hidden="1" customWidth="1"/>
    <col min="12" max="12" width="6.7109375" style="1" hidden="1" customWidth="1"/>
    <col min="13" max="16384" width="9.140625" style="1" hidden="1"/>
  </cols>
  <sheetData>
    <row r="1" spans="2:9"/>
    <row r="2" spans="2:9"/>
    <row r="3" spans="2:9" ht="27">
      <c r="B3" s="6" t="str">
        <f ca="1">'GPlan-Translations'!C12</f>
        <v>AGENDA VAISHNAVA GPLAN</v>
      </c>
    </row>
    <row r="4" spans="2:9"/>
    <row r="5" spans="2:9" ht="18" customHeight="1">
      <c r="B5" s="653" t="str">
        <f ca="1">'GPlan-Translations'!C13</f>
        <v>Uma agenda transcendental, para você não perder de vista o que realmente importa.</v>
      </c>
      <c r="C5" s="653"/>
      <c r="D5" s="653"/>
      <c r="E5" s="653"/>
      <c r="F5" s="653"/>
      <c r="G5" s="653"/>
      <c r="H5" s="653"/>
      <c r="I5" s="653"/>
    </row>
    <row r="6" spans="2:9" ht="18" customHeight="1">
      <c r="B6" s="653"/>
      <c r="C6" s="653"/>
      <c r="D6" s="653"/>
      <c r="E6" s="653"/>
      <c r="F6" s="653"/>
      <c r="G6" s="653"/>
      <c r="H6" s="653"/>
      <c r="I6" s="653"/>
    </row>
    <row r="7" spans="2:9" ht="18" customHeight="1">
      <c r="B7" s="653"/>
      <c r="C7" s="653"/>
      <c r="D7" s="653"/>
      <c r="E7" s="653"/>
      <c r="F7" s="653"/>
      <c r="G7" s="653"/>
      <c r="H7" s="653"/>
      <c r="I7" s="653"/>
    </row>
    <row r="8" spans="2:9">
      <c r="B8" s="653"/>
      <c r="C8" s="653"/>
      <c r="D8" s="653"/>
      <c r="E8" s="653"/>
      <c r="F8" s="653"/>
      <c r="G8" s="653"/>
      <c r="H8" s="653"/>
      <c r="I8" s="653"/>
    </row>
    <row r="9" spans="2:9"/>
    <row r="10" spans="2:9">
      <c r="B10" s="5" t="str">
        <f ca="1">'GPlan-Translations'!C14</f>
        <v>Copyright (c) 2005-2017 PAULO SERGIO DE ARAUJO.</v>
      </c>
    </row>
    <row r="11" spans="2:9">
      <c r="B11" s="652" t="str">
        <f ca="1">'GPlan-Translations'!C15</f>
        <v>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C11" s="652"/>
      <c r="D11" s="652"/>
      <c r="E11" s="652"/>
      <c r="F11" s="652"/>
      <c r="G11" s="652"/>
      <c r="H11" s="652"/>
      <c r="I11" s="652"/>
    </row>
    <row r="12" spans="2:9">
      <c r="B12" s="652"/>
      <c r="C12" s="652"/>
      <c r="D12" s="652"/>
      <c r="E12" s="652"/>
      <c r="F12" s="652"/>
      <c r="G12" s="652"/>
      <c r="H12" s="652"/>
      <c r="I12" s="652"/>
    </row>
    <row r="13" spans="2:9">
      <c r="B13" s="652"/>
      <c r="C13" s="652"/>
      <c r="D13" s="652"/>
      <c r="E13" s="652"/>
      <c r="F13" s="652"/>
      <c r="G13" s="652"/>
      <c r="H13" s="652"/>
      <c r="I13" s="652"/>
    </row>
    <row r="14" spans="2:9">
      <c r="B14" s="652"/>
      <c r="C14" s="652"/>
      <c r="D14" s="652"/>
      <c r="E14" s="652"/>
      <c r="F14" s="652"/>
      <c r="G14" s="652"/>
      <c r="H14" s="652"/>
      <c r="I14" s="652"/>
    </row>
    <row r="15" spans="2:9">
      <c r="B15" s="652"/>
      <c r="C15" s="652"/>
      <c r="D15" s="652"/>
      <c r="E15" s="652"/>
      <c r="F15" s="652"/>
      <c r="G15" s="652"/>
      <c r="H15" s="652"/>
      <c r="I15" s="652"/>
    </row>
    <row r="16" spans="2:9">
      <c r="B16" s="652"/>
      <c r="C16" s="652"/>
      <c r="D16" s="652"/>
      <c r="E16" s="652"/>
      <c r="F16" s="652"/>
      <c r="G16" s="652"/>
      <c r="H16" s="652"/>
      <c r="I16" s="652"/>
    </row>
    <row r="17" spans="2:9">
      <c r="B17" s="652"/>
      <c r="C17" s="652"/>
      <c r="D17" s="652"/>
      <c r="E17" s="652"/>
      <c r="F17" s="652"/>
      <c r="G17" s="652"/>
      <c r="H17" s="652"/>
      <c r="I17" s="652"/>
    </row>
    <row r="18" spans="2:9">
      <c r="B18" s="652"/>
      <c r="C18" s="652"/>
      <c r="D18" s="652"/>
      <c r="E18" s="652"/>
      <c r="F18" s="652"/>
      <c r="G18" s="652"/>
      <c r="H18" s="652"/>
      <c r="I18" s="652"/>
    </row>
    <row r="19" spans="2:9"/>
    <row r="20" spans="2:9">
      <c r="B20" s="5" t="str">
        <f ca="1">'GPlan-Translations'!C16</f>
        <v>Copyright (c) 2005-2017 PAULO SERGIO DE ARAUJO.</v>
      </c>
    </row>
    <row r="21" spans="2:9" ht="15" customHeight="1">
      <c r="B21" s="652" t="str">
        <f ca="1">'GPlan-Translations'!C17</f>
        <v>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652"/>
      <c r="D21" s="652"/>
      <c r="E21" s="652"/>
      <c r="F21" s="652"/>
      <c r="G21" s="652"/>
      <c r="H21" s="652"/>
      <c r="I21" s="652"/>
    </row>
    <row r="22" spans="2:9" ht="15" customHeight="1">
      <c r="B22" s="652"/>
      <c r="C22" s="652"/>
      <c r="D22" s="652"/>
      <c r="E22" s="652"/>
      <c r="F22" s="652"/>
      <c r="G22" s="652"/>
      <c r="H22" s="652"/>
      <c r="I22" s="652"/>
    </row>
    <row r="23" spans="2:9" ht="15" customHeight="1">
      <c r="B23" s="652"/>
      <c r="C23" s="652"/>
      <c r="D23" s="652"/>
      <c r="E23" s="652"/>
      <c r="F23" s="652"/>
      <c r="G23" s="652"/>
      <c r="H23" s="652"/>
      <c r="I23" s="652"/>
    </row>
    <row r="24" spans="2:9" ht="15" customHeight="1">
      <c r="B24" s="652"/>
      <c r="C24" s="652"/>
      <c r="D24" s="652"/>
      <c r="E24" s="652"/>
      <c r="F24" s="652"/>
      <c r="G24" s="652"/>
      <c r="H24" s="652"/>
      <c r="I24" s="652"/>
    </row>
    <row r="25" spans="2:9" ht="15" customHeight="1">
      <c r="B25" s="652"/>
      <c r="C25" s="652"/>
      <c r="D25" s="652"/>
      <c r="E25" s="652"/>
      <c r="F25" s="652"/>
      <c r="G25" s="652"/>
      <c r="H25" s="652"/>
      <c r="I25" s="652"/>
    </row>
    <row r="26" spans="2:9" ht="15" customHeight="1">
      <c r="B26" s="652"/>
      <c r="C26" s="652"/>
      <c r="D26" s="652"/>
      <c r="E26" s="652"/>
      <c r="F26" s="652"/>
      <c r="G26" s="652"/>
      <c r="H26" s="652"/>
      <c r="I26" s="652"/>
    </row>
    <row r="27" spans="2:9" ht="15" customHeight="1">
      <c r="B27" s="652"/>
      <c r="C27" s="652"/>
      <c r="D27" s="652"/>
      <c r="E27" s="652"/>
      <c r="F27" s="652"/>
      <c r="G27" s="652"/>
      <c r="H27" s="652"/>
      <c r="I27" s="652"/>
    </row>
    <row r="28" spans="2:9" ht="15" customHeight="1">
      <c r="B28" s="652"/>
      <c r="C28" s="652"/>
      <c r="D28" s="652"/>
      <c r="E28" s="652"/>
      <c r="F28" s="652"/>
      <c r="G28" s="652"/>
      <c r="H28" s="652"/>
      <c r="I28" s="652"/>
    </row>
    <row r="29" spans="2:9">
      <c r="B29" s="652"/>
      <c r="C29" s="652"/>
      <c r="D29" s="652"/>
      <c r="E29" s="652"/>
      <c r="F29" s="652"/>
      <c r="G29" s="652"/>
      <c r="H29" s="652"/>
      <c r="I29" s="652"/>
    </row>
    <row r="30" spans="2:9"/>
    <row r="31" spans="2:9"/>
    <row r="32" spans="2:9">
      <c r="B32" s="8" t="str">
        <f ca="1">'GPlan-Translations'!C18</f>
        <v>NO WARRANTY</v>
      </c>
    </row>
    <row r="33" spans="2:9">
      <c r="B33" s="652"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652"/>
      <c r="D33" s="652"/>
      <c r="E33" s="652"/>
      <c r="F33" s="652"/>
      <c r="G33" s="652"/>
      <c r="H33" s="652"/>
      <c r="I33" s="652"/>
    </row>
    <row r="34" spans="2:9">
      <c r="B34" s="652"/>
      <c r="C34" s="652"/>
      <c r="D34" s="652"/>
      <c r="E34" s="652"/>
      <c r="F34" s="652"/>
      <c r="G34" s="652"/>
      <c r="H34" s="652"/>
      <c r="I34" s="652"/>
    </row>
    <row r="35" spans="2:9">
      <c r="B35" s="652"/>
      <c r="C35" s="652"/>
      <c r="D35" s="652"/>
      <c r="E35" s="652"/>
      <c r="F35" s="652"/>
      <c r="G35" s="652"/>
      <c r="H35" s="652"/>
      <c r="I35" s="652"/>
    </row>
    <row r="36" spans="2:9">
      <c r="B36" s="652"/>
      <c r="C36" s="652"/>
      <c r="D36" s="652"/>
      <c r="E36" s="652"/>
      <c r="F36" s="652"/>
      <c r="G36" s="652"/>
      <c r="H36" s="652"/>
      <c r="I36" s="652"/>
    </row>
    <row r="37" spans="2:9">
      <c r="B37" s="652"/>
      <c r="C37" s="652"/>
      <c r="D37" s="652"/>
      <c r="E37" s="652"/>
      <c r="F37" s="652"/>
      <c r="G37" s="652"/>
      <c r="H37" s="652"/>
      <c r="I37" s="652"/>
    </row>
    <row r="38" spans="2:9">
      <c r="B38" s="652"/>
      <c r="C38" s="652"/>
      <c r="D38" s="652"/>
      <c r="E38" s="652"/>
      <c r="F38" s="652"/>
      <c r="G38" s="652"/>
      <c r="H38" s="652"/>
      <c r="I38" s="652"/>
    </row>
    <row r="39" spans="2:9">
      <c r="B39" s="9"/>
    </row>
    <row r="40" spans="2:9">
      <c r="B40" s="651"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0" s="651"/>
      <c r="D40" s="651"/>
      <c r="E40" s="651"/>
      <c r="F40" s="651"/>
      <c r="G40" s="651"/>
      <c r="H40" s="651"/>
      <c r="I40" s="651"/>
    </row>
    <row r="41" spans="2:9">
      <c r="B41" s="651"/>
      <c r="C41" s="651"/>
      <c r="D41" s="651"/>
      <c r="E41" s="651"/>
      <c r="F41" s="651"/>
      <c r="G41" s="651"/>
      <c r="H41" s="651"/>
      <c r="I41" s="651"/>
    </row>
    <row r="42" spans="2:9">
      <c r="B42" s="651"/>
      <c r="C42" s="651"/>
      <c r="D42" s="651"/>
      <c r="E42" s="651"/>
      <c r="F42" s="651"/>
      <c r="G42" s="651"/>
      <c r="H42" s="651"/>
      <c r="I42" s="651"/>
    </row>
    <row r="43" spans="2:9">
      <c r="B43" s="651"/>
      <c r="C43" s="651"/>
      <c r="D43" s="651"/>
      <c r="E43" s="651"/>
      <c r="F43" s="651"/>
      <c r="G43" s="651"/>
      <c r="H43" s="651"/>
      <c r="I43" s="651"/>
    </row>
    <row r="44" spans="2:9">
      <c r="B44" s="651"/>
      <c r="C44" s="651"/>
      <c r="D44" s="651"/>
      <c r="E44" s="651"/>
      <c r="F44" s="651"/>
      <c r="G44" s="651"/>
      <c r="H44" s="651"/>
      <c r="I44" s="651"/>
    </row>
    <row r="45" spans="2:9">
      <c r="B45" s="651"/>
      <c r="C45" s="651"/>
      <c r="D45" s="651"/>
      <c r="E45" s="651"/>
      <c r="F45" s="651"/>
      <c r="G45" s="651"/>
      <c r="H45" s="651"/>
      <c r="I45" s="651"/>
    </row>
    <row r="46" spans="2:9">
      <c r="B46" s="651"/>
      <c r="C46" s="651"/>
      <c r="D46" s="651"/>
      <c r="E46" s="651"/>
      <c r="F46" s="651"/>
      <c r="G46" s="651"/>
      <c r="H46" s="651"/>
      <c r="I46" s="651"/>
    </row>
    <row r="47" spans="2:9">
      <c r="B47" s="651"/>
      <c r="C47" s="651"/>
      <c r="D47" s="651"/>
      <c r="E47" s="651"/>
      <c r="F47" s="651"/>
      <c r="G47" s="651"/>
      <c r="H47" s="651"/>
      <c r="I47" s="651"/>
    </row>
    <row r="48" spans="2:9"/>
    <row r="49" spans="2:9">
      <c r="B49" s="5" t="s">
        <v>473</v>
      </c>
    </row>
    <row r="50" spans="2:9">
      <c r="B50" s="8" t="str">
        <f ca="1">'GPlan-Translations'!C21</f>
        <v>AUSÊNCIA DE GARANTIAS</v>
      </c>
    </row>
    <row r="51" spans="2:9">
      <c r="B51" s="652"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1" s="652"/>
      <c r="D51" s="652"/>
      <c r="E51" s="652"/>
      <c r="F51" s="652"/>
      <c r="G51" s="652"/>
      <c r="H51" s="652"/>
      <c r="I51" s="652"/>
    </row>
    <row r="52" spans="2:9">
      <c r="B52" s="652"/>
      <c r="C52" s="652"/>
      <c r="D52" s="652"/>
      <c r="E52" s="652"/>
      <c r="F52" s="652"/>
      <c r="G52" s="652"/>
      <c r="H52" s="652"/>
      <c r="I52" s="652"/>
    </row>
    <row r="53" spans="2:9">
      <c r="B53" s="652"/>
      <c r="C53" s="652"/>
      <c r="D53" s="652"/>
      <c r="E53" s="652"/>
      <c r="F53" s="652"/>
      <c r="G53" s="652"/>
      <c r="H53" s="652"/>
      <c r="I53" s="652"/>
    </row>
    <row r="54" spans="2:9">
      <c r="B54" s="652"/>
      <c r="C54" s="652"/>
      <c r="D54" s="652"/>
      <c r="E54" s="652"/>
      <c r="F54" s="652"/>
      <c r="G54" s="652"/>
      <c r="H54" s="652"/>
      <c r="I54" s="652"/>
    </row>
    <row r="55" spans="2:9">
      <c r="B55" s="652"/>
      <c r="C55" s="652"/>
      <c r="D55" s="652"/>
      <c r="E55" s="652"/>
      <c r="F55" s="652"/>
      <c r="G55" s="652"/>
      <c r="H55" s="652"/>
      <c r="I55" s="652"/>
    </row>
    <row r="56" spans="2:9">
      <c r="B56" s="652"/>
      <c r="C56" s="652"/>
      <c r="D56" s="652"/>
      <c r="E56" s="652"/>
      <c r="F56" s="652"/>
      <c r="G56" s="652"/>
      <c r="H56" s="652"/>
      <c r="I56" s="652"/>
    </row>
    <row r="57" spans="2:9">
      <c r="B57" s="652"/>
      <c r="C57" s="652"/>
      <c r="D57" s="652"/>
      <c r="E57" s="652"/>
      <c r="F57" s="652"/>
      <c r="G57" s="652"/>
      <c r="H57" s="652"/>
      <c r="I57" s="652"/>
    </row>
    <row r="58" spans="2:9"/>
    <row r="59" spans="2:9">
      <c r="B59" s="652"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59" s="652"/>
      <c r="D59" s="652"/>
      <c r="E59" s="652"/>
      <c r="F59" s="652"/>
      <c r="G59" s="652"/>
      <c r="H59" s="652"/>
      <c r="I59" s="652"/>
    </row>
    <row r="60" spans="2:9">
      <c r="B60" s="652"/>
      <c r="C60" s="652"/>
      <c r="D60" s="652"/>
      <c r="E60" s="652"/>
      <c r="F60" s="652"/>
      <c r="G60" s="652"/>
      <c r="H60" s="652"/>
      <c r="I60" s="652"/>
    </row>
    <row r="61" spans="2:9">
      <c r="B61" s="652"/>
      <c r="C61" s="652"/>
      <c r="D61" s="652"/>
      <c r="E61" s="652"/>
      <c r="F61" s="652"/>
      <c r="G61" s="652"/>
      <c r="H61" s="652"/>
      <c r="I61" s="652"/>
    </row>
    <row r="62" spans="2:9">
      <c r="B62" s="652"/>
      <c r="C62" s="652"/>
      <c r="D62" s="652"/>
      <c r="E62" s="652"/>
      <c r="F62" s="652"/>
      <c r="G62" s="652"/>
      <c r="H62" s="652"/>
      <c r="I62" s="652"/>
    </row>
    <row r="63" spans="2:9">
      <c r="B63" s="652"/>
      <c r="C63" s="652"/>
      <c r="D63" s="652"/>
      <c r="E63" s="652"/>
      <c r="F63" s="652"/>
      <c r="G63" s="652"/>
      <c r="H63" s="652"/>
      <c r="I63" s="652"/>
    </row>
    <row r="64" spans="2:9">
      <c r="B64" s="652"/>
      <c r="C64" s="652"/>
      <c r="D64" s="652"/>
      <c r="E64" s="652"/>
      <c r="F64" s="652"/>
      <c r="G64" s="652"/>
      <c r="H64" s="652"/>
      <c r="I64" s="652"/>
    </row>
    <row r="65" spans="2:9">
      <c r="B65" s="652"/>
      <c r="C65" s="652"/>
      <c r="D65" s="652"/>
      <c r="E65" s="652"/>
      <c r="F65" s="652"/>
      <c r="G65" s="652"/>
      <c r="H65" s="652"/>
      <c r="I65" s="652"/>
    </row>
    <row r="66" spans="2:9">
      <c r="B66" s="652"/>
      <c r="C66" s="652"/>
      <c r="D66" s="652"/>
      <c r="E66" s="652"/>
      <c r="F66" s="652"/>
      <c r="G66" s="652"/>
      <c r="H66" s="652"/>
      <c r="I66" s="652"/>
    </row>
    <row r="67" spans="2:9">
      <c r="B67" s="5" t="s">
        <v>473</v>
      </c>
    </row>
    <row r="68" spans="2:9"/>
    <row r="69" spans="2:9" hidden="1"/>
    <row r="70" spans="2:9" hidden="1"/>
    <row r="71" spans="2:9" hidden="1"/>
    <row r="72" spans="2:9" hidden="1"/>
    <row r="73" spans="2:9" hidden="1"/>
    <row r="74" spans="2:9" hidden="1"/>
    <row r="75" spans="2:9" hidden="1"/>
    <row r="76" spans="2:9" hidden="1"/>
    <row r="77" spans="2:9" hidden="1"/>
    <row r="78" spans="2:9" hidden="1"/>
  </sheetData>
  <sheetProtection sheet="1" objects="1" scenarios="1"/>
  <mergeCells count="7">
    <mergeCell ref="B40:I47"/>
    <mergeCell ref="B51:I57"/>
    <mergeCell ref="B59:I66"/>
    <mergeCell ref="B5:I8"/>
    <mergeCell ref="B11:I18"/>
    <mergeCell ref="B21:I29"/>
    <mergeCell ref="B33:I38"/>
  </mergeCells>
  <phoneticPr fontId="4" type="noConversion"/>
  <printOptions horizontalCentered="1"/>
  <pageMargins left="0.78740157480314965" right="0.78740157480314965" top="0.98425196850393704" bottom="0.98425196850393704" header="0.51181102362204722" footer="0.51181102362204722"/>
  <pageSetup paperSize="9" scale="7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Left">
    <pageSetUpPr fitToPage="1"/>
  </sheetPr>
  <dimension ref="A1:B138"/>
  <sheetViews>
    <sheetView showGridLines="0" showRowColHeaders="0" zoomScaleNormal="100" workbookViewId="0"/>
  </sheetViews>
  <sheetFormatPr defaultColWidth="0" defaultRowHeight="15" zeroHeight="1"/>
  <cols>
    <col min="1" max="1" width="1.7109375" style="11" customWidth="1"/>
    <col min="2" max="12" width="9.140625" style="1" customWidth="1"/>
    <col min="13" max="16384" width="0" style="1" hidden="1"/>
  </cols>
  <sheetData>
    <row r="1" spans="2:2"/>
    <row r="2" spans="2:2"/>
    <row r="3" spans="2:2" ht="24.75">
      <c r="B3" s="2" t="s">
        <v>4212</v>
      </c>
    </row>
    <row r="4" spans="2:2">
      <c r="B4" s="12"/>
    </row>
    <row r="5" spans="2:2"/>
    <row r="6" spans="2:2"/>
    <row r="7" spans="2:2" ht="18">
      <c r="B7" s="10" t="s">
        <v>663</v>
      </c>
    </row>
    <row r="8" spans="2:2">
      <c r="B8" s="12"/>
    </row>
    <row r="9" spans="2:2"/>
    <row r="10" spans="2:2" ht="18">
      <c r="B10" s="1" t="s">
        <v>328</v>
      </c>
    </row>
    <row r="11" spans="2:2">
      <c r="B11" s="1" t="s">
        <v>482</v>
      </c>
    </row>
    <row r="12" spans="2:2"/>
    <row r="13" spans="2:2">
      <c r="B13" s="4" t="s">
        <v>483</v>
      </c>
    </row>
    <row r="14" spans="2:2">
      <c r="B14" s="4"/>
    </row>
    <row r="15" spans="2:2">
      <c r="B15" s="4" t="s">
        <v>484</v>
      </c>
    </row>
    <row r="16" spans="2:2">
      <c r="B16" s="4"/>
    </row>
    <row r="17" spans="2:2">
      <c r="B17" s="4" t="s">
        <v>517</v>
      </c>
    </row>
    <row r="18" spans="2:2">
      <c r="B18" s="1" t="s">
        <v>296</v>
      </c>
    </row>
    <row r="19" spans="2:2"/>
    <row r="20" spans="2:2">
      <c r="B20" s="4" t="s">
        <v>297</v>
      </c>
    </row>
    <row r="21" spans="2:2" ht="18">
      <c r="B21" s="1" t="s">
        <v>1040</v>
      </c>
    </row>
    <row r="22" spans="2:2"/>
    <row r="23" spans="2:2" ht="18">
      <c r="B23" s="1" t="s">
        <v>329</v>
      </c>
    </row>
    <row r="24" spans="2:2">
      <c r="B24" s="1" t="s">
        <v>298</v>
      </c>
    </row>
    <row r="25" spans="2:2" ht="18">
      <c r="B25" s="1" t="s">
        <v>330</v>
      </c>
    </row>
    <row r="26" spans="2:2"/>
    <row r="27" spans="2:2" ht="18">
      <c r="B27" s="4" t="s">
        <v>431</v>
      </c>
    </row>
    <row r="28" spans="2:2"/>
    <row r="29" spans="2:2"/>
    <row r="30" spans="2:2">
      <c r="B30" s="1" t="s">
        <v>299</v>
      </c>
    </row>
    <row r="31" spans="2:2">
      <c r="B31" s="13" t="s">
        <v>745</v>
      </c>
    </row>
    <row r="32" spans="2:2">
      <c r="B32" s="13" t="s">
        <v>746</v>
      </c>
    </row>
    <row r="33" spans="2:2">
      <c r="B33" s="4"/>
    </row>
    <row r="34" spans="2:2"/>
    <row r="35" spans="2:2" ht="18">
      <c r="B35" s="1" t="s">
        <v>432</v>
      </c>
    </row>
    <row r="36" spans="2:2">
      <c r="B36" s="1" t="s">
        <v>747</v>
      </c>
    </row>
    <row r="37" spans="2:2">
      <c r="B37" s="1" t="s">
        <v>748</v>
      </c>
    </row>
    <row r="38" spans="2:2">
      <c r="B38" s="1" t="s">
        <v>749</v>
      </c>
    </row>
    <row r="39" spans="2:2">
      <c r="B39" s="1" t="s">
        <v>750</v>
      </c>
    </row>
    <row r="40" spans="2:2">
      <c r="B40" s="1" t="s">
        <v>751</v>
      </c>
    </row>
    <row r="41" spans="2:2">
      <c r="B41" s="1" t="s">
        <v>746</v>
      </c>
    </row>
    <row r="42" spans="2:2"/>
    <row r="43" spans="2:2"/>
    <row r="44" spans="2:2"/>
    <row r="45" spans="2:2">
      <c r="B45" s="622" t="s">
        <v>5461</v>
      </c>
    </row>
    <row r="46" spans="2:2"/>
    <row r="47" spans="2:2" hidden="1"/>
    <row r="48" spans="2:2"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row r="122"/>
    <row r="123"/>
    <row r="124"/>
    <row r="125"/>
    <row r="126"/>
    <row r="127"/>
    <row r="128"/>
    <row r="129"/>
    <row r="130"/>
    <row r="131"/>
    <row r="132"/>
    <row r="133"/>
    <row r="134"/>
    <row r="135"/>
    <row r="136"/>
    <row r="137"/>
    <row r="138"/>
  </sheetData>
  <sheetProtection sheet="1" objects="1" scenarios="1"/>
  <phoneticPr fontId="4" type="noConversion"/>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Right">
    <pageSetUpPr fitToPage="1"/>
  </sheetPr>
  <dimension ref="A1:B183"/>
  <sheetViews>
    <sheetView showGridLines="0" showRowColHeaders="0" zoomScaleNormal="100" workbookViewId="0"/>
  </sheetViews>
  <sheetFormatPr defaultColWidth="0" defaultRowHeight="15" customHeight="1" zeroHeight="1"/>
  <cols>
    <col min="1" max="1" width="8.5703125" style="11" customWidth="1"/>
    <col min="2" max="12" width="9.140625" style="1" customWidth="1"/>
    <col min="13" max="16384" width="0" style="1" hidden="1"/>
  </cols>
  <sheetData>
    <row r="1" spans="2:2"/>
    <row r="2" spans="2:2" ht="18">
      <c r="B2" s="10" t="s">
        <v>5462</v>
      </c>
    </row>
    <row r="3" spans="2:2"/>
    <row r="4" spans="2:2">
      <c r="B4" s="1" t="s">
        <v>514</v>
      </c>
    </row>
    <row r="5" spans="2:2">
      <c r="B5" s="1" t="s">
        <v>515</v>
      </c>
    </row>
    <row r="6" spans="2:2" ht="18">
      <c r="B6" s="1" t="s">
        <v>666</v>
      </c>
    </row>
    <row r="7" spans="2:2">
      <c r="B7" s="1" t="s">
        <v>516</v>
      </c>
    </row>
    <row r="8" spans="2:2">
      <c r="B8" s="1" t="s">
        <v>664</v>
      </c>
    </row>
    <row r="9" spans="2:2">
      <c r="B9" s="1" t="s">
        <v>665</v>
      </c>
    </row>
    <row r="10" spans="2:2"/>
    <row r="11" spans="2:2">
      <c r="B11" s="1" t="s">
        <v>1041</v>
      </c>
    </row>
    <row r="12" spans="2:2">
      <c r="B12" s="1" t="s">
        <v>1042</v>
      </c>
    </row>
    <row r="13" spans="2:2">
      <c r="B13" s="1" t="s">
        <v>1043</v>
      </c>
    </row>
    <row r="14" spans="2:2">
      <c r="B14" s="1" t="s">
        <v>1044</v>
      </c>
    </row>
    <row r="15" spans="2:2">
      <c r="B15" s="1" t="s">
        <v>1045</v>
      </c>
    </row>
    <row r="16" spans="2:2">
      <c r="B16" s="1" t="s">
        <v>1047</v>
      </c>
    </row>
    <row r="17" spans="1:2">
      <c r="B17" s="1" t="s">
        <v>5471</v>
      </c>
    </row>
    <row r="18" spans="1:2">
      <c r="A18" s="1"/>
      <c r="B18" s="1" t="s">
        <v>5472</v>
      </c>
    </row>
    <row r="19" spans="1:2">
      <c r="B19" s="1" t="s">
        <v>5473</v>
      </c>
    </row>
    <row r="20" spans="1:2">
      <c r="B20" s="1" t="s">
        <v>5474</v>
      </c>
    </row>
    <row r="21" spans="1:2">
      <c r="B21" s="1" t="s">
        <v>5475</v>
      </c>
    </row>
    <row r="22" spans="1:2"/>
    <row r="23" spans="1:2">
      <c r="B23" s="1" t="s">
        <v>485</v>
      </c>
    </row>
    <row r="24" spans="1:2">
      <c r="B24" s="1" t="s">
        <v>408</v>
      </c>
    </row>
    <row r="25" spans="1:2">
      <c r="B25" s="1" t="s">
        <v>369</v>
      </c>
    </row>
    <row r="26" spans="1:2">
      <c r="B26" s="1" t="s">
        <v>573</v>
      </c>
    </row>
    <row r="27" spans="1:2">
      <c r="B27" s="1" t="s">
        <v>370</v>
      </c>
    </row>
    <row r="28" spans="1:2"/>
    <row r="29" spans="1:2">
      <c r="B29" s="1" t="s">
        <v>371</v>
      </c>
    </row>
    <row r="30" spans="1:2"/>
    <row r="31" spans="1:2">
      <c r="B31" s="1" t="s">
        <v>376</v>
      </c>
    </row>
    <row r="32" spans="1:2">
      <c r="B32" s="1" t="s">
        <v>377</v>
      </c>
    </row>
    <row r="33" spans="2:2">
      <c r="B33" s="1" t="s">
        <v>1046</v>
      </c>
    </row>
    <row r="34" spans="2:2"/>
    <row r="35" spans="2:2">
      <c r="B35" s="1" t="s">
        <v>486</v>
      </c>
    </row>
    <row r="36" spans="2:2">
      <c r="B36" s="1" t="s">
        <v>487</v>
      </c>
    </row>
    <row r="37" spans="2:2"/>
    <row r="38" spans="2:2">
      <c r="B38" s="1" t="s">
        <v>488</v>
      </c>
    </row>
    <row r="39" spans="2:2">
      <c r="B39" s="1" t="s">
        <v>489</v>
      </c>
    </row>
    <row r="40" spans="2:2"/>
    <row r="41" spans="2:2">
      <c r="B41" s="1" t="s">
        <v>490</v>
      </c>
    </row>
    <row r="42" spans="2:2"/>
    <row r="43" spans="2:2">
      <c r="B43" s="1" t="s">
        <v>368</v>
      </c>
    </row>
    <row r="44" spans="2:2">
      <c r="B44" s="1" t="s">
        <v>402</v>
      </c>
    </row>
    <row r="45" spans="2:2">
      <c r="B45" s="1" t="s">
        <v>364</v>
      </c>
    </row>
    <row r="46" spans="2:2">
      <c r="B46" s="1" t="s">
        <v>365</v>
      </c>
    </row>
    <row r="47" spans="2:2">
      <c r="B47" s="1" t="s">
        <v>367</v>
      </c>
    </row>
    <row r="48" spans="2:2">
      <c r="B48" s="1" t="s">
        <v>366</v>
      </c>
    </row>
    <row r="49" spans="2:2"/>
    <row r="50" spans="2:2">
      <c r="B50" s="1" t="s">
        <v>401</v>
      </c>
    </row>
    <row r="51" spans="2:2">
      <c r="B51" s="1" t="s">
        <v>491</v>
      </c>
    </row>
    <row r="52" spans="2:2">
      <c r="B52" s="1" t="s">
        <v>492</v>
      </c>
    </row>
    <row r="53" spans="2:2"/>
    <row r="54" spans="2:2" ht="18">
      <c r="B54" s="1" t="s">
        <v>5463</v>
      </c>
    </row>
    <row r="55" spans="2:2">
      <c r="B55" s="1" t="s">
        <v>5465</v>
      </c>
    </row>
    <row r="56" spans="2:2">
      <c r="B56" s="1" t="s">
        <v>5476</v>
      </c>
    </row>
    <row r="57" spans="2:2">
      <c r="B57" s="1" t="s">
        <v>5464</v>
      </c>
    </row>
    <row r="58" spans="2:2">
      <c r="B58" s="1" t="s">
        <v>5477</v>
      </c>
    </row>
    <row r="59" spans="2:2"/>
    <row r="60" spans="2:2">
      <c r="B60" s="1" t="s">
        <v>5466</v>
      </c>
    </row>
    <row r="61" spans="2:2">
      <c r="B61" s="1" t="s">
        <v>5467</v>
      </c>
    </row>
    <row r="62" spans="2:2"/>
    <row r="63" spans="2:2">
      <c r="B63" s="1" t="s">
        <v>5468</v>
      </c>
    </row>
    <row r="64" spans="2:2">
      <c r="B64" s="1" t="s">
        <v>5469</v>
      </c>
    </row>
    <row r="65" spans="2:2">
      <c r="B65" s="1" t="s">
        <v>5470</v>
      </c>
    </row>
    <row r="66" spans="2:2"/>
    <row r="67" spans="2:2">
      <c r="B67" s="1" t="s">
        <v>148</v>
      </c>
    </row>
    <row r="68" spans="2:2">
      <c r="B68" s="1" t="s">
        <v>147</v>
      </c>
    </row>
    <row r="69" spans="2:2"/>
    <row r="70" spans="2:2"/>
    <row r="71" spans="2:2">
      <c r="B71" s="1" t="s">
        <v>4215</v>
      </c>
    </row>
    <row r="72" spans="2:2">
      <c r="B72" s="1" t="s">
        <v>4790</v>
      </c>
    </row>
    <row r="73" spans="2:2">
      <c r="B73" s="1" t="s">
        <v>752</v>
      </c>
    </row>
    <row r="74" spans="2:2">
      <c r="B74" s="1" t="s">
        <v>257</v>
      </c>
    </row>
    <row r="75" spans="2:2">
      <c r="B75" s="1" t="s">
        <v>753</v>
      </c>
    </row>
    <row r="76" spans="2:2">
      <c r="B76" s="1" t="s">
        <v>5460</v>
      </c>
    </row>
    <row r="77" spans="2:2"/>
    <row r="78" spans="2:2" hidden="1"/>
    <row r="79" spans="2:2" s="11" customFormat="1" hidden="1">
      <c r="B79" s="1"/>
    </row>
    <row r="80" spans="2:2" s="11" customFormat="1" hidden="1">
      <c r="B80" s="1"/>
    </row>
    <row r="81" spans="2:2" s="11" customFormat="1" hidden="1">
      <c r="B81" s="1"/>
    </row>
    <row r="82" spans="2:2" s="11" customFormat="1" hidden="1">
      <c r="B82" s="1"/>
    </row>
    <row r="83" spans="2:2" s="11" customFormat="1" hidden="1">
      <c r="B83" s="1"/>
    </row>
    <row r="84" spans="2:2" s="11" customFormat="1" hidden="1">
      <c r="B84" s="1"/>
    </row>
    <row r="85" spans="2:2" s="11" customFormat="1" hidden="1">
      <c r="B85" s="1"/>
    </row>
    <row r="86" spans="2:2" s="11" customFormat="1" hidden="1">
      <c r="B86" s="1"/>
    </row>
    <row r="87" spans="2:2" s="11" customFormat="1" hidden="1">
      <c r="B87" s="1"/>
    </row>
    <row r="88" spans="2:2" s="11" customFormat="1" hidden="1">
      <c r="B88" s="1"/>
    </row>
    <row r="89" spans="2:2" s="11" customFormat="1" hidden="1">
      <c r="B89" s="1"/>
    </row>
    <row r="90" spans="2:2" s="11" customFormat="1" hidden="1">
      <c r="B90" s="1"/>
    </row>
    <row r="91" spans="2:2" s="11" customFormat="1" hidden="1">
      <c r="B91" s="1"/>
    </row>
    <row r="92" spans="2:2" s="11" customFormat="1" hidden="1">
      <c r="B92" s="1"/>
    </row>
    <row r="93" spans="2:2" s="11" customFormat="1" hidden="1">
      <c r="B93" s="1"/>
    </row>
    <row r="94" spans="2:2" s="11" customFormat="1" hidden="1">
      <c r="B94" s="1"/>
    </row>
    <row r="95" spans="2:2" s="11" customFormat="1" hidden="1">
      <c r="B95" s="1"/>
    </row>
    <row r="96" spans="2:2" s="11" customFormat="1" hidden="1">
      <c r="B96" s="1"/>
    </row>
    <row r="97" spans="2:2" s="11" customFormat="1" hidden="1">
      <c r="B97" s="1"/>
    </row>
    <row r="98" spans="2:2" s="11" customFormat="1" hidden="1">
      <c r="B98" s="1"/>
    </row>
    <row r="99" spans="2:2" s="11" customFormat="1" hidden="1">
      <c r="B99" s="1"/>
    </row>
    <row r="100" spans="2:2" ht="15" hidden="1" customHeight="1"/>
    <row r="101" spans="2:2" ht="15" hidden="1" customHeight="1"/>
    <row r="102" spans="2:2" ht="15" hidden="1" customHeight="1"/>
    <row r="103" spans="2:2" ht="15" hidden="1" customHeight="1"/>
    <row r="104" spans="2:2" ht="15" hidden="1" customHeight="1"/>
    <row r="105" spans="2:2" ht="15" hidden="1" customHeight="1"/>
    <row r="106" spans="2:2" ht="15" hidden="1" customHeight="1"/>
    <row r="107" spans="2:2" ht="15" hidden="1" customHeight="1"/>
    <row r="108" spans="2:2" ht="15" hidden="1" customHeight="1"/>
    <row r="109" spans="2:2" ht="15" hidden="1" customHeight="1"/>
    <row r="110" spans="2:2" ht="15" hidden="1" customHeight="1"/>
    <row r="111" spans="2:2" ht="15" hidden="1" customHeight="1"/>
    <row r="112" spans="2: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sheetData>
  <sheetProtection sheet="1" objects="1" scenarios="1"/>
  <printOptions horizontalCentered="1"/>
  <pageMargins left="0.78740157480314965" right="0.78740157480314965" top="0.39370078740157483" bottom="0.39370078740157483" header="0.11811023622047245" footer="0.11811023622047245"/>
  <pageSetup paperSize="9" scale="67"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alendar">
    <pageSetUpPr fitToPage="1"/>
  </sheetPr>
  <dimension ref="A1:BK57"/>
  <sheetViews>
    <sheetView showGridLines="0" showRowColHeaders="0" zoomScaleNormal="100" workbookViewId="0"/>
  </sheetViews>
  <sheetFormatPr defaultColWidth="0" defaultRowHeight="12.75" zeroHeight="1"/>
  <cols>
    <col min="1" max="28" width="3.85546875" style="5" customWidth="1"/>
    <col min="29" max="29" width="3.7109375" style="5" hidden="1" customWidth="1"/>
    <col min="30" max="30" width="4.42578125" style="5" hidden="1" customWidth="1"/>
    <col min="31" max="38" width="3.7109375" style="5" hidden="1" customWidth="1"/>
    <col min="39" max="39" width="4.42578125" style="5" hidden="1" customWidth="1"/>
    <col min="40" max="47" width="3.7109375" style="5" hidden="1" customWidth="1"/>
    <col min="48" max="48" width="4.42578125" style="5" hidden="1" customWidth="1"/>
    <col min="49" max="59" width="3.7109375" style="5" hidden="1" customWidth="1"/>
    <col min="60" max="60" width="12.7109375" style="5" hidden="1" customWidth="1"/>
    <col min="61" max="61" width="11.28515625" style="5" hidden="1" customWidth="1"/>
    <col min="62" max="16384" width="9.140625" style="5" hidden="1"/>
  </cols>
  <sheetData>
    <row r="1" spans="1:63" ht="45.75">
      <c r="C1" s="29" t="str">
        <f ca="1">'GPlan-Translations'!C221</f>
        <v>Calendário</v>
      </c>
      <c r="U1" s="659">
        <f>BH2</f>
        <v>2017</v>
      </c>
      <c r="V1" s="660"/>
      <c r="W1" s="660"/>
      <c r="X1" s="660"/>
      <c r="Y1" s="660"/>
      <c r="Z1" s="660"/>
      <c r="AA1" s="660"/>
      <c r="AC1" s="16"/>
      <c r="AN1" s="264"/>
      <c r="AS1" s="264"/>
      <c r="AZ1" s="264"/>
      <c r="BH1" s="441">
        <v>1</v>
      </c>
      <c r="BI1" s="300" t="s">
        <v>4516</v>
      </c>
      <c r="BJ1" s="437">
        <v>1</v>
      </c>
      <c r="BK1" s="437">
        <v>2</v>
      </c>
    </row>
    <row r="2" spans="1:63" ht="18.75" thickBot="1">
      <c r="AC2" s="16"/>
      <c r="AF2" s="343"/>
      <c r="AG2" s="340"/>
      <c r="AH2" s="340"/>
      <c r="AO2" s="343"/>
      <c r="AP2" s="343"/>
      <c r="AQ2" s="343"/>
      <c r="AR2" s="264"/>
      <c r="AS2" s="264"/>
      <c r="AT2" s="264"/>
      <c r="AX2" s="343"/>
      <c r="AY2" s="343"/>
      <c r="AZ2" s="343"/>
      <c r="BA2" s="264"/>
      <c r="BB2" s="264"/>
      <c r="BC2" s="264"/>
      <c r="BH2" s="439">
        <f>HLOOKUP(BH1,BJ1:BK2,2,FALSE)</f>
        <v>2017</v>
      </c>
      <c r="BI2" s="438"/>
      <c r="BJ2" s="437">
        <f>Index!X13</f>
        <v>2017</v>
      </c>
      <c r="BK2" s="437">
        <f>Index!X14</f>
        <v>2018</v>
      </c>
    </row>
    <row r="3" spans="1:63" ht="18">
      <c r="A3" s="30"/>
      <c r="C3" s="654" t="str">
        <f ca="1">UPPER('GPlan-Translations'!C222)</f>
        <v>JANEIRO</v>
      </c>
      <c r="D3" s="655"/>
      <c r="E3" s="655"/>
      <c r="F3" s="655"/>
      <c r="G3" s="655"/>
      <c r="H3" s="655"/>
      <c r="I3" s="656"/>
      <c r="L3" s="654" t="str">
        <f ca="1">UPPER('GPlan-Translations'!C223)</f>
        <v>FEVEREIRO</v>
      </c>
      <c r="M3" s="655"/>
      <c r="N3" s="655"/>
      <c r="O3" s="655"/>
      <c r="P3" s="655"/>
      <c r="Q3" s="655"/>
      <c r="R3" s="656"/>
      <c r="S3" s="30"/>
      <c r="T3" s="30"/>
      <c r="U3" s="654" t="str">
        <f ca="1">UPPER('GPlan-Translations'!C224)</f>
        <v>MARÇO</v>
      </c>
      <c r="V3" s="655"/>
      <c r="W3" s="655"/>
      <c r="X3" s="655"/>
      <c r="Y3" s="655"/>
      <c r="Z3" s="655"/>
      <c r="AA3" s="656"/>
      <c r="AB3" s="30"/>
      <c r="AC3" s="16"/>
      <c r="AD3" s="344"/>
      <c r="AE3" s="341">
        <v>1</v>
      </c>
      <c r="AF3" s="335">
        <f>DATE(AJ3,AE3,1)</f>
        <v>42736</v>
      </c>
      <c r="AG3" s="335">
        <f>DATE(AJ3,AE3+1,1)-1</f>
        <v>42766</v>
      </c>
      <c r="AH3" s="335">
        <f>WEEKDAY(AF3,2)</f>
        <v>7</v>
      </c>
      <c r="AI3" s="31"/>
      <c r="AJ3" s="657">
        <f>$U$1</f>
        <v>2017</v>
      </c>
      <c r="AK3" s="658"/>
      <c r="AM3" s="344"/>
      <c r="AN3" s="341">
        <f>AE3+1</f>
        <v>2</v>
      </c>
      <c r="AO3" s="335">
        <f>DATE(AS3,AN3,1)</f>
        <v>42767</v>
      </c>
      <c r="AP3" s="335">
        <f>DATE(AS3,AN3+1,1)-1</f>
        <v>42794</v>
      </c>
      <c r="AQ3" s="335">
        <f>WEEKDAY(AO3,2)</f>
        <v>3</v>
      </c>
      <c r="AR3" s="31"/>
      <c r="AS3" s="657">
        <f>$U$1</f>
        <v>2017</v>
      </c>
      <c r="AT3" s="658"/>
      <c r="AV3" s="344"/>
      <c r="AW3" s="341">
        <f>AN3+1</f>
        <v>3</v>
      </c>
      <c r="AX3" s="335">
        <f>DATE(BB3,AW3,1)</f>
        <v>42795</v>
      </c>
      <c r="AY3" s="335">
        <f>DATE(BB3,AW3+1,1)-1</f>
        <v>42825</v>
      </c>
      <c r="AZ3" s="335">
        <f>WEEKDAY(AX3,2)</f>
        <v>3</v>
      </c>
      <c r="BA3" s="31"/>
      <c r="BB3" s="657">
        <f>$U$1</f>
        <v>2017</v>
      </c>
      <c r="BC3" s="658"/>
    </row>
    <row r="4" spans="1:63" ht="18">
      <c r="A4" s="30"/>
      <c r="C4" s="259" t="str">
        <f ca="1">'GPlan-Translations'!$C$282</f>
        <v>S</v>
      </c>
      <c r="D4" s="73" t="str">
        <f ca="1">'GPlan-Translations'!$C$283</f>
        <v>T</v>
      </c>
      <c r="E4" s="73" t="str">
        <f ca="1">'GPlan-Translations'!$C$284</f>
        <v>Q</v>
      </c>
      <c r="F4" s="73" t="str">
        <f ca="1">'GPlan-Translations'!$C$285</f>
        <v>Q</v>
      </c>
      <c r="G4" s="73" t="str">
        <f ca="1">'GPlan-Translations'!$C$286</f>
        <v>S</v>
      </c>
      <c r="H4" s="258" t="str">
        <f ca="1">'GPlan-Translations'!$C$287</f>
        <v>S</v>
      </c>
      <c r="I4" s="158" t="str">
        <f ca="1">'GPlan-Translations'!$C$281</f>
        <v>D</v>
      </c>
      <c r="L4" s="259" t="str">
        <f ca="1">'GPlan-Translations'!$C$282</f>
        <v>S</v>
      </c>
      <c r="M4" s="73" t="str">
        <f ca="1">'GPlan-Translations'!$C$283</f>
        <v>T</v>
      </c>
      <c r="N4" s="73" t="str">
        <f ca="1">'GPlan-Translations'!$C$284</f>
        <v>Q</v>
      </c>
      <c r="O4" s="73" t="str">
        <f ca="1">'GPlan-Translations'!$C$285</f>
        <v>Q</v>
      </c>
      <c r="P4" s="73" t="str">
        <f ca="1">'GPlan-Translations'!$C$286</f>
        <v>S</v>
      </c>
      <c r="Q4" s="258" t="str">
        <f ca="1">'GPlan-Translations'!$C$287</f>
        <v>S</v>
      </c>
      <c r="R4" s="158" t="str">
        <f ca="1">'GPlan-Translations'!$C$281</f>
        <v>D</v>
      </c>
      <c r="S4" s="30"/>
      <c r="T4" s="30"/>
      <c r="U4" s="259" t="str">
        <f ca="1">'GPlan-Translations'!$C$282</f>
        <v>S</v>
      </c>
      <c r="V4" s="73" t="str">
        <f ca="1">'GPlan-Translations'!$C$283</f>
        <v>T</v>
      </c>
      <c r="W4" s="73" t="str">
        <f ca="1">'GPlan-Translations'!$C$284</f>
        <v>Q</v>
      </c>
      <c r="X4" s="73" t="str">
        <f ca="1">'GPlan-Translations'!$C$285</f>
        <v>Q</v>
      </c>
      <c r="Y4" s="73" t="str">
        <f ca="1">'GPlan-Translations'!$C$286</f>
        <v>S</v>
      </c>
      <c r="Z4" s="258" t="str">
        <f ca="1">'GPlan-Translations'!$C$287</f>
        <v>S</v>
      </c>
      <c r="AA4" s="158" t="str">
        <f ca="1">'GPlan-Translations'!$C$281</f>
        <v>D</v>
      </c>
      <c r="AB4" s="30"/>
      <c r="AC4" s="16"/>
      <c r="AD4" s="20"/>
      <c r="AE4" s="249" t="str">
        <f t="shared" ref="AE4:AK4" ca="1" si="0">C4</f>
        <v>S</v>
      </c>
      <c r="AF4" s="33" t="str">
        <f t="shared" ca="1" si="0"/>
        <v>T</v>
      </c>
      <c r="AG4" s="33" t="str">
        <f t="shared" ca="1" si="0"/>
        <v>Q</v>
      </c>
      <c r="AH4" s="33" t="str">
        <f t="shared" ca="1" si="0"/>
        <v>Q</v>
      </c>
      <c r="AI4" s="33" t="str">
        <f t="shared" ca="1" si="0"/>
        <v>S</v>
      </c>
      <c r="AJ4" s="260" t="str">
        <f t="shared" ca="1" si="0"/>
        <v>S</v>
      </c>
      <c r="AK4" s="34" t="str">
        <f t="shared" ca="1" si="0"/>
        <v>D</v>
      </c>
      <c r="AM4" s="20"/>
      <c r="AN4" s="249" t="str">
        <f t="shared" ref="AN4:AT4" ca="1" si="1">L4</f>
        <v>S</v>
      </c>
      <c r="AO4" s="33" t="str">
        <f t="shared" ca="1" si="1"/>
        <v>T</v>
      </c>
      <c r="AP4" s="33" t="str">
        <f t="shared" ca="1" si="1"/>
        <v>Q</v>
      </c>
      <c r="AQ4" s="33" t="str">
        <f t="shared" ca="1" si="1"/>
        <v>Q</v>
      </c>
      <c r="AR4" s="33" t="str">
        <f t="shared" ca="1" si="1"/>
        <v>S</v>
      </c>
      <c r="AS4" s="260" t="str">
        <f t="shared" ca="1" si="1"/>
        <v>S</v>
      </c>
      <c r="AT4" s="34" t="str">
        <f t="shared" ca="1" si="1"/>
        <v>D</v>
      </c>
      <c r="AV4" s="20"/>
      <c r="AW4" s="249" t="str">
        <f t="shared" ref="AW4:BC4" ca="1" si="2">U4</f>
        <v>S</v>
      </c>
      <c r="AX4" s="33" t="str">
        <f t="shared" ca="1" si="2"/>
        <v>T</v>
      </c>
      <c r="AY4" s="33" t="str">
        <f t="shared" ca="1" si="2"/>
        <v>Q</v>
      </c>
      <c r="AZ4" s="33" t="str">
        <f t="shared" ca="1" si="2"/>
        <v>Q</v>
      </c>
      <c r="BA4" s="33" t="str">
        <f t="shared" ca="1" si="2"/>
        <v>S</v>
      </c>
      <c r="BB4" s="260" t="str">
        <f t="shared" ca="1" si="2"/>
        <v>S</v>
      </c>
      <c r="BC4" s="34" t="str">
        <f t="shared" ca="1" si="2"/>
        <v>D</v>
      </c>
    </row>
    <row r="5" spans="1:63" ht="18">
      <c r="A5" s="30"/>
      <c r="B5" s="227">
        <f>B6-1</f>
        <v>1</v>
      </c>
      <c r="C5" s="328" t="str">
        <f>IF(AH3=1,AF3," ")</f>
        <v xml:space="preserve"> </v>
      </c>
      <c r="D5" s="329" t="str">
        <f>IF(AH3=2,AF3,IF(C5=" "," ",C5+1))</f>
        <v xml:space="preserve"> </v>
      </c>
      <c r="E5" s="329" t="str">
        <f>IF(AH3=3,AF3,IF(D5=" "," ",D5+1))</f>
        <v xml:space="preserve"> </v>
      </c>
      <c r="F5" s="329" t="str">
        <f>IF(AH3=4,AF3,IF(E5=" "," ",E5+1))</f>
        <v xml:space="preserve"> </v>
      </c>
      <c r="G5" s="329" t="str">
        <f>IF(AH3=5,AF3,IF(F5=" "," ",F5+1))</f>
        <v xml:space="preserve"> </v>
      </c>
      <c r="H5" s="330" t="str">
        <f>IF(AH3=6,AF3,IF(G5=" "," ",G5+1))</f>
        <v xml:space="preserve"> </v>
      </c>
      <c r="I5" s="327">
        <f>IF(AH3=7,AF3,H5+1)</f>
        <v>42736</v>
      </c>
      <c r="K5" s="227">
        <f>K6-1</f>
        <v>6</v>
      </c>
      <c r="L5" s="328" t="str">
        <f>IF(AQ3=1,AO3," ")</f>
        <v xml:space="preserve"> </v>
      </c>
      <c r="M5" s="329" t="str">
        <f>IF(AQ3=2,AO3,IF(L5=" "," ",L5+1))</f>
        <v xml:space="preserve"> </v>
      </c>
      <c r="N5" s="329">
        <f>IF(AQ3=3,AO3,IF(M5=" "," ",M5+1))</f>
        <v>42767</v>
      </c>
      <c r="O5" s="329">
        <f>IF(AQ3=4,AO3,IF(N5=" "," ",N5+1))</f>
        <v>42768</v>
      </c>
      <c r="P5" s="329">
        <f>IF(AQ3=5,AO3,IF(O5=" "," ",O5+1))</f>
        <v>42769</v>
      </c>
      <c r="Q5" s="330">
        <f>IF(AQ3=6,AO3,IF(P5=" "," ",P5+1))</f>
        <v>42770</v>
      </c>
      <c r="R5" s="327">
        <f>IF(AQ3=7,AO3,Q5+1)</f>
        <v>42771</v>
      </c>
      <c r="S5" s="30"/>
      <c r="T5" s="227">
        <f>T6-1</f>
        <v>10</v>
      </c>
      <c r="U5" s="328" t="str">
        <f>IF(AZ3=1,AX3," ")</f>
        <v xml:space="preserve"> </v>
      </c>
      <c r="V5" s="329" t="str">
        <f>IF(AZ3=2,AX3,IF(U5=" "," ",U5+1))</f>
        <v xml:space="preserve"> </v>
      </c>
      <c r="W5" s="329">
        <f>IF(AZ3=3,AX3,IF(V5=" "," ",V5+1))</f>
        <v>42795</v>
      </c>
      <c r="X5" s="329">
        <f>IF(AZ3=4,AX3,IF(W5=" "," ",W5+1))</f>
        <v>42796</v>
      </c>
      <c r="Y5" s="329">
        <f>IF(AZ3=5,AX3,IF(X5=" "," ",X5+1))</f>
        <v>42797</v>
      </c>
      <c r="Z5" s="330">
        <f>IF(AZ3=6,AX3,IF(Y5=" "," ",Y5+1))</f>
        <v>42798</v>
      </c>
      <c r="AA5" s="327">
        <f>IF(AZ3=7,AX3,Z5+1)</f>
        <v>42799</v>
      </c>
      <c r="AB5" s="30"/>
      <c r="AC5" s="16"/>
      <c r="AD5" s="226"/>
      <c r="AE5" s="262" t="str">
        <f>CelebrationType(C5)</f>
        <v/>
      </c>
      <c r="AF5" s="36" t="str">
        <f t="shared" ref="AF5:AF10" si="3">CelebrationType(D5)</f>
        <v/>
      </c>
      <c r="AG5" s="36" t="str">
        <f t="shared" ref="AG5:AG9" si="4">CelebrationType(E5)</f>
        <v/>
      </c>
      <c r="AH5" s="36" t="str">
        <f t="shared" ref="AH5:AH9" si="5">CelebrationType(F5)</f>
        <v/>
      </c>
      <c r="AI5" s="36" t="str">
        <f t="shared" ref="AI5:AI9" si="6">CelebrationType(G5)</f>
        <v/>
      </c>
      <c r="AJ5" s="261" t="str">
        <f t="shared" ref="AJ5:AJ9" si="7">CelebrationType(H5)</f>
        <v/>
      </c>
      <c r="AK5" s="35" t="str">
        <f t="shared" ref="AK5:AK9" si="8">CelebrationType(I5)</f>
        <v>F</v>
      </c>
      <c r="AM5" s="226"/>
      <c r="AN5" s="262" t="str">
        <f t="shared" ref="AN5:AN10" si="9">CelebrationType(L5)</f>
        <v/>
      </c>
      <c r="AO5" s="36" t="str">
        <f t="shared" ref="AO5:AO10" si="10">CelebrationType(M5)</f>
        <v/>
      </c>
      <c r="AP5" s="36">
        <f t="shared" ref="AP5:AP9" si="11">CelebrationType(N5)</f>
        <v>0</v>
      </c>
      <c r="AQ5" s="36">
        <f t="shared" ref="AQ5:AQ9" si="12">CelebrationType(O5)</f>
        <v>0</v>
      </c>
      <c r="AR5" s="36" t="str">
        <f t="shared" ref="AR5:AR9" si="13">CelebrationType(P5)</f>
        <v>E</v>
      </c>
      <c r="AS5" s="261">
        <f t="shared" ref="AS5:AS9" si="14">CelebrationType(Q5)</f>
        <v>0</v>
      </c>
      <c r="AT5" s="35">
        <f t="shared" ref="AT5:AT9" si="15">CelebrationType(R5)</f>
        <v>0</v>
      </c>
      <c r="AV5" s="226"/>
      <c r="AW5" s="262" t="str">
        <f t="shared" ref="AW5:AW10" si="16">CelebrationType(U5)</f>
        <v/>
      </c>
      <c r="AX5" s="36" t="str">
        <f t="shared" ref="AX5:AX10" si="17">CelebrationType(V5)</f>
        <v/>
      </c>
      <c r="AY5" s="36" t="str">
        <f t="shared" ref="AY5:AY9" si="18">CelebrationType(W5)</f>
        <v>C</v>
      </c>
      <c r="AZ5" s="36">
        <f t="shared" ref="AZ5:AZ9" si="19">CelebrationType(X5)</f>
        <v>0</v>
      </c>
      <c r="BA5" s="36">
        <f t="shared" ref="BA5:BA9" si="20">CelebrationType(Y5)</f>
        <v>0</v>
      </c>
      <c r="BB5" s="261">
        <f t="shared" ref="BB5:BB9" si="21">CelebrationType(Z5)</f>
        <v>0</v>
      </c>
      <c r="BC5" s="35">
        <f t="shared" ref="BC5:BC9" si="22">CelebrationType(AA5)</f>
        <v>0</v>
      </c>
    </row>
    <row r="6" spans="1:63" ht="18">
      <c r="A6" s="30"/>
      <c r="B6" s="227">
        <f>WeekNumber(C6)</f>
        <v>2</v>
      </c>
      <c r="C6" s="328">
        <f>I5+1</f>
        <v>42737</v>
      </c>
      <c r="D6" s="329">
        <f t="shared" ref="D6:I8" si="23">C6+1</f>
        <v>42738</v>
      </c>
      <c r="E6" s="329">
        <f t="shared" si="23"/>
        <v>42739</v>
      </c>
      <c r="F6" s="329">
        <f t="shared" si="23"/>
        <v>42740</v>
      </c>
      <c r="G6" s="329">
        <f t="shared" si="23"/>
        <v>42741</v>
      </c>
      <c r="H6" s="330">
        <f t="shared" si="23"/>
        <v>42742</v>
      </c>
      <c r="I6" s="327">
        <f t="shared" si="23"/>
        <v>42743</v>
      </c>
      <c r="K6" s="227">
        <f>WeekNumber(L6)</f>
        <v>7</v>
      </c>
      <c r="L6" s="328">
        <f>R5+1</f>
        <v>42772</v>
      </c>
      <c r="M6" s="329">
        <f t="shared" ref="M6:R8" si="24">L6+1</f>
        <v>42773</v>
      </c>
      <c r="N6" s="329">
        <f t="shared" si="24"/>
        <v>42774</v>
      </c>
      <c r="O6" s="329">
        <f t="shared" si="24"/>
        <v>42775</v>
      </c>
      <c r="P6" s="329">
        <f t="shared" si="24"/>
        <v>42776</v>
      </c>
      <c r="Q6" s="330">
        <f t="shared" si="24"/>
        <v>42777</v>
      </c>
      <c r="R6" s="327">
        <f t="shared" si="24"/>
        <v>42778</v>
      </c>
      <c r="S6" s="30"/>
      <c r="T6" s="227">
        <f>WeekNumber(U6)</f>
        <v>11</v>
      </c>
      <c r="U6" s="328">
        <f>AA5+1</f>
        <v>42800</v>
      </c>
      <c r="V6" s="329">
        <f t="shared" ref="V6:AA8" si="25">U6+1</f>
        <v>42801</v>
      </c>
      <c r="W6" s="329">
        <f t="shared" si="25"/>
        <v>42802</v>
      </c>
      <c r="X6" s="329">
        <f t="shared" si="25"/>
        <v>42803</v>
      </c>
      <c r="Y6" s="329">
        <f t="shared" si="25"/>
        <v>42804</v>
      </c>
      <c r="Z6" s="330">
        <f t="shared" si="25"/>
        <v>42805</v>
      </c>
      <c r="AA6" s="327">
        <f t="shared" si="25"/>
        <v>42806</v>
      </c>
      <c r="AB6" s="30"/>
      <c r="AC6" s="16"/>
      <c r="AD6" s="226"/>
      <c r="AE6" s="262">
        <f t="shared" ref="AE6:AE10" si="26">CelebrationType(C6)</f>
        <v>0</v>
      </c>
      <c r="AF6" s="36">
        <f t="shared" si="3"/>
        <v>0</v>
      </c>
      <c r="AG6" s="36">
        <f t="shared" si="4"/>
        <v>0</v>
      </c>
      <c r="AH6" s="36">
        <f t="shared" si="5"/>
        <v>0</v>
      </c>
      <c r="AI6" s="36">
        <f t="shared" si="6"/>
        <v>0</v>
      </c>
      <c r="AJ6" s="261">
        <f t="shared" si="7"/>
        <v>0</v>
      </c>
      <c r="AK6" s="35" t="str">
        <f t="shared" si="8"/>
        <v>E</v>
      </c>
      <c r="AM6" s="226"/>
      <c r="AN6" s="262">
        <f t="shared" si="9"/>
        <v>0</v>
      </c>
      <c r="AO6" s="36" t="str">
        <f t="shared" si="10"/>
        <v>E</v>
      </c>
      <c r="AP6" s="36" t="str">
        <f t="shared" si="11"/>
        <v>E</v>
      </c>
      <c r="AQ6" s="36">
        <f t="shared" si="12"/>
        <v>0</v>
      </c>
      <c r="AR6" s="36">
        <f t="shared" si="13"/>
        <v>0</v>
      </c>
      <c r="AS6" s="261">
        <f t="shared" si="14"/>
        <v>0</v>
      </c>
      <c r="AT6" s="35">
        <f t="shared" si="15"/>
        <v>0</v>
      </c>
      <c r="AV6" s="226"/>
      <c r="AW6" s="262">
        <f t="shared" si="16"/>
        <v>0</v>
      </c>
      <c r="AX6" s="36">
        <f t="shared" si="17"/>
        <v>0</v>
      </c>
      <c r="AY6" s="36" t="str">
        <f t="shared" si="18"/>
        <v>E</v>
      </c>
      <c r="AZ6" s="36">
        <f t="shared" si="19"/>
        <v>0</v>
      </c>
      <c r="BA6" s="36">
        <f t="shared" si="20"/>
        <v>0</v>
      </c>
      <c r="BB6" s="261">
        <f t="shared" si="21"/>
        <v>0</v>
      </c>
      <c r="BC6" s="35" t="str">
        <f t="shared" si="22"/>
        <v>E</v>
      </c>
    </row>
    <row r="7" spans="1:63" ht="18">
      <c r="A7" s="30"/>
      <c r="B7" s="227">
        <f>WeekNumber(C7)</f>
        <v>3</v>
      </c>
      <c r="C7" s="328">
        <f>I6+1</f>
        <v>42744</v>
      </c>
      <c r="D7" s="329">
        <f t="shared" si="23"/>
        <v>42745</v>
      </c>
      <c r="E7" s="329">
        <f t="shared" si="23"/>
        <v>42746</v>
      </c>
      <c r="F7" s="329">
        <f t="shared" si="23"/>
        <v>42747</v>
      </c>
      <c r="G7" s="329">
        <f t="shared" si="23"/>
        <v>42748</v>
      </c>
      <c r="H7" s="330">
        <f t="shared" si="23"/>
        <v>42749</v>
      </c>
      <c r="I7" s="327">
        <f t="shared" si="23"/>
        <v>42750</v>
      </c>
      <c r="K7" s="227">
        <f t="shared" ref="K7:K9" si="27">WeekNumber(L7)</f>
        <v>8</v>
      </c>
      <c r="L7" s="328">
        <f>R6+1</f>
        <v>42779</v>
      </c>
      <c r="M7" s="329">
        <f t="shared" si="24"/>
        <v>42780</v>
      </c>
      <c r="N7" s="329">
        <f t="shared" si="24"/>
        <v>42781</v>
      </c>
      <c r="O7" s="329">
        <f t="shared" si="24"/>
        <v>42782</v>
      </c>
      <c r="P7" s="329">
        <f t="shared" si="24"/>
        <v>42783</v>
      </c>
      <c r="Q7" s="330">
        <f t="shared" si="24"/>
        <v>42784</v>
      </c>
      <c r="R7" s="327">
        <f t="shared" si="24"/>
        <v>42785</v>
      </c>
      <c r="S7" s="30"/>
      <c r="T7" s="227">
        <f t="shared" ref="T7:T9" si="28">WeekNumber(U7)</f>
        <v>12</v>
      </c>
      <c r="U7" s="328">
        <f>AA6+1</f>
        <v>42807</v>
      </c>
      <c r="V7" s="329">
        <f t="shared" si="25"/>
        <v>42808</v>
      </c>
      <c r="W7" s="329">
        <f t="shared" si="25"/>
        <v>42809</v>
      </c>
      <c r="X7" s="329">
        <f t="shared" si="25"/>
        <v>42810</v>
      </c>
      <c r="Y7" s="329">
        <f t="shared" si="25"/>
        <v>42811</v>
      </c>
      <c r="Z7" s="330">
        <f t="shared" si="25"/>
        <v>42812</v>
      </c>
      <c r="AA7" s="327">
        <f t="shared" si="25"/>
        <v>42813</v>
      </c>
      <c r="AB7" s="30"/>
      <c r="AC7" s="16"/>
      <c r="AD7" s="226"/>
      <c r="AE7" s="262">
        <f t="shared" si="26"/>
        <v>0</v>
      </c>
      <c r="AF7" s="36">
        <f t="shared" si="3"/>
        <v>0</v>
      </c>
      <c r="AG7" s="36">
        <f t="shared" si="4"/>
        <v>0</v>
      </c>
      <c r="AH7" s="36">
        <f t="shared" si="5"/>
        <v>0</v>
      </c>
      <c r="AI7" s="36">
        <f t="shared" si="6"/>
        <v>0</v>
      </c>
      <c r="AJ7" s="261">
        <f t="shared" si="7"/>
        <v>0</v>
      </c>
      <c r="AK7" s="35">
        <f t="shared" si="8"/>
        <v>0</v>
      </c>
      <c r="AM7" s="226"/>
      <c r="AN7" s="262">
        <f t="shared" si="9"/>
        <v>0</v>
      </c>
      <c r="AO7" s="36">
        <f t="shared" si="10"/>
        <v>0</v>
      </c>
      <c r="AP7" s="36">
        <f t="shared" si="11"/>
        <v>0</v>
      </c>
      <c r="AQ7" s="36">
        <f t="shared" si="12"/>
        <v>0</v>
      </c>
      <c r="AR7" s="36">
        <f t="shared" si="13"/>
        <v>0</v>
      </c>
      <c r="AS7" s="261">
        <f t="shared" si="14"/>
        <v>0</v>
      </c>
      <c r="AT7" s="35">
        <f t="shared" si="15"/>
        <v>0</v>
      </c>
      <c r="AV7" s="226"/>
      <c r="AW7" s="262">
        <f t="shared" si="16"/>
        <v>0</v>
      </c>
      <c r="AX7" s="36">
        <f t="shared" si="17"/>
        <v>0</v>
      </c>
      <c r="AY7" s="36">
        <f t="shared" si="18"/>
        <v>0</v>
      </c>
      <c r="AZ7" s="36">
        <f t="shared" si="19"/>
        <v>0</v>
      </c>
      <c r="BA7" s="36">
        <f t="shared" si="20"/>
        <v>0</v>
      </c>
      <c r="BB7" s="261">
        <f t="shared" si="21"/>
        <v>0</v>
      </c>
      <c r="BC7" s="35">
        <f t="shared" si="22"/>
        <v>0</v>
      </c>
    </row>
    <row r="8" spans="1:63" ht="18">
      <c r="A8" s="30"/>
      <c r="B8" s="227">
        <f t="shared" ref="B8:B9" si="29">WeekNumber(C8)</f>
        <v>4</v>
      </c>
      <c r="C8" s="328">
        <f>I7+1</f>
        <v>42751</v>
      </c>
      <c r="D8" s="329">
        <f t="shared" si="23"/>
        <v>42752</v>
      </c>
      <c r="E8" s="329">
        <f t="shared" si="23"/>
        <v>42753</v>
      </c>
      <c r="F8" s="329">
        <f t="shared" si="23"/>
        <v>42754</v>
      </c>
      <c r="G8" s="329">
        <f t="shared" si="23"/>
        <v>42755</v>
      </c>
      <c r="H8" s="330">
        <f t="shared" si="23"/>
        <v>42756</v>
      </c>
      <c r="I8" s="327">
        <f t="shared" si="23"/>
        <v>42757</v>
      </c>
      <c r="K8" s="227">
        <f t="shared" si="27"/>
        <v>9</v>
      </c>
      <c r="L8" s="328">
        <f>R7+1</f>
        <v>42786</v>
      </c>
      <c r="M8" s="329">
        <f t="shared" si="24"/>
        <v>42787</v>
      </c>
      <c r="N8" s="329">
        <f t="shared" si="24"/>
        <v>42788</v>
      </c>
      <c r="O8" s="329">
        <f t="shared" si="24"/>
        <v>42789</v>
      </c>
      <c r="P8" s="329">
        <f t="shared" si="24"/>
        <v>42790</v>
      </c>
      <c r="Q8" s="330">
        <f t="shared" si="24"/>
        <v>42791</v>
      </c>
      <c r="R8" s="327">
        <f t="shared" si="24"/>
        <v>42792</v>
      </c>
      <c r="S8" s="30"/>
      <c r="T8" s="227">
        <f t="shared" si="28"/>
        <v>13</v>
      </c>
      <c r="U8" s="328">
        <f>AA7+1</f>
        <v>42814</v>
      </c>
      <c r="V8" s="329">
        <f t="shared" si="25"/>
        <v>42815</v>
      </c>
      <c r="W8" s="329">
        <f t="shared" si="25"/>
        <v>42816</v>
      </c>
      <c r="X8" s="329">
        <f t="shared" si="25"/>
        <v>42817</v>
      </c>
      <c r="Y8" s="329">
        <f t="shared" si="25"/>
        <v>42818</v>
      </c>
      <c r="Z8" s="330">
        <f t="shared" si="25"/>
        <v>42819</v>
      </c>
      <c r="AA8" s="327">
        <f t="shared" si="25"/>
        <v>42820</v>
      </c>
      <c r="AB8" s="30"/>
      <c r="AC8" s="16"/>
      <c r="AD8" s="226"/>
      <c r="AE8" s="262">
        <f t="shared" si="26"/>
        <v>0</v>
      </c>
      <c r="AF8" s="36">
        <f t="shared" si="3"/>
        <v>0</v>
      </c>
      <c r="AG8" s="36">
        <f t="shared" si="4"/>
        <v>0</v>
      </c>
      <c r="AH8" s="36">
        <f t="shared" si="5"/>
        <v>0</v>
      </c>
      <c r="AI8" s="36">
        <f t="shared" si="6"/>
        <v>0</v>
      </c>
      <c r="AJ8" s="261">
        <f t="shared" si="7"/>
        <v>0</v>
      </c>
      <c r="AK8" s="35">
        <f t="shared" si="8"/>
        <v>0</v>
      </c>
      <c r="AM8" s="226"/>
      <c r="AN8" s="262">
        <f t="shared" si="9"/>
        <v>0</v>
      </c>
      <c r="AO8" s="36">
        <f t="shared" si="10"/>
        <v>0</v>
      </c>
      <c r="AP8" s="36" t="str">
        <f t="shared" si="11"/>
        <v>E</v>
      </c>
      <c r="AQ8" s="36">
        <f t="shared" si="12"/>
        <v>0</v>
      </c>
      <c r="AR8" s="36">
        <f t="shared" si="13"/>
        <v>0</v>
      </c>
      <c r="AS8" s="261">
        <f t="shared" si="14"/>
        <v>0</v>
      </c>
      <c r="AT8" s="35">
        <f t="shared" si="15"/>
        <v>0</v>
      </c>
      <c r="AV8" s="226"/>
      <c r="AW8" s="262" t="str">
        <f t="shared" si="16"/>
        <v>C</v>
      </c>
      <c r="AX8" s="36">
        <f t="shared" si="17"/>
        <v>0</v>
      </c>
      <c r="AY8" s="36">
        <f t="shared" si="18"/>
        <v>0</v>
      </c>
      <c r="AZ8" s="36">
        <f t="shared" si="19"/>
        <v>0</v>
      </c>
      <c r="BA8" s="36" t="str">
        <f t="shared" si="20"/>
        <v>E</v>
      </c>
      <c r="BB8" s="261">
        <f t="shared" si="21"/>
        <v>0</v>
      </c>
      <c r="BC8" s="35">
        <f t="shared" si="22"/>
        <v>0</v>
      </c>
    </row>
    <row r="9" spans="1:63" ht="18">
      <c r="A9" s="30"/>
      <c r="B9" s="227">
        <f t="shared" si="29"/>
        <v>5</v>
      </c>
      <c r="C9" s="328">
        <f>IF(I8+1&lt;=AG3,I8+1," ")</f>
        <v>42758</v>
      </c>
      <c r="D9" s="329">
        <f>IF(C9=" "," ",IF(C9+1&lt;=AG3,C9+1," "))</f>
        <v>42759</v>
      </c>
      <c r="E9" s="329">
        <f>IF(D9=" "," ",IF(D9+1&lt;=AG3,D9+1," "))</f>
        <v>42760</v>
      </c>
      <c r="F9" s="329">
        <f>IF(E9=" "," ",IF(E9+1&lt;=AG3,E9+1," "))</f>
        <v>42761</v>
      </c>
      <c r="G9" s="329">
        <f>IF(F9=" "," ",IF(F9+1&lt;=AG3,F9+1," "))</f>
        <v>42762</v>
      </c>
      <c r="H9" s="330">
        <f>IF(G9=" "," ",IF(G9+1&lt;=AG3,G9+1," "))</f>
        <v>42763</v>
      </c>
      <c r="I9" s="327">
        <f>IF(H9=" "," ",IF(H9+1&lt;=AG3,H9+1," "))</f>
        <v>42764</v>
      </c>
      <c r="K9" s="228">
        <f t="shared" si="27"/>
        <v>10</v>
      </c>
      <c r="L9" s="328">
        <f>IF(R8+1&lt;=AP3,R8+1," ")</f>
        <v>42793</v>
      </c>
      <c r="M9" s="329">
        <f>IF(L9=" "," ",IF(L9+1&lt;=AP3,L9+1," "))</f>
        <v>42794</v>
      </c>
      <c r="N9" s="329" t="str">
        <f>IF(M9=" "," ",IF(M9+1&lt;=AP3,M9+1," "))</f>
        <v xml:space="preserve"> </v>
      </c>
      <c r="O9" s="329" t="str">
        <f>IF(N9=" "," ",IF(N9+1&lt;=AP3,N9+1," "))</f>
        <v xml:space="preserve"> </v>
      </c>
      <c r="P9" s="329" t="str">
        <f>IF(O9=" "," ",IF(O9+1&lt;=AP3,O9+1," "))</f>
        <v xml:space="preserve"> </v>
      </c>
      <c r="Q9" s="330" t="str">
        <f>IF(P9=" "," ",IF(P9+1&lt;=AP3,P9+1," "))</f>
        <v xml:space="preserve"> </v>
      </c>
      <c r="R9" s="327" t="str">
        <f>IF(Q9=" "," ",IF(Q9+1&lt;=AP3,Q9+1," "))</f>
        <v xml:space="preserve"> </v>
      </c>
      <c r="S9" s="30"/>
      <c r="T9" s="227">
        <f t="shared" si="28"/>
        <v>14</v>
      </c>
      <c r="U9" s="328">
        <f>IF(AA8+1&lt;=AY3,AA8+1," ")</f>
        <v>42821</v>
      </c>
      <c r="V9" s="329">
        <f>IF(U9=" "," ",IF(U9+1&lt;=AY3,U9+1," "))</f>
        <v>42822</v>
      </c>
      <c r="W9" s="329">
        <f>IF(V9=" "," ",IF(V9+1&lt;=AY3,V9+1," "))</f>
        <v>42823</v>
      </c>
      <c r="X9" s="329">
        <f>IF(W9=" "," ",IF(W9+1&lt;=AY3,W9+1," "))</f>
        <v>42824</v>
      </c>
      <c r="Y9" s="329">
        <f>IF(X9=" "," ",IF(X9+1&lt;=AY3,X9+1," "))</f>
        <v>42825</v>
      </c>
      <c r="Z9" s="330" t="str">
        <f>IF(Y9=" "," ",IF(Y9+1&lt;=AY3,Y9+1," "))</f>
        <v xml:space="preserve"> </v>
      </c>
      <c r="AA9" s="327" t="str">
        <f>IF(Z9=" "," ",IF(Z9+1&lt;=AY3,Z9+1," "))</f>
        <v xml:space="preserve"> </v>
      </c>
      <c r="AB9" s="30"/>
      <c r="AC9" s="16"/>
      <c r="AD9" s="226"/>
      <c r="AE9" s="262" t="str">
        <f t="shared" si="26"/>
        <v>E</v>
      </c>
      <c r="AF9" s="36">
        <f t="shared" si="3"/>
        <v>0</v>
      </c>
      <c r="AG9" s="36">
        <f t="shared" si="4"/>
        <v>0</v>
      </c>
      <c r="AH9" s="36">
        <f t="shared" si="5"/>
        <v>0</v>
      </c>
      <c r="AI9" s="36">
        <f t="shared" si="6"/>
        <v>0</v>
      </c>
      <c r="AJ9" s="261">
        <f t="shared" si="7"/>
        <v>0</v>
      </c>
      <c r="AK9" s="35">
        <f t="shared" si="8"/>
        <v>0</v>
      </c>
      <c r="AM9" s="226"/>
      <c r="AN9" s="262">
        <f t="shared" si="9"/>
        <v>0</v>
      </c>
      <c r="AO9" s="36" t="str">
        <f t="shared" si="10"/>
        <v>F</v>
      </c>
      <c r="AP9" s="36" t="str">
        <f t="shared" si="11"/>
        <v/>
      </c>
      <c r="AQ9" s="36" t="str">
        <f t="shared" si="12"/>
        <v/>
      </c>
      <c r="AR9" s="36" t="str">
        <f t="shared" si="13"/>
        <v/>
      </c>
      <c r="AS9" s="261" t="str">
        <f t="shared" si="14"/>
        <v/>
      </c>
      <c r="AT9" s="35" t="str">
        <f t="shared" si="15"/>
        <v/>
      </c>
      <c r="AV9" s="226"/>
      <c r="AW9" s="262">
        <f t="shared" si="16"/>
        <v>0</v>
      </c>
      <c r="AX9" s="36">
        <f t="shared" si="17"/>
        <v>0</v>
      </c>
      <c r="AY9" s="36">
        <f t="shared" si="18"/>
        <v>0</v>
      </c>
      <c r="AZ9" s="36">
        <f t="shared" si="19"/>
        <v>0</v>
      </c>
      <c r="BA9" s="36">
        <f t="shared" si="20"/>
        <v>0</v>
      </c>
      <c r="BB9" s="261" t="str">
        <f t="shared" si="21"/>
        <v/>
      </c>
      <c r="BC9" s="35" t="str">
        <f t="shared" si="22"/>
        <v/>
      </c>
    </row>
    <row r="10" spans="1:63" ht="18.75" thickBot="1">
      <c r="A10" s="30"/>
      <c r="B10" s="227">
        <f>IF(C10=" ","",B9+1)</f>
        <v>6</v>
      </c>
      <c r="C10" s="331">
        <f>IF(I9=" "," ",IF(I9+1&lt;=AG3,I9+1," "))</f>
        <v>42765</v>
      </c>
      <c r="D10" s="332">
        <f>IF(C10=" "," ",IF(C10+1&lt;=AG3,C10+1," "))</f>
        <v>42766</v>
      </c>
      <c r="E10" s="332"/>
      <c r="F10" s="332"/>
      <c r="G10" s="332"/>
      <c r="H10" s="333"/>
      <c r="I10" s="334"/>
      <c r="K10" s="228" t="str">
        <f>IF(L10=" ","",K9+1)</f>
        <v/>
      </c>
      <c r="L10" s="331" t="str">
        <f>IF(R9=" "," ",IF(R9+1&lt;=AP3,R9+1," "))</f>
        <v xml:space="preserve"> </v>
      </c>
      <c r="M10" s="332" t="str">
        <f>IF(L10=" "," ",IF(L10+1&lt;=AP3,L10+1," "))</f>
        <v xml:space="preserve"> </v>
      </c>
      <c r="N10" s="332"/>
      <c r="O10" s="332"/>
      <c r="P10" s="332"/>
      <c r="Q10" s="333"/>
      <c r="R10" s="334"/>
      <c r="S10" s="30"/>
      <c r="T10" s="228" t="str">
        <f>IF(U10=" ","",T9+1)</f>
        <v/>
      </c>
      <c r="U10" s="331" t="str">
        <f>IF(AA9=" "," ",IF(AA9+1&lt;=AY3,AA9+1," "))</f>
        <v xml:space="preserve"> </v>
      </c>
      <c r="V10" s="332" t="str">
        <f>IF(U10=" "," ",IF(U10+1&lt;=AY3,U10+1," "))</f>
        <v xml:space="preserve"> </v>
      </c>
      <c r="W10" s="332"/>
      <c r="X10" s="661" t="str">
        <f ca="1">"20 - " &amp; 'GPlan-Translations'!C193</f>
        <v>20 - Outono</v>
      </c>
      <c r="Y10" s="661"/>
      <c r="Z10" s="661"/>
      <c r="AA10" s="662"/>
      <c r="AB10" s="30"/>
      <c r="AC10" s="16"/>
      <c r="AD10" s="20"/>
      <c r="AE10" s="263">
        <f t="shared" si="26"/>
        <v>0</v>
      </c>
      <c r="AF10" s="37">
        <f t="shared" si="3"/>
        <v>0</v>
      </c>
      <c r="AG10" s="500">
        <f>MoonDate(AF3,1)</f>
        <v>42741</v>
      </c>
      <c r="AH10" s="500">
        <f>MoonDate(AF3,2)</f>
        <v>42747</v>
      </c>
      <c r="AI10" s="500">
        <f>MoonDate(AF3,3)</f>
        <v>42755</v>
      </c>
      <c r="AJ10" s="500">
        <f>MoonDate(AF3,4)</f>
        <v>42762</v>
      </c>
      <c r="AK10" s="501" t="str">
        <f>MoonDate(AF3,5)</f>
        <v/>
      </c>
      <c r="AM10" s="20"/>
      <c r="AN10" s="263" t="str">
        <f t="shared" si="9"/>
        <v/>
      </c>
      <c r="AO10" s="37" t="str">
        <f t="shared" si="10"/>
        <v/>
      </c>
      <c r="AP10" s="500">
        <f>MoonDate(AO3,1)</f>
        <v>42770</v>
      </c>
      <c r="AQ10" s="500">
        <f>MoonDate(AO3,2)</f>
        <v>42776</v>
      </c>
      <c r="AR10" s="500">
        <f>MoonDate(AO3,3)</f>
        <v>42784</v>
      </c>
      <c r="AS10" s="500">
        <f>MoonDate(AO3,4)</f>
        <v>42792</v>
      </c>
      <c r="AT10" s="501" t="str">
        <f>MoonDate(AO3,5)</f>
        <v/>
      </c>
      <c r="AV10" s="20"/>
      <c r="AW10" s="263" t="str">
        <f t="shared" si="16"/>
        <v/>
      </c>
      <c r="AX10" s="37" t="str">
        <f t="shared" si="17"/>
        <v/>
      </c>
      <c r="AY10" s="500">
        <f>MoonDate(AX3,1)</f>
        <v>42799</v>
      </c>
      <c r="AZ10" s="500">
        <f>MoonDate(AX3,2)</f>
        <v>42806</v>
      </c>
      <c r="BA10" s="500">
        <f>MoonDate(AX3,3)</f>
        <v>42814</v>
      </c>
      <c r="BB10" s="500">
        <f>MoonDate(AX3,4)</f>
        <v>42821</v>
      </c>
      <c r="BC10" s="501" t="str">
        <f>MoonDate(AX3,5)</f>
        <v/>
      </c>
    </row>
    <row r="11" spans="1:63" ht="18.75" thickBot="1">
      <c r="B11" s="265" t="str">
        <f>MoonSymbol(AG10)</f>
        <v>(</v>
      </c>
      <c r="C11" s="39" t="str">
        <f>IF(AG10="","",DAY(AG10) &amp; IF(AK10&lt;&gt;"","/" &amp; DAY(AK10),""))</f>
        <v>6</v>
      </c>
      <c r="D11" s="265" t="str">
        <f>MoonSymbol(AH10)</f>
        <v>O</v>
      </c>
      <c r="E11" s="502">
        <f>IFERROR(AH10,"")</f>
        <v>42747</v>
      </c>
      <c r="F11" s="265" t="str">
        <f>MoonSymbol(AI10)</f>
        <v>)</v>
      </c>
      <c r="G11" s="502">
        <f>AI10</f>
        <v>42755</v>
      </c>
      <c r="H11" s="265" t="str">
        <f>MoonSymbol(AJ10)</f>
        <v>: :</v>
      </c>
      <c r="I11" s="503">
        <f>AJ10</f>
        <v>42762</v>
      </c>
      <c r="K11" s="265" t="str">
        <f>MoonSymbol(AP10)</f>
        <v>(</v>
      </c>
      <c r="L11" s="39" t="str">
        <f>IF(AP10="","",DAY(AP10) &amp; IF(AT10&lt;&gt;"","/" &amp; DAY(AT10),""))</f>
        <v>4</v>
      </c>
      <c r="M11" s="265" t="str">
        <f>MoonSymbol(AQ10)</f>
        <v>O</v>
      </c>
      <c r="N11" s="502">
        <f>IFERROR(AQ10,"")</f>
        <v>42776</v>
      </c>
      <c r="O11" s="265" t="str">
        <f>MoonSymbol(AR10)</f>
        <v>)</v>
      </c>
      <c r="P11" s="502">
        <f>AR10</f>
        <v>42784</v>
      </c>
      <c r="Q11" s="265" t="str">
        <f>MoonSymbol(AS10)</f>
        <v>: :</v>
      </c>
      <c r="R11" s="503">
        <f>AS10</f>
        <v>42792</v>
      </c>
      <c r="T11" s="265" t="str">
        <f>MoonSymbol(AY10)</f>
        <v>(</v>
      </c>
      <c r="U11" s="39" t="str">
        <f>IF(AY10="","",DAY(AY10) &amp; IF(BC10&lt;&gt;"","/" &amp; DAY(BC10),""))</f>
        <v>5</v>
      </c>
      <c r="V11" s="265" t="str">
        <f>MoonSymbol(AZ10)</f>
        <v>O</v>
      </c>
      <c r="W11" s="502">
        <f>AZ10</f>
        <v>42806</v>
      </c>
      <c r="X11" s="265" t="str">
        <f>MoonSymbol(BA10)</f>
        <v>)</v>
      </c>
      <c r="Y11" s="502">
        <f>BA10</f>
        <v>42814</v>
      </c>
      <c r="Z11" s="265" t="str">
        <f>MoonSymbol(BB10)</f>
        <v>: :</v>
      </c>
      <c r="AA11" s="503">
        <f>BB10</f>
        <v>42821</v>
      </c>
      <c r="AC11" s="16"/>
      <c r="AD11" s="20"/>
      <c r="AE11" s="20"/>
      <c r="AF11" s="443"/>
      <c r="AG11" s="20"/>
      <c r="AH11" s="20"/>
      <c r="AI11" s="20"/>
      <c r="AJ11" s="20"/>
      <c r="AK11" s="20"/>
      <c r="AL11" s="39"/>
      <c r="AM11" s="20"/>
      <c r="AN11" s="20"/>
      <c r="AO11" s="443"/>
      <c r="AP11" s="20"/>
      <c r="AQ11" s="20"/>
      <c r="AR11" s="20"/>
      <c r="AS11" s="20"/>
      <c r="AT11" s="20"/>
      <c r="AU11" s="39"/>
      <c r="AV11" s="20"/>
      <c r="AW11" s="20"/>
      <c r="AX11" s="443"/>
      <c r="AY11" s="20"/>
      <c r="AZ11" s="20"/>
      <c r="BA11" s="20"/>
      <c r="BB11" s="20"/>
      <c r="BC11" s="20"/>
      <c r="BD11" s="39"/>
    </row>
    <row r="12" spans="1:63" ht="18">
      <c r="A12" s="30"/>
      <c r="C12" s="654" t="str">
        <f ca="1">UPPER('GPlan-Translations'!C225)</f>
        <v>ABRIL</v>
      </c>
      <c r="D12" s="655"/>
      <c r="E12" s="655"/>
      <c r="F12" s="655"/>
      <c r="G12" s="655"/>
      <c r="H12" s="655"/>
      <c r="I12" s="656"/>
      <c r="L12" s="654" t="str">
        <f ca="1">UPPER('GPlan-Translations'!C226)</f>
        <v>MAIO</v>
      </c>
      <c r="M12" s="655"/>
      <c r="N12" s="655"/>
      <c r="O12" s="655"/>
      <c r="P12" s="655"/>
      <c r="Q12" s="655"/>
      <c r="R12" s="656"/>
      <c r="S12" s="30"/>
      <c r="T12" s="30"/>
      <c r="U12" s="654" t="str">
        <f ca="1">UPPER('GPlan-Translations'!C227)</f>
        <v>JUNHO</v>
      </c>
      <c r="V12" s="655"/>
      <c r="W12" s="655"/>
      <c r="X12" s="655"/>
      <c r="Y12" s="655"/>
      <c r="Z12" s="655"/>
      <c r="AA12" s="656"/>
      <c r="AB12" s="30"/>
      <c r="AC12" s="16"/>
      <c r="AD12" s="344"/>
      <c r="AE12" s="341">
        <v>4</v>
      </c>
      <c r="AF12" s="335">
        <f>DATE(AJ12,AE12,1)</f>
        <v>42826</v>
      </c>
      <c r="AG12" s="335">
        <f>DATE(AJ12,AE12+1,1)-1</f>
        <v>42855</v>
      </c>
      <c r="AH12" s="335">
        <f>WEEKDAY(AF12,2)</f>
        <v>6</v>
      </c>
      <c r="AI12" s="31"/>
      <c r="AJ12" s="657">
        <f>$U$1</f>
        <v>2017</v>
      </c>
      <c r="AK12" s="658"/>
      <c r="AM12" s="344"/>
      <c r="AN12" s="341">
        <f>AE12+1</f>
        <v>5</v>
      </c>
      <c r="AO12" s="335">
        <f>DATE(AS12,AN12,1)</f>
        <v>42856</v>
      </c>
      <c r="AP12" s="335">
        <f>DATE(AS12,AN12+1,1)-1</f>
        <v>42886</v>
      </c>
      <c r="AQ12" s="335">
        <f>WEEKDAY(AO12,2)</f>
        <v>1</v>
      </c>
      <c r="AR12" s="31"/>
      <c r="AS12" s="657">
        <f>$U$1</f>
        <v>2017</v>
      </c>
      <c r="AT12" s="658"/>
      <c r="AV12" s="344"/>
      <c r="AW12" s="341">
        <f>AN12+1</f>
        <v>6</v>
      </c>
      <c r="AX12" s="335">
        <f>DATE(BB12,AW12,1)</f>
        <v>42887</v>
      </c>
      <c r="AY12" s="335">
        <f>DATE(BB12,AW12+1,1)-1</f>
        <v>42916</v>
      </c>
      <c r="AZ12" s="335">
        <f>WEEKDAY(AX12,2)</f>
        <v>4</v>
      </c>
      <c r="BA12" s="31"/>
      <c r="BB12" s="657">
        <f>$U$1</f>
        <v>2017</v>
      </c>
      <c r="BC12" s="658"/>
    </row>
    <row r="13" spans="1:63" ht="18">
      <c r="A13" s="30"/>
      <c r="C13" s="259" t="str">
        <f ca="1">'GPlan-Translations'!$C$282</f>
        <v>S</v>
      </c>
      <c r="D13" s="73" t="str">
        <f ca="1">'GPlan-Translations'!$C$283</f>
        <v>T</v>
      </c>
      <c r="E13" s="73" t="str">
        <f ca="1">'GPlan-Translations'!$C$284</f>
        <v>Q</v>
      </c>
      <c r="F13" s="73" t="str">
        <f ca="1">'GPlan-Translations'!$C$285</f>
        <v>Q</v>
      </c>
      <c r="G13" s="73" t="str">
        <f ca="1">'GPlan-Translations'!$C$286</f>
        <v>S</v>
      </c>
      <c r="H13" s="258" t="str">
        <f ca="1">'GPlan-Translations'!$C$287</f>
        <v>S</v>
      </c>
      <c r="I13" s="158" t="str">
        <f ca="1">'GPlan-Translations'!$C$281</f>
        <v>D</v>
      </c>
      <c r="L13" s="259" t="str">
        <f ca="1">'GPlan-Translations'!$C$282</f>
        <v>S</v>
      </c>
      <c r="M13" s="73" t="str">
        <f ca="1">'GPlan-Translations'!$C$283</f>
        <v>T</v>
      </c>
      <c r="N13" s="73" t="str">
        <f ca="1">'GPlan-Translations'!$C$284</f>
        <v>Q</v>
      </c>
      <c r="O13" s="73" t="str">
        <f ca="1">'GPlan-Translations'!$C$285</f>
        <v>Q</v>
      </c>
      <c r="P13" s="73" t="str">
        <f ca="1">'GPlan-Translations'!$C$286</f>
        <v>S</v>
      </c>
      <c r="Q13" s="258" t="str">
        <f ca="1">'GPlan-Translations'!$C$287</f>
        <v>S</v>
      </c>
      <c r="R13" s="158" t="str">
        <f ca="1">'GPlan-Translations'!$C$281</f>
        <v>D</v>
      </c>
      <c r="S13" s="30"/>
      <c r="T13" s="30"/>
      <c r="U13" s="259" t="str">
        <f ca="1">'GPlan-Translations'!$C$282</f>
        <v>S</v>
      </c>
      <c r="V13" s="73" t="str">
        <f ca="1">'GPlan-Translations'!$C$283</f>
        <v>T</v>
      </c>
      <c r="W13" s="73" t="str">
        <f ca="1">'GPlan-Translations'!$C$284</f>
        <v>Q</v>
      </c>
      <c r="X13" s="73" t="str">
        <f ca="1">'GPlan-Translations'!$C$285</f>
        <v>Q</v>
      </c>
      <c r="Y13" s="73" t="str">
        <f ca="1">'GPlan-Translations'!$C$286</f>
        <v>S</v>
      </c>
      <c r="Z13" s="258" t="str">
        <f ca="1">'GPlan-Translations'!$C$287</f>
        <v>S</v>
      </c>
      <c r="AA13" s="158" t="str">
        <f ca="1">'GPlan-Translations'!$C$281</f>
        <v>D</v>
      </c>
      <c r="AB13" s="30"/>
      <c r="AC13" s="16"/>
      <c r="AD13" s="20"/>
      <c r="AE13" s="249" t="str">
        <f t="shared" ref="AE13:AK13" ca="1" si="30">C13</f>
        <v>S</v>
      </c>
      <c r="AF13" s="33" t="str">
        <f t="shared" ca="1" si="30"/>
        <v>T</v>
      </c>
      <c r="AG13" s="33" t="str">
        <f t="shared" ca="1" si="30"/>
        <v>Q</v>
      </c>
      <c r="AH13" s="33" t="str">
        <f t="shared" ca="1" si="30"/>
        <v>Q</v>
      </c>
      <c r="AI13" s="33" t="str">
        <f t="shared" ca="1" si="30"/>
        <v>S</v>
      </c>
      <c r="AJ13" s="260" t="str">
        <f t="shared" ca="1" si="30"/>
        <v>S</v>
      </c>
      <c r="AK13" s="34" t="str">
        <f t="shared" ca="1" si="30"/>
        <v>D</v>
      </c>
      <c r="AM13" s="20"/>
      <c r="AN13" s="249" t="str">
        <f t="shared" ref="AN13:AT13" ca="1" si="31">L13</f>
        <v>S</v>
      </c>
      <c r="AO13" s="33" t="str">
        <f t="shared" ca="1" si="31"/>
        <v>T</v>
      </c>
      <c r="AP13" s="33" t="str">
        <f t="shared" ca="1" si="31"/>
        <v>Q</v>
      </c>
      <c r="AQ13" s="33" t="str">
        <f t="shared" ca="1" si="31"/>
        <v>Q</v>
      </c>
      <c r="AR13" s="33" t="str">
        <f t="shared" ca="1" si="31"/>
        <v>S</v>
      </c>
      <c r="AS13" s="260" t="str">
        <f t="shared" ca="1" si="31"/>
        <v>S</v>
      </c>
      <c r="AT13" s="34" t="str">
        <f t="shared" ca="1" si="31"/>
        <v>D</v>
      </c>
      <c r="AV13" s="20"/>
      <c r="AW13" s="249" t="str">
        <f t="shared" ref="AW13:BC13" ca="1" si="32">U13</f>
        <v>S</v>
      </c>
      <c r="AX13" s="33" t="str">
        <f t="shared" ca="1" si="32"/>
        <v>T</v>
      </c>
      <c r="AY13" s="33" t="str">
        <f t="shared" ca="1" si="32"/>
        <v>Q</v>
      </c>
      <c r="AZ13" s="33" t="str">
        <f t="shared" ca="1" si="32"/>
        <v>Q</v>
      </c>
      <c r="BA13" s="33" t="str">
        <f t="shared" ca="1" si="32"/>
        <v>S</v>
      </c>
      <c r="BB13" s="260" t="str">
        <f t="shared" ca="1" si="32"/>
        <v>S</v>
      </c>
      <c r="BC13" s="34" t="str">
        <f t="shared" ca="1" si="32"/>
        <v>D</v>
      </c>
    </row>
    <row r="14" spans="1:63" ht="18">
      <c r="A14" s="30"/>
      <c r="B14" s="229">
        <f>B15-1</f>
        <v>14</v>
      </c>
      <c r="C14" s="328" t="str">
        <f>IF(AH12=1,AF12," ")</f>
        <v xml:space="preserve"> </v>
      </c>
      <c r="D14" s="329" t="str">
        <f>IF(AH12=2,AF12,IF(C14=" "," ",C14+1))</f>
        <v xml:space="preserve"> </v>
      </c>
      <c r="E14" s="329" t="str">
        <f>IF(AH12=3,AF12,IF(D14=" "," ",D14+1))</f>
        <v xml:space="preserve"> </v>
      </c>
      <c r="F14" s="329" t="str">
        <f>IF(AH12=4,AF12,IF(E14=" "," ",E14+1))</f>
        <v xml:space="preserve"> </v>
      </c>
      <c r="G14" s="329" t="str">
        <f>IF(AH12=5,AF12,IF(F14=" "," ",F14+1))</f>
        <v xml:space="preserve"> </v>
      </c>
      <c r="H14" s="330">
        <f>IF(AH12=6,AF12,IF(G14=" "," ",G14+1))</f>
        <v>42826</v>
      </c>
      <c r="I14" s="327">
        <f>IF(AH12=7,AF12,H14+1)</f>
        <v>42827</v>
      </c>
      <c r="K14" s="227">
        <f>K15-1</f>
        <v>19</v>
      </c>
      <c r="L14" s="328">
        <f>IF(AQ12=1,AO12," ")</f>
        <v>42856</v>
      </c>
      <c r="M14" s="329">
        <f>IF(AQ12=2,AO12,IF(L14=" "," ",L14+1))</f>
        <v>42857</v>
      </c>
      <c r="N14" s="329">
        <f>IF(AQ12=3,AO12,IF(M14=" "," ",M14+1))</f>
        <v>42858</v>
      </c>
      <c r="O14" s="329">
        <f>IF(AQ12=4,AO12,IF(N14=" "," ",N14+1))</f>
        <v>42859</v>
      </c>
      <c r="P14" s="329">
        <f>IF(AQ12=5,AO12,IF(O14=" "," ",O14+1))</f>
        <v>42860</v>
      </c>
      <c r="Q14" s="330">
        <f>IF(AQ12=6,AO12,IF(P14=" "," ",P14+1))</f>
        <v>42861</v>
      </c>
      <c r="R14" s="327">
        <f>IF(AQ12=7,AO12,Q14+1)</f>
        <v>42862</v>
      </c>
      <c r="S14" s="30"/>
      <c r="T14" s="229">
        <f>T15-1</f>
        <v>23</v>
      </c>
      <c r="U14" s="328" t="str">
        <f>IF(AZ12=1,AX12," ")</f>
        <v xml:space="preserve"> </v>
      </c>
      <c r="V14" s="329" t="str">
        <f>IF(AZ12=2,AX12,IF(U14=" "," ",U14+1))</f>
        <v xml:space="preserve"> </v>
      </c>
      <c r="W14" s="329" t="str">
        <f>IF(AZ12=3,AX12,IF(V14=" "," ",V14+1))</f>
        <v xml:space="preserve"> </v>
      </c>
      <c r="X14" s="329">
        <f>IF(AZ12=4,AX12,IF(W14=" "," ",W14+1))</f>
        <v>42887</v>
      </c>
      <c r="Y14" s="329">
        <f>IF(AZ12=5,AX12,IF(X14=" "," ",X14+1))</f>
        <v>42888</v>
      </c>
      <c r="Z14" s="330">
        <f>IF(AZ12=6,AX12,IF(Y14=" "," ",Y14+1))</f>
        <v>42889</v>
      </c>
      <c r="AA14" s="327">
        <f>IF(AZ12=7,AX12,Z14+1)</f>
        <v>42890</v>
      </c>
      <c r="AB14" s="30"/>
      <c r="AC14" s="16"/>
      <c r="AD14" s="226"/>
      <c r="AE14" s="262" t="str">
        <f t="shared" ref="AE14:AE19" si="33">CelebrationType(C14)</f>
        <v/>
      </c>
      <c r="AF14" s="36" t="str">
        <f t="shared" ref="AF14:AF19" si="34">CelebrationType(D14)</f>
        <v/>
      </c>
      <c r="AG14" s="36" t="str">
        <f t="shared" ref="AG14:AG18" si="35">CelebrationType(E14)</f>
        <v/>
      </c>
      <c r="AH14" s="36" t="str">
        <f t="shared" ref="AH14:AH18" si="36">CelebrationType(F14)</f>
        <v/>
      </c>
      <c r="AI14" s="36" t="str">
        <f t="shared" ref="AI14:AI18" si="37">CelebrationType(G14)</f>
        <v/>
      </c>
      <c r="AJ14" s="261">
        <f t="shared" ref="AJ14:AJ18" si="38">CelebrationType(H14)</f>
        <v>0</v>
      </c>
      <c r="AK14" s="35">
        <f t="shared" ref="AK14:AK18" si="39">CelebrationType(I14)</f>
        <v>0</v>
      </c>
      <c r="AM14" s="226"/>
      <c r="AN14" s="262" t="str">
        <f t="shared" ref="AN14:AN19" si="40">CelebrationType(L14)</f>
        <v>F</v>
      </c>
      <c r="AO14" s="36">
        <f t="shared" ref="AO14:AO19" si="41">CelebrationType(M14)</f>
        <v>0</v>
      </c>
      <c r="AP14" s="36">
        <f t="shared" ref="AP14:AP18" si="42">CelebrationType(N14)</f>
        <v>0</v>
      </c>
      <c r="AQ14" s="36">
        <f t="shared" ref="AQ14:AQ18" si="43">CelebrationType(O14)</f>
        <v>0</v>
      </c>
      <c r="AR14" s="36">
        <f t="shared" ref="AR14:AR18" si="44">CelebrationType(P14)</f>
        <v>0</v>
      </c>
      <c r="AS14" s="261" t="str">
        <f t="shared" ref="AS14:AS18" si="45">CelebrationType(Q14)</f>
        <v>E</v>
      </c>
      <c r="AT14" s="35">
        <f t="shared" ref="AT14:AT18" si="46">CelebrationType(R14)</f>
        <v>0</v>
      </c>
      <c r="AV14" s="226"/>
      <c r="AW14" s="262" t="str">
        <f t="shared" ref="AW14:AW19" si="47">CelebrationType(U14)</f>
        <v/>
      </c>
      <c r="AX14" s="36" t="str">
        <f t="shared" ref="AX14:AX19" si="48">CelebrationType(V14)</f>
        <v/>
      </c>
      <c r="AY14" s="36" t="str">
        <f t="shared" ref="AY14:AY18" si="49">CelebrationType(W14)</f>
        <v/>
      </c>
      <c r="AZ14" s="36">
        <f t="shared" ref="AZ14:AZ18" si="50">CelebrationType(X14)</f>
        <v>0</v>
      </c>
      <c r="BA14" s="36">
        <f t="shared" ref="BA14:BA18" si="51">CelebrationType(Y14)</f>
        <v>0</v>
      </c>
      <c r="BB14" s="261">
        <f t="shared" ref="BB14:BB18" si="52">CelebrationType(Z14)</f>
        <v>0</v>
      </c>
      <c r="BC14" s="35" t="str">
        <f t="shared" ref="BC14:BC18" si="53">CelebrationType(AA14)</f>
        <v>E</v>
      </c>
    </row>
    <row r="15" spans="1:63" ht="18">
      <c r="A15" s="30"/>
      <c r="B15" s="229">
        <f>WeekNumber(C15)</f>
        <v>15</v>
      </c>
      <c r="C15" s="328">
        <f>I14+1</f>
        <v>42828</v>
      </c>
      <c r="D15" s="329">
        <f t="shared" ref="D15:I17" si="54">C15+1</f>
        <v>42829</v>
      </c>
      <c r="E15" s="329">
        <f t="shared" si="54"/>
        <v>42830</v>
      </c>
      <c r="F15" s="329">
        <f t="shared" si="54"/>
        <v>42831</v>
      </c>
      <c r="G15" s="329">
        <f t="shared" si="54"/>
        <v>42832</v>
      </c>
      <c r="H15" s="330">
        <f t="shared" si="54"/>
        <v>42833</v>
      </c>
      <c r="I15" s="327">
        <f t="shared" si="54"/>
        <v>42834</v>
      </c>
      <c r="K15" s="227">
        <f>WeekNumber(L15)</f>
        <v>20</v>
      </c>
      <c r="L15" s="328">
        <f>R14+1</f>
        <v>42863</v>
      </c>
      <c r="M15" s="329">
        <f t="shared" ref="M15:R17" si="55">L15+1</f>
        <v>42864</v>
      </c>
      <c r="N15" s="329">
        <f t="shared" si="55"/>
        <v>42865</v>
      </c>
      <c r="O15" s="329">
        <f t="shared" si="55"/>
        <v>42866</v>
      </c>
      <c r="P15" s="329">
        <f t="shared" si="55"/>
        <v>42867</v>
      </c>
      <c r="Q15" s="330">
        <f t="shared" si="55"/>
        <v>42868</v>
      </c>
      <c r="R15" s="327">
        <f t="shared" si="55"/>
        <v>42869</v>
      </c>
      <c r="S15" s="30"/>
      <c r="T15" s="229">
        <f>WeekNumber(U15)</f>
        <v>24</v>
      </c>
      <c r="U15" s="328">
        <f>AA14+1</f>
        <v>42891</v>
      </c>
      <c r="V15" s="329">
        <f t="shared" ref="V15:AA17" si="56">U15+1</f>
        <v>42892</v>
      </c>
      <c r="W15" s="329">
        <f t="shared" si="56"/>
        <v>42893</v>
      </c>
      <c r="X15" s="329">
        <f t="shared" si="56"/>
        <v>42894</v>
      </c>
      <c r="Y15" s="329">
        <f t="shared" si="56"/>
        <v>42895</v>
      </c>
      <c r="Z15" s="330">
        <f t="shared" si="56"/>
        <v>42896</v>
      </c>
      <c r="AA15" s="327">
        <f t="shared" si="56"/>
        <v>42897</v>
      </c>
      <c r="AB15" s="30"/>
      <c r="AC15" s="16"/>
      <c r="AD15" s="226"/>
      <c r="AE15" s="262">
        <f t="shared" si="33"/>
        <v>0</v>
      </c>
      <c r="AF15" s="36" t="str">
        <f t="shared" si="34"/>
        <v>E</v>
      </c>
      <c r="AG15" s="36">
        <f t="shared" si="35"/>
        <v>0</v>
      </c>
      <c r="AH15" s="36" t="str">
        <f t="shared" si="36"/>
        <v>E</v>
      </c>
      <c r="AI15" s="36">
        <f t="shared" si="37"/>
        <v>0</v>
      </c>
      <c r="AJ15" s="261">
        <f t="shared" si="38"/>
        <v>0</v>
      </c>
      <c r="AK15" s="35" t="str">
        <f t="shared" si="39"/>
        <v>C</v>
      </c>
      <c r="AM15" s="226"/>
      <c r="AN15" s="262">
        <f t="shared" si="40"/>
        <v>0</v>
      </c>
      <c r="AO15" s="36" t="str">
        <f t="shared" si="41"/>
        <v>E</v>
      </c>
      <c r="AP15" s="36">
        <f t="shared" si="42"/>
        <v>0</v>
      </c>
      <c r="AQ15" s="36">
        <f t="shared" si="43"/>
        <v>0</v>
      </c>
      <c r="AR15" s="36">
        <f t="shared" si="44"/>
        <v>0</v>
      </c>
      <c r="AS15" s="261" t="str">
        <f t="shared" si="45"/>
        <v>C</v>
      </c>
      <c r="AT15" s="35" t="str">
        <f t="shared" si="46"/>
        <v>C</v>
      </c>
      <c r="AV15" s="226"/>
      <c r="AW15" s="262">
        <f t="shared" si="47"/>
        <v>0</v>
      </c>
      <c r="AX15" s="36">
        <f t="shared" si="48"/>
        <v>0</v>
      </c>
      <c r="AY15" s="36">
        <f t="shared" si="49"/>
        <v>0</v>
      </c>
      <c r="AZ15" s="36">
        <f t="shared" si="50"/>
        <v>0</v>
      </c>
      <c r="BA15" s="36">
        <f t="shared" si="51"/>
        <v>0</v>
      </c>
      <c r="BB15" s="261">
        <f t="shared" si="52"/>
        <v>0</v>
      </c>
      <c r="BC15" s="35">
        <f t="shared" si="53"/>
        <v>0</v>
      </c>
    </row>
    <row r="16" spans="1:63" ht="18">
      <c r="A16" s="30"/>
      <c r="B16" s="229">
        <f t="shared" ref="B16:B18" si="57">WeekNumber(C16)</f>
        <v>16</v>
      </c>
      <c r="C16" s="328">
        <f>I15+1</f>
        <v>42835</v>
      </c>
      <c r="D16" s="329">
        <f t="shared" si="54"/>
        <v>42836</v>
      </c>
      <c r="E16" s="329">
        <f t="shared" si="54"/>
        <v>42837</v>
      </c>
      <c r="F16" s="329">
        <f t="shared" si="54"/>
        <v>42838</v>
      </c>
      <c r="G16" s="329">
        <f t="shared" si="54"/>
        <v>42839</v>
      </c>
      <c r="H16" s="330">
        <f t="shared" si="54"/>
        <v>42840</v>
      </c>
      <c r="I16" s="327">
        <f t="shared" si="54"/>
        <v>42841</v>
      </c>
      <c r="K16" s="227">
        <f t="shared" ref="K16:K18" si="58">WeekNumber(L16)</f>
        <v>21</v>
      </c>
      <c r="L16" s="328">
        <f>R15+1</f>
        <v>42870</v>
      </c>
      <c r="M16" s="329">
        <f t="shared" si="55"/>
        <v>42871</v>
      </c>
      <c r="N16" s="329">
        <f t="shared" si="55"/>
        <v>42872</v>
      </c>
      <c r="O16" s="329">
        <f t="shared" si="55"/>
        <v>42873</v>
      </c>
      <c r="P16" s="329">
        <f t="shared" si="55"/>
        <v>42874</v>
      </c>
      <c r="Q16" s="330">
        <f t="shared" si="55"/>
        <v>42875</v>
      </c>
      <c r="R16" s="327">
        <f t="shared" si="55"/>
        <v>42876</v>
      </c>
      <c r="S16" s="30"/>
      <c r="T16" s="229">
        <f t="shared" ref="T16:T18" si="59">WeekNumber(U16)</f>
        <v>25</v>
      </c>
      <c r="U16" s="328">
        <f>AA15+1</f>
        <v>42898</v>
      </c>
      <c r="V16" s="329">
        <f t="shared" si="56"/>
        <v>42899</v>
      </c>
      <c r="W16" s="329">
        <f t="shared" si="56"/>
        <v>42900</v>
      </c>
      <c r="X16" s="329">
        <f t="shared" si="56"/>
        <v>42901</v>
      </c>
      <c r="Y16" s="329">
        <f t="shared" si="56"/>
        <v>42902</v>
      </c>
      <c r="Z16" s="330">
        <f t="shared" si="56"/>
        <v>42903</v>
      </c>
      <c r="AA16" s="327">
        <f t="shared" si="56"/>
        <v>42904</v>
      </c>
      <c r="AB16" s="30"/>
      <c r="AC16" s="16"/>
      <c r="AD16" s="226"/>
      <c r="AE16" s="262">
        <f t="shared" si="33"/>
        <v>0</v>
      </c>
      <c r="AF16" s="36">
        <f t="shared" si="34"/>
        <v>0</v>
      </c>
      <c r="AG16" s="36">
        <f t="shared" si="35"/>
        <v>0</v>
      </c>
      <c r="AH16" s="36">
        <f t="shared" si="36"/>
        <v>0</v>
      </c>
      <c r="AI16" s="36" t="str">
        <f t="shared" si="37"/>
        <v>F</v>
      </c>
      <c r="AJ16" s="261" t="str">
        <f t="shared" si="38"/>
        <v>C</v>
      </c>
      <c r="AK16" s="35" t="str">
        <f t="shared" si="39"/>
        <v>F</v>
      </c>
      <c r="AM16" s="226"/>
      <c r="AN16" s="262">
        <f t="shared" si="40"/>
        <v>0</v>
      </c>
      <c r="AO16" s="36">
        <f t="shared" si="41"/>
        <v>0</v>
      </c>
      <c r="AP16" s="36">
        <f t="shared" si="42"/>
        <v>0</v>
      </c>
      <c r="AQ16" s="36">
        <f t="shared" si="43"/>
        <v>0</v>
      </c>
      <c r="AR16" s="36">
        <f t="shared" si="44"/>
        <v>0</v>
      </c>
      <c r="AS16" s="261">
        <f t="shared" si="45"/>
        <v>0</v>
      </c>
      <c r="AT16" s="35">
        <f t="shared" si="46"/>
        <v>0</v>
      </c>
      <c r="AV16" s="226"/>
      <c r="AW16" s="262" t="str">
        <f t="shared" si="47"/>
        <v>C</v>
      </c>
      <c r="AX16" s="36">
        <f t="shared" si="48"/>
        <v>0</v>
      </c>
      <c r="AY16" s="36">
        <f t="shared" si="49"/>
        <v>0</v>
      </c>
      <c r="AZ16" s="36" t="str">
        <f t="shared" si="50"/>
        <v>F</v>
      </c>
      <c r="BA16" s="36">
        <f t="shared" si="51"/>
        <v>0</v>
      </c>
      <c r="BB16" s="261">
        <f t="shared" si="52"/>
        <v>0</v>
      </c>
      <c r="BC16" s="35">
        <f t="shared" si="53"/>
        <v>0</v>
      </c>
    </row>
    <row r="17" spans="1:56" ht="18">
      <c r="A17" s="30"/>
      <c r="B17" s="229">
        <f t="shared" si="57"/>
        <v>17</v>
      </c>
      <c r="C17" s="328">
        <f>I16+1</f>
        <v>42842</v>
      </c>
      <c r="D17" s="329">
        <f t="shared" si="54"/>
        <v>42843</v>
      </c>
      <c r="E17" s="329">
        <f t="shared" si="54"/>
        <v>42844</v>
      </c>
      <c r="F17" s="329">
        <f t="shared" si="54"/>
        <v>42845</v>
      </c>
      <c r="G17" s="329">
        <f t="shared" si="54"/>
        <v>42846</v>
      </c>
      <c r="H17" s="330">
        <f t="shared" si="54"/>
        <v>42847</v>
      </c>
      <c r="I17" s="327">
        <f t="shared" si="54"/>
        <v>42848</v>
      </c>
      <c r="K17" s="227">
        <f t="shared" si="58"/>
        <v>22</v>
      </c>
      <c r="L17" s="328">
        <f>R16+1</f>
        <v>42877</v>
      </c>
      <c r="M17" s="329">
        <f t="shared" si="55"/>
        <v>42878</v>
      </c>
      <c r="N17" s="329">
        <f t="shared" si="55"/>
        <v>42879</v>
      </c>
      <c r="O17" s="329">
        <f t="shared" si="55"/>
        <v>42880</v>
      </c>
      <c r="P17" s="329">
        <f t="shared" si="55"/>
        <v>42881</v>
      </c>
      <c r="Q17" s="330">
        <f t="shared" si="55"/>
        <v>42882</v>
      </c>
      <c r="R17" s="327">
        <f t="shared" si="55"/>
        <v>42883</v>
      </c>
      <c r="S17" s="30"/>
      <c r="T17" s="229">
        <f t="shared" si="59"/>
        <v>26</v>
      </c>
      <c r="U17" s="328">
        <f>AA16+1</f>
        <v>42905</v>
      </c>
      <c r="V17" s="329">
        <f t="shared" si="56"/>
        <v>42906</v>
      </c>
      <c r="W17" s="329">
        <f t="shared" si="56"/>
        <v>42907</v>
      </c>
      <c r="X17" s="329">
        <f t="shared" si="56"/>
        <v>42908</v>
      </c>
      <c r="Y17" s="329">
        <f t="shared" si="56"/>
        <v>42909</v>
      </c>
      <c r="Z17" s="330">
        <f t="shared" si="56"/>
        <v>42910</v>
      </c>
      <c r="AA17" s="327">
        <f t="shared" si="56"/>
        <v>42911</v>
      </c>
      <c r="AB17" s="30"/>
      <c r="AC17" s="16"/>
      <c r="AD17" s="226"/>
      <c r="AE17" s="262">
        <f t="shared" si="33"/>
        <v>0</v>
      </c>
      <c r="AF17" s="36" t="str">
        <f t="shared" si="34"/>
        <v>C</v>
      </c>
      <c r="AG17" s="36" t="str">
        <f t="shared" si="35"/>
        <v>C</v>
      </c>
      <c r="AH17" s="36">
        <f t="shared" si="36"/>
        <v>0</v>
      </c>
      <c r="AI17" s="36" t="str">
        <f t="shared" si="37"/>
        <v>F</v>
      </c>
      <c r="AJ17" s="261" t="str">
        <f t="shared" si="38"/>
        <v>E</v>
      </c>
      <c r="AK17" s="35">
        <f t="shared" si="39"/>
        <v>0</v>
      </c>
      <c r="AM17" s="226"/>
      <c r="AN17" s="262" t="str">
        <f t="shared" si="40"/>
        <v>E</v>
      </c>
      <c r="AO17" s="36">
        <f t="shared" si="41"/>
        <v>0</v>
      </c>
      <c r="AP17" s="36">
        <f t="shared" si="42"/>
        <v>0</v>
      </c>
      <c r="AQ17" s="36">
        <f t="shared" si="43"/>
        <v>0</v>
      </c>
      <c r="AR17" s="36">
        <f t="shared" si="44"/>
        <v>0</v>
      </c>
      <c r="AS17" s="261">
        <f t="shared" si="45"/>
        <v>0</v>
      </c>
      <c r="AT17" s="35">
        <f t="shared" si="46"/>
        <v>0</v>
      </c>
      <c r="AV17" s="226"/>
      <c r="AW17" s="262">
        <f t="shared" si="47"/>
        <v>0</v>
      </c>
      <c r="AX17" s="36" t="str">
        <f t="shared" si="48"/>
        <v>E</v>
      </c>
      <c r="AY17" s="36">
        <f t="shared" si="49"/>
        <v>0</v>
      </c>
      <c r="AZ17" s="36">
        <f t="shared" si="50"/>
        <v>0</v>
      </c>
      <c r="BA17" s="36">
        <f t="shared" si="51"/>
        <v>0</v>
      </c>
      <c r="BB17" s="261">
        <f t="shared" si="52"/>
        <v>0</v>
      </c>
      <c r="BC17" s="35">
        <f t="shared" si="53"/>
        <v>0</v>
      </c>
    </row>
    <row r="18" spans="1:56" ht="18">
      <c r="A18" s="30"/>
      <c r="B18" s="229">
        <f t="shared" si="57"/>
        <v>18</v>
      </c>
      <c r="C18" s="328">
        <f>IF(I17+1&lt;=AG12,I17+1," ")</f>
        <v>42849</v>
      </c>
      <c r="D18" s="329">
        <f>IF(C18=" "," ",IF(C18+1&lt;=AG12,C18+1," "))</f>
        <v>42850</v>
      </c>
      <c r="E18" s="329">
        <f>IF(D18=" "," ",IF(D18+1&lt;=AG12,D18+1," "))</f>
        <v>42851</v>
      </c>
      <c r="F18" s="329">
        <f>IF(E18=" "," ",IF(E18+1&lt;=AG12,E18+1," "))</f>
        <v>42852</v>
      </c>
      <c r="G18" s="329">
        <f>IF(F18=" "," ",IF(F18+1&lt;=AG12,F18+1," "))</f>
        <v>42853</v>
      </c>
      <c r="H18" s="330">
        <f>IF(G18=" "," ",IF(G18+1&lt;=AG12,G18+1," "))</f>
        <v>42854</v>
      </c>
      <c r="I18" s="327">
        <f>IF(H18=" "," ",IF(H18+1&lt;=AG12,H18+1," "))</f>
        <v>42855</v>
      </c>
      <c r="K18" s="228">
        <f t="shared" si="58"/>
        <v>23</v>
      </c>
      <c r="L18" s="328">
        <f>IF(R17+1&lt;=AP12,R17+1," ")</f>
        <v>42884</v>
      </c>
      <c r="M18" s="329">
        <f>IF(L18=" "," ",IF(L18+1&lt;=AP12,L18+1," "))</f>
        <v>42885</v>
      </c>
      <c r="N18" s="329">
        <f>IF(M18=" "," ",IF(M18+1&lt;=AP12,M18+1," "))</f>
        <v>42886</v>
      </c>
      <c r="O18" s="329" t="str">
        <f>IF(N18=" "," ",IF(N18+1&lt;=AP12,N18+1," "))</f>
        <v xml:space="preserve"> </v>
      </c>
      <c r="P18" s="329" t="str">
        <f>IF(O18=" "," ",IF(O18+1&lt;=AP12,O18+1," "))</f>
        <v xml:space="preserve"> </v>
      </c>
      <c r="Q18" s="330" t="str">
        <f>IF(P18=" "," ",IF(P18+1&lt;=AP12,P18+1," "))</f>
        <v xml:space="preserve"> </v>
      </c>
      <c r="R18" s="327" t="str">
        <f>IF(Q18=" "," ",IF(Q18+1&lt;=AP12,Q18+1," "))</f>
        <v xml:space="preserve"> </v>
      </c>
      <c r="S18" s="30"/>
      <c r="T18" s="229">
        <f t="shared" si="59"/>
        <v>27</v>
      </c>
      <c r="U18" s="328">
        <f>IF(AA17+1&lt;=AY12,AA17+1," ")</f>
        <v>42912</v>
      </c>
      <c r="V18" s="329">
        <f>IF(U18=" "," ",IF(U18+1&lt;=AY12,U18+1," "))</f>
        <v>42913</v>
      </c>
      <c r="W18" s="329">
        <f>IF(V18=" "," ",IF(V18+1&lt;=AY12,V18+1," "))</f>
        <v>42914</v>
      </c>
      <c r="X18" s="329">
        <f>IF(W18=" "," ",IF(W18+1&lt;=AY12,W18+1," "))</f>
        <v>42915</v>
      </c>
      <c r="Y18" s="329">
        <f>IF(X18=" "," ",IF(X18+1&lt;=AY12,X18+1," "))</f>
        <v>42916</v>
      </c>
      <c r="Z18" s="330" t="str">
        <f>IF(Y18=" "," ",IF(Y18+1&lt;=AY12,Y18+1," "))</f>
        <v xml:space="preserve"> </v>
      </c>
      <c r="AA18" s="327" t="str">
        <f>IF(Z18=" "," ",IF(Z18+1&lt;=AY12,Z18+1," "))</f>
        <v xml:space="preserve"> </v>
      </c>
      <c r="AB18" s="30"/>
      <c r="AC18" s="16"/>
      <c r="AD18" s="226"/>
      <c r="AE18" s="262">
        <f t="shared" si="33"/>
        <v>0</v>
      </c>
      <c r="AF18" s="36">
        <f t="shared" si="34"/>
        <v>0</v>
      </c>
      <c r="AG18" s="36">
        <f t="shared" si="35"/>
        <v>0</v>
      </c>
      <c r="AH18" s="36">
        <f t="shared" si="36"/>
        <v>0</v>
      </c>
      <c r="AI18" s="36">
        <f t="shared" si="37"/>
        <v>0</v>
      </c>
      <c r="AJ18" s="261">
        <f t="shared" si="38"/>
        <v>0</v>
      </c>
      <c r="AK18" s="35">
        <f t="shared" si="39"/>
        <v>0</v>
      </c>
      <c r="AM18" s="226"/>
      <c r="AN18" s="262">
        <f t="shared" si="40"/>
        <v>0</v>
      </c>
      <c r="AO18" s="36">
        <f t="shared" si="41"/>
        <v>0</v>
      </c>
      <c r="AP18" s="36">
        <f t="shared" si="42"/>
        <v>0</v>
      </c>
      <c r="AQ18" s="36" t="str">
        <f t="shared" si="43"/>
        <v/>
      </c>
      <c r="AR18" s="36" t="str">
        <f t="shared" si="44"/>
        <v/>
      </c>
      <c r="AS18" s="261" t="str">
        <f t="shared" si="45"/>
        <v/>
      </c>
      <c r="AT18" s="35" t="str">
        <f t="shared" si="46"/>
        <v/>
      </c>
      <c r="AV18" s="226"/>
      <c r="AW18" s="262">
        <f t="shared" si="47"/>
        <v>0</v>
      </c>
      <c r="AX18" s="36">
        <f t="shared" si="48"/>
        <v>0</v>
      </c>
      <c r="AY18" s="36">
        <f t="shared" si="49"/>
        <v>0</v>
      </c>
      <c r="AZ18" s="36">
        <f t="shared" si="50"/>
        <v>0</v>
      </c>
      <c r="BA18" s="36">
        <f t="shared" si="51"/>
        <v>0</v>
      </c>
      <c r="BB18" s="261" t="str">
        <f t="shared" si="52"/>
        <v/>
      </c>
      <c r="BC18" s="35" t="str">
        <f t="shared" si="53"/>
        <v/>
      </c>
    </row>
    <row r="19" spans="1:56" ht="18.75" thickBot="1">
      <c r="A19" s="30"/>
      <c r="B19" s="230" t="str">
        <f>IF(C19=" ","",B18+1)</f>
        <v/>
      </c>
      <c r="C19" s="331" t="str">
        <f>IF(I18=" "," ",IF(I18+1&lt;=AG12,I18+1," "))</f>
        <v xml:space="preserve"> </v>
      </c>
      <c r="D19" s="332" t="str">
        <f>IF(C19=" "," ",IF(C19+1&lt;=AG12,C19+1," "))</f>
        <v xml:space="preserve"> </v>
      </c>
      <c r="E19" s="332"/>
      <c r="F19" s="332"/>
      <c r="G19" s="332"/>
      <c r="H19" s="333"/>
      <c r="I19" s="334"/>
      <c r="K19" s="228" t="str">
        <f>IF(L19=" ","",K18+1)</f>
        <v/>
      </c>
      <c r="L19" s="331" t="str">
        <f>IF(R18=" "," ",IF(R18+1&lt;=AP12,R18+1," "))</f>
        <v xml:space="preserve"> </v>
      </c>
      <c r="M19" s="332" t="str">
        <f>IF(L19=" "," ",IF(L19+1&lt;=AP12,L19+1," "))</f>
        <v xml:space="preserve"> </v>
      </c>
      <c r="N19" s="332"/>
      <c r="O19" s="332"/>
      <c r="P19" s="332"/>
      <c r="Q19" s="333"/>
      <c r="R19" s="334"/>
      <c r="S19" s="30"/>
      <c r="T19" s="230" t="str">
        <f>IF(U19=" ","",T18+1)</f>
        <v/>
      </c>
      <c r="U19" s="331" t="str">
        <f>IF(AA18=" "," ",IF(AA18+1&lt;=AY12,AA18+1," "))</f>
        <v xml:space="preserve"> </v>
      </c>
      <c r="V19" s="332" t="str">
        <f>IF(U19=" "," ",IF(U19+1&lt;=AY12,U19+1," "))</f>
        <v xml:space="preserve"> </v>
      </c>
      <c r="W19" s="143"/>
      <c r="X19" s="663" t="str">
        <f ca="1">"20- " &amp; 'GPlan-Translations'!C194</f>
        <v>20- Inverno</v>
      </c>
      <c r="Y19" s="663"/>
      <c r="Z19" s="663"/>
      <c r="AA19" s="664"/>
      <c r="AB19" s="30"/>
      <c r="AC19" s="16"/>
      <c r="AD19" s="20"/>
      <c r="AE19" s="263" t="str">
        <f t="shared" si="33"/>
        <v/>
      </c>
      <c r="AF19" s="37" t="str">
        <f t="shared" si="34"/>
        <v/>
      </c>
      <c r="AG19" s="500">
        <f>MoonDate(AF12,1)</f>
        <v>42828</v>
      </c>
      <c r="AH19" s="500">
        <f>MoonDate(AF12,2)</f>
        <v>42835</v>
      </c>
      <c r="AI19" s="500">
        <f>MoonDate(AF12,3)</f>
        <v>42844</v>
      </c>
      <c r="AJ19" s="500">
        <f>MoonDate(AF12,4)</f>
        <v>42851</v>
      </c>
      <c r="AK19" s="501" t="str">
        <f>MoonDate(AF12,5)</f>
        <v/>
      </c>
      <c r="AM19" s="20"/>
      <c r="AN19" s="263" t="str">
        <f t="shared" si="40"/>
        <v/>
      </c>
      <c r="AO19" s="37" t="str">
        <f t="shared" si="41"/>
        <v/>
      </c>
      <c r="AP19" s="500">
        <f>MoonDate(AO12,1)</f>
        <v>42858</v>
      </c>
      <c r="AQ19" s="500">
        <f>MoonDate(AO12,2)</f>
        <v>42865</v>
      </c>
      <c r="AR19" s="500">
        <f>MoonDate(AO12,3)</f>
        <v>42874</v>
      </c>
      <c r="AS19" s="500">
        <f>MoonDate(AO12,4)</f>
        <v>42880</v>
      </c>
      <c r="AT19" s="501" t="str">
        <f>MoonDate(AO12,5)</f>
        <v/>
      </c>
      <c r="AV19" s="20"/>
      <c r="AW19" s="263" t="str">
        <f t="shared" si="47"/>
        <v/>
      </c>
      <c r="AX19" s="37" t="str">
        <f t="shared" si="48"/>
        <v/>
      </c>
      <c r="AY19" s="500">
        <f>MoonDate(AX12,1)</f>
        <v>42887</v>
      </c>
      <c r="AZ19" s="500">
        <f>MoonDate(AX12,2)</f>
        <v>42895</v>
      </c>
      <c r="BA19" s="500">
        <f>MoonDate(AX12,3)</f>
        <v>42903</v>
      </c>
      <c r="BB19" s="500">
        <f>MoonDate(AX12,4)</f>
        <v>42909</v>
      </c>
      <c r="BC19" s="501" t="str">
        <f>MoonDate(AX12,5)</f>
        <v/>
      </c>
    </row>
    <row r="20" spans="1:56" ht="18.75" thickBot="1">
      <c r="B20" s="265" t="str">
        <f>MoonSymbol(AG19)</f>
        <v>(</v>
      </c>
      <c r="C20" s="39" t="str">
        <f>IF(AG19="","",DAY(AG19) &amp; IF(AK19&lt;&gt;"","/" &amp; DAY(AK19),""))</f>
        <v>3</v>
      </c>
      <c r="D20" s="265" t="str">
        <f>MoonSymbol(AH19)</f>
        <v>O</v>
      </c>
      <c r="E20" s="502">
        <f>IFERROR(AH19,"")</f>
        <v>42835</v>
      </c>
      <c r="F20" s="265" t="str">
        <f>MoonSymbol(AI19)</f>
        <v>)</v>
      </c>
      <c r="G20" s="502">
        <f>AI19</f>
        <v>42844</v>
      </c>
      <c r="H20" s="265" t="str">
        <f>MoonSymbol(AJ19)</f>
        <v>: :</v>
      </c>
      <c r="I20" s="503">
        <f>AJ19</f>
        <v>42851</v>
      </c>
      <c r="K20" s="265" t="str">
        <f>MoonSymbol(AP19)</f>
        <v>(</v>
      </c>
      <c r="L20" s="39" t="str">
        <f>IF(AP19="","",DAY(AP19) &amp; IF(AT19&lt;&gt;"","/" &amp; DAY(AT19),""))</f>
        <v>3</v>
      </c>
      <c r="M20" s="265" t="str">
        <f>MoonSymbol(AQ19)</f>
        <v>O</v>
      </c>
      <c r="N20" s="502">
        <f>IFERROR(AQ19,"")</f>
        <v>42865</v>
      </c>
      <c r="O20" s="265" t="str">
        <f>MoonSymbol(AR19)</f>
        <v>)</v>
      </c>
      <c r="P20" s="502">
        <f>AR19</f>
        <v>42874</v>
      </c>
      <c r="Q20" s="265" t="str">
        <f>MoonSymbol(AS19)</f>
        <v>: :</v>
      </c>
      <c r="R20" s="503">
        <f>AS19</f>
        <v>42880</v>
      </c>
      <c r="T20" s="265" t="str">
        <f>MoonSymbol(AY19)</f>
        <v>(</v>
      </c>
      <c r="U20" s="39" t="str">
        <f>IF(AY19="","",DAY(AY19) &amp; IF(BC19&lt;&gt;"","/" &amp; DAY(BC19),""))</f>
        <v>1</v>
      </c>
      <c r="V20" s="265" t="str">
        <f>MoonSymbol(AZ19)</f>
        <v>O</v>
      </c>
      <c r="W20" s="502">
        <f>AZ19</f>
        <v>42895</v>
      </c>
      <c r="X20" s="265" t="str">
        <f>MoonSymbol(BA19)</f>
        <v>)</v>
      </c>
      <c r="Y20" s="502">
        <f>BA19</f>
        <v>42903</v>
      </c>
      <c r="Z20" s="265" t="str">
        <f>MoonSymbol(BB19)</f>
        <v>: :</v>
      </c>
      <c r="AA20" s="503">
        <f>BB19</f>
        <v>42909</v>
      </c>
      <c r="AC20" s="16"/>
      <c r="AD20" s="20"/>
      <c r="AE20" s="20"/>
      <c r="AF20" s="443"/>
      <c r="AG20" s="20"/>
      <c r="AH20" s="20"/>
      <c r="AI20" s="20"/>
      <c r="AJ20" s="20"/>
      <c r="AK20" s="20"/>
      <c r="AL20" s="39"/>
      <c r="AM20" s="20"/>
      <c r="AN20" s="20"/>
      <c r="AO20" s="443"/>
      <c r="AP20" s="20"/>
      <c r="AQ20" s="20"/>
      <c r="AR20" s="20"/>
      <c r="AS20" s="20"/>
      <c r="AT20" s="20"/>
      <c r="AU20" s="39"/>
      <c r="AV20" s="20"/>
      <c r="AW20" s="20"/>
      <c r="AX20" s="443"/>
      <c r="AY20" s="20"/>
      <c r="AZ20" s="20"/>
      <c r="BA20" s="20"/>
      <c r="BB20" s="20"/>
      <c r="BC20" s="20"/>
      <c r="BD20" s="39"/>
    </row>
    <row r="21" spans="1:56" ht="18">
      <c r="A21" s="30"/>
      <c r="C21" s="654" t="str">
        <f ca="1">UPPER('GPlan-Translations'!C228)</f>
        <v>JULHO</v>
      </c>
      <c r="D21" s="655"/>
      <c r="E21" s="655"/>
      <c r="F21" s="655"/>
      <c r="G21" s="655"/>
      <c r="H21" s="655"/>
      <c r="I21" s="656"/>
      <c r="L21" s="654" t="str">
        <f ca="1">UPPER('GPlan-Translations'!C229)</f>
        <v>AGOSTO</v>
      </c>
      <c r="M21" s="655"/>
      <c r="N21" s="655"/>
      <c r="O21" s="655"/>
      <c r="P21" s="655"/>
      <c r="Q21" s="655"/>
      <c r="R21" s="656"/>
      <c r="S21" s="30"/>
      <c r="T21" s="30"/>
      <c r="U21" s="654" t="str">
        <f ca="1">UPPER('GPlan-Translations'!C230)</f>
        <v>SETEMBRO</v>
      </c>
      <c r="V21" s="655"/>
      <c r="W21" s="655"/>
      <c r="X21" s="655"/>
      <c r="Y21" s="655"/>
      <c r="Z21" s="655"/>
      <c r="AA21" s="656"/>
      <c r="AB21" s="30"/>
      <c r="AC21" s="16"/>
      <c r="AD21" s="344"/>
      <c r="AE21" s="341">
        <v>7</v>
      </c>
      <c r="AF21" s="335">
        <f>DATE(AJ21,AE21,1)</f>
        <v>42917</v>
      </c>
      <c r="AG21" s="335">
        <f>DATE(AJ21,AE21+1,1)-1</f>
        <v>42947</v>
      </c>
      <c r="AH21" s="335">
        <f>WEEKDAY(AF21,2)</f>
        <v>6</v>
      </c>
      <c r="AI21" s="31"/>
      <c r="AJ21" s="657">
        <f>$U$1</f>
        <v>2017</v>
      </c>
      <c r="AK21" s="658"/>
      <c r="AM21" s="344"/>
      <c r="AN21" s="341">
        <f>AE21+1</f>
        <v>8</v>
      </c>
      <c r="AO21" s="335">
        <f>DATE(AS21,AN21,1)</f>
        <v>42948</v>
      </c>
      <c r="AP21" s="335">
        <f>DATE(AS21,AN21+1,1)-1</f>
        <v>42978</v>
      </c>
      <c r="AQ21" s="335">
        <f>WEEKDAY(AO21,2)</f>
        <v>2</v>
      </c>
      <c r="AR21" s="31"/>
      <c r="AS21" s="657">
        <f>$U$1</f>
        <v>2017</v>
      </c>
      <c r="AT21" s="658"/>
      <c r="AV21" s="344"/>
      <c r="AW21" s="341">
        <f>AN21+1</f>
        <v>9</v>
      </c>
      <c r="AX21" s="335">
        <f>DATE(BB21,AW21,1)</f>
        <v>42979</v>
      </c>
      <c r="AY21" s="335">
        <f>DATE(BB21,AW21+1,1)-1</f>
        <v>43008</v>
      </c>
      <c r="AZ21" s="335">
        <f>WEEKDAY(AX21,2)</f>
        <v>5</v>
      </c>
      <c r="BA21" s="31"/>
      <c r="BB21" s="657">
        <f>$U$1</f>
        <v>2017</v>
      </c>
      <c r="BC21" s="658"/>
    </row>
    <row r="22" spans="1:56" ht="18">
      <c r="A22" s="30"/>
      <c r="C22" s="259" t="str">
        <f ca="1">'GPlan-Translations'!$C$282</f>
        <v>S</v>
      </c>
      <c r="D22" s="73" t="str">
        <f ca="1">'GPlan-Translations'!$C$283</f>
        <v>T</v>
      </c>
      <c r="E22" s="73" t="str">
        <f ca="1">'GPlan-Translations'!$C$284</f>
        <v>Q</v>
      </c>
      <c r="F22" s="73" t="str">
        <f ca="1">'GPlan-Translations'!$C$285</f>
        <v>Q</v>
      </c>
      <c r="G22" s="73" t="str">
        <f ca="1">'GPlan-Translations'!$C$286</f>
        <v>S</v>
      </c>
      <c r="H22" s="258" t="str">
        <f ca="1">'GPlan-Translations'!$C$287</f>
        <v>S</v>
      </c>
      <c r="I22" s="158" t="str">
        <f ca="1">'GPlan-Translations'!$C$281</f>
        <v>D</v>
      </c>
      <c r="L22" s="259" t="str">
        <f ca="1">'GPlan-Translations'!$C$282</f>
        <v>S</v>
      </c>
      <c r="M22" s="73" t="str">
        <f ca="1">'GPlan-Translations'!$C$283</f>
        <v>T</v>
      </c>
      <c r="N22" s="73" t="str">
        <f ca="1">'GPlan-Translations'!$C$284</f>
        <v>Q</v>
      </c>
      <c r="O22" s="73" t="str">
        <f ca="1">'GPlan-Translations'!$C$285</f>
        <v>Q</v>
      </c>
      <c r="P22" s="73" t="str">
        <f ca="1">'GPlan-Translations'!$C$286</f>
        <v>S</v>
      </c>
      <c r="Q22" s="258" t="str">
        <f ca="1">'GPlan-Translations'!$C$287</f>
        <v>S</v>
      </c>
      <c r="R22" s="158" t="str">
        <f ca="1">'GPlan-Translations'!$C$281</f>
        <v>D</v>
      </c>
      <c r="S22" s="30"/>
      <c r="T22" s="30"/>
      <c r="U22" s="259" t="str">
        <f ca="1">'GPlan-Translations'!$C$282</f>
        <v>S</v>
      </c>
      <c r="V22" s="73" t="str">
        <f ca="1">'GPlan-Translations'!$C$283</f>
        <v>T</v>
      </c>
      <c r="W22" s="73" t="str">
        <f ca="1">'GPlan-Translations'!$C$284</f>
        <v>Q</v>
      </c>
      <c r="X22" s="73" t="str">
        <f ca="1">'GPlan-Translations'!$C$285</f>
        <v>Q</v>
      </c>
      <c r="Y22" s="73" t="str">
        <f ca="1">'GPlan-Translations'!$C$286</f>
        <v>S</v>
      </c>
      <c r="Z22" s="258" t="str">
        <f ca="1">'GPlan-Translations'!$C$287</f>
        <v>S</v>
      </c>
      <c r="AA22" s="158" t="str">
        <f ca="1">'GPlan-Translations'!$C$281</f>
        <v>D</v>
      </c>
      <c r="AB22" s="30"/>
      <c r="AC22" s="16"/>
      <c r="AD22" s="20"/>
      <c r="AE22" s="249" t="str">
        <f t="shared" ref="AE22:AK22" ca="1" si="60">C22</f>
        <v>S</v>
      </c>
      <c r="AF22" s="33" t="str">
        <f t="shared" ca="1" si="60"/>
        <v>T</v>
      </c>
      <c r="AG22" s="33" t="str">
        <f t="shared" ca="1" si="60"/>
        <v>Q</v>
      </c>
      <c r="AH22" s="33" t="str">
        <f t="shared" ca="1" si="60"/>
        <v>Q</v>
      </c>
      <c r="AI22" s="33" t="str">
        <f t="shared" ca="1" si="60"/>
        <v>S</v>
      </c>
      <c r="AJ22" s="260" t="str">
        <f t="shared" ca="1" si="60"/>
        <v>S</v>
      </c>
      <c r="AK22" s="34" t="str">
        <f t="shared" ca="1" si="60"/>
        <v>D</v>
      </c>
      <c r="AM22" s="20"/>
      <c r="AN22" s="249" t="str">
        <f t="shared" ref="AN22:AT22" ca="1" si="61">L22</f>
        <v>S</v>
      </c>
      <c r="AO22" s="33" t="str">
        <f t="shared" ca="1" si="61"/>
        <v>T</v>
      </c>
      <c r="AP22" s="33" t="str">
        <f t="shared" ca="1" si="61"/>
        <v>Q</v>
      </c>
      <c r="AQ22" s="33" t="str">
        <f t="shared" ca="1" si="61"/>
        <v>Q</v>
      </c>
      <c r="AR22" s="33" t="str">
        <f t="shared" ca="1" si="61"/>
        <v>S</v>
      </c>
      <c r="AS22" s="260" t="str">
        <f t="shared" ca="1" si="61"/>
        <v>S</v>
      </c>
      <c r="AT22" s="34" t="str">
        <f t="shared" ca="1" si="61"/>
        <v>D</v>
      </c>
      <c r="AV22" s="20"/>
      <c r="AW22" s="249" t="str">
        <f t="shared" ref="AW22:BC22" ca="1" si="62">U22</f>
        <v>S</v>
      </c>
      <c r="AX22" s="33" t="str">
        <f t="shared" ca="1" si="62"/>
        <v>T</v>
      </c>
      <c r="AY22" s="33" t="str">
        <f t="shared" ca="1" si="62"/>
        <v>Q</v>
      </c>
      <c r="AZ22" s="33" t="str">
        <f t="shared" ca="1" si="62"/>
        <v>Q</v>
      </c>
      <c r="BA22" s="33" t="str">
        <f t="shared" ca="1" si="62"/>
        <v>S</v>
      </c>
      <c r="BB22" s="260" t="str">
        <f t="shared" ca="1" si="62"/>
        <v>S</v>
      </c>
      <c r="BC22" s="34" t="str">
        <f t="shared" ca="1" si="62"/>
        <v>D</v>
      </c>
    </row>
    <row r="23" spans="1:56" ht="18">
      <c r="A23" s="30"/>
      <c r="B23" s="229">
        <f>B24-1</f>
        <v>27</v>
      </c>
      <c r="C23" s="328" t="str">
        <f>IF(AH21=1,AF21," ")</f>
        <v xml:space="preserve"> </v>
      </c>
      <c r="D23" s="329" t="str">
        <f>IF(AH21=2,AF21,IF(C23=" "," ",C23+1))</f>
        <v xml:space="preserve"> </v>
      </c>
      <c r="E23" s="329" t="str">
        <f>IF(AH21=3,AF21,IF(D23=" "," ",D23+1))</f>
        <v xml:space="preserve"> </v>
      </c>
      <c r="F23" s="329" t="str">
        <f>IF(AH21=4,AF21,IF(E23=" "," ",E23+1))</f>
        <v xml:space="preserve"> </v>
      </c>
      <c r="G23" s="329" t="str">
        <f>IF(AH21=5,AF21,IF(F23=" "," ",F23+1))</f>
        <v xml:space="preserve"> </v>
      </c>
      <c r="H23" s="330">
        <f>IF(AH21=6,AF21,IF(G23=" "," ",G23+1))</f>
        <v>42917</v>
      </c>
      <c r="I23" s="327">
        <f>IF(AH21=7,AF21,H23+1)</f>
        <v>42918</v>
      </c>
      <c r="K23" s="227">
        <f>K24-1</f>
        <v>32</v>
      </c>
      <c r="L23" s="328" t="str">
        <f>IF(AQ21=1,AO21," ")</f>
        <v xml:space="preserve"> </v>
      </c>
      <c r="M23" s="329">
        <f>IF(AQ21=2,AO21,IF(L23=" "," ",L23+1))</f>
        <v>42948</v>
      </c>
      <c r="N23" s="329">
        <f>IF(AQ21=3,AO21,IF(M23=" "," ",M23+1))</f>
        <v>42949</v>
      </c>
      <c r="O23" s="329">
        <f>IF(AQ21=4,AO21,IF(N23=" "," ",N23+1))</f>
        <v>42950</v>
      </c>
      <c r="P23" s="329">
        <f>IF(AQ21=5,AO21,IF(O23=" "," ",O23+1))</f>
        <v>42951</v>
      </c>
      <c r="Q23" s="330">
        <f>IF(AQ21=6,AO21,IF(P23=" "," ",P23+1))</f>
        <v>42952</v>
      </c>
      <c r="R23" s="327">
        <f>IF(AQ21=7,AO21,Q23+1)</f>
        <v>42953</v>
      </c>
      <c r="S23" s="30"/>
      <c r="T23" s="229">
        <f>T24-1</f>
        <v>36</v>
      </c>
      <c r="U23" s="328" t="str">
        <f>IF(AZ21=1,AX21," ")</f>
        <v xml:space="preserve"> </v>
      </c>
      <c r="V23" s="329" t="str">
        <f>IF(AZ21=2,AX21,IF(U23=" "," ",U23+1))</f>
        <v xml:space="preserve"> </v>
      </c>
      <c r="W23" s="329" t="str">
        <f>IF(AZ21=3,AX21,IF(V23=" "," ",V23+1))</f>
        <v xml:space="preserve"> </v>
      </c>
      <c r="X23" s="329" t="str">
        <f>IF(AZ21=4,AX21,IF(W23=" "," ",W23+1))</f>
        <v xml:space="preserve"> </v>
      </c>
      <c r="Y23" s="329">
        <f>IF(AZ21=5,AX21,IF(X23=" "," ",X23+1))</f>
        <v>42979</v>
      </c>
      <c r="Z23" s="330">
        <f>IF(AZ21=6,AX21,IF(Y23=" "," ",Y23+1))</f>
        <v>42980</v>
      </c>
      <c r="AA23" s="327">
        <f>IF(AZ21=7,AX21,Z23+1)</f>
        <v>42981</v>
      </c>
      <c r="AB23" s="30"/>
      <c r="AC23" s="16"/>
      <c r="AD23" s="226"/>
      <c r="AE23" s="262" t="str">
        <f t="shared" ref="AE23:AE28" si="63">CelebrationType(C23)</f>
        <v/>
      </c>
      <c r="AF23" s="36" t="str">
        <f t="shared" ref="AF23:AF28" si="64">CelebrationType(D23)</f>
        <v/>
      </c>
      <c r="AG23" s="36" t="str">
        <f t="shared" ref="AG23:AG27" si="65">CelebrationType(E23)</f>
        <v/>
      </c>
      <c r="AH23" s="36" t="str">
        <f t="shared" ref="AH23:AH27" si="66">CelebrationType(F23)</f>
        <v/>
      </c>
      <c r="AI23" s="36" t="str">
        <f t="shared" ref="AI23:AI27" si="67">CelebrationType(G23)</f>
        <v/>
      </c>
      <c r="AJ23" s="261">
        <f t="shared" ref="AJ23:AJ27" si="68">CelebrationType(H23)</f>
        <v>0</v>
      </c>
      <c r="AK23" s="35">
        <f t="shared" ref="AK23:AK27" si="69">CelebrationType(I23)</f>
        <v>0</v>
      </c>
      <c r="AM23" s="226"/>
      <c r="AN23" s="262" t="str">
        <f t="shared" ref="AN23:AN28" si="70">CelebrationType(L23)</f>
        <v/>
      </c>
      <c r="AO23" s="36">
        <f t="shared" ref="AO23:AO28" si="71">CelebrationType(M23)</f>
        <v>0</v>
      </c>
      <c r="AP23" s="36">
        <f t="shared" ref="AP23:AP27" si="72">CelebrationType(N23)</f>
        <v>0</v>
      </c>
      <c r="AQ23" s="36" t="str">
        <f t="shared" ref="AQ23:AQ27" si="73">CelebrationType(O23)</f>
        <v>E</v>
      </c>
      <c r="AR23" s="36">
        <f t="shared" ref="AR23:AR27" si="74">CelebrationType(P23)</f>
        <v>0</v>
      </c>
      <c r="AS23" s="261">
        <f t="shared" ref="AS23:AS27" si="75">CelebrationType(Q23)</f>
        <v>0</v>
      </c>
      <c r="AT23" s="35">
        <f t="shared" ref="AT23:AT27" si="76">CelebrationType(R23)</f>
        <v>0</v>
      </c>
      <c r="AV23" s="226"/>
      <c r="AW23" s="262" t="str">
        <f t="shared" ref="AW23:AW28" si="77">CelebrationType(U23)</f>
        <v/>
      </c>
      <c r="AX23" s="36" t="str">
        <f t="shared" ref="AX23:AX28" si="78">CelebrationType(V23)</f>
        <v/>
      </c>
      <c r="AY23" s="36" t="str">
        <f t="shared" ref="AY23:AY27" si="79">CelebrationType(W23)</f>
        <v/>
      </c>
      <c r="AZ23" s="36" t="str">
        <f t="shared" ref="AZ23:AZ27" si="80">CelebrationType(X23)</f>
        <v/>
      </c>
      <c r="BA23" s="36" t="str">
        <f t="shared" ref="BA23:BA27" si="81">CelebrationType(Y23)</f>
        <v>E</v>
      </c>
      <c r="BB23" s="261" t="str">
        <f t="shared" ref="BB23:BB27" si="82">CelebrationType(Z23)</f>
        <v>E</v>
      </c>
      <c r="BC23" s="35">
        <f t="shared" ref="BC23:BC27" si="83">CelebrationType(AA23)</f>
        <v>0</v>
      </c>
    </row>
    <row r="24" spans="1:56" ht="18">
      <c r="A24" s="30"/>
      <c r="B24" s="229">
        <f>WeekNumber(C24)</f>
        <v>28</v>
      </c>
      <c r="C24" s="328">
        <f>I23+1</f>
        <v>42919</v>
      </c>
      <c r="D24" s="329">
        <f t="shared" ref="D24:I26" si="84">C24+1</f>
        <v>42920</v>
      </c>
      <c r="E24" s="329">
        <f t="shared" si="84"/>
        <v>42921</v>
      </c>
      <c r="F24" s="329">
        <f t="shared" si="84"/>
        <v>42922</v>
      </c>
      <c r="G24" s="329">
        <f t="shared" si="84"/>
        <v>42923</v>
      </c>
      <c r="H24" s="330">
        <f t="shared" si="84"/>
        <v>42924</v>
      </c>
      <c r="I24" s="327">
        <f t="shared" si="84"/>
        <v>42925</v>
      </c>
      <c r="K24" s="227">
        <f>WeekNumber(L24)</f>
        <v>33</v>
      </c>
      <c r="L24" s="328">
        <f>R23+1</f>
        <v>42954</v>
      </c>
      <c r="M24" s="329">
        <f t="shared" ref="M24:R26" si="85">L24+1</f>
        <v>42955</v>
      </c>
      <c r="N24" s="329">
        <f t="shared" si="85"/>
        <v>42956</v>
      </c>
      <c r="O24" s="329">
        <f t="shared" si="85"/>
        <v>42957</v>
      </c>
      <c r="P24" s="329">
        <f t="shared" si="85"/>
        <v>42958</v>
      </c>
      <c r="Q24" s="330">
        <f t="shared" si="85"/>
        <v>42959</v>
      </c>
      <c r="R24" s="327">
        <f t="shared" si="85"/>
        <v>42960</v>
      </c>
      <c r="S24" s="30"/>
      <c r="T24" s="229">
        <f>WeekNumber(U24)</f>
        <v>37</v>
      </c>
      <c r="U24" s="328">
        <f>AA23+1</f>
        <v>42982</v>
      </c>
      <c r="V24" s="329">
        <f t="shared" ref="V24:AA26" si="86">U24+1</f>
        <v>42983</v>
      </c>
      <c r="W24" s="329">
        <f t="shared" si="86"/>
        <v>42984</v>
      </c>
      <c r="X24" s="329">
        <f t="shared" si="86"/>
        <v>42985</v>
      </c>
      <c r="Y24" s="329">
        <f t="shared" si="86"/>
        <v>42986</v>
      </c>
      <c r="Z24" s="330">
        <f t="shared" si="86"/>
        <v>42987</v>
      </c>
      <c r="AA24" s="327">
        <f t="shared" si="86"/>
        <v>42988</v>
      </c>
      <c r="AB24" s="30"/>
      <c r="AC24" s="16"/>
      <c r="AD24" s="226"/>
      <c r="AE24" s="262">
        <f t="shared" si="63"/>
        <v>0</v>
      </c>
      <c r="AF24" s="36" t="str">
        <f t="shared" si="64"/>
        <v>E</v>
      </c>
      <c r="AG24" s="36">
        <f t="shared" si="65"/>
        <v>0</v>
      </c>
      <c r="AH24" s="36">
        <f t="shared" si="66"/>
        <v>0</v>
      </c>
      <c r="AI24" s="36">
        <f t="shared" si="67"/>
        <v>0</v>
      </c>
      <c r="AJ24" s="261">
        <f t="shared" si="68"/>
        <v>0</v>
      </c>
      <c r="AK24" s="35">
        <f t="shared" si="69"/>
        <v>0</v>
      </c>
      <c r="AM24" s="226"/>
      <c r="AN24" s="262" t="str">
        <f t="shared" si="70"/>
        <v>E</v>
      </c>
      <c r="AO24" s="36">
        <f t="shared" si="71"/>
        <v>0</v>
      </c>
      <c r="AP24" s="36">
        <f t="shared" si="72"/>
        <v>0</v>
      </c>
      <c r="AQ24" s="36">
        <f t="shared" si="73"/>
        <v>0</v>
      </c>
      <c r="AR24" s="36" t="str">
        <f t="shared" si="74"/>
        <v>C</v>
      </c>
      <c r="AS24" s="261">
        <f t="shared" si="75"/>
        <v>0</v>
      </c>
      <c r="AT24" s="35" t="str">
        <f t="shared" si="76"/>
        <v>C</v>
      </c>
      <c r="AV24" s="226"/>
      <c r="AW24" s="262">
        <f t="shared" si="77"/>
        <v>0</v>
      </c>
      <c r="AX24" s="36">
        <f t="shared" si="78"/>
        <v>0</v>
      </c>
      <c r="AY24" s="36">
        <f t="shared" si="79"/>
        <v>0</v>
      </c>
      <c r="AZ24" s="36" t="str">
        <f t="shared" si="80"/>
        <v>F</v>
      </c>
      <c r="BA24" s="36">
        <f t="shared" si="81"/>
        <v>0</v>
      </c>
      <c r="BB24" s="261">
        <f t="shared" si="82"/>
        <v>0</v>
      </c>
      <c r="BC24" s="35">
        <f t="shared" si="83"/>
        <v>0</v>
      </c>
    </row>
    <row r="25" spans="1:56" ht="18">
      <c r="A25" s="30"/>
      <c r="B25" s="229">
        <f t="shared" ref="B25:B27" si="87">WeekNumber(C25)</f>
        <v>29</v>
      </c>
      <c r="C25" s="328">
        <f>I24+1</f>
        <v>42926</v>
      </c>
      <c r="D25" s="329">
        <f t="shared" si="84"/>
        <v>42927</v>
      </c>
      <c r="E25" s="329">
        <f t="shared" si="84"/>
        <v>42928</v>
      </c>
      <c r="F25" s="329">
        <f t="shared" si="84"/>
        <v>42929</v>
      </c>
      <c r="G25" s="329">
        <f t="shared" si="84"/>
        <v>42930</v>
      </c>
      <c r="H25" s="330">
        <f t="shared" si="84"/>
        <v>42931</v>
      </c>
      <c r="I25" s="327">
        <f t="shared" si="84"/>
        <v>42932</v>
      </c>
      <c r="K25" s="227">
        <f t="shared" ref="K25:K27" si="88">WeekNumber(L25)</f>
        <v>34</v>
      </c>
      <c r="L25" s="328">
        <f>R24+1</f>
        <v>42961</v>
      </c>
      <c r="M25" s="329">
        <f t="shared" si="85"/>
        <v>42962</v>
      </c>
      <c r="N25" s="329">
        <f t="shared" si="85"/>
        <v>42963</v>
      </c>
      <c r="O25" s="329">
        <f t="shared" si="85"/>
        <v>42964</v>
      </c>
      <c r="P25" s="329">
        <f t="shared" si="85"/>
        <v>42965</v>
      </c>
      <c r="Q25" s="330">
        <f t="shared" si="85"/>
        <v>42966</v>
      </c>
      <c r="R25" s="327">
        <f t="shared" si="85"/>
        <v>42967</v>
      </c>
      <c r="S25" s="30"/>
      <c r="T25" s="229">
        <f t="shared" ref="T25:T27" si="89">WeekNumber(U25)</f>
        <v>38</v>
      </c>
      <c r="U25" s="328">
        <f>AA24+1</f>
        <v>42989</v>
      </c>
      <c r="V25" s="329">
        <f t="shared" si="86"/>
        <v>42990</v>
      </c>
      <c r="W25" s="329">
        <f t="shared" si="86"/>
        <v>42991</v>
      </c>
      <c r="X25" s="329">
        <f t="shared" si="86"/>
        <v>42992</v>
      </c>
      <c r="Y25" s="329">
        <f t="shared" si="86"/>
        <v>42993</v>
      </c>
      <c r="Z25" s="330">
        <f t="shared" si="86"/>
        <v>42994</v>
      </c>
      <c r="AA25" s="327">
        <f t="shared" si="86"/>
        <v>42995</v>
      </c>
      <c r="AB25" s="30"/>
      <c r="AC25" s="16"/>
      <c r="AD25" s="226"/>
      <c r="AE25" s="262">
        <f t="shared" si="63"/>
        <v>0</v>
      </c>
      <c r="AF25" s="36">
        <f t="shared" si="64"/>
        <v>0</v>
      </c>
      <c r="AG25" s="36">
        <f t="shared" si="65"/>
        <v>0</v>
      </c>
      <c r="AH25" s="36">
        <f t="shared" si="66"/>
        <v>0</v>
      </c>
      <c r="AI25" s="36">
        <f t="shared" si="67"/>
        <v>0</v>
      </c>
      <c r="AJ25" s="261">
        <f t="shared" si="68"/>
        <v>0</v>
      </c>
      <c r="AK25" s="35">
        <f t="shared" si="69"/>
        <v>0</v>
      </c>
      <c r="AM25" s="226"/>
      <c r="AN25" s="262">
        <f t="shared" si="70"/>
        <v>0</v>
      </c>
      <c r="AO25" s="36" t="str">
        <f t="shared" si="71"/>
        <v>E</v>
      </c>
      <c r="AP25" s="36">
        <f t="shared" si="72"/>
        <v>0</v>
      </c>
      <c r="AQ25" s="36">
        <f t="shared" si="73"/>
        <v>0</v>
      </c>
      <c r="AR25" s="36" t="str">
        <f t="shared" si="74"/>
        <v>E</v>
      </c>
      <c r="AS25" s="261">
        <f t="shared" si="75"/>
        <v>0</v>
      </c>
      <c r="AT25" s="35">
        <f t="shared" si="76"/>
        <v>0</v>
      </c>
      <c r="AV25" s="226"/>
      <c r="AW25" s="262">
        <f t="shared" si="77"/>
        <v>0</v>
      </c>
      <c r="AX25" s="36">
        <f t="shared" si="78"/>
        <v>0</v>
      </c>
      <c r="AY25" s="36">
        <f t="shared" si="79"/>
        <v>0</v>
      </c>
      <c r="AZ25" s="36">
        <f t="shared" si="80"/>
        <v>0</v>
      </c>
      <c r="BA25" s="36">
        <f t="shared" si="81"/>
        <v>0</v>
      </c>
      <c r="BB25" s="261" t="str">
        <f t="shared" si="82"/>
        <v>E</v>
      </c>
      <c r="BC25" s="35">
        <f t="shared" si="83"/>
        <v>0</v>
      </c>
    </row>
    <row r="26" spans="1:56" ht="18">
      <c r="A26" s="30"/>
      <c r="B26" s="229">
        <f t="shared" si="87"/>
        <v>30</v>
      </c>
      <c r="C26" s="328">
        <f>I25+1</f>
        <v>42933</v>
      </c>
      <c r="D26" s="329">
        <f t="shared" si="84"/>
        <v>42934</v>
      </c>
      <c r="E26" s="329">
        <f t="shared" si="84"/>
        <v>42935</v>
      </c>
      <c r="F26" s="329">
        <f t="shared" si="84"/>
        <v>42936</v>
      </c>
      <c r="G26" s="329">
        <f t="shared" si="84"/>
        <v>42937</v>
      </c>
      <c r="H26" s="330">
        <f t="shared" si="84"/>
        <v>42938</v>
      </c>
      <c r="I26" s="327">
        <f t="shared" si="84"/>
        <v>42939</v>
      </c>
      <c r="K26" s="227">
        <f t="shared" si="88"/>
        <v>35</v>
      </c>
      <c r="L26" s="328">
        <f>R25+1</f>
        <v>42968</v>
      </c>
      <c r="M26" s="329">
        <f t="shared" si="85"/>
        <v>42969</v>
      </c>
      <c r="N26" s="329">
        <f t="shared" si="85"/>
        <v>42970</v>
      </c>
      <c r="O26" s="329">
        <f t="shared" si="85"/>
        <v>42971</v>
      </c>
      <c r="P26" s="329">
        <f t="shared" si="85"/>
        <v>42972</v>
      </c>
      <c r="Q26" s="330">
        <f t="shared" si="85"/>
        <v>42973</v>
      </c>
      <c r="R26" s="327">
        <f t="shared" si="85"/>
        <v>42974</v>
      </c>
      <c r="S26" s="30"/>
      <c r="T26" s="229">
        <f t="shared" si="89"/>
        <v>39</v>
      </c>
      <c r="U26" s="328">
        <f>AA25+1</f>
        <v>42996</v>
      </c>
      <c r="V26" s="329">
        <f t="shared" si="86"/>
        <v>42997</v>
      </c>
      <c r="W26" s="329">
        <f t="shared" si="86"/>
        <v>42998</v>
      </c>
      <c r="X26" s="329">
        <f t="shared" si="86"/>
        <v>42999</v>
      </c>
      <c r="Y26" s="329">
        <f t="shared" si="86"/>
        <v>43000</v>
      </c>
      <c r="Z26" s="330">
        <f t="shared" si="86"/>
        <v>43001</v>
      </c>
      <c r="AA26" s="327">
        <f t="shared" si="86"/>
        <v>43002</v>
      </c>
      <c r="AB26" s="30"/>
      <c r="AC26" s="16"/>
      <c r="AD26" s="226"/>
      <c r="AE26" s="262">
        <f t="shared" si="63"/>
        <v>0</v>
      </c>
      <c r="AF26" s="36">
        <f t="shared" si="64"/>
        <v>0</v>
      </c>
      <c r="AG26" s="36" t="str">
        <f t="shared" si="65"/>
        <v>E</v>
      </c>
      <c r="AH26" s="36">
        <f t="shared" si="66"/>
        <v>0</v>
      </c>
      <c r="AI26" s="36">
        <f t="shared" si="67"/>
        <v>0</v>
      </c>
      <c r="AJ26" s="261">
        <f t="shared" si="68"/>
        <v>0</v>
      </c>
      <c r="AK26" s="35">
        <f t="shared" si="69"/>
        <v>0</v>
      </c>
      <c r="AM26" s="226"/>
      <c r="AN26" s="262">
        <f t="shared" si="70"/>
        <v>0</v>
      </c>
      <c r="AO26" s="36">
        <f t="shared" si="71"/>
        <v>0</v>
      </c>
      <c r="AP26" s="36">
        <f t="shared" si="72"/>
        <v>0</v>
      </c>
      <c r="AQ26" s="36">
        <f t="shared" si="73"/>
        <v>0</v>
      </c>
      <c r="AR26" s="36">
        <f t="shared" si="74"/>
        <v>0</v>
      </c>
      <c r="AS26" s="261">
        <f t="shared" si="75"/>
        <v>0</v>
      </c>
      <c r="AT26" s="35">
        <f t="shared" si="76"/>
        <v>0</v>
      </c>
      <c r="AV26" s="226"/>
      <c r="AW26" s="262">
        <f t="shared" si="77"/>
        <v>0</v>
      </c>
      <c r="AX26" s="36">
        <f t="shared" si="78"/>
        <v>0</v>
      </c>
      <c r="AY26" s="36">
        <f t="shared" si="79"/>
        <v>0</v>
      </c>
      <c r="AZ26" s="36">
        <f t="shared" si="80"/>
        <v>0</v>
      </c>
      <c r="BA26" s="36" t="str">
        <f t="shared" si="81"/>
        <v>C</v>
      </c>
      <c r="BB26" s="261">
        <f t="shared" si="82"/>
        <v>0</v>
      </c>
      <c r="BC26" s="35">
        <f t="shared" si="83"/>
        <v>0</v>
      </c>
    </row>
    <row r="27" spans="1:56" ht="18">
      <c r="A27" s="30"/>
      <c r="B27" s="229">
        <f t="shared" si="87"/>
        <v>31</v>
      </c>
      <c r="C27" s="328">
        <f>IF(I26+1&lt;=AG21,I26+1," ")</f>
        <v>42940</v>
      </c>
      <c r="D27" s="329">
        <f>IF(C27=" "," ",IF(C27+1&lt;=AG21,C27+1," "))</f>
        <v>42941</v>
      </c>
      <c r="E27" s="329">
        <f>IF(D27=" "," ",IF(D27+1&lt;=AG21,D27+1," "))</f>
        <v>42942</v>
      </c>
      <c r="F27" s="329">
        <f>IF(E27=" "," ",IF(E27+1&lt;=AG21,E27+1," "))</f>
        <v>42943</v>
      </c>
      <c r="G27" s="329">
        <f>IF(F27=" "," ",IF(F27+1&lt;=AG21,F27+1," "))</f>
        <v>42944</v>
      </c>
      <c r="H27" s="330">
        <f>IF(G27=" "," ",IF(G27+1&lt;=AG21,G27+1," "))</f>
        <v>42945</v>
      </c>
      <c r="I27" s="327">
        <f>IF(H27=" "," ",IF(H27+1&lt;=AG21,H27+1," "))</f>
        <v>42946</v>
      </c>
      <c r="K27" s="228">
        <f t="shared" si="88"/>
        <v>36</v>
      </c>
      <c r="L27" s="328">
        <f>IF(R26+1&lt;=AP21,R26+1," ")</f>
        <v>42975</v>
      </c>
      <c r="M27" s="329">
        <f>IF(L27=" "," ",IF(L27+1&lt;=AP21,L27+1," "))</f>
        <v>42976</v>
      </c>
      <c r="N27" s="329">
        <f>IF(M27=" "," ",IF(M27+1&lt;=AP21,M27+1," "))</f>
        <v>42977</v>
      </c>
      <c r="O27" s="329">
        <f>IF(N27=" "," ",IF(N27+1&lt;=AP21,N27+1," "))</f>
        <v>42978</v>
      </c>
      <c r="P27" s="329" t="str">
        <f>IF(O27=" "," ",IF(O27+1&lt;=AP21,O27+1," "))</f>
        <v xml:space="preserve"> </v>
      </c>
      <c r="Q27" s="330" t="str">
        <f>IF(P27=" "," ",IF(P27+1&lt;=AP21,P27+1," "))</f>
        <v xml:space="preserve"> </v>
      </c>
      <c r="R27" s="327" t="str">
        <f>IF(Q27=" "," ",IF(Q27+1&lt;=AP21,Q27+1," "))</f>
        <v xml:space="preserve"> </v>
      </c>
      <c r="S27" s="30"/>
      <c r="T27" s="229">
        <f t="shared" si="89"/>
        <v>40</v>
      </c>
      <c r="U27" s="328">
        <f>IF(AA26+1&lt;=AY21,AA26+1," ")</f>
        <v>43003</v>
      </c>
      <c r="V27" s="329">
        <f>IF(U27=" "," ",IF(U27+1&lt;=AY21,U27+1," "))</f>
        <v>43004</v>
      </c>
      <c r="W27" s="329">
        <f>IF(V27=" "," ",IF(V27+1&lt;=AY21,V27+1," "))</f>
        <v>43005</v>
      </c>
      <c r="X27" s="329">
        <f>IF(W27=" "," ",IF(W27+1&lt;=AY21,W27+1," "))</f>
        <v>43006</v>
      </c>
      <c r="Y27" s="329">
        <f>IF(X27=" "," ",IF(X27+1&lt;=AY21,X27+1," "))</f>
        <v>43007</v>
      </c>
      <c r="Z27" s="330">
        <f>IF(Y27=" "," ",IF(Y27+1&lt;=AY21,Y27+1," "))</f>
        <v>43008</v>
      </c>
      <c r="AA27" s="327" t="str">
        <f>IF(Z27=" "," ",IF(Z27+1&lt;=AY21,Z27+1," "))</f>
        <v xml:space="preserve"> </v>
      </c>
      <c r="AB27" s="30"/>
      <c r="AC27" s="16"/>
      <c r="AD27" s="226"/>
      <c r="AE27" s="262">
        <f t="shared" si="63"/>
        <v>0</v>
      </c>
      <c r="AF27" s="36">
        <f t="shared" si="64"/>
        <v>0</v>
      </c>
      <c r="AG27" s="36" t="str">
        <f t="shared" si="65"/>
        <v>C</v>
      </c>
      <c r="AH27" s="36">
        <f t="shared" si="66"/>
        <v>0</v>
      </c>
      <c r="AI27" s="36">
        <f t="shared" si="67"/>
        <v>0</v>
      </c>
      <c r="AJ27" s="261">
        <f t="shared" si="68"/>
        <v>0</v>
      </c>
      <c r="AK27" s="35">
        <f t="shared" si="69"/>
        <v>0</v>
      </c>
      <c r="AM27" s="226"/>
      <c r="AN27" s="262">
        <f t="shared" si="70"/>
        <v>0</v>
      </c>
      <c r="AO27" s="36" t="str">
        <f t="shared" si="71"/>
        <v>E</v>
      </c>
      <c r="AP27" s="36">
        <f t="shared" si="72"/>
        <v>0</v>
      </c>
      <c r="AQ27" s="36">
        <f t="shared" si="73"/>
        <v>0</v>
      </c>
      <c r="AR27" s="36" t="str">
        <f t="shared" si="74"/>
        <v/>
      </c>
      <c r="AS27" s="261" t="str">
        <f t="shared" si="75"/>
        <v/>
      </c>
      <c r="AT27" s="35" t="str">
        <f t="shared" si="76"/>
        <v/>
      </c>
      <c r="AV27" s="226"/>
      <c r="AW27" s="262">
        <f t="shared" si="77"/>
        <v>0</v>
      </c>
      <c r="AX27" s="36">
        <f t="shared" si="78"/>
        <v>0</v>
      </c>
      <c r="AY27" s="36">
        <f t="shared" si="79"/>
        <v>0</v>
      </c>
      <c r="AZ27" s="36">
        <f t="shared" si="80"/>
        <v>0</v>
      </c>
      <c r="BA27" s="36">
        <f t="shared" si="81"/>
        <v>0</v>
      </c>
      <c r="BB27" s="261">
        <f t="shared" si="82"/>
        <v>0</v>
      </c>
      <c r="BC27" s="35" t="str">
        <f t="shared" si="83"/>
        <v/>
      </c>
    </row>
    <row r="28" spans="1:56" ht="18.75" thickBot="1">
      <c r="A28" s="30"/>
      <c r="B28" s="230">
        <f>IF(C28=" ","",B27+1)</f>
        <v>32</v>
      </c>
      <c r="C28" s="331">
        <f>IF(I27=" "," ",IF(I27+1&lt;=AG21,I27+1," "))</f>
        <v>42947</v>
      </c>
      <c r="D28" s="332" t="str">
        <f>IF(C28=" "," ",IF(C28+1&lt;=AG21,C28+1," "))</f>
        <v xml:space="preserve"> </v>
      </c>
      <c r="E28" s="332"/>
      <c r="F28" s="332"/>
      <c r="G28" s="332"/>
      <c r="H28" s="333"/>
      <c r="I28" s="334"/>
      <c r="K28" s="228" t="str">
        <f>IF(L28=" ","",K27+1)</f>
        <v/>
      </c>
      <c r="L28" s="331" t="str">
        <f>IF(R27=" "," ",IF(R27+1&lt;=AP21,R27+1," "))</f>
        <v xml:space="preserve"> </v>
      </c>
      <c r="M28" s="332" t="str">
        <f>IF(L28=" "," ",IF(L28+1&lt;=AP21,L28+1," "))</f>
        <v xml:space="preserve"> </v>
      </c>
      <c r="N28" s="332"/>
      <c r="O28" s="332"/>
      <c r="P28" s="332"/>
      <c r="Q28" s="333"/>
      <c r="R28" s="334"/>
      <c r="S28" s="30"/>
      <c r="T28" s="230" t="str">
        <f>IF(U28=" ","",T27+1)</f>
        <v/>
      </c>
      <c r="U28" s="331" t="str">
        <f>IF(AA27=" "," ",IF(AA27+1&lt;=AY21,AA27+1," "))</f>
        <v xml:space="preserve"> </v>
      </c>
      <c r="V28" s="332" t="str">
        <f>IF(U28=" "," ",IF(U28+1&lt;=AY21,U28+1," "))</f>
        <v xml:space="preserve"> </v>
      </c>
      <c r="W28" s="143"/>
      <c r="X28" s="663" t="str">
        <f ca="1">"22 - " &amp; 'GPlan-Translations'!C195</f>
        <v>22 - Primavera</v>
      </c>
      <c r="Y28" s="663"/>
      <c r="Z28" s="663"/>
      <c r="AA28" s="664"/>
      <c r="AB28" s="30"/>
      <c r="AC28" s="16"/>
      <c r="AD28" s="20"/>
      <c r="AE28" s="263">
        <f t="shared" si="63"/>
        <v>0</v>
      </c>
      <c r="AF28" s="37" t="str">
        <f t="shared" si="64"/>
        <v/>
      </c>
      <c r="AG28" s="500">
        <f>MoonDate(AF21,1)</f>
        <v>42917</v>
      </c>
      <c r="AH28" s="500">
        <f>MoonDate(AF21,2)</f>
        <v>42924</v>
      </c>
      <c r="AI28" s="500">
        <f>MoonDate(AF21,3)</f>
        <v>42932</v>
      </c>
      <c r="AJ28" s="500">
        <f>MoonDate(AF21,4)</f>
        <v>42939</v>
      </c>
      <c r="AK28" s="501">
        <f>MoonDate(AF21,5)</f>
        <v>42946</v>
      </c>
      <c r="AM28" s="20"/>
      <c r="AN28" s="263" t="str">
        <f t="shared" si="70"/>
        <v/>
      </c>
      <c r="AO28" s="37" t="str">
        <f t="shared" si="71"/>
        <v/>
      </c>
      <c r="AP28" s="500">
        <f>MoonDate(AO21,1)</f>
        <v>42954</v>
      </c>
      <c r="AQ28" s="500">
        <f>MoonDate(AO21,2)</f>
        <v>42962</v>
      </c>
      <c r="AR28" s="500">
        <f>MoonDate(AO21,3)</f>
        <v>42968</v>
      </c>
      <c r="AS28" s="500">
        <f>MoonDate(AO21,4)</f>
        <v>42976</v>
      </c>
      <c r="AT28" s="501" t="str">
        <f>MoonDate(AO21,5)</f>
        <v/>
      </c>
      <c r="AV28" s="20"/>
      <c r="AW28" s="263" t="str">
        <f t="shared" si="77"/>
        <v/>
      </c>
      <c r="AX28" s="37" t="str">
        <f t="shared" si="78"/>
        <v/>
      </c>
      <c r="AY28" s="500">
        <f>MoonDate(AX21,1)</f>
        <v>42983</v>
      </c>
      <c r="AZ28" s="500">
        <f>MoonDate(AX21,2)</f>
        <v>42991</v>
      </c>
      <c r="BA28" s="500">
        <f>MoonDate(AX21,3)</f>
        <v>42997</v>
      </c>
      <c r="BB28" s="500">
        <f>MoonDate(AX21,4)</f>
        <v>43006</v>
      </c>
      <c r="BC28" s="501" t="str">
        <f>MoonDate(AX21,5)</f>
        <v/>
      </c>
    </row>
    <row r="29" spans="1:56" ht="18.75" thickBot="1">
      <c r="B29" s="265" t="str">
        <f>MoonSymbol(AG28)</f>
        <v>(</v>
      </c>
      <c r="C29" s="39" t="str">
        <f>IF(AG28="","",DAY(AG28) &amp; IF(AK28&lt;&gt;"","/" &amp; DAY(AK28),""))</f>
        <v>1/30</v>
      </c>
      <c r="D29" s="265" t="str">
        <f>MoonSymbol(AH28)</f>
        <v>O</v>
      </c>
      <c r="E29" s="502">
        <f>IFERROR(AH28,"")</f>
        <v>42924</v>
      </c>
      <c r="F29" s="265" t="str">
        <f>MoonSymbol(AI28)</f>
        <v>)</v>
      </c>
      <c r="G29" s="502">
        <f>AI28</f>
        <v>42932</v>
      </c>
      <c r="H29" s="265" t="str">
        <f>MoonSymbol(AJ28)</f>
        <v>: :</v>
      </c>
      <c r="I29" s="503">
        <f>AJ28</f>
        <v>42939</v>
      </c>
      <c r="K29" s="265" t="str">
        <f>MoonSymbol(AP28)</f>
        <v>O</v>
      </c>
      <c r="L29" s="39" t="str">
        <f>IF(AP28="","",DAY(AP28) &amp; IF(AT28&lt;&gt;"","/" &amp; DAY(AT28),""))</f>
        <v>7</v>
      </c>
      <c r="M29" s="265" t="str">
        <f>MoonSymbol(AQ28)</f>
        <v>)</v>
      </c>
      <c r="N29" s="502">
        <f>IFERROR(AQ28,"")</f>
        <v>42962</v>
      </c>
      <c r="O29" s="265" t="str">
        <f>MoonSymbol(AR28)</f>
        <v>: :</v>
      </c>
      <c r="P29" s="502">
        <f>AR28</f>
        <v>42968</v>
      </c>
      <c r="Q29" s="265" t="str">
        <f>MoonSymbol(AS28)</f>
        <v>(</v>
      </c>
      <c r="R29" s="503">
        <f>AS28</f>
        <v>42976</v>
      </c>
      <c r="T29" s="265" t="str">
        <f>MoonSymbol(AY28)</f>
        <v>O</v>
      </c>
      <c r="U29" s="39" t="str">
        <f>IF(AY28="","",DAY(AY28) &amp; IF(BC28&lt;&gt;"","/" &amp; DAY(BC28),""))</f>
        <v>5</v>
      </c>
      <c r="V29" s="265" t="str">
        <f>MoonSymbol(AZ28)</f>
        <v>)</v>
      </c>
      <c r="W29" s="502">
        <f>AZ28</f>
        <v>42991</v>
      </c>
      <c r="X29" s="265" t="str">
        <f>MoonSymbol(BA28)</f>
        <v>: :</v>
      </c>
      <c r="Y29" s="502">
        <f>BA28</f>
        <v>42997</v>
      </c>
      <c r="Z29" s="265" t="str">
        <f>MoonSymbol(BB28)</f>
        <v>(</v>
      </c>
      <c r="AA29" s="503">
        <f>BB28</f>
        <v>43006</v>
      </c>
      <c r="AC29" s="16"/>
      <c r="AD29" s="20"/>
      <c r="AE29" s="20"/>
      <c r="AF29" s="443"/>
      <c r="AG29" s="20"/>
      <c r="AH29" s="20"/>
      <c r="AI29" s="20"/>
      <c r="AJ29" s="20"/>
      <c r="AK29" s="20"/>
      <c r="AL29" s="39"/>
      <c r="AM29" s="20"/>
      <c r="AN29" s="20"/>
      <c r="AO29" s="443"/>
      <c r="AP29" s="20"/>
      <c r="AQ29" s="20"/>
      <c r="AR29" s="20"/>
      <c r="AS29" s="20"/>
      <c r="AT29" s="20"/>
      <c r="AU29" s="39"/>
      <c r="AV29" s="20"/>
      <c r="AW29" s="20"/>
      <c r="AX29" s="443"/>
      <c r="AY29" s="20"/>
      <c r="AZ29" s="20"/>
      <c r="BA29" s="20"/>
      <c r="BB29" s="20"/>
      <c r="BC29" s="20"/>
      <c r="BD29" s="39"/>
    </row>
    <row r="30" spans="1:56" ht="18">
      <c r="A30" s="30"/>
      <c r="C30" s="654" t="str">
        <f ca="1">UPPER('GPlan-Translations'!C231)</f>
        <v>OUTUBRO</v>
      </c>
      <c r="D30" s="655"/>
      <c r="E30" s="655"/>
      <c r="F30" s="655"/>
      <c r="G30" s="655"/>
      <c r="H30" s="655"/>
      <c r="I30" s="656"/>
      <c r="L30" s="654" t="str">
        <f ca="1">UPPER('GPlan-Translations'!C232)</f>
        <v>NOVEMBRO</v>
      </c>
      <c r="M30" s="655"/>
      <c r="N30" s="655"/>
      <c r="O30" s="655"/>
      <c r="P30" s="655"/>
      <c r="Q30" s="655"/>
      <c r="R30" s="656"/>
      <c r="S30" s="30"/>
      <c r="T30" s="30"/>
      <c r="U30" s="654" t="str">
        <f ca="1">UPPER('GPlan-Translations'!C233)</f>
        <v>DEZEMBRO</v>
      </c>
      <c r="V30" s="655"/>
      <c r="W30" s="655"/>
      <c r="X30" s="655"/>
      <c r="Y30" s="655"/>
      <c r="Z30" s="655"/>
      <c r="AA30" s="656"/>
      <c r="AB30" s="30"/>
      <c r="AC30" s="16"/>
      <c r="AD30" s="344"/>
      <c r="AE30" s="38">
        <v>10</v>
      </c>
      <c r="AF30" s="335">
        <f>DATE(AJ30,AE30,1)</f>
        <v>43009</v>
      </c>
      <c r="AG30" s="335">
        <f>DATE(AJ30,AE30+1,1)-1</f>
        <v>43039</v>
      </c>
      <c r="AH30" s="335">
        <f>WEEKDAY(AF30,2)</f>
        <v>7</v>
      </c>
      <c r="AI30" s="31"/>
      <c r="AJ30" s="657">
        <f>$U$1</f>
        <v>2017</v>
      </c>
      <c r="AK30" s="658"/>
      <c r="AM30" s="344"/>
      <c r="AN30" s="38">
        <f>AE30+1</f>
        <v>11</v>
      </c>
      <c r="AO30" s="335">
        <f>DATE(AS30,AN30,1)</f>
        <v>43040</v>
      </c>
      <c r="AP30" s="335">
        <f>DATE(AS30,AN30+1,1)-1</f>
        <v>43069</v>
      </c>
      <c r="AQ30" s="335">
        <f>WEEKDAY(AO30,2)</f>
        <v>3</v>
      </c>
      <c r="AR30" s="31"/>
      <c r="AS30" s="657">
        <f>$U$1</f>
        <v>2017</v>
      </c>
      <c r="AT30" s="658"/>
      <c r="AV30" s="79"/>
      <c r="AW30" s="38">
        <f>AN30+1</f>
        <v>12</v>
      </c>
      <c r="AX30" s="335">
        <f>DATE(BB30,AW30,1)</f>
        <v>43070</v>
      </c>
      <c r="AY30" s="335">
        <f>DATE(BB30,AW30+1,1)-1</f>
        <v>43100</v>
      </c>
      <c r="AZ30" s="335">
        <f>WEEKDAY(AX30,2)</f>
        <v>5</v>
      </c>
      <c r="BA30" s="31"/>
      <c r="BB30" s="657">
        <f>$U$1</f>
        <v>2017</v>
      </c>
      <c r="BC30" s="658"/>
    </row>
    <row r="31" spans="1:56" ht="18">
      <c r="A31" s="30"/>
      <c r="C31" s="259" t="str">
        <f ca="1">'GPlan-Translations'!$C$282</f>
        <v>S</v>
      </c>
      <c r="D31" s="73" t="str">
        <f ca="1">'GPlan-Translations'!$C$283</f>
        <v>T</v>
      </c>
      <c r="E31" s="73" t="str">
        <f ca="1">'GPlan-Translations'!$C$284</f>
        <v>Q</v>
      </c>
      <c r="F31" s="73" t="str">
        <f ca="1">'GPlan-Translations'!$C$285</f>
        <v>Q</v>
      </c>
      <c r="G31" s="73" t="str">
        <f ca="1">'GPlan-Translations'!$C$286</f>
        <v>S</v>
      </c>
      <c r="H31" s="258" t="str">
        <f ca="1">'GPlan-Translations'!$C$287</f>
        <v>S</v>
      </c>
      <c r="I31" s="158" t="str">
        <f ca="1">'GPlan-Translations'!$C$281</f>
        <v>D</v>
      </c>
      <c r="L31" s="259" t="str">
        <f ca="1">'GPlan-Translations'!$C$282</f>
        <v>S</v>
      </c>
      <c r="M31" s="73" t="str">
        <f ca="1">'GPlan-Translations'!$C$283</f>
        <v>T</v>
      </c>
      <c r="N31" s="73" t="str">
        <f ca="1">'GPlan-Translations'!$C$284</f>
        <v>Q</v>
      </c>
      <c r="O31" s="73" t="str">
        <f ca="1">'GPlan-Translations'!$C$285</f>
        <v>Q</v>
      </c>
      <c r="P31" s="73" t="str">
        <f ca="1">'GPlan-Translations'!$C$286</f>
        <v>S</v>
      </c>
      <c r="Q31" s="258" t="str">
        <f ca="1">'GPlan-Translations'!$C$287</f>
        <v>S</v>
      </c>
      <c r="R31" s="158" t="str">
        <f ca="1">'GPlan-Translations'!$C$281</f>
        <v>D</v>
      </c>
      <c r="S31" s="30"/>
      <c r="T31" s="30"/>
      <c r="U31" s="259" t="str">
        <f ca="1">'GPlan-Translations'!$C$282</f>
        <v>S</v>
      </c>
      <c r="V31" s="73" t="str">
        <f ca="1">'GPlan-Translations'!$C$283</f>
        <v>T</v>
      </c>
      <c r="W31" s="73" t="str">
        <f ca="1">'GPlan-Translations'!$C$284</f>
        <v>Q</v>
      </c>
      <c r="X31" s="73" t="str">
        <f ca="1">'GPlan-Translations'!$C$285</f>
        <v>Q</v>
      </c>
      <c r="Y31" s="73" t="str">
        <f ca="1">'GPlan-Translations'!$C$286</f>
        <v>S</v>
      </c>
      <c r="Z31" s="258" t="str">
        <f ca="1">'GPlan-Translations'!$C$287</f>
        <v>S</v>
      </c>
      <c r="AA31" s="158" t="str">
        <f ca="1">'GPlan-Translations'!$C$281</f>
        <v>D</v>
      </c>
      <c r="AB31" s="30"/>
      <c r="AC31" s="16"/>
      <c r="AD31" s="20"/>
      <c r="AE31" s="249" t="str">
        <f t="shared" ref="AE31:AK31" ca="1" si="90">C31</f>
        <v>S</v>
      </c>
      <c r="AF31" s="33" t="str">
        <f t="shared" ca="1" si="90"/>
        <v>T</v>
      </c>
      <c r="AG31" s="33" t="str">
        <f t="shared" ca="1" si="90"/>
        <v>Q</v>
      </c>
      <c r="AH31" s="33" t="str">
        <f t="shared" ca="1" si="90"/>
        <v>Q</v>
      </c>
      <c r="AI31" s="33" t="str">
        <f t="shared" ca="1" si="90"/>
        <v>S</v>
      </c>
      <c r="AJ31" s="260" t="str">
        <f t="shared" ca="1" si="90"/>
        <v>S</v>
      </c>
      <c r="AK31" s="34" t="str">
        <f t="shared" ca="1" si="90"/>
        <v>D</v>
      </c>
      <c r="AM31" s="20"/>
      <c r="AN31" s="249" t="str">
        <f t="shared" ref="AN31:AT31" ca="1" si="91">L31</f>
        <v>S</v>
      </c>
      <c r="AO31" s="33" t="str">
        <f t="shared" ca="1" si="91"/>
        <v>T</v>
      </c>
      <c r="AP31" s="33" t="str">
        <f t="shared" ca="1" si="91"/>
        <v>Q</v>
      </c>
      <c r="AQ31" s="33" t="str">
        <f t="shared" ca="1" si="91"/>
        <v>Q</v>
      </c>
      <c r="AR31" s="33" t="str">
        <f t="shared" ca="1" si="91"/>
        <v>S</v>
      </c>
      <c r="AS31" s="260" t="str">
        <f t="shared" ca="1" si="91"/>
        <v>S</v>
      </c>
      <c r="AT31" s="34" t="str">
        <f t="shared" ca="1" si="91"/>
        <v>D</v>
      </c>
      <c r="AV31" s="79"/>
      <c r="AW31" s="249" t="str">
        <f t="shared" ref="AW31:BC31" ca="1" si="92">U31</f>
        <v>S</v>
      </c>
      <c r="AX31" s="33" t="str">
        <f t="shared" ca="1" si="92"/>
        <v>T</v>
      </c>
      <c r="AY31" s="33" t="str">
        <f t="shared" ca="1" si="92"/>
        <v>Q</v>
      </c>
      <c r="AZ31" s="33" t="str">
        <f t="shared" ca="1" si="92"/>
        <v>Q</v>
      </c>
      <c r="BA31" s="33" t="str">
        <f t="shared" ca="1" si="92"/>
        <v>S</v>
      </c>
      <c r="BB31" s="260" t="str">
        <f t="shared" ca="1" si="92"/>
        <v>S</v>
      </c>
      <c r="BC31" s="34" t="str">
        <f t="shared" ca="1" si="92"/>
        <v>D</v>
      </c>
    </row>
    <row r="32" spans="1:56" ht="18">
      <c r="A32" s="30"/>
      <c r="B32" s="229">
        <f>B33-1</f>
        <v>40</v>
      </c>
      <c r="C32" s="328" t="str">
        <f>IF(AH30=1,AF30," ")</f>
        <v xml:space="preserve"> </v>
      </c>
      <c r="D32" s="329" t="str">
        <f>IF(AH30=2,AF30,IF(C32=" "," ",C32+1))</f>
        <v xml:space="preserve"> </v>
      </c>
      <c r="E32" s="329" t="str">
        <f>IF(AH30=3,AF30,IF(D32=" "," ",D32+1))</f>
        <v xml:space="preserve"> </v>
      </c>
      <c r="F32" s="329" t="str">
        <f>IF(AH30=4,AF30,IF(E32=" "," ",E32+1))</f>
        <v xml:space="preserve"> </v>
      </c>
      <c r="G32" s="329" t="str">
        <f>IF(AH30=5,AF30,IF(F32=" "," ",F32+1))</f>
        <v xml:space="preserve"> </v>
      </c>
      <c r="H32" s="330" t="str">
        <f>IF(AH30=6,AF30,IF(G32=" "," ",G32+1))</f>
        <v xml:space="preserve"> </v>
      </c>
      <c r="I32" s="327">
        <f>IF(AH30=7,AF30,H32+1)</f>
        <v>43009</v>
      </c>
      <c r="K32" s="229">
        <f>K33-1</f>
        <v>45</v>
      </c>
      <c r="L32" s="328" t="str">
        <f>IF(AQ30=1,AO30," ")</f>
        <v xml:space="preserve"> </v>
      </c>
      <c r="M32" s="329" t="str">
        <f>IF(AQ30=2,AO30,IF(L32=" "," ",L32+1))</f>
        <v xml:space="preserve"> </v>
      </c>
      <c r="N32" s="329">
        <f>IF(AQ30=3,AO30,IF(M32=" "," ",M32+1))</f>
        <v>43040</v>
      </c>
      <c r="O32" s="329">
        <f>IF(AQ30=4,AO30,IF(N32=" "," ",N32+1))</f>
        <v>43041</v>
      </c>
      <c r="P32" s="329">
        <f>IF(AQ30=5,AO30,IF(O32=" "," ",O32+1))</f>
        <v>43042</v>
      </c>
      <c r="Q32" s="330">
        <f>IF(AQ30=6,AO30,IF(P32=" "," ",P32+1))</f>
        <v>43043</v>
      </c>
      <c r="R32" s="327">
        <f>IF(AQ30=7,AO30,Q32+1)</f>
        <v>43044</v>
      </c>
      <c r="S32" s="30"/>
      <c r="T32" s="229">
        <f>T33-1</f>
        <v>49</v>
      </c>
      <c r="U32" s="328" t="str">
        <f>IF(AZ30=1,AX30," ")</f>
        <v xml:space="preserve"> </v>
      </c>
      <c r="V32" s="329" t="str">
        <f>IF(AZ30=2,AX30,IF(U32=" "," ",U32+1))</f>
        <v xml:space="preserve"> </v>
      </c>
      <c r="W32" s="329" t="str">
        <f>IF(AZ30=3,AX30,IF(V32=" "," ",V32+1))</f>
        <v xml:space="preserve"> </v>
      </c>
      <c r="X32" s="329" t="str">
        <f>IF(AZ30=4,AX30,IF(W32=" "," ",W32+1))</f>
        <v xml:space="preserve"> </v>
      </c>
      <c r="Y32" s="329">
        <f>IF(AZ30=5,AX30,IF(X32=" "," ",X32+1))</f>
        <v>43070</v>
      </c>
      <c r="Z32" s="330">
        <f>IF(AZ30=6,AX30,IF(Y32=" "," ",Y32+1))</f>
        <v>43071</v>
      </c>
      <c r="AA32" s="327">
        <f>IF(AZ30=7,AX30,Z32+1)</f>
        <v>43072</v>
      </c>
      <c r="AB32" s="30"/>
      <c r="AC32" s="16"/>
      <c r="AD32" s="226"/>
      <c r="AE32" s="262" t="str">
        <f t="shared" ref="AE32:AE37" si="93">CelebrationType(C32)</f>
        <v/>
      </c>
      <c r="AF32" s="36" t="str">
        <f t="shared" ref="AF32:AF37" si="94">CelebrationType(D32)</f>
        <v/>
      </c>
      <c r="AG32" s="36" t="str">
        <f t="shared" ref="AG32:AG36" si="95">CelebrationType(E32)</f>
        <v/>
      </c>
      <c r="AH32" s="36" t="str">
        <f t="shared" ref="AH32:AH36" si="96">CelebrationType(F32)</f>
        <v/>
      </c>
      <c r="AI32" s="36" t="str">
        <f t="shared" ref="AI32:AI36" si="97">CelebrationType(G32)</f>
        <v/>
      </c>
      <c r="AJ32" s="261" t="str">
        <f t="shared" ref="AJ32:AJ36" si="98">CelebrationType(H32)</f>
        <v/>
      </c>
      <c r="AK32" s="35" t="str">
        <f t="shared" ref="AK32:AK36" si="99">CelebrationType(I32)</f>
        <v>E</v>
      </c>
      <c r="AM32" s="226"/>
      <c r="AN32" s="262" t="str">
        <f t="shared" ref="AN32:AN37" si="100">CelebrationType(L32)</f>
        <v/>
      </c>
      <c r="AO32" s="36" t="str">
        <f t="shared" ref="AO32:AO37" si="101">CelebrationType(M32)</f>
        <v/>
      </c>
      <c r="AP32" s="36" t="str">
        <f t="shared" ref="AP32:AP36" si="102">CelebrationType(N32)</f>
        <v>C</v>
      </c>
      <c r="AQ32" s="36" t="str">
        <f t="shared" ref="AQ32:AQ36" si="103">CelebrationType(O32)</f>
        <v>F</v>
      </c>
      <c r="AR32" s="36" t="str">
        <f t="shared" ref="AR32:AR36" si="104">CelebrationType(P32)</f>
        <v>E</v>
      </c>
      <c r="AS32" s="261">
        <f t="shared" ref="AS32:AS36" si="105">CelebrationType(Q32)</f>
        <v>0</v>
      </c>
      <c r="AT32" s="35">
        <f t="shared" ref="AT32:AT36" si="106">CelebrationType(R32)</f>
        <v>0</v>
      </c>
      <c r="AV32" s="79"/>
      <c r="AW32" s="262" t="str">
        <f t="shared" ref="AW32:AW37" si="107">CelebrationType(U32)</f>
        <v/>
      </c>
      <c r="AX32" s="36" t="str">
        <f t="shared" ref="AX32:AX37" si="108">CelebrationType(V32)</f>
        <v/>
      </c>
      <c r="AY32" s="36" t="str">
        <f t="shared" ref="AY32:AY36" si="109">CelebrationType(W32)</f>
        <v/>
      </c>
      <c r="AZ32" s="36" t="str">
        <f t="shared" ref="AZ32:AZ36" si="110">CelebrationType(X32)</f>
        <v/>
      </c>
      <c r="BA32" s="36">
        <f t="shared" ref="BA32:BA36" si="111">CelebrationType(Y32)</f>
        <v>0</v>
      </c>
      <c r="BB32" s="261">
        <f t="shared" ref="BB32:BB36" si="112">CelebrationType(Z32)</f>
        <v>0</v>
      </c>
      <c r="BC32" s="35">
        <f t="shared" ref="BC32:BC36" si="113">CelebrationType(AA32)</f>
        <v>0</v>
      </c>
    </row>
    <row r="33" spans="1:56" ht="18">
      <c r="A33" s="30"/>
      <c r="B33" s="229">
        <f>WeekNumber(C33)</f>
        <v>41</v>
      </c>
      <c r="C33" s="328">
        <f>I32+1</f>
        <v>43010</v>
      </c>
      <c r="D33" s="329">
        <f t="shared" ref="D33:I35" si="114">C33+1</f>
        <v>43011</v>
      </c>
      <c r="E33" s="329">
        <f t="shared" si="114"/>
        <v>43012</v>
      </c>
      <c r="F33" s="329">
        <f t="shared" si="114"/>
        <v>43013</v>
      </c>
      <c r="G33" s="329">
        <f t="shared" si="114"/>
        <v>43014</v>
      </c>
      <c r="H33" s="330">
        <f t="shared" si="114"/>
        <v>43015</v>
      </c>
      <c r="I33" s="327">
        <f t="shared" si="114"/>
        <v>43016</v>
      </c>
      <c r="K33" s="229">
        <f>WeekNumber(L33)</f>
        <v>46</v>
      </c>
      <c r="L33" s="328">
        <f>R32+1</f>
        <v>43045</v>
      </c>
      <c r="M33" s="329">
        <f t="shared" ref="M33:R35" si="115">L33+1</f>
        <v>43046</v>
      </c>
      <c r="N33" s="329">
        <f t="shared" si="115"/>
        <v>43047</v>
      </c>
      <c r="O33" s="329">
        <f t="shared" si="115"/>
        <v>43048</v>
      </c>
      <c r="P33" s="329">
        <f t="shared" si="115"/>
        <v>43049</v>
      </c>
      <c r="Q33" s="330">
        <f t="shared" si="115"/>
        <v>43050</v>
      </c>
      <c r="R33" s="327">
        <f t="shared" si="115"/>
        <v>43051</v>
      </c>
      <c r="S33" s="30"/>
      <c r="T33" s="229">
        <f>WeekNumber(U33)</f>
        <v>50</v>
      </c>
      <c r="U33" s="328">
        <f>AA32+1</f>
        <v>43073</v>
      </c>
      <c r="V33" s="329">
        <f t="shared" ref="V33:AA35" si="116">U33+1</f>
        <v>43074</v>
      </c>
      <c r="W33" s="329">
        <f t="shared" si="116"/>
        <v>43075</v>
      </c>
      <c r="X33" s="329">
        <f t="shared" si="116"/>
        <v>43076</v>
      </c>
      <c r="Y33" s="329">
        <f t="shared" si="116"/>
        <v>43077</v>
      </c>
      <c r="Z33" s="330">
        <f t="shared" si="116"/>
        <v>43078</v>
      </c>
      <c r="AA33" s="327">
        <f t="shared" si="116"/>
        <v>43079</v>
      </c>
      <c r="AB33" s="30"/>
      <c r="AC33" s="16"/>
      <c r="AD33" s="226"/>
      <c r="AE33" s="262">
        <f t="shared" si="93"/>
        <v>0</v>
      </c>
      <c r="AF33" s="36">
        <f t="shared" si="94"/>
        <v>0</v>
      </c>
      <c r="AG33" s="36">
        <f t="shared" si="95"/>
        <v>0</v>
      </c>
      <c r="AH33" s="36">
        <f t="shared" si="96"/>
        <v>0</v>
      </c>
      <c r="AI33" s="36">
        <f t="shared" si="97"/>
        <v>0</v>
      </c>
      <c r="AJ33" s="261">
        <f t="shared" si="98"/>
        <v>0</v>
      </c>
      <c r="AK33" s="35">
        <f t="shared" si="99"/>
        <v>0</v>
      </c>
      <c r="AM33" s="226"/>
      <c r="AN33" s="262">
        <f t="shared" si="100"/>
        <v>0</v>
      </c>
      <c r="AO33" s="36">
        <f t="shared" si="101"/>
        <v>0</v>
      </c>
      <c r="AP33" s="36">
        <f t="shared" si="102"/>
        <v>0</v>
      </c>
      <c r="AQ33" s="36">
        <f t="shared" si="103"/>
        <v>0</v>
      </c>
      <c r="AR33" s="36">
        <f t="shared" si="104"/>
        <v>0</v>
      </c>
      <c r="AS33" s="261">
        <f t="shared" si="105"/>
        <v>0</v>
      </c>
      <c r="AT33" s="35">
        <f t="shared" si="106"/>
        <v>0</v>
      </c>
      <c r="AV33" s="79"/>
      <c r="AW33" s="262">
        <f t="shared" si="107"/>
        <v>0</v>
      </c>
      <c r="AX33" s="36">
        <f t="shared" si="108"/>
        <v>0</v>
      </c>
      <c r="AY33" s="36">
        <f t="shared" si="109"/>
        <v>0</v>
      </c>
      <c r="AZ33" s="36">
        <f t="shared" si="110"/>
        <v>0</v>
      </c>
      <c r="BA33" s="36">
        <f t="shared" si="111"/>
        <v>0</v>
      </c>
      <c r="BB33" s="261">
        <f t="shared" si="112"/>
        <v>0</v>
      </c>
      <c r="BC33" s="35">
        <f t="shared" si="113"/>
        <v>0</v>
      </c>
    </row>
    <row r="34" spans="1:56" ht="18">
      <c r="A34" s="30"/>
      <c r="B34" s="229">
        <f t="shared" ref="B34:B36" si="117">WeekNumber(C34)</f>
        <v>42</v>
      </c>
      <c r="C34" s="328">
        <f>I33+1</f>
        <v>43017</v>
      </c>
      <c r="D34" s="329">
        <f t="shared" si="114"/>
        <v>43018</v>
      </c>
      <c r="E34" s="329">
        <f t="shared" si="114"/>
        <v>43019</v>
      </c>
      <c r="F34" s="329">
        <f t="shared" si="114"/>
        <v>43020</v>
      </c>
      <c r="G34" s="329">
        <f t="shared" si="114"/>
        <v>43021</v>
      </c>
      <c r="H34" s="330">
        <f t="shared" si="114"/>
        <v>43022</v>
      </c>
      <c r="I34" s="327">
        <f t="shared" si="114"/>
        <v>43023</v>
      </c>
      <c r="K34" s="229">
        <f t="shared" ref="K34:K36" si="118">WeekNumber(L34)</f>
        <v>47</v>
      </c>
      <c r="L34" s="328">
        <f>R33+1</f>
        <v>43052</v>
      </c>
      <c r="M34" s="329">
        <f t="shared" si="115"/>
        <v>43053</v>
      </c>
      <c r="N34" s="329">
        <f t="shared" si="115"/>
        <v>43054</v>
      </c>
      <c r="O34" s="329">
        <f t="shared" si="115"/>
        <v>43055</v>
      </c>
      <c r="P34" s="329">
        <f t="shared" si="115"/>
        <v>43056</v>
      </c>
      <c r="Q34" s="330">
        <f t="shared" si="115"/>
        <v>43057</v>
      </c>
      <c r="R34" s="327">
        <f t="shared" si="115"/>
        <v>43058</v>
      </c>
      <c r="S34" s="30"/>
      <c r="T34" s="229">
        <f t="shared" ref="T34:T36" si="119">WeekNumber(U34)</f>
        <v>51</v>
      </c>
      <c r="U34" s="328">
        <f>AA33+1</f>
        <v>43080</v>
      </c>
      <c r="V34" s="329">
        <f t="shared" si="116"/>
        <v>43081</v>
      </c>
      <c r="W34" s="329">
        <f t="shared" si="116"/>
        <v>43082</v>
      </c>
      <c r="X34" s="329">
        <f t="shared" si="116"/>
        <v>43083</v>
      </c>
      <c r="Y34" s="329">
        <f t="shared" si="116"/>
        <v>43084</v>
      </c>
      <c r="Z34" s="330">
        <f t="shared" si="116"/>
        <v>43085</v>
      </c>
      <c r="AA34" s="327">
        <f t="shared" si="116"/>
        <v>43086</v>
      </c>
      <c r="AB34" s="30"/>
      <c r="AC34" s="16"/>
      <c r="AD34" s="226"/>
      <c r="AE34" s="262">
        <f t="shared" si="93"/>
        <v>0</v>
      </c>
      <c r="AF34" s="36">
        <f t="shared" si="94"/>
        <v>0</v>
      </c>
      <c r="AG34" s="36">
        <f t="shared" si="95"/>
        <v>0</v>
      </c>
      <c r="AH34" s="36" t="str">
        <f t="shared" si="96"/>
        <v>F</v>
      </c>
      <c r="AI34" s="36">
        <f t="shared" si="97"/>
        <v>0</v>
      </c>
      <c r="AJ34" s="261">
        <f t="shared" si="98"/>
        <v>0</v>
      </c>
      <c r="AK34" s="35" t="str">
        <f t="shared" si="99"/>
        <v>E</v>
      </c>
      <c r="AM34" s="226"/>
      <c r="AN34" s="262">
        <f t="shared" si="100"/>
        <v>0</v>
      </c>
      <c r="AO34" s="36" t="str">
        <f t="shared" si="101"/>
        <v>E</v>
      </c>
      <c r="AP34" s="36" t="str">
        <f t="shared" si="102"/>
        <v>F</v>
      </c>
      <c r="AQ34" s="36">
        <f t="shared" si="103"/>
        <v>0</v>
      </c>
      <c r="AR34" s="36">
        <f t="shared" si="104"/>
        <v>0</v>
      </c>
      <c r="AS34" s="261">
        <f t="shared" si="105"/>
        <v>0</v>
      </c>
      <c r="AT34" s="35" t="str">
        <f t="shared" si="106"/>
        <v>C</v>
      </c>
      <c r="AV34" s="79"/>
      <c r="AW34" s="262">
        <f t="shared" si="107"/>
        <v>0</v>
      </c>
      <c r="AX34" s="36">
        <f t="shared" si="108"/>
        <v>0</v>
      </c>
      <c r="AY34" s="36" t="str">
        <f t="shared" si="109"/>
        <v>E</v>
      </c>
      <c r="AZ34" s="36">
        <f t="shared" si="110"/>
        <v>0</v>
      </c>
      <c r="BA34" s="36">
        <f t="shared" si="111"/>
        <v>0</v>
      </c>
      <c r="BB34" s="261">
        <f t="shared" si="112"/>
        <v>0</v>
      </c>
      <c r="BC34" s="35">
        <f t="shared" si="113"/>
        <v>0</v>
      </c>
    </row>
    <row r="35" spans="1:56" ht="18">
      <c r="A35" s="30"/>
      <c r="B35" s="229">
        <f t="shared" si="117"/>
        <v>43</v>
      </c>
      <c r="C35" s="328">
        <f>I34+1</f>
        <v>43024</v>
      </c>
      <c r="D35" s="329">
        <f t="shared" si="114"/>
        <v>43025</v>
      </c>
      <c r="E35" s="329">
        <f t="shared" si="114"/>
        <v>43026</v>
      </c>
      <c r="F35" s="329">
        <f t="shared" si="114"/>
        <v>43027</v>
      </c>
      <c r="G35" s="329">
        <f t="shared" si="114"/>
        <v>43028</v>
      </c>
      <c r="H35" s="330">
        <f t="shared" si="114"/>
        <v>43029</v>
      </c>
      <c r="I35" s="327">
        <f t="shared" si="114"/>
        <v>43030</v>
      </c>
      <c r="K35" s="229">
        <f t="shared" si="118"/>
        <v>48</v>
      </c>
      <c r="L35" s="328">
        <f>R34+1</f>
        <v>43059</v>
      </c>
      <c r="M35" s="329">
        <f t="shared" si="115"/>
        <v>43060</v>
      </c>
      <c r="N35" s="329">
        <f t="shared" si="115"/>
        <v>43061</v>
      </c>
      <c r="O35" s="329">
        <f t="shared" si="115"/>
        <v>43062</v>
      </c>
      <c r="P35" s="329">
        <f t="shared" si="115"/>
        <v>43063</v>
      </c>
      <c r="Q35" s="330">
        <f t="shared" si="115"/>
        <v>43064</v>
      </c>
      <c r="R35" s="327">
        <f t="shared" si="115"/>
        <v>43065</v>
      </c>
      <c r="S35" s="30"/>
      <c r="T35" s="229">
        <f t="shared" si="119"/>
        <v>52</v>
      </c>
      <c r="U35" s="328">
        <f>AA34+1</f>
        <v>43087</v>
      </c>
      <c r="V35" s="329">
        <f t="shared" si="116"/>
        <v>43088</v>
      </c>
      <c r="W35" s="329">
        <f t="shared" si="116"/>
        <v>43089</v>
      </c>
      <c r="X35" s="329">
        <f t="shared" si="116"/>
        <v>43090</v>
      </c>
      <c r="Y35" s="329">
        <f t="shared" si="116"/>
        <v>43091</v>
      </c>
      <c r="Z35" s="330">
        <f t="shared" si="116"/>
        <v>43092</v>
      </c>
      <c r="AA35" s="327">
        <f t="shared" si="116"/>
        <v>43093</v>
      </c>
      <c r="AB35" s="30"/>
      <c r="AC35" s="16"/>
      <c r="AD35" s="226"/>
      <c r="AE35" s="262">
        <f t="shared" si="93"/>
        <v>0</v>
      </c>
      <c r="AF35" s="36">
        <f t="shared" si="94"/>
        <v>0</v>
      </c>
      <c r="AG35" s="36">
        <f t="shared" si="95"/>
        <v>0</v>
      </c>
      <c r="AH35" s="36">
        <f t="shared" si="96"/>
        <v>0</v>
      </c>
      <c r="AI35" s="36">
        <f t="shared" si="97"/>
        <v>0</v>
      </c>
      <c r="AJ35" s="261">
        <f t="shared" si="98"/>
        <v>0</v>
      </c>
      <c r="AK35" s="35">
        <f t="shared" si="99"/>
        <v>0</v>
      </c>
      <c r="AM35" s="226"/>
      <c r="AN35" s="262" t="str">
        <f t="shared" si="100"/>
        <v>C</v>
      </c>
      <c r="AO35" s="36">
        <f t="shared" si="101"/>
        <v>0</v>
      </c>
      <c r="AP35" s="36">
        <f t="shared" si="102"/>
        <v>0</v>
      </c>
      <c r="AQ35" s="36">
        <f t="shared" si="103"/>
        <v>0</v>
      </c>
      <c r="AR35" s="36">
        <f t="shared" si="104"/>
        <v>0</v>
      </c>
      <c r="AS35" s="261">
        <f t="shared" si="105"/>
        <v>0</v>
      </c>
      <c r="AT35" s="35">
        <f t="shared" si="106"/>
        <v>0</v>
      </c>
      <c r="AV35" s="79"/>
      <c r="AW35" s="262">
        <f t="shared" si="107"/>
        <v>0</v>
      </c>
      <c r="AX35" s="36">
        <f t="shared" si="108"/>
        <v>0</v>
      </c>
      <c r="AY35" s="36">
        <f t="shared" si="109"/>
        <v>0</v>
      </c>
      <c r="AZ35" s="36" t="str">
        <f t="shared" si="110"/>
        <v>C</v>
      </c>
      <c r="BA35" s="36">
        <f t="shared" si="111"/>
        <v>0</v>
      </c>
      <c r="BB35" s="261">
        <f t="shared" si="112"/>
        <v>0</v>
      </c>
      <c r="BC35" s="35">
        <f t="shared" si="113"/>
        <v>0</v>
      </c>
    </row>
    <row r="36" spans="1:56" ht="18">
      <c r="A36" s="30"/>
      <c r="B36" s="229">
        <f t="shared" si="117"/>
        <v>44</v>
      </c>
      <c r="C36" s="328">
        <f>IF(I35+1&lt;=AG30,I35+1," ")</f>
        <v>43031</v>
      </c>
      <c r="D36" s="329">
        <f>IF(C36=" "," ",IF(C36+1&lt;=AG30,C36+1," "))</f>
        <v>43032</v>
      </c>
      <c r="E36" s="329">
        <f>IF(D36=" "," ",IF(D36+1&lt;=AG30,D36+1," "))</f>
        <v>43033</v>
      </c>
      <c r="F36" s="329">
        <f>IF(E36=" "," ",IF(E36+1&lt;=AG30,E36+1," "))</f>
        <v>43034</v>
      </c>
      <c r="G36" s="329">
        <f>IF(F36=" "," ",IF(F36+1&lt;=AG30,F36+1," "))</f>
        <v>43035</v>
      </c>
      <c r="H36" s="330">
        <f>IF(G36=" "," ",IF(G36+1&lt;=AG30,G36+1," "))</f>
        <v>43036</v>
      </c>
      <c r="I36" s="327">
        <f>IF(H36=" "," ",IF(H36+1&lt;=AG30,H36+1," "))</f>
        <v>43037</v>
      </c>
      <c r="K36" s="230">
        <f t="shared" si="118"/>
        <v>49</v>
      </c>
      <c r="L36" s="328">
        <f>IF(R35+1&lt;=AP30,R35+1," ")</f>
        <v>43066</v>
      </c>
      <c r="M36" s="329">
        <f>IF(L36=" "," ",IF(L36+1&lt;=AP30,L36+1," "))</f>
        <v>43067</v>
      </c>
      <c r="N36" s="329">
        <f>IF(M36=" "," ",IF(M36+1&lt;=AP30,M36+1," "))</f>
        <v>43068</v>
      </c>
      <c r="O36" s="329">
        <f>IF(N36=" "," ",IF(N36+1&lt;=AP30,N36+1," "))</f>
        <v>43069</v>
      </c>
      <c r="P36" s="329" t="str">
        <f>IF(O36=" "," ",IF(O36+1&lt;=AP30,O36+1," "))</f>
        <v xml:space="preserve"> </v>
      </c>
      <c r="Q36" s="330" t="str">
        <f>IF(P36=" "," ",IF(P36+1&lt;=AP30,P36+1," "))</f>
        <v xml:space="preserve"> </v>
      </c>
      <c r="R36" s="327" t="str">
        <f>IF(Q36=" "," ",IF(Q36+1&lt;=AP30,Q36+1," "))</f>
        <v xml:space="preserve"> </v>
      </c>
      <c r="S36" s="30"/>
      <c r="T36" s="229">
        <f t="shared" si="119"/>
        <v>53</v>
      </c>
      <c r="U36" s="328">
        <f>IF(AA35+1&lt;=AY30,AA35+1," ")</f>
        <v>43094</v>
      </c>
      <c r="V36" s="329">
        <f>IF(U36=" "," ",IF(U36+1&lt;=AY30,U36+1," "))</f>
        <v>43095</v>
      </c>
      <c r="W36" s="329">
        <f>IF(V36=" "," ",IF(V36+1&lt;=AY30,V36+1," "))</f>
        <v>43096</v>
      </c>
      <c r="X36" s="329">
        <f>IF(W36=" "," ",IF(W36+1&lt;=AY30,W36+1," "))</f>
        <v>43097</v>
      </c>
      <c r="Y36" s="329">
        <f>IF(X36=" "," ",IF(X36+1&lt;=AY30,X36+1," "))</f>
        <v>43098</v>
      </c>
      <c r="Z36" s="330">
        <f>IF(Y36=" "," ",IF(Y36+1&lt;=AY30,Y36+1," "))</f>
        <v>43099</v>
      </c>
      <c r="AA36" s="327">
        <f>IF(Z36=" "," ",IF(Z36+1&lt;=AY30,Z36+1," "))</f>
        <v>43100</v>
      </c>
      <c r="AB36" s="30"/>
      <c r="AC36" s="276"/>
      <c r="AD36" s="226"/>
      <c r="AE36" s="262">
        <f t="shared" si="93"/>
        <v>0</v>
      </c>
      <c r="AF36" s="36">
        <f t="shared" si="94"/>
        <v>0</v>
      </c>
      <c r="AG36" s="36">
        <f t="shared" si="95"/>
        <v>0</v>
      </c>
      <c r="AH36" s="36">
        <f t="shared" si="96"/>
        <v>0</v>
      </c>
      <c r="AI36" s="36">
        <f t="shared" si="97"/>
        <v>0</v>
      </c>
      <c r="AJ36" s="261" t="str">
        <f t="shared" si="98"/>
        <v>C</v>
      </c>
      <c r="AK36" s="35">
        <f t="shared" si="99"/>
        <v>0</v>
      </c>
      <c r="AM36" s="226"/>
      <c r="AN36" s="262">
        <f t="shared" si="100"/>
        <v>0</v>
      </c>
      <c r="AO36" s="36">
        <f t="shared" si="101"/>
        <v>0</v>
      </c>
      <c r="AP36" s="36" t="str">
        <f t="shared" si="102"/>
        <v>E</v>
      </c>
      <c r="AQ36" s="36">
        <f t="shared" si="103"/>
        <v>0</v>
      </c>
      <c r="AR36" s="36" t="str">
        <f t="shared" si="104"/>
        <v/>
      </c>
      <c r="AS36" s="261" t="str">
        <f t="shared" si="105"/>
        <v/>
      </c>
      <c r="AT36" s="35" t="str">
        <f t="shared" si="106"/>
        <v/>
      </c>
      <c r="AV36" s="79"/>
      <c r="AW36" s="262" t="str">
        <f t="shared" si="107"/>
        <v>F</v>
      </c>
      <c r="AX36" s="36">
        <f t="shared" si="108"/>
        <v>0</v>
      </c>
      <c r="AY36" s="36">
        <f t="shared" si="109"/>
        <v>0</v>
      </c>
      <c r="AZ36" s="36">
        <f t="shared" si="110"/>
        <v>0</v>
      </c>
      <c r="BA36" s="36" t="str">
        <f t="shared" si="111"/>
        <v>E</v>
      </c>
      <c r="BB36" s="261">
        <f t="shared" si="112"/>
        <v>0</v>
      </c>
      <c r="BC36" s="35">
        <f t="shared" si="113"/>
        <v>0</v>
      </c>
    </row>
    <row r="37" spans="1:56" ht="18.75" thickBot="1">
      <c r="A37" s="30"/>
      <c r="B37" s="230">
        <f>IF(C37=" ","",B36+1)</f>
        <v>45</v>
      </c>
      <c r="C37" s="331">
        <f>IF(I36=" "," ",IF(I36+1&lt;=AG30,I36+1," "))</f>
        <v>43038</v>
      </c>
      <c r="D37" s="332">
        <f>IF(C37=" "," ",IF(C37+1&lt;=AG30,C37+1," "))</f>
        <v>43039</v>
      </c>
      <c r="E37" s="332"/>
      <c r="F37" s="332"/>
      <c r="G37" s="332"/>
      <c r="H37" s="333"/>
      <c r="I37" s="334"/>
      <c r="K37" s="230" t="str">
        <f>IF(L37=" ","",K36+1)</f>
        <v/>
      </c>
      <c r="L37" s="331" t="str">
        <f>IF(R36=" "," ",IF(R36+1&lt;=AP30,R36+1," "))</f>
        <v xml:space="preserve"> </v>
      </c>
      <c r="M37" s="332" t="str">
        <f>IF(L37=" "," ",IF(L37+1&lt;=AP30,L37+1," "))</f>
        <v xml:space="preserve"> </v>
      </c>
      <c r="N37" s="332"/>
      <c r="O37" s="332"/>
      <c r="P37" s="332"/>
      <c r="Q37" s="333"/>
      <c r="R37" s="334"/>
      <c r="S37" s="30"/>
      <c r="T37" s="230" t="str">
        <f>IF(U37=" ","",T36+1)</f>
        <v/>
      </c>
      <c r="U37" s="331" t="str">
        <f>IF(AA36=" "," ",IF(AA36+1&lt;=AY30,AA36+1," "))</f>
        <v xml:space="preserve"> </v>
      </c>
      <c r="V37" s="332" t="str">
        <f>IF(U37=" "," ",IF(U37+1&lt;=AY30,U37+1," "))</f>
        <v xml:space="preserve"> </v>
      </c>
      <c r="W37" s="143"/>
      <c r="X37" s="663" t="str">
        <f ca="1">"21 - " &amp; 'GPlan-Translations'!C196</f>
        <v>21 - Verão</v>
      </c>
      <c r="Y37" s="663"/>
      <c r="Z37" s="663"/>
      <c r="AA37" s="664"/>
      <c r="AB37" s="30"/>
      <c r="AC37" s="276"/>
      <c r="AD37" s="20"/>
      <c r="AE37" s="263" t="str">
        <f t="shared" si="93"/>
        <v>C</v>
      </c>
      <c r="AF37" s="37" t="str">
        <f t="shared" si="94"/>
        <v>E</v>
      </c>
      <c r="AG37" s="500">
        <f>MoonDate(AF30,1)</f>
        <v>43013</v>
      </c>
      <c r="AH37" s="500">
        <f>MoonDate(AF30,2)</f>
        <v>43020</v>
      </c>
      <c r="AI37" s="500">
        <f>MoonDate(AF30,3)</f>
        <v>43027</v>
      </c>
      <c r="AJ37" s="500">
        <f>MoonDate(AF30,4)</f>
        <v>43036</v>
      </c>
      <c r="AK37" s="501" t="str">
        <f>MoonDate(AF30,5)</f>
        <v/>
      </c>
      <c r="AM37" s="20"/>
      <c r="AN37" s="263" t="str">
        <f t="shared" si="100"/>
        <v/>
      </c>
      <c r="AO37" s="37" t="str">
        <f t="shared" si="101"/>
        <v/>
      </c>
      <c r="AP37" s="500">
        <f>MoonDate(AO30,1)</f>
        <v>43043</v>
      </c>
      <c r="AQ37" s="500">
        <f>MoonDate(AO30,2)</f>
        <v>43050</v>
      </c>
      <c r="AR37" s="500">
        <f>MoonDate(AO30,3)</f>
        <v>43057</v>
      </c>
      <c r="AS37" s="500">
        <f>MoonDate(AO30,4)</f>
        <v>43065</v>
      </c>
      <c r="AT37" s="501" t="str">
        <f>MoonDate(AO30,5)</f>
        <v/>
      </c>
      <c r="AV37" s="79"/>
      <c r="AW37" s="263" t="str">
        <f t="shared" si="107"/>
        <v/>
      </c>
      <c r="AX37" s="37" t="str">
        <f t="shared" si="108"/>
        <v/>
      </c>
      <c r="AY37" s="500">
        <f>MoonDate(AX30,1)</f>
        <v>43072</v>
      </c>
      <c r="AZ37" s="500">
        <f>MoonDate(AX30,2)</f>
        <v>43079</v>
      </c>
      <c r="BA37" s="500">
        <f>MoonDate(AX30,3)</f>
        <v>43086</v>
      </c>
      <c r="BB37" s="500">
        <f>MoonDate(AX30,4)</f>
        <v>43095</v>
      </c>
      <c r="BC37" s="501" t="str">
        <f>MoonDate(AX30,5)</f>
        <v/>
      </c>
    </row>
    <row r="38" spans="1:56">
      <c r="B38" s="265" t="str">
        <f>MoonSymbol(AG37)</f>
        <v>O</v>
      </c>
      <c r="C38" s="39" t="str">
        <f>IF(AG37="","",DAY(AG37) &amp; IF(AK37&lt;&gt;"","/" &amp; DAY(AK37),""))</f>
        <v>5</v>
      </c>
      <c r="D38" s="265" t="str">
        <f>MoonSymbol(AH37)</f>
        <v>)</v>
      </c>
      <c r="E38" s="502">
        <f>IFERROR(AH37,"")</f>
        <v>43020</v>
      </c>
      <c r="F38" s="265" t="str">
        <f>MoonSymbol(AI37)</f>
        <v>: :</v>
      </c>
      <c r="G38" s="502">
        <f>AI37</f>
        <v>43027</v>
      </c>
      <c r="H38" s="265" t="str">
        <f>MoonSymbol(AJ37)</f>
        <v>(</v>
      </c>
      <c r="I38" s="503">
        <f>AJ37</f>
        <v>43036</v>
      </c>
      <c r="K38" s="265" t="str">
        <f>MoonSymbol(AP37)</f>
        <v>O</v>
      </c>
      <c r="L38" s="39" t="str">
        <f>IF(AP37="","",DAY(AP37) &amp; IF(AT37&lt;&gt;"","/" &amp; DAY(AT37),""))</f>
        <v>4</v>
      </c>
      <c r="M38" s="265" t="str">
        <f>MoonSymbol(AQ37)</f>
        <v>)</v>
      </c>
      <c r="N38" s="502">
        <f>IFERROR(AQ37,"")</f>
        <v>43050</v>
      </c>
      <c r="O38" s="265" t="str">
        <f>MoonSymbol(AR37)</f>
        <v>: :</v>
      </c>
      <c r="P38" s="502">
        <f>AR37</f>
        <v>43057</v>
      </c>
      <c r="Q38" s="265" t="str">
        <f>MoonSymbol(AS37)</f>
        <v>(</v>
      </c>
      <c r="R38" s="503">
        <f>AS37</f>
        <v>43065</v>
      </c>
      <c r="T38" s="265" t="str">
        <f>MoonSymbol(AY37)</f>
        <v>O</v>
      </c>
      <c r="U38" s="39" t="str">
        <f>IF(AY37="","",DAY(AY37) &amp; IF(BC37&lt;&gt;"","/" &amp; DAY(BC37),""))</f>
        <v>3</v>
      </c>
      <c r="V38" s="265" t="str">
        <f>MoonSymbol(AZ37)</f>
        <v>)</v>
      </c>
      <c r="W38" s="502">
        <f>AZ37</f>
        <v>43079</v>
      </c>
      <c r="X38" s="265" t="str">
        <f>MoonSymbol(BA37)</f>
        <v>: :</v>
      </c>
      <c r="Y38" s="502">
        <f>BA37</f>
        <v>43086</v>
      </c>
      <c r="Z38" s="265" t="str">
        <f>MoonSymbol(BB37)</f>
        <v>(</v>
      </c>
      <c r="AA38" s="503">
        <f>BB37</f>
        <v>43095</v>
      </c>
      <c r="AC38" s="276"/>
      <c r="AD38" s="595">
        <f>MATCH("Festival1Name",'GCal-DB'!A:A,0)-3</f>
        <v>47</v>
      </c>
      <c r="AE38" s="665">
        <f>MATCH(AF3,'GCal-DB'!$1:$1,0)</f>
        <v>36</v>
      </c>
      <c r="AF38" s="665"/>
      <c r="AG38" s="665">
        <f>AE38-1</f>
        <v>35</v>
      </c>
      <c r="AH38" s="665"/>
      <c r="AI38" s="665">
        <f>AK38-AG38</f>
        <v>365</v>
      </c>
      <c r="AJ38" s="665"/>
      <c r="AK38" s="665">
        <f>MATCH(AY30,'GCal-DB'!$1:$1,0)</f>
        <v>400</v>
      </c>
      <c r="AL38" s="665"/>
      <c r="AM38" s="20"/>
      <c r="AN38" s="20"/>
      <c r="AO38" s="443"/>
      <c r="AP38" s="20"/>
      <c r="AQ38" s="20"/>
      <c r="AR38" s="20"/>
      <c r="AS38" s="20"/>
      <c r="AT38" s="20"/>
      <c r="AU38" s="39"/>
      <c r="AW38" s="20"/>
      <c r="AX38" s="443"/>
      <c r="AY38" s="226"/>
      <c r="AZ38" s="226"/>
      <c r="BA38" s="226"/>
      <c r="BB38" s="226"/>
      <c r="BC38" s="226"/>
      <c r="BD38" s="39"/>
    </row>
    <row r="39" spans="1:56" ht="12.75" customHeight="1">
      <c r="A39" s="594"/>
      <c r="B39" s="596"/>
      <c r="C39" s="596"/>
      <c r="D39" s="41"/>
      <c r="J39" s="40"/>
      <c r="K39" s="596"/>
      <c r="L39" s="596"/>
      <c r="M39" s="41"/>
      <c r="S39" s="40"/>
      <c r="T39" s="596"/>
      <c r="U39" s="596"/>
      <c r="V39" s="41"/>
      <c r="AB39" s="264"/>
      <c r="AC39" s="16"/>
      <c r="AF39" s="444"/>
      <c r="AI39" s="41"/>
      <c r="AJ39" s="41"/>
      <c r="AK39" s="264"/>
      <c r="AM39" s="445"/>
      <c r="AO39" s="444"/>
      <c r="AR39" s="41"/>
      <c r="AS39" s="41"/>
      <c r="AU39" s="226"/>
      <c r="AV39" s="444"/>
      <c r="AX39" s="444"/>
      <c r="BA39" s="41"/>
      <c r="BB39" s="41"/>
      <c r="BC39" s="264"/>
      <c r="BD39" s="226"/>
    </row>
    <row r="40" spans="1:56" ht="12.75" customHeight="1">
      <c r="A40" s="594"/>
      <c r="B40" s="666">
        <f ca="1">IFERROR(INDEX('GCal-DB'!$1:$1,1,AJ40),"")</f>
        <v>42747</v>
      </c>
      <c r="C40" s="666"/>
      <c r="D40" s="41" t="s">
        <v>4719</v>
      </c>
      <c r="J40" s="40" t="s">
        <v>4661</v>
      </c>
      <c r="K40" s="666">
        <f ca="1">IFERROR(INDEX('GCal-DB'!$1:$1,1,AS40),"")</f>
        <v>42890</v>
      </c>
      <c r="L40" s="666"/>
      <c r="M40" s="41" t="s">
        <v>4880</v>
      </c>
      <c r="S40" s="40"/>
      <c r="T40" s="666">
        <f ca="1">IFERROR(INDEX('GCal-DB'!$1:$1,1,BB40),"")</f>
        <v>42980</v>
      </c>
      <c r="U40" s="666"/>
      <c r="V40" s="41" t="str">
        <f ca="1">MID('GCal-Translations'!$C$46,7,21) &amp; "."</f>
        <v>Jiva Gosvami - Aparec.</v>
      </c>
      <c r="AB40" s="264"/>
      <c r="AC40" s="16"/>
      <c r="AE40" s="5">
        <v>1</v>
      </c>
      <c r="AF40" s="444">
        <f t="shared" ref="AF40:AF54" si="120">$AD$38+2*AE40</f>
        <v>49</v>
      </c>
      <c r="AI40" s="41">
        <f ca="1">MATCH(AK40,OFFSET('GCal-DB'!$A$1,AF40,$AG$38,1,$AI$38),0)</f>
        <v>12</v>
      </c>
      <c r="AJ40" s="41">
        <f t="shared" ref="AJ40:AJ54" ca="1" si="121">AI40+$AG$38</f>
        <v>47</v>
      </c>
      <c r="AK40" s="264" t="s">
        <v>4719</v>
      </c>
      <c r="AM40" s="445"/>
      <c r="AN40" s="5">
        <v>1</v>
      </c>
      <c r="AO40" s="444">
        <f t="shared" ref="AO40:AO54" si="122">$AD$38+2*AN40</f>
        <v>49</v>
      </c>
      <c r="AR40" s="41">
        <f ca="1">MATCH(AT40,OFFSET('GCal-DB'!$A$1,AO40,$AG$38,1,$AI$38),0)</f>
        <v>155</v>
      </c>
      <c r="AS40" s="41">
        <f t="shared" ref="AS40:AS54" ca="1" si="123">AR40+$AG$38</f>
        <v>190</v>
      </c>
      <c r="AT40" s="5" t="str">
        <f ca="1">'GCal-Translations'!$C$156</f>
        <v>Jejum por Pandava Nirjala Ekadasi</v>
      </c>
      <c r="AU40" s="226"/>
      <c r="AV40" s="444"/>
      <c r="AW40" s="5">
        <v>3</v>
      </c>
      <c r="AX40" s="444">
        <f t="shared" ref="AX40:AX54" si="124">$AD$38+2*AW40</f>
        <v>53</v>
      </c>
      <c r="BA40" s="41">
        <f ca="1">MATCH(BC40,OFFSET('GCal-DB'!$A$1,AX40,$AG$38,1,$AI$38),0)</f>
        <v>245</v>
      </c>
      <c r="BB40" s="41">
        <f t="shared" ref="BB40:BB54" ca="1" si="125">BA40+$AG$38</f>
        <v>280</v>
      </c>
      <c r="BC40" s="264" t="str">
        <f ca="1">'GCal-Translations'!$C$46</f>
        <v>Srila Jiva Gosvami - Aparecimento</v>
      </c>
      <c r="BD40" s="226"/>
    </row>
    <row r="41" spans="1:56" ht="12.75" customHeight="1">
      <c r="A41" s="594"/>
      <c r="B41" s="666">
        <f ca="1">IFERROR(INDEX('GCal-DB'!$1:$1,1,AJ41),"")</f>
        <v>42751</v>
      </c>
      <c r="C41" s="666"/>
      <c r="D41" s="41" t="str">
        <f ca="1">SUBSTITUTE(MID('GCal-Translations'!$C$85,7,28) &amp; ".","Gosvami","G.",1)</f>
        <v>Gopala Bhatta G. - Apar.</v>
      </c>
      <c r="J41" s="40"/>
      <c r="K41" s="666">
        <f ca="1">IFERROR(INDEX('GCal-DB'!$1:$1,1,AS41),"")</f>
        <v>42895</v>
      </c>
      <c r="L41" s="666"/>
      <c r="M41" s="41" t="s">
        <v>4739</v>
      </c>
      <c r="S41" s="594"/>
      <c r="T41" s="666">
        <f ca="1">IFERROR(INDEX('GCal-DB'!$1:$1,1,BB41),"")</f>
        <v>42981</v>
      </c>
      <c r="U41" s="666"/>
      <c r="V41" s="41" t="str">
        <f ca="1">MID('GCal-Translations'!$C$47,7,25) &amp; "."</f>
        <v>Bhaktivinoda Thakura - Ap.</v>
      </c>
      <c r="AB41" s="264"/>
      <c r="AC41" s="16"/>
      <c r="AE41" s="5">
        <v>2</v>
      </c>
      <c r="AF41" s="444">
        <f t="shared" si="120"/>
        <v>51</v>
      </c>
      <c r="AI41" s="41">
        <f ca="1">MATCH(AK41,OFFSET('GCal-DB'!$A$1,AF41,$AG$38,1,$AI$38),0)</f>
        <v>16</v>
      </c>
      <c r="AJ41" s="41">
        <f t="shared" ca="1" si="121"/>
        <v>51</v>
      </c>
      <c r="AK41" s="5" t="str">
        <f ca="1">'GCal-Translations'!$C$85</f>
        <v>Srila Gopala Bhatta Gosvami - Aparecimento</v>
      </c>
      <c r="AL41" s="226"/>
      <c r="AN41" s="5">
        <v>1</v>
      </c>
      <c r="AO41" s="444">
        <f t="shared" si="122"/>
        <v>49</v>
      </c>
      <c r="AR41" s="41">
        <f ca="1">MATCH(AT41,OFFSET('GCal-DB'!$A$1,AO41,$AG$38,1,$AI$38),0)</f>
        <v>160</v>
      </c>
      <c r="AS41" s="41">
        <f t="shared" ca="1" si="123"/>
        <v>195</v>
      </c>
      <c r="AT41" s="264" t="s">
        <v>4739</v>
      </c>
      <c r="AU41" s="226"/>
      <c r="AW41" s="5">
        <v>1</v>
      </c>
      <c r="AX41" s="444">
        <f t="shared" si="124"/>
        <v>49</v>
      </c>
      <c r="AY41" s="5">
        <v>4</v>
      </c>
      <c r="AZ41" s="444">
        <f>$AD$38+2*AY41</f>
        <v>55</v>
      </c>
      <c r="BA41" s="41">
        <f ca="1">IFERROR(MATCH(BC41,OFFSET('GCal-DB'!$A$1,AX41,$AG$38,1,$AI$38),0),MATCH(BC41,OFFSET('GCal-DB'!$A$1,AZ41,$AG$38,1,$AI$38),0))</f>
        <v>246</v>
      </c>
      <c r="BB41" s="41">
        <f t="shared" ca="1" si="125"/>
        <v>281</v>
      </c>
      <c r="BC41" s="264" t="str">
        <f ca="1">'GCal-Translations'!$C$47</f>
        <v>Srila Bhaktivinoda Thakura - Aparecimento</v>
      </c>
      <c r="BD41" s="226"/>
    </row>
    <row r="42" spans="1:56" ht="12.75" customHeight="1">
      <c r="A42" s="594"/>
      <c r="B42" s="666">
        <f ca="1">IFERROR(INDEX('GCal-DB'!$1:$1,1,AJ42),"")</f>
        <v>42767</v>
      </c>
      <c r="C42" s="666"/>
      <c r="D42" s="41" t="str">
        <f ca="1">SUBSTITUTE(MID('GCal-Translations'!$C$92,7,28) &amp; ".","Gosvami","G.",1)</f>
        <v>Raghunatha Dasa G. - Ap.</v>
      </c>
      <c r="J42" s="40"/>
      <c r="K42" s="666">
        <f ca="1">IFERROR(INDEX('GCal-DB'!$1:$1,1,AS42),"")</f>
        <v>42910</v>
      </c>
      <c r="L42" s="666"/>
      <c r="M42" s="41" t="s">
        <v>4741</v>
      </c>
      <c r="S42" s="594"/>
      <c r="T42" s="666">
        <f ca="1">IFERROR(INDEX('GCal-DB'!$1:$1,1,BB42),"")</f>
        <v>42983</v>
      </c>
      <c r="U42" s="666"/>
      <c r="V42" s="41" t="str">
        <f ca="1">'GCal-Translations'!C219</f>
        <v>Prabhupada - aceita sannyasa</v>
      </c>
      <c r="AB42" s="264"/>
      <c r="AC42" s="16"/>
      <c r="AE42" s="5">
        <v>7</v>
      </c>
      <c r="AF42" s="444">
        <f t="shared" si="120"/>
        <v>61</v>
      </c>
      <c r="AI42" s="41">
        <f ca="1">MATCH(AK42,OFFSET('GCal-DB'!$A$1,AF42,$AG$38,1,$AI$38),0)</f>
        <v>32</v>
      </c>
      <c r="AJ42" s="41">
        <f t="shared" ca="1" si="121"/>
        <v>67</v>
      </c>
      <c r="AK42" s="5" t="str">
        <f ca="1">'GCal-Translations'!$C$92</f>
        <v>Srila Raghunatha Dasa Gosvami - Aparecimento</v>
      </c>
      <c r="AL42" s="226"/>
      <c r="AN42" s="5">
        <v>1</v>
      </c>
      <c r="AO42" s="444">
        <f t="shared" si="122"/>
        <v>49</v>
      </c>
      <c r="AR42" s="41">
        <f ca="1">MATCH(AT42,OFFSET('GCal-DB'!$A$1,AO42,$AG$38,1,$AI$38),0)</f>
        <v>175</v>
      </c>
      <c r="AS42" s="41">
        <f t="shared" ca="1" si="123"/>
        <v>210</v>
      </c>
      <c r="AT42" s="264" t="s">
        <v>4741</v>
      </c>
      <c r="AU42" s="226"/>
      <c r="AW42" s="5">
        <v>2</v>
      </c>
      <c r="AX42" s="444">
        <f t="shared" si="124"/>
        <v>51</v>
      </c>
      <c r="AY42" s="5">
        <v>4</v>
      </c>
      <c r="AZ42" s="444">
        <f>$AD$38+2*AY42</f>
        <v>55</v>
      </c>
      <c r="BA42" s="41">
        <f ca="1">IFERROR(MATCH(BC42,OFFSET('GCal-DB'!$A$1,AX42,$AG$38,1,$AI$38),0),MATCH(BC42,OFFSET('GCal-DB'!$A$1,AZ42,$AG$38,1,$AI$38),0))</f>
        <v>248</v>
      </c>
      <c r="BB42" s="41">
        <f t="shared" ca="1" si="125"/>
        <v>283</v>
      </c>
      <c r="BC42" s="264" t="str">
        <f ca="1">'GCal-Translations'!$C$49</f>
        <v>Aceitação de sannyasa por Srila Prabhupada</v>
      </c>
      <c r="BD42" s="226"/>
    </row>
    <row r="43" spans="1:56">
      <c r="A43" s="594" t="s">
        <v>4661</v>
      </c>
      <c r="B43" s="666">
        <f ca="1">IFERROR(INDEX('GCal-DB'!$1:$1,1,AJ43),"")</f>
        <v>42769</v>
      </c>
      <c r="C43" s="666"/>
      <c r="D43" s="41" t="str">
        <f ca="1">MID('GCal-Translations'!$C$93,5,23) &amp; "."</f>
        <v>Advaita Acarya - Aparec.</v>
      </c>
      <c r="J43" s="40"/>
      <c r="K43" s="666">
        <f ca="1">IFERROR(INDEX('GCal-DB'!$1:$1,1,AS43),"")</f>
        <v>42911</v>
      </c>
      <c r="L43" s="666"/>
      <c r="M43" s="41" t="s">
        <v>4742</v>
      </c>
      <c r="S43" s="594"/>
      <c r="T43" s="666">
        <f ca="1">IFERROR(INDEX('GCal-DB'!$1:$1,1,BB43),"")</f>
        <v>42990</v>
      </c>
      <c r="U43" s="666"/>
      <c r="V43" s="41" t="str">
        <f ca="1">'GCal-Translations'!C220</f>
        <v>Prabhupada - chega aos EUA</v>
      </c>
      <c r="AB43" s="264"/>
      <c r="AC43" s="276"/>
      <c r="AE43" s="5">
        <v>1</v>
      </c>
      <c r="AF43" s="444">
        <f t="shared" si="120"/>
        <v>49</v>
      </c>
      <c r="AG43" s="5">
        <v>8</v>
      </c>
      <c r="AH43" s="444">
        <f>$AD$38+2*AG43</f>
        <v>63</v>
      </c>
      <c r="AI43" s="41">
        <f ca="1">IFERROR(MATCH(AK43,OFFSET('GCal-DB'!$A$1,AF43,$AG$38,1,$AI$38),0),MATCH(AK43,OFFSET('GCal-DB'!$A$1,AH43,$AG$38,1,$AI$38),0))</f>
        <v>34</v>
      </c>
      <c r="AJ43" s="41">
        <f t="shared" ca="1" si="121"/>
        <v>69</v>
      </c>
      <c r="AK43" s="5" t="str">
        <f ca="1">'GCal-Translations'!$C$93</f>
        <v>Sri Advaita Acarya - Aparecimento</v>
      </c>
      <c r="AL43" s="226"/>
      <c r="AN43" s="5">
        <v>1</v>
      </c>
      <c r="AO43" s="444">
        <f t="shared" si="122"/>
        <v>49</v>
      </c>
      <c r="AR43" s="41">
        <f ca="1">MATCH(AT43,OFFSET('GCal-DB'!$A$1,AO43,$AG$38,1,$AI$38),0)</f>
        <v>176</v>
      </c>
      <c r="AS43" s="41">
        <f t="shared" ca="1" si="123"/>
        <v>211</v>
      </c>
      <c r="AT43" s="264" t="s">
        <v>4742</v>
      </c>
      <c r="AU43" s="226"/>
      <c r="AW43" s="5">
        <v>1</v>
      </c>
      <c r="AX43" s="444">
        <f t="shared" si="124"/>
        <v>49</v>
      </c>
      <c r="BA43" s="41">
        <f ca="1">MATCH(BC43,OFFSET('GCal-DB'!$A$1,AX43,$AG$38,1,$AI$38),0)</f>
        <v>255</v>
      </c>
      <c r="BB43" s="41">
        <f t="shared" ca="1" si="125"/>
        <v>290</v>
      </c>
      <c r="BC43" s="264" t="str">
        <f ca="1">'GCal-Translations'!$C$50</f>
        <v>Chegada de Srila Prabhupada aos Estados Unidos</v>
      </c>
      <c r="BD43" s="226"/>
    </row>
    <row r="44" spans="1:56">
      <c r="A44" s="594"/>
      <c r="B44" s="666" t="str">
        <f ca="1">IFERROR(INDEX('GCal-DB'!$1:$1,1,AJ44),"")</f>
        <v/>
      </c>
      <c r="C44" s="666"/>
      <c r="D44" s="41" t="s">
        <v>4887</v>
      </c>
      <c r="J44" s="40"/>
      <c r="K44" s="666">
        <f ca="1">IFERROR(INDEX('GCal-DB'!$1:$1,1,AS44),"")</f>
        <v>42924</v>
      </c>
      <c r="L44" s="666"/>
      <c r="M44" s="41" t="str">
        <f ca="1">MID('GCal-Translations'!$C$31,7,22) &amp; "."</f>
        <v>Sanatana Gosvami - Des.</v>
      </c>
      <c r="S44" s="594"/>
      <c r="T44" s="666">
        <f ca="1">IFERROR(INDEX('GCal-DB'!$1:$1,1,BB44),"")</f>
        <v>43008</v>
      </c>
      <c r="U44" s="666"/>
      <c r="V44" s="41" t="s">
        <v>4754</v>
      </c>
      <c r="AB44" s="264"/>
      <c r="AC44" s="276"/>
      <c r="AE44" s="5">
        <v>1</v>
      </c>
      <c r="AF44" s="444">
        <f t="shared" si="120"/>
        <v>49</v>
      </c>
      <c r="AI44" s="41" t="e">
        <f ca="1">MATCH(AK44,OFFSET('GCal-DB'!$A$1,AF44,$AG$38,1,$AI$38),0)</f>
        <v>#N/A</v>
      </c>
      <c r="AJ44" s="41" t="e">
        <f t="shared" ca="1" si="121"/>
        <v>#N/A</v>
      </c>
      <c r="AK44" s="5" t="str">
        <f ca="1">'GCal-Translations'!$C$96</f>
        <v>Varaha Dvadasi: Aparecimento do Senhor Varahadeva</v>
      </c>
      <c r="AL44" s="226"/>
      <c r="AN44" s="5">
        <v>2</v>
      </c>
      <c r="AO44" s="444">
        <f t="shared" si="122"/>
        <v>51</v>
      </c>
      <c r="AR44" s="41">
        <f ca="1">MATCH(AT44,OFFSET('GCal-DB'!$A$1,AO44,$AG$38,1,$AI$38),0)</f>
        <v>189</v>
      </c>
      <c r="AS44" s="41">
        <f t="shared" ca="1" si="123"/>
        <v>224</v>
      </c>
      <c r="AT44" s="264" t="str">
        <f ca="1">'GCal-Translations'!$C$31</f>
        <v>Srila Sanatana Gosvami - Desaparecimento</v>
      </c>
      <c r="AU44" s="226"/>
      <c r="AW44" s="5">
        <v>1</v>
      </c>
      <c r="AX44" s="444">
        <f t="shared" si="124"/>
        <v>49</v>
      </c>
      <c r="BA44" s="41">
        <f ca="1">MATCH(BC44,OFFSET('GCal-DB'!$A$1,AX44,$AG$38,1,$AI$38),0)</f>
        <v>273</v>
      </c>
      <c r="BB44" s="41">
        <f t="shared" ca="1" si="125"/>
        <v>308</v>
      </c>
      <c r="BC44" s="264" t="s">
        <v>4754</v>
      </c>
      <c r="BD44" s="226"/>
    </row>
    <row r="45" spans="1:56">
      <c r="A45" s="594" t="s">
        <v>4661</v>
      </c>
      <c r="B45" s="666">
        <f ca="1">IFERROR(INDEX('GCal-DB'!$1:$1,1,AJ45),"")</f>
        <v>42774</v>
      </c>
      <c r="C45" s="666"/>
      <c r="D45" s="41" t="s">
        <v>4886</v>
      </c>
      <c r="J45" s="40"/>
      <c r="K45" s="666">
        <f ca="1">IFERROR(INDEX('GCal-DB'!$1:$1,1,AS45),"")</f>
        <v>42933</v>
      </c>
      <c r="L45" s="666"/>
      <c r="M45" s="41" t="str">
        <f ca="1">'GCal-Translations'!C217</f>
        <v>ISKCON - fundação em NY</v>
      </c>
      <c r="S45" s="594"/>
      <c r="T45" s="666">
        <f ca="1">IFERROR(INDEX('GCal-DB'!$1:$1,1,BB45),"")</f>
        <v>43010</v>
      </c>
      <c r="U45" s="666"/>
      <c r="V45" s="41" t="str">
        <f ca="1">SUBSTITUTE(MID('GCal-Translations'!$C$53,7,31) &amp; ".","Gosvami","G.",1)</f>
        <v>Raghunatha Bhatta G. - Des.</v>
      </c>
      <c r="AB45" s="264"/>
      <c r="AC45" s="276"/>
      <c r="AE45" s="5">
        <v>1</v>
      </c>
      <c r="AF45" s="444">
        <f t="shared" si="120"/>
        <v>49</v>
      </c>
      <c r="AI45" s="41">
        <f ca="1">MATCH(AK45,OFFSET('GCal-DB'!$A$1,AF45,$AG$38,1,$AI$38),0)</f>
        <v>39</v>
      </c>
      <c r="AJ45" s="41">
        <f t="shared" ca="1" si="121"/>
        <v>74</v>
      </c>
      <c r="AK45" s="5" t="str">
        <f ca="1">'GCal-Translations'!$C$97</f>
        <v>Nityananda Trayodasi: Aparecimento de Sri Nityananda Prabhu</v>
      </c>
      <c r="AL45" s="226"/>
      <c r="AN45" s="5">
        <v>1</v>
      </c>
      <c r="AO45" s="444">
        <f t="shared" si="122"/>
        <v>49</v>
      </c>
      <c r="AP45" s="5">
        <v>2</v>
      </c>
      <c r="AQ45" s="444">
        <f>$AD$38+2*AP45</f>
        <v>51</v>
      </c>
      <c r="AR45" s="41">
        <f ca="1">IFERROR(MATCH(AT45,OFFSET('GCal-DB'!$A$1,AO45,$AG$38,1,$AI$38),0),MATCH(AT45,OFFSET('GCal-DB'!$A$1,AQ45,$AG$38,1,$AI$38),0))</f>
        <v>198</v>
      </c>
      <c r="AS45" s="41">
        <f t="shared" ca="1" si="123"/>
        <v>233</v>
      </c>
      <c r="AT45" s="264" t="str">
        <f ca="1">'GCal-Translations'!$C$34</f>
        <v>Fundação da ISKCON em Nova Iorque</v>
      </c>
      <c r="AU45" s="226"/>
      <c r="AW45" s="5">
        <v>2</v>
      </c>
      <c r="AX45" s="444">
        <f t="shared" si="124"/>
        <v>51</v>
      </c>
      <c r="BA45" s="41">
        <f ca="1">MATCH(BC45,OFFSET('GCal-DB'!$A$1,AX45,$AG$38,1,$AI$38),0)</f>
        <v>275</v>
      </c>
      <c r="BB45" s="41">
        <f t="shared" ca="1" si="125"/>
        <v>310</v>
      </c>
      <c r="BC45" s="264" t="str">
        <f ca="1">'GCal-Translations'!$C$53</f>
        <v>Srila Raghunatha Bhatta Gosvami - Desaparecimento</v>
      </c>
      <c r="BD45" s="226"/>
    </row>
    <row r="46" spans="1:56">
      <c r="B46" s="666">
        <f ca="1">IFERROR(INDEX('GCal-DB'!$1:$1,1,AJ46),"")</f>
        <v>42776</v>
      </c>
      <c r="C46" s="666"/>
      <c r="D46" s="41" t="s">
        <v>4724</v>
      </c>
      <c r="J46" s="40"/>
      <c r="K46" s="666">
        <f ca="1">IFERROR(INDEX('GCal-DB'!$1:$1,1,AS46),"")</f>
        <v>42950</v>
      </c>
      <c r="L46" s="666"/>
      <c r="M46" s="41" t="s">
        <v>4881</v>
      </c>
      <c r="S46" s="594"/>
      <c r="T46" s="666">
        <f ca="1">IFERROR(INDEX('GCal-DB'!$1:$1,1,BB46),"")</f>
        <v>43013</v>
      </c>
      <c r="U46" s="666"/>
      <c r="V46" s="41" t="s">
        <v>4755</v>
      </c>
      <c r="AB46" s="264"/>
      <c r="AC46" s="276"/>
      <c r="AE46" s="5">
        <v>1</v>
      </c>
      <c r="AF46" s="444">
        <f t="shared" si="120"/>
        <v>49</v>
      </c>
      <c r="AI46" s="41">
        <f ca="1">MATCH(AK46,OFFSET('GCal-DB'!$A$1,AF46,$AG$38,1,$AI$38),0)</f>
        <v>41</v>
      </c>
      <c r="AJ46" s="41">
        <f t="shared" ca="1" si="121"/>
        <v>76</v>
      </c>
      <c r="AK46" s="264" t="s">
        <v>4724</v>
      </c>
      <c r="AL46" s="226"/>
      <c r="AN46" s="5">
        <v>2</v>
      </c>
      <c r="AO46" s="444">
        <f t="shared" si="122"/>
        <v>51</v>
      </c>
      <c r="AR46" s="41">
        <f ca="1">MATCH(AT46,OFFSET('GCal-DB'!$A$1,AO46,$AG$38,1,$AI$38),0)</f>
        <v>215</v>
      </c>
      <c r="AS46" s="41">
        <f t="shared" ca="1" si="123"/>
        <v>250</v>
      </c>
      <c r="AT46" s="264" t="str">
        <f ca="1">'GCal-Translations'!$C$37</f>
        <v>Radha Govinda Jhulana Yatra começa</v>
      </c>
      <c r="AU46" s="226"/>
      <c r="AW46" s="5">
        <v>1</v>
      </c>
      <c r="AX46" s="444">
        <f t="shared" si="124"/>
        <v>49</v>
      </c>
      <c r="BA46" s="41">
        <f ca="1">MATCH(BC46,OFFSET('GCal-DB'!$A$1,AX46,$AG$38,1,$AI$38),0)</f>
        <v>278</v>
      </c>
      <c r="BB46" s="41">
        <f t="shared" ca="1" si="125"/>
        <v>313</v>
      </c>
      <c r="BC46" s="264" t="s">
        <v>4755</v>
      </c>
      <c r="BD46" s="226"/>
    </row>
    <row r="47" spans="1:56">
      <c r="A47" s="594"/>
      <c r="B47" s="666">
        <f ca="1">IFERROR(INDEX('GCal-DB'!$1:$1,1,AJ47),"")</f>
        <v>42781</v>
      </c>
      <c r="C47" s="666"/>
      <c r="D47" s="41" t="str">
        <f ca="1">MID('GCal-Translations'!$C$100,1,21) &amp; MID('GCal-Translations'!$C$100,40,5) &amp; "."</f>
        <v>Srila Bhaktisiddhanta - Ap.</v>
      </c>
      <c r="J47" s="40"/>
      <c r="K47" s="666">
        <f ca="1">IFERROR(INDEX('GCal-DB'!$1:$1,1,AS47),"")</f>
        <v>42951</v>
      </c>
      <c r="L47" s="666"/>
      <c r="M47" s="41" t="str">
        <f ca="1">MID('GCal-Translations'!$C$38,7,20) &amp; "."</f>
        <v>Rupa Gosvami - Desap.</v>
      </c>
      <c r="S47" s="594"/>
      <c r="T47" s="666">
        <f ca="1">IFERROR(INDEX('GCal-DB'!$1:$1,1,BB47),"")</f>
        <v>43020</v>
      </c>
      <c r="U47" s="666"/>
      <c r="V47" s="41" t="str">
        <f ca="1">'GCal-Translations'!C221</f>
        <v>Radha Kunda - Aparecimento</v>
      </c>
      <c r="AA47" s="40"/>
      <c r="AB47" s="264"/>
      <c r="AC47" s="276"/>
      <c r="AE47" s="5">
        <v>2</v>
      </c>
      <c r="AF47" s="444">
        <f t="shared" si="120"/>
        <v>51</v>
      </c>
      <c r="AI47" s="41">
        <f ca="1">MATCH(AK47,OFFSET('GCal-DB'!$A$1,AF47,$AG$38,1,$AI$38),0)</f>
        <v>46</v>
      </c>
      <c r="AJ47" s="41">
        <f t="shared" ca="1" si="121"/>
        <v>81</v>
      </c>
      <c r="AK47" s="5" t="str">
        <f ca="1">'GCal-Translations'!$C$100</f>
        <v>Srila Bhaktisiddhanta Sarasvati Thakura - Aparecimento</v>
      </c>
      <c r="AL47" s="226"/>
      <c r="AN47" s="5">
        <v>1</v>
      </c>
      <c r="AO47" s="444">
        <f t="shared" si="122"/>
        <v>49</v>
      </c>
      <c r="AP47" s="5">
        <v>3</v>
      </c>
      <c r="AQ47" s="444">
        <f>$AD$38+2*AP47</f>
        <v>53</v>
      </c>
      <c r="AR47" s="41">
        <f ca="1">IFERROR(MATCH(AT47,OFFSET('GCal-DB'!$A$1,AO47,$AG$38,1,$AI$38),0),MATCH(AT47,OFFSET('GCal-DB'!$A$1,AQ47,$AG$38,1,$AI$38),0))</f>
        <v>216</v>
      </c>
      <c r="AS47" s="41">
        <f t="shared" ca="1" si="123"/>
        <v>251</v>
      </c>
      <c r="AT47" s="264" t="str">
        <f ca="1">'GCal-Translations'!$C$38</f>
        <v>Srila Rupa Gosvami - Desaparecimento</v>
      </c>
      <c r="AU47" s="226"/>
      <c r="AW47" s="5">
        <v>1</v>
      </c>
      <c r="AX47" s="444">
        <f t="shared" si="124"/>
        <v>49</v>
      </c>
      <c r="BA47" s="41">
        <f ca="1">MATCH(BC47,OFFSET('GCal-DB'!$A$1,AX47,$AG$38,1,$AI$38),0)</f>
        <v>285</v>
      </c>
      <c r="BB47" s="41">
        <f t="shared" ca="1" si="125"/>
        <v>320</v>
      </c>
      <c r="BC47" s="264" t="str">
        <f ca="1">'GCal-Translations'!$C$57</f>
        <v>Aparecimento do Radha Kunda, snana dana</v>
      </c>
      <c r="BD47" s="226"/>
    </row>
    <row r="48" spans="1:56">
      <c r="A48" s="594" t="s">
        <v>4661</v>
      </c>
      <c r="B48" s="666">
        <f ca="1">IFERROR(INDEX('GCal-DB'!$1:$1,1,AJ48),"")</f>
        <v>42806</v>
      </c>
      <c r="C48" s="666"/>
      <c r="D48" s="41" t="s">
        <v>4888</v>
      </c>
      <c r="J48" s="40" t="s">
        <v>4661</v>
      </c>
      <c r="K48" s="666">
        <f ca="1">IFERROR(INDEX('GCal-DB'!$1:$1,1,AS48),"")</f>
        <v>42954</v>
      </c>
      <c r="L48" s="666"/>
      <c r="M48" s="41" t="str">
        <f ca="1">MID('GCal-Translations'!$C$41,1,24) &amp; "."</f>
        <v>Senhor Balarama - Aparec.</v>
      </c>
      <c r="S48" s="264"/>
      <c r="T48" s="666">
        <f ca="1">IFERROR(INDEX('GCal-DB'!$1:$1,1,BB48),"")</f>
        <v>43027</v>
      </c>
      <c r="U48" s="666"/>
      <c r="V48" s="41" t="s">
        <v>4876</v>
      </c>
      <c r="AB48" s="264"/>
      <c r="AC48" s="276"/>
      <c r="AE48" s="5">
        <v>1</v>
      </c>
      <c r="AF48" s="444">
        <f t="shared" si="120"/>
        <v>49</v>
      </c>
      <c r="AI48" s="41">
        <f ca="1">MATCH(AK48,OFFSET('GCal-DB'!$A$1,AF48,$AG$38,1,$AI$38),0)</f>
        <v>71</v>
      </c>
      <c r="AJ48" s="41">
        <f t="shared" ca="1" si="121"/>
        <v>106</v>
      </c>
      <c r="AK48" s="5" t="str">
        <f ca="1">'GCal-Translations'!$C$112</f>
        <v>Gaura Purnima: Aparecimento de Sri Caitanya Mahaprabhu</v>
      </c>
      <c r="AL48" s="226"/>
      <c r="AN48" s="5">
        <v>2</v>
      </c>
      <c r="AO48" s="444">
        <f t="shared" si="122"/>
        <v>51</v>
      </c>
      <c r="AR48" s="41">
        <f ca="1">MATCH(AT48,OFFSET('GCal-DB'!$A$1,AO48,$AG$38,1,$AI$38),0)</f>
        <v>219</v>
      </c>
      <c r="AS48" s="41">
        <f t="shared" ca="1" si="123"/>
        <v>254</v>
      </c>
      <c r="AT48" s="5" t="str">
        <f ca="1">'GCal-Translations'!$C$41</f>
        <v>Senhor Balarama - Aparecimento</v>
      </c>
      <c r="AU48" s="226"/>
      <c r="AW48" s="5">
        <v>1</v>
      </c>
      <c r="AX48" s="444">
        <f t="shared" si="124"/>
        <v>49</v>
      </c>
      <c r="BA48" s="41">
        <f ca="1">MATCH(BC48,OFFSET('GCal-DB'!$A$1,AX48,$AG$38,1,$AI$38),0)</f>
        <v>292</v>
      </c>
      <c r="BB48" s="41">
        <f t="shared" ca="1" si="125"/>
        <v>327</v>
      </c>
      <c r="BC48" s="264" t="s">
        <v>4759</v>
      </c>
      <c r="BD48" s="226"/>
    </row>
    <row r="49" spans="1:56">
      <c r="A49" s="594"/>
      <c r="B49" s="666">
        <f ca="1">IFERROR(INDEX('GCal-DB'!$1:$1,1,AJ49),"")</f>
        <v>42814</v>
      </c>
      <c r="C49" s="666"/>
      <c r="D49" s="41" t="str">
        <f ca="1">MID('GCal-Translations'!$C$106,5,24) &amp; "."</f>
        <v>Srivasa Pandita - Aparec.</v>
      </c>
      <c r="J49" s="40"/>
      <c r="K49" s="666">
        <f ca="1">IFERROR(INDEX('GCal-DB'!$1:$1,1,AS49),"")</f>
        <v>42955</v>
      </c>
      <c r="L49" s="666"/>
      <c r="M49" s="41" t="str">
        <f ca="1">'GCal-Translations'!C218</f>
        <v>Prabhupada - vai para EUA</v>
      </c>
      <c r="S49" s="264"/>
      <c r="T49" s="666">
        <f ca="1">IFERROR(INDEX('GCal-DB'!$1:$1,1,BB49),"")</f>
        <v>43028</v>
      </c>
      <c r="U49" s="666"/>
      <c r="V49" s="41" t="s">
        <v>4877</v>
      </c>
      <c r="AB49" s="264"/>
      <c r="AC49" s="276"/>
      <c r="AE49" s="5">
        <v>1</v>
      </c>
      <c r="AF49" s="444">
        <f t="shared" si="120"/>
        <v>49</v>
      </c>
      <c r="AI49" s="41">
        <f ca="1">MATCH(AK49,OFFSET('GCal-DB'!$A$1,AF49,$AG$38,1,$AI$38),0)</f>
        <v>79</v>
      </c>
      <c r="AJ49" s="41">
        <f t="shared" ca="1" si="121"/>
        <v>114</v>
      </c>
      <c r="AK49" s="5" t="str">
        <f ca="1">'GCal-Translations'!$C$106</f>
        <v>Sri Srivasa Pandita - Aparecimento</v>
      </c>
      <c r="AL49" s="226"/>
      <c r="AN49" s="5">
        <v>1</v>
      </c>
      <c r="AO49" s="444">
        <f t="shared" si="122"/>
        <v>49</v>
      </c>
      <c r="AP49" s="5">
        <v>4</v>
      </c>
      <c r="AQ49" s="444">
        <f>$AD$38+2*AP49</f>
        <v>55</v>
      </c>
      <c r="AR49" s="41">
        <f ca="1">IFERROR(MATCH(AT49,OFFSET('GCal-DB'!$A$1,AO49,$AG$38,1,$AI$38),0),MATCH(AT49,OFFSET('GCal-DB'!$A$1,AQ49,$AG$38,1,$AI$38),0))</f>
        <v>220</v>
      </c>
      <c r="AS49" s="41">
        <f t="shared" ca="1" si="123"/>
        <v>255</v>
      </c>
      <c r="AT49" s="5" t="str">
        <f ca="1">'GCal-Translations'!$C$42</f>
        <v>Partida de Srila Prabhupada para os Estados Unidos</v>
      </c>
      <c r="AU49" s="226"/>
      <c r="AW49" s="5">
        <v>1</v>
      </c>
      <c r="AX49" s="444">
        <f t="shared" si="124"/>
        <v>49</v>
      </c>
      <c r="BA49" s="41">
        <f ca="1">MATCH(BC49,OFFSET('GCal-DB'!$A$1,AX49,$AG$38,1,$AI$38),0)</f>
        <v>293</v>
      </c>
      <c r="BB49" s="41">
        <f t="shared" ca="1" si="125"/>
        <v>328</v>
      </c>
      <c r="BC49" s="264" t="s">
        <v>4760</v>
      </c>
      <c r="BD49" s="226"/>
    </row>
    <row r="50" spans="1:56">
      <c r="A50" s="594" t="s">
        <v>4661</v>
      </c>
      <c r="B50" s="666">
        <f ca="1">IFERROR(INDEX('GCal-DB'!$1:$1,1,AJ50),"")</f>
        <v>42829</v>
      </c>
      <c r="C50" s="666"/>
      <c r="D50" s="41" t="s">
        <v>4878</v>
      </c>
      <c r="J50" s="40" t="s">
        <v>4661</v>
      </c>
      <c r="K50" s="666">
        <f ca="1">IFERROR(INDEX('GCal-DB'!$1:$1,1,AS50),"")</f>
        <v>42962</v>
      </c>
      <c r="L50" s="666"/>
      <c r="M50" s="41" t="s">
        <v>4882</v>
      </c>
      <c r="S50" s="264"/>
      <c r="T50" s="666">
        <f ca="1">IFERROR(INDEX('GCal-DB'!$1:$1,1,BB50),"")</f>
        <v>43031</v>
      </c>
      <c r="U50" s="666"/>
      <c r="V50" s="41" t="str">
        <f ca="1">MID('GCal-Translations'!$C$61,1,24) &amp; "."</f>
        <v>Srila Prabhupada - Desap.</v>
      </c>
      <c r="AB50" s="41"/>
      <c r="AC50" s="276"/>
      <c r="AE50" s="5">
        <v>1</v>
      </c>
      <c r="AF50" s="444">
        <f t="shared" si="120"/>
        <v>49</v>
      </c>
      <c r="AI50" s="41">
        <f ca="1">MATCH(AK50,OFFSET('GCal-DB'!$A$1,AF50,$AG$38,1,$AI$38),0)</f>
        <v>94</v>
      </c>
      <c r="AJ50" s="41">
        <f t="shared" ca="1" si="121"/>
        <v>129</v>
      </c>
      <c r="AK50" s="5" t="str">
        <f ca="1">'GCal-Translations'!$C$115</f>
        <v>Rama Navami: Aparecimento do Senhor Sri Ramacandra</v>
      </c>
      <c r="AN50" s="5">
        <v>1</v>
      </c>
      <c r="AO50" s="444">
        <f t="shared" si="122"/>
        <v>49</v>
      </c>
      <c r="AR50" s="41">
        <f ca="1">MATCH(AT50,OFFSET('GCal-DB'!$A$1,AO50,$AG$38,1,$AI$38),0)</f>
        <v>227</v>
      </c>
      <c r="AS50" s="41">
        <f t="shared" ca="1" si="123"/>
        <v>262</v>
      </c>
      <c r="AT50" s="5" t="str">
        <f ca="1">'GCal-Translations'!$C$111</f>
        <v>Sri Krsna Janmastami: Aparecimento do Senhor Sri Krsna</v>
      </c>
      <c r="AW50" s="5">
        <v>1</v>
      </c>
      <c r="AX50" s="444">
        <f t="shared" si="124"/>
        <v>49</v>
      </c>
      <c r="BA50" s="41">
        <f ca="1">MATCH(BC50,OFFSET('GCal-DB'!$A$1,AX50,$AG$38,1,$AI$38),0)</f>
        <v>296</v>
      </c>
      <c r="BB50" s="41">
        <f t="shared" ca="1" si="125"/>
        <v>331</v>
      </c>
      <c r="BC50" s="264" t="str">
        <f ca="1">'GCal-Translations'!$C$61</f>
        <v>Srila Prabhupada - Desaparecimento</v>
      </c>
    </row>
    <row r="51" spans="1:56">
      <c r="A51" s="594"/>
      <c r="B51" s="666">
        <f ca="1">IFERROR(INDEX('GCal-DB'!$1:$1,1,AJ51),"")</f>
        <v>42835</v>
      </c>
      <c r="C51" s="666"/>
      <c r="D51" s="41" t="s">
        <v>4729</v>
      </c>
      <c r="J51" s="40" t="s">
        <v>4661</v>
      </c>
      <c r="K51" s="666">
        <f ca="1">IFERROR(INDEX('GCal-DB'!$1:$1,1,AS51),"")</f>
        <v>42963</v>
      </c>
      <c r="L51" s="666"/>
      <c r="M51" s="41" t="str">
        <f ca="1">MID('GCal-Translations'!$C$116,1,25) &amp; "."</f>
        <v>Srila Prabhupada - Aparec.</v>
      </c>
      <c r="S51" s="264"/>
      <c r="T51" s="666">
        <f ca="1">IFERROR(INDEX('GCal-DB'!$1:$1,1,BB51),"")</f>
        <v>43039</v>
      </c>
      <c r="U51" s="666"/>
      <c r="V51" s="41" t="str">
        <f ca="1">SUBSTITUTE(MID('GCal-Translations'!$C$65,1,38) &amp; "."," Dasa Babaji","",1)</f>
        <v>Srila Gaura Kisora - Desap.</v>
      </c>
      <c r="AA51" s="40"/>
      <c r="AB51" s="41"/>
      <c r="AC51" s="276"/>
      <c r="AE51" s="5">
        <v>1</v>
      </c>
      <c r="AF51" s="444">
        <f t="shared" si="120"/>
        <v>49</v>
      </c>
      <c r="AI51" s="41">
        <f ca="1">MATCH(AK51,OFFSET('GCal-DB'!$A$1,AF51,$AG$38,1,$AI$38),0)</f>
        <v>100</v>
      </c>
      <c r="AJ51" s="41">
        <f t="shared" ca="1" si="121"/>
        <v>135</v>
      </c>
      <c r="AK51" s="264" t="s">
        <v>4729</v>
      </c>
      <c r="AL51" s="20"/>
      <c r="AN51" s="5">
        <v>2</v>
      </c>
      <c r="AO51" s="444">
        <f t="shared" si="122"/>
        <v>51</v>
      </c>
      <c r="AR51" s="41">
        <f ca="1">MATCH(AT51,OFFSET('GCal-DB'!$A$1,AO51,$AG$38,1,$AI$38),0)</f>
        <v>228</v>
      </c>
      <c r="AS51" s="41">
        <f t="shared" ca="1" si="123"/>
        <v>263</v>
      </c>
      <c r="AT51" s="5" t="str">
        <f ca="1">'GCal-Translations'!$C$116</f>
        <v>Srila Prabhupada - Aparecimento</v>
      </c>
      <c r="AW51" s="5">
        <v>2</v>
      </c>
      <c r="AX51" s="444">
        <f t="shared" si="124"/>
        <v>51</v>
      </c>
      <c r="BA51" s="41">
        <f ca="1">MATCH(BC51,OFFSET('GCal-DB'!$A$1,AX51,$AG$38,1,$AI$38),0)</f>
        <v>304</v>
      </c>
      <c r="BB51" s="41">
        <f t="shared" ca="1" si="125"/>
        <v>339</v>
      </c>
      <c r="BC51" s="264" t="str">
        <f ca="1">'GCal-Translations'!$C$65</f>
        <v>Srila Gaura Kisora Dasa Babaji - Desaparecimento</v>
      </c>
    </row>
    <row r="52" spans="1:56">
      <c r="A52" s="594"/>
      <c r="B52" s="666">
        <f ca="1">IFERROR(INDEX('GCal-DB'!$1:$1,1,AJ52),"")</f>
        <v>42851</v>
      </c>
      <c r="C52" s="666"/>
      <c r="D52" s="41" t="str">
        <f ca="1">MID('GCal-Translations'!$C$6,5,22) &amp; "."</f>
        <v>Gadadhara Pandita - Ap.</v>
      </c>
      <c r="J52" s="40"/>
      <c r="K52" s="666">
        <f ca="1">IFERROR(INDEX('GCal-DB'!$1:$1,1,AS52),"")</f>
        <v>42973</v>
      </c>
      <c r="L52" s="666"/>
      <c r="M52" s="41" t="str">
        <f ca="1">MID('GCal-Translations'!$C$43,9,14) &amp; " (Sri Advaita)"</f>
        <v>Sita Thakurani (Sri Advaita)</v>
      </c>
      <c r="S52" s="264"/>
      <c r="T52" s="666">
        <f ca="1">IFERROR(INDEX('GCal-DB'!$1:$1,1,BB52),"")</f>
        <v>43043</v>
      </c>
      <c r="U52" s="666"/>
      <c r="V52" s="41" t="s">
        <v>4764</v>
      </c>
      <c r="AA52" s="264"/>
      <c r="AC52" s="276"/>
      <c r="AE52" s="5">
        <v>1</v>
      </c>
      <c r="AF52" s="444">
        <f t="shared" si="120"/>
        <v>49</v>
      </c>
      <c r="AI52" s="41">
        <f ca="1">MATCH(AK52,OFFSET('GCal-DB'!$A$1,AF52,$AG$38,1,$AI$38),0)</f>
        <v>116</v>
      </c>
      <c r="AJ52" s="41">
        <f t="shared" ca="1" si="121"/>
        <v>151</v>
      </c>
      <c r="AK52" s="5" t="str">
        <f ca="1">'GCal-Translations'!$C$6</f>
        <v>Sri Gadadhara Pandita - Aparecimento</v>
      </c>
      <c r="AL52" s="20"/>
      <c r="AN52" s="5">
        <v>1</v>
      </c>
      <c r="AO52" s="444">
        <f t="shared" si="122"/>
        <v>49</v>
      </c>
      <c r="AR52" s="41">
        <f ca="1">MATCH(AT52,OFFSET('GCal-DB'!$A$1,AO52,$AG$38,1,$AI$38),0)</f>
        <v>238</v>
      </c>
      <c r="AS52" s="41">
        <f t="shared" ca="1" si="123"/>
        <v>273</v>
      </c>
      <c r="AT52" s="5" t="str">
        <f ca="1">'GCal-Translations'!$C$43</f>
        <v>Srimati Sita Thakurani (Consorte de Sri Advaita) - Aparecimento</v>
      </c>
      <c r="AW52" s="5">
        <v>1</v>
      </c>
      <c r="AX52" s="444">
        <f t="shared" si="124"/>
        <v>49</v>
      </c>
      <c r="BA52" s="41">
        <f ca="1">MATCH(BC52,OFFSET('GCal-DB'!$A$1,AX52,$AG$38,1,$AI$38),0)</f>
        <v>308</v>
      </c>
      <c r="BB52" s="41">
        <f t="shared" ca="1" si="125"/>
        <v>343</v>
      </c>
      <c r="BC52" s="264" t="s">
        <v>4764</v>
      </c>
    </row>
    <row r="53" spans="1:56">
      <c r="A53" s="594" t="s">
        <v>4661</v>
      </c>
      <c r="B53" s="666">
        <f ca="1">IFERROR(INDEX('GCal-DB'!$1:$1,1,AJ53),"")</f>
        <v>42859</v>
      </c>
      <c r="C53" s="666"/>
      <c r="D53" s="41" t="str">
        <f ca="1">MID('GCal-Translations'!$C$8,9,9) &amp; " (Sri Rama)"</f>
        <v>Sita Devi (Sri Rama)</v>
      </c>
      <c r="J53" s="40"/>
      <c r="K53" s="666">
        <f ca="1">IFERROR(INDEX('GCal-DB'!$1:$1,1,AS53),"")</f>
        <v>42976</v>
      </c>
      <c r="L53" s="666"/>
      <c r="M53" s="41" t="s">
        <v>4883</v>
      </c>
      <c r="S53" s="264"/>
      <c r="T53" s="666">
        <f ca="1">IFERROR(INDEX('GCal-DB'!$1:$1,1,BB53),"")</f>
        <v>43043</v>
      </c>
      <c r="U53" s="666"/>
      <c r="V53" s="41" t="s">
        <v>4885</v>
      </c>
      <c r="AB53" s="264"/>
      <c r="AC53" s="276"/>
      <c r="AE53" s="5">
        <v>1</v>
      </c>
      <c r="AF53" s="444">
        <f t="shared" si="120"/>
        <v>49</v>
      </c>
      <c r="AI53" s="41">
        <f ca="1">MATCH(AK53,OFFSET('GCal-DB'!$A$1,AF53,$AG$38,1,$AI$38),0)</f>
        <v>124</v>
      </c>
      <c r="AJ53" s="41">
        <f t="shared" ca="1" si="121"/>
        <v>159</v>
      </c>
      <c r="AK53" s="5" t="str">
        <f ca="1">'GCal-Translations'!$C$8</f>
        <v>Srimati Sita Devi (consorte do Senhor Sri Rama) - Aparecimento</v>
      </c>
      <c r="AN53" s="5">
        <v>1</v>
      </c>
      <c r="AO53" s="444">
        <f t="shared" si="122"/>
        <v>49</v>
      </c>
      <c r="AR53" s="41">
        <f ca="1">MATCH(AT53,OFFSET('GCal-DB'!$A$1,AO53,$AG$38,1,$AI$38),0)</f>
        <v>241</v>
      </c>
      <c r="AS53" s="41">
        <f t="shared" ca="1" si="123"/>
        <v>276</v>
      </c>
      <c r="AT53" s="5" t="str">
        <f ca="1">'GCal-Translations'!$C$44</f>
        <v>Radhastami: Aparecimento de Srimati Radharani</v>
      </c>
      <c r="AW53" s="5">
        <v>2</v>
      </c>
      <c r="AX53" s="444">
        <f t="shared" si="124"/>
        <v>51</v>
      </c>
      <c r="BA53" s="41">
        <f ca="1">MATCH(BC53,OFFSET('GCal-DB'!$A$1,AX53,$AG$38,1,$AI$38),0)</f>
        <v>308</v>
      </c>
      <c r="BB53" s="41">
        <f t="shared" ca="1" si="125"/>
        <v>343</v>
      </c>
      <c r="BC53" s="5" t="str">
        <f ca="1">'GCal-Translations'!$C$68</f>
        <v>Tulasi-Saligrama Vivaha (casamento)</v>
      </c>
    </row>
    <row r="54" spans="1:56">
      <c r="A54" s="594" t="s">
        <v>4661</v>
      </c>
      <c r="B54" s="666">
        <f ca="1">IFERROR(INDEX('GCal-DB'!$1:$1,1,AJ54),"")</f>
        <v>42864</v>
      </c>
      <c r="C54" s="666"/>
      <c r="D54" s="41" t="s">
        <v>4879</v>
      </c>
      <c r="J54" s="40"/>
      <c r="K54" s="666">
        <f ca="1">IFERROR(INDEX('GCal-DB'!$1:$1,1,AS54),"")</f>
        <v>42980</v>
      </c>
      <c r="L54" s="666"/>
      <c r="M54" s="41" t="s">
        <v>4884</v>
      </c>
      <c r="S54" s="264"/>
      <c r="T54" s="666">
        <f ca="1">IFERROR(INDEX('GCal-DB'!$1:$1,1,BB54),"")</f>
        <v>43068</v>
      </c>
      <c r="U54" s="666"/>
      <c r="V54" s="41" t="str">
        <f ca="1">'GCal-Translations'!C222</f>
        <v>Bhagavad-gita - Advento</v>
      </c>
      <c r="AB54" s="264"/>
      <c r="AC54" s="276"/>
      <c r="AE54" s="5">
        <v>1</v>
      </c>
      <c r="AF54" s="444">
        <f t="shared" si="120"/>
        <v>49</v>
      </c>
      <c r="AG54" s="5">
        <v>2</v>
      </c>
      <c r="AH54" s="444">
        <f>$AD$38+2*AG54</f>
        <v>51</v>
      </c>
      <c r="AI54" s="41">
        <f ca="1">IFERROR(MATCH(AK54,OFFSET('GCal-DB'!$A$1,AF54,$AG$38,1,$AI$38),0),MATCH(AK54,OFFSET('GCal-DB'!$A$1,AH54,$AG$38,1,$AI$38),0))</f>
        <v>129</v>
      </c>
      <c r="AJ54" s="41">
        <f t="shared" ca="1" si="121"/>
        <v>164</v>
      </c>
      <c r="AK54" s="5" t="str">
        <f ca="1">'GCal-Translations'!$C$12</f>
        <v>Nrsimha Caturdasi: Aparecimento do Senhor Nrsimhadeva</v>
      </c>
      <c r="AN54" s="5">
        <v>1</v>
      </c>
      <c r="AO54" s="444">
        <f t="shared" si="122"/>
        <v>49</v>
      </c>
      <c r="AR54" s="41">
        <f ca="1">MATCH(AT54,OFFSET('GCal-DB'!$A$1,AO54,$AG$38,1,$AI$38),0)</f>
        <v>245</v>
      </c>
      <c r="AS54" s="41">
        <f t="shared" ca="1" si="123"/>
        <v>280</v>
      </c>
      <c r="AT54" s="264" t="str">
        <f ca="1">'GCal-Translations'!$C$45</f>
        <v>Sri Vamana Dvadasi: Aparecimento do Senhor Vamanadeva</v>
      </c>
      <c r="AW54" s="5">
        <v>1</v>
      </c>
      <c r="AX54" s="444">
        <f t="shared" si="124"/>
        <v>49</v>
      </c>
      <c r="AY54" s="5">
        <v>2</v>
      </c>
      <c r="AZ54" s="444">
        <f>$AD$38+2*AY54</f>
        <v>51</v>
      </c>
      <c r="BA54" s="41">
        <f ca="1">IFERROR(MATCH(BC54,OFFSET('GCal-DB'!$A$1,AX54,$AG$38,1,$AI$38),0),MATCH(BC54,OFFSET('GCal-DB'!$A$1,AZ54,$AG$38,1,$AI$38),0))</f>
        <v>333</v>
      </c>
      <c r="BB54" s="41">
        <f t="shared" ca="1" si="125"/>
        <v>368</v>
      </c>
      <c r="BC54" s="5" t="str">
        <f ca="1">'GCal-Translations'!$C$74</f>
        <v>Advento do Srimad Bhagavad-gita</v>
      </c>
    </row>
    <row r="55" spans="1:56"/>
    <row r="56" spans="1:56" hidden="1"/>
    <row r="57" spans="1:56" hidden="1"/>
  </sheetData>
  <sheetProtection sheet="1" objects="1" scenarios="1"/>
  <mergeCells count="78">
    <mergeCell ref="T49:U49"/>
    <mergeCell ref="T50:U50"/>
    <mergeCell ref="T51:U51"/>
    <mergeCell ref="AG38:AH38"/>
    <mergeCell ref="B46:C46"/>
    <mergeCell ref="K41:L41"/>
    <mergeCell ref="K42:L42"/>
    <mergeCell ref="K44:L44"/>
    <mergeCell ref="AE38:AF38"/>
    <mergeCell ref="B50:C50"/>
    <mergeCell ref="B48:C48"/>
    <mergeCell ref="B44:C44"/>
    <mergeCell ref="B45:C45"/>
    <mergeCell ref="T52:U52"/>
    <mergeCell ref="T53:U53"/>
    <mergeCell ref="T54:U54"/>
    <mergeCell ref="K54:L54"/>
    <mergeCell ref="T41:U41"/>
    <mergeCell ref="T42:U42"/>
    <mergeCell ref="T43:U43"/>
    <mergeCell ref="T44:U44"/>
    <mergeCell ref="K49:L49"/>
    <mergeCell ref="K52:L52"/>
    <mergeCell ref="K53:L53"/>
    <mergeCell ref="K43:L43"/>
    <mergeCell ref="K51:L51"/>
    <mergeCell ref="T46:U46"/>
    <mergeCell ref="T45:U45"/>
    <mergeCell ref="T47:U47"/>
    <mergeCell ref="B52:C52"/>
    <mergeCell ref="B53:C53"/>
    <mergeCell ref="B54:C54"/>
    <mergeCell ref="K40:L40"/>
    <mergeCell ref="B51:C51"/>
    <mergeCell ref="K45:L45"/>
    <mergeCell ref="K47:L47"/>
    <mergeCell ref="K46:L46"/>
    <mergeCell ref="B42:C42"/>
    <mergeCell ref="B40:C40"/>
    <mergeCell ref="B43:C43"/>
    <mergeCell ref="B41:C41"/>
    <mergeCell ref="K50:L50"/>
    <mergeCell ref="B49:C49"/>
    <mergeCell ref="K48:L48"/>
    <mergeCell ref="B47:C47"/>
    <mergeCell ref="BB30:BC30"/>
    <mergeCell ref="AS30:AT30"/>
    <mergeCell ref="X37:AA37"/>
    <mergeCell ref="C30:I30"/>
    <mergeCell ref="L30:R30"/>
    <mergeCell ref="AK38:AL38"/>
    <mergeCell ref="AI38:AJ38"/>
    <mergeCell ref="T40:U40"/>
    <mergeCell ref="T48:U48"/>
    <mergeCell ref="AS21:AT21"/>
    <mergeCell ref="AJ30:AK30"/>
    <mergeCell ref="U30:AA30"/>
    <mergeCell ref="X28:AA28"/>
    <mergeCell ref="BB21:BC21"/>
    <mergeCell ref="U1:AA1"/>
    <mergeCell ref="AJ3:AK3"/>
    <mergeCell ref="AJ12:AK12"/>
    <mergeCell ref="AJ21:AK21"/>
    <mergeCell ref="U21:AA21"/>
    <mergeCell ref="X10:AA10"/>
    <mergeCell ref="X19:AA19"/>
    <mergeCell ref="BB3:BC3"/>
    <mergeCell ref="BB12:BC12"/>
    <mergeCell ref="U3:AA3"/>
    <mergeCell ref="U12:AA12"/>
    <mergeCell ref="AS12:AT12"/>
    <mergeCell ref="AS3:AT3"/>
    <mergeCell ref="C3:I3"/>
    <mergeCell ref="L3:R3"/>
    <mergeCell ref="L12:R12"/>
    <mergeCell ref="C21:I21"/>
    <mergeCell ref="L21:R21"/>
    <mergeCell ref="C12:I12"/>
  </mergeCells>
  <phoneticPr fontId="4" type="noConversion"/>
  <conditionalFormatting sqref="C5:G10 I5:I10 H5:H9 L5:P10 R5:R10 Q5:Q9 U5:AA9 U5:X10 C14:I19 L14:R19 U14:AA18 C23:I28 L23:R28 U23:AA27 C32:I37 L32:R37 U32:AA36 U19:X19 U28:X28 U37:X37">
    <cfRule type="expression" dxfId="199" priority="13" stopIfTrue="1">
      <formula>AE5="F"</formula>
    </cfRule>
    <cfRule type="expression" dxfId="198" priority="14" stopIfTrue="1">
      <formula>AE5="E"</formula>
    </cfRule>
    <cfRule type="expression" dxfId="197" priority="15" stopIfTrue="1">
      <formula>AE5="C"</formula>
    </cfRule>
  </conditionalFormatting>
  <conditionalFormatting sqref="H10 Q10">
    <cfRule type="expression" dxfId="196" priority="19" stopIfTrue="1">
      <formula>AH3="F"</formula>
    </cfRule>
    <cfRule type="expression" dxfId="195" priority="20" stopIfTrue="1">
      <formula>AH3="E"</formula>
    </cfRule>
    <cfRule type="expression" dxfId="194" priority="21" stopIfTrue="1">
      <formula>AH3="C"</formula>
    </cfRule>
  </conditionalFormatting>
  <conditionalFormatting sqref="H19 Q19">
    <cfRule type="expression" dxfId="193" priority="10" stopIfTrue="1">
      <formula>AH12="F"</formula>
    </cfRule>
    <cfRule type="expression" dxfId="192" priority="11" stopIfTrue="1">
      <formula>AH12="E"</formula>
    </cfRule>
    <cfRule type="expression" dxfId="191" priority="12" stopIfTrue="1">
      <formula>AH12="C"</formula>
    </cfRule>
  </conditionalFormatting>
  <conditionalFormatting sqref="H28 Q28">
    <cfRule type="expression" dxfId="190" priority="7" stopIfTrue="1">
      <formula>AH21="F"</formula>
    </cfRule>
    <cfRule type="expression" dxfId="189" priority="8" stopIfTrue="1">
      <formula>AH21="E"</formula>
    </cfRule>
    <cfRule type="expression" dxfId="188" priority="9" stopIfTrue="1">
      <formula>AH21="C"</formula>
    </cfRule>
  </conditionalFormatting>
  <conditionalFormatting sqref="H37">
    <cfRule type="expression" dxfId="187" priority="4" stopIfTrue="1">
      <formula>AH30="F"</formula>
    </cfRule>
    <cfRule type="expression" dxfId="186" priority="5" stopIfTrue="1">
      <formula>AH30="E"</formula>
    </cfRule>
    <cfRule type="expression" dxfId="185" priority="6" stopIfTrue="1">
      <formula>AH30="C"</formula>
    </cfRule>
  </conditionalFormatting>
  <conditionalFormatting sqref="Q37">
    <cfRule type="expression" dxfId="184" priority="1" stopIfTrue="1">
      <formula>AQ30="F"</formula>
    </cfRule>
    <cfRule type="expression" dxfId="183" priority="2" stopIfTrue="1">
      <formula>AQ30="E"</formula>
    </cfRule>
    <cfRule type="expression" dxfId="182" priority="3" stopIfTrue="1">
      <formula>AQ30="C"</formula>
    </cfRule>
  </conditionalFormatting>
  <printOptions horizontalCentered="1"/>
  <pageMargins left="0.19685039370078741" right="0.19685039370078741" top="0.19685039370078741" bottom="0.19685039370078741" header="0.11811023622047245" footer="0.11811023622047245"/>
  <pageSetup paperSize="9" scale="9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YearSelect2">
              <controlPr defaultSize="0" print="0" autoPict="0">
                <anchor moveWithCells="1">
                  <from>
                    <xdr:col>18</xdr:col>
                    <xdr:colOff>85725</xdr:colOff>
                    <xdr:row>0</xdr:row>
                    <xdr:rowOff>76200</xdr:rowOff>
                  </from>
                  <to>
                    <xdr:col>19</xdr:col>
                    <xdr:colOff>152400</xdr:colOff>
                    <xdr:row>0</xdr:row>
                    <xdr:rowOff>495300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Left">
    <pageSetUpPr fitToPage="1"/>
  </sheetPr>
  <dimension ref="C1:AB50"/>
  <sheetViews>
    <sheetView showGridLines="0" showRowColHeaders="0" topLeftCell="C1" zoomScale="75" zoomScaleNormal="75" zoomScaleSheetLayoutView="73" workbookViewId="0"/>
  </sheetViews>
  <sheetFormatPr defaultColWidth="0" defaultRowHeight="12.75" customHeight="1" zeroHeight="1"/>
  <cols>
    <col min="1" max="2" width="9.140625" style="5" hidden="1" customWidth="1"/>
    <col min="3" max="3" width="9.85546875" style="5" customWidth="1"/>
    <col min="4" max="4" width="38.28515625" style="5" customWidth="1"/>
    <col min="5" max="5" width="24" style="5" customWidth="1"/>
    <col min="6" max="6" width="4.5703125" style="5" customWidth="1"/>
    <col min="7" max="7" width="24" style="5" customWidth="1"/>
    <col min="8" max="8" width="4.5703125" style="5" customWidth="1"/>
    <col min="9" max="9" width="24" style="5" customWidth="1"/>
    <col min="10" max="10" width="4.5703125" style="5" customWidth="1"/>
    <col min="11" max="11" width="10.7109375" style="5" customWidth="1"/>
    <col min="12" max="12" width="1.85546875" style="5" hidden="1" customWidth="1"/>
    <col min="13" max="15" width="4.28515625" style="5" hidden="1" customWidth="1"/>
    <col min="16" max="16" width="3.7109375" style="5" hidden="1" customWidth="1"/>
    <col min="17" max="17" width="3.5703125" style="5" hidden="1" customWidth="1"/>
    <col min="18" max="23" width="3.7109375" style="5" hidden="1" customWidth="1"/>
    <col min="24" max="24" width="16.5703125" style="5" hidden="1" customWidth="1"/>
    <col min="25" max="25" width="3.7109375" style="5" hidden="1" customWidth="1"/>
    <col min="26" max="27" width="9.140625" style="5" hidden="1" customWidth="1"/>
    <col min="28" max="28" width="12.5703125" style="5" hidden="1" customWidth="1"/>
    <col min="29" max="16384" width="9.140625" style="5" hidden="1"/>
  </cols>
  <sheetData>
    <row r="1" spans="3:28" ht="18" customHeight="1">
      <c r="C1" s="668" t="str">
        <f ca="1">VLOOKUP(X3,$W$38:$X$49,2,FALSE)</f>
        <v>JANEIRO</v>
      </c>
      <c r="D1" s="164" t="str">
        <f ca="1">'GPlan-Translations'!C237</f>
        <v>PRIORIDADES</v>
      </c>
      <c r="E1" s="453" t="str">
        <f ca="1">UPPER('GPlan-Translations'!C187)</f>
        <v>SEGUNDA</v>
      </c>
      <c r="F1" s="454"/>
      <c r="G1" s="456" t="str">
        <f ca="1">UPPER('GPlan-Translations'!C188)</f>
        <v>TERÇA</v>
      </c>
      <c r="H1" s="457"/>
      <c r="I1" s="456" t="str">
        <f ca="1">UPPER('GPlan-Translations'!C189)</f>
        <v>QUARTA</v>
      </c>
      <c r="J1" s="457"/>
      <c r="K1" s="463"/>
      <c r="L1" s="161"/>
      <c r="M1" s="162"/>
      <c r="N1" s="162"/>
      <c r="O1" s="163"/>
      <c r="P1" s="163"/>
      <c r="Q1" s="163"/>
      <c r="R1" s="163"/>
      <c r="S1" s="163"/>
      <c r="T1" s="163"/>
      <c r="U1" s="163"/>
      <c r="V1" s="163"/>
      <c r="W1" s="163"/>
      <c r="X1" s="163"/>
      <c r="Y1" s="163"/>
    </row>
    <row r="2" spans="3:28" ht="24" customHeight="1">
      <c r="C2" s="668"/>
      <c r="D2" s="451"/>
      <c r="E2" s="670" t="str">
        <f>EventsSerie1(F9)</f>
        <v/>
      </c>
      <c r="F2" s="671"/>
      <c r="G2" s="670" t="str">
        <f>EventsSerie1(H9)</f>
        <v/>
      </c>
      <c r="H2" s="671"/>
      <c r="I2" s="670" t="str">
        <f>EventsSerie1(J9)</f>
        <v/>
      </c>
      <c r="J2" s="671"/>
      <c r="K2" s="465"/>
      <c r="L2" s="160"/>
      <c r="O2" s="28"/>
      <c r="W2" s="43" t="s">
        <v>581</v>
      </c>
      <c r="X2" s="44">
        <f>IF(AB3=13,AB2+1,AB2)</f>
        <v>2017</v>
      </c>
      <c r="AA2" s="323" t="s">
        <v>4208</v>
      </c>
      <c r="AB2" s="468">
        <f>Calendar!U1</f>
        <v>2017</v>
      </c>
    </row>
    <row r="3" spans="3:28" ht="24" customHeight="1">
      <c r="C3" s="668"/>
      <c r="D3" s="446"/>
      <c r="E3" s="672"/>
      <c r="F3" s="673"/>
      <c r="G3" s="672"/>
      <c r="H3" s="673"/>
      <c r="I3" s="672"/>
      <c r="J3" s="673"/>
      <c r="K3" s="224"/>
      <c r="L3" s="160"/>
      <c r="M3" s="28"/>
      <c r="N3" s="28"/>
      <c r="U3" s="45"/>
      <c r="V3" s="225"/>
      <c r="W3" s="43" t="s">
        <v>582</v>
      </c>
      <c r="X3" s="44">
        <f>IF(AB3=13,1,AB3)</f>
        <v>1</v>
      </c>
      <c r="AA3" s="475" t="s">
        <v>997</v>
      </c>
      <c r="AB3" s="476">
        <v>1</v>
      </c>
    </row>
    <row r="4" spans="3:28" ht="24" customHeight="1">
      <c r="C4" s="668"/>
      <c r="D4" s="452"/>
      <c r="E4" s="672"/>
      <c r="F4" s="673"/>
      <c r="G4" s="672"/>
      <c r="H4" s="673"/>
      <c r="I4" s="672"/>
      <c r="J4" s="673"/>
      <c r="K4" s="448"/>
      <c r="L4" s="160"/>
      <c r="M4" s="28"/>
      <c r="N4" s="28"/>
      <c r="O4" s="28"/>
      <c r="W4" s="43" t="s">
        <v>583</v>
      </c>
      <c r="X4" s="44">
        <f>IF(X3=2,IF(ISERR(DATEVALUE(CONCATENATE("29","/",X3,"/",X2))),28,29),IF(ISERR(DATEVALUE(CONCATENATE("31","/",X3,"/",X2))),30,31))</f>
        <v>31</v>
      </c>
      <c r="AA4" s="473"/>
      <c r="AB4" s="474"/>
    </row>
    <row r="5" spans="3:28" ht="24" customHeight="1">
      <c r="C5" s="668"/>
      <c r="D5" s="452"/>
      <c r="E5" s="672"/>
      <c r="F5" s="673"/>
      <c r="G5" s="672"/>
      <c r="H5" s="673"/>
      <c r="I5" s="672"/>
      <c r="J5" s="673"/>
      <c r="K5" s="448"/>
      <c r="L5" s="160"/>
      <c r="M5" s="28"/>
      <c r="N5" s="28"/>
      <c r="O5" s="28"/>
      <c r="W5" s="46" t="s">
        <v>584</v>
      </c>
      <c r="X5" s="47">
        <f>DATE(X2,X3,1)</f>
        <v>42736</v>
      </c>
      <c r="AA5" s="346" t="s">
        <v>814</v>
      </c>
      <c r="AB5" s="470">
        <f>DATE(X2,X3,1)</f>
        <v>42736</v>
      </c>
    </row>
    <row r="6" spans="3:28" ht="24" customHeight="1">
      <c r="C6" s="668"/>
      <c r="D6" s="452"/>
      <c r="E6" s="672"/>
      <c r="F6" s="673"/>
      <c r="G6" s="672"/>
      <c r="H6" s="673"/>
      <c r="I6" s="672"/>
      <c r="J6" s="673"/>
      <c r="K6" s="448"/>
      <c r="L6" s="160"/>
      <c r="M6" s="28"/>
      <c r="N6" s="28"/>
      <c r="O6" s="28"/>
      <c r="W6" s="43" t="s">
        <v>585</v>
      </c>
      <c r="X6" s="44">
        <f>WEEKDAY(X5,2)</f>
        <v>7</v>
      </c>
      <c r="AA6" s="361" t="s">
        <v>4209</v>
      </c>
      <c r="AB6" s="472" t="str">
        <f ca="1">VLOOKUP(X3,AA9:AB20,2,FALSE)</f>
        <v>JANEIRO</v>
      </c>
    </row>
    <row r="7" spans="3:28" ht="24" customHeight="1">
      <c r="C7" s="668"/>
      <c r="D7" s="452"/>
      <c r="E7" s="672"/>
      <c r="F7" s="673"/>
      <c r="G7" s="672"/>
      <c r="H7" s="673"/>
      <c r="I7" s="672"/>
      <c r="J7" s="673"/>
      <c r="K7" s="448"/>
      <c r="L7" s="160"/>
      <c r="M7" s="28"/>
      <c r="N7" s="28"/>
      <c r="O7" s="28"/>
      <c r="AA7" s="345" t="s">
        <v>4109</v>
      </c>
      <c r="AB7" s="469">
        <f>WEEKDAY(AB5,2)</f>
        <v>7</v>
      </c>
    </row>
    <row r="8" spans="3:28" ht="24" customHeight="1">
      <c r="C8" s="668"/>
      <c r="D8" s="452"/>
      <c r="E8" s="672"/>
      <c r="F8" s="673"/>
      <c r="G8" s="672"/>
      <c r="H8" s="673"/>
      <c r="I8" s="672"/>
      <c r="J8" s="673"/>
      <c r="K8" s="448"/>
      <c r="L8" s="160"/>
      <c r="M8" s="28"/>
      <c r="N8" s="28"/>
      <c r="O8" s="28"/>
      <c r="Q8" s="264"/>
      <c r="X8" s="462"/>
      <c r="AA8" s="362" t="s">
        <v>4110</v>
      </c>
      <c r="AB8" s="471">
        <v>2</v>
      </c>
    </row>
    <row r="9" spans="3:28" ht="24" customHeight="1">
      <c r="C9" s="668"/>
      <c r="D9" s="452"/>
      <c r="E9" s="447" t="str">
        <f>EventName(F9,8)</f>
        <v/>
      </c>
      <c r="F9" s="460" t="str">
        <f>P13</f>
        <v xml:space="preserve"> </v>
      </c>
      <c r="G9" s="447" t="str">
        <f>EventName(H9,8)</f>
        <v/>
      </c>
      <c r="H9" s="460" t="str">
        <f>Q13</f>
        <v xml:space="preserve"> </v>
      </c>
      <c r="I9" s="447" t="str">
        <f>EventName(J9,8)</f>
        <v/>
      </c>
      <c r="J9" s="460" t="str">
        <f>R13</f>
        <v xml:space="preserve"> </v>
      </c>
      <c r="K9" s="448"/>
      <c r="L9" s="160"/>
      <c r="M9" s="28"/>
      <c r="N9" s="28"/>
      <c r="O9" s="28"/>
      <c r="AA9" s="348">
        <v>1</v>
      </c>
      <c r="AB9" s="244" t="str">
        <f ca="1">UPPER('GPlan-Translations'!C222)</f>
        <v>JANEIRO</v>
      </c>
    </row>
    <row r="10" spans="3:28" ht="24" customHeight="1">
      <c r="C10" s="668"/>
      <c r="D10" s="451"/>
      <c r="E10" s="670" t="str">
        <f>EventsSerie1(F17)</f>
        <v/>
      </c>
      <c r="F10" s="671"/>
      <c r="G10" s="670" t="str">
        <f>EventsSerie1(H17)</f>
        <v/>
      </c>
      <c r="H10" s="671"/>
      <c r="I10" s="670" t="str">
        <f>EventsSerie1(J17)</f>
        <v/>
      </c>
      <c r="J10" s="671"/>
      <c r="K10" s="465"/>
      <c r="L10" s="160"/>
      <c r="M10" s="28"/>
      <c r="N10" s="28"/>
      <c r="O10" s="28"/>
      <c r="AA10" s="348">
        <v>2</v>
      </c>
      <c r="AB10" s="244" t="str">
        <f ca="1">UPPER('GPlan-Translations'!C223)</f>
        <v>FEVEREIRO</v>
      </c>
    </row>
    <row r="11" spans="3:28" ht="24" customHeight="1">
      <c r="C11" s="668"/>
      <c r="D11" s="446"/>
      <c r="E11" s="672"/>
      <c r="F11" s="673"/>
      <c r="G11" s="672"/>
      <c r="H11" s="673"/>
      <c r="I11" s="672"/>
      <c r="J11" s="673"/>
      <c r="K11" s="224"/>
      <c r="L11" s="160"/>
      <c r="M11" s="28"/>
      <c r="N11" s="28"/>
      <c r="O11" s="28"/>
      <c r="P11" s="251">
        <f>Q11-1</f>
        <v>42730</v>
      </c>
      <c r="Q11" s="251">
        <f>R11-1</f>
        <v>42731</v>
      </c>
      <c r="R11" s="251">
        <f>S11-1</f>
        <v>42732</v>
      </c>
      <c r="S11" s="251">
        <f>T11-1</f>
        <v>42733</v>
      </c>
      <c r="T11" s="251">
        <f>U11-1</f>
        <v>42734</v>
      </c>
      <c r="U11" s="251">
        <f>V13-1</f>
        <v>42735</v>
      </c>
      <c r="AA11" s="348">
        <v>3</v>
      </c>
      <c r="AB11" s="244" t="str">
        <f ca="1">UPPER('GPlan-Translations'!C224)</f>
        <v>MARÇO</v>
      </c>
    </row>
    <row r="12" spans="3:28" ht="24" customHeight="1">
      <c r="C12" s="669">
        <f>X2</f>
        <v>2017</v>
      </c>
      <c r="D12" s="452"/>
      <c r="E12" s="672"/>
      <c r="F12" s="673"/>
      <c r="G12" s="672"/>
      <c r="H12" s="673"/>
      <c r="I12" s="672"/>
      <c r="J12" s="673"/>
      <c r="K12" s="448"/>
      <c r="L12" s="160"/>
      <c r="M12" s="28"/>
      <c r="N12" s="28"/>
      <c r="O12" s="28"/>
      <c r="P12" s="252" t="s">
        <v>575</v>
      </c>
      <c r="Q12" s="49" t="s">
        <v>576</v>
      </c>
      <c r="R12" s="49" t="s">
        <v>577</v>
      </c>
      <c r="S12" s="49" t="s">
        <v>577</v>
      </c>
      <c r="T12" s="49" t="s">
        <v>575</v>
      </c>
      <c r="U12" s="48" t="s">
        <v>575</v>
      </c>
      <c r="V12" s="50" t="s">
        <v>574</v>
      </c>
      <c r="AA12" s="348">
        <v>4</v>
      </c>
      <c r="AB12" s="244" t="str">
        <f ca="1">UPPER('GPlan-Translations'!C225)</f>
        <v>ABRIL</v>
      </c>
    </row>
    <row r="13" spans="3:28" ht="24" customHeight="1">
      <c r="C13" s="669"/>
      <c r="D13" s="452"/>
      <c r="E13" s="672"/>
      <c r="F13" s="673"/>
      <c r="G13" s="672"/>
      <c r="H13" s="673"/>
      <c r="I13" s="672"/>
      <c r="J13" s="673"/>
      <c r="K13" s="448"/>
      <c r="L13" s="160"/>
      <c r="M13" s="28"/>
      <c r="N13" s="28"/>
      <c r="O13" s="28"/>
      <c r="P13" s="253" t="str">
        <f>IF(X6=1,X5," ")</f>
        <v xml:space="preserve"> </v>
      </c>
      <c r="Q13" s="52" t="str">
        <f>IF(X6=2,X5,IF(P13=" "," ",P13+1))</f>
        <v xml:space="preserve"> </v>
      </c>
      <c r="R13" s="52" t="str">
        <f>IF(X6=3,X5,IF(Q13=" "," ",Q13+1))</f>
        <v xml:space="preserve"> </v>
      </c>
      <c r="S13" s="52" t="str">
        <f>IF(X6=4,X5,IF(R13=" "," ",R13+1))</f>
        <v xml:space="preserve"> </v>
      </c>
      <c r="T13" s="52" t="str">
        <f>IF(X6=5,X5,IF(S13=" "," ",S13+1))</f>
        <v xml:space="preserve"> </v>
      </c>
      <c r="U13" s="51" t="str">
        <f>IF(X6=6,X5,IF(T13=" "," ",T13+1))</f>
        <v xml:space="preserve"> </v>
      </c>
      <c r="V13" s="53">
        <f>IF(X6=7,X5,IF(U13=" "," ",U13+1))</f>
        <v>42736</v>
      </c>
      <c r="AA13" s="348">
        <v>5</v>
      </c>
      <c r="AB13" s="244" t="str">
        <f ca="1">UPPER('GPlan-Translations'!C226)</f>
        <v>MAIO</v>
      </c>
    </row>
    <row r="14" spans="3:28" ht="24" customHeight="1">
      <c r="C14" s="669"/>
      <c r="D14" s="452"/>
      <c r="E14" s="672"/>
      <c r="F14" s="673"/>
      <c r="G14" s="672"/>
      <c r="H14" s="673"/>
      <c r="I14" s="672"/>
      <c r="J14" s="673"/>
      <c r="K14" s="448"/>
      <c r="L14" s="160"/>
      <c r="M14" s="28"/>
      <c r="N14" s="28"/>
      <c r="O14" s="28"/>
      <c r="P14" s="254">
        <f>V13+1</f>
        <v>42737</v>
      </c>
      <c r="Q14" s="55">
        <f t="shared" ref="Q14:V16" si="0">P14+1</f>
        <v>42738</v>
      </c>
      <c r="R14" s="55">
        <f t="shared" si="0"/>
        <v>42739</v>
      </c>
      <c r="S14" s="55">
        <f t="shared" si="0"/>
        <v>42740</v>
      </c>
      <c r="T14" s="55">
        <f t="shared" si="0"/>
        <v>42741</v>
      </c>
      <c r="U14" s="54">
        <f t="shared" si="0"/>
        <v>42742</v>
      </c>
      <c r="V14" s="56">
        <f t="shared" si="0"/>
        <v>42743</v>
      </c>
      <c r="AA14" s="348">
        <v>6</v>
      </c>
      <c r="AB14" s="244" t="str">
        <f ca="1">UPPER('GPlan-Translations'!C227)</f>
        <v>JUNHO</v>
      </c>
    </row>
    <row r="15" spans="3:28" ht="24" customHeight="1">
      <c r="C15" s="669"/>
      <c r="D15" s="452"/>
      <c r="E15" s="672"/>
      <c r="F15" s="673"/>
      <c r="G15" s="672"/>
      <c r="H15" s="673"/>
      <c r="I15" s="672"/>
      <c r="J15" s="673"/>
      <c r="K15" s="448"/>
      <c r="L15" s="160"/>
      <c r="M15" s="28"/>
      <c r="N15" s="28"/>
      <c r="O15" s="28"/>
      <c r="P15" s="254">
        <f>V14+1</f>
        <v>42744</v>
      </c>
      <c r="Q15" s="55">
        <f t="shared" si="0"/>
        <v>42745</v>
      </c>
      <c r="R15" s="55">
        <f t="shared" si="0"/>
        <v>42746</v>
      </c>
      <c r="S15" s="55">
        <f t="shared" si="0"/>
        <v>42747</v>
      </c>
      <c r="T15" s="55">
        <f t="shared" si="0"/>
        <v>42748</v>
      </c>
      <c r="U15" s="54">
        <f t="shared" si="0"/>
        <v>42749</v>
      </c>
      <c r="V15" s="56">
        <f t="shared" si="0"/>
        <v>42750</v>
      </c>
      <c r="AA15" s="348">
        <v>7</v>
      </c>
      <c r="AB15" s="244" t="str">
        <f ca="1">UPPER('GPlan-Translations'!C228)</f>
        <v>JULHO</v>
      </c>
    </row>
    <row r="16" spans="3:28" ht="24" customHeight="1">
      <c r="C16" s="669"/>
      <c r="D16" s="452"/>
      <c r="E16" s="672"/>
      <c r="F16" s="673"/>
      <c r="G16" s="672"/>
      <c r="H16" s="673"/>
      <c r="I16" s="672"/>
      <c r="J16" s="673"/>
      <c r="K16" s="448"/>
      <c r="L16" s="160"/>
      <c r="M16" s="28"/>
      <c r="N16" s="28"/>
      <c r="O16" s="28"/>
      <c r="P16" s="254">
        <f>V15+1</f>
        <v>42751</v>
      </c>
      <c r="Q16" s="55">
        <f t="shared" si="0"/>
        <v>42752</v>
      </c>
      <c r="R16" s="55">
        <f t="shared" si="0"/>
        <v>42753</v>
      </c>
      <c r="S16" s="55">
        <f t="shared" si="0"/>
        <v>42754</v>
      </c>
      <c r="T16" s="55">
        <f t="shared" si="0"/>
        <v>42755</v>
      </c>
      <c r="U16" s="54">
        <f t="shared" si="0"/>
        <v>42756</v>
      </c>
      <c r="V16" s="56">
        <f t="shared" si="0"/>
        <v>42757</v>
      </c>
      <c r="AA16" s="348">
        <v>8</v>
      </c>
      <c r="AB16" s="244" t="str">
        <f ca="1">UPPER('GPlan-Translations'!C229)</f>
        <v>AGOSTO</v>
      </c>
    </row>
    <row r="17" spans="3:28" ht="24" customHeight="1">
      <c r="C17" s="669"/>
      <c r="D17" s="452"/>
      <c r="E17" s="447" t="str">
        <f>EventName(F17,8)</f>
        <v/>
      </c>
      <c r="F17" s="461">
        <f>P14</f>
        <v>42737</v>
      </c>
      <c r="G17" s="459" t="str">
        <f>EventName(H17,8)</f>
        <v/>
      </c>
      <c r="H17" s="461">
        <f>Q14</f>
        <v>42738</v>
      </c>
      <c r="I17" s="447" t="str">
        <f>EventName(J17,8)</f>
        <v/>
      </c>
      <c r="J17" s="461">
        <f>R14</f>
        <v>42739</v>
      </c>
      <c r="K17" s="448"/>
      <c r="L17" s="160"/>
      <c r="M17" s="28"/>
      <c r="N17" s="28"/>
      <c r="O17" s="28"/>
      <c r="P17" s="254">
        <f>IF(MONTH(V16+1)&lt;&gt;$X$3," ",V16+1)</f>
        <v>42758</v>
      </c>
      <c r="Q17" s="55">
        <f t="shared" ref="Q17:V18" si="1">IF(P17=" "," ",P17+1)</f>
        <v>42759</v>
      </c>
      <c r="R17" s="55">
        <f t="shared" si="1"/>
        <v>42760</v>
      </c>
      <c r="S17" s="55">
        <f t="shared" si="1"/>
        <v>42761</v>
      </c>
      <c r="T17" s="55">
        <f t="shared" si="1"/>
        <v>42762</v>
      </c>
      <c r="U17" s="54">
        <f t="shared" si="1"/>
        <v>42763</v>
      </c>
      <c r="V17" s="56">
        <f t="shared" si="1"/>
        <v>42764</v>
      </c>
      <c r="AA17" s="348">
        <v>9</v>
      </c>
      <c r="AB17" s="244" t="str">
        <f ca="1">UPPER('GPlan-Translations'!C230)</f>
        <v>SETEMBRO</v>
      </c>
    </row>
    <row r="18" spans="3:28" ht="24" customHeight="1">
      <c r="C18" s="455"/>
      <c r="D18" s="451"/>
      <c r="E18" s="670" t="str">
        <f>EventsSerie1(F25)</f>
        <v xml:space="preserve">Quebra de jejum 05:09 - 09:21 (hora local)
Sri Jagadisa Pandita - Aparecimento
</v>
      </c>
      <c r="F18" s="671"/>
      <c r="G18" s="670" t="str">
        <f>EventsSerie1(H25)</f>
        <v/>
      </c>
      <c r="H18" s="671"/>
      <c r="I18" s="670" t="str">
        <f>EventsSerie1(J25)</f>
        <v/>
      </c>
      <c r="J18" s="671"/>
      <c r="K18" s="465"/>
      <c r="L18" s="160"/>
      <c r="M18" s="28"/>
      <c r="N18" s="28"/>
      <c r="O18" s="28"/>
      <c r="P18" s="255">
        <f>IF(V17=" "," ",IF(MONTH(V17+1)&lt;&gt;$X$3," ",V17+1))</f>
        <v>42765</v>
      </c>
      <c r="Q18" s="58">
        <f t="shared" si="1"/>
        <v>42766</v>
      </c>
      <c r="R18" s="58">
        <f t="shared" si="1"/>
        <v>42767</v>
      </c>
      <c r="S18" s="58">
        <f t="shared" si="1"/>
        <v>42768</v>
      </c>
      <c r="T18" s="58">
        <f t="shared" si="1"/>
        <v>42769</v>
      </c>
      <c r="U18" s="57">
        <f t="shared" si="1"/>
        <v>42770</v>
      </c>
      <c r="V18" s="59">
        <f t="shared" si="1"/>
        <v>42771</v>
      </c>
      <c r="AA18" s="347">
        <v>10</v>
      </c>
      <c r="AB18" s="244" t="str">
        <f ca="1">UPPER('GPlan-Translations'!C231)</f>
        <v>OUTUBRO</v>
      </c>
    </row>
    <row r="19" spans="3:28" ht="24" customHeight="1">
      <c r="C19" s="455"/>
      <c r="D19" s="446"/>
      <c r="E19" s="672"/>
      <c r="F19" s="673"/>
      <c r="G19" s="672"/>
      <c r="H19" s="673"/>
      <c r="I19" s="672"/>
      <c r="J19" s="673"/>
      <c r="K19" s="224"/>
      <c r="L19" s="160"/>
      <c r="M19" s="28"/>
      <c r="N19" s="28"/>
      <c r="O19" s="28"/>
      <c r="AA19" s="243">
        <v>11</v>
      </c>
      <c r="AB19" s="244" t="str">
        <f ca="1">UPPER('GPlan-Translations'!C232)</f>
        <v>NOVEMBRO</v>
      </c>
    </row>
    <row r="20" spans="3:28" ht="24" customHeight="1">
      <c r="C20" s="455"/>
      <c r="D20" s="452"/>
      <c r="E20" s="672"/>
      <c r="F20" s="673"/>
      <c r="G20" s="672"/>
      <c r="H20" s="673"/>
      <c r="I20" s="672"/>
      <c r="J20" s="673"/>
      <c r="K20" s="448"/>
      <c r="L20" s="160"/>
      <c r="M20" s="28"/>
      <c r="N20" s="28"/>
      <c r="O20" s="28"/>
      <c r="AA20" s="245">
        <v>12</v>
      </c>
      <c r="AB20" s="246" t="str">
        <f ca="1">UPPER('GPlan-Translations'!C233)</f>
        <v>DEZEMBRO</v>
      </c>
    </row>
    <row r="21" spans="3:28" ht="24" customHeight="1">
      <c r="C21" s="455"/>
      <c r="D21" s="452"/>
      <c r="E21" s="672"/>
      <c r="F21" s="673"/>
      <c r="G21" s="672"/>
      <c r="H21" s="673"/>
      <c r="I21" s="672"/>
      <c r="J21" s="673"/>
      <c r="K21" s="448"/>
      <c r="L21" s="160"/>
      <c r="M21" s="28"/>
      <c r="N21" s="28"/>
      <c r="O21" s="28"/>
      <c r="P21" s="252" t="s">
        <v>575</v>
      </c>
      <c r="Q21" s="49" t="s">
        <v>576</v>
      </c>
      <c r="R21" s="49" t="s">
        <v>577</v>
      </c>
      <c r="S21" s="514"/>
      <c r="T21" s="514"/>
      <c r="U21" s="515"/>
      <c r="V21" s="516"/>
    </row>
    <row r="22" spans="3:28" ht="24" customHeight="1">
      <c r="C22" s="455"/>
      <c r="D22" s="452"/>
      <c r="E22" s="672"/>
      <c r="F22" s="673"/>
      <c r="G22" s="672"/>
      <c r="H22" s="673"/>
      <c r="I22" s="672"/>
      <c r="J22" s="673"/>
      <c r="K22" s="448"/>
      <c r="L22" s="160"/>
      <c r="M22" s="28"/>
      <c r="N22" s="28"/>
      <c r="O22" s="28"/>
      <c r="P22" s="256" t="str">
        <f>CelebrationType(P13)</f>
        <v/>
      </c>
      <c r="Q22" s="36" t="str">
        <f t="shared" ref="Q22:R22" si="2">CelebrationType(Q13)</f>
        <v/>
      </c>
      <c r="R22" s="36" t="str">
        <f t="shared" si="2"/>
        <v/>
      </c>
      <c r="S22" s="517"/>
      <c r="T22" s="517"/>
      <c r="U22" s="518"/>
      <c r="V22" s="519"/>
    </row>
    <row r="23" spans="3:28" ht="24" customHeight="1">
      <c r="C23" s="455"/>
      <c r="D23" s="452"/>
      <c r="E23" s="672"/>
      <c r="F23" s="673"/>
      <c r="G23" s="672"/>
      <c r="H23" s="673"/>
      <c r="I23" s="672"/>
      <c r="J23" s="673"/>
      <c r="K23" s="448"/>
      <c r="L23" s="160"/>
      <c r="M23" s="28"/>
      <c r="N23" s="28"/>
      <c r="O23" s="28"/>
      <c r="P23" s="256">
        <f t="shared" ref="P23:R23" si="3">CelebrationType(P14)</f>
        <v>0</v>
      </c>
      <c r="Q23" s="36">
        <f t="shared" si="3"/>
        <v>0</v>
      </c>
      <c r="R23" s="36">
        <f t="shared" si="3"/>
        <v>0</v>
      </c>
      <c r="S23" s="517"/>
      <c r="T23" s="517"/>
      <c r="U23" s="518"/>
      <c r="V23" s="519"/>
    </row>
    <row r="24" spans="3:28" ht="24" customHeight="1">
      <c r="C24" s="455"/>
      <c r="D24" s="452"/>
      <c r="E24" s="672"/>
      <c r="F24" s="673"/>
      <c r="G24" s="672"/>
      <c r="H24" s="673"/>
      <c r="I24" s="672"/>
      <c r="J24" s="673"/>
      <c r="K24" s="448"/>
      <c r="L24" s="160"/>
      <c r="M24" s="28"/>
      <c r="N24" s="28"/>
      <c r="O24" s="28"/>
      <c r="P24" s="256">
        <f t="shared" ref="P24:R24" si="4">CelebrationType(P15)</f>
        <v>0</v>
      </c>
      <c r="Q24" s="36">
        <f t="shared" si="4"/>
        <v>0</v>
      </c>
      <c r="R24" s="36">
        <f t="shared" si="4"/>
        <v>0</v>
      </c>
      <c r="S24" s="517"/>
      <c r="T24" s="517"/>
      <c r="U24" s="518"/>
      <c r="V24" s="519"/>
    </row>
    <row r="25" spans="3:28" ht="24" customHeight="1">
      <c r="C25" s="455"/>
      <c r="D25" s="452"/>
      <c r="E25" s="447" t="str">
        <f>EventName(F25,8)</f>
        <v/>
      </c>
      <c r="F25" s="460">
        <f>P15</f>
        <v>42744</v>
      </c>
      <c r="G25" s="447" t="str">
        <f>EventName(H25,8)</f>
        <v/>
      </c>
      <c r="H25" s="460">
        <f>Q15</f>
        <v>42745</v>
      </c>
      <c r="I25" s="447" t="str">
        <f>EventName(J25,8)</f>
        <v/>
      </c>
      <c r="J25" s="460">
        <f>R15</f>
        <v>42746</v>
      </c>
      <c r="K25" s="448"/>
      <c r="L25" s="160"/>
      <c r="M25" s="28"/>
      <c r="N25" s="28"/>
      <c r="O25" s="28"/>
      <c r="P25" s="256">
        <f t="shared" ref="P25:R25" si="5">CelebrationType(P16)</f>
        <v>0</v>
      </c>
      <c r="Q25" s="36">
        <f t="shared" si="5"/>
        <v>0</v>
      </c>
      <c r="R25" s="36">
        <f t="shared" si="5"/>
        <v>0</v>
      </c>
      <c r="S25" s="517"/>
      <c r="T25" s="517"/>
      <c r="U25" s="518"/>
      <c r="V25" s="519"/>
    </row>
    <row r="26" spans="3:28" ht="24" customHeight="1">
      <c r="C26" s="667" t="str">
        <f ca="1">'GPlan-Translations'!C236</f>
        <v>PLANEJAMENTO MENSAL</v>
      </c>
      <c r="D26" s="451"/>
      <c r="E26" s="670" t="str">
        <f>EventsSerie1(F33)</f>
        <v xml:space="preserve">Sri Ramacandra Kaviraja - Desaparecimento
Srila Gopala Bhatta Gosvami - Aparecimento
</v>
      </c>
      <c r="F26" s="671"/>
      <c r="G26" s="670" t="str">
        <f>EventsSerie1(H33)</f>
        <v xml:space="preserve">Sri Jayadeva Gosvami - Desaparecimento
</v>
      </c>
      <c r="H26" s="671"/>
      <c r="I26" s="670" t="str">
        <f>EventsSerie1(J33)</f>
        <v xml:space="preserve">Sri Locana Dasa Thakura - Desaparecimento
</v>
      </c>
      <c r="J26" s="671"/>
      <c r="K26" s="465"/>
      <c r="L26" s="160"/>
      <c r="M26" s="28"/>
      <c r="N26" s="28"/>
      <c r="O26" s="28"/>
      <c r="P26" s="256" t="str">
        <f t="shared" ref="P26:R26" si="6">CelebrationType(P17)</f>
        <v>E</v>
      </c>
      <c r="Q26" s="36">
        <f t="shared" si="6"/>
        <v>0</v>
      </c>
      <c r="R26" s="36">
        <f t="shared" si="6"/>
        <v>0</v>
      </c>
      <c r="S26" s="517"/>
      <c r="T26" s="517"/>
      <c r="U26" s="518"/>
      <c r="V26" s="519"/>
    </row>
    <row r="27" spans="3:28" ht="24" customHeight="1">
      <c r="C27" s="667"/>
      <c r="D27" s="446"/>
      <c r="E27" s="672"/>
      <c r="F27" s="673"/>
      <c r="G27" s="672"/>
      <c r="H27" s="673"/>
      <c r="I27" s="672"/>
      <c r="J27" s="673"/>
      <c r="K27" s="224"/>
      <c r="L27" s="160"/>
      <c r="M27" s="28"/>
      <c r="N27" s="28"/>
      <c r="O27" s="28"/>
      <c r="P27" s="257">
        <f t="shared" ref="P27:R27" si="7">CelebrationType(P18)</f>
        <v>0</v>
      </c>
      <c r="Q27" s="63">
        <f t="shared" si="7"/>
        <v>0</v>
      </c>
      <c r="R27" s="63">
        <f t="shared" si="7"/>
        <v>0</v>
      </c>
      <c r="S27" s="520"/>
      <c r="T27" s="520"/>
      <c r="U27" s="521"/>
      <c r="V27" s="522"/>
    </row>
    <row r="28" spans="3:28" ht="24" customHeight="1">
      <c r="C28" s="667"/>
      <c r="D28" s="452"/>
      <c r="E28" s="672"/>
      <c r="F28" s="673"/>
      <c r="G28" s="672"/>
      <c r="H28" s="673"/>
      <c r="I28" s="672"/>
      <c r="J28" s="673"/>
      <c r="K28" s="448"/>
      <c r="L28" s="160"/>
      <c r="M28" s="28"/>
      <c r="N28" s="28"/>
      <c r="O28" s="28"/>
    </row>
    <row r="29" spans="3:28" ht="24" customHeight="1">
      <c r="C29" s="667"/>
      <c r="D29" s="452"/>
      <c r="E29" s="672"/>
      <c r="F29" s="673"/>
      <c r="G29" s="672"/>
      <c r="H29" s="673"/>
      <c r="I29" s="672"/>
      <c r="J29" s="673"/>
      <c r="K29" s="448"/>
      <c r="L29" s="160"/>
      <c r="M29" s="28"/>
      <c r="N29" s="28"/>
      <c r="O29" s="28"/>
      <c r="P29" s="5" t="s">
        <v>4108</v>
      </c>
    </row>
    <row r="30" spans="3:28" ht="24" customHeight="1">
      <c r="C30" s="667"/>
      <c r="D30" s="452"/>
      <c r="E30" s="672"/>
      <c r="F30" s="673"/>
      <c r="G30" s="672"/>
      <c r="H30" s="673"/>
      <c r="I30" s="672"/>
      <c r="J30" s="673"/>
      <c r="K30" s="448"/>
      <c r="L30" s="160"/>
      <c r="M30" s="28"/>
      <c r="N30" s="28"/>
      <c r="O30" s="28"/>
    </row>
    <row r="31" spans="3:28" ht="24" customHeight="1">
      <c r="C31" s="667"/>
      <c r="D31" s="452"/>
      <c r="E31" s="672"/>
      <c r="F31" s="673"/>
      <c r="G31" s="672"/>
      <c r="H31" s="673"/>
      <c r="I31" s="672"/>
      <c r="J31" s="673"/>
      <c r="K31" s="448"/>
      <c r="L31" s="160"/>
      <c r="M31" s="28"/>
      <c r="N31" s="28"/>
      <c r="O31" s="28"/>
    </row>
    <row r="32" spans="3:28" ht="24" customHeight="1">
      <c r="C32" s="667"/>
      <c r="D32" s="452"/>
      <c r="E32" s="672"/>
      <c r="F32" s="673"/>
      <c r="G32" s="672"/>
      <c r="H32" s="673"/>
      <c r="I32" s="672"/>
      <c r="J32" s="673"/>
      <c r="K32" s="448"/>
      <c r="L32" s="160"/>
      <c r="M32" s="28"/>
      <c r="N32" s="28"/>
      <c r="O32" s="28"/>
    </row>
    <row r="33" spans="3:24" ht="24" customHeight="1">
      <c r="C33" s="667"/>
      <c r="D33" s="452"/>
      <c r="E33" s="447" t="str">
        <f>EventName(F33,8)</f>
        <v/>
      </c>
      <c r="F33" s="460">
        <f>P16</f>
        <v>42751</v>
      </c>
      <c r="G33" s="447" t="str">
        <f>EventName(H33,8)</f>
        <v/>
      </c>
      <c r="H33" s="460">
        <f>Q16</f>
        <v>42752</v>
      </c>
      <c r="I33" s="447" t="str">
        <f>EventName(J33,8)</f>
        <v/>
      </c>
      <c r="J33" s="460">
        <f>R16</f>
        <v>42753</v>
      </c>
      <c r="K33" s="448"/>
      <c r="L33" s="160"/>
      <c r="M33" s="28"/>
      <c r="N33" s="28"/>
      <c r="O33" s="28"/>
    </row>
    <row r="34" spans="3:24" ht="24" customHeight="1">
      <c r="C34" s="667"/>
      <c r="D34" s="451"/>
      <c r="E34" s="670" t="str">
        <f>EventsSerie1(F41)</f>
        <v xml:space="preserve">(adequado para jejum)
Jejum por Sat-tila Ekadasi
</v>
      </c>
      <c r="F34" s="671"/>
      <c r="G34" s="670" t="str">
        <f>EventsSerie1(H41)</f>
        <v xml:space="preserve">Quebra de jejum 05:16 - 09:26 (hora local)
</v>
      </c>
      <c r="H34" s="671"/>
      <c r="I34" s="670" t="str">
        <f>EventsSerie1(J41)</f>
        <v/>
      </c>
      <c r="J34" s="671"/>
      <c r="K34" s="465"/>
      <c r="L34" s="160"/>
      <c r="M34" s="28"/>
      <c r="N34" s="28"/>
      <c r="O34" s="28"/>
    </row>
    <row r="35" spans="3:24" ht="24" customHeight="1">
      <c r="C35" s="667"/>
      <c r="D35" s="446"/>
      <c r="E35" s="672"/>
      <c r="F35" s="673"/>
      <c r="G35" s="672"/>
      <c r="H35" s="673"/>
      <c r="I35" s="672"/>
      <c r="J35" s="673"/>
      <c r="K35" s="224"/>
      <c r="L35" s="160"/>
      <c r="M35" s="28"/>
      <c r="N35" s="28"/>
      <c r="O35" s="28"/>
    </row>
    <row r="36" spans="3:24" ht="24" customHeight="1">
      <c r="C36" s="667"/>
      <c r="D36" s="452"/>
      <c r="E36" s="672"/>
      <c r="F36" s="673"/>
      <c r="G36" s="672"/>
      <c r="H36" s="673"/>
      <c r="I36" s="672"/>
      <c r="J36" s="673"/>
      <c r="K36" s="448"/>
      <c r="L36" s="160"/>
      <c r="M36" s="28"/>
      <c r="N36" s="28"/>
      <c r="O36" s="28"/>
    </row>
    <row r="37" spans="3:24" ht="24" customHeight="1">
      <c r="C37" s="667"/>
      <c r="D37" s="452"/>
      <c r="E37" s="672"/>
      <c r="F37" s="673"/>
      <c r="G37" s="672"/>
      <c r="H37" s="673"/>
      <c r="I37" s="672"/>
      <c r="J37" s="673"/>
      <c r="K37" s="448"/>
      <c r="L37" s="160"/>
      <c r="M37" s="28"/>
      <c r="N37" s="28"/>
      <c r="O37" s="28"/>
    </row>
    <row r="38" spans="3:24" ht="24" customHeight="1">
      <c r="C38" s="667"/>
      <c r="D38" s="452"/>
      <c r="E38" s="672"/>
      <c r="F38" s="673"/>
      <c r="G38" s="672"/>
      <c r="H38" s="673"/>
      <c r="I38" s="672"/>
      <c r="J38" s="673"/>
      <c r="K38" s="448"/>
      <c r="L38" s="160"/>
      <c r="M38" s="28"/>
      <c r="N38" s="28"/>
      <c r="O38" s="28"/>
      <c r="V38" s="43"/>
      <c r="W38" s="17">
        <v>1</v>
      </c>
      <c r="X38" s="159" t="str">
        <f ca="1">UPPER('GPlan-Translations'!C222)</f>
        <v>JANEIRO</v>
      </c>
    </row>
    <row r="39" spans="3:24" ht="24" customHeight="1">
      <c r="C39" s="667"/>
      <c r="D39" s="452"/>
      <c r="E39" s="672"/>
      <c r="F39" s="673"/>
      <c r="G39" s="672"/>
      <c r="H39" s="673"/>
      <c r="I39" s="672"/>
      <c r="J39" s="673"/>
      <c r="K39" s="448"/>
      <c r="L39" s="160"/>
      <c r="M39" s="28"/>
      <c r="N39" s="28"/>
      <c r="O39" s="28"/>
      <c r="V39" s="43"/>
      <c r="W39" s="17">
        <v>2</v>
      </c>
      <c r="X39" s="159" t="str">
        <f ca="1">UPPER('GPlan-Translations'!C223)</f>
        <v>FEVEREIRO</v>
      </c>
    </row>
    <row r="40" spans="3:24" ht="24" customHeight="1">
      <c r="C40" s="667"/>
      <c r="D40" s="452"/>
      <c r="E40" s="672"/>
      <c r="F40" s="673"/>
      <c r="G40" s="672"/>
      <c r="H40" s="673"/>
      <c r="I40" s="672"/>
      <c r="J40" s="673"/>
      <c r="K40" s="448"/>
      <c r="L40" s="160"/>
      <c r="M40" s="28"/>
      <c r="N40" s="28"/>
      <c r="O40" s="28"/>
      <c r="V40" s="43"/>
      <c r="W40" s="17">
        <v>3</v>
      </c>
      <c r="X40" s="159" t="str">
        <f ca="1">UPPER('GPlan-Translations'!C224)</f>
        <v>MARÇO</v>
      </c>
    </row>
    <row r="41" spans="3:24" ht="24" customHeight="1">
      <c r="C41" s="667"/>
      <c r="D41" s="452"/>
      <c r="E41" s="447" t="str">
        <f>EventName(F41,8)</f>
        <v/>
      </c>
      <c r="F41" s="460">
        <f>P17</f>
        <v>42758</v>
      </c>
      <c r="G41" s="447" t="str">
        <f>EventName(H41,8)</f>
        <v/>
      </c>
      <c r="H41" s="460">
        <f>Q17</f>
        <v>42759</v>
      </c>
      <c r="I41" s="447" t="str">
        <f>EventName(J41,8)</f>
        <v/>
      </c>
      <c r="J41" s="460">
        <f>R17</f>
        <v>42760</v>
      </c>
      <c r="K41" s="448"/>
      <c r="L41" s="160"/>
      <c r="M41" s="28"/>
      <c r="N41" s="28"/>
      <c r="O41" s="28"/>
      <c r="V41" s="43"/>
      <c r="W41" s="17">
        <v>4</v>
      </c>
      <c r="X41" s="159" t="str">
        <f ca="1">UPPER('GPlan-Translations'!C225)</f>
        <v>ABRIL</v>
      </c>
    </row>
    <row r="42" spans="3:24" ht="24" customHeight="1">
      <c r="C42" s="667"/>
      <c r="D42" s="451"/>
      <c r="E42" s="670" t="str">
        <f>EventsSerie1(F49)</f>
        <v/>
      </c>
      <c r="F42" s="671"/>
      <c r="G42" s="670" t="str">
        <f>EventsSerie1(H49)</f>
        <v/>
      </c>
      <c r="H42" s="671"/>
      <c r="I42" s="670" t="str">
        <f>EventsSerie1(J49)</f>
        <v xml:space="preserve">Vasanta Pancami
Srimati Visnupriya Devi - Aparecimento
Sarasvati Puja
Srila Visvanatha Cakravarti Thakura - Desaparecimento
Sri Pundarika Vidyanidhi - Aparecimento
Sri Raghunandana Thakura - Aparecimento
Srila Raghunatha Dasa Gosvami - Aparecimento
</v>
      </c>
      <c r="J42" s="671"/>
      <c r="K42" s="465"/>
      <c r="L42" s="160"/>
      <c r="M42" s="28"/>
      <c r="N42" s="28"/>
      <c r="O42" s="28"/>
      <c r="V42" s="43"/>
      <c r="W42" s="17">
        <v>5</v>
      </c>
      <c r="X42" s="159" t="str">
        <f ca="1">UPPER('GPlan-Translations'!C226)</f>
        <v>MAIO</v>
      </c>
    </row>
    <row r="43" spans="3:24" ht="24" customHeight="1">
      <c r="C43" s="667"/>
      <c r="D43" s="446"/>
      <c r="E43" s="672"/>
      <c r="F43" s="673"/>
      <c r="G43" s="672"/>
      <c r="H43" s="673"/>
      <c r="I43" s="672"/>
      <c r="J43" s="673"/>
      <c r="K43" s="224"/>
      <c r="L43" s="160"/>
      <c r="M43" s="28"/>
      <c r="N43" s="28"/>
      <c r="O43" s="28"/>
      <c r="V43" s="43"/>
      <c r="W43" s="17">
        <v>6</v>
      </c>
      <c r="X43" s="159" t="str">
        <f ca="1">UPPER('GPlan-Translations'!C227)</f>
        <v>JUNHO</v>
      </c>
    </row>
    <row r="44" spans="3:24" ht="24" customHeight="1">
      <c r="C44" s="667"/>
      <c r="D44" s="452"/>
      <c r="E44" s="672"/>
      <c r="F44" s="673"/>
      <c r="G44" s="672"/>
      <c r="H44" s="673"/>
      <c r="I44" s="672"/>
      <c r="J44" s="673"/>
      <c r="K44" s="448"/>
      <c r="L44" s="160"/>
      <c r="M44" s="28"/>
      <c r="N44" s="28"/>
      <c r="V44" s="43"/>
      <c r="W44" s="17">
        <v>7</v>
      </c>
      <c r="X44" s="159" t="str">
        <f ca="1">UPPER('GPlan-Translations'!C228)</f>
        <v>JULHO</v>
      </c>
    </row>
    <row r="45" spans="3:24" ht="24" customHeight="1">
      <c r="C45" s="667"/>
      <c r="D45" s="452"/>
      <c r="E45" s="672"/>
      <c r="F45" s="673"/>
      <c r="G45" s="672"/>
      <c r="H45" s="673"/>
      <c r="I45" s="672"/>
      <c r="J45" s="673"/>
      <c r="K45" s="448"/>
      <c r="L45" s="160"/>
      <c r="M45" s="28"/>
      <c r="N45" s="28"/>
      <c r="V45" s="43"/>
      <c r="W45" s="17">
        <v>8</v>
      </c>
      <c r="X45" s="159" t="str">
        <f ca="1">UPPER('GPlan-Translations'!C229)</f>
        <v>AGOSTO</v>
      </c>
    </row>
    <row r="46" spans="3:24" ht="24" customHeight="1">
      <c r="C46" s="667"/>
      <c r="D46" s="452"/>
      <c r="E46" s="672"/>
      <c r="F46" s="673"/>
      <c r="G46" s="672"/>
      <c r="H46" s="673"/>
      <c r="I46" s="672"/>
      <c r="J46" s="673"/>
      <c r="K46" s="448"/>
      <c r="L46" s="160"/>
      <c r="M46" s="28"/>
      <c r="N46" s="28"/>
      <c r="V46" s="43"/>
      <c r="W46" s="17">
        <v>9</v>
      </c>
      <c r="X46" s="159" t="str">
        <f ca="1">UPPER('GPlan-Translations'!C230)</f>
        <v>SETEMBRO</v>
      </c>
    </row>
    <row r="47" spans="3:24" ht="24" customHeight="1">
      <c r="C47" s="667"/>
      <c r="D47" s="452"/>
      <c r="E47" s="672"/>
      <c r="F47" s="673"/>
      <c r="G47" s="672"/>
      <c r="H47" s="673"/>
      <c r="I47" s="672"/>
      <c r="J47" s="673"/>
      <c r="K47" s="448"/>
      <c r="L47" s="160"/>
      <c r="M47" s="28"/>
      <c r="N47" s="28"/>
      <c r="V47" s="43"/>
      <c r="W47" s="17">
        <v>10</v>
      </c>
      <c r="X47" s="159" t="str">
        <f ca="1">UPPER('GPlan-Translations'!C231)</f>
        <v>OUTUBRO</v>
      </c>
    </row>
    <row r="48" spans="3:24" ht="24" customHeight="1">
      <c r="C48" s="667"/>
      <c r="D48" s="452"/>
      <c r="E48" s="672"/>
      <c r="F48" s="673"/>
      <c r="G48" s="672"/>
      <c r="H48" s="673"/>
      <c r="I48" s="672"/>
      <c r="J48" s="673"/>
      <c r="K48" s="448"/>
      <c r="L48" s="160"/>
      <c r="M48" s="28"/>
      <c r="N48" s="28"/>
      <c r="V48" s="43"/>
      <c r="W48" s="17">
        <v>11</v>
      </c>
      <c r="X48" s="159" t="str">
        <f ca="1">UPPER('GPlan-Translations'!C232)</f>
        <v>NOVEMBRO</v>
      </c>
    </row>
    <row r="49" spans="3:24" ht="24" customHeight="1">
      <c r="C49" s="667"/>
      <c r="D49" s="442"/>
      <c r="E49" s="447" t="str">
        <f>EventName(F49,8)</f>
        <v/>
      </c>
      <c r="F49" s="460">
        <f>P18</f>
        <v>42765</v>
      </c>
      <c r="G49" s="447" t="str">
        <f>EventName(H49,8)</f>
        <v/>
      </c>
      <c r="H49" s="460">
        <f>Q18</f>
        <v>42766</v>
      </c>
      <c r="I49" s="447" t="str">
        <f>EventName(J49,8)</f>
        <v/>
      </c>
      <c r="J49" s="460">
        <f>R18</f>
        <v>42767</v>
      </c>
      <c r="K49" s="448"/>
      <c r="L49" s="160"/>
      <c r="M49" s="28"/>
      <c r="N49" s="28"/>
      <c r="V49" s="43"/>
      <c r="W49" s="17">
        <v>12</v>
      </c>
      <c r="X49" s="159" t="str">
        <f ca="1">UPPER('GPlan-Translations'!C233)</f>
        <v>DEZEMBRO</v>
      </c>
    </row>
    <row r="50" spans="3:24"/>
  </sheetData>
  <sheetProtection sheet="1" objects="1" scenarios="1"/>
  <mergeCells count="21">
    <mergeCell ref="I18:J24"/>
    <mergeCell ref="E10:F16"/>
    <mergeCell ref="E2:F8"/>
    <mergeCell ref="G2:H8"/>
    <mergeCell ref="I2:J8"/>
    <mergeCell ref="I10:J16"/>
    <mergeCell ref="G10:H16"/>
    <mergeCell ref="I42:J48"/>
    <mergeCell ref="E34:F40"/>
    <mergeCell ref="G34:H40"/>
    <mergeCell ref="I34:J40"/>
    <mergeCell ref="E26:F32"/>
    <mergeCell ref="G26:H32"/>
    <mergeCell ref="I26:J32"/>
    <mergeCell ref="C26:C49"/>
    <mergeCell ref="C1:C11"/>
    <mergeCell ref="C12:C17"/>
    <mergeCell ref="E42:F48"/>
    <mergeCell ref="G42:H48"/>
    <mergeCell ref="E18:F24"/>
    <mergeCell ref="G18:H24"/>
  </mergeCells>
  <conditionalFormatting sqref="F9">
    <cfRule type="expression" dxfId="181" priority="1" stopIfTrue="1">
      <formula>P22="F"</formula>
    </cfRule>
    <cfRule type="expression" dxfId="180" priority="2" stopIfTrue="1">
      <formula>P22="E"</formula>
    </cfRule>
    <cfRule type="expression" dxfId="179" priority="3" stopIfTrue="1">
      <formula>P22="C"</formula>
    </cfRule>
  </conditionalFormatting>
  <conditionalFormatting sqref="J9">
    <cfRule type="expression" dxfId="178" priority="26" stopIfTrue="1">
      <formula>R22="F"</formula>
    </cfRule>
    <cfRule type="expression" dxfId="177" priority="27" stopIfTrue="1">
      <formula>R22="E"</formula>
    </cfRule>
    <cfRule type="expression" dxfId="176" priority="28" stopIfTrue="1">
      <formula>R22="C"</formula>
    </cfRule>
  </conditionalFormatting>
  <conditionalFormatting sqref="H9">
    <cfRule type="expression" dxfId="175" priority="31" stopIfTrue="1">
      <formula>Q22="F"</formula>
    </cfRule>
    <cfRule type="expression" dxfId="174" priority="32" stopIfTrue="1">
      <formula>Q22="E"</formula>
    </cfRule>
    <cfRule type="expression" dxfId="173" priority="33" stopIfTrue="1">
      <formula>Q22="C"</formula>
    </cfRule>
  </conditionalFormatting>
  <conditionalFormatting sqref="F17">
    <cfRule type="expression" dxfId="172" priority="36" stopIfTrue="1">
      <formula>P23="F"</formula>
    </cfRule>
    <cfRule type="expression" dxfId="171" priority="37" stopIfTrue="1">
      <formula>P23="E"</formula>
    </cfRule>
    <cfRule type="expression" dxfId="170" priority="38" stopIfTrue="1">
      <formula>P23="C"</formula>
    </cfRule>
  </conditionalFormatting>
  <conditionalFormatting sqref="J17">
    <cfRule type="expression" dxfId="169" priority="61" stopIfTrue="1">
      <formula>R23="F"</formula>
    </cfRule>
    <cfRule type="expression" dxfId="168" priority="62" stopIfTrue="1">
      <formula>R23="E"</formula>
    </cfRule>
    <cfRule type="expression" dxfId="167" priority="63" stopIfTrue="1">
      <formula>R23="C"</formula>
    </cfRule>
  </conditionalFormatting>
  <conditionalFormatting sqref="H17">
    <cfRule type="expression" dxfId="166" priority="66" stopIfTrue="1">
      <formula>Q23="F"</formula>
    </cfRule>
    <cfRule type="expression" dxfId="165" priority="67" stopIfTrue="1">
      <formula>Q23="E"</formula>
    </cfRule>
    <cfRule type="expression" dxfId="164" priority="68" stopIfTrue="1">
      <formula>Q23="C"</formula>
    </cfRule>
  </conditionalFormatting>
  <conditionalFormatting sqref="F25">
    <cfRule type="expression" dxfId="163" priority="71" stopIfTrue="1">
      <formula>P24="F"</formula>
    </cfRule>
    <cfRule type="expression" dxfId="162" priority="72" stopIfTrue="1">
      <formula>P24="E"</formula>
    </cfRule>
    <cfRule type="expression" dxfId="161" priority="73" stopIfTrue="1">
      <formula>P24="C"</formula>
    </cfRule>
  </conditionalFormatting>
  <conditionalFormatting sqref="J25">
    <cfRule type="expression" dxfId="160" priority="96" stopIfTrue="1">
      <formula>R24="F"</formula>
    </cfRule>
    <cfRule type="expression" dxfId="159" priority="97" stopIfTrue="1">
      <formula>R24="E"</formula>
    </cfRule>
    <cfRule type="expression" dxfId="158" priority="98" stopIfTrue="1">
      <formula>R24="C"</formula>
    </cfRule>
  </conditionalFormatting>
  <conditionalFormatting sqref="H25">
    <cfRule type="expression" dxfId="157" priority="101" stopIfTrue="1">
      <formula>Q24="F"</formula>
    </cfRule>
    <cfRule type="expression" dxfId="156" priority="102" stopIfTrue="1">
      <formula>Q24="E"</formula>
    </cfRule>
    <cfRule type="expression" dxfId="155" priority="103" stopIfTrue="1">
      <formula>Q24="C"</formula>
    </cfRule>
  </conditionalFormatting>
  <conditionalFormatting sqref="F33">
    <cfRule type="expression" dxfId="154" priority="106" stopIfTrue="1">
      <formula>P25="F"</formula>
    </cfRule>
    <cfRule type="expression" dxfId="153" priority="107" stopIfTrue="1">
      <formula>P25="E"</formula>
    </cfRule>
    <cfRule type="expression" dxfId="152" priority="108" stopIfTrue="1">
      <formula>P25="C"</formula>
    </cfRule>
  </conditionalFormatting>
  <conditionalFormatting sqref="J33">
    <cfRule type="expression" dxfId="151" priority="131" stopIfTrue="1">
      <formula>R25="F"</formula>
    </cfRule>
    <cfRule type="expression" dxfId="150" priority="132" stopIfTrue="1">
      <formula>R25="E"</formula>
    </cfRule>
    <cfRule type="expression" dxfId="149" priority="133" stopIfTrue="1">
      <formula>R25="C"</formula>
    </cfRule>
  </conditionalFormatting>
  <conditionalFormatting sqref="H33">
    <cfRule type="expression" dxfId="148" priority="136" stopIfTrue="1">
      <formula>Q25="F"</formula>
    </cfRule>
    <cfRule type="expression" dxfId="147" priority="137" stopIfTrue="1">
      <formula>Q25="E"</formula>
    </cfRule>
    <cfRule type="expression" dxfId="146" priority="138" stopIfTrue="1">
      <formula>Q25="C"</formula>
    </cfRule>
  </conditionalFormatting>
  <conditionalFormatting sqref="F41">
    <cfRule type="expression" dxfId="145" priority="141" stopIfTrue="1">
      <formula>P26="F"</formula>
    </cfRule>
    <cfRule type="expression" dxfId="144" priority="142" stopIfTrue="1">
      <formula>P26="E"</formula>
    </cfRule>
    <cfRule type="expression" dxfId="143" priority="143" stopIfTrue="1">
      <formula>P26="C"</formula>
    </cfRule>
  </conditionalFormatting>
  <conditionalFormatting sqref="J41">
    <cfRule type="expression" dxfId="142" priority="166" stopIfTrue="1">
      <formula>R26="F"</formula>
    </cfRule>
    <cfRule type="expression" dxfId="141" priority="167" stopIfTrue="1">
      <formula>R26="E"</formula>
    </cfRule>
    <cfRule type="expression" dxfId="140" priority="168" stopIfTrue="1">
      <formula>R26="C"</formula>
    </cfRule>
  </conditionalFormatting>
  <conditionalFormatting sqref="H41">
    <cfRule type="expression" dxfId="139" priority="171" stopIfTrue="1">
      <formula>Q26="F"</formula>
    </cfRule>
    <cfRule type="expression" dxfId="138" priority="172" stopIfTrue="1">
      <formula>Q26="E"</formula>
    </cfRule>
    <cfRule type="expression" dxfId="137" priority="173" stopIfTrue="1">
      <formula>Q26="C"</formula>
    </cfRule>
  </conditionalFormatting>
  <conditionalFormatting sqref="F49">
    <cfRule type="expression" dxfId="136" priority="176" stopIfTrue="1">
      <formula>P27="F"</formula>
    </cfRule>
    <cfRule type="expression" dxfId="135" priority="177" stopIfTrue="1">
      <formula>P27="E"</formula>
    </cfRule>
    <cfRule type="expression" dxfId="134" priority="178" stopIfTrue="1">
      <formula>P27="C"</formula>
    </cfRule>
  </conditionalFormatting>
  <conditionalFormatting sqref="J49">
    <cfRule type="expression" dxfId="133" priority="201" stopIfTrue="1">
      <formula>R27="F"</formula>
    </cfRule>
    <cfRule type="expression" dxfId="132" priority="202" stopIfTrue="1">
      <formula>R27="E"</formula>
    </cfRule>
    <cfRule type="expression" dxfId="131" priority="203" stopIfTrue="1">
      <formula>R27="C"</formula>
    </cfRule>
  </conditionalFormatting>
  <conditionalFormatting sqref="H49">
    <cfRule type="expression" dxfId="130" priority="206" stopIfTrue="1">
      <formula>Q27="F"</formula>
    </cfRule>
    <cfRule type="expression" dxfId="129" priority="207" stopIfTrue="1">
      <formula>Q27="E"</formula>
    </cfRule>
    <cfRule type="expression" dxfId="128" priority="208" stopIfTrue="1">
      <formula>Q27="C"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346" r:id="rId4" name="MonthSelect2">
              <controlPr defaultSize="0" print="0" autoPict="0">
                <anchor>
                  <from>
                    <xdr:col>2</xdr:col>
                    <xdr:colOff>66675</xdr:colOff>
                    <xdr:row>18</xdr:row>
                    <xdr:rowOff>9525</xdr:rowOff>
                  </from>
                  <to>
                    <xdr:col>2</xdr:col>
                    <xdr:colOff>590550</xdr:colOff>
                    <xdr:row>19</xdr:row>
                    <xdr:rowOff>285750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Right">
    <pageSetUpPr fitToPage="1"/>
  </sheetPr>
  <dimension ref="C1:AC50"/>
  <sheetViews>
    <sheetView showGridLines="0" topLeftCell="C1" zoomScale="75" zoomScaleNormal="75" zoomScaleSheetLayoutView="73" workbookViewId="0"/>
  </sheetViews>
  <sheetFormatPr defaultColWidth="0" defaultRowHeight="12.75" customHeight="1" zeroHeight="1"/>
  <cols>
    <col min="1" max="2" width="9.140625" style="5" hidden="1" customWidth="1"/>
    <col min="3" max="3" width="10.7109375" style="5" customWidth="1"/>
    <col min="4" max="4" width="24" style="5" customWidth="1"/>
    <col min="5" max="5" width="4.5703125" style="5" customWidth="1"/>
    <col min="6" max="6" width="24" style="5" customWidth="1"/>
    <col min="7" max="7" width="4.5703125" style="5" customWidth="1"/>
    <col min="8" max="8" width="24" style="5" customWidth="1"/>
    <col min="9" max="9" width="4.5703125" style="5" customWidth="1"/>
    <col min="10" max="10" width="24" style="5" customWidth="1"/>
    <col min="11" max="11" width="4.5703125" style="5" customWidth="1"/>
    <col min="12" max="12" width="9.85546875" style="5" customWidth="1"/>
    <col min="13" max="13" width="1.85546875" style="5" hidden="1" customWidth="1"/>
    <col min="14" max="16" width="4.28515625" style="5" hidden="1" customWidth="1"/>
    <col min="17" max="17" width="3.7109375" style="5" hidden="1" customWidth="1"/>
    <col min="18" max="18" width="3.5703125" style="5" hidden="1" customWidth="1"/>
    <col min="19" max="24" width="3.7109375" style="5" hidden="1" customWidth="1"/>
    <col min="25" max="25" width="16.5703125" style="5" hidden="1" customWidth="1"/>
    <col min="26" max="26" width="3.7109375" style="5" hidden="1" customWidth="1"/>
    <col min="27" max="28" width="9.140625" style="5" hidden="1" customWidth="1"/>
    <col min="29" max="29" width="12.5703125" style="5" hidden="1" customWidth="1"/>
    <col min="30" max="16384" width="9.140625" style="5" hidden="1"/>
  </cols>
  <sheetData>
    <row r="1" spans="3:29" ht="18" customHeight="1">
      <c r="C1" s="464"/>
      <c r="D1" s="456" t="str">
        <f ca="1">UPPER('GPlan-Translations'!C190)</f>
        <v>QUINTA</v>
      </c>
      <c r="E1" s="458"/>
      <c r="F1" s="456" t="str">
        <f ca="1">UPPER('GPlan-Translations'!C191)</f>
        <v>SEXTA</v>
      </c>
      <c r="G1" s="457"/>
      <c r="H1" s="456" t="str">
        <f ca="1">UPPER('GPlan-Translations'!C192)</f>
        <v>SÁBADO</v>
      </c>
      <c r="I1" s="457"/>
      <c r="J1" s="453" t="str">
        <f ca="1">UPPER('GPlan-Translations'!C186)</f>
        <v>DOMINGO</v>
      </c>
      <c r="K1" s="454"/>
      <c r="L1" s="683" t="str">
        <f ca="1">VLOOKUP(Y3,$X$38:$Y$49,2,FALSE)</f>
        <v>JANEIRO</v>
      </c>
      <c r="M1" s="161"/>
      <c r="N1" s="162"/>
      <c r="O1" s="162"/>
      <c r="P1" s="163"/>
      <c r="Q1" s="163"/>
      <c r="R1" s="163"/>
      <c r="S1" s="163"/>
      <c r="T1" s="163"/>
      <c r="U1" s="163"/>
      <c r="V1" s="163"/>
      <c r="W1" s="163"/>
      <c r="X1" s="163"/>
      <c r="Y1" s="163"/>
      <c r="Z1" s="163"/>
    </row>
    <row r="2" spans="3:29" ht="24" customHeight="1">
      <c r="C2" s="466"/>
      <c r="D2" s="670" t="str">
        <f>EventsSerie1(E9)</f>
        <v/>
      </c>
      <c r="E2" s="671"/>
      <c r="F2" s="670" t="str">
        <f>EventsSerie1(G9)</f>
        <v/>
      </c>
      <c r="G2" s="671"/>
      <c r="H2" s="670" t="str">
        <f>EventsSerie1(I9) &amp; EventName(I9,7)</f>
        <v/>
      </c>
      <c r="I2" s="675"/>
      <c r="J2" s="670" t="str">
        <f>EventsSerie1(K9) &amp; EventName(K9,7)</f>
        <v xml:space="preserve">Srila Jiva Gosvami - Desaparecimento
Sri Jagadisa Pandita - Desaparecimento
Confraternização Universal
</v>
      </c>
      <c r="K2" s="675"/>
      <c r="L2" s="683"/>
      <c r="M2" s="160"/>
      <c r="P2" s="28"/>
      <c r="X2" s="43" t="s">
        <v>581</v>
      </c>
      <c r="Y2" s="44">
        <f>IF(AC3=0,AC2-1,AC2)</f>
        <v>2017</v>
      </c>
      <c r="AB2" s="323" t="s">
        <v>4208</v>
      </c>
      <c r="AC2" s="468">
        <f>Calendar!U1</f>
        <v>2017</v>
      </c>
    </row>
    <row r="3" spans="3:29" ht="24" customHeight="1">
      <c r="C3" s="467"/>
      <c r="D3" s="672"/>
      <c r="E3" s="673"/>
      <c r="F3" s="672"/>
      <c r="G3" s="673"/>
      <c r="H3" s="676"/>
      <c r="I3" s="677"/>
      <c r="J3" s="676"/>
      <c r="K3" s="677"/>
      <c r="L3" s="683"/>
      <c r="M3" s="160"/>
      <c r="N3" s="28"/>
      <c r="O3" s="28"/>
      <c r="V3" s="45"/>
      <c r="W3" s="225"/>
      <c r="X3" s="43" t="s">
        <v>582</v>
      </c>
      <c r="Y3" s="44">
        <f>IF(AC3=0,12,AC3)</f>
        <v>1</v>
      </c>
      <c r="AB3" s="345" t="s">
        <v>997</v>
      </c>
      <c r="AC3" s="527">
        <f>'Monthly-Left'!AB3</f>
        <v>1</v>
      </c>
    </row>
    <row r="4" spans="3:29" ht="24" customHeight="1">
      <c r="C4" s="449"/>
      <c r="D4" s="672"/>
      <c r="E4" s="673"/>
      <c r="F4" s="672"/>
      <c r="G4" s="673"/>
      <c r="H4" s="676"/>
      <c r="I4" s="677"/>
      <c r="J4" s="676"/>
      <c r="K4" s="677"/>
      <c r="L4" s="683"/>
      <c r="M4" s="160"/>
      <c r="N4" s="28"/>
      <c r="O4" s="28"/>
      <c r="P4" s="28"/>
      <c r="X4" s="43" t="s">
        <v>583</v>
      </c>
      <c r="Y4" s="44">
        <f>IF(Y3=2,IF(ISERR(DATEVALUE(CONCATENATE("29","/",Y3,"/",Y2))),28,29),IF(ISERR(DATEVALUE(CONCATENATE("31","/",Y3,"/",Y2))),30,31))</f>
        <v>31</v>
      </c>
      <c r="AB4" s="345" t="s">
        <v>27</v>
      </c>
      <c r="AC4" s="469">
        <v>1</v>
      </c>
    </row>
    <row r="5" spans="3:29" ht="24" customHeight="1">
      <c r="C5" s="449"/>
      <c r="D5" s="672"/>
      <c r="E5" s="673"/>
      <c r="F5" s="672"/>
      <c r="G5" s="673"/>
      <c r="H5" s="676"/>
      <c r="I5" s="677"/>
      <c r="J5" s="676"/>
      <c r="K5" s="677"/>
      <c r="L5" s="683"/>
      <c r="M5" s="160"/>
      <c r="N5" s="28"/>
      <c r="O5" s="28"/>
      <c r="P5" s="28"/>
      <c r="X5" s="46" t="s">
        <v>584</v>
      </c>
      <c r="Y5" s="47">
        <f>DATE(Y2,Y3,1)</f>
        <v>42736</v>
      </c>
      <c r="AB5" s="346" t="s">
        <v>814</v>
      </c>
      <c r="AC5" s="470">
        <f>DATE(Y2,Y3,1)</f>
        <v>42736</v>
      </c>
    </row>
    <row r="6" spans="3:29" ht="24" customHeight="1">
      <c r="C6" s="449"/>
      <c r="D6" s="672"/>
      <c r="E6" s="673"/>
      <c r="F6" s="672"/>
      <c r="G6" s="673"/>
      <c r="H6" s="676"/>
      <c r="I6" s="677"/>
      <c r="J6" s="676"/>
      <c r="K6" s="677"/>
      <c r="L6" s="683"/>
      <c r="M6" s="160"/>
      <c r="N6" s="28"/>
      <c r="O6" s="28"/>
      <c r="P6" s="28"/>
      <c r="X6" s="43" t="s">
        <v>585</v>
      </c>
      <c r="Y6" s="44">
        <f>WEEKDAY(Y5,2)</f>
        <v>7</v>
      </c>
      <c r="AB6" s="361" t="s">
        <v>4209</v>
      </c>
      <c r="AC6" s="528" t="str">
        <f ca="1">VLOOKUP(Y3,AB9:AC20,2,FALSE)</f>
        <v>JANEIRO</v>
      </c>
    </row>
    <row r="7" spans="3:29" ht="24" customHeight="1">
      <c r="C7" s="449"/>
      <c r="D7" s="672"/>
      <c r="E7" s="673"/>
      <c r="F7" s="672"/>
      <c r="G7" s="673"/>
      <c r="H7" s="676"/>
      <c r="I7" s="677"/>
      <c r="J7" s="676"/>
      <c r="K7" s="677"/>
      <c r="L7" s="683"/>
      <c r="M7" s="160"/>
      <c r="N7" s="28"/>
      <c r="O7" s="28"/>
      <c r="P7" s="28"/>
      <c r="AB7" s="345" t="s">
        <v>4109</v>
      </c>
      <c r="AC7" s="469">
        <f>WEEKDAY(AC5,2)</f>
        <v>7</v>
      </c>
    </row>
    <row r="8" spans="3:29" ht="24" customHeight="1">
      <c r="C8" s="449"/>
      <c r="D8" s="672"/>
      <c r="E8" s="673"/>
      <c r="F8" s="672"/>
      <c r="G8" s="673"/>
      <c r="H8" s="676"/>
      <c r="I8" s="677"/>
      <c r="J8" s="676"/>
      <c r="K8" s="677"/>
      <c r="L8" s="683"/>
      <c r="M8" s="160"/>
      <c r="N8" s="28"/>
      <c r="O8" s="28"/>
      <c r="P8" s="28"/>
      <c r="R8" s="264"/>
      <c r="Y8" s="462"/>
      <c r="AB8" s="362" t="s">
        <v>4110</v>
      </c>
      <c r="AC8" s="471">
        <v>2</v>
      </c>
    </row>
    <row r="9" spans="3:29" ht="24" customHeight="1">
      <c r="C9" s="449"/>
      <c r="D9" s="450" t="str">
        <f>EventName(E9,8)</f>
        <v/>
      </c>
      <c r="E9" s="460" t="str">
        <f>T13</f>
        <v xml:space="preserve"> </v>
      </c>
      <c r="F9" s="450" t="str">
        <f>EventName(G9,8)</f>
        <v/>
      </c>
      <c r="G9" s="460" t="str">
        <f>U13</f>
        <v xml:space="preserve"> </v>
      </c>
      <c r="H9" s="450" t="str">
        <f>EventName(I9,8)</f>
        <v/>
      </c>
      <c r="I9" s="460" t="str">
        <f>V13</f>
        <v xml:space="preserve"> </v>
      </c>
      <c r="J9" s="450" t="str">
        <f>EventName(K9,8)</f>
        <v/>
      </c>
      <c r="K9" s="460">
        <f>W13</f>
        <v>42736</v>
      </c>
      <c r="L9" s="683"/>
      <c r="M9" s="160"/>
      <c r="N9" s="28"/>
      <c r="O9" s="28"/>
      <c r="P9" s="28"/>
      <c r="AB9" s="348">
        <v>1</v>
      </c>
      <c r="AC9" s="244" t="str">
        <f ca="1">UPPER('GPlan-Translations'!C222)</f>
        <v>JANEIRO</v>
      </c>
    </row>
    <row r="10" spans="3:29" ht="24" customHeight="1">
      <c r="C10" s="466"/>
      <c r="D10" s="679" t="str">
        <f>EventsSerie1(E17)</f>
        <v/>
      </c>
      <c r="E10" s="680"/>
      <c r="F10" s="679" t="str">
        <f>EventsSerie1(G17)</f>
        <v/>
      </c>
      <c r="G10" s="680"/>
      <c r="H10" s="670" t="str">
        <f>EventsSerie1(I17) &amp; EventName(I17,7)</f>
        <v/>
      </c>
      <c r="I10" s="671"/>
      <c r="J10" s="670" t="str">
        <f>EventsSerie1(K17) &amp; EventName(K17,7)</f>
        <v xml:space="preserve">(adequado para jejum)
Jejum por Putrada Ekadasi
</v>
      </c>
      <c r="K10" s="671"/>
      <c r="L10" s="683"/>
      <c r="M10" s="160"/>
      <c r="N10" s="28"/>
      <c r="O10" s="28"/>
      <c r="P10" s="28"/>
      <c r="AB10" s="348">
        <v>2</v>
      </c>
      <c r="AC10" s="244" t="str">
        <f ca="1">UPPER('GPlan-Translations'!C223)</f>
        <v>FEVEREIRO</v>
      </c>
    </row>
    <row r="11" spans="3:29" ht="24" customHeight="1">
      <c r="C11" s="467"/>
      <c r="D11" s="681"/>
      <c r="E11" s="682"/>
      <c r="F11" s="681"/>
      <c r="G11" s="682"/>
      <c r="H11" s="672"/>
      <c r="I11" s="673"/>
      <c r="J11" s="672"/>
      <c r="K11" s="673"/>
      <c r="L11" s="683"/>
      <c r="M11" s="160"/>
      <c r="N11" s="28"/>
      <c r="O11" s="28"/>
      <c r="P11" s="28"/>
      <c r="Q11" s="251">
        <f>R11-1</f>
        <v>42730</v>
      </c>
      <c r="R11" s="251">
        <f>S11-1</f>
        <v>42731</v>
      </c>
      <c r="S11" s="251">
        <f>T11-1</f>
        <v>42732</v>
      </c>
      <c r="T11" s="251">
        <f>U11-1</f>
        <v>42733</v>
      </c>
      <c r="U11" s="251">
        <f>V11-1</f>
        <v>42734</v>
      </c>
      <c r="V11" s="251">
        <f>W13-1</f>
        <v>42735</v>
      </c>
      <c r="AB11" s="348">
        <v>3</v>
      </c>
      <c r="AC11" s="244" t="str">
        <f ca="1">UPPER('GPlan-Translations'!C224)</f>
        <v>MARÇO</v>
      </c>
    </row>
    <row r="12" spans="3:29" ht="24" customHeight="1">
      <c r="C12" s="449"/>
      <c r="D12" s="681"/>
      <c r="E12" s="682"/>
      <c r="F12" s="681"/>
      <c r="G12" s="682"/>
      <c r="H12" s="672"/>
      <c r="I12" s="673"/>
      <c r="J12" s="672"/>
      <c r="K12" s="673"/>
      <c r="L12" s="678">
        <f>Y2</f>
        <v>2017</v>
      </c>
      <c r="M12" s="160"/>
      <c r="N12" s="28"/>
      <c r="O12" s="28"/>
      <c r="P12" s="28"/>
      <c r="Q12" s="252" t="s">
        <v>575</v>
      </c>
      <c r="R12" s="49" t="s">
        <v>576</v>
      </c>
      <c r="S12" s="49" t="s">
        <v>577</v>
      </c>
      <c r="T12" s="49" t="s">
        <v>577</v>
      </c>
      <c r="U12" s="49" t="s">
        <v>575</v>
      </c>
      <c r="V12" s="48" t="s">
        <v>575</v>
      </c>
      <c r="W12" s="50" t="s">
        <v>574</v>
      </c>
      <c r="AB12" s="348">
        <v>4</v>
      </c>
      <c r="AC12" s="244" t="str">
        <f ca="1">UPPER('GPlan-Translations'!C225)</f>
        <v>ABRIL</v>
      </c>
    </row>
    <row r="13" spans="3:29" ht="24" customHeight="1">
      <c r="C13" s="449"/>
      <c r="D13" s="681"/>
      <c r="E13" s="682"/>
      <c r="F13" s="681"/>
      <c r="G13" s="682"/>
      <c r="H13" s="672"/>
      <c r="I13" s="673"/>
      <c r="J13" s="672"/>
      <c r="K13" s="673"/>
      <c r="L13" s="678"/>
      <c r="M13" s="160"/>
      <c r="N13" s="28"/>
      <c r="O13" s="28"/>
      <c r="P13" s="28"/>
      <c r="Q13" s="253" t="str">
        <f>IF(Y6=1,Y5," ")</f>
        <v xml:space="preserve"> </v>
      </c>
      <c r="R13" s="52" t="str">
        <f>IF(Y6=2,Y5,IF(Q13=" "," ",Q13+1))</f>
        <v xml:space="preserve"> </v>
      </c>
      <c r="S13" s="52" t="str">
        <f>IF(Y6=3,Y5,IF(R13=" "," ",R13+1))</f>
        <v xml:space="preserve"> </v>
      </c>
      <c r="T13" s="52" t="str">
        <f>IF(Y6=4,Y5,IF(S13=" "," ",S13+1))</f>
        <v xml:space="preserve"> </v>
      </c>
      <c r="U13" s="52" t="str">
        <f>IF(Y6=5,Y5,IF(T13=" "," ",T13+1))</f>
        <v xml:space="preserve"> </v>
      </c>
      <c r="V13" s="51" t="str">
        <f>IF(Y6=6,Y5,IF(U13=" "," ",U13+1))</f>
        <v xml:space="preserve"> </v>
      </c>
      <c r="W13" s="53">
        <f>IF(Y6=7,Y5,IF(V13=" "," ",V13+1))</f>
        <v>42736</v>
      </c>
      <c r="AB13" s="348">
        <v>5</v>
      </c>
      <c r="AC13" s="244" t="str">
        <f ca="1">UPPER('GPlan-Translations'!C226)</f>
        <v>MAIO</v>
      </c>
    </row>
    <row r="14" spans="3:29" ht="24" customHeight="1">
      <c r="C14" s="449"/>
      <c r="D14" s="681"/>
      <c r="E14" s="682"/>
      <c r="F14" s="681"/>
      <c r="G14" s="682"/>
      <c r="H14" s="672"/>
      <c r="I14" s="673"/>
      <c r="J14" s="672"/>
      <c r="K14" s="673"/>
      <c r="L14" s="678"/>
      <c r="M14" s="160"/>
      <c r="N14" s="28"/>
      <c r="O14" s="28"/>
      <c r="P14" s="28"/>
      <c r="Q14" s="254">
        <f>W13+1</f>
        <v>42737</v>
      </c>
      <c r="R14" s="55">
        <f t="shared" ref="R14:W16" si="0">Q14+1</f>
        <v>42738</v>
      </c>
      <c r="S14" s="55">
        <f t="shared" si="0"/>
        <v>42739</v>
      </c>
      <c r="T14" s="55">
        <f t="shared" si="0"/>
        <v>42740</v>
      </c>
      <c r="U14" s="55">
        <f t="shared" si="0"/>
        <v>42741</v>
      </c>
      <c r="V14" s="54">
        <f t="shared" si="0"/>
        <v>42742</v>
      </c>
      <c r="W14" s="56">
        <f t="shared" si="0"/>
        <v>42743</v>
      </c>
      <c r="AB14" s="348">
        <v>6</v>
      </c>
      <c r="AC14" s="244" t="str">
        <f ca="1">UPPER('GPlan-Translations'!C227)</f>
        <v>JUNHO</v>
      </c>
    </row>
    <row r="15" spans="3:29" ht="24" customHeight="1">
      <c r="C15" s="449"/>
      <c r="D15" s="681"/>
      <c r="E15" s="682"/>
      <c r="F15" s="681"/>
      <c r="G15" s="682"/>
      <c r="H15" s="672"/>
      <c r="I15" s="673"/>
      <c r="J15" s="672"/>
      <c r="K15" s="673"/>
      <c r="L15" s="678"/>
      <c r="M15" s="160"/>
      <c r="N15" s="28"/>
      <c r="O15" s="28"/>
      <c r="P15" s="28"/>
      <c r="Q15" s="254">
        <f>W14+1</f>
        <v>42744</v>
      </c>
      <c r="R15" s="55">
        <f t="shared" si="0"/>
        <v>42745</v>
      </c>
      <c r="S15" s="55">
        <f t="shared" si="0"/>
        <v>42746</v>
      </c>
      <c r="T15" s="55">
        <f t="shared" si="0"/>
        <v>42747</v>
      </c>
      <c r="U15" s="55">
        <f t="shared" si="0"/>
        <v>42748</v>
      </c>
      <c r="V15" s="54">
        <f t="shared" si="0"/>
        <v>42749</v>
      </c>
      <c r="W15" s="56">
        <f t="shared" si="0"/>
        <v>42750</v>
      </c>
      <c r="AB15" s="348">
        <v>7</v>
      </c>
      <c r="AC15" s="244" t="str">
        <f ca="1">UPPER('GPlan-Translations'!C228)</f>
        <v>JULHO</v>
      </c>
    </row>
    <row r="16" spans="3:29" ht="24" customHeight="1">
      <c r="C16" s="449"/>
      <c r="D16" s="681"/>
      <c r="E16" s="682"/>
      <c r="F16" s="681"/>
      <c r="G16" s="682"/>
      <c r="H16" s="672"/>
      <c r="I16" s="673"/>
      <c r="J16" s="672"/>
      <c r="K16" s="673"/>
      <c r="L16" s="678"/>
      <c r="M16" s="160"/>
      <c r="N16" s="28"/>
      <c r="O16" s="28"/>
      <c r="P16" s="28"/>
      <c r="Q16" s="254">
        <f>W15+1</f>
        <v>42751</v>
      </c>
      <c r="R16" s="55">
        <f t="shared" si="0"/>
        <v>42752</v>
      </c>
      <c r="S16" s="55">
        <f t="shared" si="0"/>
        <v>42753</v>
      </c>
      <c r="T16" s="55">
        <f t="shared" si="0"/>
        <v>42754</v>
      </c>
      <c r="U16" s="55">
        <f t="shared" si="0"/>
        <v>42755</v>
      </c>
      <c r="V16" s="54">
        <f t="shared" si="0"/>
        <v>42756</v>
      </c>
      <c r="W16" s="56">
        <f t="shared" si="0"/>
        <v>42757</v>
      </c>
      <c r="AB16" s="348">
        <v>8</v>
      </c>
      <c r="AC16" s="244" t="str">
        <f ca="1">UPPER('GPlan-Translations'!C229)</f>
        <v>AGOSTO</v>
      </c>
    </row>
    <row r="17" spans="3:29" ht="24" customHeight="1">
      <c r="C17" s="449"/>
      <c r="D17" s="450" t="str">
        <f>EventName(E17,8)</f>
        <v/>
      </c>
      <c r="E17" s="461">
        <f>T14</f>
        <v>42740</v>
      </c>
      <c r="F17" s="450" t="str">
        <f>EventName(G17,8)</f>
        <v/>
      </c>
      <c r="G17" s="461">
        <f>U14</f>
        <v>42741</v>
      </c>
      <c r="H17" s="450" t="str">
        <f>EventName(I17,8)</f>
        <v/>
      </c>
      <c r="I17" s="461">
        <f>V14</f>
        <v>42742</v>
      </c>
      <c r="J17" s="450" t="str">
        <f>EventName(K17,8)</f>
        <v/>
      </c>
      <c r="K17" s="461">
        <f>W14</f>
        <v>42743</v>
      </c>
      <c r="L17" s="678"/>
      <c r="M17" s="160"/>
      <c r="N17" s="28"/>
      <c r="O17" s="28"/>
      <c r="P17" s="28"/>
      <c r="Q17" s="254">
        <f>IF(MONTH(W16+1)&lt;&gt;$Y$3," ",W16+1)</f>
        <v>42758</v>
      </c>
      <c r="R17" s="55">
        <f t="shared" ref="R17:W18" si="1">IF(Q17=" "," ",Q17+1)</f>
        <v>42759</v>
      </c>
      <c r="S17" s="55">
        <f t="shared" si="1"/>
        <v>42760</v>
      </c>
      <c r="T17" s="55">
        <f t="shared" si="1"/>
        <v>42761</v>
      </c>
      <c r="U17" s="55">
        <f t="shared" si="1"/>
        <v>42762</v>
      </c>
      <c r="V17" s="54">
        <f t="shared" si="1"/>
        <v>42763</v>
      </c>
      <c r="W17" s="56">
        <f t="shared" si="1"/>
        <v>42764</v>
      </c>
      <c r="AB17" s="348">
        <v>9</v>
      </c>
      <c r="AC17" s="244" t="str">
        <f ca="1">UPPER('GPlan-Translations'!C230)</f>
        <v>SETEMBRO</v>
      </c>
    </row>
    <row r="18" spans="3:29" ht="24" customHeight="1">
      <c r="C18" s="466"/>
      <c r="D18" s="670" t="str">
        <f>EventsSerie1(E25)</f>
        <v xml:space="preserve">Sri Krsna Pusya Abhiseka
</v>
      </c>
      <c r="E18" s="671"/>
      <c r="F18" s="670" t="str">
        <f>EventsSerie1(G25)</f>
        <v xml:space="preserve">Madhava Masa
</v>
      </c>
      <c r="G18" s="671"/>
      <c r="H18" s="670" t="str">
        <f>EventsSerie1(I25) &amp; EventName(I25,7)</f>
        <v xml:space="preserve">Ganga Sagara Mela
Makara Sankranti (Sol entra em Capricórnio 13 jan, às 23:00 hora local)
</v>
      </c>
      <c r="I18" s="671"/>
      <c r="J18" s="670" t="str">
        <f>EventsSerie1(K25) &amp; EventName(K25,7)</f>
        <v/>
      </c>
      <c r="K18" s="671"/>
      <c r="M18" s="160"/>
      <c r="N18" s="28"/>
      <c r="O18" s="28"/>
      <c r="P18" s="28"/>
      <c r="Q18" s="255">
        <f>IF(W17=" "," ",IF(MONTH(W17+1)&lt;&gt;$Y$3," ",W17+1))</f>
        <v>42765</v>
      </c>
      <c r="R18" s="58">
        <f t="shared" si="1"/>
        <v>42766</v>
      </c>
      <c r="S18" s="58">
        <f t="shared" si="1"/>
        <v>42767</v>
      </c>
      <c r="T18" s="58">
        <f t="shared" si="1"/>
        <v>42768</v>
      </c>
      <c r="U18" s="58">
        <f t="shared" si="1"/>
        <v>42769</v>
      </c>
      <c r="V18" s="57">
        <f t="shared" si="1"/>
        <v>42770</v>
      </c>
      <c r="W18" s="59">
        <f t="shared" si="1"/>
        <v>42771</v>
      </c>
      <c r="AB18" s="347">
        <v>10</v>
      </c>
      <c r="AC18" s="244" t="str">
        <f ca="1">UPPER('GPlan-Translations'!C231)</f>
        <v>OUTUBRO</v>
      </c>
    </row>
    <row r="19" spans="3:29" ht="24" customHeight="1">
      <c r="C19" s="467"/>
      <c r="D19" s="672"/>
      <c r="E19" s="673"/>
      <c r="F19" s="672"/>
      <c r="G19" s="673"/>
      <c r="H19" s="672"/>
      <c r="I19" s="673"/>
      <c r="J19" s="672"/>
      <c r="K19" s="673"/>
      <c r="M19" s="160"/>
      <c r="N19" s="28"/>
      <c r="O19" s="28"/>
      <c r="P19" s="28"/>
      <c r="AB19" s="243">
        <v>11</v>
      </c>
      <c r="AC19" s="244" t="str">
        <f ca="1">UPPER('GPlan-Translations'!C232)</f>
        <v>NOVEMBRO</v>
      </c>
    </row>
    <row r="20" spans="3:29" ht="24" customHeight="1">
      <c r="C20" s="449"/>
      <c r="D20" s="672"/>
      <c r="E20" s="673"/>
      <c r="F20" s="672"/>
      <c r="G20" s="673"/>
      <c r="H20" s="672"/>
      <c r="I20" s="673"/>
      <c r="J20" s="672"/>
      <c r="K20" s="673"/>
      <c r="M20" s="160"/>
      <c r="N20" s="28"/>
      <c r="O20" s="28"/>
      <c r="P20" s="28"/>
      <c r="AB20" s="245">
        <v>12</v>
      </c>
      <c r="AC20" s="246" t="str">
        <f ca="1">UPPER('GPlan-Translations'!C233)</f>
        <v>DEZEMBRO</v>
      </c>
    </row>
    <row r="21" spans="3:29" ht="24" customHeight="1">
      <c r="C21" s="449"/>
      <c r="D21" s="672"/>
      <c r="E21" s="673"/>
      <c r="F21" s="672"/>
      <c r="G21" s="673"/>
      <c r="H21" s="672"/>
      <c r="I21" s="673"/>
      <c r="J21" s="672"/>
      <c r="K21" s="673"/>
      <c r="M21" s="160"/>
      <c r="N21" s="28"/>
      <c r="O21" s="28"/>
      <c r="P21" s="28"/>
      <c r="Q21" s="515"/>
      <c r="R21" s="514"/>
      <c r="S21" s="514"/>
      <c r="T21" s="49" t="s">
        <v>577</v>
      </c>
      <c r="U21" s="49" t="s">
        <v>575</v>
      </c>
      <c r="V21" s="48" t="s">
        <v>575</v>
      </c>
      <c r="W21" s="50" t="s">
        <v>574</v>
      </c>
    </row>
    <row r="22" spans="3:29" ht="24" customHeight="1">
      <c r="C22" s="449"/>
      <c r="D22" s="672"/>
      <c r="E22" s="673"/>
      <c r="F22" s="672"/>
      <c r="G22" s="673"/>
      <c r="H22" s="672"/>
      <c r="I22" s="673"/>
      <c r="J22" s="672"/>
      <c r="K22" s="673"/>
      <c r="M22" s="160"/>
      <c r="N22" s="28"/>
      <c r="O22" s="28"/>
      <c r="P22" s="28"/>
      <c r="Q22" s="518"/>
      <c r="R22" s="517"/>
      <c r="S22" s="517"/>
      <c r="T22" s="36" t="str">
        <f t="shared" ref="T22:W22" si="2">CelebrationType(T13)</f>
        <v/>
      </c>
      <c r="U22" s="36" t="str">
        <f t="shared" si="2"/>
        <v/>
      </c>
      <c r="V22" s="60" t="str">
        <f t="shared" si="2"/>
        <v/>
      </c>
      <c r="W22" s="61" t="str">
        <f t="shared" si="2"/>
        <v>F</v>
      </c>
    </row>
    <row r="23" spans="3:29" ht="24" customHeight="1">
      <c r="C23" s="449"/>
      <c r="D23" s="672"/>
      <c r="E23" s="673"/>
      <c r="F23" s="672"/>
      <c r="G23" s="673"/>
      <c r="H23" s="672"/>
      <c r="I23" s="673"/>
      <c r="J23" s="672"/>
      <c r="K23" s="673"/>
      <c r="M23" s="160"/>
      <c r="N23" s="28"/>
      <c r="O23" s="28"/>
      <c r="P23" s="28"/>
      <c r="Q23" s="518"/>
      <c r="R23" s="517"/>
      <c r="S23" s="517"/>
      <c r="T23" s="36">
        <f t="shared" ref="T23:W23" si="3">CelebrationType(T14)</f>
        <v>0</v>
      </c>
      <c r="U23" s="36">
        <f t="shared" si="3"/>
        <v>0</v>
      </c>
      <c r="V23" s="60">
        <f t="shared" si="3"/>
        <v>0</v>
      </c>
      <c r="W23" s="61" t="str">
        <f t="shared" si="3"/>
        <v>E</v>
      </c>
    </row>
    <row r="24" spans="3:29" ht="24" customHeight="1">
      <c r="C24" s="449"/>
      <c r="D24" s="672"/>
      <c r="E24" s="673"/>
      <c r="F24" s="672"/>
      <c r="G24" s="673"/>
      <c r="H24" s="672"/>
      <c r="I24" s="673"/>
      <c r="J24" s="672"/>
      <c r="K24" s="673"/>
      <c r="M24" s="160"/>
      <c r="N24" s="28"/>
      <c r="O24" s="28"/>
      <c r="P24" s="28"/>
      <c r="Q24" s="518"/>
      <c r="R24" s="517"/>
      <c r="S24" s="517"/>
      <c r="T24" s="36">
        <f t="shared" ref="T24:W24" si="4">CelebrationType(T15)</f>
        <v>0</v>
      </c>
      <c r="U24" s="36">
        <f t="shared" si="4"/>
        <v>0</v>
      </c>
      <c r="V24" s="60">
        <f t="shared" si="4"/>
        <v>0</v>
      </c>
      <c r="W24" s="61">
        <f t="shared" si="4"/>
        <v>0</v>
      </c>
    </row>
    <row r="25" spans="3:29" ht="24" customHeight="1">
      <c r="C25" s="449"/>
      <c r="D25" s="450" t="str">
        <f>EventName(E25,8)</f>
        <v/>
      </c>
      <c r="E25" s="460">
        <f>T15</f>
        <v>42747</v>
      </c>
      <c r="F25" s="450" t="str">
        <f>EventName(G25,8)</f>
        <v/>
      </c>
      <c r="G25" s="460">
        <f>U15</f>
        <v>42748</v>
      </c>
      <c r="H25" s="450" t="str">
        <f>EventName(I25,8)</f>
        <v/>
      </c>
      <c r="I25" s="460">
        <f>V15</f>
        <v>42749</v>
      </c>
      <c r="J25" s="450" t="str">
        <f>EventName(K25,8)</f>
        <v/>
      </c>
      <c r="K25" s="460">
        <f>W15</f>
        <v>42750</v>
      </c>
      <c r="M25" s="160"/>
      <c r="N25" s="28"/>
      <c r="O25" s="28"/>
      <c r="P25" s="28"/>
      <c r="Q25" s="518"/>
      <c r="R25" s="517"/>
      <c r="S25" s="517"/>
      <c r="T25" s="36">
        <f t="shared" ref="T25:W25" si="5">CelebrationType(T16)</f>
        <v>0</v>
      </c>
      <c r="U25" s="36">
        <f t="shared" si="5"/>
        <v>0</v>
      </c>
      <c r="V25" s="60">
        <f t="shared" si="5"/>
        <v>0</v>
      </c>
      <c r="W25" s="61">
        <f t="shared" si="5"/>
        <v>0</v>
      </c>
    </row>
    <row r="26" spans="3:29" ht="24" customHeight="1">
      <c r="C26" s="466"/>
      <c r="D26" s="670" t="str">
        <f>EventsSerie1(E33)</f>
        <v/>
      </c>
      <c r="E26" s="671"/>
      <c r="F26" s="670" t="str">
        <f>EventsSerie1(G33)</f>
        <v/>
      </c>
      <c r="G26" s="671"/>
      <c r="H26" s="670" t="str">
        <f>EventsSerie1(I33) &amp; EventName(I33,7)</f>
        <v/>
      </c>
      <c r="I26" s="671"/>
      <c r="J26" s="670" t="str">
        <f>EventsSerie1(K33) &amp; EventName(K33,7)</f>
        <v/>
      </c>
      <c r="K26" s="671"/>
      <c r="L26" s="674" t="str">
        <f ca="1">'GPlan-Translations'!C236</f>
        <v>PLANEJAMENTO MENSAL</v>
      </c>
      <c r="M26" s="160"/>
      <c r="N26" s="28"/>
      <c r="O26" s="28"/>
      <c r="P26" s="28"/>
      <c r="Q26" s="518"/>
      <c r="R26" s="517"/>
      <c r="S26" s="517"/>
      <c r="T26" s="36">
        <f t="shared" ref="T26:W26" si="6">CelebrationType(T17)</f>
        <v>0</v>
      </c>
      <c r="U26" s="36">
        <f t="shared" si="6"/>
        <v>0</v>
      </c>
      <c r="V26" s="60">
        <f t="shared" si="6"/>
        <v>0</v>
      </c>
      <c r="W26" s="61">
        <f t="shared" si="6"/>
        <v>0</v>
      </c>
    </row>
    <row r="27" spans="3:29" ht="24" customHeight="1">
      <c r="C27" s="467"/>
      <c r="D27" s="672"/>
      <c r="E27" s="673"/>
      <c r="F27" s="672"/>
      <c r="G27" s="673"/>
      <c r="H27" s="672"/>
      <c r="I27" s="673"/>
      <c r="J27" s="672"/>
      <c r="K27" s="673"/>
      <c r="L27" s="674"/>
      <c r="M27" s="160"/>
      <c r="N27" s="28"/>
      <c r="O27" s="28"/>
      <c r="P27" s="28"/>
      <c r="Q27" s="521"/>
      <c r="R27" s="520"/>
      <c r="S27" s="520"/>
      <c r="T27" s="63">
        <f t="shared" ref="T27:W27" si="7">CelebrationType(T18)</f>
        <v>0</v>
      </c>
      <c r="U27" s="63" t="str">
        <f t="shared" si="7"/>
        <v>E</v>
      </c>
      <c r="V27" s="62">
        <f t="shared" si="7"/>
        <v>0</v>
      </c>
      <c r="W27" s="64">
        <f t="shared" si="7"/>
        <v>0</v>
      </c>
    </row>
    <row r="28" spans="3:29" ht="24" customHeight="1">
      <c r="C28" s="449"/>
      <c r="D28" s="672"/>
      <c r="E28" s="673"/>
      <c r="F28" s="672"/>
      <c r="G28" s="673"/>
      <c r="H28" s="672"/>
      <c r="I28" s="673"/>
      <c r="J28" s="672"/>
      <c r="K28" s="673"/>
      <c r="L28" s="674"/>
      <c r="M28" s="160"/>
      <c r="N28" s="28"/>
      <c r="O28" s="28"/>
      <c r="P28" s="28"/>
    </row>
    <row r="29" spans="3:29" ht="24" customHeight="1">
      <c r="C29" s="449"/>
      <c r="D29" s="672"/>
      <c r="E29" s="673"/>
      <c r="F29" s="672"/>
      <c r="G29" s="673"/>
      <c r="H29" s="672"/>
      <c r="I29" s="673"/>
      <c r="J29" s="672"/>
      <c r="K29" s="673"/>
      <c r="L29" s="674"/>
      <c r="M29" s="160"/>
      <c r="N29" s="28"/>
      <c r="O29" s="28"/>
      <c r="P29" s="28"/>
      <c r="Q29" s="5" t="s">
        <v>4108</v>
      </c>
    </row>
    <row r="30" spans="3:29" ht="24" customHeight="1">
      <c r="C30" s="449"/>
      <c r="D30" s="672"/>
      <c r="E30" s="673"/>
      <c r="F30" s="672"/>
      <c r="G30" s="673"/>
      <c r="H30" s="672"/>
      <c r="I30" s="673"/>
      <c r="J30" s="672"/>
      <c r="K30" s="673"/>
      <c r="L30" s="674"/>
      <c r="M30" s="160"/>
      <c r="N30" s="28"/>
      <c r="O30" s="28"/>
      <c r="P30" s="28"/>
    </row>
    <row r="31" spans="3:29" ht="24" customHeight="1">
      <c r="C31" s="449"/>
      <c r="D31" s="672"/>
      <c r="E31" s="673"/>
      <c r="F31" s="672"/>
      <c r="G31" s="673"/>
      <c r="H31" s="672"/>
      <c r="I31" s="673"/>
      <c r="J31" s="672"/>
      <c r="K31" s="673"/>
      <c r="L31" s="674"/>
      <c r="M31" s="160"/>
      <c r="N31" s="28"/>
      <c r="O31" s="28"/>
      <c r="P31" s="28"/>
    </row>
    <row r="32" spans="3:29" ht="24" customHeight="1">
      <c r="C32" s="449"/>
      <c r="D32" s="672"/>
      <c r="E32" s="673"/>
      <c r="F32" s="672"/>
      <c r="G32" s="673"/>
      <c r="H32" s="672"/>
      <c r="I32" s="673"/>
      <c r="J32" s="672"/>
      <c r="K32" s="673"/>
      <c r="L32" s="674"/>
      <c r="M32" s="160"/>
      <c r="N32" s="28"/>
      <c r="O32" s="28"/>
      <c r="P32" s="28"/>
    </row>
    <row r="33" spans="3:25" ht="24" customHeight="1">
      <c r="C33" s="449"/>
      <c r="D33" s="450" t="str">
        <f>EventName(E33,8)</f>
        <v/>
      </c>
      <c r="E33" s="460">
        <f>T16</f>
        <v>42754</v>
      </c>
      <c r="F33" s="450" t="str">
        <f>EventName(G33,8)</f>
        <v/>
      </c>
      <c r="G33" s="460">
        <f>U16</f>
        <v>42755</v>
      </c>
      <c r="H33" s="450" t="str">
        <f>EventName(I33,8)</f>
        <v/>
      </c>
      <c r="I33" s="460">
        <f>V16</f>
        <v>42756</v>
      </c>
      <c r="J33" s="450" t="str">
        <f>EventName(K33,8)</f>
        <v/>
      </c>
      <c r="K33" s="460">
        <f>W16</f>
        <v>42757</v>
      </c>
      <c r="L33" s="674"/>
      <c r="M33" s="160"/>
      <c r="N33" s="28"/>
      <c r="O33" s="28"/>
      <c r="P33" s="28"/>
    </row>
    <row r="34" spans="3:25" ht="24" customHeight="1">
      <c r="C34" s="466"/>
      <c r="D34" s="670" t="str">
        <f>EventsSerie1(E41)</f>
        <v/>
      </c>
      <c r="E34" s="675"/>
      <c r="F34" s="670" t="str">
        <f>EventsSerie1(G41)</f>
        <v/>
      </c>
      <c r="G34" s="671"/>
      <c r="H34" s="670" t="str">
        <f>EventsSerie1(I41) &amp; EventName(I41,7)</f>
        <v/>
      </c>
      <c r="I34" s="671"/>
      <c r="J34" s="670" t="str">
        <f>EventsSerie1(K41) &amp; EventName(K41,7)</f>
        <v/>
      </c>
      <c r="K34" s="671"/>
      <c r="L34" s="674"/>
      <c r="M34" s="160"/>
      <c r="N34" s="28"/>
      <c r="O34" s="28"/>
      <c r="P34" s="28"/>
    </row>
    <row r="35" spans="3:25" ht="24" customHeight="1">
      <c r="C35" s="467"/>
      <c r="D35" s="676"/>
      <c r="E35" s="677"/>
      <c r="F35" s="672"/>
      <c r="G35" s="673"/>
      <c r="H35" s="672"/>
      <c r="I35" s="673"/>
      <c r="J35" s="672"/>
      <c r="K35" s="673"/>
      <c r="L35" s="674"/>
      <c r="M35" s="160"/>
      <c r="N35" s="28"/>
      <c r="O35" s="28"/>
      <c r="P35" s="28"/>
    </row>
    <row r="36" spans="3:25" ht="24" customHeight="1">
      <c r="C36" s="449"/>
      <c r="D36" s="676"/>
      <c r="E36" s="677"/>
      <c r="F36" s="672"/>
      <c r="G36" s="673"/>
      <c r="H36" s="672"/>
      <c r="I36" s="673"/>
      <c r="J36" s="672"/>
      <c r="K36" s="673"/>
      <c r="L36" s="674"/>
      <c r="M36" s="160"/>
      <c r="N36" s="28"/>
      <c r="O36" s="28"/>
      <c r="P36" s="28"/>
    </row>
    <row r="37" spans="3:25" ht="24" customHeight="1">
      <c r="C37" s="449"/>
      <c r="D37" s="676"/>
      <c r="E37" s="677"/>
      <c r="F37" s="672"/>
      <c r="G37" s="673"/>
      <c r="H37" s="672"/>
      <c r="I37" s="673"/>
      <c r="J37" s="672"/>
      <c r="K37" s="673"/>
      <c r="L37" s="674"/>
      <c r="M37" s="160"/>
      <c r="N37" s="28"/>
      <c r="O37" s="28"/>
      <c r="P37" s="28"/>
    </row>
    <row r="38" spans="3:25" ht="24" customHeight="1">
      <c r="C38" s="449"/>
      <c r="D38" s="676"/>
      <c r="E38" s="677"/>
      <c r="F38" s="672"/>
      <c r="G38" s="673"/>
      <c r="H38" s="672"/>
      <c r="I38" s="673"/>
      <c r="J38" s="672"/>
      <c r="K38" s="673"/>
      <c r="L38" s="674"/>
      <c r="M38" s="160"/>
      <c r="N38" s="28"/>
      <c r="O38" s="28"/>
      <c r="P38" s="28"/>
      <c r="W38" s="43"/>
      <c r="X38" s="17">
        <v>1</v>
      </c>
      <c r="Y38" s="159" t="str">
        <f ca="1">UPPER('GPlan-Translations'!C222)</f>
        <v>JANEIRO</v>
      </c>
    </row>
    <row r="39" spans="3:25" ht="24" customHeight="1">
      <c r="C39" s="449"/>
      <c r="D39" s="676"/>
      <c r="E39" s="677"/>
      <c r="F39" s="672"/>
      <c r="G39" s="673"/>
      <c r="H39" s="672"/>
      <c r="I39" s="673"/>
      <c r="J39" s="672"/>
      <c r="K39" s="673"/>
      <c r="L39" s="674"/>
      <c r="M39" s="160"/>
      <c r="N39" s="28"/>
      <c r="O39" s="28"/>
      <c r="P39" s="28"/>
      <c r="W39" s="43"/>
      <c r="X39" s="17">
        <v>2</v>
      </c>
      <c r="Y39" s="159" t="str">
        <f ca="1">UPPER('GPlan-Translations'!C223)</f>
        <v>FEVEREIRO</v>
      </c>
    </row>
    <row r="40" spans="3:25" ht="24" customHeight="1">
      <c r="C40" s="449"/>
      <c r="D40" s="676"/>
      <c r="E40" s="677"/>
      <c r="F40" s="672"/>
      <c r="G40" s="673"/>
      <c r="H40" s="672"/>
      <c r="I40" s="673"/>
      <c r="J40" s="672"/>
      <c r="K40" s="673"/>
      <c r="L40" s="674"/>
      <c r="M40" s="160"/>
      <c r="N40" s="28"/>
      <c r="O40" s="28"/>
      <c r="P40" s="28"/>
      <c r="W40" s="43"/>
      <c r="X40" s="17">
        <v>3</v>
      </c>
      <c r="Y40" s="159" t="str">
        <f ca="1">UPPER('GPlan-Translations'!C224)</f>
        <v>MARÇO</v>
      </c>
    </row>
    <row r="41" spans="3:25" ht="24" customHeight="1">
      <c r="C41" s="449"/>
      <c r="D41" s="450" t="str">
        <f>EventName(E41,8)</f>
        <v/>
      </c>
      <c r="E41" s="460">
        <f>T17</f>
        <v>42761</v>
      </c>
      <c r="F41" s="450" t="str">
        <f>EventName(G41,8)</f>
        <v/>
      </c>
      <c r="G41" s="460">
        <f>U17</f>
        <v>42762</v>
      </c>
      <c r="H41" s="450" t="str">
        <f>EventName(I41,8)</f>
        <v/>
      </c>
      <c r="I41" s="460">
        <f>V17</f>
        <v>42763</v>
      </c>
      <c r="J41" s="450" t="str">
        <f>EventName(K41,8)</f>
        <v/>
      </c>
      <c r="K41" s="460">
        <f>W17</f>
        <v>42764</v>
      </c>
      <c r="L41" s="674"/>
      <c r="M41" s="160"/>
      <c r="N41" s="28"/>
      <c r="O41" s="28"/>
      <c r="P41" s="28"/>
      <c r="W41" s="43"/>
      <c r="X41" s="17">
        <v>4</v>
      </c>
      <c r="Y41" s="159" t="str">
        <f ca="1">UPPER('GPlan-Translations'!C225)</f>
        <v>ABRIL</v>
      </c>
    </row>
    <row r="42" spans="3:25" ht="24" customHeight="1">
      <c r="C42" s="466"/>
      <c r="D42" s="670" t="str">
        <f>EventsSerie1(E49)</f>
        <v/>
      </c>
      <c r="E42" s="671"/>
      <c r="F42" s="670" t="str">
        <f>EventsSerie1(G49)</f>
        <v xml:space="preserve">Sri Advaita Acarya - Aparecimento
(Jejum hoje)
</v>
      </c>
      <c r="G42" s="671"/>
      <c r="H42" s="670" t="str">
        <f>EventsSerie1(I49) &amp; EventName(I49,7)</f>
        <v xml:space="preserve">Bhismastami
</v>
      </c>
      <c r="I42" s="671"/>
      <c r="J42" s="670" t="str">
        <f>EventsSerie1(K49) &amp; EventName(K49,7)</f>
        <v xml:space="preserve">Sri Madhvacarya - Desaparecimento
</v>
      </c>
      <c r="K42" s="671"/>
      <c r="L42" s="674"/>
      <c r="M42" s="160"/>
      <c r="N42" s="28"/>
      <c r="O42" s="28"/>
      <c r="P42" s="28"/>
      <c r="W42" s="43"/>
      <c r="X42" s="17">
        <v>5</v>
      </c>
      <c r="Y42" s="159" t="str">
        <f ca="1">UPPER('GPlan-Translations'!C226)</f>
        <v>MAIO</v>
      </c>
    </row>
    <row r="43" spans="3:25" ht="24" customHeight="1">
      <c r="C43" s="467"/>
      <c r="D43" s="672"/>
      <c r="E43" s="673"/>
      <c r="F43" s="672"/>
      <c r="G43" s="673"/>
      <c r="H43" s="672"/>
      <c r="I43" s="673"/>
      <c r="J43" s="672"/>
      <c r="K43" s="673"/>
      <c r="L43" s="674"/>
      <c r="M43" s="160"/>
      <c r="N43" s="28"/>
      <c r="O43" s="28"/>
      <c r="P43" s="28"/>
      <c r="W43" s="43"/>
      <c r="X43" s="17">
        <v>6</v>
      </c>
      <c r="Y43" s="159" t="str">
        <f ca="1">UPPER('GPlan-Translations'!C227)</f>
        <v>JUNHO</v>
      </c>
    </row>
    <row r="44" spans="3:25" ht="24" customHeight="1">
      <c r="C44" s="449"/>
      <c r="D44" s="672"/>
      <c r="E44" s="673"/>
      <c r="F44" s="672"/>
      <c r="G44" s="673"/>
      <c r="H44" s="672"/>
      <c r="I44" s="673"/>
      <c r="J44" s="672"/>
      <c r="K44" s="673"/>
      <c r="L44" s="674"/>
      <c r="M44" s="160"/>
      <c r="N44" s="28"/>
      <c r="O44" s="28"/>
      <c r="W44" s="43"/>
      <c r="X44" s="17">
        <v>7</v>
      </c>
      <c r="Y44" s="159" t="str">
        <f ca="1">UPPER('GPlan-Translations'!C228)</f>
        <v>JULHO</v>
      </c>
    </row>
    <row r="45" spans="3:25" ht="24" customHeight="1">
      <c r="C45" s="449"/>
      <c r="D45" s="672"/>
      <c r="E45" s="673"/>
      <c r="F45" s="672"/>
      <c r="G45" s="673"/>
      <c r="H45" s="672"/>
      <c r="I45" s="673"/>
      <c r="J45" s="672"/>
      <c r="K45" s="673"/>
      <c r="L45" s="674"/>
      <c r="M45" s="160"/>
      <c r="N45" s="28"/>
      <c r="O45" s="28"/>
      <c r="W45" s="43"/>
      <c r="X45" s="17">
        <v>8</v>
      </c>
      <c r="Y45" s="159" t="str">
        <f ca="1">UPPER('GPlan-Translations'!C229)</f>
        <v>AGOSTO</v>
      </c>
    </row>
    <row r="46" spans="3:25" ht="24" customHeight="1">
      <c r="C46" s="449"/>
      <c r="D46" s="672"/>
      <c r="E46" s="673"/>
      <c r="F46" s="672"/>
      <c r="G46" s="673"/>
      <c r="H46" s="672"/>
      <c r="I46" s="673"/>
      <c r="J46" s="672"/>
      <c r="K46" s="673"/>
      <c r="L46" s="674"/>
      <c r="M46" s="160"/>
      <c r="N46" s="28"/>
      <c r="O46" s="28"/>
      <c r="W46" s="43"/>
      <c r="X46" s="17">
        <v>9</v>
      </c>
      <c r="Y46" s="159" t="str">
        <f ca="1">UPPER('GPlan-Translations'!C230)</f>
        <v>SETEMBRO</v>
      </c>
    </row>
    <row r="47" spans="3:25" ht="24" customHeight="1">
      <c r="C47" s="449"/>
      <c r="D47" s="672"/>
      <c r="E47" s="673"/>
      <c r="F47" s="672"/>
      <c r="G47" s="673"/>
      <c r="H47" s="672"/>
      <c r="I47" s="673"/>
      <c r="J47" s="672"/>
      <c r="K47" s="673"/>
      <c r="L47" s="674"/>
      <c r="M47" s="160"/>
      <c r="N47" s="28"/>
      <c r="O47" s="28"/>
      <c r="W47" s="43"/>
      <c r="X47" s="17">
        <v>10</v>
      </c>
      <c r="Y47" s="159" t="str">
        <f ca="1">UPPER('GPlan-Translations'!C231)</f>
        <v>OUTUBRO</v>
      </c>
    </row>
    <row r="48" spans="3:25" ht="24" customHeight="1">
      <c r="C48" s="449"/>
      <c r="D48" s="672"/>
      <c r="E48" s="673"/>
      <c r="F48" s="672"/>
      <c r="G48" s="673"/>
      <c r="H48" s="672"/>
      <c r="I48" s="673"/>
      <c r="J48" s="672"/>
      <c r="K48" s="673"/>
      <c r="L48" s="674"/>
      <c r="M48" s="160"/>
      <c r="N48" s="28"/>
      <c r="O48" s="28"/>
      <c r="W48" s="43"/>
      <c r="X48" s="17">
        <v>11</v>
      </c>
      <c r="Y48" s="159" t="str">
        <f ca="1">UPPER('GPlan-Translations'!C232)</f>
        <v>NOVEMBRO</v>
      </c>
    </row>
    <row r="49" spans="3:25" ht="24" customHeight="1">
      <c r="C49" s="449"/>
      <c r="D49" s="450" t="str">
        <f>EventName(E49,8)</f>
        <v/>
      </c>
      <c r="E49" s="460">
        <f>T18</f>
        <v>42768</v>
      </c>
      <c r="F49" s="450" t="str">
        <f>EventName(G49,8)</f>
        <v/>
      </c>
      <c r="G49" s="460">
        <f>U18</f>
        <v>42769</v>
      </c>
      <c r="H49" s="450" t="str">
        <f>EventName(I49,8)</f>
        <v/>
      </c>
      <c r="I49" s="460">
        <f>V18</f>
        <v>42770</v>
      </c>
      <c r="J49" s="450" t="str">
        <f>EventName(K49,8)</f>
        <v/>
      </c>
      <c r="K49" s="460">
        <f>W18</f>
        <v>42771</v>
      </c>
      <c r="L49" s="674"/>
      <c r="M49" s="160"/>
      <c r="N49" s="28"/>
      <c r="O49" s="28"/>
      <c r="W49" s="43"/>
      <c r="X49" s="17">
        <v>12</v>
      </c>
      <c r="Y49" s="159" t="str">
        <f ca="1">UPPER('GPlan-Translations'!C233)</f>
        <v>DEZEMBRO</v>
      </c>
    </row>
    <row r="50" spans="3:25"/>
  </sheetData>
  <sheetProtection sheet="1" objects="1" scenarios="1"/>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K9">
    <cfRule type="expression" dxfId="127" priority="4" stopIfTrue="1">
      <formula>W22="F"</formula>
    </cfRule>
    <cfRule type="expression" dxfId="126" priority="5" stopIfTrue="1">
      <formula>W22="E"</formula>
    </cfRule>
    <cfRule type="expression" dxfId="125" priority="6" stopIfTrue="1">
      <formula>W22="C"</formula>
    </cfRule>
  </conditionalFormatting>
  <conditionalFormatting sqref="I9">
    <cfRule type="expression" dxfId="124" priority="7" stopIfTrue="1">
      <formula>V22="F"</formula>
    </cfRule>
    <cfRule type="expression" dxfId="123" priority="8" stopIfTrue="1">
      <formula>V22="E"</formula>
    </cfRule>
    <cfRule type="expression" dxfId="122" priority="9" stopIfTrue="1">
      <formula>V22="C"</formula>
    </cfRule>
  </conditionalFormatting>
  <conditionalFormatting sqref="G9">
    <cfRule type="expression" dxfId="121" priority="10" stopIfTrue="1">
      <formula>U22="F"</formula>
    </cfRule>
    <cfRule type="expression" dxfId="120" priority="11" stopIfTrue="1">
      <formula>U22="E"</formula>
    </cfRule>
    <cfRule type="expression" dxfId="119" priority="12" stopIfTrue="1">
      <formula>U22="C"</formula>
    </cfRule>
  </conditionalFormatting>
  <conditionalFormatting sqref="K17">
    <cfRule type="expression" dxfId="118" priority="22" stopIfTrue="1">
      <formula>W23="F"</formula>
    </cfRule>
    <cfRule type="expression" dxfId="117" priority="23" stopIfTrue="1">
      <formula>W23="E"</formula>
    </cfRule>
    <cfRule type="expression" dxfId="116" priority="24" stopIfTrue="1">
      <formula>W23="C"</formula>
    </cfRule>
  </conditionalFormatting>
  <conditionalFormatting sqref="I17">
    <cfRule type="expression" dxfId="115" priority="25" stopIfTrue="1">
      <formula>V23="F"</formula>
    </cfRule>
    <cfRule type="expression" dxfId="114" priority="26" stopIfTrue="1">
      <formula>V23="E"</formula>
    </cfRule>
    <cfRule type="expression" dxfId="113" priority="27" stopIfTrue="1">
      <formula>V23="C"</formula>
    </cfRule>
  </conditionalFormatting>
  <conditionalFormatting sqref="G17">
    <cfRule type="expression" dxfId="112" priority="28" stopIfTrue="1">
      <formula>U23="F"</formula>
    </cfRule>
    <cfRule type="expression" dxfId="111" priority="29" stopIfTrue="1">
      <formula>U23="E"</formula>
    </cfRule>
    <cfRule type="expression" dxfId="110" priority="30" stopIfTrue="1">
      <formula>U23="C"</formula>
    </cfRule>
  </conditionalFormatting>
  <conditionalFormatting sqref="K25">
    <cfRule type="expression" dxfId="109" priority="40" stopIfTrue="1">
      <formula>W24="F"</formula>
    </cfRule>
    <cfRule type="expression" dxfId="108" priority="41" stopIfTrue="1">
      <formula>W24="E"</formula>
    </cfRule>
    <cfRule type="expression" dxfId="107" priority="42" stopIfTrue="1">
      <formula>W24="C"</formula>
    </cfRule>
  </conditionalFormatting>
  <conditionalFormatting sqref="I25">
    <cfRule type="expression" dxfId="106" priority="43" stopIfTrue="1">
      <formula>V24="F"</formula>
    </cfRule>
    <cfRule type="expression" dxfId="105" priority="44" stopIfTrue="1">
      <formula>V24="E"</formula>
    </cfRule>
    <cfRule type="expression" dxfId="104" priority="45" stopIfTrue="1">
      <formula>V24="C"</formula>
    </cfRule>
  </conditionalFormatting>
  <conditionalFormatting sqref="G25">
    <cfRule type="expression" dxfId="103" priority="46" stopIfTrue="1">
      <formula>U24="F"</formula>
    </cfRule>
    <cfRule type="expression" dxfId="102" priority="47" stopIfTrue="1">
      <formula>U24="E"</formula>
    </cfRule>
    <cfRule type="expression" dxfId="101" priority="48" stopIfTrue="1">
      <formula>U24="C"</formula>
    </cfRule>
  </conditionalFormatting>
  <conditionalFormatting sqref="K33">
    <cfRule type="expression" dxfId="100" priority="58" stopIfTrue="1">
      <formula>W25="F"</formula>
    </cfRule>
    <cfRule type="expression" dxfId="99" priority="59" stopIfTrue="1">
      <formula>W25="E"</formula>
    </cfRule>
    <cfRule type="expression" dxfId="98" priority="60" stopIfTrue="1">
      <formula>W25="C"</formula>
    </cfRule>
  </conditionalFormatting>
  <conditionalFormatting sqref="I33">
    <cfRule type="expression" dxfId="97" priority="61" stopIfTrue="1">
      <formula>V25="F"</formula>
    </cfRule>
    <cfRule type="expression" dxfId="96" priority="62" stopIfTrue="1">
      <formula>V25="E"</formula>
    </cfRule>
    <cfRule type="expression" dxfId="95" priority="63" stopIfTrue="1">
      <formula>V25="C"</formula>
    </cfRule>
  </conditionalFormatting>
  <conditionalFormatting sqref="G33">
    <cfRule type="expression" dxfId="94" priority="64" stopIfTrue="1">
      <formula>U25="F"</formula>
    </cfRule>
    <cfRule type="expression" dxfId="93" priority="65" stopIfTrue="1">
      <formula>U25="E"</formula>
    </cfRule>
    <cfRule type="expression" dxfId="92" priority="66" stopIfTrue="1">
      <formula>U25="C"</formula>
    </cfRule>
  </conditionalFormatting>
  <conditionalFormatting sqref="K41">
    <cfRule type="expression" dxfId="91" priority="76" stopIfTrue="1">
      <formula>W26="F"</formula>
    </cfRule>
    <cfRule type="expression" dxfId="90" priority="77" stopIfTrue="1">
      <formula>W26="E"</formula>
    </cfRule>
    <cfRule type="expression" dxfId="89" priority="78" stopIfTrue="1">
      <formula>W26="C"</formula>
    </cfRule>
  </conditionalFormatting>
  <conditionalFormatting sqref="I41">
    <cfRule type="expression" dxfId="88" priority="79" stopIfTrue="1">
      <formula>V26="F"</formula>
    </cfRule>
    <cfRule type="expression" dxfId="87" priority="80" stopIfTrue="1">
      <formula>V26="E"</formula>
    </cfRule>
    <cfRule type="expression" dxfId="86" priority="81" stopIfTrue="1">
      <formula>V26="C"</formula>
    </cfRule>
  </conditionalFormatting>
  <conditionalFormatting sqref="G41">
    <cfRule type="expression" dxfId="85" priority="82" stopIfTrue="1">
      <formula>U26="F"</formula>
    </cfRule>
    <cfRule type="expression" dxfId="84" priority="83" stopIfTrue="1">
      <formula>U26="E"</formula>
    </cfRule>
    <cfRule type="expression" dxfId="83" priority="84" stopIfTrue="1">
      <formula>U26="C"</formula>
    </cfRule>
  </conditionalFormatting>
  <conditionalFormatting sqref="K49">
    <cfRule type="expression" dxfId="82" priority="94" stopIfTrue="1">
      <formula>W27="F"</formula>
    </cfRule>
    <cfRule type="expression" dxfId="81" priority="95" stopIfTrue="1">
      <formula>W27="E"</formula>
    </cfRule>
    <cfRule type="expression" dxfId="80" priority="96" stopIfTrue="1">
      <formula>W27="C"</formula>
    </cfRule>
  </conditionalFormatting>
  <conditionalFormatting sqref="I49">
    <cfRule type="expression" dxfId="79" priority="97" stopIfTrue="1">
      <formula>V27="F"</formula>
    </cfRule>
    <cfRule type="expression" dxfId="78" priority="98" stopIfTrue="1">
      <formula>V27="E"</formula>
    </cfRule>
    <cfRule type="expression" dxfId="77" priority="99" stopIfTrue="1">
      <formula>V27="C"</formula>
    </cfRule>
  </conditionalFormatting>
  <conditionalFormatting sqref="G49">
    <cfRule type="expression" dxfId="76" priority="100" stopIfTrue="1">
      <formula>U27="F"</formula>
    </cfRule>
    <cfRule type="expression" dxfId="75" priority="101" stopIfTrue="1">
      <formula>U27="E"</formula>
    </cfRule>
    <cfRule type="expression" dxfId="74" priority="102" stopIfTrue="1">
      <formula>U27="C"</formula>
    </cfRule>
  </conditionalFormatting>
  <conditionalFormatting sqref="E17">
    <cfRule type="expression" dxfId="73" priority="109" stopIfTrue="1">
      <formula>T23="F"</formula>
    </cfRule>
    <cfRule type="expression" dxfId="72" priority="110" stopIfTrue="1">
      <formula>T23="E"</formula>
    </cfRule>
    <cfRule type="expression" dxfId="71" priority="111" stopIfTrue="1">
      <formula>T23="C"</formula>
    </cfRule>
  </conditionalFormatting>
  <conditionalFormatting sqref="E9">
    <cfRule type="expression" dxfId="70" priority="112" stopIfTrue="1">
      <formula>T22="F"</formula>
    </cfRule>
    <cfRule type="expression" dxfId="69" priority="113" stopIfTrue="1">
      <formula>T22="E"</formula>
    </cfRule>
    <cfRule type="expression" dxfId="68" priority="114" stopIfTrue="1">
      <formula>T22="C"</formula>
    </cfRule>
  </conditionalFormatting>
  <conditionalFormatting sqref="E25">
    <cfRule type="expression" dxfId="67" priority="115" stopIfTrue="1">
      <formula>T24="F"</formula>
    </cfRule>
    <cfRule type="expression" dxfId="66" priority="116" stopIfTrue="1">
      <formula>T24="E"</formula>
    </cfRule>
    <cfRule type="expression" dxfId="65" priority="117" stopIfTrue="1">
      <formula>T24="C"</formula>
    </cfRule>
  </conditionalFormatting>
  <conditionalFormatting sqref="E33">
    <cfRule type="expression" dxfId="64" priority="118" stopIfTrue="1">
      <formula>T25="F"</formula>
    </cfRule>
    <cfRule type="expression" dxfId="63" priority="119" stopIfTrue="1">
      <formula>T25="E"</formula>
    </cfRule>
    <cfRule type="expression" dxfId="62" priority="120" stopIfTrue="1">
      <formula>T25="C"</formula>
    </cfRule>
  </conditionalFormatting>
  <conditionalFormatting sqref="E41">
    <cfRule type="expression" dxfId="61" priority="121" stopIfTrue="1">
      <formula>T26="F"</formula>
    </cfRule>
    <cfRule type="expression" dxfId="60" priority="122" stopIfTrue="1">
      <formula>T26="E"</formula>
    </cfRule>
    <cfRule type="expression" dxfId="59" priority="123" stopIfTrue="1">
      <formula>T26="C"</formula>
    </cfRule>
  </conditionalFormatting>
  <conditionalFormatting sqref="E49">
    <cfRule type="expression" dxfId="58" priority="124" stopIfTrue="1">
      <formula>T27="F"</formula>
    </cfRule>
    <cfRule type="expression" dxfId="57" priority="125" stopIfTrue="1">
      <formula>T27="E"</formula>
    </cfRule>
    <cfRule type="expression" dxfId="56" priority="126" stopIfTrue="1">
      <formula>T27="C"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3778" r:id="rId4" name="MonthSelect1">
              <controlPr defaultSize="0" print="0" autoPict="0">
                <anchor>
                  <from>
                    <xdr:col>11</xdr:col>
                    <xdr:colOff>66675</xdr:colOff>
                    <xdr:row>17</xdr:row>
                    <xdr:rowOff>238125</xdr:rowOff>
                  </from>
                  <to>
                    <xdr:col>11</xdr:col>
                    <xdr:colOff>590550</xdr:colOff>
                    <xdr:row>19</xdr:row>
                    <xdr:rowOff>209550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Left">
    <pageSetUpPr fitToPage="1"/>
  </sheetPr>
  <dimension ref="A1:AK58"/>
  <sheetViews>
    <sheetView showGridLines="0" showRowColHeaders="0" zoomScaleNormal="100" zoomScaleSheetLayoutView="100" workbookViewId="0">
      <selection sqref="A1:D2"/>
    </sheetView>
  </sheetViews>
  <sheetFormatPr defaultColWidth="0" defaultRowHeight="18" zeroHeight="1"/>
  <cols>
    <col min="1" max="3" width="3.42578125" customWidth="1"/>
    <col min="4" max="4" width="15.7109375" customWidth="1"/>
    <col min="5" max="5" width="17.140625" customWidth="1"/>
    <col min="6" max="6" width="3.42578125" customWidth="1"/>
    <col min="7" max="7" width="1" customWidth="1"/>
    <col min="8" max="8" width="10.7109375" customWidth="1"/>
    <col min="9" max="11" width="4.28515625" customWidth="1"/>
    <col min="12" max="12" width="1" customWidth="1"/>
    <col min="13" max="13" width="10.7109375" customWidth="1"/>
    <col min="14" max="16" width="4.28515625" customWidth="1"/>
    <col min="17" max="17" width="1" customWidth="1"/>
    <col min="18" max="18" width="4.140625" customWidth="1"/>
    <col min="19" max="19" width="0.42578125" customWidth="1"/>
    <col min="20" max="20" width="1.5703125" hidden="1" customWidth="1"/>
    <col min="21" max="21" width="11.7109375" hidden="1" customWidth="1"/>
    <col min="22" max="22" width="12" hidden="1" customWidth="1"/>
    <col min="23" max="24" width="12.7109375" hidden="1" customWidth="1"/>
    <col min="25" max="27" width="9.140625" hidden="1" customWidth="1"/>
    <col min="28" max="29" width="11.85546875" hidden="1" customWidth="1"/>
    <col min="30" max="31" width="9.140625" hidden="1" customWidth="1"/>
    <col min="32" max="32" width="2.85546875" hidden="1" customWidth="1"/>
    <col min="33" max="33" width="10.7109375" style="66" hidden="1" customWidth="1"/>
    <col min="34" max="35" width="4.28515625" style="68" hidden="1" customWidth="1"/>
    <col min="36" max="36" width="4.28515625" style="66" hidden="1" customWidth="1"/>
    <col min="37" max="37" width="2.85546875" hidden="1" customWidth="1"/>
    <col min="38" max="16384" width="9.140625" hidden="1"/>
  </cols>
  <sheetData>
    <row r="1" spans="1:36">
      <c r="A1" s="709" t="str">
        <f>IFERROR(AA17,"")</f>
        <v>2016/17</v>
      </c>
      <c r="B1" s="709"/>
      <c r="C1" s="709"/>
      <c r="D1" s="709"/>
      <c r="E1" s="710" t="str">
        <f ca="1">X9</f>
        <v>Semana 53 /1</v>
      </c>
      <c r="F1" s="710"/>
      <c r="G1" s="112"/>
      <c r="H1" s="314" t="str">
        <f>DayWeek(I1)</f>
        <v>Segunda</v>
      </c>
      <c r="I1" s="711">
        <f>N1-1</f>
        <v>42730</v>
      </c>
      <c r="J1" s="711"/>
      <c r="K1" s="112" t="str">
        <f>MoonPhase(I1)</f>
        <v>Ming</v>
      </c>
      <c r="L1" s="112"/>
      <c r="M1" s="314" t="str">
        <f>DayWeek(N1)</f>
        <v>Terça</v>
      </c>
      <c r="N1" s="711">
        <f>'Weekly-Right'!D1-1</f>
        <v>42731</v>
      </c>
      <c r="O1" s="711"/>
      <c r="P1" s="112" t="str">
        <f>MoonPhase(N1)</f>
        <v>Ming</v>
      </c>
      <c r="Q1" s="112"/>
      <c r="R1" s="66"/>
      <c r="S1" s="66"/>
      <c r="T1" s="67"/>
      <c r="U1" s="204" t="str">
        <f ca="1">'GPlan-Translations'!$C$270</f>
        <v>Tabelas (para Formatação Condicional)</v>
      </c>
      <c r="V1" s="204"/>
      <c r="W1" s="204"/>
      <c r="X1" s="204"/>
      <c r="AG1" s="604" t="s">
        <v>593</v>
      </c>
      <c r="AH1" s="711">
        <v>-1</v>
      </c>
      <c r="AI1" s="711"/>
      <c r="AJ1" s="112" t="s">
        <v>866</v>
      </c>
    </row>
    <row r="2" spans="1:36">
      <c r="A2" s="709"/>
      <c r="B2" s="709"/>
      <c r="C2" s="709"/>
      <c r="D2" s="709"/>
      <c r="E2" s="712" t="str">
        <f>AA20</f>
        <v>530 Gaurabda</v>
      </c>
      <c r="F2" s="713"/>
      <c r="G2" s="28"/>
      <c r="H2" s="316" t="str">
        <f>PakshaName(I1)</f>
        <v>Krsna Paksa</v>
      </c>
      <c r="I2" s="711"/>
      <c r="J2" s="711"/>
      <c r="K2" s="162" t="str">
        <f>MoonSymbol(I1)</f>
        <v>)</v>
      </c>
      <c r="L2" s="28"/>
      <c r="M2" s="316" t="str">
        <f>PakshaName(N1)</f>
        <v>Krsna Paksa</v>
      </c>
      <c r="N2" s="711"/>
      <c r="O2" s="711"/>
      <c r="P2" s="162" t="str">
        <f>MoonSymbol(N1)</f>
        <v>)</v>
      </c>
      <c r="Q2" s="28"/>
      <c r="R2" s="66"/>
      <c r="S2" s="66"/>
      <c r="T2" s="67"/>
      <c r="U2" s="205" t="str">
        <f ca="1">'GPlan-Translations'!$C$262</f>
        <v>Dia</v>
      </c>
      <c r="V2" s="205" t="str">
        <f ca="1">'GPlan-Translations'!$C$263</f>
        <v>Feriado</v>
      </c>
      <c r="W2" s="205" t="str">
        <f ca="1">'GPlan-Translations'!$C$264</f>
        <v>Comemoração</v>
      </c>
      <c r="X2" s="205" t="str">
        <f ca="1">'GPlan-Translations'!$C$265</f>
        <v>Jejum</v>
      </c>
      <c r="Y2" s="208" t="s">
        <v>4505</v>
      </c>
      <c r="Z2" s="208" t="s">
        <v>5458</v>
      </c>
      <c r="AA2" s="416">
        <v>1</v>
      </c>
      <c r="AB2" s="432" t="str">
        <f ca="1">'GPlan-Translations'!C222</f>
        <v>Janeiro</v>
      </c>
      <c r="AG2" s="603" t="s">
        <v>4578</v>
      </c>
      <c r="AH2" s="711"/>
      <c r="AI2" s="711"/>
      <c r="AJ2" s="162" t="s">
        <v>384</v>
      </c>
    </row>
    <row r="3" spans="1:36">
      <c r="A3" s="714" t="str">
        <f ca="1">IFERROR(AA19,"")</f>
        <v>Dezembro / Janeiro</v>
      </c>
      <c r="B3" s="714"/>
      <c r="C3" s="714"/>
      <c r="D3" s="714"/>
      <c r="E3" s="716" t="str">
        <f>AA21</f>
        <v>Narayana Masa</v>
      </c>
      <c r="F3" s="718" t="str">
        <f ca="1">'GPlan-Translations'!C255</f>
        <v>Importante</v>
      </c>
      <c r="G3" s="28"/>
      <c r="H3" s="704" t="str">
        <f>TithiName(I1)</f>
        <v>Trayodasi Tithi</v>
      </c>
      <c r="I3" s="704"/>
      <c r="J3" s="704"/>
      <c r="K3" s="169" t="str">
        <f>FastMark(I1)</f>
        <v/>
      </c>
      <c r="L3" s="28"/>
      <c r="M3" s="704" t="str">
        <f>TithiName(N1)</f>
        <v>Caturdasi Tithi</v>
      </c>
      <c r="N3" s="704"/>
      <c r="O3" s="704"/>
      <c r="P3" s="169" t="str">
        <f>FastMark(N1)</f>
        <v/>
      </c>
      <c r="Q3" s="28"/>
      <c r="R3" s="66"/>
      <c r="S3" s="66"/>
      <c r="T3" s="67"/>
      <c r="U3" s="206">
        <f>I1</f>
        <v>42730</v>
      </c>
      <c r="V3" s="312" t="str">
        <f>IF(Y3&lt;-10,"F","")</f>
        <v/>
      </c>
      <c r="W3" s="312" t="str">
        <f>IF(AND(Y3&lt;100,Y3&gt;20),"C","")</f>
        <v/>
      </c>
      <c r="X3" s="207" t="str">
        <f>K3</f>
        <v/>
      </c>
      <c r="Y3" s="210">
        <f>DayClass(U3)</f>
        <v>3</v>
      </c>
      <c r="Z3" s="210">
        <f>CelebrationType(U3)</f>
        <v>0</v>
      </c>
      <c r="AA3" s="418">
        <v>2</v>
      </c>
      <c r="AB3" s="239" t="str">
        <f ca="1">'GPlan-Translations'!C223</f>
        <v>Fevereiro</v>
      </c>
      <c r="AG3" s="704" t="s">
        <v>4647</v>
      </c>
      <c r="AH3" s="704"/>
      <c r="AI3" s="704"/>
      <c r="AJ3" s="169" t="s">
        <v>473</v>
      </c>
    </row>
    <row r="4" spans="1:36" ht="19.5" customHeight="1">
      <c r="A4" s="714"/>
      <c r="B4" s="714"/>
      <c r="C4" s="714"/>
      <c r="D4" s="714"/>
      <c r="E4" s="716"/>
      <c r="F4" s="718"/>
      <c r="G4" s="315"/>
      <c r="H4" s="684" t="str">
        <f>EventsSerie1(I1)</f>
        <v xml:space="preserve">Sri Mahesa Pandita - Desaparecimento
Sri Uddharana Datta Thakura - Desaparecimento
</v>
      </c>
      <c r="I4" s="684"/>
      <c r="J4" s="684"/>
      <c r="K4" s="684"/>
      <c r="L4" s="315"/>
      <c r="M4" s="684" t="str">
        <f>EventsSerie1(N1)</f>
        <v/>
      </c>
      <c r="N4" s="684"/>
      <c r="O4" s="684"/>
      <c r="P4" s="684"/>
      <c r="Q4" s="315"/>
      <c r="R4" s="66"/>
      <c r="S4" s="66"/>
      <c r="T4" s="67"/>
      <c r="U4" s="206">
        <f>N1</f>
        <v>42731</v>
      </c>
      <c r="V4" s="312" t="str">
        <f>IF(Y4&lt;-10,"F","")</f>
        <v/>
      </c>
      <c r="W4" s="312" t="str">
        <f>IF(AND(Y4&lt;100,Y4&gt;20),"C","")</f>
        <v/>
      </c>
      <c r="X4" s="207" t="str">
        <f>P3</f>
        <v/>
      </c>
      <c r="Y4" s="210">
        <f>DayClass(U4)</f>
        <v>0</v>
      </c>
      <c r="Z4" s="210">
        <f>CelebrationType(U4)</f>
        <v>0</v>
      </c>
      <c r="AA4" s="418">
        <v>3</v>
      </c>
      <c r="AB4" s="239" t="str">
        <f ca="1">'GPlan-Translations'!C224</f>
        <v>Março</v>
      </c>
      <c r="AG4" s="684" t="s">
        <v>473</v>
      </c>
      <c r="AH4" s="684"/>
      <c r="AI4" s="684"/>
      <c r="AJ4" s="684"/>
    </row>
    <row r="5" spans="1:36" ht="19.5" customHeight="1" thickBot="1">
      <c r="A5" s="715"/>
      <c r="B5" s="715"/>
      <c r="C5" s="715"/>
      <c r="D5" s="715"/>
      <c r="E5" s="717"/>
      <c r="F5" s="718"/>
      <c r="G5" s="315"/>
      <c r="H5" s="685"/>
      <c r="I5" s="685"/>
      <c r="J5" s="685"/>
      <c r="K5" s="685"/>
      <c r="L5" s="315"/>
      <c r="M5" s="685"/>
      <c r="N5" s="685"/>
      <c r="O5" s="685"/>
      <c r="P5" s="685"/>
      <c r="Q5" s="315"/>
      <c r="R5" s="66"/>
      <c r="S5" s="66"/>
      <c r="T5" s="67"/>
      <c r="U5" s="68"/>
      <c r="V5" s="68"/>
      <c r="W5" s="68"/>
      <c r="X5" s="68"/>
      <c r="AA5" s="418">
        <v>4</v>
      </c>
      <c r="AB5" s="239" t="str">
        <f ca="1">'GPlan-Translations'!C225</f>
        <v>Abril</v>
      </c>
      <c r="AG5" s="685"/>
      <c r="AH5" s="685"/>
      <c r="AI5" s="685"/>
      <c r="AJ5" s="685"/>
    </row>
    <row r="6" spans="1:36" ht="19.5" customHeight="1" thickBot="1">
      <c r="A6" s="692" t="str">
        <f ca="1">'GPlan-Translations'!C250</f>
        <v>Aperfeiçoamento Pessoal</v>
      </c>
      <c r="B6" s="693"/>
      <c r="C6" s="693"/>
      <c r="D6" s="693"/>
      <c r="E6" s="694"/>
      <c r="F6" s="718"/>
      <c r="G6" s="315"/>
      <c r="H6" s="685"/>
      <c r="I6" s="685"/>
      <c r="J6" s="685"/>
      <c r="K6" s="685"/>
      <c r="L6" s="315"/>
      <c r="M6" s="685"/>
      <c r="N6" s="685"/>
      <c r="O6" s="685"/>
      <c r="P6" s="685"/>
      <c r="Q6" s="315"/>
      <c r="R6" s="66"/>
      <c r="S6" s="66"/>
      <c r="T6" s="67"/>
      <c r="U6" s="441">
        <v>1</v>
      </c>
      <c r="V6" s="300" t="s">
        <v>4516</v>
      </c>
      <c r="W6" s="437">
        <v>1</v>
      </c>
      <c r="X6" s="437">
        <v>2</v>
      </c>
      <c r="AA6" s="418">
        <v>5</v>
      </c>
      <c r="AB6" s="239" t="str">
        <f ca="1">'GPlan-Translations'!C226</f>
        <v>Maio</v>
      </c>
      <c r="AG6" s="685"/>
      <c r="AH6" s="685"/>
      <c r="AI6" s="685"/>
      <c r="AJ6" s="685"/>
    </row>
    <row r="7" spans="1:36" ht="19.5" customHeight="1">
      <c r="A7" s="705" t="str">
        <f ca="1">'GPlan-Translations'!C251</f>
        <v>Espiritual</v>
      </c>
      <c r="B7" s="706"/>
      <c r="C7" s="706"/>
      <c r="D7" s="84"/>
      <c r="E7" s="119"/>
      <c r="F7" s="718"/>
      <c r="G7" s="315"/>
      <c r="H7" s="685"/>
      <c r="I7" s="685"/>
      <c r="J7" s="685"/>
      <c r="K7" s="685"/>
      <c r="L7" s="315"/>
      <c r="M7" s="685"/>
      <c r="N7" s="685"/>
      <c r="O7" s="685"/>
      <c r="P7" s="685"/>
      <c r="Q7" s="315"/>
      <c r="R7" s="66"/>
      <c r="S7" s="66"/>
      <c r="T7" s="67"/>
      <c r="U7" s="439">
        <f>HLOOKUP(U6,$W$6:$X$7,2,FALSE)</f>
        <v>2017</v>
      </c>
      <c r="V7" s="438">
        <v>41183</v>
      </c>
      <c r="W7" s="437">
        <f>StartYear()</f>
        <v>2017</v>
      </c>
      <c r="X7" s="437">
        <f>W7+1</f>
        <v>2018</v>
      </c>
      <c r="AA7" s="418">
        <v>6</v>
      </c>
      <c r="AB7" s="239" t="str">
        <f ca="1">'GPlan-Translations'!C227</f>
        <v>Junho</v>
      </c>
      <c r="AG7" s="685"/>
      <c r="AH7" s="685"/>
      <c r="AI7" s="685"/>
      <c r="AJ7" s="685"/>
    </row>
    <row r="8" spans="1:36" ht="19.5" customHeight="1">
      <c r="A8" s="707" t="str">
        <f ca="1">'GPlan-Translations'!C252</f>
        <v>Emocional</v>
      </c>
      <c r="B8" s="708"/>
      <c r="C8" s="708"/>
      <c r="D8" s="85"/>
      <c r="E8" s="118"/>
      <c r="F8" s="718"/>
      <c r="G8" s="315"/>
      <c r="H8" s="685"/>
      <c r="I8" s="685"/>
      <c r="J8" s="685"/>
      <c r="K8" s="685"/>
      <c r="L8" s="315"/>
      <c r="M8" s="685"/>
      <c r="N8" s="685"/>
      <c r="O8" s="685"/>
      <c r="P8" s="685"/>
      <c r="Q8" s="315"/>
      <c r="R8" s="66"/>
      <c r="S8" s="66"/>
      <c r="T8" s="67"/>
      <c r="AA8" s="418">
        <v>7</v>
      </c>
      <c r="AB8" s="239" t="str">
        <f ca="1">'GPlan-Translations'!C228</f>
        <v>Julho</v>
      </c>
      <c r="AG8" s="685"/>
      <c r="AH8" s="685"/>
      <c r="AI8" s="685"/>
      <c r="AJ8" s="685"/>
    </row>
    <row r="9" spans="1:36" ht="19.5" customHeight="1">
      <c r="A9" s="707" t="str">
        <f ca="1">'GPlan-Translations'!C253</f>
        <v>Intelectual</v>
      </c>
      <c r="B9" s="708"/>
      <c r="C9" s="708"/>
      <c r="D9" s="85"/>
      <c r="E9" s="118"/>
      <c r="F9" s="718"/>
      <c r="G9" s="315"/>
      <c r="H9" s="685"/>
      <c r="I9" s="685"/>
      <c r="J9" s="685"/>
      <c r="K9" s="685"/>
      <c r="L9" s="315"/>
      <c r="M9" s="685"/>
      <c r="N9" s="685"/>
      <c r="O9" s="685"/>
      <c r="P9" s="685"/>
      <c r="Q9" s="315"/>
      <c r="R9" s="66"/>
      <c r="S9" s="66"/>
      <c r="T9" s="67"/>
      <c r="U9" s="439">
        <f>'Weekly-Right'!AE9</f>
        <v>1</v>
      </c>
      <c r="V9" s="413" t="s">
        <v>4517</v>
      </c>
      <c r="W9" s="431" t="str">
        <f>IF(AB17&lt;AC17,"53 /1",IF(U9=54,2,IF(U9=55,3,U9)))</f>
        <v>53 /1</v>
      </c>
      <c r="X9" s="431" t="str">
        <f ca="1">'GPlan-Translations'!C249 &amp; " " &amp; W9</f>
        <v>Semana 53 /1</v>
      </c>
      <c r="AA9" s="418">
        <v>8</v>
      </c>
      <c r="AB9" s="239" t="str">
        <f ca="1">'GPlan-Translations'!C229</f>
        <v>Agosto</v>
      </c>
      <c r="AG9" s="685"/>
      <c r="AH9" s="685"/>
      <c r="AI9" s="685"/>
      <c r="AJ9" s="685"/>
    </row>
    <row r="10" spans="1:36" ht="19.5" customHeight="1" thickBot="1">
      <c r="A10" s="719" t="str">
        <f ca="1">'GPlan-Translations'!C254</f>
        <v>Físico</v>
      </c>
      <c r="B10" s="720"/>
      <c r="C10" s="720"/>
      <c r="D10" s="130"/>
      <c r="E10" s="120"/>
      <c r="F10" s="718"/>
      <c r="G10" s="315"/>
      <c r="H10" s="686"/>
      <c r="I10" s="686"/>
      <c r="J10" s="686"/>
      <c r="K10" s="686"/>
      <c r="L10" s="315"/>
      <c r="M10" s="686"/>
      <c r="N10" s="686"/>
      <c r="O10" s="686"/>
      <c r="P10" s="686"/>
      <c r="Q10" s="315"/>
      <c r="R10" s="66"/>
      <c r="S10" s="66"/>
      <c r="T10" s="67"/>
      <c r="AA10" s="418">
        <v>9</v>
      </c>
      <c r="AB10" s="239" t="str">
        <f ca="1">'GPlan-Translations'!C230</f>
        <v>Setembro</v>
      </c>
      <c r="AG10" s="686"/>
      <c r="AH10" s="686"/>
      <c r="AI10" s="686"/>
      <c r="AJ10" s="686"/>
    </row>
    <row r="11" spans="1:36" ht="18" customHeight="1" thickBot="1">
      <c r="A11" s="692" t="str">
        <f ca="1">'GPlan-Translations'!C256</f>
        <v>Áreas</v>
      </c>
      <c r="B11" s="693"/>
      <c r="C11" s="693"/>
      <c r="D11" s="692" t="str">
        <f ca="1">'GPlan-Translations'!C257</f>
        <v>Objetivos</v>
      </c>
      <c r="E11" s="694"/>
      <c r="F11" s="79">
        <f>Index!L20</f>
        <v>4</v>
      </c>
      <c r="G11" s="289" t="str">
        <f>IF(OR(AND(H$56&gt;$V11,H$56&lt;$W11),AND(H$57&gt; $V11,H$57&lt;$W11),AND(H$58&gt; $V11,H$58&lt;$W11)),"*","")</f>
        <v/>
      </c>
      <c r="H11" s="689" t="str">
        <f>EventName(I1,8)</f>
        <v/>
      </c>
      <c r="I11" s="690"/>
      <c r="J11" s="690"/>
      <c r="K11" s="288"/>
      <c r="L11" s="289" t="str">
        <f>IF(OR(AND(M$56&gt;$V11,M$56&lt;$W11),AND(M$57&gt; $V11,M$57&lt;$W11),AND(M$58&gt; $V11,M$58&lt;$W11)),"*","")</f>
        <v/>
      </c>
      <c r="M11" s="689" t="str">
        <f>EventName(N1,8)</f>
        <v/>
      </c>
      <c r="N11" s="690"/>
      <c r="O11" s="690"/>
      <c r="P11" s="288"/>
      <c r="R11" s="66"/>
      <c r="S11" s="66"/>
      <c r="T11" s="67"/>
      <c r="V11" s="512">
        <f xml:space="preserve"> TIME($F11-1,45,0)</f>
        <v>0.15625</v>
      </c>
      <c r="W11" s="512">
        <f>TIME($F11,15,0)</f>
        <v>0.17708333333333334</v>
      </c>
      <c r="AA11" s="418">
        <v>10</v>
      </c>
      <c r="AB11" s="239" t="str">
        <f ca="1">'GPlan-Translations'!C231</f>
        <v>Outubro</v>
      </c>
      <c r="AG11" s="721" t="s">
        <v>473</v>
      </c>
      <c r="AH11" s="721"/>
      <c r="AI11" s="721"/>
      <c r="AJ11" s="288"/>
    </row>
    <row r="12" spans="1:36">
      <c r="A12" s="122"/>
      <c r="B12" s="66"/>
      <c r="C12" s="113"/>
      <c r="D12" s="115"/>
      <c r="E12" s="119"/>
      <c r="F12" s="79"/>
      <c r="G12" s="289" t="str">
        <f>IF(OR(AND(H$56&gt;=$V12,H$56&lt;=$W12),AND(H$57&gt;=$V12,H$57&lt;=$W12),AND(H$58&gt;= $V12,H$58&lt;=$W12)),"*","")</f>
        <v/>
      </c>
      <c r="H12" s="687" t="str">
        <f>EventName(I1,9)</f>
        <v/>
      </c>
      <c r="I12" s="688"/>
      <c r="J12" s="688"/>
      <c r="K12" s="288"/>
      <c r="L12" s="289" t="str">
        <f>IF(OR(AND(M$56&gt;=$V12,M$56&lt;=$W12),AND(M$57&gt;=$V12,M$57&lt;=$W12),AND(M$58&gt;= $V12,M$58&lt;=$W12)),"*","")</f>
        <v/>
      </c>
      <c r="M12" s="687" t="str">
        <f>EventName(N1,9)</f>
        <v/>
      </c>
      <c r="N12" s="688"/>
      <c r="O12" s="688"/>
      <c r="P12" s="288"/>
      <c r="R12" s="66"/>
      <c r="S12" s="66"/>
      <c r="T12" s="67"/>
      <c r="V12" s="512">
        <f xml:space="preserve"> TIME($F11,15,0)</f>
        <v>0.17708333333333334</v>
      </c>
      <c r="W12" s="512">
        <f>TIME($F11,45,0)</f>
        <v>0.19791666666666666</v>
      </c>
      <c r="AA12" s="418">
        <v>11</v>
      </c>
      <c r="AB12" s="239" t="str">
        <f ca="1">'GPlan-Translations'!C232</f>
        <v>Novembro</v>
      </c>
      <c r="AG12" s="722" t="s">
        <v>473</v>
      </c>
      <c r="AH12" s="722"/>
      <c r="AI12" s="722"/>
      <c r="AJ12" s="288"/>
    </row>
    <row r="13" spans="1:36">
      <c r="A13" s="122"/>
      <c r="B13" s="66"/>
      <c r="C13" s="113"/>
      <c r="D13" s="114"/>
      <c r="E13" s="118"/>
      <c r="F13" s="79">
        <f>F11+1</f>
        <v>5</v>
      </c>
      <c r="G13" s="289" t="str">
        <f>IF(OR(AND(H$56&gt;$V13,H$56&lt;$W13),AND(H$57&gt; $V13,H$57&lt;$W13),AND(H$58&gt; $V13,H$58&lt;$W13)),"*","")</f>
        <v>*</v>
      </c>
      <c r="H13" s="687" t="str">
        <f>EventName(I1,10)</f>
        <v/>
      </c>
      <c r="I13" s="688"/>
      <c r="J13" s="688"/>
      <c r="K13" s="288"/>
      <c r="L13" s="289" t="str">
        <f>IF(OR(AND(M$56&gt;$V13,M$56&lt;$W13),AND(M$57&gt; $V13,M$57&lt;$W13),AND(M$58&gt; $V13,M$58&lt;$W13)),"*","")</f>
        <v>*</v>
      </c>
      <c r="M13" s="687" t="str">
        <f>EventName(N1,10)</f>
        <v/>
      </c>
      <c r="N13" s="688"/>
      <c r="O13" s="688"/>
      <c r="P13" s="288"/>
      <c r="R13" s="66"/>
      <c r="S13" s="66"/>
      <c r="T13" s="67"/>
      <c r="V13" s="512">
        <f xml:space="preserve"> TIME($F13-1,45,0)</f>
        <v>0.19791666666666666</v>
      </c>
      <c r="W13" s="512">
        <f>TIME($F13,15,0)</f>
        <v>0.21875</v>
      </c>
      <c r="AA13" s="420">
        <v>12</v>
      </c>
      <c r="AB13" s="433" t="str">
        <f ca="1">'GPlan-Translations'!C233</f>
        <v>Dezembro</v>
      </c>
      <c r="AG13" s="722" t="s">
        <v>473</v>
      </c>
      <c r="AH13" s="722"/>
      <c r="AI13" s="722"/>
      <c r="AJ13" s="288"/>
    </row>
    <row r="14" spans="1:36">
      <c r="A14" s="122"/>
      <c r="B14" s="66"/>
      <c r="C14" s="113"/>
      <c r="D14" s="114"/>
      <c r="E14" s="118"/>
      <c r="F14" s="79"/>
      <c r="G14" s="289" t="str">
        <f>IF(OR(AND(H$56&gt;=$V14,H$56&lt;=$W14),AND(H$57&gt;=$V14,H$57&lt;=$W14),AND(H$58&gt;= $V14,H$58&lt;=$W14)),"*","")</f>
        <v/>
      </c>
      <c r="H14" s="687" t="str">
        <f>EventName(I1,11)</f>
        <v/>
      </c>
      <c r="I14" s="688"/>
      <c r="J14" s="688"/>
      <c r="K14" s="288"/>
      <c r="L14" s="289" t="str">
        <f>IF(OR(AND(M$56&gt;=$V14,M$56&lt;=$W14),AND(M$57&gt;=$V14,M$57&lt;=$W14),AND(M$58&gt;= $V14,M$58&lt;=$W14)),"*","")</f>
        <v/>
      </c>
      <c r="M14" s="687" t="str">
        <f>EventName(N1,11)</f>
        <v/>
      </c>
      <c r="N14" s="688"/>
      <c r="O14" s="688"/>
      <c r="P14" s="288"/>
      <c r="R14" s="66"/>
      <c r="S14" s="66"/>
      <c r="T14" s="67"/>
      <c r="V14" s="512">
        <f xml:space="preserve"> TIME($F13,15,0)</f>
        <v>0.21875</v>
      </c>
      <c r="W14" s="512">
        <f>TIME($F13,45,0)</f>
        <v>0.23958333333333334</v>
      </c>
      <c r="AG14" s="722" t="s">
        <v>473</v>
      </c>
      <c r="AH14" s="722"/>
      <c r="AI14" s="722"/>
      <c r="AJ14" s="288"/>
    </row>
    <row r="15" spans="1:36">
      <c r="A15" s="122"/>
      <c r="B15" s="66"/>
      <c r="C15" s="113"/>
      <c r="D15" s="114"/>
      <c r="E15" s="118"/>
      <c r="F15" s="79">
        <f>F13+1</f>
        <v>6</v>
      </c>
      <c r="G15" s="289" t="str">
        <f>IF(OR(AND(H$56&gt;$V15,H$56&lt;$W15),AND(H$57&gt; $V15,H$57&lt;$W15),AND(H$58&gt; $V15,H$58&lt;$W15)),"*","")</f>
        <v/>
      </c>
      <c r="H15" s="109"/>
      <c r="I15" s="69"/>
      <c r="J15" s="69"/>
      <c r="K15" s="288"/>
      <c r="L15" s="289" t="str">
        <f>IF(OR(AND(M$56&gt;$V15,M$56&lt;$W15),AND(M$57&gt; $V15,M$57&lt;$W15),AND(M$58&gt; $V15,M$58&lt;$W15)),"*","")</f>
        <v/>
      </c>
      <c r="M15" s="109"/>
      <c r="N15" s="69"/>
      <c r="O15" s="69"/>
      <c r="P15" s="288"/>
      <c r="R15" s="66"/>
      <c r="S15" s="66"/>
      <c r="T15" s="67"/>
      <c r="V15" s="512">
        <f xml:space="preserve"> TIME($F15-1,45,0)</f>
        <v>0.23958333333333334</v>
      </c>
      <c r="W15" s="512">
        <f>TIME($F15,15,0)</f>
        <v>0.26041666666666669</v>
      </c>
      <c r="AB15" s="204" t="s">
        <v>48</v>
      </c>
      <c r="AC15" s="204" t="s">
        <v>47</v>
      </c>
      <c r="AG15" s="722"/>
      <c r="AH15" s="722"/>
      <c r="AI15" s="722"/>
      <c r="AJ15" s="288"/>
    </row>
    <row r="16" spans="1:36" ht="18" customHeight="1" thickBot="1">
      <c r="A16" s="122"/>
      <c r="B16" s="66"/>
      <c r="C16" s="113"/>
      <c r="D16" s="116"/>
      <c r="E16" s="120"/>
      <c r="F16" s="79"/>
      <c r="G16" s="289" t="str">
        <f>IF(OR(AND(H$56&gt;=$V16,H$56&lt;=$W16),AND(H$57&gt;=$V16,H$57&lt;=$W16),AND(H$58&gt;= $V16,H$58&lt;=$W16)),"*","")</f>
        <v/>
      </c>
      <c r="H16" s="109"/>
      <c r="I16" s="69"/>
      <c r="J16" s="69"/>
      <c r="K16" s="288"/>
      <c r="L16" s="289" t="str">
        <f>IF(OR(AND(M$56&gt;=$V16,M$56&lt;=$W16),AND(M$57&gt;=$V16,M$57&lt;=$W16),AND(M$58&gt;= $V16,M$58&lt;=$W16)),"*","")</f>
        <v/>
      </c>
      <c r="M16" s="109"/>
      <c r="N16" s="69"/>
      <c r="O16" s="69"/>
      <c r="P16" s="288"/>
      <c r="R16" s="66"/>
      <c r="S16" s="66"/>
      <c r="T16" s="67"/>
      <c r="V16" s="512">
        <f xml:space="preserve"> TIME($F15,15,0)</f>
        <v>0.26041666666666669</v>
      </c>
      <c r="W16" s="512">
        <f>TIME($F15,45,0)</f>
        <v>0.28125</v>
      </c>
      <c r="AA16" s="264"/>
      <c r="AB16" s="206">
        <f>I1</f>
        <v>42730</v>
      </c>
      <c r="AC16" s="206">
        <f>I1+6</f>
        <v>42736</v>
      </c>
      <c r="AD16" s="204" t="s">
        <v>26</v>
      </c>
      <c r="AG16" s="722" t="s">
        <v>473</v>
      </c>
      <c r="AH16" s="722" t="s">
        <v>473</v>
      </c>
      <c r="AI16" s="722" t="s">
        <v>473</v>
      </c>
      <c r="AJ16" s="288"/>
    </row>
    <row r="17" spans="1:36">
      <c r="A17" s="131"/>
      <c r="B17" s="132"/>
      <c r="C17" s="133"/>
      <c r="D17" s="134"/>
      <c r="E17" s="135"/>
      <c r="F17" s="79">
        <f>F15+1</f>
        <v>7</v>
      </c>
      <c r="G17" s="289" t="str">
        <f>IF(OR(AND(H$56&gt;$V17,H$56&lt;$W17),AND(H$57&gt; $V17,H$57&lt;$W17),AND(H$58&gt; $V17,H$58&lt;$W17)),"*","")</f>
        <v/>
      </c>
      <c r="H17" s="109"/>
      <c r="I17" s="69"/>
      <c r="J17" s="69"/>
      <c r="K17" s="288"/>
      <c r="L17" s="289" t="str">
        <f>IF(OR(AND(M$56&gt;$V17,M$56&lt;$W17),AND(M$57&gt; $V17,M$57&lt;$W17),AND(M$58&gt; $V17,M$58&lt;$W17)),"*","")</f>
        <v/>
      </c>
      <c r="M17" s="109"/>
      <c r="N17" s="69"/>
      <c r="O17" s="69"/>
      <c r="P17" s="288"/>
      <c r="R17" s="66"/>
      <c r="S17" s="66"/>
      <c r="T17" s="67"/>
      <c r="V17" s="512">
        <f xml:space="preserve"> TIME($F17-1,45,0)</f>
        <v>0.28125</v>
      </c>
      <c r="W17" s="512">
        <f>TIME($F17,15,0)</f>
        <v>0.30208333333333331</v>
      </c>
      <c r="AA17" s="434" t="str">
        <f>IF(AB17=AC17,AB17,AB17 &amp; "/" &amp; RIGHT(AC17,2))</f>
        <v>2016/17</v>
      </c>
      <c r="AB17" s="431">
        <f>YEAR(AB16)</f>
        <v>2016</v>
      </c>
      <c r="AC17" s="431">
        <f>YEAR(AC16)</f>
        <v>2017</v>
      </c>
      <c r="AD17" s="204" t="s">
        <v>4208</v>
      </c>
      <c r="AG17" s="722" t="s">
        <v>473</v>
      </c>
      <c r="AH17" s="722"/>
      <c r="AI17" s="722"/>
      <c r="AJ17" s="288"/>
    </row>
    <row r="18" spans="1:36">
      <c r="A18" s="122"/>
      <c r="B18" s="66"/>
      <c r="C18" s="113"/>
      <c r="D18" s="114"/>
      <c r="E18" s="118"/>
      <c r="F18" s="79"/>
      <c r="G18" s="289" t="str">
        <f>IF(OR(AND(H$56&gt;=$V18,H$56&lt;=$W18),AND(H$57&gt;=$V18,H$57&lt;=$W18),AND(H$58&gt;= $V18,H$58&lt;=$W18)),"*","")</f>
        <v/>
      </c>
      <c r="H18" s="109"/>
      <c r="I18" s="69"/>
      <c r="J18" s="69"/>
      <c r="K18" s="288"/>
      <c r="L18" s="289" t="str">
        <f>IF(OR(AND(M$56&gt;=$V18,M$56&lt;=$W18),AND(M$57&gt;=$V18,M$57&lt;=$W18),AND(M$58&gt;= $V18,M$58&lt;=$W18)),"*","")</f>
        <v/>
      </c>
      <c r="M18" s="109"/>
      <c r="N18" s="69"/>
      <c r="O18" s="69"/>
      <c r="P18" s="288"/>
      <c r="R18" s="66"/>
      <c r="S18" s="66"/>
      <c r="T18" s="67"/>
      <c r="V18" s="512">
        <f xml:space="preserve"> TIME($F17,15,0)</f>
        <v>0.30208333333333331</v>
      </c>
      <c r="W18" s="512">
        <f>TIME($F17,45,0)</f>
        <v>0.32291666666666669</v>
      </c>
      <c r="X18" s="68"/>
      <c r="Y18" s="365"/>
      <c r="AA18" s="204"/>
      <c r="AB18" s="431">
        <f>MONTH(AB16)</f>
        <v>12</v>
      </c>
      <c r="AC18" s="431">
        <f>MONTH(AC16)</f>
        <v>1</v>
      </c>
      <c r="AD18" s="204" t="s">
        <v>997</v>
      </c>
      <c r="AG18" s="722" t="s">
        <v>473</v>
      </c>
      <c r="AH18" s="722"/>
      <c r="AI18" s="722"/>
      <c r="AJ18" s="288"/>
    </row>
    <row r="19" spans="1:36" ht="19.5" customHeight="1">
      <c r="A19" s="122"/>
      <c r="B19" s="66"/>
      <c r="C19" s="113"/>
      <c r="D19" s="114"/>
      <c r="E19" s="118"/>
      <c r="F19" s="79">
        <f>F17+1</f>
        <v>8</v>
      </c>
      <c r="G19" s="289" t="str">
        <f>IF(OR(AND(H$56&gt;$V19,H$56&lt;$W19),AND(H$57&gt; $V19,H$57&lt;$W19),AND(H$58&gt; $V19,H$58&lt;$W19)),"*","")</f>
        <v/>
      </c>
      <c r="H19" s="109"/>
      <c r="I19" s="69"/>
      <c r="J19" s="69"/>
      <c r="K19" s="288"/>
      <c r="L19" s="289" t="str">
        <f>IF(OR(AND(M$56&gt;$V19,M$56&lt;$W19),AND(M$57&gt; $V19,M$57&lt;$W19),AND(M$58&gt; $V19,M$58&lt;$W19)),"*","")</f>
        <v/>
      </c>
      <c r="M19" s="109"/>
      <c r="N19" s="69"/>
      <c r="O19" s="69"/>
      <c r="P19" s="288"/>
      <c r="R19" s="66"/>
      <c r="S19" s="66"/>
      <c r="T19" s="67"/>
      <c r="V19" s="512">
        <f xml:space="preserve"> TIME($F19-1,45,0)</f>
        <v>0.32291666666666669</v>
      </c>
      <c r="W19" s="512">
        <f>TIME($F19,15,0)</f>
        <v>0.34375</v>
      </c>
      <c r="X19" s="68"/>
      <c r="Y19" s="365"/>
      <c r="AA19" s="434" t="str">
        <f ca="1">IF(AB19=AC19,AB19,AB19 &amp; " / " &amp; AC19)</f>
        <v>Dezembro / Janeiro</v>
      </c>
      <c r="AB19" s="431" t="str">
        <f ca="1">VLOOKUP(AB18,$AA$2:$AB$13,2,FALSE)</f>
        <v>Dezembro</v>
      </c>
      <c r="AC19" s="431" t="str">
        <f ca="1">VLOOKUP(AC18,$AA$2:$AB$13,2,FALSE)</f>
        <v>Janeiro</v>
      </c>
      <c r="AD19" s="204" t="s">
        <v>4515</v>
      </c>
      <c r="AG19" s="722" t="s">
        <v>473</v>
      </c>
      <c r="AH19" s="722"/>
      <c r="AI19" s="722"/>
      <c r="AJ19" s="288"/>
    </row>
    <row r="20" spans="1:36">
      <c r="A20" s="122"/>
      <c r="B20" s="66"/>
      <c r="C20" s="113"/>
      <c r="D20" s="114"/>
      <c r="E20" s="118"/>
      <c r="F20" s="79"/>
      <c r="G20" s="289" t="str">
        <f>IF(OR(AND(H$56&gt;=$V20,H$56&lt;=$W20),AND(H$57&gt;=$V20,H$57&lt;=$W20),AND(H$58&gt;= $V20,H$58&lt;=$W20)),"*","")</f>
        <v/>
      </c>
      <c r="H20" s="109"/>
      <c r="I20" s="69"/>
      <c r="J20" s="69"/>
      <c r="K20" s="288"/>
      <c r="L20" s="289" t="str">
        <f>IF(OR(AND(M$56&gt;=$V20,M$56&lt;=$W20),AND(M$57&gt;=$V20,M$57&lt;=$W20),AND(M$58&gt;= $V20,M$58&lt;=$W20)),"*","")</f>
        <v/>
      </c>
      <c r="M20" s="109"/>
      <c r="N20" s="69"/>
      <c r="O20" s="69"/>
      <c r="P20" s="288"/>
      <c r="R20" s="66"/>
      <c r="S20" s="66"/>
      <c r="T20" s="67"/>
      <c r="U20" s="68"/>
      <c r="V20" s="512">
        <f xml:space="preserve"> TIME($F19,15,0)</f>
        <v>0.34375</v>
      </c>
      <c r="W20" s="512">
        <f>TIME($F19,45,0)</f>
        <v>0.36458333333333331</v>
      </c>
      <c r="X20" s="68"/>
      <c r="Y20" s="365"/>
      <c r="AA20" s="440" t="str">
        <f>IF(AB20&lt;&gt;AC20,AB20 &amp; " / " &amp; AC20,AB20) &amp; " Gaurabda"</f>
        <v>530 Gaurabda</v>
      </c>
      <c r="AB20" s="431">
        <f>Gyear(AB16)</f>
        <v>530</v>
      </c>
      <c r="AC20" s="431">
        <f>Gyear(AC16)</f>
        <v>530</v>
      </c>
      <c r="AD20" s="204" t="s">
        <v>4518</v>
      </c>
      <c r="AG20" s="722" t="s">
        <v>473</v>
      </c>
      <c r="AH20" s="722"/>
      <c r="AI20" s="722"/>
      <c r="AJ20" s="288"/>
    </row>
    <row r="21" spans="1:36" ht="18" customHeight="1" thickBot="1">
      <c r="A21" s="136"/>
      <c r="B21" s="137"/>
      <c r="C21" s="138"/>
      <c r="D21" s="139"/>
      <c r="E21" s="140"/>
      <c r="F21" s="79">
        <f>F19+1</f>
        <v>9</v>
      </c>
      <c r="G21" s="289" t="str">
        <f>IF(OR(AND(H$56&gt;$V21,H$56&lt;$W21),AND(H$57&gt; $V21,H$57&lt;$W21),AND(H$58&gt; $V21,H$58&lt;$W21)),"*","")</f>
        <v/>
      </c>
      <c r="H21" s="109"/>
      <c r="I21" s="69"/>
      <c r="J21" s="69"/>
      <c r="K21" s="288"/>
      <c r="L21" s="289" t="str">
        <f>IF(OR(AND(M$56&gt;$V21,M$56&lt;$W21),AND(M$57&gt; $V21,M$57&lt;$W21),AND(M$58&gt; $V21,M$58&lt;$W21)),"*","")</f>
        <v/>
      </c>
      <c r="M21" s="109"/>
      <c r="N21" s="69"/>
      <c r="O21" s="69"/>
      <c r="P21" s="288"/>
      <c r="R21" s="66"/>
      <c r="S21" s="66"/>
      <c r="T21" s="67"/>
      <c r="U21" s="68"/>
      <c r="V21" s="512">
        <f xml:space="preserve"> TIME($F21-1,45,0)</f>
        <v>0.36458333333333331</v>
      </c>
      <c r="W21" s="512">
        <f>TIME($F21,15,0)</f>
        <v>0.38541666666666669</v>
      </c>
      <c r="X21" s="68"/>
      <c r="Y21" s="365"/>
      <c r="AA21" s="440" t="str">
        <f>IF(AB21&lt;&gt;AC21,AB21 &amp; " / " &amp; AC21,AB21) &amp; " Masa"</f>
        <v>Narayana Masa</v>
      </c>
      <c r="AB21" s="431" t="str">
        <f>Masa(AB16)</f>
        <v>Narayana</v>
      </c>
      <c r="AC21" s="431" t="str">
        <f>Masa(AC16)</f>
        <v>Narayana</v>
      </c>
      <c r="AD21" s="204"/>
      <c r="AG21" s="723" t="s">
        <v>473</v>
      </c>
      <c r="AH21" s="723"/>
      <c r="AI21" s="723"/>
      <c r="AJ21" s="288"/>
    </row>
    <row r="22" spans="1:36" ht="1.5" customHeight="1">
      <c r="A22" s="122"/>
      <c r="B22" s="66"/>
      <c r="C22" s="113"/>
      <c r="D22" s="117"/>
      <c r="E22" s="121"/>
      <c r="F22" s="79"/>
      <c r="G22" s="289"/>
      <c r="H22" s="110"/>
      <c r="I22" s="71"/>
      <c r="J22" s="71"/>
      <c r="K22" s="290"/>
      <c r="L22" s="289"/>
      <c r="M22" s="110"/>
      <c r="N22" s="71"/>
      <c r="O22" s="71"/>
      <c r="P22" s="290"/>
      <c r="R22" s="66"/>
      <c r="S22" s="66"/>
      <c r="T22" s="67"/>
      <c r="U22" s="68"/>
      <c r="V22" s="79"/>
      <c r="W22" s="79"/>
      <c r="X22" s="68"/>
      <c r="Y22" s="365"/>
      <c r="AG22" s="356"/>
      <c r="AH22" s="357"/>
      <c r="AI22" s="357"/>
      <c r="AJ22" s="290"/>
    </row>
    <row r="23" spans="1:36">
      <c r="A23" s="122"/>
      <c r="B23" s="66"/>
      <c r="C23" s="113"/>
      <c r="D23" s="115"/>
      <c r="E23" s="119"/>
      <c r="F23" s="79"/>
      <c r="G23" s="289" t="str">
        <f>IF(OR(AND(H$56&gt;=$V23,H$56&lt;=$W23),AND(H$57&gt;=$V23,H$57&lt;=$W23),AND(H$58&gt;= $V23,H$58&lt;=$W23)),"*","")</f>
        <v/>
      </c>
      <c r="H23" s="111"/>
      <c r="I23" s="75"/>
      <c r="J23" s="75"/>
      <c r="K23" s="288"/>
      <c r="L23" s="289" t="str">
        <f>IF(OR(AND(M$56&gt;=$V23,M$56&lt;=$W23),AND(M$57&gt;=$V23,M$57&lt;=$W23),AND(M$58&gt;= $V23,M$58&lt;=$W23)),"*","")</f>
        <v/>
      </c>
      <c r="M23" s="111"/>
      <c r="N23" s="75"/>
      <c r="O23" s="75"/>
      <c r="P23" s="288"/>
      <c r="R23" s="66"/>
      <c r="S23" s="66"/>
      <c r="T23" s="67"/>
      <c r="U23" s="68"/>
      <c r="V23" s="512">
        <f xml:space="preserve"> TIME($F21,15,0)</f>
        <v>0.38541666666666669</v>
      </c>
      <c r="W23" s="512">
        <f>TIME($F21,45,0)</f>
        <v>0.40625</v>
      </c>
      <c r="X23" s="68"/>
      <c r="AG23" s="724" t="s">
        <v>473</v>
      </c>
      <c r="AH23" s="724" t="s">
        <v>473</v>
      </c>
      <c r="AI23" s="724" t="s">
        <v>473</v>
      </c>
      <c r="AJ23" s="288"/>
    </row>
    <row r="24" spans="1:36" ht="1.5" customHeight="1">
      <c r="A24" s="122"/>
      <c r="B24" s="66"/>
      <c r="C24" s="113"/>
      <c r="D24" s="116"/>
      <c r="E24" s="120"/>
      <c r="F24" s="79"/>
      <c r="G24" s="289"/>
      <c r="H24" s="110"/>
      <c r="I24" s="71"/>
      <c r="J24" s="71"/>
      <c r="K24" s="290"/>
      <c r="L24" s="289"/>
      <c r="M24" s="110"/>
      <c r="N24" s="71"/>
      <c r="O24" s="71"/>
      <c r="P24" s="290"/>
      <c r="R24" s="66"/>
      <c r="S24" s="66"/>
      <c r="T24" s="67"/>
      <c r="U24" s="68"/>
      <c r="V24" s="79"/>
      <c r="W24" s="79"/>
      <c r="X24" s="68"/>
      <c r="AG24" s="356"/>
      <c r="AH24" s="357"/>
      <c r="AI24" s="357"/>
      <c r="AJ24" s="290"/>
    </row>
    <row r="25" spans="1:36">
      <c r="A25" s="122"/>
      <c r="B25" s="66"/>
      <c r="C25" s="113"/>
      <c r="D25" s="115"/>
      <c r="E25" s="119"/>
      <c r="F25" s="79">
        <f>F21+1</f>
        <v>10</v>
      </c>
      <c r="G25" s="289" t="str">
        <f>IF(OR(AND(H$56&gt;$V25,H$56&lt;$W25),AND(H$57&gt; $V25,H$57&lt;$W25),AND(H$58&gt; $V25,H$58&lt;$W25)),"*","")</f>
        <v/>
      </c>
      <c r="H25" s="111"/>
      <c r="I25" s="75"/>
      <c r="J25" s="75"/>
      <c r="K25" s="288"/>
      <c r="L25" s="289" t="str">
        <f>IF(OR(AND(M$56&gt;$V25,M$56&lt;$W25),AND(M$57&gt; $V25,M$57&lt;$W25),AND(M$58&gt; $V25,M$58&lt;$W25)),"*","")</f>
        <v/>
      </c>
      <c r="M25" s="111"/>
      <c r="N25" s="75"/>
      <c r="O25" s="75"/>
      <c r="P25" s="288"/>
      <c r="R25" s="66"/>
      <c r="S25" s="66"/>
      <c r="T25" s="67"/>
      <c r="U25" s="68"/>
      <c r="V25" s="512">
        <f xml:space="preserve"> TIME($F25-1,45,0)</f>
        <v>0.40625</v>
      </c>
      <c r="W25" s="512">
        <f>TIME($F25,15,0)</f>
        <v>0.42708333333333331</v>
      </c>
      <c r="X25" s="68"/>
      <c r="AG25" s="724" t="s">
        <v>473</v>
      </c>
      <c r="AH25" s="724"/>
      <c r="AI25" s="724"/>
      <c r="AJ25" s="288"/>
    </row>
    <row r="26" spans="1:36" ht="1.5" customHeight="1">
      <c r="A26" s="122"/>
      <c r="B26" s="66"/>
      <c r="C26" s="113"/>
      <c r="D26" s="116"/>
      <c r="E26" s="120"/>
      <c r="F26" s="79"/>
      <c r="G26" s="289"/>
      <c r="H26" s="110"/>
      <c r="I26" s="71"/>
      <c r="J26" s="71"/>
      <c r="K26" s="290"/>
      <c r="L26" s="289"/>
      <c r="M26" s="110"/>
      <c r="N26" s="71"/>
      <c r="O26" s="71"/>
      <c r="P26" s="290"/>
      <c r="R26" s="66"/>
      <c r="S26" s="66"/>
      <c r="T26" s="67"/>
      <c r="U26" s="68"/>
      <c r="V26" s="79"/>
      <c r="W26" s="79"/>
      <c r="X26" s="68"/>
      <c r="AG26" s="356"/>
      <c r="AH26" s="357"/>
      <c r="AI26" s="357"/>
      <c r="AJ26" s="290"/>
    </row>
    <row r="27" spans="1:36">
      <c r="A27" s="122"/>
      <c r="B27" s="66"/>
      <c r="C27" s="113"/>
      <c r="D27" s="115"/>
      <c r="E27" s="119"/>
      <c r="F27" s="79"/>
      <c r="G27" s="289" t="str">
        <f>IF(OR(AND(H$56&gt;=$V27,H$56&lt;=$W27),AND(H$57&gt;=$V27,H$57&lt;=$W27),AND(H$58&gt;= $V27,H$58&lt;=$W27)),"*","")</f>
        <v/>
      </c>
      <c r="H27" s="111"/>
      <c r="I27" s="75"/>
      <c r="J27" s="75"/>
      <c r="K27" s="288"/>
      <c r="L27" s="289" t="str">
        <f>IF(OR(AND(M$56&gt;=$V27,M$56&lt;=$W27),AND(M$57&gt;=$V27,M$57&lt;=$W27),AND(M$58&gt;= $V27,M$58&lt;=$W27)),"*","")</f>
        <v/>
      </c>
      <c r="M27" s="111"/>
      <c r="N27" s="75"/>
      <c r="O27" s="75"/>
      <c r="P27" s="288"/>
      <c r="R27" s="66"/>
      <c r="S27" s="66"/>
      <c r="T27" s="67"/>
      <c r="U27" s="68"/>
      <c r="V27" s="512">
        <f xml:space="preserve"> TIME($F25,15,0)</f>
        <v>0.42708333333333331</v>
      </c>
      <c r="W27" s="512">
        <f>TIME($F25,45,0)</f>
        <v>0.44791666666666669</v>
      </c>
      <c r="X27" s="68"/>
      <c r="AG27" s="724" t="s">
        <v>473</v>
      </c>
      <c r="AH27" s="724"/>
      <c r="AI27" s="724"/>
      <c r="AJ27" s="288"/>
    </row>
    <row r="28" spans="1:36" ht="1.5" customHeight="1">
      <c r="A28" s="122"/>
      <c r="B28" s="66"/>
      <c r="C28" s="113"/>
      <c r="D28" s="116"/>
      <c r="E28" s="120"/>
      <c r="F28" s="79"/>
      <c r="G28" s="289"/>
      <c r="H28" s="110"/>
      <c r="I28" s="71"/>
      <c r="J28" s="71"/>
      <c r="K28" s="290"/>
      <c r="L28" s="289"/>
      <c r="M28" s="110"/>
      <c r="N28" s="71"/>
      <c r="O28" s="71"/>
      <c r="P28" s="290"/>
      <c r="R28" s="66"/>
      <c r="S28" s="66"/>
      <c r="T28" s="67"/>
      <c r="U28" s="68"/>
      <c r="V28" s="79"/>
      <c r="W28" s="79"/>
      <c r="X28" s="68"/>
      <c r="AG28" s="356"/>
      <c r="AH28" s="357"/>
      <c r="AI28" s="357"/>
      <c r="AJ28" s="290"/>
    </row>
    <row r="29" spans="1:36">
      <c r="A29" s="122"/>
      <c r="B29" s="66"/>
      <c r="C29" s="113"/>
      <c r="D29" s="115"/>
      <c r="E29" s="119"/>
      <c r="F29" s="79">
        <f>F25+1</f>
        <v>11</v>
      </c>
      <c r="G29" s="289" t="str">
        <f>IF(OR(AND(H$56&gt;$V29,H$56&lt;$W29),AND(H$57&gt; $V29,H$57&lt;$W29),AND(H$58&gt; $V29,H$58&lt;$W29)),"*","")</f>
        <v/>
      </c>
      <c r="H29" s="111"/>
      <c r="I29" s="75"/>
      <c r="J29" s="75"/>
      <c r="K29" s="288"/>
      <c r="L29" s="289" t="str">
        <f>IF(OR(AND(M$56&gt;$V29,M$56&lt;$W29),AND(M$57&gt; $V29,M$57&lt;$W29),AND(M$58&gt; $V29,M$58&lt;$W29)),"*","")</f>
        <v/>
      </c>
      <c r="M29" s="111"/>
      <c r="N29" s="75"/>
      <c r="O29" s="75"/>
      <c r="P29" s="288"/>
      <c r="R29" s="66"/>
      <c r="S29" s="66"/>
      <c r="T29" s="67"/>
      <c r="U29" s="68"/>
      <c r="V29" s="512">
        <f xml:space="preserve"> TIME($F29-1,45,0)</f>
        <v>0.44791666666666669</v>
      </c>
      <c r="W29" s="512">
        <f>TIME($F29,15,0)</f>
        <v>0.46875</v>
      </c>
      <c r="X29" s="68"/>
      <c r="AG29" s="724" t="s">
        <v>473</v>
      </c>
      <c r="AH29" s="724"/>
      <c r="AI29" s="724"/>
      <c r="AJ29" s="288"/>
    </row>
    <row r="30" spans="1:36" ht="1.5" customHeight="1">
      <c r="A30" s="122"/>
      <c r="B30" s="66"/>
      <c r="C30" s="113"/>
      <c r="D30" s="116"/>
      <c r="E30" s="120"/>
      <c r="F30" s="79"/>
      <c r="G30" s="289"/>
      <c r="H30" s="110"/>
      <c r="I30" s="71"/>
      <c r="J30" s="71"/>
      <c r="K30" s="290"/>
      <c r="L30" s="289"/>
      <c r="M30" s="110"/>
      <c r="N30" s="71"/>
      <c r="O30" s="71"/>
      <c r="P30" s="290"/>
      <c r="R30" s="66"/>
      <c r="S30" s="66"/>
      <c r="T30" s="67"/>
      <c r="U30" s="68"/>
      <c r="V30" s="79"/>
      <c r="W30" s="79"/>
      <c r="X30" s="68"/>
      <c r="AG30" s="356"/>
      <c r="AH30" s="357"/>
      <c r="AI30" s="357"/>
      <c r="AJ30" s="290"/>
    </row>
    <row r="31" spans="1:36" ht="18" customHeight="1" thickBot="1">
      <c r="A31" s="136"/>
      <c r="B31" s="137"/>
      <c r="C31" s="138"/>
      <c r="D31" s="141"/>
      <c r="E31" s="142"/>
      <c r="F31" s="79"/>
      <c r="G31" s="289" t="str">
        <f>IF(OR(AND(H$56&gt;=$V31,H$56&lt;=$W31),AND(H$57&gt;=$V31,H$57&lt;=$W31),AND(H$58&gt;= $V31,H$58&lt;=$W31)),"*","")</f>
        <v>*</v>
      </c>
      <c r="H31" s="111"/>
      <c r="I31" s="75"/>
      <c r="J31" s="75"/>
      <c r="K31" s="288"/>
      <c r="L31" s="289" t="str">
        <f>IF(OR(AND(M$56&gt;=$V31,M$56&lt;=$W31),AND(M$57&gt;=$V31,M$57&lt;=$W31),AND(M$58&gt;= $V31,M$58&lt;=$W31)),"*","")</f>
        <v>*</v>
      </c>
      <c r="M31" s="111"/>
      <c r="N31" s="75"/>
      <c r="O31" s="75"/>
      <c r="P31" s="288"/>
      <c r="R31" s="66"/>
      <c r="S31" s="66"/>
      <c r="T31" s="67"/>
      <c r="U31" s="68"/>
      <c r="V31" s="512">
        <f xml:space="preserve"> TIME($F29,15,0)</f>
        <v>0.46875</v>
      </c>
      <c r="W31" s="512">
        <f>TIME($F29,45,0)</f>
        <v>0.48958333333333331</v>
      </c>
      <c r="X31" s="68"/>
      <c r="AG31" s="724" t="s">
        <v>473</v>
      </c>
      <c r="AH31" s="724"/>
      <c r="AI31" s="724"/>
      <c r="AJ31" s="288"/>
    </row>
    <row r="32" spans="1:36" ht="1.5" customHeight="1">
      <c r="A32" s="122"/>
      <c r="B32" s="66"/>
      <c r="C32" s="113"/>
      <c r="D32" s="117"/>
      <c r="E32" s="121"/>
      <c r="F32" s="79"/>
      <c r="G32" s="289"/>
      <c r="H32" s="110"/>
      <c r="I32" s="71"/>
      <c r="J32" s="71"/>
      <c r="K32" s="290"/>
      <c r="L32" s="289"/>
      <c r="M32" s="110"/>
      <c r="N32" s="71"/>
      <c r="O32" s="71"/>
      <c r="P32" s="290"/>
      <c r="R32" s="66"/>
      <c r="S32" s="66"/>
      <c r="T32" s="67"/>
      <c r="U32" s="68"/>
      <c r="V32" s="79"/>
      <c r="W32" s="79"/>
      <c r="X32" s="68"/>
      <c r="AG32" s="356"/>
      <c r="AH32" s="357"/>
      <c r="AI32" s="357"/>
      <c r="AJ32" s="290"/>
    </row>
    <row r="33" spans="1:36">
      <c r="A33" s="122"/>
      <c r="B33" s="66"/>
      <c r="C33" s="113"/>
      <c r="D33" s="117"/>
      <c r="E33" s="121"/>
      <c r="F33" s="79">
        <f>F29+1</f>
        <v>12</v>
      </c>
      <c r="G33" s="289" t="str">
        <f>IF(OR(AND(H$56&gt;$V33,H$56&lt;$W33),AND(H$57&gt; $V33,H$57&lt;$W33),AND(H$58&gt; $V33,H$58&lt;$W33)),"*","")</f>
        <v/>
      </c>
      <c r="H33" s="66"/>
      <c r="I33" s="79"/>
      <c r="J33" s="79"/>
      <c r="K33" s="291"/>
      <c r="L33" s="289" t="str">
        <f>IF(OR(AND(M$56&gt;$V33,M$56&lt;$W33),AND(M$57&gt; $V33,M$57&lt;$W33),AND(M$58&gt; $V33,M$58&lt;$W33)),"*","")</f>
        <v/>
      </c>
      <c r="M33" s="66"/>
      <c r="N33" s="79"/>
      <c r="O33" s="79"/>
      <c r="P33" s="291"/>
      <c r="R33" s="66"/>
      <c r="S33" s="66"/>
      <c r="T33" s="67"/>
      <c r="U33" s="68"/>
      <c r="V33" s="512">
        <f xml:space="preserve"> TIME($F33-1,45,0)</f>
        <v>0.48958333333333331</v>
      </c>
      <c r="W33" s="512">
        <f>TIME($F33,15,0)</f>
        <v>0.51041666666666663</v>
      </c>
      <c r="X33" s="68"/>
      <c r="AG33" s="727" t="s">
        <v>473</v>
      </c>
      <c r="AH33" s="727"/>
      <c r="AI33" s="727"/>
      <c r="AJ33" s="291"/>
    </row>
    <row r="34" spans="1:36" ht="1.5" customHeight="1">
      <c r="A34" s="122"/>
      <c r="B34" s="66"/>
      <c r="C34" s="113"/>
      <c r="D34" s="115"/>
      <c r="E34" s="119"/>
      <c r="F34" s="79"/>
      <c r="G34" s="289"/>
      <c r="H34" s="111"/>
      <c r="I34" s="75"/>
      <c r="J34" s="75"/>
      <c r="K34" s="288"/>
      <c r="L34" s="289"/>
      <c r="M34" s="111"/>
      <c r="N34" s="75"/>
      <c r="O34" s="75"/>
      <c r="P34" s="288"/>
      <c r="R34" s="66"/>
      <c r="S34" s="66"/>
      <c r="T34" s="67"/>
      <c r="U34" s="68"/>
      <c r="V34" s="79"/>
      <c r="W34" s="79"/>
      <c r="X34" s="68"/>
      <c r="AG34" s="111"/>
      <c r="AH34" s="75"/>
      <c r="AI34" s="75"/>
      <c r="AJ34" s="288"/>
    </row>
    <row r="35" spans="1:36">
      <c r="A35" s="122"/>
      <c r="B35" s="66"/>
      <c r="C35" s="113"/>
      <c r="D35" s="116"/>
      <c r="E35" s="120"/>
      <c r="F35" s="79"/>
      <c r="G35" s="289" t="str">
        <f>IF(OR(AND(H$56&gt;=$V35,H$56&lt;=$W35),AND(H$57&gt;=$V35,H$57&lt;=$W35),AND(H$58&gt;= $V35,H$58&lt;=$W35)),"*","")</f>
        <v/>
      </c>
      <c r="H35" s="66"/>
      <c r="I35" s="79"/>
      <c r="J35" s="79"/>
      <c r="K35" s="291"/>
      <c r="L35" s="289" t="str">
        <f>IF(OR(AND(M$56&gt;=$V35,M$56&lt;=$W35),AND(M$57&gt;=$V35,M$57&lt;=$W35),AND(M$58&gt;= $V35,M$58&lt;=$W35)),"*","")</f>
        <v/>
      </c>
      <c r="M35" s="66"/>
      <c r="N35" s="79"/>
      <c r="O35" s="79"/>
      <c r="P35" s="291"/>
      <c r="R35" s="66"/>
      <c r="S35" s="66"/>
      <c r="T35" s="67"/>
      <c r="U35" s="68"/>
      <c r="V35" s="512">
        <f xml:space="preserve"> TIME($F33,15,0)</f>
        <v>0.51041666666666663</v>
      </c>
      <c r="W35" s="512">
        <f>TIME($F33,45,0)</f>
        <v>0.53125</v>
      </c>
      <c r="X35" s="68"/>
      <c r="AG35" s="109"/>
      <c r="AH35" s="69"/>
      <c r="AI35" s="69"/>
      <c r="AJ35" s="288"/>
    </row>
    <row r="36" spans="1:36" s="365" customFormat="1" ht="1.5" customHeight="1">
      <c r="A36" s="602"/>
      <c r="B36" s="66"/>
      <c r="C36" s="600"/>
      <c r="D36" s="115"/>
      <c r="E36" s="119"/>
      <c r="F36" s="79"/>
      <c r="G36" s="289"/>
      <c r="H36" s="111"/>
      <c r="I36" s="75"/>
      <c r="J36" s="75"/>
      <c r="K36" s="288"/>
      <c r="L36" s="289"/>
      <c r="M36" s="111"/>
      <c r="N36" s="75"/>
      <c r="O36" s="75"/>
      <c r="P36" s="288"/>
      <c r="R36" s="66"/>
      <c r="S36" s="66"/>
      <c r="T36" s="67"/>
      <c r="U36" s="68"/>
      <c r="V36" s="79"/>
      <c r="W36" s="79"/>
      <c r="X36" s="68"/>
      <c r="AG36" s="356"/>
      <c r="AH36" s="357"/>
      <c r="AI36" s="357"/>
      <c r="AJ36" s="290"/>
    </row>
    <row r="37" spans="1:36">
      <c r="A37" s="122"/>
      <c r="B37" s="66"/>
      <c r="C37" s="113"/>
      <c r="D37" s="116"/>
      <c r="E37" s="120"/>
      <c r="F37" s="79">
        <f>F33+1</f>
        <v>13</v>
      </c>
      <c r="G37" s="289" t="str">
        <f>IF(OR(AND(H$56&gt;$V37,H$56&lt;$W37),AND(H$57&gt; $V37,H$57&lt;$W37),AND(H$58&gt; $V37,H$58&lt;$W37)),"*","")</f>
        <v/>
      </c>
      <c r="H37" s="66"/>
      <c r="I37" s="79"/>
      <c r="J37" s="79"/>
      <c r="K37" s="291"/>
      <c r="L37" s="289" t="str">
        <f>IF(OR(AND(M$56&gt;$V37,M$56&lt;$W37),AND(M$57&gt; $V37,M$57&lt;$W37),AND(M$58&gt; $V37,M$58&lt;$W37)),"*","")</f>
        <v/>
      </c>
      <c r="M37" s="66"/>
      <c r="N37" s="79"/>
      <c r="O37" s="79"/>
      <c r="P37" s="291"/>
      <c r="R37" s="66"/>
      <c r="S37" s="66"/>
      <c r="T37" s="67"/>
      <c r="U37" s="68"/>
      <c r="V37" s="512">
        <f xml:space="preserve"> TIME($F37-1,45,0)</f>
        <v>0.53125</v>
      </c>
      <c r="W37" s="512">
        <f>TIME($F37,15,0)</f>
        <v>0.55208333333333337</v>
      </c>
      <c r="X37" s="68"/>
      <c r="AG37" s="111"/>
      <c r="AH37" s="75"/>
      <c r="AI37" s="75"/>
      <c r="AJ37" s="288"/>
    </row>
    <row r="38" spans="1:36" s="365" customFormat="1" ht="1.5" customHeight="1">
      <c r="A38" s="602"/>
      <c r="B38" s="66"/>
      <c r="C38" s="600"/>
      <c r="D38" s="115"/>
      <c r="E38" s="119"/>
      <c r="F38" s="79"/>
      <c r="G38" s="289"/>
      <c r="H38" s="111"/>
      <c r="I38" s="75"/>
      <c r="J38" s="75"/>
      <c r="K38" s="288"/>
      <c r="L38" s="289"/>
      <c r="M38" s="111"/>
      <c r="N38" s="75"/>
      <c r="O38" s="75"/>
      <c r="P38" s="288"/>
      <c r="R38" s="66"/>
      <c r="S38" s="66"/>
      <c r="T38" s="67"/>
      <c r="U38" s="68"/>
      <c r="V38" s="79"/>
      <c r="W38" s="79"/>
      <c r="X38" s="68"/>
      <c r="AG38" s="66"/>
      <c r="AH38" s="79"/>
      <c r="AI38" s="79"/>
      <c r="AJ38" s="291"/>
    </row>
    <row r="39" spans="1:36">
      <c r="A39" s="122"/>
      <c r="B39" s="66"/>
      <c r="C39" s="113"/>
      <c r="D39" s="114"/>
      <c r="E39" s="118"/>
      <c r="F39" s="79"/>
      <c r="G39" s="289" t="str">
        <f>IF(OR(AND(H$56&gt;=$V39,H$56&lt;=$W39),AND(H$57&gt;=$V39,H$57&lt;=$W39),AND(H$58&gt;= $V39,H$58&lt;=$W39)),"*","")</f>
        <v/>
      </c>
      <c r="H39" s="109"/>
      <c r="I39" s="69"/>
      <c r="J39" s="69"/>
      <c r="K39" s="288"/>
      <c r="L39" s="289" t="str">
        <f>IF(OR(AND(M$56&gt;=$V39,M$56&lt;=$W39),AND(M$57&gt;=$V39,M$57&lt;=$W39),AND(M$58&gt;= $V39,M$58&lt;=$W39)),"*","")</f>
        <v/>
      </c>
      <c r="M39" s="109"/>
      <c r="N39" s="69"/>
      <c r="O39" s="69"/>
      <c r="P39" s="288"/>
      <c r="R39" s="66"/>
      <c r="S39" s="66"/>
      <c r="T39" s="67"/>
      <c r="U39" s="68"/>
      <c r="V39" s="512">
        <f xml:space="preserve"> TIME($F37,15,0)</f>
        <v>0.55208333333333337</v>
      </c>
      <c r="W39" s="512">
        <f>TIME($F37,45,0)</f>
        <v>0.57291666666666663</v>
      </c>
      <c r="X39" s="68"/>
      <c r="AG39" s="111"/>
      <c r="AH39" s="75"/>
      <c r="AI39" s="75"/>
      <c r="AJ39" s="288"/>
    </row>
    <row r="40" spans="1:36" ht="18" customHeight="1" thickBot="1">
      <c r="A40" s="136"/>
      <c r="B40" s="137"/>
      <c r="C40" s="138"/>
      <c r="D40" s="139"/>
      <c r="E40" s="140"/>
      <c r="F40" s="79">
        <f>F37+1</f>
        <v>14</v>
      </c>
      <c r="G40" s="289" t="str">
        <f>IF(OR(AND(H$56&gt;$V40,H$56&lt;$W40),AND(H$57&gt; $V40,H$57&lt;$W40),AND(H$58&gt; $V40,H$58&lt;$W40)),"*","")</f>
        <v/>
      </c>
      <c r="H40" s="109"/>
      <c r="I40" s="69"/>
      <c r="J40" s="69"/>
      <c r="K40" s="288"/>
      <c r="L40" s="289" t="str">
        <f>IF(OR(AND(M$56&gt;$V40,M$56&lt;$W40),AND(M$57&gt; $V40,M$57&lt;$W40),AND(M$58&gt; $V40,M$58&lt;$W40)),"*","")</f>
        <v/>
      </c>
      <c r="M40" s="109"/>
      <c r="N40" s="69"/>
      <c r="O40" s="69"/>
      <c r="P40" s="288"/>
      <c r="R40" s="66"/>
      <c r="S40" s="66"/>
      <c r="T40" s="67"/>
      <c r="U40" s="68"/>
      <c r="V40" s="512">
        <f xml:space="preserve"> TIME($F40-1,45,0)</f>
        <v>0.57291666666666663</v>
      </c>
      <c r="W40" s="512">
        <f>TIME($F40,15,0)</f>
        <v>0.59375</v>
      </c>
      <c r="X40" s="68"/>
      <c r="AG40" s="109"/>
      <c r="AH40" s="69"/>
      <c r="AI40" s="69"/>
      <c r="AJ40" s="288"/>
    </row>
    <row r="41" spans="1:36">
      <c r="A41" s="122"/>
      <c r="B41" s="66"/>
      <c r="C41" s="113"/>
      <c r="D41" s="115"/>
      <c r="E41" s="119"/>
      <c r="F41" s="79"/>
      <c r="G41" s="289" t="str">
        <f>IF(OR(AND(H$56&gt;=$V41,H$56&lt;=$W41),AND(H$57&gt;=$V41,H$57&lt;=$W41),AND(H$58&gt;= $V41,H$58&lt;=$W41)),"*","")</f>
        <v/>
      </c>
      <c r="H41" s="109"/>
      <c r="I41" s="69"/>
      <c r="J41" s="69"/>
      <c r="K41" s="288"/>
      <c r="L41" s="289" t="str">
        <f>IF(OR(AND(M$56&gt;=$V41,M$56&lt;=$W41),AND(M$57&gt;=$V41,M$57&lt;=$W41),AND(M$58&gt;= $V41,M$58&lt;=$W41)),"*","")</f>
        <v/>
      </c>
      <c r="M41" s="109"/>
      <c r="N41" s="69"/>
      <c r="O41" s="69"/>
      <c r="P41" s="288"/>
      <c r="R41" s="66"/>
      <c r="S41" s="66"/>
      <c r="T41" s="67"/>
      <c r="U41" s="68"/>
      <c r="V41" s="512">
        <f xml:space="preserve"> TIME($F40,15,0)</f>
        <v>0.59375</v>
      </c>
      <c r="W41" s="512">
        <f>TIME($F40,45,0)</f>
        <v>0.61458333333333337</v>
      </c>
      <c r="X41" s="68"/>
      <c r="AG41" s="109"/>
      <c r="AH41" s="69"/>
      <c r="AI41" s="69"/>
      <c r="AJ41" s="288"/>
    </row>
    <row r="42" spans="1:36">
      <c r="A42" s="122"/>
      <c r="B42" s="66"/>
      <c r="C42" s="113"/>
      <c r="D42" s="114"/>
      <c r="E42" s="118"/>
      <c r="F42" s="79">
        <f>F40+1</f>
        <v>15</v>
      </c>
      <c r="G42" s="289" t="str">
        <f>IF(OR(AND(H$56&gt;$V42,H$56&lt;$W42),AND(H$57&gt; $V42,H$57&lt;$W42),AND(H$58&gt; $V42,H$58&lt;$W42)),"*","")</f>
        <v/>
      </c>
      <c r="H42" s="109"/>
      <c r="I42" s="69"/>
      <c r="J42" s="69"/>
      <c r="K42" s="288"/>
      <c r="L42" s="289" t="str">
        <f>IF(OR(AND(M$56&gt;$V42,M$56&lt;$W42),AND(M$57&gt; $V42,M$57&lt;$W42),AND(M$58&gt; $V42,M$58&lt;$W42)),"*","")</f>
        <v/>
      </c>
      <c r="M42" s="109"/>
      <c r="N42" s="69"/>
      <c r="O42" s="69"/>
      <c r="P42" s="288"/>
      <c r="R42" s="66"/>
      <c r="S42" s="66"/>
      <c r="T42" s="67"/>
      <c r="U42" s="68"/>
      <c r="V42" s="512">
        <f xml:space="preserve"> TIME($F42-1,45,0)</f>
        <v>0.61458333333333337</v>
      </c>
      <c r="W42" s="512">
        <f>TIME($F42,15,0)</f>
        <v>0.63541666666666663</v>
      </c>
      <c r="X42" s="68"/>
      <c r="AG42" s="109"/>
      <c r="AH42" s="69"/>
      <c r="AI42" s="69"/>
      <c r="AJ42" s="288"/>
    </row>
    <row r="43" spans="1:36">
      <c r="A43" s="122"/>
      <c r="B43" s="66"/>
      <c r="C43" s="113"/>
      <c r="D43" s="114"/>
      <c r="E43" s="118"/>
      <c r="F43" s="79"/>
      <c r="G43" s="289" t="str">
        <f>IF(OR(AND(H$56&gt;=$V43,H$56&lt;=$W43),AND(H$57&gt;=$V43,H$57&lt;=$W43),AND(H$58&gt;= $V43,H$58&lt;=$W43)),"*","")</f>
        <v/>
      </c>
      <c r="H43" s="109"/>
      <c r="I43" s="69"/>
      <c r="J43" s="69"/>
      <c r="K43" s="288"/>
      <c r="L43" s="289" t="str">
        <f>IF(OR(AND(M$56&gt;=$V43,M$56&lt;=$W43),AND(M$57&gt;=$V43,M$57&lt;=$W43),AND(M$58&gt;= $V43,M$58&lt;=$W43)),"*","")</f>
        <v/>
      </c>
      <c r="M43" s="109"/>
      <c r="N43" s="69"/>
      <c r="O43" s="69"/>
      <c r="P43" s="288"/>
      <c r="R43" s="66"/>
      <c r="S43" s="66"/>
      <c r="T43" s="67"/>
      <c r="U43" s="68"/>
      <c r="V43" s="512">
        <f xml:space="preserve"> TIME($F42,15,0)</f>
        <v>0.63541666666666663</v>
      </c>
      <c r="W43" s="512">
        <f>TIME($F42,45,0)</f>
        <v>0.65625</v>
      </c>
      <c r="X43" s="68"/>
      <c r="AG43" s="109"/>
      <c r="AH43" s="69"/>
      <c r="AI43" s="69"/>
      <c r="AJ43" s="288"/>
    </row>
    <row r="44" spans="1:36">
      <c r="A44" s="122"/>
      <c r="B44" s="66"/>
      <c r="C44" s="113"/>
      <c r="D44" s="114"/>
      <c r="E44" s="118"/>
      <c r="F44" s="79">
        <f>F42+1</f>
        <v>16</v>
      </c>
      <c r="G44" s="289" t="str">
        <f>IF(OR(AND(H$56&gt;$V44,H$56&lt;$W44),AND(H$57&gt; $V44,H$57&lt;$W44),AND(H$58&gt; $V44,H$58&lt;$W44)),"*","")</f>
        <v/>
      </c>
      <c r="H44" s="109"/>
      <c r="I44" s="69"/>
      <c r="J44" s="69"/>
      <c r="K44" s="288"/>
      <c r="L44" s="289" t="str">
        <f>IF(OR(AND(M$56&gt;$V44,M$56&lt;$W44),AND(M$57&gt; $V44,M$57&lt;$W44),AND(M$58&gt; $V44,M$58&lt;$W44)),"*","")</f>
        <v/>
      </c>
      <c r="M44" s="109"/>
      <c r="N44" s="69"/>
      <c r="O44" s="69"/>
      <c r="P44" s="288"/>
      <c r="R44" s="66"/>
      <c r="S44" s="66"/>
      <c r="T44" s="67"/>
      <c r="U44" s="68"/>
      <c r="V44" s="512">
        <f xml:space="preserve"> TIME($F44-1,45,0)</f>
        <v>0.65625</v>
      </c>
      <c r="W44" s="512">
        <f>TIME($F44,15,0)</f>
        <v>0.67708333333333337</v>
      </c>
      <c r="X44" s="68"/>
      <c r="AG44" s="69"/>
      <c r="AH44" s="69"/>
      <c r="AI44" s="69"/>
      <c r="AJ44" s="288"/>
    </row>
    <row r="45" spans="1:36" ht="18" customHeight="1" thickBot="1">
      <c r="A45" s="136"/>
      <c r="B45" s="137"/>
      <c r="C45" s="138"/>
      <c r="D45" s="139"/>
      <c r="E45" s="140"/>
      <c r="F45" s="79"/>
      <c r="G45" s="289" t="str">
        <f>IF(OR(AND(H$56&gt;=$V45,H$56&lt;=$W45),AND(H$57&gt;=$V45,H$57&lt;=$W45),AND(H$58&gt;= $V45,H$58&lt;=$W45)),"*","")</f>
        <v/>
      </c>
      <c r="H45" s="109"/>
      <c r="I45" s="69"/>
      <c r="J45" s="69"/>
      <c r="K45" s="288"/>
      <c r="L45" s="289" t="str">
        <f>IF(OR(AND(M$56&gt;=$V45,M$56&lt;=$W45),AND(M$57&gt;=$V45,M$57&lt;=$W45),AND(M$58&gt;= $V45,M$58&lt;=$W45)),"*","")</f>
        <v/>
      </c>
      <c r="M45" s="109"/>
      <c r="N45" s="69"/>
      <c r="O45" s="69"/>
      <c r="P45" s="288"/>
      <c r="R45" s="66"/>
      <c r="S45" s="66"/>
      <c r="T45" s="67"/>
      <c r="U45" s="68"/>
      <c r="V45" s="512">
        <f xml:space="preserve"> TIME($F44,15,0)</f>
        <v>0.67708333333333337</v>
      </c>
      <c r="W45" s="512">
        <f>TIME($F44,45,0)</f>
        <v>0.69791666666666663</v>
      </c>
      <c r="X45" s="68"/>
      <c r="AG45" s="109"/>
      <c r="AH45" s="69"/>
      <c r="AI45" s="69"/>
      <c r="AJ45" s="288"/>
    </row>
    <row r="46" spans="1:36">
      <c r="A46" s="122"/>
      <c r="B46" s="66"/>
      <c r="C46" s="113"/>
      <c r="D46" s="117"/>
      <c r="E46" s="121"/>
      <c r="F46" s="79">
        <f>F44+1</f>
        <v>17</v>
      </c>
      <c r="G46" s="289" t="str">
        <f>IF(OR(AND(H$56&gt;$V46,H$56&lt;$W46),AND(H$57&gt; $V46,H$57&lt;$W46),AND(H$58&gt; $V46,H$58&lt;$W46)),"*","")</f>
        <v/>
      </c>
      <c r="H46" s="109"/>
      <c r="I46" s="69"/>
      <c r="J46" s="69"/>
      <c r="K46" s="288"/>
      <c r="L46" s="289" t="str">
        <f>IF(OR(AND(M$56&gt;$V46,M$56&lt;$W46),AND(M$57&gt; $V46,M$57&lt;$W46),AND(M$58&gt; $V46,M$58&lt;$W46)),"*","")</f>
        <v/>
      </c>
      <c r="M46" s="109"/>
      <c r="N46" s="69"/>
      <c r="O46" s="69"/>
      <c r="P46" s="288"/>
      <c r="R46" s="66"/>
      <c r="S46" s="66"/>
      <c r="T46" s="67"/>
      <c r="U46" s="68"/>
      <c r="V46" s="512">
        <f xml:space="preserve"> TIME($F46-1,45,0)</f>
        <v>0.69791666666666663</v>
      </c>
      <c r="W46" s="512">
        <f>TIME($F46,15,0)</f>
        <v>0.71875</v>
      </c>
      <c r="X46" s="68"/>
      <c r="AG46" s="109"/>
      <c r="AH46" s="69"/>
      <c r="AI46" s="69"/>
      <c r="AJ46" s="288"/>
    </row>
    <row r="47" spans="1:36">
      <c r="A47" s="122"/>
      <c r="B47" s="66"/>
      <c r="C47" s="113"/>
      <c r="D47" s="114"/>
      <c r="E47" s="118"/>
      <c r="F47" s="79"/>
      <c r="G47" s="289" t="str">
        <f>IF(OR(AND(H$56&gt;=$V47,H$56&lt;=$W47),AND(H$57&gt;=$V47,H$57&lt;=$W47),AND(H$58&gt;= $V47,H$58&lt;=$W47)),"*","")</f>
        <v>*</v>
      </c>
      <c r="H47" s="109"/>
      <c r="I47" s="69"/>
      <c r="J47" s="69"/>
      <c r="K47" s="288"/>
      <c r="L47" s="289" t="str">
        <f>IF(OR(AND(M$56&gt;=$V47,M$56&lt;=$W47),AND(M$57&gt;=$V47,M$57&lt;=$W47),AND(M$58&gt;= $V47,M$58&lt;=$W47)),"*","")</f>
        <v>*</v>
      </c>
      <c r="M47" s="109"/>
      <c r="N47" s="69"/>
      <c r="O47" s="69"/>
      <c r="P47" s="288"/>
      <c r="R47" s="66"/>
      <c r="S47" s="66"/>
      <c r="T47" s="67"/>
      <c r="U47" s="68"/>
      <c r="V47" s="512">
        <f xml:space="preserve"> TIME($F46,15,0)</f>
        <v>0.71875</v>
      </c>
      <c r="W47" s="512">
        <f>TIME($F46,45,0)</f>
        <v>0.73958333333333337</v>
      </c>
      <c r="X47" s="68"/>
      <c r="AG47" s="109"/>
      <c r="AH47" s="69"/>
      <c r="AI47" s="69"/>
      <c r="AJ47" s="570" t="s">
        <v>473</v>
      </c>
    </row>
    <row r="48" spans="1:36">
      <c r="A48" s="122"/>
      <c r="B48" s="66"/>
      <c r="C48" s="113"/>
      <c r="D48" s="114"/>
      <c r="E48" s="118"/>
      <c r="F48" s="79">
        <f>F46+1</f>
        <v>18</v>
      </c>
      <c r="G48" s="289" t="str">
        <f>IF(OR(AND(H$56&gt;$V48,H$56&lt;$W48),AND(H$57&gt; $V48,H$57&lt;$W48),AND(H$58&gt; $V48,H$58&lt;$W48)),"*","")</f>
        <v/>
      </c>
      <c r="H48" s="109"/>
      <c r="I48" s="69"/>
      <c r="J48" s="69"/>
      <c r="K48" s="288"/>
      <c r="L48" s="289" t="str">
        <f>IF(OR(AND(M$56&gt;$V48,M$56&lt;$W48),AND(M$57&gt; $V48,M$57&lt;$W48),AND(M$58&gt; $V48,M$58&lt;$W48)),"*","")</f>
        <v/>
      </c>
      <c r="M48" s="109"/>
      <c r="N48" s="69"/>
      <c r="O48" s="69"/>
      <c r="P48" s="288"/>
      <c r="R48" s="66"/>
      <c r="S48" s="66"/>
      <c r="T48" s="67"/>
      <c r="U48" s="68"/>
      <c r="V48" s="512">
        <f xml:space="preserve"> TIME($F48-1,45,0)</f>
        <v>0.73958333333333337</v>
      </c>
      <c r="W48" s="512">
        <f>TIME($F48,15,0)</f>
        <v>0.76041666666666663</v>
      </c>
      <c r="X48" s="68"/>
      <c r="AG48" s="109"/>
      <c r="AH48" s="69"/>
      <c r="AI48" s="69"/>
      <c r="AJ48" s="570" t="s">
        <v>473</v>
      </c>
    </row>
    <row r="49" spans="1:36">
      <c r="A49" s="122"/>
      <c r="B49" s="66"/>
      <c r="C49" s="113"/>
      <c r="D49" s="114"/>
      <c r="E49" s="118"/>
      <c r="F49" s="79"/>
      <c r="G49" s="289" t="str">
        <f>IF(OR(AND(H$56&gt;=$V49,H$56&lt;=$W49),AND(H$57&gt;=$V49,H$57&lt;=$W49),AND(H$58&gt;= $V49,H$58&lt;=$W49)),"*","")</f>
        <v/>
      </c>
      <c r="H49" s="109"/>
      <c r="I49" s="69"/>
      <c r="J49" s="69"/>
      <c r="K49" s="288"/>
      <c r="L49" s="289" t="str">
        <f>IF(OR(AND(M$56&gt;=$V49,M$56&lt;=$W49),AND(M$57&gt;=$V49,M$57&lt;=$W49),AND(M$58&gt;= $V49,M$58&lt;=$W49)),"*","")</f>
        <v/>
      </c>
      <c r="M49" s="109"/>
      <c r="N49" s="69"/>
      <c r="O49" s="69"/>
      <c r="P49" s="288"/>
      <c r="R49" s="66"/>
      <c r="S49" s="66"/>
      <c r="T49" s="67"/>
      <c r="U49" s="68"/>
      <c r="V49" s="512">
        <f xml:space="preserve"> TIME($F48,15,0)</f>
        <v>0.76041666666666663</v>
      </c>
      <c r="W49" s="512">
        <f>TIME($F48,45,0)</f>
        <v>0.78125</v>
      </c>
      <c r="X49" s="68"/>
      <c r="AG49" s="109"/>
      <c r="AH49" s="69"/>
      <c r="AI49" s="69"/>
      <c r="AJ49" s="570" t="s">
        <v>473</v>
      </c>
    </row>
    <row r="50" spans="1:36" ht="18" customHeight="1" thickBot="1">
      <c r="A50" s="136"/>
      <c r="B50" s="137"/>
      <c r="C50" s="138"/>
      <c r="D50" s="139"/>
      <c r="E50" s="140"/>
      <c r="F50" s="79">
        <f>F48+1</f>
        <v>19</v>
      </c>
      <c r="G50" s="289" t="str">
        <f>IF(OR(AND(H$56&gt;$V50,H$56&lt;$W50),AND(H$57&gt; $V50,H$57&lt;$W50),AND(H$58&gt; $V50,H$58&lt;$W50)),"*","")</f>
        <v/>
      </c>
      <c r="H50" s="109"/>
      <c r="I50" s="69"/>
      <c r="J50" s="69"/>
      <c r="K50" s="288"/>
      <c r="L50" s="289" t="str">
        <f>IF(OR(AND(M$56&gt;$V50,M$56&lt;$W50),AND(M$57&gt; $V50,M$57&lt;$W50),AND(M$58&gt; $V50,M$58&lt;$W50)),"*","")</f>
        <v/>
      </c>
      <c r="M50" s="109"/>
      <c r="N50" s="69"/>
      <c r="O50" s="69"/>
      <c r="P50" s="288"/>
      <c r="R50" s="66"/>
      <c r="S50" s="66"/>
      <c r="T50" s="67"/>
      <c r="U50" s="68"/>
      <c r="V50" s="512">
        <f xml:space="preserve"> TIME($F50-1,45,0)</f>
        <v>0.78125</v>
      </c>
      <c r="W50" s="512">
        <f>TIME($F50,15,0)</f>
        <v>0.80208333333333337</v>
      </c>
      <c r="X50" s="68"/>
      <c r="AG50" s="109"/>
      <c r="AH50" s="69"/>
      <c r="AI50" s="69"/>
      <c r="AJ50" s="570" t="s">
        <v>473</v>
      </c>
    </row>
    <row r="51" spans="1:36">
      <c r="A51" s="701"/>
      <c r="B51" s="698"/>
      <c r="C51" s="695"/>
      <c r="D51" s="117"/>
      <c r="E51" s="121"/>
      <c r="F51" s="79"/>
      <c r="G51" s="289" t="str">
        <f>IF(OR(AND(H$56&gt;=$V51,H$56&lt;=$W51),AND(H$57&gt;=$V51,H$57&lt;=$W51),AND(H$58&gt;= $V51,H$58&lt;=$W51)),"*","")</f>
        <v/>
      </c>
      <c r="H51" s="109"/>
      <c r="I51" s="69"/>
      <c r="J51" s="69"/>
      <c r="K51" s="288"/>
      <c r="L51" s="289" t="str">
        <f>IF(OR(AND(M$56&gt;=$V51,M$56&lt;=$W51),AND(M$57&gt;=$V51,M$57&lt;=$W51),AND(M$58&gt;= $V51,M$58&lt;=$W51)),"*","")</f>
        <v/>
      </c>
      <c r="M51" s="109"/>
      <c r="N51" s="69"/>
      <c r="O51" s="69"/>
      <c r="P51" s="288"/>
      <c r="R51" s="66"/>
      <c r="S51" s="66"/>
      <c r="T51" s="67"/>
      <c r="U51" s="68"/>
      <c r="V51" s="512">
        <f xml:space="preserve"> TIME($F50,15,0)</f>
        <v>0.80208333333333337</v>
      </c>
      <c r="W51" s="512">
        <f>TIME($F50,45,0)</f>
        <v>0.82291666666666663</v>
      </c>
      <c r="X51" s="68"/>
      <c r="AG51" s="109"/>
      <c r="AH51" s="69"/>
      <c r="AI51" s="69"/>
      <c r="AJ51" s="570" t="s">
        <v>473</v>
      </c>
    </row>
    <row r="52" spans="1:36">
      <c r="A52" s="702"/>
      <c r="B52" s="699"/>
      <c r="C52" s="696"/>
      <c r="D52" s="116"/>
      <c r="E52" s="120"/>
      <c r="F52" s="79">
        <f>F50+1</f>
        <v>20</v>
      </c>
      <c r="G52" s="289" t="str">
        <f>IF(OR(AND(H$56&gt;$V52,H$56&lt;$W52),AND(H$57&gt; $V52,H$57&lt;$W52),AND(H$58&gt; $V52,H$58&lt;$W52)),"*","")</f>
        <v/>
      </c>
      <c r="H52" s="109"/>
      <c r="I52" s="69"/>
      <c r="J52" s="69"/>
      <c r="K52" s="288"/>
      <c r="L52" s="289" t="str">
        <f>IF(OR(AND(M$56&gt;$V52,M$56&lt;$W52),AND(M$57&gt; $V52,M$57&lt;$W52),AND(M$58&gt; $V52,M$58&lt;$W52)),"*","")</f>
        <v/>
      </c>
      <c r="M52" s="109"/>
      <c r="N52" s="69"/>
      <c r="O52" s="69"/>
      <c r="P52" s="288"/>
      <c r="R52" s="66"/>
      <c r="S52" s="66"/>
      <c r="T52" s="67"/>
      <c r="U52" s="68"/>
      <c r="V52" s="512">
        <f xml:space="preserve"> TIME($F52-1,45,0)</f>
        <v>0.82291666666666663</v>
      </c>
      <c r="W52" s="512">
        <f>TIME($F52,15,0)</f>
        <v>0.84375</v>
      </c>
      <c r="X52" s="68"/>
      <c r="AG52" s="109"/>
      <c r="AH52" s="69"/>
      <c r="AI52" s="69"/>
      <c r="AJ52" s="570" t="s">
        <v>473</v>
      </c>
    </row>
    <row r="53" spans="1:36">
      <c r="A53" s="703"/>
      <c r="B53" s="700"/>
      <c r="C53" s="697"/>
      <c r="D53" s="114"/>
      <c r="E53" s="118"/>
      <c r="F53" s="79"/>
      <c r="G53" s="289" t="str">
        <f>IF(OR(AND(H$56&gt;=$V53,H$56&lt;=$W53),AND(H$57&gt;=$V53,H$57&lt;=$W53),AND(H$58&gt;= $V53,H$58&lt;=$W53)),"*","")</f>
        <v/>
      </c>
      <c r="H53" s="691" t="str">
        <f>IFERROR(T("Yoga: " &amp; YogaName(I$1)  &amp; CHAR(10) &amp; "Naksatra: " &amp; NaksatraName(I$1)),"")</f>
        <v>Yoga: Sula
Naksatra: Anuradha</v>
      </c>
      <c r="I53" s="691"/>
      <c r="J53" s="691"/>
      <c r="K53" s="124" t="str">
        <f>I$1-DATE(YEAR(I$1),1,1)+1 &amp; CHAR(10) &amp; DATE(YEAR(I$1),12,31)-I$1</f>
        <v>361
5</v>
      </c>
      <c r="L53" s="289" t="str">
        <f>IF(OR(AND(M$56&gt;=$V53,M$56&lt;=$W53),AND(M$57&gt;=$V53,M$57&lt;=$W53),AND(M$58&gt;= $V53,M$58&lt;=$W53)),"*","")</f>
        <v/>
      </c>
      <c r="M53" s="691" t="str">
        <f>IFERROR(T("Yoga: " &amp; YogaName(N$1)  &amp; CHAR(10) &amp; "Naksatra: " &amp; NaksatraName(N$1)),"")</f>
        <v>Yoga: Ganda
Naksatra: Jyestha</v>
      </c>
      <c r="N53" s="691"/>
      <c r="O53" s="691"/>
      <c r="P53" s="124" t="str">
        <f>N$1-DATE(YEAR(N$1),1,1)+1 &amp; CHAR(10) &amp; DATE(YEAR(N$1),12,31)-N$1</f>
        <v>362
4</v>
      </c>
      <c r="R53" s="66"/>
      <c r="S53" s="66"/>
      <c r="T53" s="67"/>
      <c r="U53" s="68"/>
      <c r="V53" s="512">
        <f xml:space="preserve"> TIME($F52,15,0)</f>
        <v>0.84375</v>
      </c>
      <c r="W53" s="512">
        <f>TIME($F52,45,0)</f>
        <v>0.86458333333333337</v>
      </c>
      <c r="X53" s="68"/>
      <c r="AG53" s="725" t="s">
        <v>5415</v>
      </c>
      <c r="AH53" s="726"/>
      <c r="AI53" s="726"/>
      <c r="AJ53" s="124" t="e">
        <v>#NUM!</v>
      </c>
    </row>
    <row r="54" spans="1:36" ht="2.25" customHeight="1">
      <c r="A54" s="68"/>
      <c r="B54" s="68"/>
      <c r="C54" s="68"/>
      <c r="D54" s="68"/>
      <c r="E54" s="68"/>
      <c r="F54" s="68"/>
      <c r="G54" s="66"/>
      <c r="H54" s="68"/>
      <c r="I54" s="68"/>
      <c r="J54" s="68"/>
      <c r="K54" s="66"/>
      <c r="L54" s="66"/>
      <c r="M54" s="66"/>
      <c r="N54" s="68"/>
      <c r="O54" s="68"/>
      <c r="P54" s="68"/>
      <c r="Q54" s="66"/>
      <c r="R54" s="68"/>
      <c r="S54" s="68"/>
      <c r="T54" s="67"/>
      <c r="U54" s="68"/>
      <c r="V54" s="68"/>
      <c r="W54" s="68"/>
      <c r="X54" s="68"/>
    </row>
    <row r="55" spans="1:36" hidden="1"/>
    <row r="56" spans="1:36" ht="12.75" hidden="1">
      <c r="H56" s="513">
        <f>SunRiseTime(I$1)</f>
        <v>0.21009259259259261</v>
      </c>
      <c r="M56" s="513">
        <f>SunRiseTime(N$1)</f>
        <v>0.21046296296296296</v>
      </c>
      <c r="AG56" s="513">
        <v>0.22092592592592594</v>
      </c>
      <c r="AH56" s="204"/>
      <c r="AI56" s="204"/>
      <c r="AJ56" s="204"/>
    </row>
    <row r="57" spans="1:36" ht="12.75" hidden="1">
      <c r="H57" s="513">
        <f>NoonTime(I$1)</f>
        <v>0.47245370370370371</v>
      </c>
      <c r="M57" s="513">
        <f>NoonTime(N$1)</f>
        <v>0.47280092592592587</v>
      </c>
      <c r="AG57" s="513">
        <v>0.48082175925925924</v>
      </c>
      <c r="AH57" s="204"/>
      <c r="AI57" s="204"/>
      <c r="AJ57" s="204"/>
    </row>
    <row r="58" spans="1:36" ht="12.75" hidden="1">
      <c r="H58" s="513">
        <f>SunSetTime(I$1)</f>
        <v>0.73481481481481481</v>
      </c>
      <c r="M58" s="513">
        <f>SunSetTime(N$1)</f>
        <v>0.7351388888888889</v>
      </c>
      <c r="AG58" s="513">
        <v>0.74070601851851858</v>
      </c>
      <c r="AH58" s="204"/>
      <c r="AI58" s="204"/>
      <c r="AJ58" s="204"/>
    </row>
  </sheetData>
  <sheetProtection sheet="1" objects="1" scenarios="1"/>
  <mergeCells count="53">
    <mergeCell ref="AG53:AI53"/>
    <mergeCell ref="AG25:AI25"/>
    <mergeCell ref="AG27:AI27"/>
    <mergeCell ref="AG29:AI29"/>
    <mergeCell ref="AG31:AI31"/>
    <mergeCell ref="AG33:AI33"/>
    <mergeCell ref="AG18:AI18"/>
    <mergeCell ref="AG19:AI19"/>
    <mergeCell ref="AG20:AI20"/>
    <mergeCell ref="AG21:AI21"/>
    <mergeCell ref="AG23:AI23"/>
    <mergeCell ref="AG13:AI13"/>
    <mergeCell ref="AG14:AI14"/>
    <mergeCell ref="AG15:AI15"/>
    <mergeCell ref="AG16:AI16"/>
    <mergeCell ref="AG17:AI17"/>
    <mergeCell ref="AH1:AI2"/>
    <mergeCell ref="AG3:AI3"/>
    <mergeCell ref="AG4:AJ10"/>
    <mergeCell ref="AG11:AI11"/>
    <mergeCell ref="AG12:AI12"/>
    <mergeCell ref="M3:O3"/>
    <mergeCell ref="A7:C7"/>
    <mergeCell ref="A8:C8"/>
    <mergeCell ref="A1:D2"/>
    <mergeCell ref="E1:F1"/>
    <mergeCell ref="I1:J2"/>
    <mergeCell ref="N1:O2"/>
    <mergeCell ref="E2:F2"/>
    <mergeCell ref="A6:E6"/>
    <mergeCell ref="A3:D5"/>
    <mergeCell ref="E3:E5"/>
    <mergeCell ref="F3:F10"/>
    <mergeCell ref="H3:J3"/>
    <mergeCell ref="A9:C9"/>
    <mergeCell ref="A10:C10"/>
    <mergeCell ref="M4:P10"/>
    <mergeCell ref="H53:J53"/>
    <mergeCell ref="M53:O53"/>
    <mergeCell ref="A11:C11"/>
    <mergeCell ref="D11:E11"/>
    <mergeCell ref="H14:J14"/>
    <mergeCell ref="C51:C53"/>
    <mergeCell ref="B51:B53"/>
    <mergeCell ref="A51:A53"/>
    <mergeCell ref="H4:K10"/>
    <mergeCell ref="M14:O14"/>
    <mergeCell ref="M13:O13"/>
    <mergeCell ref="H11:J11"/>
    <mergeCell ref="M11:O11"/>
    <mergeCell ref="H12:J12"/>
    <mergeCell ref="M12:O12"/>
    <mergeCell ref="H13:J13"/>
  </mergeCells>
  <conditionalFormatting sqref="H3:J3">
    <cfRule type="expression" dxfId="55" priority="17" stopIfTrue="1">
      <formula>$X$3="*"</formula>
    </cfRule>
  </conditionalFormatting>
  <conditionalFormatting sqref="H1">
    <cfRule type="expression" dxfId="54" priority="18" stopIfTrue="1">
      <formula>$W$3&lt;&gt;""</formula>
    </cfRule>
  </conditionalFormatting>
  <conditionalFormatting sqref="I1:J2">
    <cfRule type="expression" dxfId="53" priority="19" stopIfTrue="1">
      <formula>$V$3&lt;&gt;""</formula>
    </cfRule>
    <cfRule type="expression" dxfId="52" priority="20" stopIfTrue="1">
      <formula>$X$3="*"</formula>
    </cfRule>
    <cfRule type="expression" dxfId="51" priority="21" stopIfTrue="1">
      <formula>$Z$3="C"</formula>
    </cfRule>
  </conditionalFormatting>
  <conditionalFormatting sqref="M1">
    <cfRule type="expression" dxfId="50" priority="22" stopIfTrue="1">
      <formula>$W$4&lt;&gt;""</formula>
    </cfRule>
  </conditionalFormatting>
  <conditionalFormatting sqref="N1:O2">
    <cfRule type="expression" dxfId="49" priority="23" stopIfTrue="1">
      <formula>$V$4&lt;&gt;""</formula>
    </cfRule>
    <cfRule type="expression" dxfId="48" priority="24" stopIfTrue="1">
      <formula>$X$4="*"</formula>
    </cfRule>
    <cfRule type="expression" dxfId="47" priority="25" stopIfTrue="1">
      <formula>$Z$4="C"</formula>
    </cfRule>
  </conditionalFormatting>
  <conditionalFormatting sqref="M3:O3">
    <cfRule type="expression" dxfId="46" priority="6" stopIfTrue="1">
      <formula>$X$3="*"</formula>
    </cfRule>
  </conditionalFormatting>
  <conditionalFormatting sqref="AG1">
    <cfRule type="expression" dxfId="45" priority="1" stopIfTrue="1">
      <formula>$AG$5&lt;&gt;""</formula>
    </cfRule>
  </conditionalFormatting>
  <conditionalFormatting sqref="AH1:AI2">
    <cfRule type="expression" dxfId="44" priority="2" stopIfTrue="1">
      <formula>$AF$5&lt;&gt;""</formula>
    </cfRule>
    <cfRule type="expression" dxfId="43" priority="3" stopIfTrue="1">
      <formula>$AH$5="*"</formula>
    </cfRule>
    <cfRule type="expression" dxfId="42" priority="4" stopIfTrue="1">
      <formula>$AG$5&lt;&gt;""</formula>
    </cfRule>
  </conditionalFormatting>
  <conditionalFormatting sqref="AG3:AI3">
    <cfRule type="expression" dxfId="41" priority="5" stopIfTrue="1">
      <formula>$AH$5="*"</formula>
    </cfRule>
  </conditionalFormatting>
  <hyperlinks>
    <hyperlink ref="F11" location="Index!E25" display="Index!E25"/>
  </hyperlinks>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7698" r:id="rId4" name="WeekSelect2">
              <controlPr defaultSize="0" print="0" autoPict="0">
                <anchor moveWithCells="1">
                  <from>
                    <xdr:col>5</xdr:col>
                    <xdr:colOff>76200</xdr:colOff>
                    <xdr:row>0</xdr:row>
                    <xdr:rowOff>66675</xdr:rowOff>
                  </from>
                  <to>
                    <xdr:col>6</xdr:col>
                    <xdr:colOff>19050</xdr:colOff>
                    <xdr:row>1</xdr:row>
                    <xdr:rowOff>180975</xdr:rowOff>
                  </to>
                </anchor>
              </controlPr>
            </control>
          </mc:Choice>
        </mc:AlternateContent>
        <mc:AlternateContent xmlns:mc="http://schemas.openxmlformats.org/markup-compatibility/2006">
          <mc:Choice Requires="x14">
            <control shapeId="157699" r:id="rId5" name="YearSelect3">
              <controlPr defaultSize="0" print="0" autoPict="0">
                <anchor moveWithCells="1">
                  <from>
                    <xdr:col>0</xdr:col>
                    <xdr:colOff>133350</xdr:colOff>
                    <xdr:row>0</xdr:row>
                    <xdr:rowOff>47625</xdr:rowOff>
                  </from>
                  <to>
                    <xdr:col>1</xdr:col>
                    <xdr:colOff>95250</xdr:colOff>
                    <xdr:row>1</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Right">
    <pageSetUpPr fitToPage="1"/>
  </sheetPr>
  <dimension ref="A1:AV58"/>
  <sheetViews>
    <sheetView showGridLines="0" showRowColHeaders="0" showWhiteSpace="0" zoomScaleNormal="100" zoomScaleSheetLayoutView="100" workbookViewId="0"/>
  </sheetViews>
  <sheetFormatPr defaultColWidth="0" defaultRowHeight="18" zeroHeight="1"/>
  <cols>
    <col min="1" max="1" width="3.140625" style="68" customWidth="1"/>
    <col min="2" max="2" width="1" style="68" customWidth="1"/>
    <col min="3" max="3" width="10.7109375" style="68" customWidth="1"/>
    <col min="4" max="6" width="4.28515625" style="68" customWidth="1"/>
    <col min="7" max="7" width="1" style="66" customWidth="1"/>
    <col min="8" max="8" width="10.7109375" style="68" customWidth="1"/>
    <col min="9" max="10" width="4.28515625" style="68" customWidth="1"/>
    <col min="11" max="11" width="4.28515625" style="66" customWidth="1"/>
    <col min="12" max="12" width="1" style="66" customWidth="1"/>
    <col min="13" max="13" width="10.7109375" style="66" customWidth="1"/>
    <col min="14" max="15" width="4.28515625" style="68" customWidth="1"/>
    <col min="16" max="16" width="4.28515625" style="66" customWidth="1"/>
    <col min="17" max="17" width="1" style="66" customWidth="1"/>
    <col min="18" max="18" width="3.28515625" style="66" customWidth="1"/>
    <col min="19" max="24" width="3.28515625" style="68" customWidth="1"/>
    <col min="25" max="25" width="0.42578125" style="65" customWidth="1"/>
    <col min="26" max="26" width="1.5703125" style="67" hidden="1" customWidth="1"/>
    <col min="27" max="31" width="12.7109375" style="68" hidden="1" customWidth="1"/>
    <col min="32" max="33" width="8.5703125" style="68" hidden="1" customWidth="1"/>
    <col min="34" max="35" width="11.85546875" style="68" hidden="1" customWidth="1"/>
    <col min="36" max="36" width="8.140625" style="68" hidden="1" customWidth="1"/>
    <col min="37" max="40" width="9.140625" style="68" hidden="1" customWidth="1"/>
    <col min="41" max="41" width="2.85546875" style="68" hidden="1" customWidth="1"/>
    <col min="42" max="42" width="9.140625" style="68" hidden="1" customWidth="1"/>
    <col min="43" max="43" width="11.7109375" style="68" hidden="1" customWidth="1"/>
    <col min="44" max="47" width="9.140625" style="68" hidden="1" customWidth="1"/>
    <col min="48" max="48" width="2.85546875" style="68" hidden="1" customWidth="1"/>
    <col min="49" max="16384" width="9.140625" style="68" hidden="1"/>
  </cols>
  <sheetData>
    <row r="1" spans="1:47" s="66" customFormat="1">
      <c r="C1" s="242" t="str">
        <f>DayWeek(D1)</f>
        <v>Quarta</v>
      </c>
      <c r="D1" s="711">
        <f>I1-1</f>
        <v>42732</v>
      </c>
      <c r="E1" s="711"/>
      <c r="F1" s="112" t="str">
        <f>MoonPhase(D1)</f>
        <v>Nova</v>
      </c>
      <c r="G1" s="112"/>
      <c r="H1" s="123" t="str">
        <f>DayWeek(I1)</f>
        <v>Quinta</v>
      </c>
      <c r="I1" s="711">
        <f>N1-1</f>
        <v>42733</v>
      </c>
      <c r="J1" s="711"/>
      <c r="K1" s="112" t="str">
        <f>MoonPhase(I1)</f>
        <v>Nova</v>
      </c>
      <c r="L1" s="112"/>
      <c r="M1" s="123" t="str">
        <f>DayWeek(N1)</f>
        <v>Sexta</v>
      </c>
      <c r="N1" s="711">
        <f>U1-1</f>
        <v>42734</v>
      </c>
      <c r="O1" s="711"/>
      <c r="P1" s="112" t="str">
        <f>MoonPhase(N1)</f>
        <v>Nova</v>
      </c>
      <c r="Q1" s="112"/>
      <c r="R1" s="733" t="str">
        <f>DayWeek(U1)</f>
        <v>Sábado</v>
      </c>
      <c r="S1" s="733" t="s">
        <v>473</v>
      </c>
      <c r="T1" s="733" t="s">
        <v>589</v>
      </c>
      <c r="U1" s="711">
        <f>V11-1</f>
        <v>42735</v>
      </c>
      <c r="V1" s="711"/>
      <c r="W1" s="711"/>
      <c r="X1" s="112" t="str">
        <f>MoonPhase(U1)</f>
        <v>Nova</v>
      </c>
      <c r="Y1" s="65"/>
      <c r="Z1" s="67"/>
      <c r="AE1" s="317" t="str">
        <f ca="1">'Weekly-Left'!E1</f>
        <v>Semana 53 /1</v>
      </c>
      <c r="AF1" s="79" t="str">
        <f ca="1">'GPlan-Translations'!$C$270</f>
        <v>Tabelas (para Formatação Condicional)</v>
      </c>
      <c r="AP1" s="709">
        <v>0</v>
      </c>
      <c r="AQ1" s="709"/>
      <c r="AR1" s="709"/>
      <c r="AS1" s="709"/>
      <c r="AT1" s="710">
        <v>0</v>
      </c>
      <c r="AU1" s="710"/>
    </row>
    <row r="2" spans="1:47" s="66" customFormat="1" ht="18" customHeight="1">
      <c r="C2" s="168" t="str">
        <f>PakshaName(D1)</f>
        <v>Krsna Paksa</v>
      </c>
      <c r="D2" s="711"/>
      <c r="E2" s="711"/>
      <c r="F2" s="162" t="str">
        <f>MoonSymbol(D1)</f>
        <v>: :</v>
      </c>
      <c r="G2" s="28"/>
      <c r="H2" s="168" t="str">
        <f>PakshaName(I1)</f>
        <v>Gaura Paksa</v>
      </c>
      <c r="I2" s="711"/>
      <c r="J2" s="711"/>
      <c r="K2" s="162" t="str">
        <f>MoonSymbol(I1)</f>
        <v>: :</v>
      </c>
      <c r="L2" s="28"/>
      <c r="M2" s="168" t="str">
        <f>PakshaName(N1)</f>
        <v>Gaura Paksa</v>
      </c>
      <c r="N2" s="711"/>
      <c r="O2" s="711"/>
      <c r="P2" s="162" t="str">
        <f>MoonSymbol(N1)</f>
        <v>: :</v>
      </c>
      <c r="Q2" s="28"/>
      <c r="R2" s="734" t="str">
        <f>PakshaName(U1)</f>
        <v>Gaura Paksa</v>
      </c>
      <c r="S2" s="734"/>
      <c r="T2" s="734"/>
      <c r="U2" s="711"/>
      <c r="V2" s="711"/>
      <c r="W2" s="711"/>
      <c r="X2" s="162" t="str">
        <f>MoonSymbol(U1)</f>
        <v>: :</v>
      </c>
      <c r="Y2" s="65"/>
      <c r="Z2" s="67"/>
      <c r="AE2" s="208" t="str">
        <f ca="1">'GPlan-Translations'!$C$242</f>
        <v>Dia</v>
      </c>
      <c r="AF2" s="208" t="str">
        <f ca="1">'GPlan-Translations'!$C$243</f>
        <v>Feriado</v>
      </c>
      <c r="AG2" s="208" t="str">
        <f ca="1">'GPlan-Translations'!$C$244</f>
        <v>Comemoração</v>
      </c>
      <c r="AH2" s="208" t="str">
        <f ca="1">'GPlan-Translations'!$C$245</f>
        <v>Jejum</v>
      </c>
      <c r="AI2" s="208" t="s">
        <v>4505</v>
      </c>
      <c r="AJ2" s="208" t="s">
        <v>5458</v>
      </c>
      <c r="AL2" s="416">
        <v>1</v>
      </c>
      <c r="AM2" s="417" t="str">
        <f ca="1">'GPlan-Translations'!C222</f>
        <v>Janeiro</v>
      </c>
      <c r="AP2" s="709"/>
      <c r="AQ2" s="709"/>
      <c r="AR2" s="709"/>
      <c r="AS2" s="709"/>
      <c r="AT2" s="712">
        <v>0</v>
      </c>
      <c r="AU2" s="713"/>
    </row>
    <row r="3" spans="1:47" s="66" customFormat="1" ht="18" customHeight="1">
      <c r="C3" s="704" t="str">
        <f>TithiName(D1)</f>
        <v>Amavasya Tithi</v>
      </c>
      <c r="D3" s="704"/>
      <c r="E3" s="704"/>
      <c r="F3" s="169" t="str">
        <f>FastMark(D1)</f>
        <v/>
      </c>
      <c r="G3" s="28"/>
      <c r="H3" s="704" t="str">
        <f>TithiName(I1)</f>
        <v>Pratipat Tithi</v>
      </c>
      <c r="I3" s="704"/>
      <c r="J3" s="704"/>
      <c r="K3" s="169" t="str">
        <f>FastMark(I1)</f>
        <v/>
      </c>
      <c r="L3" s="28"/>
      <c r="M3" s="704" t="str">
        <f>TithiName(N1)</f>
        <v>Pratipat Tithi</v>
      </c>
      <c r="N3" s="704"/>
      <c r="O3" s="704"/>
      <c r="P3" s="169" t="str">
        <f>FastMark(N1)</f>
        <v/>
      </c>
      <c r="Q3" s="28"/>
      <c r="R3" s="704" t="str">
        <f>TithiName(U1)</f>
        <v>Dvitiya Tithi</v>
      </c>
      <c r="S3" s="704"/>
      <c r="T3" s="704"/>
      <c r="U3" s="704"/>
      <c r="V3" s="704"/>
      <c r="W3" s="704"/>
      <c r="X3" s="169" t="str">
        <f>FastMark(U1)</f>
        <v/>
      </c>
      <c r="Y3" s="65"/>
      <c r="Z3" s="67"/>
      <c r="AE3" s="209">
        <f>D1</f>
        <v>42732</v>
      </c>
      <c r="AF3" s="352" t="str">
        <f>IF(AI3&lt;-10,"F","")</f>
        <v/>
      </c>
      <c r="AG3" s="352" t="str">
        <f>IF(AND(AI3&lt;100,AI3&gt;20),"C","")</f>
        <v/>
      </c>
      <c r="AH3" s="210" t="str">
        <f>F3</f>
        <v/>
      </c>
      <c r="AI3" s="210">
        <f>DayClass(AE3)</f>
        <v>0</v>
      </c>
      <c r="AJ3" s="210">
        <f>CelebrationType(AE3)</f>
        <v>0</v>
      </c>
      <c r="AL3" s="418">
        <v>2</v>
      </c>
      <c r="AM3" s="419" t="str">
        <f ca="1">'GPlan-Translations'!C223</f>
        <v>Fevereiro</v>
      </c>
      <c r="AP3" s="714">
        <v>0</v>
      </c>
      <c r="AQ3" s="714"/>
      <c r="AR3" s="714"/>
      <c r="AS3" s="714"/>
      <c r="AT3" s="716">
        <v>0</v>
      </c>
      <c r="AU3" s="718">
        <v>0</v>
      </c>
    </row>
    <row r="4" spans="1:47" s="66" customFormat="1" ht="19.5" customHeight="1">
      <c r="C4" s="684" t="str">
        <f>EventsSerie1(D1)</f>
        <v/>
      </c>
      <c r="D4" s="684"/>
      <c r="E4" s="684"/>
      <c r="F4" s="684"/>
      <c r="G4" s="107"/>
      <c r="H4" s="684" t="str">
        <f>EventsSerie1(I1)</f>
        <v xml:space="preserve">Sri Locana Dasa Thakura - Aparecimento
</v>
      </c>
      <c r="I4" s="684"/>
      <c r="J4" s="684"/>
      <c r="K4" s="684"/>
      <c r="L4" s="107"/>
      <c r="M4" s="684" t="str">
        <f>EventsSerie1(N1)</f>
        <v/>
      </c>
      <c r="N4" s="684"/>
      <c r="O4" s="684"/>
      <c r="P4" s="684"/>
      <c r="Q4" s="107"/>
      <c r="R4" s="684" t="str">
        <f>EventsSerie1(U1)</f>
        <v/>
      </c>
      <c r="S4" s="684"/>
      <c r="T4" s="684"/>
      <c r="U4" s="684"/>
      <c r="V4" s="684"/>
      <c r="W4" s="684"/>
      <c r="X4" s="684"/>
      <c r="Y4" s="65"/>
      <c r="Z4" s="67"/>
      <c r="AE4" s="209">
        <f>I1</f>
        <v>42733</v>
      </c>
      <c r="AF4" s="352" t="str">
        <f>IF(AI4&lt;-10,"F","")</f>
        <v/>
      </c>
      <c r="AG4" s="352" t="str">
        <f>IF(AND(AI4&lt;100,AI4&gt;20),"C","")</f>
        <v/>
      </c>
      <c r="AH4" s="210" t="str">
        <f>K3</f>
        <v/>
      </c>
      <c r="AI4" s="210">
        <f>DayClass(AE4)</f>
        <v>3</v>
      </c>
      <c r="AJ4" s="210">
        <f t="shared" ref="AJ4:AJ7" si="0">CelebrationType(AE4)</f>
        <v>0</v>
      </c>
      <c r="AL4" s="418">
        <v>3</v>
      </c>
      <c r="AM4" s="419" t="str">
        <f ca="1">'GPlan-Translations'!C224</f>
        <v>Março</v>
      </c>
      <c r="AP4" s="714"/>
      <c r="AQ4" s="714"/>
      <c r="AR4" s="714"/>
      <c r="AS4" s="714"/>
      <c r="AT4" s="716"/>
      <c r="AU4" s="718"/>
    </row>
    <row r="5" spans="1:47" s="66" customFormat="1" ht="19.5" customHeight="1" thickBot="1">
      <c r="C5" s="685"/>
      <c r="D5" s="685"/>
      <c r="E5" s="685"/>
      <c r="F5" s="685"/>
      <c r="G5" s="107"/>
      <c r="H5" s="685"/>
      <c r="I5" s="685"/>
      <c r="J5" s="685"/>
      <c r="K5" s="685"/>
      <c r="L5" s="107"/>
      <c r="M5" s="685"/>
      <c r="N5" s="685"/>
      <c r="O5" s="685"/>
      <c r="P5" s="685"/>
      <c r="Q5" s="107"/>
      <c r="R5" s="685"/>
      <c r="S5" s="685"/>
      <c r="T5" s="685"/>
      <c r="U5" s="685"/>
      <c r="V5" s="685"/>
      <c r="W5" s="685"/>
      <c r="X5" s="685"/>
      <c r="Y5" s="65"/>
      <c r="Z5" s="67"/>
      <c r="AE5" s="209">
        <f>N1</f>
        <v>42734</v>
      </c>
      <c r="AF5" s="352" t="str">
        <f>IF(AI5&lt;-10,"F","")</f>
        <v/>
      </c>
      <c r="AG5" s="352" t="str">
        <f>IF(AND(AI5&lt;100,AI5&gt;20),"C","")</f>
        <v/>
      </c>
      <c r="AH5" s="210" t="str">
        <f>P3</f>
        <v/>
      </c>
      <c r="AI5" s="210">
        <f>DayClass(AE5)</f>
        <v>0</v>
      </c>
      <c r="AJ5" s="210">
        <f t="shared" si="0"/>
        <v>0</v>
      </c>
      <c r="AL5" s="418">
        <v>4</v>
      </c>
      <c r="AM5" s="419" t="str">
        <f ca="1">'GPlan-Translations'!C225</f>
        <v>Abril</v>
      </c>
      <c r="AP5" s="715"/>
      <c r="AQ5" s="715"/>
      <c r="AR5" s="715"/>
      <c r="AS5" s="715"/>
      <c r="AT5" s="717"/>
      <c r="AU5" s="718"/>
    </row>
    <row r="6" spans="1:47" s="66" customFormat="1" ht="19.5" customHeight="1" thickBot="1">
      <c r="C6" s="685"/>
      <c r="D6" s="685"/>
      <c r="E6" s="685"/>
      <c r="F6" s="685"/>
      <c r="G6" s="107"/>
      <c r="H6" s="685"/>
      <c r="I6" s="685"/>
      <c r="J6" s="685"/>
      <c r="K6" s="685"/>
      <c r="L6" s="107"/>
      <c r="M6" s="685"/>
      <c r="N6" s="685"/>
      <c r="O6" s="685"/>
      <c r="P6" s="685"/>
      <c r="Q6" s="107"/>
      <c r="R6" s="685"/>
      <c r="S6" s="685"/>
      <c r="T6" s="685"/>
      <c r="U6" s="685"/>
      <c r="V6" s="685"/>
      <c r="W6" s="685"/>
      <c r="X6" s="685"/>
      <c r="Y6" s="65"/>
      <c r="Z6" s="67"/>
      <c r="AE6" s="209">
        <f>U1</f>
        <v>42735</v>
      </c>
      <c r="AF6" s="352" t="str">
        <f>IF(AI6&lt;-10,"F","")</f>
        <v/>
      </c>
      <c r="AG6" s="352" t="str">
        <f>IF(AND(AI6&lt;100,AI6&gt;20),"C","")</f>
        <v/>
      </c>
      <c r="AH6" s="210" t="str">
        <f>X3</f>
        <v/>
      </c>
      <c r="AI6" s="210">
        <f>DayClass(AE6)</f>
        <v>0</v>
      </c>
      <c r="AJ6" s="210">
        <f t="shared" si="0"/>
        <v>0</v>
      </c>
      <c r="AL6" s="418">
        <v>5</v>
      </c>
      <c r="AM6" s="419" t="str">
        <f ca="1">'GPlan-Translations'!C226</f>
        <v>Maio</v>
      </c>
      <c r="AP6" s="692">
        <v>0</v>
      </c>
      <c r="AQ6" s="693"/>
      <c r="AR6" s="693"/>
      <c r="AS6" s="693"/>
      <c r="AT6" s="694"/>
      <c r="AU6" s="718"/>
    </row>
    <row r="7" spans="1:47" s="66" customFormat="1" ht="19.5" customHeight="1">
      <c r="C7" s="685"/>
      <c r="D7" s="685"/>
      <c r="E7" s="685"/>
      <c r="F7" s="685"/>
      <c r="G7" s="107"/>
      <c r="H7" s="685"/>
      <c r="I7" s="685"/>
      <c r="J7" s="685"/>
      <c r="K7" s="685"/>
      <c r="L7" s="107"/>
      <c r="M7" s="685"/>
      <c r="N7" s="685"/>
      <c r="O7" s="685"/>
      <c r="P7" s="685"/>
      <c r="Q7" s="107"/>
      <c r="R7" s="685"/>
      <c r="S7" s="685"/>
      <c r="T7" s="685"/>
      <c r="U7" s="685"/>
      <c r="V7" s="685"/>
      <c r="W7" s="685"/>
      <c r="X7" s="685"/>
      <c r="Y7" s="65"/>
      <c r="Z7" s="67"/>
      <c r="AE7" s="209">
        <f>V11</f>
        <v>42736</v>
      </c>
      <c r="AF7" s="352" t="str">
        <f>IF(AI7&lt;-10,"F","")</f>
        <v>F</v>
      </c>
      <c r="AG7" s="352" t="str">
        <f>IF(AND(AI7&lt;100,AI7&gt;20),"C","")</f>
        <v/>
      </c>
      <c r="AH7" s="210" t="str">
        <f>W12</f>
        <v/>
      </c>
      <c r="AI7" s="210">
        <f>DayClass(AE7)</f>
        <v>-11</v>
      </c>
      <c r="AJ7" s="210" t="str">
        <f t="shared" si="0"/>
        <v>F</v>
      </c>
      <c r="AL7" s="418">
        <v>6</v>
      </c>
      <c r="AM7" s="419" t="str">
        <f ca="1">'GPlan-Translations'!C227</f>
        <v>Junho</v>
      </c>
      <c r="AP7" s="705">
        <v>0</v>
      </c>
      <c r="AQ7" s="706"/>
      <c r="AR7" s="706"/>
      <c r="AS7" s="84"/>
      <c r="AT7" s="119"/>
      <c r="AU7" s="718"/>
    </row>
    <row r="8" spans="1:47" s="66" customFormat="1" ht="19.5" customHeight="1">
      <c r="C8" s="685"/>
      <c r="D8" s="685"/>
      <c r="E8" s="685"/>
      <c r="F8" s="685"/>
      <c r="G8" s="107"/>
      <c r="H8" s="685"/>
      <c r="I8" s="685"/>
      <c r="J8" s="685"/>
      <c r="K8" s="685"/>
      <c r="L8" s="107"/>
      <c r="M8" s="685"/>
      <c r="N8" s="685"/>
      <c r="O8" s="685"/>
      <c r="P8" s="685"/>
      <c r="Q8" s="107"/>
      <c r="R8" s="685"/>
      <c r="S8" s="685"/>
      <c r="T8" s="685"/>
      <c r="U8" s="685"/>
      <c r="V8" s="685"/>
      <c r="W8" s="685"/>
      <c r="X8" s="685"/>
      <c r="Y8" s="65"/>
      <c r="Z8" s="67"/>
      <c r="AJ8" s="79"/>
      <c r="AL8" s="418">
        <v>7</v>
      </c>
      <c r="AM8" s="419" t="str">
        <f ca="1">'GPlan-Translations'!C228</f>
        <v>Julho</v>
      </c>
      <c r="AP8" s="707">
        <v>0</v>
      </c>
      <c r="AQ8" s="708"/>
      <c r="AR8" s="708"/>
      <c r="AS8" s="85"/>
      <c r="AT8" s="118"/>
      <c r="AU8" s="718"/>
    </row>
    <row r="9" spans="1:47" s="66" customFormat="1" ht="19.5" customHeight="1">
      <c r="C9" s="685"/>
      <c r="D9" s="685"/>
      <c r="E9" s="685"/>
      <c r="F9" s="685"/>
      <c r="G9" s="107"/>
      <c r="H9" s="685"/>
      <c r="I9" s="685"/>
      <c r="J9" s="685"/>
      <c r="K9" s="685"/>
      <c r="L9" s="107"/>
      <c r="M9" s="685"/>
      <c r="N9" s="685"/>
      <c r="O9" s="685"/>
      <c r="P9" s="685"/>
      <c r="Q9" s="107"/>
      <c r="R9" s="685"/>
      <c r="S9" s="685"/>
      <c r="T9" s="685"/>
      <c r="U9" s="685"/>
      <c r="V9" s="685"/>
      <c r="W9" s="685"/>
      <c r="X9" s="685"/>
      <c r="Y9" s="65"/>
      <c r="Z9" s="67"/>
      <c r="AE9" s="436">
        <v>1</v>
      </c>
      <c r="AF9" s="413" t="s">
        <v>4508</v>
      </c>
      <c r="AG9" s="413"/>
      <c r="AH9" s="422">
        <f>AE9</f>
        <v>1</v>
      </c>
      <c r="AI9" s="413" t="s">
        <v>4528</v>
      </c>
      <c r="AJ9" s="79"/>
      <c r="AL9" s="418">
        <v>8</v>
      </c>
      <c r="AM9" s="419" t="str">
        <f ca="1">'GPlan-Translations'!C229</f>
        <v>Agosto</v>
      </c>
      <c r="AP9" s="707">
        <v>0</v>
      </c>
      <c r="AQ9" s="708"/>
      <c r="AR9" s="708"/>
      <c r="AS9" s="85"/>
      <c r="AT9" s="118"/>
      <c r="AU9" s="718"/>
    </row>
    <row r="10" spans="1:47" s="66" customFormat="1" ht="19.5" customHeight="1" thickBot="1">
      <c r="C10" s="686"/>
      <c r="D10" s="686"/>
      <c r="E10" s="686"/>
      <c r="F10" s="686"/>
      <c r="G10" s="107"/>
      <c r="H10" s="686"/>
      <c r="I10" s="686"/>
      <c r="J10" s="686"/>
      <c r="K10" s="686"/>
      <c r="L10" s="107"/>
      <c r="M10" s="686"/>
      <c r="N10" s="686"/>
      <c r="O10" s="686"/>
      <c r="P10" s="686"/>
      <c r="Q10" s="107"/>
      <c r="R10" s="729" t="str">
        <f>IFERROR(T("Yoga: " &amp; YogaName(U$1)  &amp; CHAR(10) &amp; "Naksatra: " &amp; NaksatraName(U$1)),"")</f>
        <v>Yoga: Harsana
Naksatra: Uttara-asadha</v>
      </c>
      <c r="S10" s="729"/>
      <c r="T10" s="729"/>
      <c r="U10" s="729" t="s">
        <v>473</v>
      </c>
      <c r="V10" s="729"/>
      <c r="W10" s="729"/>
      <c r="X10" s="183" t="str">
        <f>U$1-DATE(YEAR(U$1),1,1)+1 &amp; CHAR(10) &amp; DATE(YEAR(U$1),12,31)-U$1</f>
        <v>366
0</v>
      </c>
      <c r="Y10" s="65"/>
      <c r="Z10" s="67"/>
      <c r="AE10" s="435">
        <f>'Weekly-Left'!U7</f>
        <v>2017</v>
      </c>
      <c r="AF10" s="413" t="s">
        <v>4507</v>
      </c>
      <c r="AG10" s="413"/>
      <c r="AI10" s="79"/>
      <c r="AJ10" s="79"/>
      <c r="AL10" s="418">
        <v>9</v>
      </c>
      <c r="AM10" s="419" t="str">
        <f ca="1">'GPlan-Translations'!C230</f>
        <v>Setembro</v>
      </c>
      <c r="AP10" s="719">
        <v>0</v>
      </c>
      <c r="AQ10" s="720"/>
      <c r="AR10" s="720"/>
      <c r="AS10" s="130"/>
      <c r="AT10" s="120"/>
      <c r="AU10" s="718"/>
    </row>
    <row r="11" spans="1:47" s="66" customFormat="1" ht="18" customHeight="1" thickBot="1">
      <c r="A11" s="79">
        <f>Index!L20</f>
        <v>4</v>
      </c>
      <c r="B11" s="289" t="str">
        <f>IF(OR(AND(C$56&gt;$AA11,C$56&lt;$AB11),AND(C$57&gt; $AA11,C$57&lt;$AB11),AND(C$58&gt; $AA11,C$58&lt;$AB11)),"*","")</f>
        <v/>
      </c>
      <c r="C11" s="689" t="str">
        <f>EventName(D1,8)</f>
        <v/>
      </c>
      <c r="D11" s="690"/>
      <c r="E11" s="690"/>
      <c r="F11" s="288"/>
      <c r="G11" s="289" t="str">
        <f>IF(OR(AND(H$56&gt;$AA11,H$56&lt;$AB11),AND(H$57&gt; $AA11,H$57&lt;$AB11),AND(H$58&gt; $AA11,H$58&lt;$AB11)),"*","")</f>
        <v/>
      </c>
      <c r="H11" s="689" t="str">
        <f>EventName(I1,8)</f>
        <v/>
      </c>
      <c r="I11" s="690"/>
      <c r="J11" s="690"/>
      <c r="K11" s="288"/>
      <c r="L11" s="289" t="str">
        <f>IF(OR(AND(M$56&gt;$AA11,M$56&lt;$AB11),AND(M$57&gt; $AA11,M$57&lt;$AB11),AND(M$58&gt; $AA11,M$58&lt;$AB11)),"*","")</f>
        <v/>
      </c>
      <c r="M11" s="721" t="str">
        <f>EventName(N1,8)</f>
        <v/>
      </c>
      <c r="N11" s="721"/>
      <c r="O11" s="721"/>
      <c r="P11" s="288"/>
      <c r="R11" s="731" t="str">
        <f>DayWeek(V11)</f>
        <v>Domingo</v>
      </c>
      <c r="S11" s="731"/>
      <c r="T11" s="731"/>
      <c r="U11" s="731"/>
      <c r="V11" s="732">
        <f>AE15</f>
        <v>42736</v>
      </c>
      <c r="W11" s="732"/>
      <c r="X11" s="165" t="str">
        <f>MoonPhase(V11)</f>
        <v>Nova</v>
      </c>
      <c r="Y11" s="65"/>
      <c r="Z11" s="67"/>
      <c r="AA11" s="512">
        <f xml:space="preserve"> TIME($A11-1,45,0)</f>
        <v>0.15625</v>
      </c>
      <c r="AB11" s="512">
        <f>TIME($A11,15,0)</f>
        <v>0.17708333333333334</v>
      </c>
      <c r="AC11" s="79"/>
      <c r="AD11" s="79"/>
      <c r="AE11" s="423">
        <f>DATE(AE10,1,CHOOSE(WEEKDAY(DATE(AE10,1,1),2),7,6,5,4,3,2,1))</f>
        <v>42736</v>
      </c>
      <c r="AF11" s="414" t="s">
        <v>4506</v>
      </c>
      <c r="AG11" s="413"/>
      <c r="AJ11" s="70"/>
      <c r="AL11" s="418">
        <v>10</v>
      </c>
      <c r="AM11" s="419" t="str">
        <f ca="1">'GPlan-Translations'!C231</f>
        <v>Outubro</v>
      </c>
      <c r="AP11" s="692">
        <v>0</v>
      </c>
      <c r="AQ11" s="693"/>
      <c r="AR11" s="693"/>
      <c r="AS11" s="692">
        <v>0</v>
      </c>
      <c r="AT11" s="694"/>
      <c r="AU11" s="79">
        <v>0</v>
      </c>
    </row>
    <row r="12" spans="1:47" s="66" customFormat="1" ht="18" customHeight="1">
      <c r="A12" s="79"/>
      <c r="B12" s="289" t="str">
        <f>IF(OR(AND(C$56&gt;=$AA12,C$56&lt;=$AB12),AND(C$57&gt;=$AA12,C$57&lt;=$AB12),AND(C$58&gt;= $AA12,C$58&lt;=$AB12)),"*","")</f>
        <v/>
      </c>
      <c r="C12" s="687" t="str">
        <f>EventName(D1,9)</f>
        <v/>
      </c>
      <c r="D12" s="687"/>
      <c r="E12" s="687"/>
      <c r="F12" s="288"/>
      <c r="G12" s="289" t="str">
        <f>IF(OR(AND(H$56&gt;=$AA12,H$56&lt;=$AB12),AND(H$57&gt;=$AA12,H$57&lt;=$AB12),AND(H$58&gt;= $AA12,H$58&lt;=$AB12)),"*","")</f>
        <v/>
      </c>
      <c r="H12" s="687" t="str">
        <f>EventName(I1,9)</f>
        <v/>
      </c>
      <c r="I12" s="687"/>
      <c r="J12" s="687"/>
      <c r="K12" s="288"/>
      <c r="L12" s="289" t="str">
        <f>IF(OR(AND(M$56&gt;=$AA12,M$56&lt;=$AB12),AND(M$57&gt;=$AA12,M$57&lt;=$AB12),AND(M$58&gt;= $AA12,M$58&lt;=$AB12)),"*","")</f>
        <v/>
      </c>
      <c r="M12" s="722" t="str">
        <f>EventName(N1,9)</f>
        <v/>
      </c>
      <c r="N12" s="722"/>
      <c r="O12" s="722"/>
      <c r="P12" s="288"/>
      <c r="R12" s="730" t="str">
        <f>PakshaName(V11) &amp; CHAR(10) &amp; TithiName(V11)</f>
        <v>Gaura Paksa
Tritiya Tithi</v>
      </c>
      <c r="S12" s="730"/>
      <c r="T12" s="730"/>
      <c r="U12" s="730"/>
      <c r="V12" s="730"/>
      <c r="W12" s="169" t="str">
        <f>FastMark(V11)</f>
        <v/>
      </c>
      <c r="X12" s="412" t="str">
        <f>MoonSymbol(V11)</f>
        <v>: :</v>
      </c>
      <c r="Y12" s="65"/>
      <c r="Z12" s="67"/>
      <c r="AA12" s="512">
        <f xml:space="preserve"> TIME($A11,15,0)</f>
        <v>0.17708333333333334</v>
      </c>
      <c r="AB12" s="512">
        <f>TIME($A11,45,0)</f>
        <v>0.19791666666666666</v>
      </c>
      <c r="AC12" s="79"/>
      <c r="AD12" s="79"/>
      <c r="AE12" s="422">
        <f>MONTH(AE15)</f>
        <v>1</v>
      </c>
      <c r="AF12" s="413" t="s">
        <v>4510</v>
      </c>
      <c r="AG12" s="413"/>
      <c r="AH12" s="413" t="s">
        <v>26</v>
      </c>
      <c r="AI12" s="413" t="s">
        <v>4208</v>
      </c>
      <c r="AJ12" s="413" t="s">
        <v>997</v>
      </c>
      <c r="AL12" s="418">
        <v>11</v>
      </c>
      <c r="AM12" s="419" t="str">
        <f ca="1">'GPlan-Translations'!C232</f>
        <v>Novembro</v>
      </c>
      <c r="AP12" s="602"/>
      <c r="AR12" s="600"/>
      <c r="AS12" s="115"/>
      <c r="AT12" s="119"/>
      <c r="AU12" s="79"/>
    </row>
    <row r="13" spans="1:47" s="66" customFormat="1" ht="18" customHeight="1">
      <c r="A13" s="79">
        <f>A11+1</f>
        <v>5</v>
      </c>
      <c r="B13" s="289" t="str">
        <f>IF(OR(AND(C$56&gt;$AA13,C$56&lt;$AB13),AND(C$57&gt; $AA13,C$57&lt;$AB13),AND(C$58&gt; $AA13,C$58&lt;$AB13)),"*","")</f>
        <v>*</v>
      </c>
      <c r="C13" s="687" t="str">
        <f>EventName(D1,10)</f>
        <v/>
      </c>
      <c r="D13" s="687"/>
      <c r="E13" s="687"/>
      <c r="F13" s="288"/>
      <c r="G13" s="289" t="str">
        <f>IF(OR(AND(H$56&gt;$AA13,H$56&lt;$AB13),AND(H$57&gt; $AA13,H$57&lt;$AB13),AND(H$58&gt; $AA13,H$58&lt;$AB13)),"*","")</f>
        <v>*</v>
      </c>
      <c r="H13" s="687" t="str">
        <f>EventName(I1,10)</f>
        <v/>
      </c>
      <c r="I13" s="687"/>
      <c r="J13" s="687"/>
      <c r="K13" s="288"/>
      <c r="L13" s="289" t="str">
        <f>IF(OR(AND(M$56&gt;$AA13,M$56&lt;$AB13),AND(M$57&gt; $AA13,M$57&lt;$AB13),AND(M$58&gt; $AA13,M$58&lt;$AB13)),"*","")</f>
        <v>*</v>
      </c>
      <c r="M13" s="722" t="str">
        <f>EventName(N1,10)</f>
        <v/>
      </c>
      <c r="N13" s="722"/>
      <c r="O13" s="722"/>
      <c r="P13" s="288"/>
      <c r="R13" s="684" t="str">
        <f>EventsSerie1(V11)</f>
        <v xml:space="preserve">Srila Jiva Gosvami - Desaparecimento
Sri Jagadisa Pandita - Desaparecimento
Confraternização Universal
</v>
      </c>
      <c r="S13" s="684"/>
      <c r="T13" s="684"/>
      <c r="U13" s="684"/>
      <c r="V13" s="684"/>
      <c r="W13" s="684"/>
      <c r="X13" s="684"/>
      <c r="Y13" s="65"/>
      <c r="Z13" s="67"/>
      <c r="AA13" s="512">
        <f xml:space="preserve"> TIME($A13-1,45,0)</f>
        <v>0.19791666666666666</v>
      </c>
      <c r="AB13" s="512">
        <f>TIME($A13,15,0)</f>
        <v>0.21875</v>
      </c>
      <c r="AC13" s="79"/>
      <c r="AD13" s="79"/>
      <c r="AE13" s="423">
        <f>DATE(YEAR(AE15),MONTH(AE15),CHOOSE(WEEKDAY(DATE(YEAR(AE15),MONTH(AE15),1),2),7,6,5,4,3,2,1))</f>
        <v>42736</v>
      </c>
      <c r="AF13" s="413" t="s">
        <v>4511</v>
      </c>
      <c r="AG13" s="413"/>
      <c r="AH13" s="423">
        <f>D1-2</f>
        <v>42730</v>
      </c>
      <c r="AI13" s="422">
        <f>YEAR(AH13)</f>
        <v>2016</v>
      </c>
      <c r="AJ13" s="422">
        <f>MONTH(AH13)</f>
        <v>12</v>
      </c>
      <c r="AK13" s="79" t="s">
        <v>1245</v>
      </c>
      <c r="AL13" s="420">
        <v>12</v>
      </c>
      <c r="AM13" s="421" t="str">
        <f ca="1">'GPlan-Translations'!C233</f>
        <v>Dezembro</v>
      </c>
      <c r="AP13" s="602"/>
      <c r="AR13" s="600"/>
      <c r="AS13" s="114"/>
      <c r="AT13" s="118"/>
      <c r="AU13" s="79">
        <v>1</v>
      </c>
    </row>
    <row r="14" spans="1:47" s="66" customFormat="1">
      <c r="A14" s="79"/>
      <c r="B14" s="289" t="str">
        <f>IF(OR(AND(C$56&gt;=$AA14,C$56&lt;=$AB14),AND(C$57&gt;=$AA14,C$57&lt;=$AB14),AND(C$58&gt;= $AA14,C$58&lt;=$AB14)),"*","")</f>
        <v/>
      </c>
      <c r="C14" s="687" t="str">
        <f>EventName(D1,11)</f>
        <v/>
      </c>
      <c r="D14" s="687"/>
      <c r="E14" s="687"/>
      <c r="F14" s="288"/>
      <c r="G14" s="289" t="str">
        <f>IF(OR(AND(H$56&gt;=$AA14,H$56&lt;=$AB14),AND(H$57&gt;=$AA14,H$57&lt;=$AB14),AND(H$58&gt;= $AA14,H$58&lt;=$AB14)),"*","")</f>
        <v/>
      </c>
      <c r="H14" s="687" t="str">
        <f>EventName(I1,11)</f>
        <v/>
      </c>
      <c r="I14" s="687"/>
      <c r="J14" s="687"/>
      <c r="K14" s="288"/>
      <c r="L14" s="289" t="str">
        <f>IF(OR(AND(M$56&gt;=$AA14,M$56&lt;=$AB14),AND(M$57&gt;=$AA14,M$57&lt;=$AB14),AND(M$58&gt;= $AA14,M$58&lt;=$AB14)),"*","")</f>
        <v/>
      </c>
      <c r="M14" s="722" t="str">
        <f>EventName(N1,11)</f>
        <v/>
      </c>
      <c r="N14" s="722"/>
      <c r="O14" s="722"/>
      <c r="P14" s="288"/>
      <c r="R14" s="685"/>
      <c r="S14" s="685"/>
      <c r="T14" s="685"/>
      <c r="U14" s="685"/>
      <c r="V14" s="685"/>
      <c r="W14" s="685"/>
      <c r="X14" s="685"/>
      <c r="Y14" s="65"/>
      <c r="Z14" s="67"/>
      <c r="AA14" s="512">
        <f xml:space="preserve"> TIME($A13,15,0)</f>
        <v>0.21875</v>
      </c>
      <c r="AB14" s="512">
        <f>TIME($A13,45,0)</f>
        <v>0.23958333333333334</v>
      </c>
      <c r="AC14" s="79"/>
      <c r="AD14" s="79"/>
      <c r="AE14" s="424">
        <f>((V11-AE13)/7)+1</f>
        <v>1</v>
      </c>
      <c r="AF14" s="413" t="s">
        <v>4512</v>
      </c>
      <c r="AG14" s="413"/>
      <c r="AH14" s="423">
        <f>V11</f>
        <v>42736</v>
      </c>
      <c r="AI14" s="422">
        <f>YEAR(AH14)</f>
        <v>2017</v>
      </c>
      <c r="AJ14" s="422">
        <f>MONTH(AH14)</f>
        <v>1</v>
      </c>
      <c r="AK14" s="79" t="s">
        <v>1244</v>
      </c>
      <c r="AP14" s="602"/>
      <c r="AR14" s="600"/>
      <c r="AS14" s="114"/>
      <c r="AT14" s="118"/>
      <c r="AU14" s="79"/>
    </row>
    <row r="15" spans="1:47" s="66" customFormat="1">
      <c r="A15" s="79">
        <f>A13+1</f>
        <v>6</v>
      </c>
      <c r="B15" s="289" t="str">
        <f>IF(OR(AND(C$56&gt;$AA15,C$56&lt;$AB15),AND(C$57&gt; $AA15,C$57&lt;$AB15),AND(C$58&gt; $AA15,C$58&lt;$AB15)),"*","")</f>
        <v/>
      </c>
      <c r="C15" s="125"/>
      <c r="D15" s="69"/>
      <c r="E15" s="69"/>
      <c r="F15" s="288"/>
      <c r="G15" s="289" t="str">
        <f>IF(OR(AND(H$56&gt;$AA15,H$56&lt;$AB15),AND(H$57&gt; $AA15,H$57&lt;$AB15),AND(H$58&gt; $AA15,H$58&lt;$AB15)),"*","")</f>
        <v/>
      </c>
      <c r="H15" s="109"/>
      <c r="I15" s="69"/>
      <c r="J15" s="69"/>
      <c r="K15" s="288"/>
      <c r="L15" s="289" t="str">
        <f>IF(OR(AND(M$56&gt;$AA15,M$56&lt;$AB15),AND(M$57&gt; $AA15,M$57&lt;$AB15),AND(M$58&gt; $AA15,M$58&lt;$AB15)),"*","")</f>
        <v/>
      </c>
      <c r="M15" s="722"/>
      <c r="N15" s="722"/>
      <c r="O15" s="722"/>
      <c r="P15" s="288"/>
      <c r="R15" s="685"/>
      <c r="S15" s="685"/>
      <c r="T15" s="685"/>
      <c r="U15" s="685"/>
      <c r="V15" s="685"/>
      <c r="W15" s="685"/>
      <c r="X15" s="685"/>
      <c r="Y15" s="65"/>
      <c r="Z15" s="67"/>
      <c r="AA15" s="512">
        <f xml:space="preserve"> TIME($A15-1,45,0)</f>
        <v>0.23958333333333334</v>
      </c>
      <c r="AB15" s="512">
        <f>TIME($A15,15,0)</f>
        <v>0.26041666666666669</v>
      </c>
      <c r="AC15" s="79"/>
      <c r="AD15" s="79"/>
      <c r="AE15" s="425">
        <f>AE11+((AE9)*7)-7</f>
        <v>42736</v>
      </c>
      <c r="AF15" s="413" t="s">
        <v>4509</v>
      </c>
      <c r="AG15" s="413"/>
      <c r="AH15" s="413"/>
      <c r="AI15" s="413"/>
      <c r="AJ15" s="70"/>
      <c r="AP15" s="602"/>
      <c r="AR15" s="600"/>
      <c r="AS15" s="114"/>
      <c r="AT15" s="118"/>
      <c r="AU15" s="79">
        <v>2</v>
      </c>
    </row>
    <row r="16" spans="1:47" s="66" customFormat="1" ht="18.75" thickBot="1">
      <c r="A16" s="79"/>
      <c r="B16" s="289" t="str">
        <f>IF(OR(AND(C$56&gt;=$AA16,C$56&lt;=$AB16),AND(C$57&gt;=$AA16,C$57&lt;=$AB16),AND(C$58&gt;= $AA16,C$58&lt;=$AB16)),"*","")</f>
        <v/>
      </c>
      <c r="C16" s="125"/>
      <c r="D16" s="69"/>
      <c r="E16" s="69"/>
      <c r="F16" s="288"/>
      <c r="G16" s="289" t="str">
        <f>IF(OR(AND(H$56&gt;=$AA16,H$56&lt;=$AB16),AND(H$57&gt;=$AA16,H$57&lt;=$AB16),AND(H$58&gt;= $AA16,H$58&lt;=$AB16)),"*","")</f>
        <v/>
      </c>
      <c r="H16" s="109"/>
      <c r="I16" s="69"/>
      <c r="J16" s="69"/>
      <c r="K16" s="288"/>
      <c r="L16" s="289" t="str">
        <f>IF(OR(AND(M$56&gt;=$AA16,M$56&lt;=$AB16),AND(M$57&gt;=$AA16,M$57&lt;=$AB16),AND(M$58&gt;= $AA16,M$58&lt;=$AB16)),"*","")</f>
        <v/>
      </c>
      <c r="M16" s="722" t="str">
        <f>IF(OR(M17="",M17=" "),"","No Sábado:")</f>
        <v/>
      </c>
      <c r="N16" s="722" t="str">
        <f>IF(OR(N17="",N17=" "),"","No Sábado:")</f>
        <v/>
      </c>
      <c r="O16" s="722" t="str">
        <f>IF(OR(O17="",O17=" "),"","No Sábado:")</f>
        <v/>
      </c>
      <c r="P16" s="288"/>
      <c r="R16" s="685"/>
      <c r="S16" s="685"/>
      <c r="T16" s="685"/>
      <c r="U16" s="685"/>
      <c r="V16" s="685"/>
      <c r="W16" s="685"/>
      <c r="X16" s="685"/>
      <c r="Y16" s="65"/>
      <c r="Z16" s="67"/>
      <c r="AA16" s="512">
        <f xml:space="preserve"> TIME($A15,15,0)</f>
        <v>0.26041666666666669</v>
      </c>
      <c r="AB16" s="512">
        <f>TIME($A15,45,0)</f>
        <v>0.28125</v>
      </c>
      <c r="AC16" s="79"/>
      <c r="AD16" s="79"/>
      <c r="AE16" s="426">
        <f>WEEKDAY(AH16,2)</f>
        <v>4</v>
      </c>
      <c r="AF16" s="426">
        <f>AI13</f>
        <v>2016</v>
      </c>
      <c r="AG16" s="427">
        <f>AJ13</f>
        <v>12</v>
      </c>
      <c r="AH16" s="428">
        <f>DATE(AF16,AG16,1)</f>
        <v>42705</v>
      </c>
      <c r="AI16" s="429">
        <f>AH17-1</f>
        <v>42735</v>
      </c>
      <c r="AJ16" s="413" t="s">
        <v>4513</v>
      </c>
      <c r="AP16" s="602"/>
      <c r="AR16" s="600"/>
      <c r="AS16" s="116"/>
      <c r="AT16" s="120"/>
      <c r="AU16" s="79"/>
    </row>
    <row r="17" spans="1:47" s="66" customFormat="1">
      <c r="A17" s="79">
        <f>A15+1</f>
        <v>7</v>
      </c>
      <c r="B17" s="289" t="str">
        <f>IF(OR(AND(C$56&gt;$AA17,C$56&lt;$AB17),AND(C$57&gt; $AA17,C$57&lt;$AB17),AND(C$58&gt; $AA17,C$58&lt;$AB17)),"*","")</f>
        <v/>
      </c>
      <c r="C17" s="125"/>
      <c r="D17" s="69"/>
      <c r="E17" s="69"/>
      <c r="F17" s="288"/>
      <c r="G17" s="289" t="str">
        <f>IF(OR(AND(H$56&gt;$AA17,H$56&lt;$AB17),AND(H$57&gt; $AA17,H$57&lt;$AB17),AND(H$58&gt; $AA17,H$58&lt;$AB17)),"*","")</f>
        <v/>
      </c>
      <c r="H17" s="109"/>
      <c r="I17" s="69"/>
      <c r="J17" s="69"/>
      <c r="K17" s="288"/>
      <c r="L17" s="289" t="str">
        <f>IF(OR(AND(M$56&gt;$AA17,M$56&lt;$AB17),AND(M$57&gt; $AA17,M$57&lt;$AB17),AND(M$58&gt; $AA17,M$58&lt;$AB17)),"*","")</f>
        <v/>
      </c>
      <c r="M17" s="722" t="str">
        <f>EventName(U1,7)</f>
        <v/>
      </c>
      <c r="N17" s="722"/>
      <c r="O17" s="722"/>
      <c r="P17" s="288"/>
      <c r="R17" s="685"/>
      <c r="S17" s="685"/>
      <c r="T17" s="685"/>
      <c r="U17" s="685"/>
      <c r="V17" s="685"/>
      <c r="W17" s="685"/>
      <c r="X17" s="685"/>
      <c r="Y17" s="65"/>
      <c r="Z17" s="67"/>
      <c r="AA17" s="512">
        <f xml:space="preserve"> TIME($A17-1,45,0)</f>
        <v>0.28125</v>
      </c>
      <c r="AB17" s="512">
        <f>TIME($A17,15,0)</f>
        <v>0.30208333333333331</v>
      </c>
      <c r="AC17" s="79"/>
      <c r="AD17" s="79"/>
      <c r="AE17" s="426">
        <f>WEEKDAY(AH17,2)</f>
        <v>7</v>
      </c>
      <c r="AF17" s="426">
        <f>IF(AI14&lt;&gt;AI13,AI14,IF(AJ13=12,AI13+1,AI13))</f>
        <v>2017</v>
      </c>
      <c r="AG17" s="427">
        <f>IF(AJ14&lt;&gt;AJ13,AJ14,IF(AJ13=12,1,AJ13+1))</f>
        <v>1</v>
      </c>
      <c r="AH17" s="428">
        <f>DATE(AF17,AG17,1)</f>
        <v>42736</v>
      </c>
      <c r="AI17" s="429">
        <f>IF(MONTH(AH17)=12,DATE(YEAR(AH17)+1,1,1)-1,DATE(YEAR(AH17),MONTH(AH17)+1,1)-1)</f>
        <v>42766</v>
      </c>
      <c r="AJ17" s="413" t="s">
        <v>4514</v>
      </c>
      <c r="AP17" s="601"/>
      <c r="AQ17" s="132"/>
      <c r="AR17" s="599"/>
      <c r="AS17" s="134"/>
      <c r="AT17" s="135"/>
      <c r="AU17" s="79">
        <v>3</v>
      </c>
    </row>
    <row r="18" spans="1:47" s="66" customFormat="1">
      <c r="A18" s="79"/>
      <c r="B18" s="289" t="str">
        <f>IF(OR(AND(C$56&gt;=$AA18,C$56&lt;=$AB18),AND(C$57&gt;=$AA18,C$57&lt;=$AB18),AND(C$58&gt;= $AA18,C$58&lt;=$AB18)),"*","")</f>
        <v/>
      </c>
      <c r="C18" s="125"/>
      <c r="D18" s="69"/>
      <c r="E18" s="69"/>
      <c r="F18" s="288"/>
      <c r="G18" s="289" t="str">
        <f>IF(OR(AND(H$56&gt;=$AA18,H$56&lt;=$AB18),AND(H$57&gt;=$AA18,H$57&lt;=$AB18),AND(H$58&gt;= $AA18,H$58&lt;=$AB18)),"*","")</f>
        <v/>
      </c>
      <c r="H18" s="109"/>
      <c r="I18" s="69"/>
      <c r="J18" s="69"/>
      <c r="K18" s="288"/>
      <c r="L18" s="289" t="str">
        <f>IF(OR(AND(M$56&gt;=$AA18,M$56&lt;=$AB18),AND(M$57&gt;=$AA18,M$57&lt;=$AB18),AND(M$58&gt;= $AA18,M$58&lt;=$AB18)),"*","")</f>
        <v/>
      </c>
      <c r="M18" s="722" t="str">
        <f>EventName(U1,8)</f>
        <v/>
      </c>
      <c r="N18" s="722"/>
      <c r="O18" s="722"/>
      <c r="P18" s="288"/>
      <c r="R18" s="685"/>
      <c r="S18" s="685"/>
      <c r="T18" s="685"/>
      <c r="U18" s="685"/>
      <c r="V18" s="685"/>
      <c r="W18" s="685"/>
      <c r="X18" s="685"/>
      <c r="Y18" s="65"/>
      <c r="Z18" s="67"/>
      <c r="AA18" s="512">
        <f xml:space="preserve"> TIME($A17,15,0)</f>
        <v>0.30208333333333331</v>
      </c>
      <c r="AB18" s="512">
        <f>TIME($A17,45,0)</f>
        <v>0.32291666666666669</v>
      </c>
      <c r="AC18" s="79"/>
      <c r="AD18" s="79"/>
      <c r="AE18" s="413"/>
      <c r="AF18" s="413"/>
      <c r="AG18" s="413"/>
      <c r="AH18" s="413"/>
      <c r="AI18" s="413"/>
      <c r="AJ18" s="70"/>
      <c r="AP18" s="602"/>
      <c r="AR18" s="600"/>
      <c r="AS18" s="114"/>
      <c r="AT18" s="118"/>
      <c r="AU18" s="79"/>
    </row>
    <row r="19" spans="1:47" s="66" customFormat="1" ht="19.5" customHeight="1" thickBot="1">
      <c r="A19" s="79">
        <f>A17+1</f>
        <v>8</v>
      </c>
      <c r="B19" s="289" t="str">
        <f>IF(OR(AND(C$56&gt;$AA19,C$56&lt;$AB19),AND(C$57&gt; $AA19,C$57&lt;$AB19),AND(C$58&gt; $AA19,C$58&lt;$AB19)),"*","")</f>
        <v/>
      </c>
      <c r="C19" s="125"/>
      <c r="D19" s="69"/>
      <c r="E19" s="69"/>
      <c r="F19" s="288"/>
      <c r="G19" s="289" t="str">
        <f>IF(OR(AND(H$56&gt;$AA19,H$56&lt;$AB19),AND(H$57&gt; $AA19,H$57&lt;$AB19),AND(H$58&gt; $AA19,H$58&lt;$AB19)),"*","")</f>
        <v/>
      </c>
      <c r="H19" s="109"/>
      <c r="I19" s="69"/>
      <c r="J19" s="69"/>
      <c r="K19" s="288"/>
      <c r="L19" s="289" t="str">
        <f>IF(OR(AND(M$56&gt;$AA19,M$56&lt;$AB19),AND(M$57&gt; $AA19,M$57&lt;$AB19),AND(M$58&gt; $AA19,M$58&lt;$AB19)),"*","")</f>
        <v/>
      </c>
      <c r="M19" s="722" t="str">
        <f>EventName(U1,9)</f>
        <v/>
      </c>
      <c r="N19" s="722"/>
      <c r="O19" s="722"/>
      <c r="P19" s="288"/>
      <c r="R19" s="690" t="str">
        <f>IFERROR(T("Yoga: " &amp; YogaName(V$11)  &amp; CHAR(10) &amp; "Naksatra: " &amp; NaksatraName(V$11)),"")</f>
        <v>Yoga: Vajra
Naksatra: Sravana</v>
      </c>
      <c r="S19" s="690"/>
      <c r="T19" s="690"/>
      <c r="U19" s="690" t="s">
        <v>473</v>
      </c>
      <c r="V19" s="690"/>
      <c r="W19" s="690"/>
      <c r="X19" s="182" t="str">
        <f>V$11-DATE(YEAR(V$11),1,1)+1 &amp; CHAR(10) &amp; DATE(YEAR(V$11),12,31)-V$11</f>
        <v>1
364</v>
      </c>
      <c r="Y19" s="65"/>
      <c r="Z19" s="67"/>
      <c r="AA19" s="512">
        <f xml:space="preserve"> TIME($A19-1,45,0)</f>
        <v>0.32291666666666669</v>
      </c>
      <c r="AB19" s="512">
        <f>TIME($A19,15,0)</f>
        <v>0.34375</v>
      </c>
      <c r="AC19" s="79"/>
      <c r="AD19" s="79"/>
      <c r="AE19" s="222"/>
      <c r="AF19" s="415">
        <v>1</v>
      </c>
      <c r="AG19" s="415">
        <v>2</v>
      </c>
      <c r="AH19" s="415">
        <v>3</v>
      </c>
      <c r="AI19" s="415">
        <v>4</v>
      </c>
      <c r="AJ19" s="415">
        <v>5</v>
      </c>
      <c r="AK19" s="415">
        <v>6</v>
      </c>
      <c r="AL19" s="415">
        <v>7</v>
      </c>
      <c r="AP19" s="602"/>
      <c r="AR19" s="600"/>
      <c r="AS19" s="114"/>
      <c r="AT19" s="118"/>
      <c r="AU19" s="79">
        <v>4</v>
      </c>
    </row>
    <row r="20" spans="1:47" s="66" customFormat="1">
      <c r="A20" s="79"/>
      <c r="B20" s="289" t="str">
        <f>IF(OR(AND(C$56&gt;=$AA20,C$56&lt;=$AB20),AND(C$57&gt;=$AA20,C$57&lt;=$AB20),AND(C$58&gt;= $AA20,C$58&lt;=$AB20)),"*","")</f>
        <v/>
      </c>
      <c r="C20" s="125"/>
      <c r="D20" s="69"/>
      <c r="E20" s="69"/>
      <c r="F20" s="288"/>
      <c r="G20" s="289" t="str">
        <f>IF(OR(AND(H$56&gt;=$AA20,H$56&lt;=$AB20),AND(H$57&gt;=$AA20,H$57&lt;=$AB20),AND(H$58&gt;= $AA20,H$58&lt;=$AB20)),"*","")</f>
        <v/>
      </c>
      <c r="H20" s="109"/>
      <c r="I20" s="69"/>
      <c r="J20" s="69"/>
      <c r="K20" s="288"/>
      <c r="L20" s="289" t="str">
        <f>IF(OR(AND(M$56&gt;=$AA20,M$56&lt;=$AB20),AND(M$57&gt;=$AA20,M$57&lt;=$AB20),AND(M$58&gt;= $AA20,M$58&lt;=$AB20)),"*","")</f>
        <v/>
      </c>
      <c r="M20" s="722" t="str">
        <f>EventName(U1,10)</f>
        <v/>
      </c>
      <c r="N20" s="722"/>
      <c r="O20" s="722"/>
      <c r="P20" s="288"/>
      <c r="R20" s="735" t="str">
        <f ca="1">VLOOKUP(AG16,$AL$2:$AM$13,2,FALSE)</f>
        <v>Dezembro</v>
      </c>
      <c r="S20" s="736"/>
      <c r="T20" s="736"/>
      <c r="U20" s="736"/>
      <c r="V20" s="736"/>
      <c r="W20" s="736"/>
      <c r="X20" s="737"/>
      <c r="Y20" s="65"/>
      <c r="Z20" s="67"/>
      <c r="AA20" s="512">
        <f xml:space="preserve"> TIME($A19,15,0)</f>
        <v>0.34375</v>
      </c>
      <c r="AB20" s="512">
        <f>TIME($A19,45,0)</f>
        <v>0.36458333333333331</v>
      </c>
      <c r="AC20" s="79"/>
      <c r="AD20" s="79"/>
      <c r="AE20" s="219"/>
      <c r="AF20" s="507">
        <f>AG16</f>
        <v>12</v>
      </c>
      <c r="AG20" s="505"/>
      <c r="AH20" s="505"/>
      <c r="AI20" s="505"/>
      <c r="AJ20" s="505"/>
      <c r="AK20" s="505"/>
      <c r="AL20" s="505"/>
      <c r="AP20" s="602"/>
      <c r="AR20" s="600"/>
      <c r="AS20" s="114"/>
      <c r="AT20" s="118"/>
      <c r="AU20" s="79"/>
    </row>
    <row r="21" spans="1:47" s="66" customFormat="1" ht="18.75" thickBot="1">
      <c r="A21" s="79">
        <f>A19+1</f>
        <v>9</v>
      </c>
      <c r="B21" s="289" t="str">
        <f>IF(OR(AND(C$56&gt;$AA21,C$56&lt;$AB21),AND(C$57&gt; $AA21,C$57&lt;$AB21),AND(C$58&gt; $AA21,C$58&lt;$AB21)),"*","")</f>
        <v/>
      </c>
      <c r="C21" s="125"/>
      <c r="D21" s="69"/>
      <c r="E21" s="69"/>
      <c r="F21" s="288"/>
      <c r="G21" s="289" t="str">
        <f>IF(OR(AND(H$56&gt;$AA21,H$56&lt;$AB21),AND(H$57&gt; $AA21,H$57&lt;$AB21),AND(H$58&gt; $AA21,H$58&lt;$AB21)),"*","")</f>
        <v/>
      </c>
      <c r="H21" s="109"/>
      <c r="I21" s="69"/>
      <c r="J21" s="69"/>
      <c r="K21" s="288"/>
      <c r="L21" s="289" t="str">
        <f>IF(OR(AND(M$56&gt;$AA21,M$56&lt;$AB21),AND(M$57&gt; $AA21,M$57&lt;$AB21),AND(M$58&gt; $AA21,M$58&lt;$AB21)),"*","")</f>
        <v/>
      </c>
      <c r="M21" s="723" t="str">
        <f>EventName(U1,11)</f>
        <v/>
      </c>
      <c r="N21" s="723"/>
      <c r="O21" s="723"/>
      <c r="P21" s="288"/>
      <c r="R21" s="247" t="str">
        <f ca="1">'GPlan-Translations'!$C$282</f>
        <v>S</v>
      </c>
      <c r="S21" s="73" t="str">
        <f ca="1">'GPlan-Translations'!$C$283</f>
        <v>T</v>
      </c>
      <c r="T21" s="73" t="str">
        <f ca="1">'GPlan-Translations'!$C$284</f>
        <v>Q</v>
      </c>
      <c r="U21" s="73" t="str">
        <f ca="1">'GPlan-Translations'!$C$285</f>
        <v>Q</v>
      </c>
      <c r="V21" s="73" t="str">
        <f ca="1">'GPlan-Translations'!$C$286</f>
        <v>S</v>
      </c>
      <c r="W21" s="267" t="str">
        <f ca="1">'GPlan-Translations'!$C$287</f>
        <v>S</v>
      </c>
      <c r="X21" s="268" t="str">
        <f ca="1">'GPlan-Translations'!$C$281</f>
        <v>D</v>
      </c>
      <c r="Y21" s="65"/>
      <c r="Z21" s="67"/>
      <c r="AA21" s="512">
        <f xml:space="preserve"> TIME($A21-1,45,0)</f>
        <v>0.36458333333333331</v>
      </c>
      <c r="AB21" s="512">
        <f>TIME($A21,15,0)</f>
        <v>0.38541666666666669</v>
      </c>
      <c r="AC21" s="79"/>
      <c r="AD21" s="79"/>
      <c r="AE21" s="430" t="s">
        <v>854</v>
      </c>
      <c r="AF21" s="269" t="str">
        <f t="shared" ref="AF21:AL21" ca="1" si="1">R21</f>
        <v>S</v>
      </c>
      <c r="AG21" s="33" t="str">
        <f t="shared" ca="1" si="1"/>
        <v>T</v>
      </c>
      <c r="AH21" s="33" t="str">
        <f t="shared" ca="1" si="1"/>
        <v>Q</v>
      </c>
      <c r="AI21" s="33" t="str">
        <f t="shared" ca="1" si="1"/>
        <v>Q</v>
      </c>
      <c r="AJ21" s="33" t="str">
        <f t="shared" ca="1" si="1"/>
        <v>S</v>
      </c>
      <c r="AK21" s="32" t="str">
        <f t="shared" ca="1" si="1"/>
        <v>S</v>
      </c>
      <c r="AL21" s="34" t="str">
        <f t="shared" ca="1" si="1"/>
        <v>D</v>
      </c>
      <c r="AP21" s="136"/>
      <c r="AQ21" s="137"/>
      <c r="AR21" s="138"/>
      <c r="AS21" s="139"/>
      <c r="AT21" s="140"/>
      <c r="AU21" s="79">
        <v>5</v>
      </c>
    </row>
    <row r="22" spans="1:47" s="66" customFormat="1" ht="1.5" customHeight="1">
      <c r="A22" s="79"/>
      <c r="B22" s="289"/>
      <c r="C22" s="126"/>
      <c r="D22" s="71"/>
      <c r="E22" s="71"/>
      <c r="F22" s="290"/>
      <c r="G22" s="289"/>
      <c r="H22" s="110"/>
      <c r="I22" s="71"/>
      <c r="J22" s="71"/>
      <c r="K22" s="290"/>
      <c r="L22" s="289"/>
      <c r="M22" s="356"/>
      <c r="N22" s="357"/>
      <c r="O22" s="357"/>
      <c r="P22" s="290"/>
      <c r="R22" s="338"/>
      <c r="S22" s="339"/>
      <c r="T22" s="73"/>
      <c r="U22" s="73"/>
      <c r="V22" s="73"/>
      <c r="W22" s="274"/>
      <c r="X22" s="248"/>
      <c r="Y22" s="65"/>
      <c r="Z22" s="67"/>
      <c r="AA22" s="79"/>
      <c r="AB22" s="79"/>
      <c r="AC22" s="79"/>
      <c r="AD22" s="79"/>
      <c r="AE22" s="220"/>
      <c r="AF22" s="270"/>
      <c r="AG22" s="73"/>
      <c r="AH22" s="73"/>
      <c r="AI22" s="73"/>
      <c r="AJ22" s="73"/>
      <c r="AK22" s="72"/>
      <c r="AL22" s="74"/>
      <c r="AP22" s="602"/>
      <c r="AR22" s="600"/>
      <c r="AS22" s="117"/>
      <c r="AT22" s="121"/>
      <c r="AU22" s="79"/>
    </row>
    <row r="23" spans="1:47" s="66" customFormat="1">
      <c r="A23" s="79"/>
      <c r="B23" s="289" t="str">
        <f>IF(OR(AND(C$56&gt;=$AA23,C$56&lt;=$AB23),AND(C$57&gt;=$AA23,C$57&lt;=$AB23),AND(C$58&gt;= $AA23,C$58&lt;=$AB23)),"*","")</f>
        <v/>
      </c>
      <c r="C23" s="127"/>
      <c r="D23" s="75"/>
      <c r="E23" s="75"/>
      <c r="F23" s="288"/>
      <c r="G23" s="289" t="str">
        <f>IF(OR(AND(H$56&gt;=$AA23,H$56&lt;=$AB23),AND(H$57&gt;=$AA23,H$57&lt;=$AB23),AND(H$58&gt;= $AA23,H$58&lt;=$AB23)),"*","")</f>
        <v/>
      </c>
      <c r="H23" s="111"/>
      <c r="I23" s="75"/>
      <c r="J23" s="75"/>
      <c r="K23" s="288"/>
      <c r="L23" s="289" t="str">
        <f>IF(OR(AND(M$56&gt;=$AA23,M$56&lt;=$AB23),AND(M$57&gt;=$AA23,M$57&lt;=$AB23),AND(M$58&gt;= $AA23,M$58&lt;=$AB23)),"*","")</f>
        <v/>
      </c>
      <c r="M23" s="724" t="str">
        <f>IF(OR(M25="",M25=" "),"", "No Domingo:")</f>
        <v/>
      </c>
      <c r="N23" s="724" t="str">
        <f>IF(OR(N25="",N25=" "),"", "No Domingo:")</f>
        <v/>
      </c>
      <c r="O23" s="724" t="str">
        <f>IF(OR(O25="",O25=" "),"", "No Domingo:")</f>
        <v/>
      </c>
      <c r="P23" s="288"/>
      <c r="R23" s="336" t="str">
        <f>IF(AC23="-",IF(AC31="-","",AC31),AC23)</f>
        <v/>
      </c>
      <c r="S23" s="337" t="str">
        <f>IF(AD23="-",IF(AD31="-","",AD31),AD23)</f>
        <v/>
      </c>
      <c r="T23" s="337" t="str">
        <f>IF($AE$16=AH19,$AH$16,IF(AD23="-","",AD23+1))</f>
        <v/>
      </c>
      <c r="U23" s="337">
        <f>IF($AE$16=AI19,$AH$16,IF(T23="","",T23+1))</f>
        <v>42705</v>
      </c>
      <c r="V23" s="337">
        <f>IF($AE$16=AJ19,$AH$16,IF(U23="","",U23+1))</f>
        <v>42706</v>
      </c>
      <c r="W23" s="336">
        <f>IF($AE$16=AK19,$AH$16,IF(V23="","",V23+1))</f>
        <v>42707</v>
      </c>
      <c r="X23" s="353">
        <f>IF($AE$16=AL19,$AH$16,IF(W23="","",W23+1))</f>
        <v>42708</v>
      </c>
      <c r="Y23" s="65"/>
      <c r="Z23" s="67"/>
      <c r="AA23" s="512">
        <f xml:space="preserve"> TIME($A21,15,0)</f>
        <v>0.38541666666666669</v>
      </c>
      <c r="AB23" s="512">
        <f>TIME($A21,45,0)</f>
        <v>0.40625</v>
      </c>
      <c r="AC23" s="562" t="str">
        <f>IF($AE$16=AF19,$AH$16,"-")</f>
        <v>-</v>
      </c>
      <c r="AD23" s="562" t="str">
        <f>IF($AE$16=AG19,$AH$16,IF(AC23="-","-",AC23+1))</f>
        <v>-</v>
      </c>
      <c r="AE23" s="221" t="str">
        <f>IF(X23=$V$11,1,"")</f>
        <v/>
      </c>
      <c r="AF23" s="271" t="str">
        <f>CelebrationType(R23)</f>
        <v/>
      </c>
      <c r="AG23" s="78" t="str">
        <f>CelebrationType(S23)</f>
        <v/>
      </c>
      <c r="AH23" s="78" t="str">
        <f t="shared" ref="AH23:AH32" si="2">CelebrationType(T23)</f>
        <v/>
      </c>
      <c r="AI23" s="78">
        <f t="shared" ref="AI23:AI32" si="3">CelebrationType(U23)</f>
        <v>0</v>
      </c>
      <c r="AJ23" s="78">
        <f t="shared" ref="AJ23:AJ32" si="4">CelebrationType(V23)</f>
        <v>0</v>
      </c>
      <c r="AK23" s="76">
        <f t="shared" ref="AK23:AK32" si="5">CelebrationType(W23)</f>
        <v>0</v>
      </c>
      <c r="AL23" s="77">
        <f t="shared" ref="AL23:AL32" si="6">CelebrationType(X23)</f>
        <v>0</v>
      </c>
      <c r="AP23" s="602"/>
      <c r="AR23" s="600"/>
      <c r="AS23" s="115"/>
      <c r="AT23" s="119"/>
      <c r="AU23" s="79"/>
    </row>
    <row r="24" spans="1:47" s="66" customFormat="1" ht="1.5" customHeight="1">
      <c r="A24" s="79"/>
      <c r="B24" s="289"/>
      <c r="C24" s="126"/>
      <c r="D24" s="71"/>
      <c r="E24" s="71"/>
      <c r="F24" s="290"/>
      <c r="G24" s="289"/>
      <c r="H24" s="110"/>
      <c r="I24" s="71"/>
      <c r="J24" s="71"/>
      <c r="K24" s="290"/>
      <c r="L24" s="289"/>
      <c r="M24" s="356"/>
      <c r="N24" s="357"/>
      <c r="O24" s="357"/>
      <c r="P24" s="290"/>
      <c r="R24" s="247"/>
      <c r="S24" s="73"/>
      <c r="T24" s="73"/>
      <c r="U24" s="73"/>
      <c r="V24" s="73"/>
      <c r="W24" s="247"/>
      <c r="X24" s="615"/>
      <c r="Y24" s="65"/>
      <c r="Z24" s="67"/>
      <c r="AA24" s="79"/>
      <c r="AB24" s="79"/>
      <c r="AC24" s="79"/>
      <c r="AD24" s="79"/>
      <c r="AE24" s="569"/>
      <c r="AF24" s="270" t="str">
        <f t="shared" ref="AF24:AF32" si="7">CelebrationType(R24)</f>
        <v/>
      </c>
      <c r="AG24" s="73" t="str">
        <f t="shared" ref="AG24:AG32" si="8">CelebrationType(S24)</f>
        <v/>
      </c>
      <c r="AH24" s="73" t="str">
        <f t="shared" si="2"/>
        <v/>
      </c>
      <c r="AI24" s="73" t="str">
        <f t="shared" si="3"/>
        <v/>
      </c>
      <c r="AJ24" s="73" t="str">
        <f t="shared" si="4"/>
        <v/>
      </c>
      <c r="AK24" s="72" t="str">
        <f t="shared" si="5"/>
        <v/>
      </c>
      <c r="AL24" s="74" t="str">
        <f t="shared" si="6"/>
        <v/>
      </c>
      <c r="AP24" s="602"/>
      <c r="AR24" s="600"/>
      <c r="AS24" s="116"/>
      <c r="AT24" s="120"/>
      <c r="AU24" s="79"/>
    </row>
    <row r="25" spans="1:47" s="66" customFormat="1" ht="18" customHeight="1">
      <c r="A25" s="79">
        <f>A21+1</f>
        <v>10</v>
      </c>
      <c r="B25" s="289" t="str">
        <f>IF(OR(AND(C$56&gt;$AA25,C$56&lt;$AB25),AND(C$57&gt; $AA25,C$57&lt;$AB25),AND(C$58&gt; $AA25,C$58&lt;$AB25)),"*","")</f>
        <v/>
      </c>
      <c r="C25" s="127"/>
      <c r="D25" s="75"/>
      <c r="E25" s="75"/>
      <c r="F25" s="288"/>
      <c r="G25" s="289" t="str">
        <f>IF(OR(AND(H$56&gt;$AA25,H$56&lt;$AB25),AND(H$57&gt; $AA25,H$57&lt;$AB25),AND(H$58&gt; $AA25,H$58&lt;$AB25)),"*","")</f>
        <v/>
      </c>
      <c r="H25" s="111"/>
      <c r="I25" s="75"/>
      <c r="J25" s="75"/>
      <c r="K25" s="288"/>
      <c r="L25" s="289" t="str">
        <f>IF(OR(AND(M$56&gt;$AA25,M$56&lt;$AB25),AND(M$57&gt; $AA25,M$57&lt;$AB25),AND(M$58&gt; $AA25,M$58&lt;$AB25)),"*","")</f>
        <v/>
      </c>
      <c r="M25" s="724" t="str">
        <f>EventName(V11,7)</f>
        <v/>
      </c>
      <c r="N25" s="724"/>
      <c r="O25" s="724"/>
      <c r="P25" s="288"/>
      <c r="R25" s="336">
        <f>X23+1</f>
        <v>42709</v>
      </c>
      <c r="S25" s="337">
        <f>R25+1</f>
        <v>42710</v>
      </c>
      <c r="T25" s="337">
        <f t="shared" ref="T25:X29" si="9">S25+1</f>
        <v>42711</v>
      </c>
      <c r="U25" s="337">
        <f t="shared" si="9"/>
        <v>42712</v>
      </c>
      <c r="V25" s="337">
        <f t="shared" si="9"/>
        <v>42713</v>
      </c>
      <c r="W25" s="336">
        <f t="shared" si="9"/>
        <v>42714</v>
      </c>
      <c r="X25" s="353">
        <f t="shared" si="9"/>
        <v>42715</v>
      </c>
      <c r="Y25" s="65"/>
      <c r="Z25" s="67"/>
      <c r="AA25" s="512">
        <f xml:space="preserve"> TIME($A25-1,45,0)</f>
        <v>0.40625</v>
      </c>
      <c r="AB25" s="512">
        <f>TIME($A25,15,0)</f>
        <v>0.42708333333333331</v>
      </c>
      <c r="AC25" s="79"/>
      <c r="AD25" s="79"/>
      <c r="AE25" s="221" t="str">
        <f>IF(X25=$V$11,1,"")</f>
        <v/>
      </c>
      <c r="AF25" s="271">
        <f>CelebrationType(R25)</f>
        <v>0</v>
      </c>
      <c r="AG25" s="78">
        <f t="shared" si="8"/>
        <v>0</v>
      </c>
      <c r="AH25" s="78">
        <f t="shared" si="2"/>
        <v>0</v>
      </c>
      <c r="AI25" s="78">
        <f t="shared" si="3"/>
        <v>0</v>
      </c>
      <c r="AJ25" s="78">
        <f t="shared" si="4"/>
        <v>0</v>
      </c>
      <c r="AK25" s="76" t="str">
        <f t="shared" si="5"/>
        <v>E</v>
      </c>
      <c r="AL25" s="77">
        <f t="shared" si="6"/>
        <v>0</v>
      </c>
      <c r="AP25" s="602"/>
      <c r="AR25" s="600"/>
      <c r="AS25" s="115"/>
      <c r="AT25" s="119"/>
      <c r="AU25" s="79">
        <v>6</v>
      </c>
    </row>
    <row r="26" spans="1:47" s="66" customFormat="1" ht="1.5" customHeight="1">
      <c r="A26" s="79"/>
      <c r="B26" s="289"/>
      <c r="C26" s="126"/>
      <c r="D26" s="71"/>
      <c r="E26" s="71"/>
      <c r="F26" s="290"/>
      <c r="G26" s="289"/>
      <c r="H26" s="110"/>
      <c r="I26" s="71"/>
      <c r="J26" s="71"/>
      <c r="K26" s="290"/>
      <c r="L26" s="289"/>
      <c r="M26" s="356"/>
      <c r="N26" s="357"/>
      <c r="O26" s="357"/>
      <c r="P26" s="290"/>
      <c r="R26" s="247"/>
      <c r="S26" s="339"/>
      <c r="T26" s="339"/>
      <c r="U26" s="339"/>
      <c r="V26" s="339"/>
      <c r="W26" s="354"/>
      <c r="X26" s="355"/>
      <c r="Y26" s="65"/>
      <c r="Z26" s="67"/>
      <c r="AA26" s="79"/>
      <c r="AB26" s="79"/>
      <c r="AC26" s="79"/>
      <c r="AD26" s="79"/>
      <c r="AE26" s="569"/>
      <c r="AF26" s="270" t="str">
        <f t="shared" si="7"/>
        <v/>
      </c>
      <c r="AG26" s="73" t="str">
        <f t="shared" si="8"/>
        <v/>
      </c>
      <c r="AH26" s="73" t="str">
        <f t="shared" si="2"/>
        <v/>
      </c>
      <c r="AI26" s="73" t="str">
        <f t="shared" si="3"/>
        <v/>
      </c>
      <c r="AJ26" s="73" t="str">
        <f t="shared" si="4"/>
        <v/>
      </c>
      <c r="AK26" s="72" t="str">
        <f t="shared" si="5"/>
        <v/>
      </c>
      <c r="AL26" s="74" t="str">
        <f t="shared" si="6"/>
        <v/>
      </c>
      <c r="AP26" s="602"/>
      <c r="AR26" s="600"/>
      <c r="AS26" s="116"/>
      <c r="AT26" s="120"/>
      <c r="AU26" s="79"/>
    </row>
    <row r="27" spans="1:47" s="66" customFormat="1">
      <c r="A27" s="79"/>
      <c r="B27" s="289" t="str">
        <f>IF(OR(AND(C$56&gt;=$AA27,C$56&lt;=$AB27),AND(C$57&gt;=$AA27,C$57&lt;=$AB27),AND(C$58&gt;= $AA27,C$58&lt;=$AB27)),"*","")</f>
        <v/>
      </c>
      <c r="C27" s="127"/>
      <c r="D27" s="75"/>
      <c r="E27" s="75"/>
      <c r="F27" s="288"/>
      <c r="G27" s="289" t="str">
        <f>IF(OR(AND(H$56&gt;=$AA27,H$56&lt;=$AB27),AND(H$57&gt;=$AA27,H$57&lt;=$AB27),AND(H$58&gt;= $AA27,H$58&lt;=$AB27)),"*","")</f>
        <v/>
      </c>
      <c r="H27" s="111"/>
      <c r="I27" s="75"/>
      <c r="J27" s="75"/>
      <c r="K27" s="288"/>
      <c r="L27" s="289" t="str">
        <f>IF(OR(AND(M$56&gt;=$AA27,M$56&lt;=$AB27),AND(M$57&gt;=$AA27,M$57&lt;=$AB27),AND(M$58&gt;= $AA27,M$58&lt;=$AB27)),"*","")</f>
        <v/>
      </c>
      <c r="M27" s="724" t="str">
        <f>EventName(V11,8)</f>
        <v/>
      </c>
      <c r="N27" s="724"/>
      <c r="O27" s="724"/>
      <c r="P27" s="288"/>
      <c r="R27" s="336">
        <f>X25+1</f>
        <v>42716</v>
      </c>
      <c r="S27" s="337">
        <f>R27+1</f>
        <v>42717</v>
      </c>
      <c r="T27" s="337">
        <f t="shared" si="9"/>
        <v>42718</v>
      </c>
      <c r="U27" s="337">
        <f t="shared" si="9"/>
        <v>42719</v>
      </c>
      <c r="V27" s="337">
        <f t="shared" si="9"/>
        <v>42720</v>
      </c>
      <c r="W27" s="336">
        <f t="shared" si="9"/>
        <v>42721</v>
      </c>
      <c r="X27" s="353">
        <f t="shared" si="9"/>
        <v>42722</v>
      </c>
      <c r="Y27" s="65"/>
      <c r="Z27" s="67"/>
      <c r="AA27" s="512">
        <f xml:space="preserve"> TIME($A25,15,0)</f>
        <v>0.42708333333333331</v>
      </c>
      <c r="AB27" s="512">
        <f>TIME($A25,45,0)</f>
        <v>0.44791666666666669</v>
      </c>
      <c r="AC27" s="79"/>
      <c r="AD27" s="79"/>
      <c r="AE27" s="221" t="str">
        <f>IF(X27=$V$11,1,"")</f>
        <v/>
      </c>
      <c r="AF27" s="271">
        <f t="shared" si="7"/>
        <v>0</v>
      </c>
      <c r="AG27" s="78">
        <f t="shared" si="8"/>
        <v>0</v>
      </c>
      <c r="AH27" s="78">
        <f t="shared" si="2"/>
        <v>0</v>
      </c>
      <c r="AI27" s="78">
        <f t="shared" si="3"/>
        <v>0</v>
      </c>
      <c r="AJ27" s="78">
        <f t="shared" si="4"/>
        <v>0</v>
      </c>
      <c r="AK27" s="76">
        <f t="shared" si="5"/>
        <v>0</v>
      </c>
      <c r="AL27" s="77">
        <f t="shared" si="6"/>
        <v>0</v>
      </c>
      <c r="AP27" s="602"/>
      <c r="AR27" s="600"/>
      <c r="AS27" s="115"/>
      <c r="AT27" s="119"/>
      <c r="AU27" s="79"/>
    </row>
    <row r="28" spans="1:47" s="66" customFormat="1" ht="1.5" customHeight="1">
      <c r="A28" s="79"/>
      <c r="B28" s="289"/>
      <c r="C28" s="126"/>
      <c r="D28" s="71"/>
      <c r="E28" s="71"/>
      <c r="F28" s="290"/>
      <c r="G28" s="289"/>
      <c r="H28" s="110"/>
      <c r="I28" s="71"/>
      <c r="J28" s="71"/>
      <c r="K28" s="290"/>
      <c r="L28" s="289"/>
      <c r="M28" s="356"/>
      <c r="N28" s="357"/>
      <c r="O28" s="357"/>
      <c r="P28" s="290"/>
      <c r="R28" s="247"/>
      <c r="S28" s="339"/>
      <c r="T28" s="339"/>
      <c r="U28" s="339"/>
      <c r="V28" s="339"/>
      <c r="W28" s="354"/>
      <c r="X28" s="355"/>
      <c r="Y28" s="65"/>
      <c r="Z28" s="67"/>
      <c r="AA28" s="79"/>
      <c r="AB28" s="79"/>
      <c r="AC28" s="79"/>
      <c r="AD28" s="79"/>
      <c r="AE28" s="569"/>
      <c r="AF28" s="270" t="str">
        <f t="shared" si="7"/>
        <v/>
      </c>
      <c r="AG28" s="73" t="str">
        <f t="shared" si="8"/>
        <v/>
      </c>
      <c r="AH28" s="73" t="str">
        <f t="shared" si="2"/>
        <v/>
      </c>
      <c r="AI28" s="73" t="str">
        <f t="shared" si="3"/>
        <v/>
      </c>
      <c r="AJ28" s="73" t="str">
        <f t="shared" si="4"/>
        <v/>
      </c>
      <c r="AK28" s="72" t="str">
        <f t="shared" si="5"/>
        <v/>
      </c>
      <c r="AL28" s="74" t="str">
        <f t="shared" si="6"/>
        <v/>
      </c>
      <c r="AP28" s="602"/>
      <c r="AR28" s="600"/>
      <c r="AS28" s="116"/>
      <c r="AT28" s="120"/>
      <c r="AU28" s="79"/>
    </row>
    <row r="29" spans="1:47" s="66" customFormat="1">
      <c r="A29" s="79">
        <f>A25+1</f>
        <v>11</v>
      </c>
      <c r="B29" s="289" t="str">
        <f>IF(OR(AND(C$56&gt;$AA29,C$56&lt;$AB29),AND(C$57&gt; $AA29,C$57&lt;$AB29),AND(C$58&gt; $AA29,C$58&lt;$AB29)),"*","")</f>
        <v/>
      </c>
      <c r="C29" s="127"/>
      <c r="D29" s="75"/>
      <c r="E29" s="75"/>
      <c r="F29" s="288"/>
      <c r="G29" s="289" t="str">
        <f>IF(OR(AND(H$56&gt;$AA29,H$56&lt;$AB29),AND(H$57&gt; $AA29,H$57&lt;$AB29),AND(H$58&gt; $AA29,H$58&lt;$AB29)),"*","")</f>
        <v/>
      </c>
      <c r="H29" s="111"/>
      <c r="I29" s="75"/>
      <c r="J29" s="75"/>
      <c r="K29" s="288"/>
      <c r="L29" s="289" t="str">
        <f>IF(OR(AND(M$56&gt;$AA29,M$56&lt;$AB29),AND(M$57&gt; $AA29,M$57&lt;$AB29),AND(M$58&gt; $AA29,M$58&lt;$AB29)),"*","")</f>
        <v/>
      </c>
      <c r="M29" s="724" t="str">
        <f>EventName(V11,9)</f>
        <v/>
      </c>
      <c r="N29" s="724"/>
      <c r="O29" s="724"/>
      <c r="P29" s="288"/>
      <c r="R29" s="336">
        <f>X27+1</f>
        <v>42723</v>
      </c>
      <c r="S29" s="337">
        <f>R29+1</f>
        <v>42724</v>
      </c>
      <c r="T29" s="337">
        <f t="shared" si="9"/>
        <v>42725</v>
      </c>
      <c r="U29" s="337">
        <f t="shared" si="9"/>
        <v>42726</v>
      </c>
      <c r="V29" s="337">
        <f t="shared" si="9"/>
        <v>42727</v>
      </c>
      <c r="W29" s="336">
        <f t="shared" si="9"/>
        <v>42728</v>
      </c>
      <c r="X29" s="353">
        <f t="shared" si="9"/>
        <v>42729</v>
      </c>
      <c r="Y29" s="65"/>
      <c r="Z29" s="67"/>
      <c r="AA29" s="512">
        <f xml:space="preserve"> TIME($A29-1,45,0)</f>
        <v>0.44791666666666669</v>
      </c>
      <c r="AB29" s="512">
        <f>TIME($A29,15,0)</f>
        <v>0.46875</v>
      </c>
      <c r="AC29" s="79"/>
      <c r="AD29" s="79"/>
      <c r="AE29" s="221" t="str">
        <f>IF(X29=$V$11,1,"")</f>
        <v/>
      </c>
      <c r="AF29" s="271">
        <f t="shared" si="7"/>
        <v>0</v>
      </c>
      <c r="AG29" s="78">
        <f t="shared" si="8"/>
        <v>0</v>
      </c>
      <c r="AH29" s="78" t="str">
        <f t="shared" si="2"/>
        <v>C</v>
      </c>
      <c r="AI29" s="78">
        <f t="shared" si="3"/>
        <v>0</v>
      </c>
      <c r="AJ29" s="78">
        <f t="shared" si="4"/>
        <v>0</v>
      </c>
      <c r="AK29" s="76" t="str">
        <f t="shared" si="5"/>
        <v>E</v>
      </c>
      <c r="AL29" s="77" t="str">
        <f t="shared" si="6"/>
        <v>F</v>
      </c>
      <c r="AP29" s="602"/>
      <c r="AR29" s="600"/>
      <c r="AS29" s="115"/>
      <c r="AT29" s="119"/>
      <c r="AU29" s="79">
        <v>7</v>
      </c>
    </row>
    <row r="30" spans="1:47" s="66" customFormat="1" ht="1.5" customHeight="1">
      <c r="A30" s="79"/>
      <c r="B30" s="289"/>
      <c r="C30" s="126"/>
      <c r="D30" s="71"/>
      <c r="E30" s="71"/>
      <c r="F30" s="290"/>
      <c r="G30" s="289"/>
      <c r="H30" s="110"/>
      <c r="I30" s="71"/>
      <c r="J30" s="71"/>
      <c r="K30" s="290"/>
      <c r="L30" s="289"/>
      <c r="M30" s="356"/>
      <c r="N30" s="357"/>
      <c r="O30" s="357"/>
      <c r="P30" s="290"/>
      <c r="R30" s="338"/>
      <c r="S30" s="339"/>
      <c r="T30" s="339"/>
      <c r="U30" s="339"/>
      <c r="V30" s="339"/>
      <c r="W30" s="338"/>
      <c r="X30" s="618"/>
      <c r="Y30" s="65"/>
      <c r="Z30" s="67"/>
      <c r="AA30" s="79"/>
      <c r="AB30" s="79"/>
      <c r="AC30" s="79"/>
      <c r="AD30" s="79"/>
      <c r="AE30" s="569"/>
      <c r="AF30" s="270" t="str">
        <f t="shared" si="7"/>
        <v/>
      </c>
      <c r="AG30" s="73" t="str">
        <f t="shared" si="8"/>
        <v/>
      </c>
      <c r="AH30" s="73" t="str">
        <f t="shared" si="2"/>
        <v/>
      </c>
      <c r="AI30" s="73" t="str">
        <f t="shared" si="3"/>
        <v/>
      </c>
      <c r="AJ30" s="73" t="str">
        <f t="shared" si="4"/>
        <v/>
      </c>
      <c r="AK30" s="72" t="str">
        <f t="shared" si="5"/>
        <v/>
      </c>
      <c r="AL30" s="74" t="str">
        <f t="shared" si="6"/>
        <v/>
      </c>
      <c r="AP30" s="602"/>
      <c r="AR30" s="600"/>
      <c r="AS30" s="116"/>
      <c r="AT30" s="120"/>
      <c r="AU30" s="79"/>
    </row>
    <row r="31" spans="1:47" s="66" customFormat="1" ht="18.75" thickBot="1">
      <c r="A31" s="79"/>
      <c r="B31" s="289" t="str">
        <f>IF(OR(AND(C$56&gt;=$AA31,C$56&lt;=$AB31),AND(C$57&gt;=$AA31,C$57&lt;=$AB31),AND(C$58&gt;= $AA31,C$58&lt;=$AB31)),"*","")</f>
        <v>*</v>
      </c>
      <c r="C31" s="127"/>
      <c r="D31" s="75"/>
      <c r="E31" s="75"/>
      <c r="F31" s="288"/>
      <c r="G31" s="289" t="str">
        <f>IF(OR(AND(H$56&gt;=$AA31,H$56&lt;=$AB31),AND(H$57&gt;=$AA31,H$57&lt;=$AB31),AND(H$58&gt;= $AA31,H$58&lt;=$AB31)),"*","")</f>
        <v>*</v>
      </c>
      <c r="H31" s="111"/>
      <c r="I31" s="75"/>
      <c r="J31" s="75"/>
      <c r="K31" s="288"/>
      <c r="L31" s="289" t="str">
        <f>IF(OR(AND(M$56&gt;=$AA31,M$56&lt;=$AB31),AND(M$57&gt;=$AA31,M$57&lt;=$AB31),AND(M$58&gt;= $AA31,M$58&lt;=$AB31)),"*","")</f>
        <v>*</v>
      </c>
      <c r="M31" s="724" t="str">
        <f>EventName(V11,10)</f>
        <v/>
      </c>
      <c r="N31" s="724"/>
      <c r="O31" s="724"/>
      <c r="P31" s="288"/>
      <c r="R31" s="336">
        <f>IF(X29="","",IF(X29+1&gt;$AI$16,"",X29+1))</f>
        <v>42730</v>
      </c>
      <c r="S31" s="337">
        <f t="shared" ref="S31:X31" si="10">IF(R31="","",IF(R31+1&gt;$AI$16,"",R31+1))</f>
        <v>42731</v>
      </c>
      <c r="T31" s="337">
        <f t="shared" si="10"/>
        <v>42732</v>
      </c>
      <c r="U31" s="337">
        <f t="shared" si="10"/>
        <v>42733</v>
      </c>
      <c r="V31" s="337">
        <f t="shared" si="10"/>
        <v>42734</v>
      </c>
      <c r="W31" s="336">
        <f t="shared" si="10"/>
        <v>42735</v>
      </c>
      <c r="X31" s="353" t="str">
        <f t="shared" si="10"/>
        <v/>
      </c>
      <c r="Y31" s="65"/>
      <c r="Z31" s="67"/>
      <c r="AA31" s="512">
        <f xml:space="preserve"> TIME($A29,15,0)</f>
        <v>0.46875</v>
      </c>
      <c r="AB31" s="512">
        <f>TIME($A29,45,0)</f>
        <v>0.48958333333333331</v>
      </c>
      <c r="AC31" s="562" t="str">
        <f>IF(X31="","",IF(X31+1&gt;$AI$16,"",X31+1))</f>
        <v/>
      </c>
      <c r="AD31" s="562" t="str">
        <f>IF(AC31="","",IF(AC31+1&gt;$AI$16,"",AC31+1))</f>
        <v/>
      </c>
      <c r="AE31" s="221">
        <f>IF(X31=$V$11,1,IF(X31="",IF(X37=$V$11,1,""),""))</f>
        <v>1</v>
      </c>
      <c r="AF31" s="271">
        <f t="shared" si="7"/>
        <v>0</v>
      </c>
      <c r="AG31" s="78">
        <f t="shared" si="8"/>
        <v>0</v>
      </c>
      <c r="AH31" s="78">
        <f t="shared" si="2"/>
        <v>0</v>
      </c>
      <c r="AI31" s="78">
        <f t="shared" si="3"/>
        <v>0</v>
      </c>
      <c r="AJ31" s="78">
        <f t="shared" si="4"/>
        <v>0</v>
      </c>
      <c r="AK31" s="76">
        <f t="shared" si="5"/>
        <v>0</v>
      </c>
      <c r="AL31" s="77" t="str">
        <f t="shared" si="6"/>
        <v/>
      </c>
      <c r="AP31" s="136"/>
      <c r="AQ31" s="137"/>
      <c r="AR31" s="138"/>
      <c r="AS31" s="141"/>
      <c r="AT31" s="142"/>
      <c r="AU31" s="79"/>
    </row>
    <row r="32" spans="1:47" s="66" customFormat="1" ht="1.5" customHeight="1" thickBot="1">
      <c r="A32" s="79"/>
      <c r="B32" s="289"/>
      <c r="C32" s="126"/>
      <c r="D32" s="71"/>
      <c r="E32" s="71"/>
      <c r="F32" s="290"/>
      <c r="G32" s="289"/>
      <c r="H32" s="110"/>
      <c r="I32" s="71"/>
      <c r="J32" s="71"/>
      <c r="K32" s="290"/>
      <c r="L32" s="289"/>
      <c r="M32" s="356"/>
      <c r="N32" s="357"/>
      <c r="O32" s="357"/>
      <c r="P32" s="290"/>
      <c r="R32" s="619"/>
      <c r="S32" s="620"/>
      <c r="T32" s="620"/>
      <c r="U32" s="620"/>
      <c r="V32" s="620"/>
      <c r="W32" s="619"/>
      <c r="X32" s="621"/>
      <c r="Y32" s="65"/>
      <c r="Z32" s="67"/>
      <c r="AA32" s="79"/>
      <c r="AB32" s="79"/>
      <c r="AC32" s="79"/>
      <c r="AD32" s="79"/>
      <c r="AE32" s="569"/>
      <c r="AF32" s="270" t="str">
        <f t="shared" si="7"/>
        <v/>
      </c>
      <c r="AG32" s="73" t="str">
        <f t="shared" si="8"/>
        <v/>
      </c>
      <c r="AH32" s="73" t="str">
        <f t="shared" si="2"/>
        <v/>
      </c>
      <c r="AI32" s="73" t="str">
        <f t="shared" si="3"/>
        <v/>
      </c>
      <c r="AJ32" s="73" t="str">
        <f t="shared" si="4"/>
        <v/>
      </c>
      <c r="AK32" s="72" t="str">
        <f t="shared" si="5"/>
        <v/>
      </c>
      <c r="AL32" s="74" t="str">
        <f t="shared" si="6"/>
        <v/>
      </c>
      <c r="AP32" s="602"/>
      <c r="AR32" s="600"/>
      <c r="AS32" s="117"/>
      <c r="AT32" s="121"/>
      <c r="AU32" s="79"/>
    </row>
    <row r="33" spans="1:47" s="66" customFormat="1" ht="18" customHeight="1">
      <c r="A33" s="79">
        <f>A29+1</f>
        <v>12</v>
      </c>
      <c r="B33" s="289" t="str">
        <f>IF(OR(AND(C$56&gt;$AA33,C$56&lt;$AB33),AND(C$57&gt; $AA33,C$57&lt;$AB33),AND(C$58&gt; $AA33,C$58&lt;$AB33)),"*","")</f>
        <v/>
      </c>
      <c r="C33" s="128"/>
      <c r="D33" s="79"/>
      <c r="E33" s="79"/>
      <c r="F33" s="291"/>
      <c r="G33" s="289" t="str">
        <f>IF(OR(AND(H$56&gt;$AA33,H$56&lt;$AB33),AND(H$57&gt; $AA33,H$57&lt;$AB33),AND(H$58&gt; $AA33,H$58&lt;$AB33)),"*","")</f>
        <v/>
      </c>
      <c r="I33" s="79"/>
      <c r="J33" s="79"/>
      <c r="K33" s="291"/>
      <c r="L33" s="289" t="str">
        <f>IF(OR(AND(M$56&gt;$AA33,M$56&lt;$AB33),AND(M$57&gt; $AA33,M$57&lt;$AB33),AND(M$58&gt; $AA33,M$58&lt;$AB33)),"*","")</f>
        <v/>
      </c>
      <c r="M33" s="727" t="str">
        <f>EventName(V11,11)</f>
        <v/>
      </c>
      <c r="N33" s="727"/>
      <c r="O33" s="727"/>
      <c r="P33" s="291"/>
      <c r="R33" s="735" t="str">
        <f ca="1">VLOOKUP(AG17,$AL$2:$AM$13,2,FALSE)</f>
        <v>Janeiro</v>
      </c>
      <c r="S33" s="736"/>
      <c r="T33" s="736"/>
      <c r="U33" s="736"/>
      <c r="V33" s="736"/>
      <c r="W33" s="736"/>
      <c r="X33" s="737"/>
      <c r="Y33" s="65"/>
      <c r="Z33" s="67"/>
      <c r="AA33" s="512">
        <f xml:space="preserve"> TIME($A33-1,45,0)</f>
        <v>0.48958333333333331</v>
      </c>
      <c r="AB33" s="512">
        <f>TIME($A33,15,0)</f>
        <v>0.51041666666666663</v>
      </c>
      <c r="AE33" s="617" t="str">
        <f>IF(1=1,"",IF(X33="",IF(AE31=1,"",IF(X37=$V$11,1,""))))</f>
        <v/>
      </c>
      <c r="AF33" s="504">
        <f>AG17</f>
        <v>1</v>
      </c>
      <c r="AG33" s="505"/>
      <c r="AH33" s="505"/>
      <c r="AI33" s="505"/>
      <c r="AJ33" s="505"/>
      <c r="AK33" s="505"/>
      <c r="AL33" s="506"/>
      <c r="AP33" s="602"/>
      <c r="AR33" s="600"/>
      <c r="AS33" s="117"/>
      <c r="AT33" s="121"/>
      <c r="AU33" s="79">
        <v>8</v>
      </c>
    </row>
    <row r="34" spans="1:47" s="66" customFormat="1" ht="1.5" customHeight="1">
      <c r="A34" s="79"/>
      <c r="B34" s="289"/>
      <c r="C34" s="129"/>
      <c r="D34" s="75"/>
      <c r="E34" s="75"/>
      <c r="F34" s="288"/>
      <c r="G34" s="289"/>
      <c r="H34" s="111"/>
      <c r="I34" s="75"/>
      <c r="J34" s="75"/>
      <c r="K34" s="288"/>
      <c r="L34" s="289"/>
      <c r="M34" s="111"/>
      <c r="N34" s="75"/>
      <c r="O34" s="75"/>
      <c r="P34" s="288"/>
      <c r="R34" s="250"/>
      <c r="S34" s="144"/>
      <c r="T34" s="144"/>
      <c r="U34" s="144"/>
      <c r="V34" s="144"/>
      <c r="W34" s="144"/>
      <c r="X34" s="351"/>
      <c r="Y34" s="65"/>
      <c r="Z34" s="67"/>
      <c r="AA34" s="79"/>
      <c r="AB34" s="79"/>
      <c r="AC34" s="79"/>
      <c r="AD34" s="79"/>
      <c r="AF34" s="616"/>
      <c r="AG34" s="73"/>
      <c r="AH34" s="73"/>
      <c r="AI34" s="73"/>
      <c r="AJ34" s="73"/>
      <c r="AK34" s="72"/>
      <c r="AL34" s="74"/>
      <c r="AP34" s="602"/>
      <c r="AR34" s="600"/>
      <c r="AS34" s="115"/>
      <c r="AT34" s="119"/>
      <c r="AU34" s="79"/>
    </row>
    <row r="35" spans="1:47" s="66" customFormat="1" ht="18" customHeight="1">
      <c r="A35" s="79"/>
      <c r="B35" s="289" t="str">
        <f>IF(OR(AND(C$56&gt;=$AA35,C$56&lt;=$AB35),AND(C$57&gt;=$AA35,C$57&lt;=$AB35),AND(C$58&gt;= $AA35,C$58&lt;=$AB35)),"*","")</f>
        <v/>
      </c>
      <c r="C35" s="128"/>
      <c r="D35" s="69"/>
      <c r="E35" s="69"/>
      <c r="F35" s="288"/>
      <c r="G35" s="289" t="str">
        <f>IF(OR(AND(H$56&gt;=$AA35,H$56&lt;=$AB35),AND(H$57&gt;=$AA35,H$57&lt;=$AB35),AND(H$58&gt;= $AA35,H$58&lt;=$AB35)),"*","")</f>
        <v/>
      </c>
      <c r="H35" s="109"/>
      <c r="I35" s="69"/>
      <c r="J35" s="69"/>
      <c r="K35" s="288"/>
      <c r="L35" s="289" t="str">
        <f>IF(OR(AND(M$56&gt;=$AA35,M$56&lt;=$AB35),AND(M$57&gt;=$AA35,M$57&lt;=$AB35),AND(M$58&gt;= $AA35,M$58&lt;=$AB35)),"*","")</f>
        <v/>
      </c>
      <c r="M35" s="109"/>
      <c r="N35" s="69"/>
      <c r="O35" s="69"/>
      <c r="P35" s="288"/>
      <c r="R35" s="563" t="str">
        <f ca="1">'GPlan-Translations'!$C$282</f>
        <v>S</v>
      </c>
      <c r="S35" s="564" t="str">
        <f ca="1">'GPlan-Translations'!$C$283</f>
        <v>T</v>
      </c>
      <c r="T35" s="564" t="str">
        <f ca="1">'GPlan-Translations'!$C$284</f>
        <v>Q</v>
      </c>
      <c r="U35" s="564" t="str">
        <f ca="1">'GPlan-Translations'!$C$285</f>
        <v>Q</v>
      </c>
      <c r="V35" s="564" t="str">
        <f ca="1">'GPlan-Translations'!$C$286</f>
        <v>S</v>
      </c>
      <c r="W35" s="267" t="str">
        <f ca="1">'GPlan-Translations'!$C$287</f>
        <v>S</v>
      </c>
      <c r="X35" s="268" t="str">
        <f ca="1">'GPlan-Translations'!$C$281</f>
        <v>D</v>
      </c>
      <c r="Y35" s="65"/>
      <c r="Z35" s="67"/>
      <c r="AA35" s="512">
        <f xml:space="preserve"> TIME($A33,15,0)</f>
        <v>0.51041666666666663</v>
      </c>
      <c r="AB35" s="512">
        <f>TIME($A33,45,0)</f>
        <v>0.53125</v>
      </c>
      <c r="AC35" s="79"/>
      <c r="AD35" s="79"/>
      <c r="AF35" s="269" t="str">
        <f t="shared" ref="AF35:AL35" ca="1" si="11">R35</f>
        <v>S</v>
      </c>
      <c r="AG35" s="33" t="str">
        <f t="shared" ca="1" si="11"/>
        <v>T</v>
      </c>
      <c r="AH35" s="33" t="str">
        <f t="shared" ca="1" si="11"/>
        <v>Q</v>
      </c>
      <c r="AI35" s="33" t="str">
        <f t="shared" ca="1" si="11"/>
        <v>Q</v>
      </c>
      <c r="AJ35" s="33" t="str">
        <f t="shared" ca="1" si="11"/>
        <v>S</v>
      </c>
      <c r="AK35" s="32" t="str">
        <f t="shared" ca="1" si="11"/>
        <v>S</v>
      </c>
      <c r="AL35" s="34" t="str">
        <f t="shared" ca="1" si="11"/>
        <v>D</v>
      </c>
      <c r="AP35" s="602"/>
      <c r="AR35" s="600"/>
      <c r="AS35" s="116"/>
      <c r="AT35" s="120"/>
      <c r="AU35" s="79"/>
    </row>
    <row r="36" spans="1:47" s="66" customFormat="1" ht="1.5" customHeight="1">
      <c r="A36" s="79"/>
      <c r="B36" s="289"/>
      <c r="C36" s="126"/>
      <c r="D36" s="71"/>
      <c r="E36" s="71"/>
      <c r="F36" s="290"/>
      <c r="G36" s="289"/>
      <c r="H36" s="110"/>
      <c r="I36" s="71"/>
      <c r="J36" s="71"/>
      <c r="K36" s="290"/>
      <c r="L36" s="289"/>
      <c r="M36" s="356"/>
      <c r="N36" s="357"/>
      <c r="O36" s="357"/>
      <c r="P36" s="290"/>
      <c r="R36" s="338"/>
      <c r="S36" s="339"/>
      <c r="T36" s="339"/>
      <c r="U36" s="339"/>
      <c r="V36" s="339"/>
      <c r="W36" s="338"/>
      <c r="X36" s="618"/>
      <c r="Y36" s="65"/>
      <c r="Z36" s="67"/>
      <c r="AA36" s="79"/>
      <c r="AB36" s="79"/>
      <c r="AC36" s="79"/>
      <c r="AD36" s="79"/>
      <c r="AE36" s="83"/>
      <c r="AF36" s="270" t="str">
        <f t="shared" ref="AF36" si="12">CelebrationType(R36)</f>
        <v/>
      </c>
      <c r="AG36" s="73" t="str">
        <f t="shared" ref="AG36" si="13">CelebrationType(S36)</f>
        <v/>
      </c>
      <c r="AH36" s="73" t="str">
        <f t="shared" ref="AH36" si="14">CelebrationType(T36)</f>
        <v/>
      </c>
      <c r="AI36" s="73" t="str">
        <f t="shared" ref="AI36" si="15">CelebrationType(U36)</f>
        <v/>
      </c>
      <c r="AJ36" s="73" t="str">
        <f t="shared" ref="AJ36" si="16">CelebrationType(V36)</f>
        <v/>
      </c>
      <c r="AK36" s="72" t="str">
        <f t="shared" ref="AK36" si="17">CelebrationType(W36)</f>
        <v/>
      </c>
      <c r="AL36" s="74" t="str">
        <f t="shared" ref="AL36" si="18">CelebrationType(X36)</f>
        <v/>
      </c>
      <c r="AP36" s="602"/>
      <c r="AR36" s="600"/>
      <c r="AS36" s="115"/>
      <c r="AT36" s="119"/>
      <c r="AU36" s="79"/>
    </row>
    <row r="37" spans="1:47" s="66" customFormat="1" ht="18" customHeight="1">
      <c r="A37" s="79">
        <f>A33+1</f>
        <v>13</v>
      </c>
      <c r="B37" s="289" t="str">
        <f>IF(OR(AND(C$56&gt;$AA37,C$56&lt;$AB37),AND(C$57&gt; $AA37,C$57&lt;$AB37),AND(C$58&gt; $AA37,C$58&lt;$AB37)),"*","")</f>
        <v/>
      </c>
      <c r="C37" s="127"/>
      <c r="D37" s="75"/>
      <c r="E37" s="75"/>
      <c r="F37" s="288"/>
      <c r="G37" s="289" t="str">
        <f>IF(OR(AND(H$56&gt;$AA37,H$56&lt;$AB37),AND(H$57&gt; $AA37,H$57&lt;$AB37),AND(H$58&gt; $AA37,H$58&lt;$AB37)),"*","")</f>
        <v/>
      </c>
      <c r="H37" s="111"/>
      <c r="I37" s="75"/>
      <c r="J37" s="75"/>
      <c r="K37" s="288"/>
      <c r="L37" s="289" t="str">
        <f>IF(OR(AND(M$56&gt;$AA37,M$56&lt;$AB37),AND(M$57&gt; $AA37,M$57&lt;$AB37),AND(M$58&gt; $AA37,M$58&lt;$AB37)),"*","")</f>
        <v/>
      </c>
      <c r="M37" s="111"/>
      <c r="N37" s="75"/>
      <c r="O37" s="75"/>
      <c r="P37" s="288"/>
      <c r="R37" s="336">
        <f>IF(AC37="-",IF(AC42="-","",AC42),AC37)</f>
        <v>42765</v>
      </c>
      <c r="S37" s="337">
        <f>IF(AD37="-",IF(AD42="-","",AD42),AD37)</f>
        <v>42766</v>
      </c>
      <c r="T37" s="337" t="str">
        <f>IF($AE$17=AH19,$AH$17,IF(AD37="-","",AD37+1))</f>
        <v/>
      </c>
      <c r="U37" s="337" t="str">
        <f>IF($AE$17=AI$19,$AH$17,IF(T37="","",T37+1))</f>
        <v/>
      </c>
      <c r="V37" s="337" t="str">
        <f>IF($AE$17=AJ$19,$AH$17,IF(U37="","",U37+1))</f>
        <v/>
      </c>
      <c r="W37" s="336" t="str">
        <f>IF($AE$17=AK$19,$AH$17,IF(V37="","",V37+1))</f>
        <v/>
      </c>
      <c r="X37" s="353">
        <f>IF($AE$17=AL$19,$AH$17,IF(W37="","",W37+1))</f>
        <v>42736</v>
      </c>
      <c r="Y37" s="65"/>
      <c r="Z37" s="67"/>
      <c r="AA37" s="512">
        <f xml:space="preserve"> TIME($A37-1,45,0)</f>
        <v>0.53125</v>
      </c>
      <c r="AB37" s="512">
        <f>TIME($A37,15,0)</f>
        <v>0.55208333333333337</v>
      </c>
      <c r="AC37" s="562" t="str">
        <f>IF($AE$17=AF19,$AH$17,"-")</f>
        <v>-</v>
      </c>
      <c r="AD37" s="562" t="str">
        <f>IF($AE$17=AG19,$AH$17,IF(AC37="-","-",AC37+1))</f>
        <v>-</v>
      </c>
      <c r="AE37" s="221">
        <f>IF(X37=$V$11,1,"")</f>
        <v>1</v>
      </c>
      <c r="AF37" s="271">
        <f t="shared" ref="AF37:AL42" si="19">CelebrationType(R37)</f>
        <v>0</v>
      </c>
      <c r="AG37" s="78">
        <f t="shared" si="19"/>
        <v>0</v>
      </c>
      <c r="AH37" s="78" t="str">
        <f t="shared" si="19"/>
        <v/>
      </c>
      <c r="AI37" s="78" t="str">
        <f t="shared" si="19"/>
        <v/>
      </c>
      <c r="AJ37" s="78" t="str">
        <f t="shared" si="19"/>
        <v/>
      </c>
      <c r="AK37" s="76" t="str">
        <f t="shared" si="19"/>
        <v/>
      </c>
      <c r="AL37" s="77" t="str">
        <f t="shared" si="19"/>
        <v>F</v>
      </c>
      <c r="AP37" s="602"/>
      <c r="AR37" s="600"/>
      <c r="AS37" s="116"/>
      <c r="AT37" s="120"/>
      <c r="AU37" s="79">
        <v>9</v>
      </c>
    </row>
    <row r="38" spans="1:47" s="66" customFormat="1" ht="1.5" customHeight="1">
      <c r="A38" s="79"/>
      <c r="B38" s="289"/>
      <c r="C38" s="614"/>
      <c r="D38" s="79"/>
      <c r="E38" s="79"/>
      <c r="F38" s="291"/>
      <c r="G38" s="289"/>
      <c r="I38" s="79"/>
      <c r="J38" s="79"/>
      <c r="K38" s="291"/>
      <c r="L38" s="289"/>
      <c r="N38" s="79"/>
      <c r="O38" s="79"/>
      <c r="P38" s="291"/>
      <c r="R38" s="247"/>
      <c r="S38" s="73"/>
      <c r="T38" s="73"/>
      <c r="U38" s="73"/>
      <c r="V38" s="73"/>
      <c r="W38" s="247"/>
      <c r="X38" s="615"/>
      <c r="Y38" s="65"/>
      <c r="Z38" s="67"/>
      <c r="AA38" s="79"/>
      <c r="AB38" s="79"/>
      <c r="AC38" s="79"/>
      <c r="AD38" s="79"/>
      <c r="AE38" s="83"/>
      <c r="AF38" s="616"/>
      <c r="AG38" s="73"/>
      <c r="AH38" s="73"/>
      <c r="AI38" s="73"/>
      <c r="AJ38" s="73"/>
      <c r="AK38" s="72"/>
      <c r="AL38" s="74"/>
      <c r="AP38" s="602"/>
      <c r="AR38" s="600"/>
      <c r="AS38" s="115"/>
      <c r="AT38" s="119"/>
      <c r="AU38" s="79"/>
    </row>
    <row r="39" spans="1:47" s="66" customFormat="1">
      <c r="A39" s="79"/>
      <c r="B39" s="289" t="str">
        <f>IF(OR(AND(C$56&gt;=$AA39,C$56&lt;=$AB39),AND(C$57&gt;=$AA39,C$57&lt;=$AB39),AND(C$58&gt;= $AA39,C$58&lt;=$AB39)),"*","")</f>
        <v/>
      </c>
      <c r="C39" s="127"/>
      <c r="D39" s="75"/>
      <c r="E39" s="75"/>
      <c r="F39" s="288"/>
      <c r="G39" s="289" t="str">
        <f>IF(OR(AND(H$56&gt;=$AA39,H$56&lt;=$AB39),AND(H$57&gt;=$AA39,H$57&lt;=$AB39),AND(H$58&gt;= $AA39,H$58&lt;=$AB39)),"*","")</f>
        <v/>
      </c>
      <c r="H39" s="111"/>
      <c r="I39" s="75"/>
      <c r="J39" s="75"/>
      <c r="K39" s="288"/>
      <c r="L39" s="289" t="str">
        <f>IF(OR(AND(M$56&gt;=$AA39,M$56&lt;=$AB39),AND(M$57&gt;=$AA39,M$57&lt;=$AB39),AND(M$58&gt;= $AA39,M$58&lt;=$AB39)),"*","")</f>
        <v/>
      </c>
      <c r="M39" s="111"/>
      <c r="N39" s="75"/>
      <c r="O39" s="75"/>
      <c r="P39" s="288"/>
      <c r="R39" s="336">
        <f>X37+1</f>
        <v>42737</v>
      </c>
      <c r="S39" s="337">
        <f>R39+1</f>
        <v>42738</v>
      </c>
      <c r="T39" s="337">
        <f t="shared" ref="T39:X41" si="20">S39+1</f>
        <v>42739</v>
      </c>
      <c r="U39" s="337">
        <f t="shared" si="20"/>
        <v>42740</v>
      </c>
      <c r="V39" s="337">
        <f t="shared" si="20"/>
        <v>42741</v>
      </c>
      <c r="W39" s="336">
        <f t="shared" si="20"/>
        <v>42742</v>
      </c>
      <c r="X39" s="353">
        <f t="shared" si="20"/>
        <v>42743</v>
      </c>
      <c r="Y39" s="65"/>
      <c r="Z39" s="67"/>
      <c r="AA39" s="512">
        <f xml:space="preserve"> TIME($A37,15,0)</f>
        <v>0.55208333333333337</v>
      </c>
      <c r="AB39" s="512">
        <f>TIME($A37,45,0)</f>
        <v>0.57291666666666663</v>
      </c>
      <c r="AC39" s="79"/>
      <c r="AD39" s="79"/>
      <c r="AE39" s="83"/>
      <c r="AF39" s="271">
        <f t="shared" si="19"/>
        <v>0</v>
      </c>
      <c r="AG39" s="78">
        <f t="shared" si="19"/>
        <v>0</v>
      </c>
      <c r="AH39" s="78">
        <f t="shared" si="19"/>
        <v>0</v>
      </c>
      <c r="AI39" s="78">
        <f t="shared" si="19"/>
        <v>0</v>
      </c>
      <c r="AJ39" s="78">
        <f t="shared" si="19"/>
        <v>0</v>
      </c>
      <c r="AK39" s="76">
        <f t="shared" si="19"/>
        <v>0</v>
      </c>
      <c r="AL39" s="77" t="str">
        <f t="shared" si="19"/>
        <v>E</v>
      </c>
      <c r="AP39" s="602"/>
      <c r="AR39" s="600"/>
      <c r="AS39" s="114"/>
      <c r="AT39" s="118"/>
      <c r="AU39" s="79"/>
    </row>
    <row r="40" spans="1:47" s="66" customFormat="1" ht="18.75" thickBot="1">
      <c r="A40" s="79">
        <f>A37+1</f>
        <v>14</v>
      </c>
      <c r="B40" s="289" t="str">
        <f>IF(OR(AND(C$56&gt;$AA40,C$56&lt;$AB40),AND(C$57&gt; $AA40,C$57&lt;$AB40),AND(C$58&gt; $AA40,C$58&lt;$AB40)),"*","")</f>
        <v/>
      </c>
      <c r="C40" s="125"/>
      <c r="D40" s="69"/>
      <c r="E40" s="69"/>
      <c r="F40" s="288"/>
      <c r="G40" s="289" t="str">
        <f>IF(OR(AND(H$56&gt;$AA40,H$56&lt;$AB40),AND(H$57&gt; $AA40,H$57&lt;$AB40),AND(H$58&gt; $AA40,H$58&lt;$AB40)),"*","")</f>
        <v/>
      </c>
      <c r="H40" s="109"/>
      <c r="I40" s="69"/>
      <c r="J40" s="69"/>
      <c r="K40" s="288"/>
      <c r="L40" s="289" t="str">
        <f>IF(OR(AND(M$56&gt;$AA40,M$56&lt;$AB40),AND(M$57&gt; $AA40,M$57&lt;$AB40),AND(M$58&gt; $AA40,M$58&lt;$AB40)),"*","")</f>
        <v/>
      </c>
      <c r="M40" s="109"/>
      <c r="N40" s="69"/>
      <c r="O40" s="69"/>
      <c r="P40" s="288"/>
      <c r="R40" s="336">
        <f>X39+1</f>
        <v>42744</v>
      </c>
      <c r="S40" s="337">
        <f>R40+1</f>
        <v>42745</v>
      </c>
      <c r="T40" s="337">
        <f t="shared" si="20"/>
        <v>42746</v>
      </c>
      <c r="U40" s="337">
        <f t="shared" si="20"/>
        <v>42747</v>
      </c>
      <c r="V40" s="337">
        <f t="shared" si="20"/>
        <v>42748</v>
      </c>
      <c r="W40" s="336">
        <f t="shared" si="20"/>
        <v>42749</v>
      </c>
      <c r="X40" s="353">
        <f t="shared" si="20"/>
        <v>42750</v>
      </c>
      <c r="Y40" s="65"/>
      <c r="Z40" s="67"/>
      <c r="AA40" s="512">
        <f xml:space="preserve"> TIME($A40-1,45,0)</f>
        <v>0.57291666666666663</v>
      </c>
      <c r="AB40" s="512">
        <f>TIME($A40,15,0)</f>
        <v>0.59375</v>
      </c>
      <c r="AC40" s="79"/>
      <c r="AD40" s="79"/>
      <c r="AE40" s="83"/>
      <c r="AF40" s="271">
        <f t="shared" si="19"/>
        <v>0</v>
      </c>
      <c r="AG40" s="78">
        <f t="shared" si="19"/>
        <v>0</v>
      </c>
      <c r="AH40" s="78">
        <f t="shared" si="19"/>
        <v>0</v>
      </c>
      <c r="AI40" s="78">
        <f t="shared" si="19"/>
        <v>0</v>
      </c>
      <c r="AJ40" s="78">
        <f t="shared" si="19"/>
        <v>0</v>
      </c>
      <c r="AK40" s="76">
        <f t="shared" si="19"/>
        <v>0</v>
      </c>
      <c r="AL40" s="77">
        <f t="shared" si="19"/>
        <v>0</v>
      </c>
      <c r="AP40" s="136"/>
      <c r="AQ40" s="137"/>
      <c r="AR40" s="138"/>
      <c r="AS40" s="139"/>
      <c r="AT40" s="140"/>
      <c r="AU40" s="79">
        <v>10</v>
      </c>
    </row>
    <row r="41" spans="1:47" s="66" customFormat="1">
      <c r="A41" s="79"/>
      <c r="B41" s="289" t="str">
        <f>IF(OR(AND(C$56&gt;=$AA41,C$56&lt;=$AB41),AND(C$57&gt;=$AA41,C$57&lt;=$AB41),AND(C$58&gt;= $AA41,C$58&lt;=$AB41)),"*","")</f>
        <v/>
      </c>
      <c r="C41" s="125"/>
      <c r="D41" s="69"/>
      <c r="E41" s="69"/>
      <c r="F41" s="288"/>
      <c r="G41" s="289" t="str">
        <f>IF(OR(AND(H$56&gt;=$AA41,H$56&lt;=$AB41),AND(H$57&gt;=$AA41,H$57&lt;=$AB41),AND(H$58&gt;= $AA41,H$58&lt;=$AB41)),"*","")</f>
        <v/>
      </c>
      <c r="H41" s="109"/>
      <c r="I41" s="69"/>
      <c r="J41" s="69"/>
      <c r="K41" s="288"/>
      <c r="L41" s="289" t="str">
        <f>IF(OR(AND(M$56&gt;=$AA41,M$56&lt;=$AB41),AND(M$57&gt;=$AA41,M$57&lt;=$AB41),AND(M$58&gt;= $AA41,M$58&lt;=$AB41)),"*","")</f>
        <v/>
      </c>
      <c r="M41" s="109"/>
      <c r="N41" s="69"/>
      <c r="O41" s="69"/>
      <c r="P41" s="288"/>
      <c r="R41" s="336">
        <f>X40+1</f>
        <v>42751</v>
      </c>
      <c r="S41" s="337">
        <f>R41+1</f>
        <v>42752</v>
      </c>
      <c r="T41" s="337">
        <f t="shared" si="20"/>
        <v>42753</v>
      </c>
      <c r="U41" s="337">
        <f t="shared" si="20"/>
        <v>42754</v>
      </c>
      <c r="V41" s="337">
        <f t="shared" si="20"/>
        <v>42755</v>
      </c>
      <c r="W41" s="336">
        <f t="shared" si="20"/>
        <v>42756</v>
      </c>
      <c r="X41" s="353">
        <f t="shared" si="20"/>
        <v>42757</v>
      </c>
      <c r="Y41" s="65"/>
      <c r="Z41" s="67"/>
      <c r="AA41" s="512">
        <f xml:space="preserve"> TIME($A40,15,0)</f>
        <v>0.59375</v>
      </c>
      <c r="AB41" s="512">
        <f>TIME($A40,45,0)</f>
        <v>0.61458333333333337</v>
      </c>
      <c r="AC41" s="79"/>
      <c r="AD41" s="79"/>
      <c r="AE41" s="83"/>
      <c r="AF41" s="271">
        <f t="shared" si="19"/>
        <v>0</v>
      </c>
      <c r="AG41" s="78">
        <f t="shared" si="19"/>
        <v>0</v>
      </c>
      <c r="AH41" s="78">
        <f t="shared" si="19"/>
        <v>0</v>
      </c>
      <c r="AI41" s="78">
        <f t="shared" si="19"/>
        <v>0</v>
      </c>
      <c r="AJ41" s="78">
        <f t="shared" si="19"/>
        <v>0</v>
      </c>
      <c r="AK41" s="76">
        <f t="shared" si="19"/>
        <v>0</v>
      </c>
      <c r="AL41" s="77">
        <f t="shared" si="19"/>
        <v>0</v>
      </c>
      <c r="AP41" s="602"/>
      <c r="AR41" s="600"/>
      <c r="AS41" s="115"/>
      <c r="AT41" s="119"/>
      <c r="AU41" s="79"/>
    </row>
    <row r="42" spans="1:47" s="66" customFormat="1" ht="18.75" thickBot="1">
      <c r="A42" s="79">
        <f>A40+1</f>
        <v>15</v>
      </c>
      <c r="B42" s="289" t="str">
        <f>IF(OR(AND(C$56&gt;$AA42,C$56&lt;$AB42),AND(C$57&gt; $AA42,C$57&lt;$AB42),AND(C$58&gt; $AA42,C$58&lt;$AB42)),"*","")</f>
        <v/>
      </c>
      <c r="C42" s="125"/>
      <c r="D42" s="69"/>
      <c r="E42" s="69"/>
      <c r="F42" s="288"/>
      <c r="G42" s="289" t="str">
        <f>IF(OR(AND(H$56&gt;$AA42,H$56&lt;$AB42),AND(H$57&gt; $AA42,H$57&lt;$AB42),AND(H$58&gt; $AA42,H$58&lt;$AB42)),"*","")</f>
        <v/>
      </c>
      <c r="H42" s="109"/>
      <c r="I42" s="69"/>
      <c r="J42" s="69"/>
      <c r="K42" s="288"/>
      <c r="L42" s="289" t="str">
        <f>IF(OR(AND(M$56&gt;$AA42,M$56&lt;$AB42),AND(M$57&gt; $AA42,M$57&lt;$AB42),AND(M$58&gt; $AA42,M$58&lt;$AB42)),"*","")</f>
        <v/>
      </c>
      <c r="M42" s="109"/>
      <c r="N42" s="69"/>
      <c r="O42" s="69"/>
      <c r="P42" s="288"/>
      <c r="R42" s="565">
        <f>IF(X41="","",IF(X41+1&gt;$AI$17,"",X41+1))</f>
        <v>42758</v>
      </c>
      <c r="S42" s="566">
        <f t="shared" ref="S42:X42" si="21">IF(R42="","",IF(R42+1&gt;$AI$17,"",R42+1))</f>
        <v>42759</v>
      </c>
      <c r="T42" s="566">
        <f t="shared" si="21"/>
        <v>42760</v>
      </c>
      <c r="U42" s="566">
        <f t="shared" si="21"/>
        <v>42761</v>
      </c>
      <c r="V42" s="566">
        <f t="shared" si="21"/>
        <v>42762</v>
      </c>
      <c r="W42" s="565">
        <f t="shared" si="21"/>
        <v>42763</v>
      </c>
      <c r="X42" s="567">
        <f t="shared" si="21"/>
        <v>42764</v>
      </c>
      <c r="Y42" s="65"/>
      <c r="Z42" s="67"/>
      <c r="AA42" s="512">
        <f xml:space="preserve"> TIME($A42-1,45,0)</f>
        <v>0.61458333333333337</v>
      </c>
      <c r="AB42" s="512">
        <f>TIME($A42,15,0)</f>
        <v>0.63541666666666663</v>
      </c>
      <c r="AC42" s="562">
        <f>IF(X42="","",IF(X42+1&gt;$AI$17,"",X42+1))</f>
        <v>42765</v>
      </c>
      <c r="AD42" s="562">
        <f>IF(AC42="","",IF(AC42+1&gt;$AI$17,"",AC42+1))</f>
        <v>42766</v>
      </c>
      <c r="AE42" s="83"/>
      <c r="AF42" s="272" t="str">
        <f t="shared" si="19"/>
        <v>E</v>
      </c>
      <c r="AG42" s="81">
        <f t="shared" si="19"/>
        <v>0</v>
      </c>
      <c r="AH42" s="81">
        <f t="shared" si="19"/>
        <v>0</v>
      </c>
      <c r="AI42" s="81">
        <f t="shared" si="19"/>
        <v>0</v>
      </c>
      <c r="AJ42" s="81">
        <f t="shared" si="19"/>
        <v>0</v>
      </c>
      <c r="AK42" s="80">
        <f t="shared" si="19"/>
        <v>0</v>
      </c>
      <c r="AL42" s="82">
        <f t="shared" si="19"/>
        <v>0</v>
      </c>
      <c r="AP42" s="602"/>
      <c r="AR42" s="600"/>
      <c r="AS42" s="114"/>
      <c r="AT42" s="118"/>
      <c r="AU42" s="79">
        <v>11</v>
      </c>
    </row>
    <row r="43" spans="1:47" s="66" customFormat="1" ht="18.75" customHeight="1">
      <c r="A43" s="79"/>
      <c r="B43" s="289" t="str">
        <f>IF(OR(AND(C$56&gt;=$AA43,C$56&lt;=$AB43),AND(C$57&gt;=$AA43,C$57&lt;=$AB43),AND(C$58&gt;= $AA43,C$58&lt;=$AB43)),"*","")</f>
        <v/>
      </c>
      <c r="C43" s="125"/>
      <c r="D43" s="69"/>
      <c r="E43" s="69"/>
      <c r="F43" s="288"/>
      <c r="G43" s="289" t="str">
        <f>IF(OR(AND(H$56&gt;=$AA43,H$56&lt;=$AB43),AND(H$57&gt;=$AA43,H$57&lt;=$AB43),AND(H$58&gt;= $AA43,H$58&lt;=$AB43)),"*","")</f>
        <v/>
      </c>
      <c r="H43" s="109"/>
      <c r="I43" s="69"/>
      <c r="J43" s="69"/>
      <c r="K43" s="288"/>
      <c r="L43" s="289" t="str">
        <f>IF(OR(AND(M$56&gt;=$AA43,M$56&lt;=$AB43),AND(M$57&gt;=$AA43,M$57&lt;=$AB43),AND(M$58&gt;= $AA43,M$58&lt;=$AB43)),"*","")</f>
        <v/>
      </c>
      <c r="M43" s="109"/>
      <c r="N43" s="69"/>
      <c r="O43" s="69"/>
      <c r="P43" s="288"/>
      <c r="R43" s="739" t="str">
        <f>IFERROR(VLOOKUP(AH9,Quotes!$A$2:$H$54,2,FALSE),"")</f>
        <v>DaMaR+ae}ae ku-å+ae}ae SaMaveTaa YauYauTSav"</v>
      </c>
      <c r="S43" s="739"/>
      <c r="T43" s="739"/>
      <c r="U43" s="739"/>
      <c r="V43" s="739"/>
      <c r="W43" s="739"/>
      <c r="X43" s="739"/>
      <c r="Y43" s="65"/>
      <c r="Z43" s="67"/>
      <c r="AA43" s="512">
        <f xml:space="preserve"> TIME($A42,15,0)</f>
        <v>0.63541666666666663</v>
      </c>
      <c r="AB43" s="512">
        <f>TIME($A42,45,0)</f>
        <v>0.65625</v>
      </c>
      <c r="AC43" s="79"/>
      <c r="AD43" s="79"/>
      <c r="AE43" s="83"/>
      <c r="AF43" s="79"/>
      <c r="AG43" s="79"/>
      <c r="AH43" s="79"/>
      <c r="AI43" s="79"/>
      <c r="AJ43" s="79"/>
      <c r="AK43" s="79"/>
      <c r="AL43" s="79"/>
      <c r="AP43" s="602"/>
      <c r="AR43" s="600"/>
      <c r="AS43" s="114"/>
      <c r="AT43" s="118"/>
      <c r="AU43" s="79"/>
    </row>
    <row r="44" spans="1:47" s="79" customFormat="1" ht="18" customHeight="1">
      <c r="A44" s="79">
        <f>A42+1</f>
        <v>16</v>
      </c>
      <c r="B44" s="289" t="str">
        <f>IF(OR(AND(C$56&gt;$AA44,C$56&lt;$AB44),AND(C$57&gt; $AA44,C$57&lt;$AB44),AND(C$58&gt; $AA44,C$58&lt;$AB44)),"*","")</f>
        <v/>
      </c>
      <c r="C44" s="238"/>
      <c r="D44" s="69"/>
      <c r="E44" s="69"/>
      <c r="F44" s="288"/>
      <c r="G44" s="289" t="str">
        <f>IF(OR(AND(H$56&gt;$AA44,H$56&lt;$AB44),AND(H$57&gt; $AA44,H$57&lt;$AB44),AND(H$58&gt; $AA44,H$58&lt;$AB44)),"*","")</f>
        <v/>
      </c>
      <c r="H44" s="69"/>
      <c r="I44" s="69"/>
      <c r="J44" s="69"/>
      <c r="K44" s="288"/>
      <c r="L44" s="289" t="str">
        <f>IF(OR(AND(M$56&gt;$AA44,M$56&lt;$AB44),AND(M$57&gt; $AA44,M$57&lt;$AB44),AND(M$58&gt; $AA44,M$58&lt;$AB44)),"*","")</f>
        <v/>
      </c>
      <c r="M44" s="69"/>
      <c r="N44" s="69"/>
      <c r="O44" s="69"/>
      <c r="P44" s="288"/>
      <c r="R44" s="740" t="str">
        <f>IFERROR(VLOOKUP(AH9,Quotes!$A$2:$H$54,3,FALSE),"")</f>
        <v>MaaMak-a" Paa&lt;@vaêEv ik-Maku-vRTa SaÅYa</v>
      </c>
      <c r="S44" s="741"/>
      <c r="T44" s="741"/>
      <c r="U44" s="741"/>
      <c r="V44" s="741"/>
      <c r="W44" s="741"/>
      <c r="X44" s="741"/>
      <c r="Y44" s="239"/>
      <c r="Z44" s="240"/>
      <c r="AA44" s="512">
        <f xml:space="preserve"> TIME($A44-1,45,0)</f>
        <v>0.65625</v>
      </c>
      <c r="AB44" s="512">
        <f>TIME($A44,15,0)</f>
        <v>0.67708333333333337</v>
      </c>
      <c r="AD44" s="568"/>
      <c r="AE44" s="241"/>
      <c r="AP44" s="602"/>
      <c r="AQ44" s="66"/>
      <c r="AR44" s="600"/>
      <c r="AS44" s="114"/>
      <c r="AT44" s="118"/>
      <c r="AU44" s="79">
        <v>12</v>
      </c>
    </row>
    <row r="45" spans="1:47" s="66" customFormat="1" ht="18" customHeight="1" thickBot="1">
      <c r="A45" s="79"/>
      <c r="B45" s="289" t="str">
        <f>IF(OR(AND(C$56&gt;=$AA45,C$56&lt;=$AB45),AND(C$57&gt;=$AA45,C$57&lt;=$AB45),AND(C$58&gt;= $AA45,C$58&lt;=$AB45)),"*","")</f>
        <v/>
      </c>
      <c r="C45" s="125"/>
      <c r="D45" s="69"/>
      <c r="E45" s="69"/>
      <c r="F45" s="288"/>
      <c r="G45" s="289" t="str">
        <f>IF(OR(AND(H$56&gt;=$AA45,H$56&lt;=$AB45),AND(H$57&gt;=$AA45,H$57&lt;=$AB45),AND(H$58&gt;= $AA45,H$58&lt;=$AB45)),"*","")</f>
        <v/>
      </c>
      <c r="H45" s="109"/>
      <c r="I45" s="69"/>
      <c r="J45" s="69"/>
      <c r="K45" s="288"/>
      <c r="L45" s="289" t="str">
        <f>IF(OR(AND(M$56&gt;=$AA45,M$56&lt;=$AB45),AND(M$57&gt;=$AA45,M$57&lt;=$AB45),AND(M$58&gt;= $AA45,M$58&lt;=$AB45)),"*","")</f>
        <v/>
      </c>
      <c r="M45" s="109"/>
      <c r="N45" s="69"/>
      <c r="O45" s="69"/>
      <c r="P45" s="288"/>
      <c r="R45" s="738" t="str">
        <f>IFERROR(VLOOKUP(AH9,Quotes!$A$2:$H$54,4,FALSE) &amp; CHAR(10) &amp; VLOOKUP(AH9,Quotes!$A$2:$H$54,5,FALSE),"")</f>
        <v>dharma-kñetre kuru-kñetre
samavetä yuyutsavaù</v>
      </c>
      <c r="S45" s="738"/>
      <c r="T45" s="738"/>
      <c r="U45" s="738"/>
      <c r="V45" s="738"/>
      <c r="W45" s="738"/>
      <c r="X45" s="738"/>
      <c r="Y45" s="65"/>
      <c r="Z45" s="67"/>
      <c r="AA45" s="512">
        <f xml:space="preserve"> TIME($A44,15,0)</f>
        <v>0.67708333333333337</v>
      </c>
      <c r="AB45" s="512">
        <f>TIME($A44,45,0)</f>
        <v>0.69791666666666663</v>
      </c>
      <c r="AC45" s="79"/>
      <c r="AD45" s="79"/>
      <c r="AP45" s="136"/>
      <c r="AQ45" s="137"/>
      <c r="AR45" s="138"/>
      <c r="AS45" s="139"/>
      <c r="AT45" s="140"/>
      <c r="AU45" s="79"/>
    </row>
    <row r="46" spans="1:47" s="66" customFormat="1">
      <c r="A46" s="79">
        <f>A44+1</f>
        <v>17</v>
      </c>
      <c r="B46" s="289" t="str">
        <f>IF(OR(AND(C$56&gt;$AA46,C$56&lt;$AB46),AND(C$57&gt; $AA46,C$57&lt;$AB46),AND(C$58&gt; $AA46,C$58&lt;$AB46)),"*","")</f>
        <v/>
      </c>
      <c r="C46" s="125"/>
      <c r="D46" s="69"/>
      <c r="E46" s="69"/>
      <c r="F46" s="288"/>
      <c r="G46" s="289" t="str">
        <f>IF(OR(AND(H$56&gt;$AA46,H$56&lt;$AB46),AND(H$57&gt; $AA46,H$57&lt;$AB46),AND(H$58&gt; $AA46,H$58&lt;$AB46)),"*","")</f>
        <v/>
      </c>
      <c r="H46" s="109"/>
      <c r="I46" s="69"/>
      <c r="J46" s="69"/>
      <c r="K46" s="288"/>
      <c r="L46" s="289" t="str">
        <f>IF(OR(AND(M$56&gt;$AA46,M$56&lt;$AB46),AND(M$57&gt; $AA46,M$57&lt;$AB46),AND(M$58&gt; $AA46,M$58&lt;$AB46)),"*","")</f>
        <v/>
      </c>
      <c r="M46" s="109"/>
      <c r="N46" s="69"/>
      <c r="O46" s="69"/>
      <c r="P46" s="288"/>
      <c r="R46" s="738" t="str">
        <f>IFERROR(VLOOKUP(AH9,Quotes!$A$2:$H$54,6,FALSE) &amp; CHAR(10) &amp; VLOOKUP(AH9,Quotes!$A$2:$H$54,7,FALSE),"")</f>
        <v>mämakäù päëòaväç caiva
kim akurvata saïjaya</v>
      </c>
      <c r="S46" s="738"/>
      <c r="T46" s="738"/>
      <c r="U46" s="738"/>
      <c r="V46" s="738"/>
      <c r="W46" s="738"/>
      <c r="X46" s="738"/>
      <c r="Y46" s="65"/>
      <c r="Z46" s="67"/>
      <c r="AA46" s="512">
        <f xml:space="preserve"> TIME($A46-1,45,0)</f>
        <v>0.69791666666666663</v>
      </c>
      <c r="AB46" s="512">
        <f>TIME($A46,15,0)</f>
        <v>0.71875</v>
      </c>
      <c r="AC46" s="79"/>
      <c r="AD46" s="79"/>
      <c r="AP46" s="602"/>
      <c r="AR46" s="600"/>
      <c r="AS46" s="117"/>
      <c r="AT46" s="121"/>
      <c r="AU46" s="79">
        <v>13</v>
      </c>
    </row>
    <row r="47" spans="1:47" s="66" customFormat="1" ht="18" customHeight="1">
      <c r="A47" s="79"/>
      <c r="B47" s="289" t="str">
        <f>IF(OR(AND(C$56&gt;=$AA47,C$56&lt;=$AB47),AND(C$57&gt;=$AA47,C$57&lt;=$AB47),AND(C$58&gt;= $AA47,C$58&lt;=$AB47)),"*","")</f>
        <v>*</v>
      </c>
      <c r="C47" s="125"/>
      <c r="D47" s="69"/>
      <c r="E47" s="69"/>
      <c r="F47" s="288"/>
      <c r="G47" s="289" t="str">
        <f>IF(OR(AND(H$56&gt;=$AA47,H$56&lt;=$AB47),AND(H$57&gt;=$AA47,H$57&lt;=$AB47),AND(H$58&gt;= $AA47,H$58&lt;=$AB47)),"*","")</f>
        <v>*</v>
      </c>
      <c r="H47" s="109"/>
      <c r="I47" s="69"/>
      <c r="J47" s="69"/>
      <c r="K47" s="288"/>
      <c r="L47" s="289" t="str">
        <f>IF(OR(AND(M$56&gt;=$AA47,M$56&lt;=$AB47),AND(M$57&gt;=$AA47,M$57&lt;=$AB47),AND(M$58&gt;= $AA47,M$58&lt;=$AB47)),"*","")</f>
        <v>*</v>
      </c>
      <c r="M47" s="109"/>
      <c r="N47" s="69"/>
      <c r="O47" s="69"/>
      <c r="P47" s="570"/>
      <c r="Q47" s="728" t="str">
        <f ca="1">IFERROR(VLOOKUP(AH9,Quotes!$A$2:$H$54,8,FALSE),"")</f>
        <v>Dhrtarastra disse: Ó Sanjaya, que fizeram os meus filhos e os filhos de Pandu, depois de se reunirem no lugar de peregrinação de Kuruksetra, estando desejosos de lutar? (Bg. 1.1)</v>
      </c>
      <c r="R47" s="728"/>
      <c r="S47" s="728"/>
      <c r="T47" s="728"/>
      <c r="U47" s="728"/>
      <c r="V47" s="728"/>
      <c r="W47" s="728"/>
      <c r="X47" s="728"/>
      <c r="Y47" s="366"/>
      <c r="Z47" s="67"/>
      <c r="AA47" s="512">
        <f xml:space="preserve"> TIME($A46,15,0)</f>
        <v>0.71875</v>
      </c>
      <c r="AB47" s="512">
        <f>TIME($A46,45,0)</f>
        <v>0.73958333333333337</v>
      </c>
      <c r="AC47" s="79"/>
      <c r="AD47" s="79"/>
      <c r="AP47" s="602"/>
      <c r="AR47" s="600"/>
      <c r="AS47" s="114"/>
      <c r="AT47" s="118"/>
      <c r="AU47" s="79"/>
    </row>
    <row r="48" spans="1:47" s="66" customFormat="1" ht="18" customHeight="1">
      <c r="A48" s="79">
        <f>A46+1</f>
        <v>18</v>
      </c>
      <c r="B48" s="289" t="str">
        <f>IF(OR(AND(C$56&gt;$AA48,C$56&lt;$AB48),AND(C$57&gt; $AA48,C$57&lt;$AB48),AND(C$58&gt; $AA48,C$58&lt;$AB48)),"*","")</f>
        <v/>
      </c>
      <c r="C48" s="125"/>
      <c r="D48" s="69"/>
      <c r="E48" s="69"/>
      <c r="F48" s="288"/>
      <c r="G48" s="289" t="str">
        <f>IF(OR(AND(H$56&gt;$AA48,H$56&lt;$AB48),AND(H$57&gt; $AA48,H$57&lt;$AB48),AND(H$58&gt; $AA48,H$58&lt;$AB48)),"*","")</f>
        <v/>
      </c>
      <c r="H48" s="109"/>
      <c r="I48" s="69"/>
      <c r="J48" s="69"/>
      <c r="K48" s="288"/>
      <c r="L48" s="289" t="str">
        <f>IF(OR(AND(M$56&gt;$AA48,M$56&lt;$AB48),AND(M$57&gt; $AA48,M$57&lt;$AB48),AND(M$58&gt; $AA48,M$58&lt;$AB48)),"*","")</f>
        <v/>
      </c>
      <c r="M48" s="109"/>
      <c r="N48" s="69"/>
      <c r="O48" s="69"/>
      <c r="P48" s="570"/>
      <c r="Q48" s="728"/>
      <c r="R48" s="728"/>
      <c r="S48" s="728"/>
      <c r="T48" s="728"/>
      <c r="U48" s="728"/>
      <c r="V48" s="728"/>
      <c r="W48" s="728"/>
      <c r="X48" s="728"/>
      <c r="Y48" s="277"/>
      <c r="Z48" s="67"/>
      <c r="AA48" s="512">
        <f xml:space="preserve"> TIME($A48-1,45,0)</f>
        <v>0.73958333333333337</v>
      </c>
      <c r="AB48" s="512">
        <f>TIME($A48,15,0)</f>
        <v>0.76041666666666663</v>
      </c>
      <c r="AC48" s="79"/>
      <c r="AD48" s="79"/>
      <c r="AP48" s="602"/>
      <c r="AR48" s="600"/>
      <c r="AS48" s="114"/>
      <c r="AT48" s="118"/>
      <c r="AU48" s="79">
        <v>14</v>
      </c>
    </row>
    <row r="49" spans="1:47" s="66" customFormat="1" ht="18" customHeight="1">
      <c r="A49" s="79"/>
      <c r="B49" s="289" t="str">
        <f>IF(OR(AND(C$56&gt;=$AA49,C$56&lt;=$AB49),AND(C$57&gt;=$AA49,C$57&lt;=$AB49),AND(C$58&gt;= $AA49,C$58&lt;=$AB49)),"*","")</f>
        <v/>
      </c>
      <c r="C49" s="125"/>
      <c r="D49" s="69"/>
      <c r="E49" s="69"/>
      <c r="F49" s="288"/>
      <c r="G49" s="289" t="str">
        <f>IF(OR(AND(H$56&gt;=$AA49,H$56&lt;=$AB49),AND(H$57&gt;=$AA49,H$57&lt;=$AB49),AND(H$58&gt;= $AA49,H$58&lt;=$AB49)),"*","")</f>
        <v/>
      </c>
      <c r="H49" s="109"/>
      <c r="I49" s="69"/>
      <c r="J49" s="69"/>
      <c r="K49" s="288"/>
      <c r="L49" s="289" t="str">
        <f>IF(OR(AND(M$56&gt;=$AA49,M$56&lt;=$AB49),AND(M$57&gt;=$AA49,M$57&lt;=$AB49),AND(M$58&gt;= $AA49,M$58&lt;=$AB49)),"*","")</f>
        <v/>
      </c>
      <c r="M49" s="109"/>
      <c r="N49" s="69"/>
      <c r="O49" s="69"/>
      <c r="P49" s="570"/>
      <c r="Q49" s="728"/>
      <c r="R49" s="728"/>
      <c r="S49" s="728"/>
      <c r="T49" s="728"/>
      <c r="U49" s="728"/>
      <c r="V49" s="728"/>
      <c r="W49" s="728"/>
      <c r="X49" s="728"/>
      <c r="Y49" s="65"/>
      <c r="Z49" s="67"/>
      <c r="AA49" s="512">
        <f xml:space="preserve"> TIME($A48,15,0)</f>
        <v>0.76041666666666663</v>
      </c>
      <c r="AB49" s="512">
        <f>TIME($A48,45,0)</f>
        <v>0.78125</v>
      </c>
      <c r="AC49" s="79"/>
      <c r="AD49" s="79"/>
      <c r="AP49" s="602"/>
      <c r="AR49" s="600"/>
      <c r="AS49" s="114"/>
      <c r="AT49" s="118"/>
      <c r="AU49" s="79"/>
    </row>
    <row r="50" spans="1:47" s="66" customFormat="1" ht="18.75" thickBot="1">
      <c r="A50" s="79">
        <f>A48+1</f>
        <v>19</v>
      </c>
      <c r="B50" s="289" t="str">
        <f>IF(OR(AND(C$56&gt;$AA50,C$56&lt;$AB50),AND(C$57&gt; $AA50,C$57&lt;$AB50),AND(C$58&gt; $AA50,C$58&lt;$AB50)),"*","")</f>
        <v/>
      </c>
      <c r="C50" s="125"/>
      <c r="D50" s="69"/>
      <c r="E50" s="69"/>
      <c r="F50" s="288"/>
      <c r="G50" s="289" t="str">
        <f>IF(OR(AND(H$56&gt;$AA50,H$56&lt;$AB50),AND(H$57&gt; $AA50,H$57&lt;$AB50),AND(H$58&gt; $AA50,H$58&lt;$AB50)),"*","")</f>
        <v/>
      </c>
      <c r="H50" s="109"/>
      <c r="I50" s="69"/>
      <c r="J50" s="69"/>
      <c r="K50" s="288"/>
      <c r="L50" s="289" t="str">
        <f>IF(OR(AND(M$56&gt;$AA50,M$56&lt;$AB50),AND(M$57&gt; $AA50,M$57&lt;$AB50),AND(M$58&gt; $AA50,M$58&lt;$AB50)),"*","")</f>
        <v/>
      </c>
      <c r="M50" s="109"/>
      <c r="N50" s="69"/>
      <c r="O50" s="69"/>
      <c r="P50" s="570"/>
      <c r="Q50" s="728"/>
      <c r="R50" s="728"/>
      <c r="S50" s="728"/>
      <c r="T50" s="728"/>
      <c r="U50" s="728"/>
      <c r="V50" s="728"/>
      <c r="W50" s="728"/>
      <c r="X50" s="728"/>
      <c r="Y50" s="65"/>
      <c r="Z50" s="67"/>
      <c r="AA50" s="512">
        <f xml:space="preserve"> TIME($A50-1,45,0)</f>
        <v>0.78125</v>
      </c>
      <c r="AB50" s="512">
        <f>TIME($A50,15,0)</f>
        <v>0.80208333333333337</v>
      </c>
      <c r="AC50" s="79"/>
      <c r="AD50" s="79"/>
      <c r="AP50" s="136"/>
      <c r="AQ50" s="137"/>
      <c r="AR50" s="138"/>
      <c r="AS50" s="139"/>
      <c r="AT50" s="140"/>
      <c r="AU50" s="79">
        <v>15</v>
      </c>
    </row>
    <row r="51" spans="1:47" s="66" customFormat="1">
      <c r="A51" s="79"/>
      <c r="B51" s="289" t="str">
        <f>IF(OR(AND(C$56&gt;=$AA51,C$56&lt;=$AB51),AND(C$57&gt;=$AA51,C$57&lt;=$AB51),AND(C$58&gt;= $AA51,C$58&lt;=$AB51)),"*","")</f>
        <v/>
      </c>
      <c r="C51" s="125"/>
      <c r="D51" s="69"/>
      <c r="E51" s="69"/>
      <c r="F51" s="288"/>
      <c r="G51" s="289" t="str">
        <f>IF(OR(AND(H$56&gt;=$AA51,H$56&lt;=$AB51),AND(H$57&gt;=$AA51,H$57&lt;=$AB51),AND(H$58&gt;= $AA51,H$58&lt;=$AB51)),"*","")</f>
        <v/>
      </c>
      <c r="H51" s="109"/>
      <c r="I51" s="69"/>
      <c r="J51" s="69"/>
      <c r="K51" s="288"/>
      <c r="L51" s="289" t="str">
        <f>IF(OR(AND(M$56&gt;=$AA51,M$56&lt;=$AB51),AND(M$57&gt;=$AA51,M$57&lt;=$AB51),AND(M$58&gt;= $AA51,M$58&lt;=$AB51)),"*","")</f>
        <v/>
      </c>
      <c r="M51" s="109"/>
      <c r="N51" s="69"/>
      <c r="O51" s="69"/>
      <c r="P51" s="570"/>
      <c r="Q51" s="728"/>
      <c r="R51" s="728"/>
      <c r="S51" s="728"/>
      <c r="T51" s="728"/>
      <c r="U51" s="728"/>
      <c r="V51" s="728"/>
      <c r="W51" s="728"/>
      <c r="X51" s="728"/>
      <c r="Y51" s="65"/>
      <c r="Z51" s="67"/>
      <c r="AA51" s="512">
        <f xml:space="preserve"> TIME($A50,15,0)</f>
        <v>0.80208333333333337</v>
      </c>
      <c r="AB51" s="512">
        <f>TIME($A50,45,0)</f>
        <v>0.82291666666666663</v>
      </c>
      <c r="AC51" s="79"/>
      <c r="AD51" s="79"/>
      <c r="AP51" s="701"/>
      <c r="AQ51" s="698"/>
      <c r="AR51" s="695"/>
      <c r="AS51" s="117"/>
      <c r="AT51" s="121"/>
      <c r="AU51" s="79"/>
    </row>
    <row r="52" spans="1:47" s="66" customFormat="1">
      <c r="A52" s="79">
        <f>A50+1</f>
        <v>20</v>
      </c>
      <c r="B52" s="289" t="str">
        <f>IF(OR(AND(C$56&gt;$AA52,C$56&lt;$AB52),AND(C$57&gt; $AA52,C$57&lt;$AB52),AND(C$58&gt; $AA52,C$58&lt;$AB52)),"*","")</f>
        <v/>
      </c>
      <c r="C52" s="125"/>
      <c r="D52" s="69"/>
      <c r="E52" s="69"/>
      <c r="F52" s="288"/>
      <c r="G52" s="289" t="str">
        <f>IF(OR(AND(H$56&gt;$AA52,H$56&lt;$AB52),AND(H$57&gt; $AA52,H$57&lt;$AB52),AND(H$58&gt; $AA52,H$58&lt;$AB52)),"*","")</f>
        <v/>
      </c>
      <c r="H52" s="109"/>
      <c r="I52" s="69"/>
      <c r="J52" s="69"/>
      <c r="K52" s="288"/>
      <c r="L52" s="289" t="str">
        <f>IF(OR(AND(M$56&gt;$AA52,M$56&lt;$AB52),AND(M$57&gt; $AA52,M$57&lt;$AB52),AND(M$58&gt; $AA52,M$58&lt;$AB52)),"*","")</f>
        <v/>
      </c>
      <c r="M52" s="109"/>
      <c r="N52" s="69"/>
      <c r="O52" s="69"/>
      <c r="P52" s="570"/>
      <c r="Q52" s="728"/>
      <c r="R52" s="728"/>
      <c r="S52" s="728"/>
      <c r="T52" s="728"/>
      <c r="U52" s="728"/>
      <c r="V52" s="728"/>
      <c r="W52" s="728"/>
      <c r="X52" s="728"/>
      <c r="Y52" s="65"/>
      <c r="Z52" s="67"/>
      <c r="AA52" s="512">
        <f xml:space="preserve"> TIME($A52-1,45,0)</f>
        <v>0.82291666666666663</v>
      </c>
      <c r="AB52" s="512">
        <f>TIME($A52,15,0)</f>
        <v>0.84375</v>
      </c>
      <c r="AC52" s="79"/>
      <c r="AD52" s="79"/>
      <c r="AP52" s="702"/>
      <c r="AQ52" s="699"/>
      <c r="AR52" s="696"/>
      <c r="AS52" s="116"/>
      <c r="AT52" s="120"/>
      <c r="AU52" s="79">
        <v>16</v>
      </c>
    </row>
    <row r="53" spans="1:47" s="66" customFormat="1" ht="18" customHeight="1">
      <c r="B53" s="289" t="str">
        <f>IF(OR(AND(C$56&gt;=$AA53,C$56&lt;=$AB53),AND(C$57&gt;=$AA53,C$57&lt;=$AB53),AND(C$58&gt;= $AA53,C$58&lt;=$AB53)),"*","")</f>
        <v/>
      </c>
      <c r="C53" s="725" t="str">
        <f>IFERROR(T("Yoga: " &amp; YogaName(D$1)  &amp; CHAR(10) &amp; "Naksatra: " &amp; NaksatraName(D$1)),"")</f>
        <v>Yoga: Vriddhi
Naksatra: Mula</v>
      </c>
      <c r="D53" s="725"/>
      <c r="E53" s="725"/>
      <c r="F53" s="411" t="str">
        <f>D$1-DATE(YEAR(D$1),1,1)+1 &amp; CHAR(10) &amp; DATE(YEAR(D$1),12,31)-D$1</f>
        <v>363
3</v>
      </c>
      <c r="G53" s="289" t="str">
        <f>IF(OR(AND(H$56&gt;=$AA53,H$56&lt;=$AB53),AND(H$57&gt;=$AA53,H$57&lt;=$AB53),AND(H$58&gt;= $AA53,H$58&lt;=$AB53)),"*","")</f>
        <v/>
      </c>
      <c r="H53" s="725" t="str">
        <f>IFERROR(T("Yoga: " &amp; YogaName(I$1)  &amp; CHAR(10) &amp; "Naksatra: " &amp; NaksatraName(I$1)),"")</f>
        <v>Yoga: Dhruva
Naksatra: Purva-asadha</v>
      </c>
      <c r="I53" s="725"/>
      <c r="J53" s="725"/>
      <c r="K53" s="124" t="str">
        <f>I$1-DATE(YEAR(I$1),1,1)+1 &amp; CHAR(10) &amp; DATE(YEAR(I$1),12,31)-I$1</f>
        <v>364
2</v>
      </c>
      <c r="L53" s="289" t="str">
        <f>IF(OR(AND(M$56&gt;=$AA53,M$56&lt;=$AB53),AND(M$57&gt;=$AA53,M$57&lt;=$AB53),AND(M$58&gt;= $AA53,M$58&lt;=$AB53)),"*","")</f>
        <v/>
      </c>
      <c r="M53" s="725" t="str">
        <f>IFERROR(T("Yoga: " &amp; YogaName(N$1)  &amp; CHAR(10) &amp; "Naksatra: " &amp; NaksatraName(N$1)),"")</f>
        <v>Yoga: Vyagata
Naksatra: Uttara-asadha</v>
      </c>
      <c r="N53" s="726"/>
      <c r="O53" s="726"/>
      <c r="P53" s="124" t="str">
        <f>N$1-DATE(YEAR(N$1),1,1)+1 &amp; CHAR(10) &amp; DATE(YEAR(N$1),12,31)-N$1</f>
        <v>365
1</v>
      </c>
      <c r="Q53" s="728"/>
      <c r="R53" s="728"/>
      <c r="S53" s="728"/>
      <c r="T53" s="728"/>
      <c r="U53" s="728"/>
      <c r="V53" s="728"/>
      <c r="W53" s="728"/>
      <c r="X53" s="728"/>
      <c r="Y53" s="65"/>
      <c r="Z53" s="67"/>
      <c r="AA53" s="512">
        <f xml:space="preserve"> TIME($A52,15,0)</f>
        <v>0.84375</v>
      </c>
      <c r="AB53" s="512">
        <f>TIME($A52,45,0)</f>
        <v>0.86458333333333337</v>
      </c>
      <c r="AH53" s="233"/>
      <c r="AI53" s="233"/>
      <c r="AJ53" s="233"/>
      <c r="AK53" s="233"/>
      <c r="AL53" s="233"/>
      <c r="AM53" s="233"/>
      <c r="AN53" s="233"/>
      <c r="AO53" s="233"/>
      <c r="AP53" s="703"/>
      <c r="AQ53" s="700"/>
      <c r="AR53" s="697"/>
      <c r="AS53" s="114"/>
      <c r="AT53" s="118"/>
      <c r="AU53" s="79"/>
    </row>
    <row r="54" spans="1:47" ht="2.25" customHeight="1">
      <c r="R54" s="367"/>
      <c r="S54" s="367"/>
      <c r="T54" s="367"/>
      <c r="U54" s="367"/>
      <c r="V54" s="367"/>
      <c r="W54" s="367"/>
      <c r="X54" s="367"/>
      <c r="AJ54" s="234"/>
      <c r="AK54" s="233"/>
      <c r="AL54" s="233"/>
      <c r="AM54" s="233"/>
      <c r="AN54" s="233"/>
      <c r="AO54" s="233"/>
      <c r="AP54" s="233"/>
    </row>
    <row r="55" spans="1:47" hidden="1"/>
    <row r="56" spans="1:47" hidden="1">
      <c r="C56" s="513">
        <f>SunRiseTime(D$1)</f>
        <v>0.21082175925925925</v>
      </c>
      <c r="D56" s="204"/>
      <c r="E56" s="204"/>
      <c r="F56" s="204"/>
      <c r="H56" s="513">
        <f>SunRiseTime(I$1)</f>
        <v>0.21119212962962963</v>
      </c>
      <c r="I56" s="204"/>
      <c r="J56" s="204"/>
      <c r="K56" s="204"/>
      <c r="M56" s="513">
        <f>SunRiseTime(N$1)</f>
        <v>0.21155092592592592</v>
      </c>
      <c r="N56" s="204"/>
      <c r="O56" s="204"/>
      <c r="P56" s="204"/>
    </row>
    <row r="57" spans="1:47" hidden="1">
      <c r="C57" s="513">
        <f>NoonTime(D$1)</f>
        <v>0.47313657407407406</v>
      </c>
      <c r="D57" s="204"/>
      <c r="E57" s="204"/>
      <c r="F57" s="204"/>
      <c r="H57" s="513">
        <f>NoonTime(I$1)</f>
        <v>0.47347222222222224</v>
      </c>
      <c r="I57" s="204"/>
      <c r="J57" s="204"/>
      <c r="K57" s="204"/>
      <c r="M57" s="513">
        <f>NoonTime(N$1)</f>
        <v>0.47380787037037037</v>
      </c>
      <c r="N57" s="204"/>
      <c r="O57" s="204"/>
      <c r="P57" s="204"/>
    </row>
    <row r="58" spans="1:47" hidden="1">
      <c r="C58" s="513">
        <f>SunSetTime(D$1)</f>
        <v>0.73545138888888895</v>
      </c>
      <c r="D58" s="204"/>
      <c r="E58" s="204"/>
      <c r="F58" s="204"/>
      <c r="H58" s="513">
        <f>SunSetTime(I$1)</f>
        <v>0.73575231481481485</v>
      </c>
      <c r="I58" s="204"/>
      <c r="J58" s="204"/>
      <c r="K58" s="204"/>
      <c r="M58" s="513">
        <f>SunSetTime(N$1)</f>
        <v>0.73605324074074074</v>
      </c>
      <c r="N58" s="204"/>
      <c r="O58" s="204"/>
      <c r="P58" s="204"/>
    </row>
  </sheetData>
  <sheetProtection sheet="1" objects="1" scenarios="1"/>
  <mergeCells count="71">
    <mergeCell ref="AP11:AR11"/>
    <mergeCell ref="AS11:AT11"/>
    <mergeCell ref="AP51:AP53"/>
    <mergeCell ref="AQ51:AQ53"/>
    <mergeCell ref="AR51:AR53"/>
    <mergeCell ref="AP1:AS2"/>
    <mergeCell ref="AT1:AU1"/>
    <mergeCell ref="AT2:AU2"/>
    <mergeCell ref="AP3:AS5"/>
    <mergeCell ref="AT3:AT5"/>
    <mergeCell ref="AU3:AU10"/>
    <mergeCell ref="AP6:AT6"/>
    <mergeCell ref="AP7:AR7"/>
    <mergeCell ref="AP8:AR8"/>
    <mergeCell ref="AP9:AR9"/>
    <mergeCell ref="AP10:AR10"/>
    <mergeCell ref="R43:X43"/>
    <mergeCell ref="R44:X44"/>
    <mergeCell ref="M29:O29"/>
    <mergeCell ref="M31:O31"/>
    <mergeCell ref="C13:E13"/>
    <mergeCell ref="C14:E14"/>
    <mergeCell ref="H13:J13"/>
    <mergeCell ref="H14:J14"/>
    <mergeCell ref="M21:O21"/>
    <mergeCell ref="M19:O19"/>
    <mergeCell ref="M20:O20"/>
    <mergeCell ref="M14:O14"/>
    <mergeCell ref="M15:O15"/>
    <mergeCell ref="M17:O17"/>
    <mergeCell ref="M18:O18"/>
    <mergeCell ref="M16:O16"/>
    <mergeCell ref="U1:W2"/>
    <mergeCell ref="R2:T2"/>
    <mergeCell ref="R3:W3"/>
    <mergeCell ref="C53:E53"/>
    <mergeCell ref="R33:X33"/>
    <mergeCell ref="R45:X45"/>
    <mergeCell ref="R19:W19"/>
    <mergeCell ref="H53:J53"/>
    <mergeCell ref="M53:O53"/>
    <mergeCell ref="R46:X46"/>
    <mergeCell ref="R20:X20"/>
    <mergeCell ref="M33:O33"/>
    <mergeCell ref="M23:O23"/>
    <mergeCell ref="M25:O25"/>
    <mergeCell ref="M27:O27"/>
    <mergeCell ref="C11:E11"/>
    <mergeCell ref="D1:E2"/>
    <mergeCell ref="R1:T1"/>
    <mergeCell ref="N1:O2"/>
    <mergeCell ref="I1:J2"/>
    <mergeCell ref="M3:O3"/>
    <mergeCell ref="H3:J3"/>
    <mergeCell ref="C3:E3"/>
    <mergeCell ref="Q47:X53"/>
    <mergeCell ref="H4:K10"/>
    <mergeCell ref="C4:F10"/>
    <mergeCell ref="M4:P10"/>
    <mergeCell ref="R10:W10"/>
    <mergeCell ref="R12:V12"/>
    <mergeCell ref="R11:U11"/>
    <mergeCell ref="V11:W11"/>
    <mergeCell ref="R4:X9"/>
    <mergeCell ref="H11:J11"/>
    <mergeCell ref="M11:O11"/>
    <mergeCell ref="M12:O12"/>
    <mergeCell ref="M13:O13"/>
    <mergeCell ref="C12:E12"/>
    <mergeCell ref="H12:J12"/>
    <mergeCell ref="R13:X18"/>
  </mergeCells>
  <phoneticPr fontId="25" type="noConversion"/>
  <conditionalFormatting sqref="T22:X22">
    <cfRule type="expression" dxfId="40" priority="282" stopIfTrue="1">
      <formula>$AE23&lt;&gt;""</formula>
    </cfRule>
  </conditionalFormatting>
  <conditionalFormatting sqref="R25:X25 R27:X27 R29:X29 R31:X31 R23:X23 R37:X37 R39:X42">
    <cfRule type="expression" dxfId="39" priority="283" stopIfTrue="1">
      <formula>AF23="F"</formula>
    </cfRule>
    <cfRule type="expression" dxfId="38" priority="284" stopIfTrue="1">
      <formula>AF23="E"</formula>
    </cfRule>
    <cfRule type="expression" dxfId="37" priority="285" stopIfTrue="1">
      <formula>AF23="C"</formula>
    </cfRule>
  </conditionalFormatting>
  <conditionalFormatting sqref="C3:E3">
    <cfRule type="expression" dxfId="36" priority="286" stopIfTrue="1">
      <formula>$AH$3="*"</formula>
    </cfRule>
  </conditionalFormatting>
  <conditionalFormatting sqref="H3:J3">
    <cfRule type="expression" dxfId="35" priority="287" stopIfTrue="1">
      <formula>$AH$4="*"</formula>
    </cfRule>
  </conditionalFormatting>
  <conditionalFormatting sqref="R3:W3">
    <cfRule type="expression" dxfId="34" priority="288" stopIfTrue="1">
      <formula>$AH$6="*"</formula>
    </cfRule>
  </conditionalFormatting>
  <conditionalFormatting sqref="R12:V12">
    <cfRule type="expression" dxfId="33" priority="289" stopIfTrue="1">
      <formula>$AH$7="*"</formula>
    </cfRule>
  </conditionalFormatting>
  <conditionalFormatting sqref="C1">
    <cfRule type="expression" dxfId="32" priority="290" stopIfTrue="1">
      <formula>$AG$3&lt;&gt;""</formula>
    </cfRule>
  </conditionalFormatting>
  <conditionalFormatting sqref="D1:E2">
    <cfRule type="expression" dxfId="31" priority="291" stopIfTrue="1">
      <formula>$AF$3&lt;&gt;""</formula>
    </cfRule>
    <cfRule type="expression" dxfId="30" priority="292" stopIfTrue="1">
      <formula>$AH$3="*"</formula>
    </cfRule>
    <cfRule type="expression" dxfId="29" priority="293" stopIfTrue="1">
      <formula>$AJ$3="C"</formula>
    </cfRule>
  </conditionalFormatting>
  <conditionalFormatting sqref="H1">
    <cfRule type="expression" dxfId="28" priority="294" stopIfTrue="1">
      <formula>$AG$4&lt;&gt;""</formula>
    </cfRule>
  </conditionalFormatting>
  <conditionalFormatting sqref="I1:J2">
    <cfRule type="expression" dxfId="27" priority="295" stopIfTrue="1">
      <formula>$AF$4&lt;&gt;""</formula>
    </cfRule>
    <cfRule type="expression" dxfId="26" priority="296" stopIfTrue="1">
      <formula>$AH$4="*"</formula>
    </cfRule>
    <cfRule type="expression" dxfId="25" priority="297" stopIfTrue="1">
      <formula>$AJ$4="C"</formula>
    </cfRule>
  </conditionalFormatting>
  <conditionalFormatting sqref="M1">
    <cfRule type="expression" dxfId="24" priority="298" stopIfTrue="1">
      <formula>$AG$5&lt;&gt;""</formula>
    </cfRule>
  </conditionalFormatting>
  <conditionalFormatting sqref="N1:O2">
    <cfRule type="expression" dxfId="23" priority="299" stopIfTrue="1">
      <formula>$AF$5&lt;&gt;""</formula>
    </cfRule>
    <cfRule type="expression" dxfId="22" priority="300" stopIfTrue="1">
      <formula>$AH$5="*"</formula>
    </cfRule>
    <cfRule type="expression" dxfId="21" priority="301" stopIfTrue="1">
      <formula>$AJ$5="C"</formula>
    </cfRule>
  </conditionalFormatting>
  <conditionalFormatting sqref="M3:O3">
    <cfRule type="expression" dxfId="20" priority="302" stopIfTrue="1">
      <formula>$AH$5="*"</formula>
    </cfRule>
  </conditionalFormatting>
  <conditionalFormatting sqref="R1:T1">
    <cfRule type="expression" dxfId="19" priority="303" stopIfTrue="1">
      <formula>$AG$6&lt;&gt;""</formula>
    </cfRule>
  </conditionalFormatting>
  <conditionalFormatting sqref="U1:W2">
    <cfRule type="expression" dxfId="18" priority="304" stopIfTrue="1">
      <formula>$AF$6&lt;&gt;""</formula>
    </cfRule>
    <cfRule type="expression" dxfId="17" priority="305" stopIfTrue="1">
      <formula>$AH$6="*"</formula>
    </cfRule>
    <cfRule type="expression" dxfId="16" priority="306" stopIfTrue="1">
      <formula>$AJ$6="C"</formula>
    </cfRule>
  </conditionalFormatting>
  <conditionalFormatting sqref="R11:U11">
    <cfRule type="expression" dxfId="15" priority="307" stopIfTrue="1">
      <formula>$AG$7&lt;&gt;""</formula>
    </cfRule>
  </conditionalFormatting>
  <conditionalFormatting sqref="V11:W11">
    <cfRule type="expression" dxfId="14" priority="308" stopIfTrue="1">
      <formula>$AF$7&lt;&gt;""</formula>
    </cfRule>
    <cfRule type="expression" dxfId="13" priority="309" stopIfTrue="1">
      <formula>$AH$7="*"</formula>
    </cfRule>
    <cfRule type="expression" dxfId="12" priority="310" stopIfTrue="1">
      <formula>$AJ$7="C"</formula>
    </cfRule>
  </conditionalFormatting>
  <conditionalFormatting sqref="R26:X26">
    <cfRule type="expression" dxfId="11" priority="25" stopIfTrue="1">
      <formula>OR($AE$25=1,$AE$27=1)</formula>
    </cfRule>
  </conditionalFormatting>
  <conditionalFormatting sqref="T24:X24">
    <cfRule type="expression" dxfId="10" priority="20" stopIfTrue="1">
      <formula>OR($AE23=1,$AE25=1)</formula>
    </cfRule>
  </conditionalFormatting>
  <conditionalFormatting sqref="R28:X28">
    <cfRule type="expression" dxfId="9" priority="19" stopIfTrue="1">
      <formula>OR($AE27=1,$AE$29=1)</formula>
    </cfRule>
  </conditionalFormatting>
  <conditionalFormatting sqref="R30:X30">
    <cfRule type="expression" dxfId="8" priority="311" stopIfTrue="1">
      <formula>OR($AE29&lt;&gt;"",AND(R31&lt;&gt;"",$AE31&lt;&gt;""))</formula>
    </cfRule>
  </conditionalFormatting>
  <conditionalFormatting sqref="R22:S22">
    <cfRule type="expression" dxfId="7" priority="330" stopIfTrue="1">
      <formula>AND(R23&lt;&gt;"",$AE31&lt;&gt;1,OR($AE23&lt;&gt;"",$AE37&lt;&gt;""))</formula>
    </cfRule>
  </conditionalFormatting>
  <conditionalFormatting sqref="R24:S24">
    <cfRule type="expression" dxfId="6" priority="331" stopIfTrue="1">
      <formula>OR($AE$25=1,AND(R23&lt;&gt;"",$AE31&lt;&gt;1,OR($AE23&lt;&gt;"",$AE37&lt;&gt;"")))</formula>
    </cfRule>
  </conditionalFormatting>
  <conditionalFormatting sqref="T38:X38 R32:X32">
    <cfRule type="expression" dxfId="5" priority="332" stopIfTrue="1">
      <formula>AND(R31&lt;&gt;"",$AE31&lt;&gt;"")</formula>
    </cfRule>
  </conditionalFormatting>
  <conditionalFormatting sqref="R36">
    <cfRule type="expression" dxfId="4" priority="335" stopIfTrue="1">
      <formula>AND(R37&lt;&gt;"",$AE37&lt;&gt;"",$AC$42="")</formula>
    </cfRule>
  </conditionalFormatting>
  <conditionalFormatting sqref="R38">
    <cfRule type="expression" dxfId="3" priority="336" stopIfTrue="1">
      <formula>AND(R37&lt;&gt;"",$AE37&lt;&gt;"",$AC$42="")</formula>
    </cfRule>
  </conditionalFormatting>
  <conditionalFormatting sqref="S36">
    <cfRule type="expression" dxfId="2" priority="337" stopIfTrue="1">
      <formula>AND(S37&lt;&gt;"",$AE37&lt;&gt;"",$AD$42="")</formula>
    </cfRule>
  </conditionalFormatting>
  <conditionalFormatting sqref="T36:X36">
    <cfRule type="expression" dxfId="1" priority="338" stopIfTrue="1">
      <formula>AND(T37&lt;&gt;"",$AE37&lt;&gt;"")</formula>
    </cfRule>
  </conditionalFormatting>
  <conditionalFormatting sqref="S38">
    <cfRule type="expression" dxfId="0" priority="343" stopIfTrue="1">
      <formula>AND(S37&lt;&gt;"",$AE37&lt;&gt;"",$AD$42="")</formula>
    </cfRule>
  </conditionalFormatting>
  <hyperlinks>
    <hyperlink ref="AU11" location="Index!E25" display="Index!E25"/>
  </hyperlinks>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WeekSelect1">
              <controlPr defaultSize="0" print="0" autoPict="0">
                <anchor moveWithCells="1">
                  <from>
                    <xdr:col>0</xdr:col>
                    <xdr:colOff>57150</xdr:colOff>
                    <xdr:row>1</xdr:row>
                    <xdr:rowOff>171450</xdr:rowOff>
                  </from>
                  <to>
                    <xdr:col>1</xdr:col>
                    <xdr:colOff>19050</xdr:colOff>
                    <xdr:row>3</xdr:row>
                    <xdr:rowOff>57150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Left">
    <pageSetUpPr fitToPage="1"/>
  </sheetPr>
  <dimension ref="A1:I61"/>
  <sheetViews>
    <sheetView showGridLines="0" showRowColHeaders="0" zoomScaleNormal="100" workbookViewId="0"/>
  </sheetViews>
  <sheetFormatPr defaultColWidth="0" defaultRowHeight="12.75" zeroHeight="1"/>
  <cols>
    <col min="1" max="2" width="27.85546875" style="5" customWidth="1"/>
    <col min="3" max="4" width="17" style="5" customWidth="1"/>
    <col min="5" max="5" width="12.7109375" style="5" customWidth="1"/>
    <col min="6" max="7" width="9.140625" style="5" hidden="1" customWidth="1"/>
    <col min="8" max="8" width="3.28515625" style="5" hidden="1" customWidth="1"/>
    <col min="9" max="9" width="11" style="5" hidden="1" customWidth="1"/>
    <col min="10" max="16384" width="9.140625" style="5" hidden="1"/>
  </cols>
  <sheetData>
    <row r="1" spans="1:4" ht="24.75">
      <c r="A1" s="177" t="str">
        <f ca="1">'GPlan-Translations'!C304</f>
        <v>CONTATO</v>
      </c>
      <c r="B1" s="176" t="str">
        <f>Index!V40</f>
        <v>A B C D</v>
      </c>
      <c r="C1" s="14"/>
      <c r="D1" s="15"/>
    </row>
    <row r="2" spans="1:4" ht="18">
      <c r="A2" s="7"/>
    </row>
    <row r="3" spans="1:4" ht="18">
      <c r="A3" s="170" t="str">
        <f ca="1">'GPlan-Translations'!C305</f>
        <v>Nome</v>
      </c>
      <c r="B3" s="171" t="str">
        <f ca="1">'GPlan-Translations'!C306</f>
        <v>Endereço</v>
      </c>
      <c r="C3" s="172" t="str">
        <f ca="1">'GPlan-Translations'!C307</f>
        <v>Telefone</v>
      </c>
      <c r="D3" s="173" t="str">
        <f ca="1">'GPlan-Translations'!C315</f>
        <v>Celular</v>
      </c>
    </row>
    <row r="4" spans="1:4" ht="18">
      <c r="A4" s="108"/>
      <c r="B4" s="87"/>
      <c r="C4" s="88"/>
      <c r="D4" s="108"/>
    </row>
    <row r="5" spans="1:4" ht="18">
      <c r="A5" s="108"/>
      <c r="B5" s="87"/>
      <c r="C5" s="88"/>
      <c r="D5" s="108"/>
    </row>
    <row r="6" spans="1:4" ht="18">
      <c r="A6" s="108"/>
      <c r="B6" s="87"/>
      <c r="C6" s="88"/>
      <c r="D6" s="108"/>
    </row>
    <row r="7" spans="1:4" ht="18" customHeight="1">
      <c r="A7" s="108"/>
      <c r="B7" s="87"/>
      <c r="C7" s="88"/>
      <c r="D7" s="108"/>
    </row>
    <row r="8" spans="1:4" ht="18" customHeight="1">
      <c r="A8" s="108"/>
      <c r="B8" s="87"/>
      <c r="C8" s="88"/>
      <c r="D8" s="108"/>
    </row>
    <row r="9" spans="1:4" ht="18" customHeight="1">
      <c r="A9" s="108"/>
      <c r="B9" s="87"/>
      <c r="C9" s="88"/>
      <c r="D9" s="108"/>
    </row>
    <row r="10" spans="1:4" ht="18" customHeight="1">
      <c r="A10" s="108"/>
      <c r="B10" s="87"/>
      <c r="C10" s="88"/>
      <c r="D10" s="108"/>
    </row>
    <row r="11" spans="1:4" ht="18">
      <c r="A11" s="108"/>
      <c r="B11" s="87"/>
      <c r="C11" s="88"/>
      <c r="D11" s="108"/>
    </row>
    <row r="12" spans="1:4" ht="18" customHeight="1">
      <c r="A12" s="108"/>
      <c r="B12" s="87"/>
      <c r="C12" s="88"/>
      <c r="D12" s="108"/>
    </row>
    <row r="13" spans="1:4" ht="18">
      <c r="A13" s="108"/>
      <c r="B13" s="87"/>
      <c r="C13" s="88"/>
      <c r="D13" s="108"/>
    </row>
    <row r="14" spans="1:4" ht="18">
      <c r="A14" s="108"/>
      <c r="B14" s="87"/>
      <c r="C14" s="88"/>
      <c r="D14" s="108"/>
    </row>
    <row r="15" spans="1:4" ht="18" customHeight="1">
      <c r="A15" s="108"/>
      <c r="B15" s="87"/>
      <c r="C15" s="88"/>
      <c r="D15" s="108"/>
    </row>
    <row r="16" spans="1:4" ht="18" customHeight="1">
      <c r="A16" s="108"/>
      <c r="B16" s="87"/>
      <c r="C16" s="88"/>
      <c r="D16" s="108"/>
    </row>
    <row r="17" spans="1:4" ht="18" customHeight="1">
      <c r="A17" s="108"/>
      <c r="B17" s="87"/>
      <c r="C17" s="88"/>
      <c r="D17" s="108"/>
    </row>
    <row r="18" spans="1:4" ht="18" customHeight="1">
      <c r="A18" s="108"/>
      <c r="B18" s="87"/>
      <c r="C18" s="88"/>
      <c r="D18" s="108"/>
    </row>
    <row r="19" spans="1:4" ht="18">
      <c r="A19" s="108"/>
      <c r="B19" s="87"/>
      <c r="C19" s="88"/>
      <c r="D19" s="108"/>
    </row>
    <row r="20" spans="1:4" ht="18">
      <c r="A20" s="108"/>
      <c r="B20" s="87"/>
      <c r="C20" s="88"/>
      <c r="D20" s="108"/>
    </row>
    <row r="21" spans="1:4" ht="18">
      <c r="A21" s="108"/>
      <c r="B21" s="87"/>
      <c r="C21" s="88"/>
      <c r="D21" s="108"/>
    </row>
    <row r="22" spans="1:4" ht="18" customHeight="1">
      <c r="A22" s="108"/>
      <c r="B22" s="87"/>
      <c r="C22" s="88"/>
      <c r="D22" s="108"/>
    </row>
    <row r="23" spans="1:4" ht="18" customHeight="1">
      <c r="A23" s="108"/>
      <c r="B23" s="87"/>
      <c r="C23" s="88"/>
      <c r="D23" s="108"/>
    </row>
    <row r="24" spans="1:4" ht="18">
      <c r="A24" s="108"/>
      <c r="B24" s="87"/>
      <c r="C24" s="88"/>
      <c r="D24" s="108"/>
    </row>
    <row r="25" spans="1:4" ht="18">
      <c r="A25" s="108"/>
      <c r="B25" s="87"/>
      <c r="C25" s="88"/>
      <c r="D25" s="108"/>
    </row>
    <row r="26" spans="1:4" ht="18">
      <c r="A26" s="108"/>
      <c r="B26" s="87"/>
      <c r="C26" s="88"/>
      <c r="D26" s="108"/>
    </row>
    <row r="27" spans="1:4" ht="18">
      <c r="A27" s="108"/>
      <c r="B27" s="87"/>
      <c r="C27" s="88"/>
      <c r="D27" s="108"/>
    </row>
    <row r="28" spans="1:4" ht="18">
      <c r="A28" s="108"/>
      <c r="B28" s="87"/>
      <c r="C28" s="88"/>
      <c r="D28" s="108"/>
    </row>
    <row r="29" spans="1:4" ht="18">
      <c r="A29" s="108"/>
      <c r="B29" s="87"/>
      <c r="C29" s="88"/>
      <c r="D29" s="108"/>
    </row>
    <row r="30" spans="1:4" ht="18">
      <c r="A30" s="108"/>
      <c r="B30" s="87"/>
      <c r="C30" s="88"/>
      <c r="D30" s="108"/>
    </row>
    <row r="31" spans="1:4" ht="18">
      <c r="A31" s="108"/>
      <c r="B31" s="87"/>
      <c r="C31" s="88"/>
      <c r="D31" s="108"/>
    </row>
    <row r="32" spans="1:4" ht="18">
      <c r="A32" s="108"/>
      <c r="B32" s="87"/>
      <c r="C32" s="88"/>
      <c r="D32" s="108"/>
    </row>
    <row r="33" spans="1:4" ht="18">
      <c r="A33" s="108"/>
      <c r="B33" s="87"/>
      <c r="C33" s="88"/>
      <c r="D33" s="108"/>
    </row>
    <row r="34" spans="1:4" ht="18">
      <c r="A34" s="108"/>
      <c r="B34" s="87"/>
      <c r="C34" s="88"/>
      <c r="D34" s="108"/>
    </row>
    <row r="35" spans="1:4" ht="18">
      <c r="A35" s="108"/>
      <c r="B35" s="87"/>
      <c r="C35" s="88"/>
      <c r="D35" s="108"/>
    </row>
    <row r="36" spans="1:4" ht="18">
      <c r="A36" s="108"/>
      <c r="B36" s="87"/>
      <c r="C36" s="88"/>
      <c r="D36" s="108"/>
    </row>
    <row r="37" spans="1:4" ht="18">
      <c r="A37" s="108"/>
      <c r="B37" s="87"/>
      <c r="C37" s="88"/>
      <c r="D37" s="108"/>
    </row>
    <row r="38" spans="1:4" ht="18">
      <c r="A38" s="108"/>
      <c r="B38" s="87"/>
      <c r="C38" s="88"/>
      <c r="D38" s="108"/>
    </row>
    <row r="39" spans="1:4" ht="18">
      <c r="A39" s="108"/>
      <c r="B39" s="87"/>
      <c r="C39" s="88"/>
      <c r="D39" s="108"/>
    </row>
    <row r="40" spans="1:4" ht="18">
      <c r="A40" s="108"/>
      <c r="B40" s="87"/>
      <c r="C40" s="88"/>
      <c r="D40" s="108"/>
    </row>
    <row r="41" spans="1:4" ht="18">
      <c r="A41" s="108"/>
      <c r="B41" s="87"/>
      <c r="C41" s="88"/>
      <c r="D41" s="108"/>
    </row>
    <row r="42" spans="1:4" ht="18">
      <c r="A42" s="108"/>
      <c r="B42" s="87"/>
      <c r="C42" s="88"/>
      <c r="D42" s="108"/>
    </row>
    <row r="43" spans="1:4" ht="18">
      <c r="A43" s="108"/>
      <c r="B43" s="87"/>
      <c r="C43" s="88"/>
      <c r="D43" s="108"/>
    </row>
    <row r="44" spans="1:4" ht="18">
      <c r="A44" s="108"/>
      <c r="B44" s="87"/>
      <c r="C44" s="88"/>
      <c r="D44" s="108"/>
    </row>
    <row r="45" spans="1:4" ht="18">
      <c r="A45" s="166"/>
      <c r="B45" s="156"/>
      <c r="C45" s="157"/>
      <c r="D45" s="155"/>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42"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Right">
    <pageSetUpPr fitToPage="1"/>
  </sheetPr>
  <dimension ref="A1:I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8" width="9.140625" style="5" hidden="1" customWidth="1"/>
    <col min="9" max="9" width="11.42578125" style="5" hidden="1" customWidth="1"/>
    <col min="10" max="16384" width="9.140625" style="5" hidden="1"/>
  </cols>
  <sheetData>
    <row r="1" spans="2:5" ht="24.75">
      <c r="B1" s="42"/>
      <c r="C1" s="174" t="str">
        <f>Index!V41</f>
        <v>E F G H</v>
      </c>
      <c r="D1" s="14"/>
      <c r="E1" s="175" t="str">
        <f ca="1">'GPlan-Translations'!C311</f>
        <v>CONTATO</v>
      </c>
    </row>
    <row r="2" spans="2:5" ht="18">
      <c r="E2" s="7"/>
    </row>
    <row r="3" spans="2:5" ht="18">
      <c r="B3" s="170" t="str">
        <f ca="1">'GPlan-Translations'!C312</f>
        <v>Nome</v>
      </c>
      <c r="C3" s="171" t="str">
        <f ca="1">'GPlan-Translations'!C306</f>
        <v>Endereço</v>
      </c>
      <c r="D3" s="172" t="str">
        <f ca="1">'GPlan-Translations'!C314</f>
        <v>Telefone</v>
      </c>
      <c r="E3" s="173" t="str">
        <f ca="1">'GPlan-Translations'!C315</f>
        <v>Celular</v>
      </c>
    </row>
    <row r="4" spans="2:5" ht="18">
      <c r="B4" s="108"/>
      <c r="C4" s="87"/>
      <c r="D4" s="88"/>
      <c r="E4" s="108"/>
    </row>
    <row r="5" spans="2:5" ht="18">
      <c r="B5" s="108"/>
      <c r="C5" s="87"/>
      <c r="D5" s="88"/>
      <c r="E5" s="108"/>
    </row>
    <row r="6" spans="2:5" ht="18">
      <c r="B6" s="108"/>
      <c r="C6" s="87"/>
      <c r="D6" s="88"/>
      <c r="E6" s="108"/>
    </row>
    <row r="7" spans="2:5" ht="18">
      <c r="B7" s="108"/>
      <c r="C7" s="87"/>
      <c r="D7" s="88"/>
      <c r="E7" s="108"/>
    </row>
    <row r="8" spans="2:5" ht="18">
      <c r="B8" s="108"/>
      <c r="C8" s="87"/>
      <c r="D8" s="88"/>
      <c r="E8" s="108"/>
    </row>
    <row r="9" spans="2:5" ht="18">
      <c r="B9" s="108"/>
      <c r="C9" s="87"/>
      <c r="D9" s="88"/>
      <c r="E9" s="108"/>
    </row>
    <row r="10" spans="2:5" ht="18">
      <c r="B10" s="108"/>
      <c r="C10" s="87"/>
      <c r="D10" s="88"/>
      <c r="E10" s="108"/>
    </row>
    <row r="11" spans="2:5" ht="18">
      <c r="B11" s="108"/>
      <c r="C11" s="87"/>
      <c r="D11" s="88"/>
      <c r="E11" s="108"/>
    </row>
    <row r="12" spans="2:5" ht="18">
      <c r="B12" s="108"/>
      <c r="C12" s="87"/>
      <c r="D12" s="88"/>
      <c r="E12" s="108"/>
    </row>
    <row r="13" spans="2:5" ht="18">
      <c r="B13" s="108"/>
      <c r="C13" s="87"/>
      <c r="D13" s="88"/>
      <c r="E13" s="108"/>
    </row>
    <row r="14" spans="2:5" ht="18">
      <c r="B14" s="108"/>
      <c r="C14" s="87"/>
      <c r="D14" s="88"/>
      <c r="E14" s="108"/>
    </row>
    <row r="15" spans="2:5" ht="18">
      <c r="B15" s="108"/>
      <c r="C15" s="87"/>
      <c r="D15" s="88"/>
      <c r="E15" s="108"/>
    </row>
    <row r="16" spans="2:5" ht="18">
      <c r="B16" s="108"/>
      <c r="C16" s="87"/>
      <c r="D16" s="88"/>
      <c r="E16" s="108"/>
    </row>
    <row r="17" spans="2:5" ht="18">
      <c r="B17" s="108"/>
      <c r="C17" s="87"/>
      <c r="D17" s="88"/>
      <c r="E17" s="108"/>
    </row>
    <row r="18" spans="2:5" ht="18">
      <c r="B18" s="108"/>
      <c r="C18" s="87"/>
      <c r="D18" s="88"/>
      <c r="E18" s="108"/>
    </row>
    <row r="19" spans="2:5" ht="18">
      <c r="B19" s="108"/>
      <c r="C19" s="87"/>
      <c r="D19" s="88"/>
      <c r="E19" s="108"/>
    </row>
    <row r="20" spans="2:5" ht="18">
      <c r="B20" s="108"/>
      <c r="C20" s="87"/>
      <c r="D20" s="88"/>
      <c r="E20" s="108"/>
    </row>
    <row r="21" spans="2:5" ht="18">
      <c r="B21" s="108"/>
      <c r="C21" s="87"/>
      <c r="D21" s="88"/>
      <c r="E21" s="108"/>
    </row>
    <row r="22" spans="2:5" ht="18">
      <c r="B22" s="108"/>
      <c r="C22" s="87"/>
      <c r="D22" s="88"/>
      <c r="E22" s="108"/>
    </row>
    <row r="23" spans="2:5" ht="18">
      <c r="B23" s="108"/>
      <c r="C23" s="87"/>
      <c r="D23" s="88"/>
      <c r="E23" s="108"/>
    </row>
    <row r="24" spans="2:5" ht="18">
      <c r="B24" s="108"/>
      <c r="C24" s="87"/>
      <c r="D24" s="88"/>
      <c r="E24" s="108"/>
    </row>
    <row r="25" spans="2:5" ht="18">
      <c r="B25" s="108"/>
      <c r="C25" s="87"/>
      <c r="D25" s="88"/>
      <c r="E25" s="108"/>
    </row>
    <row r="26" spans="2:5" ht="18">
      <c r="B26" s="108"/>
      <c r="C26" s="87"/>
      <c r="D26" s="88"/>
      <c r="E26" s="108"/>
    </row>
    <row r="27" spans="2:5" ht="18">
      <c r="B27" s="108"/>
      <c r="C27" s="87"/>
      <c r="D27" s="88"/>
      <c r="E27" s="108"/>
    </row>
    <row r="28" spans="2:5" ht="18">
      <c r="B28" s="108"/>
      <c r="C28" s="87"/>
      <c r="D28" s="88"/>
      <c r="E28" s="108"/>
    </row>
    <row r="29" spans="2:5" ht="18">
      <c r="B29" s="108"/>
      <c r="C29" s="87"/>
      <c r="D29" s="88"/>
      <c r="E29" s="108"/>
    </row>
    <row r="30" spans="2:5" ht="18">
      <c r="B30" s="108"/>
      <c r="C30" s="87"/>
      <c r="D30" s="88"/>
      <c r="E30" s="108"/>
    </row>
    <row r="31" spans="2:5" ht="18">
      <c r="B31" s="108"/>
      <c r="C31" s="87"/>
      <c r="D31" s="88"/>
      <c r="E31" s="108"/>
    </row>
    <row r="32" spans="2:5" ht="18">
      <c r="B32" s="108"/>
      <c r="C32" s="87"/>
      <c r="D32" s="88"/>
      <c r="E32" s="108"/>
    </row>
    <row r="33" spans="2:5" ht="18">
      <c r="B33" s="108"/>
      <c r="C33" s="87"/>
      <c r="D33" s="88"/>
      <c r="E33" s="108"/>
    </row>
    <row r="34" spans="2:5" ht="18">
      <c r="B34" s="108"/>
      <c r="C34" s="87"/>
      <c r="D34" s="88"/>
      <c r="E34" s="108"/>
    </row>
    <row r="35" spans="2:5" ht="18">
      <c r="B35" s="108"/>
      <c r="C35" s="87"/>
      <c r="D35" s="88"/>
      <c r="E35" s="108"/>
    </row>
    <row r="36" spans="2:5" ht="18">
      <c r="B36" s="108"/>
      <c r="C36" s="87"/>
      <c r="D36" s="88"/>
      <c r="E36" s="108"/>
    </row>
    <row r="37" spans="2:5" ht="18">
      <c r="B37" s="108"/>
      <c r="C37" s="87"/>
      <c r="D37" s="88"/>
      <c r="E37" s="108"/>
    </row>
    <row r="38" spans="2:5" ht="18">
      <c r="B38" s="108"/>
      <c r="C38" s="87"/>
      <c r="D38" s="88"/>
      <c r="E38" s="108"/>
    </row>
    <row r="39" spans="2:5" ht="18">
      <c r="B39" s="108"/>
      <c r="C39" s="87"/>
      <c r="D39" s="88"/>
      <c r="E39" s="108"/>
    </row>
    <row r="40" spans="2:5" ht="18">
      <c r="B40" s="108"/>
      <c r="C40" s="87"/>
      <c r="D40" s="88"/>
      <c r="E40" s="108"/>
    </row>
    <row r="41" spans="2:5" ht="18">
      <c r="B41" s="108"/>
      <c r="C41" s="87"/>
      <c r="D41" s="88"/>
      <c r="E41" s="108"/>
    </row>
    <row r="42" spans="2:5" ht="18">
      <c r="B42" s="108"/>
      <c r="C42" s="87"/>
      <c r="D42" s="88"/>
      <c r="E42" s="108"/>
    </row>
    <row r="43" spans="2:5" ht="18">
      <c r="B43" s="108"/>
      <c r="C43" s="87"/>
      <c r="D43" s="88"/>
      <c r="E43" s="108"/>
    </row>
    <row r="44" spans="2:5" ht="18">
      <c r="B44" s="108"/>
      <c r="C44" s="87"/>
      <c r="D44" s="88"/>
      <c r="E44" s="108"/>
    </row>
    <row r="45" spans="2:5" ht="18">
      <c r="B45" s="166"/>
      <c r="C45" s="156"/>
      <c r="D45" s="157"/>
      <c r="E45" s="155"/>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Left">
    <pageSetUpPr fitToPage="1"/>
  </sheetPr>
  <dimension ref="A1:HL61"/>
  <sheetViews>
    <sheetView showGridLines="0" showRowColHeaders="0" workbookViewId="0"/>
  </sheetViews>
  <sheetFormatPr defaultColWidth="0" defaultRowHeight="12.75" zeroHeight="1"/>
  <cols>
    <col min="1" max="2" width="27.85546875" style="5" customWidth="1"/>
    <col min="3" max="4" width="17" style="5" customWidth="1"/>
    <col min="5" max="5" width="12.7109375" style="5" customWidth="1"/>
    <col min="6" max="220" width="9.140625" style="5" hidden="1" customWidth="1"/>
    <col min="221" max="16384" width="0" style="5" hidden="1"/>
  </cols>
  <sheetData>
    <row r="1" spans="1:4" ht="19.5">
      <c r="A1" s="42"/>
      <c r="B1" s="86"/>
      <c r="C1" s="14"/>
      <c r="D1" s="15"/>
    </row>
    <row r="2" spans="1:4" ht="24.75">
      <c r="A2" s="223" t="str">
        <f ca="1">'GPlan-Translations'!C298</f>
        <v>Anotações</v>
      </c>
      <c r="B2" s="153"/>
      <c r="C2" s="153"/>
      <c r="D2" s="154"/>
    </row>
    <row r="3" spans="1:4" ht="18">
      <c r="A3" s="167"/>
      <c r="B3" s="167"/>
      <c r="C3" s="167"/>
      <c r="D3" s="167"/>
    </row>
    <row r="4" spans="1:4" ht="18">
      <c r="A4" s="108"/>
      <c r="B4" s="108"/>
      <c r="C4" s="108"/>
      <c r="D4" s="108"/>
    </row>
    <row r="5" spans="1:4" ht="18">
      <c r="A5" s="108"/>
      <c r="B5" s="108"/>
      <c r="C5" s="108"/>
      <c r="D5" s="108"/>
    </row>
    <row r="6" spans="1:4" ht="18">
      <c r="A6" s="108"/>
      <c r="B6" s="108"/>
      <c r="C6" s="108"/>
      <c r="D6" s="108"/>
    </row>
    <row r="7" spans="1:4" ht="18" customHeight="1">
      <c r="A7" s="108"/>
      <c r="B7" s="108"/>
      <c r="C7" s="108"/>
      <c r="D7" s="108"/>
    </row>
    <row r="8" spans="1:4" ht="18" customHeight="1">
      <c r="A8" s="108"/>
      <c r="B8" s="108"/>
      <c r="C8" s="108"/>
      <c r="D8" s="108"/>
    </row>
    <row r="9" spans="1:4" ht="18" customHeight="1">
      <c r="A9" s="108"/>
      <c r="B9" s="108"/>
      <c r="C9" s="108"/>
      <c r="D9" s="108"/>
    </row>
    <row r="10" spans="1:4" ht="18" customHeight="1">
      <c r="A10" s="108"/>
      <c r="B10" s="108"/>
      <c r="C10" s="108"/>
      <c r="D10" s="108"/>
    </row>
    <row r="11" spans="1:4" ht="18">
      <c r="A11" s="108"/>
      <c r="B11" s="108"/>
      <c r="C11" s="108"/>
      <c r="D11" s="108"/>
    </row>
    <row r="12" spans="1:4" ht="18" customHeight="1">
      <c r="A12" s="108"/>
      <c r="B12" s="108"/>
      <c r="C12" s="108"/>
      <c r="D12" s="108"/>
    </row>
    <row r="13" spans="1:4" ht="18">
      <c r="A13" s="108"/>
      <c r="B13" s="108"/>
      <c r="C13" s="108"/>
      <c r="D13" s="108"/>
    </row>
    <row r="14" spans="1:4" ht="18">
      <c r="A14" s="108"/>
      <c r="B14" s="108"/>
      <c r="C14" s="108"/>
      <c r="D14" s="108"/>
    </row>
    <row r="15" spans="1:4" ht="18" customHeight="1">
      <c r="A15" s="108"/>
      <c r="B15" s="108"/>
      <c r="C15" s="108"/>
      <c r="D15" s="108"/>
    </row>
    <row r="16" spans="1:4" ht="18" customHeight="1">
      <c r="A16" s="108"/>
      <c r="B16" s="108"/>
      <c r="C16" s="108"/>
      <c r="D16" s="108"/>
    </row>
    <row r="17" spans="1:4" ht="18" customHeight="1">
      <c r="A17" s="108"/>
      <c r="B17" s="108"/>
      <c r="C17" s="108"/>
      <c r="D17" s="108"/>
    </row>
    <row r="18" spans="1:4" ht="18" customHeight="1">
      <c r="A18" s="108"/>
      <c r="B18" s="108"/>
      <c r="C18" s="108"/>
      <c r="D18" s="108"/>
    </row>
    <row r="19" spans="1:4" ht="18">
      <c r="A19" s="108"/>
      <c r="B19" s="108"/>
      <c r="C19" s="108"/>
      <c r="D19" s="108"/>
    </row>
    <row r="20" spans="1:4" ht="18">
      <c r="A20" s="108"/>
      <c r="B20" s="108"/>
      <c r="C20" s="108"/>
      <c r="D20" s="108"/>
    </row>
    <row r="21" spans="1:4" ht="18">
      <c r="A21" s="108"/>
      <c r="B21" s="108"/>
      <c r="C21" s="108"/>
      <c r="D21" s="108"/>
    </row>
    <row r="22" spans="1:4" ht="18" customHeight="1">
      <c r="A22" s="108"/>
      <c r="B22" s="108"/>
      <c r="C22" s="108"/>
      <c r="D22" s="108"/>
    </row>
    <row r="23" spans="1:4" ht="18" customHeight="1">
      <c r="A23" s="108"/>
      <c r="B23" s="108"/>
      <c r="C23" s="108"/>
      <c r="D23" s="108"/>
    </row>
    <row r="24" spans="1:4" ht="18">
      <c r="A24" s="108"/>
      <c r="B24" s="108"/>
      <c r="C24" s="108"/>
      <c r="D24" s="108"/>
    </row>
    <row r="25" spans="1:4" ht="18">
      <c r="A25" s="108"/>
      <c r="B25" s="108"/>
      <c r="C25" s="108"/>
      <c r="D25" s="108"/>
    </row>
    <row r="26" spans="1:4" ht="18">
      <c r="A26" s="108"/>
      <c r="B26" s="108"/>
      <c r="C26" s="108"/>
      <c r="D26" s="108"/>
    </row>
    <row r="27" spans="1:4" ht="18">
      <c r="A27" s="108"/>
      <c r="B27" s="108"/>
      <c r="C27" s="108"/>
      <c r="D27" s="108"/>
    </row>
    <row r="28" spans="1:4" ht="18">
      <c r="A28" s="108"/>
      <c r="B28" s="108"/>
      <c r="C28" s="108"/>
      <c r="D28" s="108"/>
    </row>
    <row r="29" spans="1:4" ht="18">
      <c r="A29" s="108"/>
      <c r="B29" s="108"/>
      <c r="C29" s="108"/>
      <c r="D29" s="108"/>
    </row>
    <row r="30" spans="1:4" ht="18">
      <c r="A30" s="108"/>
      <c r="B30" s="108"/>
      <c r="C30" s="108"/>
      <c r="D30" s="108"/>
    </row>
    <row r="31" spans="1:4" ht="18">
      <c r="A31" s="108"/>
      <c r="B31" s="108"/>
      <c r="C31" s="108"/>
      <c r="D31" s="108"/>
    </row>
    <row r="32" spans="1:4" ht="18">
      <c r="A32" s="108"/>
      <c r="B32" s="108"/>
      <c r="C32" s="108"/>
      <c r="D32" s="108"/>
    </row>
    <row r="33" spans="1:4" ht="18">
      <c r="A33" s="108"/>
      <c r="B33" s="108"/>
      <c r="C33" s="108"/>
      <c r="D33" s="108"/>
    </row>
    <row r="34" spans="1:4" ht="18">
      <c r="A34" s="108"/>
      <c r="B34" s="108"/>
      <c r="C34" s="108"/>
      <c r="D34" s="108"/>
    </row>
    <row r="35" spans="1:4" ht="18">
      <c r="A35" s="108"/>
      <c r="B35" s="108"/>
      <c r="C35" s="108"/>
      <c r="D35" s="108"/>
    </row>
    <row r="36" spans="1:4" ht="18">
      <c r="A36" s="108"/>
      <c r="B36" s="108"/>
      <c r="C36" s="108"/>
      <c r="D36" s="108"/>
    </row>
    <row r="37" spans="1:4" ht="18">
      <c r="A37" s="108"/>
      <c r="B37" s="108"/>
      <c r="C37" s="108"/>
      <c r="D37" s="108"/>
    </row>
    <row r="38" spans="1:4" ht="18">
      <c r="A38" s="108"/>
      <c r="B38" s="108"/>
      <c r="C38" s="108"/>
      <c r="D38" s="108"/>
    </row>
    <row r="39" spans="1:4" ht="18">
      <c r="A39" s="108"/>
      <c r="B39" s="108"/>
      <c r="C39" s="108"/>
      <c r="D39" s="108"/>
    </row>
    <row r="40" spans="1:4" ht="18">
      <c r="A40" s="108"/>
      <c r="B40" s="108"/>
      <c r="C40" s="108"/>
      <c r="D40" s="108"/>
    </row>
    <row r="41" spans="1:4" ht="18">
      <c r="A41" s="108"/>
      <c r="B41" s="108"/>
      <c r="C41" s="108"/>
      <c r="D41" s="108"/>
    </row>
    <row r="42" spans="1:4" ht="18">
      <c r="A42" s="108"/>
      <c r="B42" s="108"/>
      <c r="C42" s="108"/>
      <c r="D42" s="108"/>
    </row>
    <row r="43" spans="1:4" ht="18">
      <c r="A43" s="108"/>
      <c r="B43" s="108"/>
      <c r="C43" s="108"/>
      <c r="D43" s="108"/>
    </row>
    <row r="44" spans="1:4" ht="18">
      <c r="A44" s="108"/>
      <c r="B44" s="108"/>
      <c r="C44" s="108"/>
      <c r="D44" s="108"/>
    </row>
    <row r="45" spans="1:4" ht="18">
      <c r="A45" s="166"/>
      <c r="B45" s="155"/>
      <c r="C45" s="155"/>
      <c r="D45" s="155"/>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Right">
    <pageSetUpPr fitToPage="1"/>
  </sheetPr>
  <dimension ref="B1:HQ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225" width="9.140625" style="5" hidden="1" customWidth="1"/>
    <col min="226" max="16384" width="0" style="5" hidden="1"/>
  </cols>
  <sheetData>
    <row r="1" spans="2:5" ht="19.5">
      <c r="B1" s="42"/>
      <c r="C1" s="86"/>
      <c r="D1" s="14"/>
      <c r="E1" s="15"/>
    </row>
    <row r="2" spans="2:5" ht="24.75">
      <c r="B2" s="152"/>
      <c r="C2" s="153"/>
      <c r="D2" s="742" t="str">
        <f ca="1">'GPlan-Translations'!C301</f>
        <v>Anotações</v>
      </c>
      <c r="E2" s="742"/>
    </row>
    <row r="3" spans="2:5" ht="18">
      <c r="B3" s="167"/>
      <c r="C3" s="167"/>
      <c r="D3" s="167"/>
      <c r="E3" s="167"/>
    </row>
    <row r="4" spans="2:5" ht="18">
      <c r="B4" s="108"/>
      <c r="C4" s="108"/>
      <c r="D4" s="108"/>
      <c r="E4" s="108"/>
    </row>
    <row r="5" spans="2:5" ht="18">
      <c r="B5" s="108"/>
      <c r="C5" s="108"/>
      <c r="D5" s="108"/>
      <c r="E5" s="108"/>
    </row>
    <row r="6" spans="2:5" ht="18">
      <c r="B6" s="108"/>
      <c r="C6" s="108"/>
      <c r="D6" s="108"/>
      <c r="E6" s="108"/>
    </row>
    <row r="7" spans="2:5" ht="18">
      <c r="B7" s="108"/>
      <c r="C7" s="108"/>
      <c r="D7" s="108"/>
      <c r="E7" s="108"/>
    </row>
    <row r="8" spans="2:5" ht="18">
      <c r="B8" s="108"/>
      <c r="C8" s="108"/>
      <c r="D8" s="108"/>
      <c r="E8" s="108"/>
    </row>
    <row r="9" spans="2:5" ht="18">
      <c r="B9" s="108"/>
      <c r="C9" s="108"/>
      <c r="D9" s="108"/>
      <c r="E9" s="108"/>
    </row>
    <row r="10" spans="2:5" ht="18">
      <c r="B10" s="108"/>
      <c r="C10" s="108"/>
      <c r="D10" s="108"/>
      <c r="E10" s="108"/>
    </row>
    <row r="11" spans="2:5" ht="18">
      <c r="B11" s="108"/>
      <c r="C11" s="108"/>
      <c r="D11" s="108"/>
      <c r="E11" s="108"/>
    </row>
    <row r="12" spans="2:5" ht="18">
      <c r="B12" s="108"/>
      <c r="C12" s="108"/>
      <c r="D12" s="108"/>
      <c r="E12" s="108"/>
    </row>
    <row r="13" spans="2:5" ht="18">
      <c r="B13" s="108"/>
      <c r="C13" s="108"/>
      <c r="D13" s="108"/>
      <c r="E13" s="108"/>
    </row>
    <row r="14" spans="2:5" ht="18">
      <c r="B14" s="108"/>
      <c r="C14" s="108"/>
      <c r="D14" s="108"/>
      <c r="E14" s="108"/>
    </row>
    <row r="15" spans="2:5" ht="18">
      <c r="B15" s="108"/>
      <c r="C15" s="108"/>
      <c r="D15" s="108"/>
      <c r="E15" s="108"/>
    </row>
    <row r="16" spans="2:5" ht="18">
      <c r="B16" s="108"/>
      <c r="C16" s="108"/>
      <c r="D16" s="108"/>
      <c r="E16" s="108"/>
    </row>
    <row r="17" spans="2:5" ht="18">
      <c r="B17" s="108"/>
      <c r="C17" s="108"/>
      <c r="D17" s="108"/>
      <c r="E17" s="108"/>
    </row>
    <row r="18" spans="2:5" ht="18">
      <c r="B18" s="108"/>
      <c r="C18" s="108"/>
      <c r="D18" s="108"/>
      <c r="E18" s="108"/>
    </row>
    <row r="19" spans="2:5" ht="18">
      <c r="B19" s="108"/>
      <c r="C19" s="108"/>
      <c r="D19" s="108"/>
      <c r="E19" s="108"/>
    </row>
    <row r="20" spans="2:5" ht="18">
      <c r="B20" s="108"/>
      <c r="C20" s="108"/>
      <c r="D20" s="108"/>
      <c r="E20" s="108"/>
    </row>
    <row r="21" spans="2:5" ht="18">
      <c r="B21" s="108"/>
      <c r="C21" s="108"/>
      <c r="D21" s="108"/>
      <c r="E21" s="108"/>
    </row>
    <row r="22" spans="2:5" ht="18">
      <c r="B22" s="108"/>
      <c r="C22" s="108"/>
      <c r="D22" s="108"/>
      <c r="E22" s="108"/>
    </row>
    <row r="23" spans="2:5" ht="18">
      <c r="B23" s="108"/>
      <c r="C23" s="108"/>
      <c r="D23" s="108"/>
      <c r="E23" s="108"/>
    </row>
    <row r="24" spans="2:5" ht="18">
      <c r="B24" s="108"/>
      <c r="C24" s="108"/>
      <c r="D24" s="108"/>
      <c r="E24" s="108"/>
    </row>
    <row r="25" spans="2:5" ht="18">
      <c r="B25" s="108"/>
      <c r="C25" s="108"/>
      <c r="D25" s="108"/>
      <c r="E25" s="108"/>
    </row>
    <row r="26" spans="2:5" ht="18">
      <c r="B26" s="108"/>
      <c r="C26" s="108"/>
      <c r="D26" s="108"/>
      <c r="E26" s="108"/>
    </row>
    <row r="27" spans="2:5" ht="18">
      <c r="B27" s="108"/>
      <c r="C27" s="108"/>
      <c r="D27" s="108"/>
      <c r="E27" s="108"/>
    </row>
    <row r="28" spans="2:5" ht="18">
      <c r="B28" s="108"/>
      <c r="C28" s="108"/>
      <c r="D28" s="108"/>
      <c r="E28" s="108"/>
    </row>
    <row r="29" spans="2:5" ht="18">
      <c r="B29" s="108"/>
      <c r="C29" s="108"/>
      <c r="D29" s="108"/>
      <c r="E29" s="108"/>
    </row>
    <row r="30" spans="2:5" ht="18">
      <c r="B30" s="108"/>
      <c r="C30" s="108"/>
      <c r="D30" s="108"/>
      <c r="E30" s="108"/>
    </row>
    <row r="31" spans="2:5" ht="18">
      <c r="B31" s="108"/>
      <c r="C31" s="108"/>
      <c r="D31" s="108"/>
      <c r="E31" s="108"/>
    </row>
    <row r="32" spans="2:5" ht="18">
      <c r="B32" s="108"/>
      <c r="C32" s="108"/>
      <c r="D32" s="108"/>
      <c r="E32" s="108"/>
    </row>
    <row r="33" spans="2:5" ht="18">
      <c r="B33" s="108"/>
      <c r="C33" s="108"/>
      <c r="D33" s="108"/>
      <c r="E33" s="108"/>
    </row>
    <row r="34" spans="2:5" ht="18">
      <c r="B34" s="108"/>
      <c r="C34" s="108"/>
      <c r="D34" s="108"/>
      <c r="E34" s="108"/>
    </row>
    <row r="35" spans="2:5" ht="18">
      <c r="B35" s="108"/>
      <c r="C35" s="108"/>
      <c r="D35" s="108"/>
      <c r="E35" s="108"/>
    </row>
    <row r="36" spans="2:5" ht="18">
      <c r="B36" s="108"/>
      <c r="C36" s="108"/>
      <c r="D36" s="108"/>
      <c r="E36" s="108"/>
    </row>
    <row r="37" spans="2:5" ht="18">
      <c r="B37" s="108"/>
      <c r="C37" s="108"/>
      <c r="D37" s="108"/>
      <c r="E37" s="108"/>
    </row>
    <row r="38" spans="2:5" ht="18">
      <c r="B38" s="108"/>
      <c r="C38" s="108"/>
      <c r="D38" s="108"/>
      <c r="E38" s="108"/>
    </row>
    <row r="39" spans="2:5" ht="18">
      <c r="B39" s="108"/>
      <c r="C39" s="108"/>
      <c r="D39" s="108"/>
      <c r="E39" s="108"/>
    </row>
    <row r="40" spans="2:5" ht="18">
      <c r="B40" s="108"/>
      <c r="C40" s="108"/>
      <c r="D40" s="108"/>
      <c r="E40" s="108"/>
    </row>
    <row r="41" spans="2:5" ht="18">
      <c r="B41" s="108"/>
      <c r="C41" s="108"/>
      <c r="D41" s="108"/>
      <c r="E41" s="108"/>
    </row>
    <row r="42" spans="2:5" ht="18">
      <c r="B42" s="108"/>
      <c r="C42" s="108"/>
      <c r="D42" s="108"/>
      <c r="E42" s="108"/>
    </row>
    <row r="43" spans="2:5" ht="18">
      <c r="B43" s="108"/>
      <c r="C43" s="108"/>
      <c r="D43" s="108"/>
      <c r="E43" s="108"/>
    </row>
    <row r="44" spans="2:5" ht="18">
      <c r="B44" s="108"/>
      <c r="C44" s="108"/>
      <c r="D44" s="108"/>
      <c r="E44" s="108"/>
    </row>
    <row r="45" spans="2:5" ht="18">
      <c r="B45" s="166"/>
      <c r="C45" s="155"/>
      <c r="D45" s="155"/>
      <c r="E45" s="155"/>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mergeCells count="1">
    <mergeCell ref="D2:E2"/>
  </mergeCells>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21</vt:i4>
      </vt:variant>
    </vt:vector>
  </HeadingPairs>
  <TitlesOfParts>
    <vt:vector size="41" baseType="lpstr">
      <vt:lpstr>Index</vt:lpstr>
      <vt:lpstr>Personal Data</vt:lpstr>
      <vt:lpstr>Quotes</vt:lpstr>
      <vt:lpstr>GCal-Translations</vt:lpstr>
      <vt:lpstr>Holydays</vt:lpstr>
      <vt:lpstr>GPlan-Translations</vt:lpstr>
      <vt:lpstr>GCal-DB</vt:lpstr>
      <vt:lpstr>Cover</vt:lpstr>
      <vt:lpstr>Title</vt:lpstr>
      <vt:lpstr>Purpose 1</vt:lpstr>
      <vt:lpstr>Purpose 2</vt:lpstr>
      <vt:lpstr>Calendar</vt:lpstr>
      <vt:lpstr>Monthly-Left</vt:lpstr>
      <vt:lpstr>Monthly-Right</vt:lpstr>
      <vt:lpstr>Weekly-Left</vt:lpstr>
      <vt:lpstr>Weekly-Right</vt:lpstr>
      <vt:lpstr>Contact-Left</vt:lpstr>
      <vt:lpstr>Contact-Right</vt:lpstr>
      <vt:lpstr>Notes-Left</vt:lpstr>
      <vt:lpstr>Notes-Right</vt:lpstr>
      <vt:lpstr>Calendar!Area_de_impressao</vt:lpstr>
      <vt:lpstr>'Contact-Left'!Area_de_impressao</vt:lpstr>
      <vt:lpstr>'Contact-Right'!Area_de_impressao</vt:lpstr>
      <vt:lpstr>Cover!Area_de_impressao</vt:lpstr>
      <vt:lpstr>Holydays!Area_de_impressao</vt:lpstr>
      <vt:lpstr>'Monthly-Left'!Area_de_impressao</vt:lpstr>
      <vt:lpstr>'Monthly-Right'!Area_de_impressao</vt:lpstr>
      <vt:lpstr>'Notes-Left'!Area_de_impressao</vt:lpstr>
      <vt:lpstr>'Notes-Right'!Area_de_impressao</vt:lpstr>
      <vt:lpstr>'Personal Data'!Area_de_impressao</vt:lpstr>
      <vt:lpstr>'Purpose 1'!Area_de_impressao</vt:lpstr>
      <vt:lpstr>'Purpose 2'!Area_de_impressao</vt:lpstr>
      <vt:lpstr>'Weekly-Left'!Area_de_impressao</vt:lpstr>
      <vt:lpstr>'Weekly-Right'!Area_de_impressao</vt:lpstr>
      <vt:lpstr>Index!ctrs.rl</vt:lpstr>
      <vt:lpstr>Index!loc.rl_1</vt:lpstr>
      <vt:lpstr>'Monthly-Left'!monthName</vt:lpstr>
      <vt:lpstr>'Monthly-Right'!monthName</vt:lpstr>
      <vt:lpstr>selectedContact</vt:lpstr>
      <vt:lpstr>'Monthly-Left'!selectedMonth</vt:lpstr>
      <vt:lpstr>'Monthly-Right'!selectedMonth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Agenda Vaishnava</dc:title>
  <dc:subject>Agenda semanal para impressão, contendo as informações  dos eventos do calendário Vaishnava</dc:subject>
  <dc:creator>Paulo Sergio de Araujo</dc:creator>
  <cp:keywords>Agenda, Vaishnava, Planejamento, Espiritual</cp:keywords>
  <dc:description>Uma agenda semanal para os devotos vaishnavas</dc:description>
  <cp:lastModifiedBy>gopala</cp:lastModifiedBy>
  <cp:revision>1</cp:revision>
  <cp:lastPrinted>2012-08-05T19:59:24Z</cp:lastPrinted>
  <dcterms:created xsi:type="dcterms:W3CDTF">2005-12-16T20:13:31Z</dcterms:created>
  <dcterms:modified xsi:type="dcterms:W3CDTF">2016-12-26T01:29:31Z</dcterms:modified>
  <cp:category>Planilha Eletrônica</cp:category>
</cp:coreProperties>
</file>